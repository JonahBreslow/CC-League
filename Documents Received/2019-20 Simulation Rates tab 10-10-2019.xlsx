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ci\Google Drive (darcieharvey@gmail.com)\Higher Ed 2014-Present\CCC--Christian Osmena\Implementation\Data and Sims\"/>
    </mc:Choice>
  </mc:AlternateContent>
  <xr:revisionPtr revIDLastSave="0" documentId="13_ncr:1_{BF8E5B2A-5A4D-4FFF-AF8A-3A256CD8073C}" xr6:coauthVersionLast="45" xr6:coauthVersionMax="45" xr10:uidLastSave="{00000000-0000-0000-0000-000000000000}"/>
  <bookViews>
    <workbookView xWindow="-90" yWindow="-90" windowWidth="19380" windowHeight="10380" xr2:uid="{18C6BF76-AE31-42C3-995B-1C5EDB3EA6D9}"/>
  </bookViews>
  <sheets>
    <sheet name="801| 2019-20 Rate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CCC10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CC8">#REF!</definedName>
    <definedName name="_CCC9">#REF!</definedName>
    <definedName name="_Dist_Bin" hidden="1">#REF!</definedName>
    <definedName name="_Dist_Values" hidden="1">#REF!</definedName>
    <definedName name="_Fill" hidden="1">#REF!</definedName>
    <definedName name="_mo12">#REF!</definedName>
    <definedName name="_MO5">#REF!</definedName>
    <definedName name="_mo7">#REF!</definedName>
    <definedName name="_NSA1">#REF!</definedName>
    <definedName name="_NSA10">#REF!</definedName>
    <definedName name="_NSA2">#REF!</definedName>
    <definedName name="_NSA3">#REF!</definedName>
    <definedName name="_NSA4">#REF!</definedName>
    <definedName name="_NSA5">#REF!</definedName>
    <definedName name="_NSA6">#REF!</definedName>
    <definedName name="_NSA7">#REF!</definedName>
    <definedName name="_NSA8">#REF!</definedName>
    <definedName name="_NSA9">#REF!</definedName>
    <definedName name="_Sort" hidden="1">#REF!</definedName>
    <definedName name="_X1">'[2]06-00'!#REF!</definedName>
    <definedName name="_X11">#REF!</definedName>
    <definedName name="a">#REF!</definedName>
    <definedName name="Actual_PtaxandERAF_Report">#REF!</definedName>
    <definedName name="Analysis_Actuals" comment="Data used for Review">'[3] Analysis for Actuals'!$B$10:$J$81</definedName>
    <definedName name="azaz">#REF!</definedName>
    <definedName name="CALGRANT_FALLSPRING">#REF!</definedName>
    <definedName name="CCC_BASE_92">#REF!</definedName>
    <definedName name="CCC_BASE_93">#REF!</definedName>
    <definedName name="CCC_BASE_94">#REF!</definedName>
    <definedName name="CO_APPORT_REV_9">#REF!</definedName>
    <definedName name="CO_NET_LR_86">#REF!</definedName>
    <definedName name="CO_NET_LR_87">#REF!</definedName>
    <definedName name="CO_NET_LR_88">#REF!</definedName>
    <definedName name="CO_NET_LR_89">#REF!</definedName>
    <definedName name="CO_NET_LR_90">#REF!</definedName>
    <definedName name="CO_P98_LR_93">#REF!</definedName>
    <definedName name="CO_P98_LR_94">#REF!</definedName>
    <definedName name="CO_SE_SHARE_92">#REF!</definedName>
    <definedName name="CO_SE_SHARE_93">#REF!</definedName>
    <definedName name="CO_SE_SHARE_94">#REF!</definedName>
    <definedName name="CO_SE_TR_91">#REF!</definedName>
    <definedName name="CO_SE_TR_92">#REF!</definedName>
    <definedName name="CO_SE_TR_93">#REF!</definedName>
    <definedName name="CO_SE_TR_94">#REF!</definedName>
    <definedName name="CO_SHIFT_92">#REF!</definedName>
    <definedName name="CO_SHIFT_93">#REF!</definedName>
    <definedName name="CO_SHIFT_94">#REF!</definedName>
    <definedName name="CO_TR_91">#REF!</definedName>
    <definedName name="CO_TR_92">#REF!</definedName>
    <definedName name="CO_TR_93">#REF!</definedName>
    <definedName name="CO_TR_94">#REF!</definedName>
    <definedName name="COUNTY_PTAX">'[4]1d.County ptax11-15-2015'!$D$2:$AP$247</definedName>
    <definedName name="COUNTYERAFREPORT" comment="use for website exhibit">[5]!NEWERAFModPtax6[[Left Blank]:[Total Positive ERAF to Distribute]]</definedName>
    <definedName name="CountyTOT_PTR_A">#REF!</definedName>
    <definedName name="d">#REF!</definedName>
    <definedName name="Data_Actuals" comment="Use for Review">'[3]EF2016-2017P3 (Actuals)'!$B$8:$M$79</definedName>
    <definedName name="_xlnm.Database">#REF!</definedName>
    <definedName name="Database_MI">#REF!</definedName>
    <definedName name="dental">#REF!</definedName>
    <definedName name="District_FTES">'[4]APPORTIONMENT REPORT_1.26.16'!$A$8:$E$79</definedName>
    <definedName name="DISTRICT_Summary">'[4]1c.DistrictAlpha ptax11-15-2015'!$C$2:$AW$287</definedName>
    <definedName name="District_Summary04_15_2016">'[6]1c.DistrictAlpha ptax04-15-2016'!$C$3:$AP$285</definedName>
    <definedName name="District311FinalTable">#REF!</definedName>
    <definedName name="DistrictAlpha" comment="Used in Tax Proration tab">'[7]2a.DistrictAlpha ptax'!$C$1:$AW$288+'[7]2a.DistrictAlpha ptax'!$C$138:$AW$286</definedName>
    <definedName name="DIstrictAlpha_2a">'[7]2a.DistrictAlpha ptax'!$C$3:$AW$286</definedName>
    <definedName name="DistrictPvtERAF_Ptax">[5]DistrictPvtERAF_Ptax!$A$4:$C$75</definedName>
    <definedName name="DLR_EXCESS_92">#REF!</definedName>
    <definedName name="DLR_EXCESS_93">#REF!</definedName>
    <definedName name="DLR_EXCESS_94">#REF!</definedName>
    <definedName name="dumb">#REF!</definedName>
    <definedName name="EF_P1_Data" comment="Use for analysis and bachelor degree fees">'[8]Enrollment Fee P1 (Estimates)'!$B$8:$M$79</definedName>
    <definedName name="EF_P2_Data" comment="Use for analysis and bachelor degree fees">'[8]Enrollment Fee P2 (Estimates)'!$B$8:$M$79</definedName>
    <definedName name="EF_P3_Data" comment="Use for analysis and bachelor degree fees.">'[8]Enrollment Fee P3 (Actuals)'!$B$8:$M$79</definedName>
    <definedName name="EstdPos501BU12_13UniformParks">#REF!</definedName>
    <definedName name="_xlnm.Extract">#REF!</definedName>
    <definedName name="Extract_MI">#REF!</definedName>
    <definedName name="f">#REF!</definedName>
    <definedName name="FinalEstimatedCCD_ERAFandonlyproptax">'[7]1k.CCDPivotTableERAF&amp;PropTAX2'!$A$4:$C$75</definedName>
    <definedName name="five">#REF!</definedName>
    <definedName name="FIXED1">#REF!</definedName>
    <definedName name="four">#REF!</definedName>
    <definedName name="III">'[2]06-00'!#REF!</definedName>
    <definedName name="IN_MIL">#REF!</definedName>
    <definedName name="IN_THOUS">#REF!</definedName>
    <definedName name="intract">#REF!</definedName>
    <definedName name="IV">'[2]06-00'!#REF!</definedName>
    <definedName name="jj">#REF!</definedName>
    <definedName name="jjj">#REF!</definedName>
    <definedName name="K12_1">#REF!</definedName>
    <definedName name="K12_10">#REF!</definedName>
    <definedName name="K12_2">#REF!</definedName>
    <definedName name="K12_3">#REF!</definedName>
    <definedName name="K12_4">#REF!</definedName>
    <definedName name="K12_5">#REF!</definedName>
    <definedName name="K12_6">#REF!</definedName>
    <definedName name="K12_7">#REF!</definedName>
    <definedName name="K12_8">#REF!</definedName>
    <definedName name="K12_9">#REF!</definedName>
    <definedName name="K12_SHIFT_92">#REF!</definedName>
    <definedName name="K12_SHIFT_93">#REF!</definedName>
    <definedName name="K12_SHIFT_94">#REF!</definedName>
    <definedName name="Lookup_RequestbyCategory">[9]!Table7[Expenditure By Category]</definedName>
    <definedName name="Med">#REF!</definedName>
    <definedName name="MedaSS">#REF!</definedName>
    <definedName name="MedOnly">#REF!</definedName>
    <definedName name="MedwSS">#REF!</definedName>
    <definedName name="MINUS1">#REF!</definedName>
    <definedName name="Misc">#REF!</definedName>
    <definedName name="MO">#REF!</definedName>
    <definedName name="new">#REF!</definedName>
    <definedName name="no">#REF!</definedName>
    <definedName name="old">#REF!</definedName>
    <definedName name="one">#REF!</definedName>
    <definedName name="P98_ADA_88_CH">#REF!</definedName>
    <definedName name="P98_ADA_88_D">#REF!</definedName>
    <definedName name="P98_ADA_89_CH">#REF!</definedName>
    <definedName name="P98_ADA_89_D">#REF!</definedName>
    <definedName name="P98_ADA_90_CH">#REF!</definedName>
    <definedName name="P98_ADA_90_D">#REF!</definedName>
    <definedName name="P98_ADA_91_CH">#REF!</definedName>
    <definedName name="P98_ADA_91_D">#REF!</definedName>
    <definedName name="P98_ADA_92_CH">#REF!</definedName>
    <definedName name="P98_ADA_92_D">#REF!</definedName>
    <definedName name="P98_ADA_92_T">#REF!</definedName>
    <definedName name="P98_ADA_93_CH">#REF!</definedName>
    <definedName name="P98_ADA_93_D">#REF!</definedName>
    <definedName name="P98_ADA_94_CH">#REF!</definedName>
    <definedName name="P98_ADA_94_D">#REF!</definedName>
    <definedName name="P98_ADA_95_CH">#REF!</definedName>
    <definedName name="P98_ADA_95_D">#REF!</definedName>
    <definedName name="P98_CLR_86">#REF!</definedName>
    <definedName name="P98_CLR_87">#REF!</definedName>
    <definedName name="P98_CLR_88">#REF!</definedName>
    <definedName name="P98_CLR_89">#REF!</definedName>
    <definedName name="P98_CLR_90">#REF!</definedName>
    <definedName name="P98_CLR_91">#REF!</definedName>
    <definedName name="P98_CLR_92">#REF!</definedName>
    <definedName name="P98_CLR_93">#REF!</definedName>
    <definedName name="P98_CLR_94">#REF!</definedName>
    <definedName name="P98_CO_TR_91">#REF!</definedName>
    <definedName name="P98_CO_TR_92">#REF!</definedName>
    <definedName name="P98_CO_TR_93">#REF!</definedName>
    <definedName name="P98_CO_TR_94">#REF!</definedName>
    <definedName name="P98_DLR_86">#REF!</definedName>
    <definedName name="P98_DLR_87">#REF!</definedName>
    <definedName name="P98_DLR_88">#REF!</definedName>
    <definedName name="P98_DLR_89">#REF!</definedName>
    <definedName name="P98_DLR_90">#REF!</definedName>
    <definedName name="P98_DLR_91">#REF!</definedName>
    <definedName name="P98_DLR_92">#REF!</definedName>
    <definedName name="P98_DLR_93">#REF!</definedName>
    <definedName name="P98_DLR_94">#REF!</definedName>
    <definedName name="P98_LR_86">#REF!</definedName>
    <definedName name="P98_LR_87">#REF!</definedName>
    <definedName name="P98_LR_88">#REF!</definedName>
    <definedName name="P98_LR_89">#REF!</definedName>
    <definedName name="P98_LR_90">#REF!</definedName>
    <definedName name="P98_LR_91">#REF!</definedName>
    <definedName name="P98_LR_92">#REF!</definedName>
    <definedName name="P98_LR_93">#REF!</definedName>
    <definedName name="P98_LR_94">#REF!</definedName>
    <definedName name="PELL_FALLSPRING">#REF!</definedName>
    <definedName name="pp">'[10]Don''t Change Lists'!$D$3:$D$5</definedName>
    <definedName name="pppppp">'[10]Don''t Change Lists'!$A$3:$A$6</definedName>
    <definedName name="Qry183_501BU12_13_ParksUniform">#REF!</definedName>
    <definedName name="QryPosBen701BU12_13Uniform">#REF!</definedName>
    <definedName name="QryTbl183DepAtGIII_IV">'[2]06-00'!#REF!</definedName>
    <definedName name="QyEstPos501BU4CallCtrPay">#REF!</definedName>
    <definedName name="Redistribution">[5]!NEWERAFModPtax[[#Headers],[Redistribution of Tax Proration
(the idea is to bring all Tax proation as equal as possible, by distributing to the lowest first)2]]</definedName>
    <definedName name="s">#REF!</definedName>
    <definedName name="Safety">#REF!</definedName>
    <definedName name="SHIFT92_IN_93">#REF!</definedName>
    <definedName name="SHIFT92_IN_94">#REF!</definedName>
    <definedName name="SHIFT93_IN_93">#REF!</definedName>
    <definedName name="SHIFT93_IN_94">#REF!</definedName>
    <definedName name="SPED_SHIFT_92">#REF!</definedName>
    <definedName name="SPED_SHIFT_93">#REF!</definedName>
    <definedName name="SPED_SHIFT_94">#REF!</definedName>
    <definedName name="Spring201516CCD_ERAFandonlyproptax">'[6]1k.CCDPivotTableERAF&amp;PropTAX2'!$A$4:$C$75</definedName>
    <definedName name="SSA">#REF!</definedName>
    <definedName name="Staffname">#REF!</definedName>
    <definedName name="SUB_DLR_92">#REF!</definedName>
    <definedName name="SUB_DLR_93">#REF!</definedName>
    <definedName name="SUB_DLR_94">#REF!</definedName>
    <definedName name="Tax_Proration">'[4]1h.Tax_Proration'!$C$2:$G$73</definedName>
    <definedName name="teamLead">#REF!</definedName>
    <definedName name="three">#REF!</definedName>
    <definedName name="TOT_CO_REV_85">#REF!</definedName>
    <definedName name="TOT_CO_REV_86">#REF!</definedName>
    <definedName name="TOT_CO_REV_87">#REF!</definedName>
    <definedName name="TOT_CO_REV_88">#REF!</definedName>
    <definedName name="TOT_CO_REV_89">#REF!</definedName>
    <definedName name="TOT_CO_REV_90">#REF!</definedName>
    <definedName name="TOT_CO_SE_85">#REF!</definedName>
    <definedName name="TOT_CO_SE_86">#REF!</definedName>
    <definedName name="TOT_CO_SE_87">#REF!</definedName>
    <definedName name="TOT_CO_SE_88">#REF!</definedName>
    <definedName name="TOT_CO_SE_89">#REF!</definedName>
    <definedName name="TOT_CO_SE_90">#REF!</definedName>
    <definedName name="TOT_DLR_86">#REF!</definedName>
    <definedName name="TOT_DLR_87">#REF!</definedName>
    <definedName name="TOT_DLR_88">#REF!</definedName>
    <definedName name="TOT_DLR_89">#REF!</definedName>
    <definedName name="TOT_DLR_90">#REF!</definedName>
    <definedName name="TOT_DLR_91">#REF!</definedName>
    <definedName name="TOT_SHIFT_92">#REF!</definedName>
    <definedName name="two">#REF!</definedName>
    <definedName name="user">#REF!</definedName>
    <definedName name="x">#REF!</definedName>
    <definedName name="y">#REF!</definedName>
    <definedName name="z">#REF!</definedName>
  </definedNames>
  <calcPr calcId="191029" iterateCount="1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4" i="1" l="1"/>
  <c r="E100" i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3" i="1"/>
  <c r="H93" i="1" s="1"/>
  <c r="F100" i="1"/>
  <c r="E89" i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F89" i="1"/>
  <c r="H80" i="1"/>
  <c r="C76" i="1"/>
  <c r="E72" i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F72" i="1"/>
  <c r="H63" i="1"/>
  <c r="C57" i="1"/>
  <c r="E53" i="1"/>
  <c r="F52" i="1"/>
  <c r="G52" i="1" s="1"/>
  <c r="H52" i="1" s="1"/>
  <c r="F51" i="1"/>
  <c r="G51" i="1" s="1"/>
  <c r="H51" i="1" s="1"/>
  <c r="F50" i="1"/>
  <c r="F53" i="1" s="1"/>
  <c r="H49" i="1"/>
  <c r="C32" i="1"/>
  <c r="C17" i="1"/>
  <c r="C15" i="1"/>
  <c r="E8" i="1"/>
  <c r="E10" i="1" s="1"/>
  <c r="E12" i="1" l="1"/>
  <c r="E14" i="1"/>
  <c r="E32" i="1" s="1"/>
  <c r="E13" i="1"/>
  <c r="E28" i="1" s="1"/>
  <c r="G92" i="1"/>
  <c r="G50" i="1"/>
  <c r="G64" i="1"/>
  <c r="G81" i="1"/>
  <c r="E15" i="1" l="1"/>
  <c r="E17" i="1"/>
  <c r="G89" i="1"/>
  <c r="H81" i="1"/>
  <c r="H89" i="1" s="1"/>
  <c r="G100" i="1"/>
  <c r="H92" i="1"/>
  <c r="H100" i="1" s="1"/>
  <c r="E57" i="1"/>
  <c r="G72" i="1"/>
  <c r="E39" i="1" s="1"/>
  <c r="H64" i="1"/>
  <c r="H72" i="1" s="1"/>
  <c r="G53" i="1"/>
  <c r="E29" i="1" s="1"/>
  <c r="E30" i="1" s="1"/>
  <c r="H30" i="1" s="1"/>
  <c r="I30" i="1" s="1"/>
  <c r="H50" i="1"/>
  <c r="H53" i="1" s="1"/>
  <c r="E35" i="1"/>
  <c r="E42" i="1" s="1"/>
  <c r="E104" i="1" s="1"/>
  <c r="E34" i="1"/>
  <c r="E58" i="1" l="1"/>
  <c r="E38" i="1"/>
  <c r="E76" i="1" s="1"/>
  <c r="E77" i="1" s="1"/>
  <c r="E36" i="1"/>
  <c r="E43" i="1"/>
  <c r="E44" i="1" s="1"/>
  <c r="H44" i="1" s="1"/>
  <c r="I44" i="1" s="1"/>
  <c r="E105" i="1"/>
  <c r="E40" i="1" l="1"/>
  <c r="H40" i="1" s="1"/>
  <c r="I40" i="1" s="1"/>
  <c r="E22" i="1" l="1"/>
  <c r="E24" i="1" s="1"/>
  <c r="E26" i="1" s="1"/>
  <c r="H26" i="1" s="1"/>
  <c r="I26" i="1" s="1"/>
</calcChain>
</file>

<file path=xl/sharedStrings.xml><?xml version="1.0" encoding="utf-8"?>
<sst xmlns="http://schemas.openxmlformats.org/spreadsheetml/2006/main" count="120" uniqueCount="66">
  <si>
    <t>Calculated with data available as of October 10, 2019</t>
  </si>
  <si>
    <t>EdCode</t>
  </si>
  <si>
    <t>84750.4(b)(2)</t>
  </si>
  <si>
    <t>2019-20 TCR by DOF at Budget Act</t>
  </si>
  <si>
    <t>Budget Act 2019</t>
  </si>
  <si>
    <t>Provision 2(a)(1)</t>
  </si>
  <si>
    <t>Growth</t>
  </si>
  <si>
    <t>Hold Harmless - DOF</t>
  </si>
  <si>
    <t>84750.4(b)(1)</t>
  </si>
  <si>
    <t>Cost of CDCP FTES</t>
  </si>
  <si>
    <t>Cost of Noncredit FTES</t>
  </si>
  <si>
    <t>subtotal</t>
  </si>
  <si>
    <t>Funds Available for Distribution</t>
  </si>
  <si>
    <t>84750.4(b)(2)(A)</t>
  </si>
  <si>
    <t>Base Allocation</t>
  </si>
  <si>
    <t>84750.4(b)(2)(B)</t>
  </si>
  <si>
    <t>Supplemental Allocation</t>
  </si>
  <si>
    <t>84750.4(b)(2)(C)(i)</t>
  </si>
  <si>
    <t>Student Success Allocation</t>
  </si>
  <si>
    <t>Cost of Basic Allocation</t>
  </si>
  <si>
    <t>84750.4(d)(3)</t>
  </si>
  <si>
    <t>Cost of Incarcerated Students</t>
  </si>
  <si>
    <t>Cost of Special Admit Students</t>
  </si>
  <si>
    <t>Funds for New Credit FTES Rate</t>
  </si>
  <si>
    <t>3 year average Credit FTES</t>
  </si>
  <si>
    <t>2018-19</t>
  </si>
  <si>
    <t>dif</t>
  </si>
  <si>
    <t>%dif</t>
  </si>
  <si>
    <t>84750.4(d)(1)(C)(ii)</t>
  </si>
  <si>
    <t>New Credit FTES Rate</t>
  </si>
  <si>
    <t>84750.4(b)(2)(C)(i)(ii)</t>
  </si>
  <si>
    <t>Total Point Count</t>
  </si>
  <si>
    <t>New Supplemental Allocation Point Value</t>
  </si>
  <si>
    <t>Main Component</t>
  </si>
  <si>
    <t>Equity Component</t>
  </si>
  <si>
    <t>Point Count for Main Component</t>
  </si>
  <si>
    <t>New Main Component Point Value</t>
  </si>
  <si>
    <t>Point Count for Equity Component</t>
  </si>
  <si>
    <t>New Equity Component Point Value</t>
  </si>
  <si>
    <t>Supplemental</t>
  </si>
  <si>
    <t>Points</t>
  </si>
  <si>
    <r>
      <t>Total Counts</t>
    </r>
    <r>
      <rPr>
        <b/>
        <vertAlign val="superscript"/>
        <sz val="11"/>
        <rFont val="Calibri"/>
        <family val="2"/>
        <scheme val="minor"/>
      </rPr>
      <t>1</t>
    </r>
  </si>
  <si>
    <t>Total Points</t>
  </si>
  <si>
    <t>Total Dollars</t>
  </si>
  <si>
    <t>Metrics</t>
  </si>
  <si>
    <t>(a)</t>
  </si>
  <si>
    <t>(b)</t>
  </si>
  <si>
    <t>(c) = (a) * (b)</t>
  </si>
  <si>
    <t>AB 540 Students</t>
  </si>
  <si>
    <t>Pell Grant Recipients</t>
  </si>
  <si>
    <t>Promise Grant Recipients</t>
  </si>
  <si>
    <t>Total</t>
  </si>
  <si>
    <t>Supplemental Rate Per Point</t>
  </si>
  <si>
    <t>Goal seek to zero</t>
  </si>
  <si>
    <t>Student Success</t>
  </si>
  <si>
    <t>All Students</t>
  </si>
  <si>
    <t>Associate Degrees for Transfers</t>
  </si>
  <si>
    <t>Associate Degrees</t>
  </si>
  <si>
    <t>Baccalaureate Degrees</t>
  </si>
  <si>
    <t>Credit Certificates</t>
  </si>
  <si>
    <t>Transfer Level Math and English</t>
  </si>
  <si>
    <t>Transfers</t>
  </si>
  <si>
    <t>Nine or More CTE Units</t>
  </si>
  <si>
    <t>Regional Living Wage</t>
  </si>
  <si>
    <t>Student Success Main Component Rate per Point</t>
  </si>
  <si>
    <t>Student Success Equity Rate per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</si>
</sst>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&quot;$&quot;* #,##0.0000_);_(&quot;$&quot;* \(#,##0.0000\);_(&quot;$&quot;* &quot;-&quot;??_);_(@_)"/>
    <numFmt numFmtId="167" formatCode="0.00000000000%"/>
    <numFmt numFmtId="168" formatCode="#,##0.0_);\(#,##0.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b/>
      <vertAlign val="superscript"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/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indexed="64"/>
      </right>
      <top style="thin">
        <color rgb="FF7F7F7F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16">
    <xf numFmtId="0" fontId="0" fillId="0" borderId="0" xfId="0"/>
    <xf numFmtId="0" fontId="2" fillId="2" borderId="2" xfId="4" applyBorder="1" applyAlignment="1">
      <alignment vertical="center"/>
    </xf>
    <xf numFmtId="0" fontId="2" fillId="2" borderId="3" xfId="4" applyBorder="1" applyAlignment="1">
      <alignment vertical="center"/>
    </xf>
    <xf numFmtId="0" fontId="2" fillId="2" borderId="4" xfId="4" applyBorder="1" applyAlignment="1">
      <alignment vertical="center"/>
    </xf>
    <xf numFmtId="0" fontId="0" fillId="0" borderId="5" xfId="0" applyBorder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164" fontId="1" fillId="0" borderId="8" xfId="2" applyNumberFormat="1" applyBorder="1"/>
    <xf numFmtId="0" fontId="0" fillId="0" borderId="9" xfId="0" applyBorder="1" applyAlignment="1">
      <alignment horizontal="left" wrapText="1"/>
    </xf>
    <xf numFmtId="0" fontId="0" fillId="0" borderId="0" xfId="0" applyAlignment="1">
      <alignment horizontal="left" wrapText="1"/>
    </xf>
    <xf numFmtId="164" fontId="1" fillId="0" borderId="10" xfId="2" applyNumberFormat="1" applyBorder="1"/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165" fontId="3" fillId="3" borderId="10" xfId="1" applyNumberFormat="1" applyFont="1" applyFill="1" applyBorder="1"/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165" fontId="1" fillId="0" borderId="10" xfId="1" applyNumberForma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9" xfId="0" applyBorder="1" applyAlignment="1">
      <alignment horizontal="right" wrapText="1"/>
    </xf>
    <xf numFmtId="0" fontId="0" fillId="0" borderId="0" xfId="0" applyAlignment="1">
      <alignment horizontal="right" wrapText="1"/>
    </xf>
    <xf numFmtId="164" fontId="1" fillId="0" borderId="11" xfId="2" applyNumberFormat="1" applyBorder="1"/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164" fontId="1" fillId="0" borderId="14" xfId="2" applyNumberFormat="1" applyBorder="1" applyAlignment="1">
      <alignment vertical="top"/>
    </xf>
    <xf numFmtId="165" fontId="0" fillId="0" borderId="0" xfId="0" applyNumberFormat="1"/>
    <xf numFmtId="0" fontId="4" fillId="0" borderId="0" xfId="0" applyFont="1" applyAlignment="1">
      <alignment horizontal="right" vertical="top" wrapText="1"/>
    </xf>
    <xf numFmtId="164" fontId="1" fillId="0" borderId="0" xfId="2" applyNumberFormat="1" applyAlignment="1">
      <alignment vertical="top"/>
    </xf>
    <xf numFmtId="0" fontId="0" fillId="0" borderId="15" xfId="0" applyBorder="1" applyAlignment="1">
      <alignment horizontal="left"/>
    </xf>
    <xf numFmtId="9" fontId="0" fillId="0" borderId="5" xfId="0" applyNumberFormat="1" applyBorder="1"/>
    <xf numFmtId="9" fontId="0" fillId="0" borderId="0" xfId="0" applyNumberFormat="1"/>
    <xf numFmtId="0" fontId="0" fillId="0" borderId="0" xfId="0" applyAlignment="1">
      <alignment vertical="top"/>
    </xf>
    <xf numFmtId="0" fontId="0" fillId="0" borderId="12" xfId="0" applyBorder="1" applyAlignment="1">
      <alignment horizontal="right"/>
    </xf>
    <xf numFmtId="0" fontId="4" fillId="0" borderId="13" xfId="0" applyFont="1" applyBorder="1" applyAlignment="1">
      <alignment horizontal="center"/>
    </xf>
    <xf numFmtId="164" fontId="0" fillId="0" borderId="16" xfId="0" applyNumberFormat="1" applyBorder="1"/>
    <xf numFmtId="0" fontId="4" fillId="0" borderId="0" xfId="0" applyFont="1" applyAlignment="1">
      <alignment horizontal="right" wrapText="1"/>
    </xf>
    <xf numFmtId="0" fontId="0" fillId="0" borderId="15" xfId="0" applyBorder="1"/>
    <xf numFmtId="164" fontId="0" fillId="0" borderId="11" xfId="0" applyNumberFormat="1" applyBorder="1"/>
    <xf numFmtId="164" fontId="0" fillId="0" borderId="0" xfId="0" applyNumberFormat="1"/>
    <xf numFmtId="0" fontId="0" fillId="0" borderId="9" xfId="0" applyBorder="1"/>
    <xf numFmtId="0" fontId="0" fillId="0" borderId="10" xfId="0" applyBorder="1"/>
    <xf numFmtId="164" fontId="1" fillId="0" borderId="0" xfId="2" applyNumberFormat="1"/>
    <xf numFmtId="165" fontId="0" fillId="0" borderId="0" xfId="1" applyNumberFormat="1" applyFont="1" applyAlignment="1">
      <alignment horizontal="center" wrapText="1"/>
    </xf>
    <xf numFmtId="49" fontId="5" fillId="0" borderId="9" xfId="1" applyNumberFormat="1" applyFont="1" applyBorder="1" applyAlignment="1">
      <alignment vertical="top"/>
    </xf>
    <xf numFmtId="165" fontId="1" fillId="0" borderId="0" xfId="1" applyNumberFormat="1"/>
    <xf numFmtId="0" fontId="4" fillId="0" borderId="9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164" fontId="0" fillId="0" borderId="10" xfId="0" applyNumberFormat="1" applyBorder="1"/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43" fontId="0" fillId="0" borderId="10" xfId="0" applyNumberFormat="1" applyBorder="1"/>
    <xf numFmtId="43" fontId="0" fillId="0" borderId="9" xfId="0" applyNumberFormat="1" applyBorder="1"/>
    <xf numFmtId="164" fontId="6" fillId="0" borderId="0" xfId="2" applyNumberFormat="1" applyFont="1" applyAlignment="1">
      <alignment horizontal="right" vertical="center"/>
    </xf>
    <xf numFmtId="0" fontId="0" fillId="0" borderId="0" xfId="0" quotePrefix="1" applyAlignment="1">
      <alignment horizontal="center"/>
    </xf>
    <xf numFmtId="0" fontId="3" fillId="4" borderId="12" xfId="0" applyFont="1" applyFill="1" applyBorder="1"/>
    <xf numFmtId="0" fontId="3" fillId="4" borderId="13" xfId="0" applyFont="1" applyFill="1" applyBorder="1"/>
    <xf numFmtId="44" fontId="7" fillId="0" borderId="0" xfId="2" applyFont="1" applyAlignment="1">
      <alignment horizontal="right" vertical="center"/>
    </xf>
    <xf numFmtId="44" fontId="0" fillId="0" borderId="0" xfId="2" applyFont="1" applyAlignment="1">
      <alignment horizontal="center"/>
    </xf>
    <xf numFmtId="10" fontId="8" fillId="0" borderId="0" xfId="3" applyNumberFormat="1" applyFont="1" applyAlignment="1">
      <alignment horizontal="center"/>
    </xf>
    <xf numFmtId="0" fontId="4" fillId="0" borderId="0" xfId="0" applyFont="1" applyAlignment="1">
      <alignment horizontal="right"/>
    </xf>
    <xf numFmtId="44" fontId="0" fillId="0" borderId="0" xfId="2" applyFont="1"/>
    <xf numFmtId="0" fontId="0" fillId="0" borderId="15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right"/>
    </xf>
    <xf numFmtId="166" fontId="3" fillId="4" borderId="16" xfId="2" applyNumberFormat="1" applyFont="1" applyFill="1" applyBorder="1"/>
    <xf numFmtId="0" fontId="0" fillId="0" borderId="15" xfId="0" applyBorder="1" applyAlignment="1">
      <alignment vertical="top"/>
    </xf>
    <xf numFmtId="0" fontId="0" fillId="0" borderId="5" xfId="0" applyBorder="1" applyAlignment="1">
      <alignment vertical="top"/>
    </xf>
    <xf numFmtId="164" fontId="1" fillId="0" borderId="11" xfId="2" applyNumberFormat="1" applyBorder="1" applyAlignment="1">
      <alignment vertical="top"/>
    </xf>
    <xf numFmtId="44" fontId="0" fillId="0" borderId="0" xfId="2" applyFont="1" applyAlignment="1">
      <alignment vertical="top"/>
    </xf>
    <xf numFmtId="0" fontId="0" fillId="0" borderId="0" xfId="0" applyAlignment="1">
      <alignment horizontal="center" vertical="top" wrapText="1"/>
    </xf>
    <xf numFmtId="165" fontId="0" fillId="0" borderId="10" xfId="0" applyNumberFormat="1" applyBorder="1"/>
    <xf numFmtId="167" fontId="6" fillId="0" borderId="0" xfId="3" applyNumberFormat="1" applyFont="1" applyAlignment="1">
      <alignment horizontal="left" vertical="center"/>
    </xf>
    <xf numFmtId="0" fontId="0" fillId="0" borderId="9" xfId="0" applyBorder="1" applyAlignment="1">
      <alignment vertical="top"/>
    </xf>
    <xf numFmtId="9" fontId="0" fillId="0" borderId="0" xfId="0" applyNumberFormat="1" applyAlignment="1">
      <alignment vertical="top"/>
    </xf>
    <xf numFmtId="164" fontId="1" fillId="0" borderId="10" xfId="2" applyNumberFormat="1" applyBorder="1" applyAlignment="1">
      <alignment vertical="top"/>
    </xf>
    <xf numFmtId="0" fontId="7" fillId="0" borderId="0" xfId="0" applyFont="1" applyAlignment="1">
      <alignment horizontal="left" vertical="center"/>
    </xf>
    <xf numFmtId="43" fontId="7" fillId="0" borderId="0" xfId="1" applyFont="1" applyAlignment="1">
      <alignment horizontal="right" vertical="center"/>
    </xf>
    <xf numFmtId="0" fontId="0" fillId="0" borderId="12" xfId="0" applyBorder="1"/>
    <xf numFmtId="0" fontId="0" fillId="0" borderId="13" xfId="0" applyBorder="1"/>
    <xf numFmtId="164" fontId="1" fillId="0" borderId="16" xfId="2" applyNumberFormat="1" applyBorder="1"/>
    <xf numFmtId="165" fontId="0" fillId="0" borderId="11" xfId="0" applyNumberFormat="1" applyBorder="1"/>
    <xf numFmtId="165" fontId="0" fillId="0" borderId="10" xfId="1" applyNumberFormat="1" applyFont="1" applyBorder="1"/>
    <xf numFmtId="10" fontId="0" fillId="0" borderId="0" xfId="0" applyNumberFormat="1"/>
    <xf numFmtId="0" fontId="3" fillId="4" borderId="9" xfId="0" applyFont="1" applyFill="1" applyBorder="1"/>
    <xf numFmtId="0" fontId="3" fillId="4" borderId="0" xfId="0" applyFont="1" applyFill="1"/>
    <xf numFmtId="166" fontId="3" fillId="4" borderId="11" xfId="2" applyNumberFormat="1" applyFont="1" applyFill="1" applyBorder="1"/>
    <xf numFmtId="167" fontId="7" fillId="0" borderId="0" xfId="3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44" fontId="7" fillId="0" borderId="0" xfId="2" applyFont="1" applyAlignment="1">
      <alignment horizontal="right" vertical="top"/>
    </xf>
    <xf numFmtId="43" fontId="0" fillId="0" borderId="0" xfId="1" applyFont="1" applyAlignment="1">
      <alignment vertical="top"/>
    </xf>
    <xf numFmtId="43" fontId="0" fillId="0" borderId="0" xfId="1" applyFont="1" applyAlignment="1">
      <alignment horizontal="center"/>
    </xf>
    <xf numFmtId="10" fontId="8" fillId="0" borderId="0" xfId="3" applyNumberFormat="1" applyFont="1" applyAlignment="1">
      <alignment horizontal="center" vertical="top"/>
    </xf>
    <xf numFmtId="0" fontId="6" fillId="5" borderId="17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/>
    <xf numFmtId="37" fontId="7" fillId="0" borderId="0" xfId="0" applyNumberFormat="1" applyFont="1"/>
    <xf numFmtId="42" fontId="7" fillId="0" borderId="0" xfId="2" applyNumberFormat="1" applyFont="1"/>
    <xf numFmtId="165" fontId="7" fillId="0" borderId="0" xfId="1" applyNumberFormat="1" applyFont="1"/>
    <xf numFmtId="0" fontId="7" fillId="0" borderId="0" xfId="0" applyFont="1" applyAlignment="1">
      <alignment horizontal="right"/>
    </xf>
    <xf numFmtId="168" fontId="7" fillId="0" borderId="5" xfId="0" applyNumberFormat="1" applyFont="1" applyBorder="1"/>
    <xf numFmtId="37" fontId="7" fillId="0" borderId="5" xfId="0" applyNumberFormat="1" applyFont="1" applyBorder="1"/>
    <xf numFmtId="42" fontId="7" fillId="0" borderId="5" xfId="2" applyNumberFormat="1" applyFont="1" applyBorder="1"/>
    <xf numFmtId="44" fontId="7" fillId="6" borderId="0" xfId="0" applyNumberFormat="1" applyFont="1" applyFill="1"/>
    <xf numFmtId="164" fontId="7" fillId="0" borderId="0" xfId="0" applyNumberFormat="1" applyFont="1"/>
    <xf numFmtId="164" fontId="7" fillId="7" borderId="0" xfId="0" applyNumberFormat="1" applyFont="1" applyFill="1"/>
    <xf numFmtId="0" fontId="7" fillId="0" borderId="0" xfId="0" applyFont="1" applyAlignment="1">
      <alignment wrapText="1"/>
    </xf>
    <xf numFmtId="44" fontId="7" fillId="6" borderId="0" xfId="2" applyFont="1" applyFill="1"/>
    <xf numFmtId="44" fontId="7" fillId="8" borderId="0" xfId="2" applyFont="1" applyFill="1"/>
    <xf numFmtId="165" fontId="7" fillId="0" borderId="0" xfId="0" applyNumberFormat="1" applyFont="1"/>
    <xf numFmtId="0" fontId="4" fillId="0" borderId="0" xfId="0" applyFont="1" applyAlignment="1">
      <alignment horizontal="center"/>
    </xf>
    <xf numFmtId="7" fontId="4" fillId="0" borderId="0" xfId="0" applyNumberFormat="1" applyFont="1"/>
    <xf numFmtId="44" fontId="3" fillId="0" borderId="16" xfId="2" applyNumberFormat="1" applyFont="1" applyBorder="1"/>
  </cellXfs>
  <cellStyles count="5">
    <cellStyle name="Comma" xfId="1" builtinId="3"/>
    <cellStyle name="Currency" xfId="2" builtinId="4"/>
    <cellStyle name="Input" xfId="4" builtinId="20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rci/AppData/Local/Microsoft/Windows/INetCache/Content.Outlook/BZC0ZU13/2019-20%20P1%20-%20047%20(rates%20estimator%20October%2010%202019%20Final%20for%20mtg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S/FMD/Bargaining%202001/OLD%20STUFF/ROUND%203%20COSTING%20DOF/unit%2006/unit%2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ortionments\Calculations\2016-17\2016-17%20Recalc\Enrollment%20Fee%20Revenue\FY%202016-17_Actuals%20Enrollment%20Fee%20Revenue%20for%20R1%20as%20of%20Oct%2031,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BF\eddie\2015-16\2015-16%20P1\Property%20Tax\calculation,%20preparation\2015-16%20P1%20ERAF,%20property%20tax%20v2%20as%20of%202015-02-02%20-%20Co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pportionments\Calculations\2017-18\P1%20-%202%20Apr\Property%20Tax\Calculations%20-%20Fiscal\2017-18%20P1,revised%20Estimated%20property%20tax%20and%20ERAF%20as%20of%20March202018_FTES_ERRO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BF\eddie\2015-16\2015-16%20Recalc\Property%20Tax\1.%20comparison%20-%20prop%20tax%20CCD%20(311)%20vs.%20county\2015-16%20R1%20Property%20Tax%20as%20of%20November%2028,%2020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BF\eddie\2016-17\2016-17%20P2\Property%20Tax\Calculations%20-%20Fiscal\2016-17%20P2%20Estimated%20property%20tax%20and%20ERAF%20as%20of%20April%2027,%20201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F.finance\DATASTORE\Apportionments\Calculations\2018-19\P2\Enrollment%20Fees\FY%202018-19%20Enrollment%20Fee%20Revenue%20for%20P2%20April%2022,%202019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udget%20Dev%20(Fall)\2016-17\6870%20CCC\Dept-Specific%20Drills\Budget%20Position%20Transparency%20Salaries%201of4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chu/AppData/Local/Microsoft/Windows/Temporary%20Internet%20Files/Content.Outlook/WES7QSGK/Documents%20and%20Settings/fikwyatt/Application%20Data/Microsoft/Excel/EOPS%20Review%20Track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| TableOfContent"/>
      <sheetName val="20| Workbook Information"/>
      <sheetName val="30| MetricNamingConvention"/>
      <sheetName val="40| NamesDistrictCollegeCenter"/>
      <sheetName val="50| Data Dictionary"/>
      <sheetName val="60| Hold Harmless Provisions"/>
      <sheetName val="61| Ed Code 84750.4"/>
      <sheetName val="70|FiscalYears+DataYears"/>
      <sheetName val="71|Timeline"/>
      <sheetName val="80| Data Status"/>
      <sheetName val="90| Whiteboard"/>
      <sheetName val="100| Exhibit C"/>
      <sheetName val="110| Exhibit C data"/>
      <sheetName val="200| Budget Act"/>
      <sheetName val="210| EPA Budget"/>
      <sheetName val="220| Funds and Balances"/>
      <sheetName val="300| ApportChart-19-20CONF"/>
      <sheetName val="310| Memo Table"/>
      <sheetName val="400| CY Allocations"/>
      <sheetName val="401| Minimum Revenue rpt"/>
      <sheetName val="410| Exhibit R"/>
      <sheetName val="420| calc RevenueSources"/>
      <sheetName val="430| calc EPA Revenue"/>
      <sheetName val="440| Adjustments"/>
      <sheetName val="510| Base Allocation"/>
      <sheetName val="511| BasicAllocation"/>
      <sheetName val="512| FTES Allocation"/>
      <sheetName val="512.1| 10Districts higher rates"/>
      <sheetName val="520| SupplementalAllocation"/>
      <sheetName val="530| StudentSuccessAllocation"/>
      <sheetName val="600| calc Basic Allocation"/>
      <sheetName val="601| CollegeBasicAlloc"/>
      <sheetName val="601.1| PivotCollegeBasicAlloc"/>
      <sheetName val="602| CenterFunding"/>
      <sheetName val="610| calc FTES revenue"/>
      <sheetName val="611| FTES restore PY PPY PPPY"/>
      <sheetName val="612| Growth Target"/>
      <sheetName val="613| Growth - Demographics"/>
      <sheetName val="614| FTES Target"/>
      <sheetName val="710| FTES Data"/>
      <sheetName val="720| Supplemental Data"/>
      <sheetName val="730| Student Success 3 year avg"/>
      <sheetName val="800| FTES History"/>
      <sheetName val="801| 2019-20 Rates"/>
      <sheetName val="810| RatesSizesCollegesCenters"/>
      <sheetName val="811| RatesFTEStraditionalCredit"/>
      <sheetName val="812| RatesFTES-Incar-SpAdmit"/>
      <sheetName val="813| RatesFTES-CDCP-NC"/>
      <sheetName val="820| Rates-Supplemental"/>
      <sheetName val="830| Rates-StudentSuccess"/>
      <sheetName val="900| FTES-CY"/>
      <sheetName val="901| FTES-PY"/>
      <sheetName val="902| FTES-PPY"/>
      <sheetName val="903| FTES-PPPY"/>
      <sheetName val="910| IncarceratedCredit-CY"/>
      <sheetName val="911| IncarceratedCredit-PY"/>
      <sheetName val="912| IncarceratedCredit-PPY"/>
      <sheetName val="920| SpecialAdmitCredit-CY"/>
      <sheetName val="921| SpecialAdmitCredit-PY"/>
      <sheetName val="922| SpecialAdmitCredit-PPY"/>
      <sheetName val="930| CollegeFTES-CY"/>
      <sheetName val="931| CollegeFTES-PY"/>
      <sheetName val="932| CollegeFTES-PPY"/>
      <sheetName val="933| CollegeFTES-PPPY"/>
      <sheetName val="940| CenterFTES-CY"/>
      <sheetName val="941| CenterFTES-PY"/>
      <sheetName val="942| CenterFTES-PPY"/>
      <sheetName val="943| CenterFTES-PPPY"/>
      <sheetName val="950| AB540Headcount-PY"/>
      <sheetName val="961| Metric-PPY"/>
      <sheetName val="961.1| Transfer PPY"/>
      <sheetName val="951| Metric-PY"/>
      <sheetName val="952| Metric-PPY"/>
      <sheetName val="953| Metric-PPPY"/>
      <sheetName val="960| Property Tax"/>
      <sheetName val="970| Enrollment Fee"/>
      <sheetName val="980| FTFH"/>
      <sheetName val="990| 2017-18 TC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83">
          <cell r="B83">
            <v>59199</v>
          </cell>
          <cell r="C83">
            <v>448958</v>
          </cell>
          <cell r="D83">
            <v>988526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ersonal Mileage"/>
      <sheetName val="Vanpool RF"/>
      <sheetName val="health by cbid 67%"/>
      <sheetName val="5% GSI"/>
      <sheetName val="06-00"/>
      <sheetName val="Sheet2"/>
      <sheetName val="Sheet3"/>
      <sheetName val="Instru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F report"/>
      <sheetName val="Index"/>
      <sheetName val="EF2016-2017P1 (Estimate)"/>
      <sheetName val="EF2016-2017P2 (Estimate)"/>
      <sheetName val="EF2016-2017P3 (Actuals)"/>
      <sheetName val="Bachelor Degree Fees"/>
      <sheetName val=" Analysis for Estimates"/>
      <sheetName val="Draft_DOF reportformat"/>
      <sheetName val=" Analysis for Actuals"/>
      <sheetName val="98% Enrollment Fee Rev"/>
      <sheetName val="Use for Variances CCD "/>
      <sheetName val="State Center CCD"/>
      <sheetName val="Chaffey CCD"/>
      <sheetName val="Barstow CCD"/>
      <sheetName val="Sierra CC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ALLAN HANCOCK</v>
          </cell>
          <cell r="C8">
            <v>2734355</v>
          </cell>
          <cell r="D8">
            <v>0</v>
          </cell>
          <cell r="E8">
            <v>2734355</v>
          </cell>
          <cell r="F8">
            <v>0</v>
          </cell>
          <cell r="G8">
            <v>0</v>
          </cell>
          <cell r="H8">
            <v>0</v>
          </cell>
          <cell r="I8">
            <v>2734355</v>
          </cell>
          <cell r="J8">
            <v>0</v>
          </cell>
          <cell r="K8">
            <v>0</v>
          </cell>
          <cell r="L8">
            <v>0</v>
          </cell>
          <cell r="M8">
            <v>2734355</v>
          </cell>
        </row>
        <row r="9">
          <cell r="B9" t="str">
            <v>ANTELOPE VALLEY</v>
          </cell>
          <cell r="C9">
            <v>2382807</v>
          </cell>
          <cell r="D9">
            <v>117536</v>
          </cell>
          <cell r="E9">
            <v>2500343</v>
          </cell>
          <cell r="F9">
            <v>0</v>
          </cell>
          <cell r="G9">
            <v>0</v>
          </cell>
          <cell r="H9">
            <v>0</v>
          </cell>
          <cell r="I9">
            <v>2500343</v>
          </cell>
          <cell r="J9">
            <v>0</v>
          </cell>
          <cell r="K9">
            <v>0</v>
          </cell>
          <cell r="L9">
            <v>0</v>
          </cell>
          <cell r="M9">
            <v>2500343</v>
          </cell>
        </row>
        <row r="10">
          <cell r="B10" t="str">
            <v>BARSTOW</v>
          </cell>
          <cell r="C10">
            <v>434517</v>
          </cell>
          <cell r="D10">
            <v>110582</v>
          </cell>
          <cell r="E10">
            <v>545099</v>
          </cell>
          <cell r="F10">
            <v>0</v>
          </cell>
          <cell r="G10">
            <v>0</v>
          </cell>
          <cell r="H10">
            <v>0</v>
          </cell>
          <cell r="I10">
            <v>545099</v>
          </cell>
          <cell r="J10">
            <v>0</v>
          </cell>
          <cell r="K10">
            <v>0</v>
          </cell>
          <cell r="L10">
            <v>0</v>
          </cell>
          <cell r="M10">
            <v>545099</v>
          </cell>
        </row>
        <row r="11">
          <cell r="B11" t="str">
            <v>BUTTE</v>
          </cell>
          <cell r="C11">
            <v>3282553</v>
          </cell>
          <cell r="D11">
            <v>172766</v>
          </cell>
          <cell r="E11">
            <v>3455319</v>
          </cell>
          <cell r="F11">
            <v>0</v>
          </cell>
          <cell r="G11">
            <v>0</v>
          </cell>
          <cell r="H11">
            <v>0</v>
          </cell>
          <cell r="I11">
            <v>3455319</v>
          </cell>
          <cell r="J11">
            <v>0</v>
          </cell>
          <cell r="K11">
            <v>0</v>
          </cell>
          <cell r="L11">
            <v>0</v>
          </cell>
          <cell r="M11">
            <v>3455319</v>
          </cell>
        </row>
        <row r="12">
          <cell r="B12" t="str">
            <v>CABRILLO</v>
          </cell>
          <cell r="C12">
            <v>2344401</v>
          </cell>
          <cell r="D12">
            <v>2231422</v>
          </cell>
          <cell r="E12">
            <v>4575823</v>
          </cell>
          <cell r="F12">
            <v>0</v>
          </cell>
          <cell r="G12">
            <v>0</v>
          </cell>
          <cell r="H12">
            <v>0</v>
          </cell>
          <cell r="I12">
            <v>4575823</v>
          </cell>
          <cell r="J12">
            <v>0</v>
          </cell>
          <cell r="K12">
            <v>0</v>
          </cell>
          <cell r="L12">
            <v>0</v>
          </cell>
          <cell r="M12">
            <v>4575823</v>
          </cell>
        </row>
        <row r="13">
          <cell r="B13" t="str">
            <v>CERRITOS</v>
          </cell>
          <cell r="C13">
            <v>4614697</v>
          </cell>
          <cell r="D13">
            <v>0</v>
          </cell>
          <cell r="E13">
            <v>4614697</v>
          </cell>
          <cell r="F13">
            <v>0</v>
          </cell>
          <cell r="G13">
            <v>0</v>
          </cell>
          <cell r="H13">
            <v>0</v>
          </cell>
          <cell r="I13">
            <v>4614697</v>
          </cell>
          <cell r="J13">
            <v>0</v>
          </cell>
          <cell r="K13">
            <v>0</v>
          </cell>
          <cell r="L13">
            <v>0</v>
          </cell>
          <cell r="M13">
            <v>4614697</v>
          </cell>
        </row>
        <row r="14">
          <cell r="B14" t="str">
            <v>CHABOT-LAS POSITAS</v>
          </cell>
          <cell r="C14">
            <v>10028649</v>
          </cell>
          <cell r="D14">
            <v>0</v>
          </cell>
          <cell r="E14">
            <v>10028649</v>
          </cell>
          <cell r="F14">
            <v>0</v>
          </cell>
          <cell r="G14">
            <v>0</v>
          </cell>
          <cell r="H14">
            <v>0</v>
          </cell>
          <cell r="I14">
            <v>10028649</v>
          </cell>
          <cell r="J14">
            <v>0</v>
          </cell>
          <cell r="K14">
            <v>0</v>
          </cell>
          <cell r="L14">
            <v>0</v>
          </cell>
          <cell r="M14">
            <v>10028649</v>
          </cell>
        </row>
        <row r="15">
          <cell r="B15" t="str">
            <v>CHAFFEY</v>
          </cell>
          <cell r="C15">
            <v>4684451</v>
          </cell>
          <cell r="D15">
            <v>1423471</v>
          </cell>
          <cell r="E15">
            <v>6107922</v>
          </cell>
          <cell r="F15">
            <v>0</v>
          </cell>
          <cell r="G15">
            <v>0</v>
          </cell>
          <cell r="H15">
            <v>0</v>
          </cell>
          <cell r="I15">
            <v>6107922</v>
          </cell>
          <cell r="J15">
            <v>0</v>
          </cell>
          <cell r="K15">
            <v>0</v>
          </cell>
          <cell r="L15">
            <v>0</v>
          </cell>
          <cell r="M15">
            <v>6107922</v>
          </cell>
        </row>
        <row r="16">
          <cell r="B16" t="str">
            <v>CITRUS</v>
          </cell>
          <cell r="C16">
            <v>4907307</v>
          </cell>
          <cell r="D16">
            <v>61360</v>
          </cell>
          <cell r="E16">
            <v>4968667</v>
          </cell>
          <cell r="F16">
            <v>0</v>
          </cell>
          <cell r="G16">
            <v>0</v>
          </cell>
          <cell r="H16">
            <v>0</v>
          </cell>
          <cell r="I16">
            <v>4968667</v>
          </cell>
          <cell r="J16">
            <v>0</v>
          </cell>
          <cell r="K16">
            <v>0</v>
          </cell>
          <cell r="L16">
            <v>0</v>
          </cell>
          <cell r="M16">
            <v>4968667</v>
          </cell>
        </row>
        <row r="17">
          <cell r="B17" t="str">
            <v>COAST</v>
          </cell>
          <cell r="C17">
            <v>16787613</v>
          </cell>
          <cell r="D17">
            <v>265560</v>
          </cell>
          <cell r="E17">
            <v>17053173</v>
          </cell>
          <cell r="F17">
            <v>0</v>
          </cell>
          <cell r="G17">
            <v>0</v>
          </cell>
          <cell r="H17">
            <v>0</v>
          </cell>
          <cell r="I17">
            <v>17053173</v>
          </cell>
          <cell r="J17">
            <v>0</v>
          </cell>
          <cell r="K17">
            <v>0</v>
          </cell>
          <cell r="L17">
            <v>0</v>
          </cell>
          <cell r="M17">
            <v>17053173</v>
          </cell>
        </row>
        <row r="18">
          <cell r="B18" t="str">
            <v>COMPTON</v>
          </cell>
          <cell r="C18">
            <v>688250</v>
          </cell>
          <cell r="D18">
            <v>209675</v>
          </cell>
          <cell r="E18">
            <v>897925</v>
          </cell>
          <cell r="F18">
            <v>0</v>
          </cell>
          <cell r="G18">
            <v>0</v>
          </cell>
          <cell r="H18">
            <v>0</v>
          </cell>
          <cell r="I18">
            <v>897925</v>
          </cell>
          <cell r="J18">
            <v>0</v>
          </cell>
          <cell r="K18">
            <v>0</v>
          </cell>
          <cell r="L18">
            <v>0</v>
          </cell>
          <cell r="M18">
            <v>897925</v>
          </cell>
        </row>
        <row r="19">
          <cell r="B19" t="str">
            <v>CONTRA COSTA</v>
          </cell>
          <cell r="C19">
            <v>16605910</v>
          </cell>
          <cell r="D19">
            <v>0</v>
          </cell>
          <cell r="E19">
            <v>16605910</v>
          </cell>
          <cell r="F19">
            <v>0</v>
          </cell>
          <cell r="G19">
            <v>0</v>
          </cell>
          <cell r="H19">
            <v>0</v>
          </cell>
          <cell r="I19">
            <v>16605910</v>
          </cell>
          <cell r="J19">
            <v>0</v>
          </cell>
          <cell r="K19">
            <v>0</v>
          </cell>
          <cell r="L19">
            <v>0</v>
          </cell>
          <cell r="M19">
            <v>16605910</v>
          </cell>
        </row>
        <row r="20">
          <cell r="B20" t="str">
            <v>COPPER MOUNTAIN</v>
          </cell>
          <cell r="C20">
            <v>225239</v>
          </cell>
          <cell r="D20">
            <v>0</v>
          </cell>
          <cell r="E20">
            <v>225239</v>
          </cell>
          <cell r="F20">
            <v>0</v>
          </cell>
          <cell r="G20">
            <v>0</v>
          </cell>
          <cell r="H20">
            <v>0</v>
          </cell>
          <cell r="I20">
            <v>225239</v>
          </cell>
          <cell r="J20">
            <v>0</v>
          </cell>
          <cell r="K20">
            <v>0</v>
          </cell>
          <cell r="L20">
            <v>0</v>
          </cell>
          <cell r="M20">
            <v>225239</v>
          </cell>
        </row>
        <row r="21">
          <cell r="B21" t="str">
            <v>DESERT</v>
          </cell>
          <cell r="C21">
            <v>2381343</v>
          </cell>
          <cell r="D21">
            <v>0</v>
          </cell>
          <cell r="E21">
            <v>2381343</v>
          </cell>
          <cell r="F21">
            <v>0</v>
          </cell>
          <cell r="G21">
            <v>0</v>
          </cell>
          <cell r="H21">
            <v>0</v>
          </cell>
          <cell r="I21">
            <v>2381343</v>
          </cell>
          <cell r="J21">
            <v>0</v>
          </cell>
          <cell r="K21">
            <v>0</v>
          </cell>
          <cell r="L21">
            <v>0</v>
          </cell>
          <cell r="M21">
            <v>2381343</v>
          </cell>
        </row>
        <row r="22">
          <cell r="B22" t="str">
            <v>EL CAMINO</v>
          </cell>
          <cell r="C22">
            <v>7894991</v>
          </cell>
          <cell r="D22">
            <v>530902</v>
          </cell>
          <cell r="E22">
            <v>8425893</v>
          </cell>
          <cell r="F22">
            <v>0</v>
          </cell>
          <cell r="G22">
            <v>0</v>
          </cell>
          <cell r="H22">
            <v>0</v>
          </cell>
          <cell r="I22">
            <v>8425893</v>
          </cell>
          <cell r="J22">
            <v>0</v>
          </cell>
          <cell r="K22">
            <v>0</v>
          </cell>
          <cell r="L22">
            <v>0</v>
          </cell>
          <cell r="M22">
            <v>8425893</v>
          </cell>
        </row>
        <row r="23">
          <cell r="B23" t="str">
            <v>FEATHER RIVER</v>
          </cell>
          <cell r="C23">
            <v>551284</v>
          </cell>
          <cell r="D23">
            <v>26311</v>
          </cell>
          <cell r="E23">
            <v>577595</v>
          </cell>
          <cell r="F23">
            <v>0</v>
          </cell>
          <cell r="G23">
            <v>0</v>
          </cell>
          <cell r="H23">
            <v>0</v>
          </cell>
          <cell r="I23">
            <v>577595</v>
          </cell>
          <cell r="J23">
            <v>31080</v>
          </cell>
          <cell r="K23">
            <v>1344</v>
          </cell>
          <cell r="L23">
            <v>32424</v>
          </cell>
          <cell r="M23">
            <v>610019</v>
          </cell>
        </row>
        <row r="24">
          <cell r="B24" t="str">
            <v>FOOTHILL-DEANZA</v>
          </cell>
          <cell r="C24">
            <v>21919139</v>
          </cell>
          <cell r="D24">
            <v>630384</v>
          </cell>
          <cell r="E24">
            <v>22549523</v>
          </cell>
          <cell r="F24">
            <v>0</v>
          </cell>
          <cell r="G24">
            <v>0</v>
          </cell>
          <cell r="H24">
            <v>0</v>
          </cell>
          <cell r="I24">
            <v>22549523</v>
          </cell>
          <cell r="J24">
            <v>0</v>
          </cell>
          <cell r="K24">
            <v>0</v>
          </cell>
          <cell r="L24">
            <v>0</v>
          </cell>
          <cell r="M24">
            <v>22549523</v>
          </cell>
        </row>
        <row r="25">
          <cell r="B25" t="str">
            <v>GAVILAN</v>
          </cell>
          <cell r="C25">
            <v>2173904</v>
          </cell>
          <cell r="D25">
            <v>0</v>
          </cell>
          <cell r="E25">
            <v>2173904</v>
          </cell>
          <cell r="F25">
            <v>0</v>
          </cell>
          <cell r="G25">
            <v>0</v>
          </cell>
          <cell r="H25">
            <v>0</v>
          </cell>
          <cell r="I25">
            <v>2173904</v>
          </cell>
          <cell r="J25">
            <v>0</v>
          </cell>
          <cell r="K25">
            <v>0</v>
          </cell>
          <cell r="L25">
            <v>0</v>
          </cell>
          <cell r="M25">
            <v>2173904</v>
          </cell>
        </row>
        <row r="26">
          <cell r="B26" t="str">
            <v>GLENDALE</v>
          </cell>
          <cell r="C26">
            <v>4323207</v>
          </cell>
          <cell r="D26">
            <v>217186</v>
          </cell>
          <cell r="E26">
            <v>4540393</v>
          </cell>
          <cell r="F26">
            <v>0</v>
          </cell>
          <cell r="G26">
            <v>0</v>
          </cell>
          <cell r="H26">
            <v>0</v>
          </cell>
          <cell r="I26">
            <v>4540393</v>
          </cell>
          <cell r="J26">
            <v>0</v>
          </cell>
          <cell r="K26">
            <v>0</v>
          </cell>
          <cell r="L26">
            <v>0</v>
          </cell>
          <cell r="M26">
            <v>4540393</v>
          </cell>
        </row>
        <row r="27">
          <cell r="B27" t="str">
            <v>GROSSMONT-CUYAMACA</v>
          </cell>
          <cell r="C27">
            <v>7200877</v>
          </cell>
          <cell r="D27">
            <v>311552</v>
          </cell>
          <cell r="E27">
            <v>7512429</v>
          </cell>
          <cell r="F27">
            <v>0</v>
          </cell>
          <cell r="G27">
            <v>0</v>
          </cell>
          <cell r="H27">
            <v>0</v>
          </cell>
          <cell r="I27">
            <v>7512429</v>
          </cell>
          <cell r="J27">
            <v>0</v>
          </cell>
          <cell r="K27">
            <v>0</v>
          </cell>
          <cell r="L27">
            <v>0</v>
          </cell>
          <cell r="M27">
            <v>7512429</v>
          </cell>
        </row>
        <row r="28">
          <cell r="B28" t="str">
            <v>HARTNELL</v>
          </cell>
          <cell r="C28">
            <v>2130246</v>
          </cell>
          <cell r="D28">
            <v>0</v>
          </cell>
          <cell r="E28">
            <v>2130246</v>
          </cell>
          <cell r="F28">
            <v>0</v>
          </cell>
          <cell r="G28">
            <v>0</v>
          </cell>
          <cell r="H28">
            <v>0</v>
          </cell>
          <cell r="I28">
            <v>2130246</v>
          </cell>
          <cell r="J28">
            <v>0</v>
          </cell>
          <cell r="K28">
            <v>0</v>
          </cell>
          <cell r="L28">
            <v>0</v>
          </cell>
          <cell r="M28">
            <v>2130246</v>
          </cell>
        </row>
        <row r="29">
          <cell r="B29" t="str">
            <v>IMPERIAL</v>
          </cell>
          <cell r="C29">
            <v>1080072</v>
          </cell>
          <cell r="D29">
            <v>223807</v>
          </cell>
          <cell r="E29">
            <v>1303879</v>
          </cell>
          <cell r="F29">
            <v>0</v>
          </cell>
          <cell r="G29">
            <v>0</v>
          </cell>
          <cell r="H29">
            <v>0</v>
          </cell>
          <cell r="I29">
            <v>1303879</v>
          </cell>
          <cell r="J29">
            <v>0</v>
          </cell>
          <cell r="K29">
            <v>0</v>
          </cell>
          <cell r="L29">
            <v>0</v>
          </cell>
          <cell r="M29">
            <v>1303879</v>
          </cell>
        </row>
        <row r="30">
          <cell r="B30" t="str">
            <v>KERN</v>
          </cell>
          <cell r="C30">
            <v>5805241</v>
          </cell>
          <cell r="D30">
            <v>550640</v>
          </cell>
          <cell r="E30">
            <v>6355881</v>
          </cell>
          <cell r="F30">
            <v>0</v>
          </cell>
          <cell r="G30">
            <v>0</v>
          </cell>
          <cell r="H30">
            <v>0</v>
          </cell>
          <cell r="I30">
            <v>6355881</v>
          </cell>
          <cell r="J30">
            <v>23688</v>
          </cell>
          <cell r="K30">
            <v>0</v>
          </cell>
          <cell r="L30">
            <v>23688</v>
          </cell>
          <cell r="M30">
            <v>6379569</v>
          </cell>
        </row>
        <row r="31">
          <cell r="B31" t="str">
            <v>LAKE TAHOE</v>
          </cell>
          <cell r="C31">
            <v>765882</v>
          </cell>
          <cell r="D31">
            <v>14779</v>
          </cell>
          <cell r="E31">
            <v>780661</v>
          </cell>
          <cell r="F31">
            <v>32521</v>
          </cell>
          <cell r="G31">
            <v>1773</v>
          </cell>
          <cell r="H31">
            <v>34294</v>
          </cell>
          <cell r="I31">
            <v>814955</v>
          </cell>
          <cell r="J31">
            <v>0</v>
          </cell>
          <cell r="K31">
            <v>0</v>
          </cell>
          <cell r="L31">
            <v>0</v>
          </cell>
          <cell r="M31">
            <v>814955</v>
          </cell>
        </row>
        <row r="32">
          <cell r="B32" t="str">
            <v>LASSEN</v>
          </cell>
          <cell r="C32">
            <v>452451</v>
          </cell>
          <cell r="D32">
            <v>0</v>
          </cell>
          <cell r="E32">
            <v>452451</v>
          </cell>
          <cell r="F32">
            <v>0</v>
          </cell>
          <cell r="G32">
            <v>0</v>
          </cell>
          <cell r="H32">
            <v>0</v>
          </cell>
          <cell r="I32">
            <v>452451</v>
          </cell>
          <cell r="J32">
            <v>0</v>
          </cell>
          <cell r="K32">
            <v>0</v>
          </cell>
          <cell r="L32">
            <v>0</v>
          </cell>
          <cell r="M32">
            <v>452451</v>
          </cell>
        </row>
        <row r="33">
          <cell r="B33" t="str">
            <v>LONG BEACH</v>
          </cell>
          <cell r="C33">
            <v>5740464</v>
          </cell>
          <cell r="D33">
            <v>609123</v>
          </cell>
          <cell r="E33">
            <v>6349587</v>
          </cell>
          <cell r="F33">
            <v>0</v>
          </cell>
          <cell r="G33">
            <v>0</v>
          </cell>
          <cell r="H33">
            <v>0</v>
          </cell>
          <cell r="I33">
            <v>6349587</v>
          </cell>
          <cell r="J33">
            <v>0</v>
          </cell>
          <cell r="K33">
            <v>0</v>
          </cell>
          <cell r="L33">
            <v>0</v>
          </cell>
          <cell r="M33">
            <v>6349587</v>
          </cell>
        </row>
        <row r="34">
          <cell r="B34" t="str">
            <v>LOS ANGELES</v>
          </cell>
          <cell r="C34">
            <v>25916768</v>
          </cell>
          <cell r="D34">
            <v>7230439</v>
          </cell>
          <cell r="E34">
            <v>33147207</v>
          </cell>
          <cell r="F34">
            <v>0</v>
          </cell>
          <cell r="G34">
            <v>0</v>
          </cell>
          <cell r="H34">
            <v>0</v>
          </cell>
          <cell r="I34">
            <v>33147207</v>
          </cell>
          <cell r="J34">
            <v>43512</v>
          </cell>
          <cell r="K34">
            <v>0</v>
          </cell>
          <cell r="L34">
            <v>43512</v>
          </cell>
          <cell r="M34">
            <v>33190719</v>
          </cell>
        </row>
        <row r="35">
          <cell r="B35" t="str">
            <v>LOS RIOS</v>
          </cell>
          <cell r="C35">
            <v>16444249</v>
          </cell>
          <cell r="D35">
            <v>481733</v>
          </cell>
          <cell r="E35">
            <v>16925982</v>
          </cell>
          <cell r="F35">
            <v>0</v>
          </cell>
          <cell r="G35">
            <v>0</v>
          </cell>
          <cell r="H35">
            <v>0</v>
          </cell>
          <cell r="I35">
            <v>16925982</v>
          </cell>
          <cell r="J35">
            <v>0</v>
          </cell>
          <cell r="K35">
            <v>0</v>
          </cell>
          <cell r="L35">
            <v>0</v>
          </cell>
          <cell r="M35">
            <v>16925982</v>
          </cell>
        </row>
        <row r="36">
          <cell r="B36" t="str">
            <v>MARIN</v>
          </cell>
          <cell r="C36">
            <v>2028432</v>
          </cell>
          <cell r="D36">
            <v>39271</v>
          </cell>
          <cell r="E36">
            <v>2067703</v>
          </cell>
          <cell r="F36">
            <v>0</v>
          </cell>
          <cell r="G36">
            <v>0</v>
          </cell>
          <cell r="H36">
            <v>0</v>
          </cell>
          <cell r="I36">
            <v>2067703</v>
          </cell>
          <cell r="J36">
            <v>0</v>
          </cell>
          <cell r="K36">
            <v>0</v>
          </cell>
          <cell r="L36">
            <v>0</v>
          </cell>
          <cell r="M36">
            <v>2067703</v>
          </cell>
        </row>
        <row r="37">
          <cell r="B37" t="str">
            <v>MENDOCINO-LAKE</v>
          </cell>
          <cell r="C37">
            <v>763968</v>
          </cell>
          <cell r="D37">
            <v>0</v>
          </cell>
          <cell r="E37">
            <v>763968</v>
          </cell>
          <cell r="F37">
            <v>0</v>
          </cell>
          <cell r="G37">
            <v>0</v>
          </cell>
          <cell r="H37">
            <v>0</v>
          </cell>
          <cell r="I37">
            <v>763968</v>
          </cell>
          <cell r="J37">
            <v>0</v>
          </cell>
          <cell r="K37">
            <v>0</v>
          </cell>
          <cell r="L37">
            <v>0</v>
          </cell>
          <cell r="M37">
            <v>763968</v>
          </cell>
        </row>
        <row r="38">
          <cell r="B38" t="str">
            <v>MERCED</v>
          </cell>
          <cell r="C38">
            <v>2530279</v>
          </cell>
          <cell r="D38">
            <v>0</v>
          </cell>
          <cell r="E38">
            <v>2530279</v>
          </cell>
          <cell r="F38">
            <v>0</v>
          </cell>
          <cell r="G38">
            <v>0</v>
          </cell>
          <cell r="H38">
            <v>0</v>
          </cell>
          <cell r="I38">
            <v>2530279</v>
          </cell>
          <cell r="J38">
            <v>0</v>
          </cell>
          <cell r="K38">
            <v>0</v>
          </cell>
          <cell r="L38">
            <v>0</v>
          </cell>
          <cell r="M38">
            <v>2530279</v>
          </cell>
        </row>
        <row r="39">
          <cell r="B39" t="str">
            <v>MIRACOSTA</v>
          </cell>
          <cell r="C39">
            <v>5838785</v>
          </cell>
          <cell r="D39">
            <v>0</v>
          </cell>
          <cell r="E39">
            <v>5838785</v>
          </cell>
          <cell r="F39">
            <v>0</v>
          </cell>
          <cell r="G39">
            <v>0</v>
          </cell>
          <cell r="H39">
            <v>0</v>
          </cell>
          <cell r="I39">
            <v>5838785</v>
          </cell>
          <cell r="J39">
            <v>0</v>
          </cell>
          <cell r="K39">
            <v>0</v>
          </cell>
          <cell r="L39">
            <v>0</v>
          </cell>
          <cell r="M39">
            <v>5838785</v>
          </cell>
        </row>
        <row r="40">
          <cell r="B40" t="str">
            <v>MONTEREY</v>
          </cell>
          <cell r="C40">
            <v>2787143</v>
          </cell>
          <cell r="D40">
            <v>163739</v>
          </cell>
          <cell r="E40">
            <v>2950882</v>
          </cell>
          <cell r="F40">
            <v>0</v>
          </cell>
          <cell r="G40">
            <v>0</v>
          </cell>
          <cell r="H40">
            <v>0</v>
          </cell>
          <cell r="I40">
            <v>2950882</v>
          </cell>
          <cell r="J40">
            <v>0</v>
          </cell>
          <cell r="K40">
            <v>0</v>
          </cell>
          <cell r="L40">
            <v>0</v>
          </cell>
          <cell r="M40">
            <v>2950882</v>
          </cell>
        </row>
        <row r="41">
          <cell r="B41" t="str">
            <v>MT. SAN ANTONIO</v>
          </cell>
          <cell r="C41">
            <v>9016970</v>
          </cell>
          <cell r="D41">
            <v>311225</v>
          </cell>
          <cell r="E41">
            <v>9328195</v>
          </cell>
          <cell r="F41">
            <v>0</v>
          </cell>
          <cell r="G41">
            <v>0</v>
          </cell>
          <cell r="H41">
            <v>0</v>
          </cell>
          <cell r="I41">
            <v>9328195</v>
          </cell>
          <cell r="J41">
            <v>0</v>
          </cell>
          <cell r="K41">
            <v>0</v>
          </cell>
          <cell r="L41">
            <v>0</v>
          </cell>
          <cell r="M41">
            <v>9328195</v>
          </cell>
        </row>
        <row r="42">
          <cell r="B42" t="str">
            <v>MT. SAN JACINTO</v>
          </cell>
          <cell r="C42">
            <v>3071825</v>
          </cell>
          <cell r="D42">
            <v>401930</v>
          </cell>
          <cell r="E42">
            <v>3473755</v>
          </cell>
          <cell r="F42">
            <v>0</v>
          </cell>
          <cell r="G42">
            <v>0</v>
          </cell>
          <cell r="H42">
            <v>0</v>
          </cell>
          <cell r="I42">
            <v>3473755</v>
          </cell>
          <cell r="J42">
            <v>0</v>
          </cell>
          <cell r="K42">
            <v>0</v>
          </cell>
          <cell r="L42">
            <v>0</v>
          </cell>
          <cell r="M42">
            <v>3473755</v>
          </cell>
        </row>
        <row r="43">
          <cell r="B43" t="str">
            <v>NAPA</v>
          </cell>
          <cell r="C43">
            <v>1852254</v>
          </cell>
          <cell r="D43">
            <v>369229</v>
          </cell>
          <cell r="E43">
            <v>2221483</v>
          </cell>
          <cell r="F43">
            <v>0</v>
          </cell>
          <cell r="G43">
            <v>0</v>
          </cell>
          <cell r="H43">
            <v>0</v>
          </cell>
          <cell r="I43">
            <v>2221483</v>
          </cell>
          <cell r="J43">
            <v>0</v>
          </cell>
          <cell r="K43">
            <v>0</v>
          </cell>
          <cell r="L43">
            <v>0</v>
          </cell>
          <cell r="M43">
            <v>2221483</v>
          </cell>
        </row>
        <row r="44">
          <cell r="B44" t="str">
            <v>NORTH ORANGE</v>
          </cell>
          <cell r="C44">
            <v>12897627</v>
          </cell>
          <cell r="D44">
            <v>249495</v>
          </cell>
          <cell r="E44">
            <v>13147122</v>
          </cell>
          <cell r="F44">
            <v>0</v>
          </cell>
          <cell r="G44">
            <v>0</v>
          </cell>
          <cell r="H44">
            <v>0</v>
          </cell>
          <cell r="I44">
            <v>13147122</v>
          </cell>
          <cell r="J44">
            <v>0</v>
          </cell>
          <cell r="K44">
            <v>0</v>
          </cell>
          <cell r="L44">
            <v>0</v>
          </cell>
          <cell r="M44">
            <v>13147122</v>
          </cell>
        </row>
        <row r="45">
          <cell r="B45" t="str">
            <v>OHLONE</v>
          </cell>
          <cell r="C45">
            <v>4689294</v>
          </cell>
          <cell r="D45">
            <v>81728</v>
          </cell>
          <cell r="E45">
            <v>4771022</v>
          </cell>
          <cell r="F45">
            <v>0</v>
          </cell>
          <cell r="G45">
            <v>0</v>
          </cell>
          <cell r="H45">
            <v>0</v>
          </cell>
          <cell r="I45">
            <v>4771022</v>
          </cell>
          <cell r="J45">
            <v>0</v>
          </cell>
          <cell r="K45">
            <v>0</v>
          </cell>
          <cell r="L45">
            <v>0</v>
          </cell>
          <cell r="M45">
            <v>4771022</v>
          </cell>
        </row>
        <row r="46">
          <cell r="B46" t="str">
            <v>PALO VERDE</v>
          </cell>
          <cell r="C46">
            <v>439447</v>
          </cell>
          <cell r="D46">
            <v>66355</v>
          </cell>
          <cell r="E46">
            <v>505802</v>
          </cell>
          <cell r="F46">
            <v>7108</v>
          </cell>
          <cell r="G46">
            <v>0</v>
          </cell>
          <cell r="H46">
            <v>7108</v>
          </cell>
          <cell r="I46">
            <v>512910</v>
          </cell>
          <cell r="J46">
            <v>0</v>
          </cell>
          <cell r="K46">
            <v>0</v>
          </cell>
          <cell r="L46">
            <v>0</v>
          </cell>
          <cell r="M46">
            <v>512910</v>
          </cell>
        </row>
        <row r="47">
          <cell r="B47" t="str">
            <v>PALOMAR</v>
          </cell>
          <cell r="C47">
            <v>6895696</v>
          </cell>
          <cell r="D47">
            <v>2149452</v>
          </cell>
          <cell r="E47">
            <v>9045148</v>
          </cell>
          <cell r="F47">
            <v>0</v>
          </cell>
          <cell r="G47">
            <v>0</v>
          </cell>
          <cell r="H47">
            <v>0</v>
          </cell>
          <cell r="I47">
            <v>9045148</v>
          </cell>
          <cell r="J47">
            <v>0</v>
          </cell>
          <cell r="K47">
            <v>0</v>
          </cell>
          <cell r="L47">
            <v>0</v>
          </cell>
          <cell r="M47">
            <v>9045148</v>
          </cell>
        </row>
        <row r="48">
          <cell r="B48" t="str">
            <v>PASADENA</v>
          </cell>
          <cell r="C48">
            <v>8855063</v>
          </cell>
          <cell r="D48">
            <v>996032</v>
          </cell>
          <cell r="E48">
            <v>9851095</v>
          </cell>
          <cell r="F48">
            <v>0</v>
          </cell>
          <cell r="G48">
            <v>0</v>
          </cell>
          <cell r="H48">
            <v>0</v>
          </cell>
          <cell r="I48">
            <v>9851095</v>
          </cell>
          <cell r="J48">
            <v>0</v>
          </cell>
          <cell r="K48">
            <v>0</v>
          </cell>
          <cell r="L48">
            <v>0</v>
          </cell>
          <cell r="M48">
            <v>9851095</v>
          </cell>
        </row>
        <row r="49">
          <cell r="B49" t="str">
            <v>PERALTA</v>
          </cell>
          <cell r="C49">
            <v>3105857</v>
          </cell>
          <cell r="D49">
            <v>3518337</v>
          </cell>
          <cell r="E49">
            <v>6624194</v>
          </cell>
          <cell r="F49">
            <v>0</v>
          </cell>
          <cell r="G49">
            <v>0</v>
          </cell>
          <cell r="H49">
            <v>0</v>
          </cell>
          <cell r="I49">
            <v>6624194</v>
          </cell>
          <cell r="J49">
            <v>0</v>
          </cell>
          <cell r="K49">
            <v>0</v>
          </cell>
          <cell r="L49">
            <v>0</v>
          </cell>
          <cell r="M49">
            <v>6624194</v>
          </cell>
        </row>
        <row r="50">
          <cell r="B50" t="str">
            <v>RANCHO SANTIAGO</v>
          </cell>
          <cell r="C50">
            <v>8579276</v>
          </cell>
          <cell r="D50">
            <v>458339</v>
          </cell>
          <cell r="E50">
            <v>9037615</v>
          </cell>
          <cell r="F50">
            <v>0</v>
          </cell>
          <cell r="G50">
            <v>0</v>
          </cell>
          <cell r="H50">
            <v>0</v>
          </cell>
          <cell r="I50">
            <v>9037615</v>
          </cell>
          <cell r="J50">
            <v>0</v>
          </cell>
          <cell r="K50">
            <v>0</v>
          </cell>
          <cell r="L50">
            <v>0</v>
          </cell>
          <cell r="M50">
            <v>9037615</v>
          </cell>
        </row>
        <row r="51">
          <cell r="B51" t="str">
            <v>REDWOODS</v>
          </cell>
          <cell r="C51">
            <v>876952</v>
          </cell>
          <cell r="D51">
            <v>346494</v>
          </cell>
          <cell r="E51">
            <v>1223446</v>
          </cell>
          <cell r="F51">
            <v>0</v>
          </cell>
          <cell r="G51">
            <v>0</v>
          </cell>
          <cell r="H51">
            <v>0</v>
          </cell>
          <cell r="I51">
            <v>1223446</v>
          </cell>
          <cell r="J51">
            <v>0</v>
          </cell>
          <cell r="K51">
            <v>0</v>
          </cell>
          <cell r="L51">
            <v>0</v>
          </cell>
          <cell r="M51">
            <v>1223446</v>
          </cell>
        </row>
        <row r="52">
          <cell r="B52" t="str">
            <v>RIO HONDO</v>
          </cell>
          <cell r="C52">
            <v>3989160</v>
          </cell>
          <cell r="D52">
            <v>0</v>
          </cell>
          <cell r="E52">
            <v>3989160</v>
          </cell>
          <cell r="F52">
            <v>0</v>
          </cell>
          <cell r="G52">
            <v>0</v>
          </cell>
          <cell r="H52">
            <v>0</v>
          </cell>
          <cell r="I52">
            <v>3989160</v>
          </cell>
          <cell r="J52">
            <v>0</v>
          </cell>
          <cell r="K52">
            <v>0</v>
          </cell>
          <cell r="L52">
            <v>0</v>
          </cell>
          <cell r="M52">
            <v>3989160</v>
          </cell>
        </row>
        <row r="53">
          <cell r="B53" t="str">
            <v>RIVERSIDE</v>
          </cell>
          <cell r="C53">
            <v>9624243</v>
          </cell>
          <cell r="D53">
            <v>719026</v>
          </cell>
          <cell r="E53">
            <v>10343269</v>
          </cell>
          <cell r="F53">
            <v>0</v>
          </cell>
          <cell r="G53">
            <v>0</v>
          </cell>
          <cell r="H53">
            <v>0</v>
          </cell>
          <cell r="I53">
            <v>10343269</v>
          </cell>
          <cell r="J53">
            <v>0</v>
          </cell>
          <cell r="K53">
            <v>0</v>
          </cell>
          <cell r="L53">
            <v>0</v>
          </cell>
          <cell r="M53">
            <v>10343269</v>
          </cell>
        </row>
        <row r="54">
          <cell r="B54" t="str">
            <v>SAN BERNARDINO</v>
          </cell>
          <cell r="C54">
            <v>3877444</v>
          </cell>
          <cell r="D54">
            <v>1270711</v>
          </cell>
          <cell r="E54">
            <v>5148155</v>
          </cell>
          <cell r="F54">
            <v>0</v>
          </cell>
          <cell r="G54">
            <v>0</v>
          </cell>
          <cell r="H54">
            <v>0</v>
          </cell>
          <cell r="I54">
            <v>5148155</v>
          </cell>
          <cell r="J54">
            <v>0</v>
          </cell>
          <cell r="K54">
            <v>0</v>
          </cell>
          <cell r="L54">
            <v>0</v>
          </cell>
          <cell r="M54">
            <v>5148155</v>
          </cell>
        </row>
        <row r="55">
          <cell r="B55" t="str">
            <v>SAN DIEGO</v>
          </cell>
          <cell r="C55">
            <v>13808582</v>
          </cell>
          <cell r="D55">
            <v>0</v>
          </cell>
          <cell r="E55">
            <v>13808582</v>
          </cell>
          <cell r="F55">
            <v>0</v>
          </cell>
          <cell r="G55">
            <v>0</v>
          </cell>
          <cell r="H55">
            <v>0</v>
          </cell>
          <cell r="I55">
            <v>13808582</v>
          </cell>
          <cell r="J55">
            <v>39144</v>
          </cell>
          <cell r="K55">
            <v>0</v>
          </cell>
          <cell r="L55">
            <v>39144</v>
          </cell>
          <cell r="M55">
            <v>13847726</v>
          </cell>
        </row>
        <row r="56">
          <cell r="B56" t="str">
            <v>SAN FRANCISCO</v>
          </cell>
          <cell r="C56">
            <v>8741670</v>
          </cell>
          <cell r="D56">
            <v>769562</v>
          </cell>
          <cell r="E56">
            <v>9511232</v>
          </cell>
          <cell r="F56">
            <v>0</v>
          </cell>
          <cell r="G56">
            <v>0</v>
          </cell>
          <cell r="H56">
            <v>0</v>
          </cell>
          <cell r="I56">
            <v>9511232</v>
          </cell>
          <cell r="J56">
            <v>0</v>
          </cell>
          <cell r="K56">
            <v>0</v>
          </cell>
          <cell r="L56">
            <v>0</v>
          </cell>
          <cell r="M56">
            <v>9511232</v>
          </cell>
        </row>
        <row r="57">
          <cell r="B57" t="str">
            <v>SAN JOAQUIN DELTA</v>
          </cell>
          <cell r="C57">
            <v>4788857</v>
          </cell>
          <cell r="D57">
            <v>0</v>
          </cell>
          <cell r="E57">
            <v>4788857</v>
          </cell>
          <cell r="F57">
            <v>0</v>
          </cell>
          <cell r="G57">
            <v>0</v>
          </cell>
          <cell r="H57">
            <v>0</v>
          </cell>
          <cell r="I57">
            <v>4788857</v>
          </cell>
          <cell r="J57">
            <v>0</v>
          </cell>
          <cell r="K57">
            <v>0</v>
          </cell>
          <cell r="L57">
            <v>0</v>
          </cell>
          <cell r="M57">
            <v>4788857</v>
          </cell>
        </row>
        <row r="58">
          <cell r="B58" t="str">
            <v>SAN JOSE-EVERGREEN</v>
          </cell>
          <cell r="C58">
            <v>4362233</v>
          </cell>
          <cell r="D58">
            <v>1136403</v>
          </cell>
          <cell r="E58">
            <v>5498636</v>
          </cell>
          <cell r="F58">
            <v>0</v>
          </cell>
          <cell r="G58">
            <v>0</v>
          </cell>
          <cell r="H58">
            <v>0</v>
          </cell>
          <cell r="I58">
            <v>5498636</v>
          </cell>
          <cell r="J58">
            <v>0</v>
          </cell>
          <cell r="K58">
            <v>0</v>
          </cell>
          <cell r="L58">
            <v>0</v>
          </cell>
          <cell r="M58">
            <v>5498636</v>
          </cell>
        </row>
        <row r="59">
          <cell r="B59" t="str">
            <v>SAN LUIS OBISPO</v>
          </cell>
          <cell r="C59">
            <v>3555837</v>
          </cell>
          <cell r="D59">
            <v>312008</v>
          </cell>
          <cell r="E59">
            <v>3867845</v>
          </cell>
          <cell r="F59">
            <v>0</v>
          </cell>
          <cell r="G59">
            <v>0</v>
          </cell>
          <cell r="H59">
            <v>0</v>
          </cell>
          <cell r="I59">
            <v>3867845</v>
          </cell>
          <cell r="J59">
            <v>0</v>
          </cell>
          <cell r="K59">
            <v>0</v>
          </cell>
          <cell r="L59">
            <v>0</v>
          </cell>
          <cell r="M59">
            <v>3867845</v>
          </cell>
        </row>
        <row r="60">
          <cell r="B60" t="str">
            <v>SAN MATEO</v>
          </cell>
          <cell r="C60">
            <v>10803020</v>
          </cell>
          <cell r="D60">
            <v>0</v>
          </cell>
          <cell r="E60">
            <v>10803020</v>
          </cell>
          <cell r="F60">
            <v>0</v>
          </cell>
          <cell r="G60">
            <v>0</v>
          </cell>
          <cell r="H60">
            <v>0</v>
          </cell>
          <cell r="I60">
            <v>10803020</v>
          </cell>
          <cell r="J60">
            <v>56448</v>
          </cell>
          <cell r="K60">
            <v>0</v>
          </cell>
          <cell r="L60">
            <v>56448</v>
          </cell>
          <cell r="M60">
            <v>10859468</v>
          </cell>
        </row>
        <row r="61">
          <cell r="B61" t="str">
            <v>SANTA BARBARA</v>
          </cell>
          <cell r="C61">
            <v>7904348</v>
          </cell>
          <cell r="D61">
            <v>204161</v>
          </cell>
          <cell r="E61">
            <v>8108509</v>
          </cell>
          <cell r="F61">
            <v>0</v>
          </cell>
          <cell r="G61">
            <v>0</v>
          </cell>
          <cell r="H61">
            <v>0</v>
          </cell>
          <cell r="I61">
            <v>8108509</v>
          </cell>
          <cell r="J61">
            <v>0</v>
          </cell>
          <cell r="K61">
            <v>0</v>
          </cell>
          <cell r="L61">
            <v>0</v>
          </cell>
          <cell r="M61">
            <v>8108509</v>
          </cell>
        </row>
        <row r="62">
          <cell r="B62" t="str">
            <v>SANTA CLARITA</v>
          </cell>
          <cell r="C62">
            <v>8760004</v>
          </cell>
          <cell r="D62">
            <v>0</v>
          </cell>
          <cell r="E62">
            <v>8760004</v>
          </cell>
          <cell r="F62">
            <v>0</v>
          </cell>
          <cell r="G62">
            <v>0</v>
          </cell>
          <cell r="H62">
            <v>0</v>
          </cell>
          <cell r="I62">
            <v>8760004</v>
          </cell>
          <cell r="J62">
            <v>0</v>
          </cell>
          <cell r="K62">
            <v>0</v>
          </cell>
          <cell r="L62">
            <v>0</v>
          </cell>
          <cell r="M62">
            <v>8760004</v>
          </cell>
        </row>
        <row r="63">
          <cell r="B63" t="str">
            <v>SANTA MONICA</v>
          </cell>
          <cell r="C63">
            <v>13692835</v>
          </cell>
          <cell r="D63">
            <v>716648</v>
          </cell>
          <cell r="E63">
            <v>14409483</v>
          </cell>
          <cell r="F63">
            <v>0</v>
          </cell>
          <cell r="G63">
            <v>0</v>
          </cell>
          <cell r="H63">
            <v>0</v>
          </cell>
          <cell r="I63">
            <v>14409483</v>
          </cell>
          <cell r="J63">
            <v>30240</v>
          </cell>
          <cell r="K63">
            <v>2520</v>
          </cell>
          <cell r="L63">
            <v>32760</v>
          </cell>
          <cell r="M63">
            <v>14442243</v>
          </cell>
        </row>
        <row r="64">
          <cell r="B64" t="str">
            <v>SEQUOIAS</v>
          </cell>
          <cell r="C64">
            <v>2357408</v>
          </cell>
          <cell r="D64">
            <v>332381</v>
          </cell>
          <cell r="E64">
            <v>2689789</v>
          </cell>
          <cell r="F64">
            <v>0</v>
          </cell>
          <cell r="G64">
            <v>0</v>
          </cell>
          <cell r="H64">
            <v>0</v>
          </cell>
          <cell r="I64">
            <v>2689789</v>
          </cell>
          <cell r="J64">
            <v>0</v>
          </cell>
          <cell r="K64">
            <v>0</v>
          </cell>
          <cell r="L64">
            <v>0</v>
          </cell>
          <cell r="M64">
            <v>2689789</v>
          </cell>
        </row>
        <row r="65">
          <cell r="B65" t="str">
            <v>SHASTA-TEH-TRI</v>
          </cell>
          <cell r="C65">
            <v>1964086</v>
          </cell>
          <cell r="D65">
            <v>66536</v>
          </cell>
          <cell r="E65">
            <v>2030622</v>
          </cell>
          <cell r="F65">
            <v>0</v>
          </cell>
          <cell r="G65">
            <v>0</v>
          </cell>
          <cell r="H65">
            <v>0</v>
          </cell>
          <cell r="I65">
            <v>2030622</v>
          </cell>
          <cell r="J65">
            <v>0</v>
          </cell>
          <cell r="K65">
            <v>0</v>
          </cell>
          <cell r="L65">
            <v>0</v>
          </cell>
          <cell r="M65">
            <v>2030622</v>
          </cell>
        </row>
        <row r="66">
          <cell r="B66" t="str">
            <v>SIERRA</v>
          </cell>
          <cell r="C66">
            <v>7324787</v>
          </cell>
          <cell r="D66">
            <v>0</v>
          </cell>
          <cell r="E66">
            <v>7324787</v>
          </cell>
          <cell r="F66">
            <v>0</v>
          </cell>
          <cell r="G66">
            <v>0</v>
          </cell>
          <cell r="H66">
            <v>0</v>
          </cell>
          <cell r="I66">
            <v>7324787</v>
          </cell>
          <cell r="J66">
            <v>0</v>
          </cell>
          <cell r="K66">
            <v>0</v>
          </cell>
          <cell r="L66">
            <v>0</v>
          </cell>
          <cell r="M66">
            <v>7324787</v>
          </cell>
        </row>
        <row r="67">
          <cell r="B67" t="str">
            <v>SISKIYOU</v>
          </cell>
          <cell r="C67">
            <v>673197</v>
          </cell>
          <cell r="D67">
            <v>365999</v>
          </cell>
          <cell r="E67">
            <v>1039196</v>
          </cell>
          <cell r="F67">
            <v>274634</v>
          </cell>
          <cell r="G67">
            <v>4195</v>
          </cell>
          <cell r="H67">
            <v>278829</v>
          </cell>
          <cell r="I67">
            <v>1318025</v>
          </cell>
          <cell r="J67">
            <v>0</v>
          </cell>
          <cell r="K67">
            <v>0</v>
          </cell>
          <cell r="L67">
            <v>0</v>
          </cell>
          <cell r="M67">
            <v>1318025</v>
          </cell>
        </row>
        <row r="68">
          <cell r="B68" t="str">
            <v>SOLANO</v>
          </cell>
          <cell r="C68">
            <v>2282536</v>
          </cell>
          <cell r="D68">
            <v>1412857</v>
          </cell>
          <cell r="E68">
            <v>3695393</v>
          </cell>
          <cell r="F68">
            <v>0</v>
          </cell>
          <cell r="G68">
            <v>0</v>
          </cell>
          <cell r="H68">
            <v>0</v>
          </cell>
          <cell r="I68">
            <v>3695393</v>
          </cell>
          <cell r="J68">
            <v>0</v>
          </cell>
          <cell r="K68">
            <v>0</v>
          </cell>
          <cell r="L68">
            <v>0</v>
          </cell>
          <cell r="M68">
            <v>3695393</v>
          </cell>
        </row>
        <row r="69">
          <cell r="B69" t="str">
            <v>SONOMA</v>
          </cell>
          <cell r="C69">
            <v>7150862</v>
          </cell>
          <cell r="D69">
            <v>1554865</v>
          </cell>
          <cell r="E69">
            <v>8705727</v>
          </cell>
          <cell r="F69">
            <v>0</v>
          </cell>
          <cell r="G69">
            <v>0</v>
          </cell>
          <cell r="H69">
            <v>0</v>
          </cell>
          <cell r="I69">
            <v>8705727</v>
          </cell>
          <cell r="J69">
            <v>0</v>
          </cell>
          <cell r="K69">
            <v>0</v>
          </cell>
          <cell r="L69">
            <v>0</v>
          </cell>
          <cell r="M69">
            <v>8705727</v>
          </cell>
        </row>
        <row r="70">
          <cell r="B70" t="str">
            <v>SOUTH ORANGE</v>
          </cell>
          <cell r="C70">
            <v>18317670</v>
          </cell>
          <cell r="D70">
            <v>0</v>
          </cell>
          <cell r="E70">
            <v>18317670</v>
          </cell>
          <cell r="F70">
            <v>0</v>
          </cell>
          <cell r="G70">
            <v>0</v>
          </cell>
          <cell r="H70">
            <v>0</v>
          </cell>
          <cell r="I70">
            <v>18317670</v>
          </cell>
          <cell r="J70">
            <v>0</v>
          </cell>
          <cell r="K70">
            <v>0</v>
          </cell>
          <cell r="L70">
            <v>0</v>
          </cell>
          <cell r="M70">
            <v>18317670</v>
          </cell>
        </row>
        <row r="71">
          <cell r="B71" t="str">
            <v>SOUTHWESTERN</v>
          </cell>
          <cell r="C71">
            <v>4280007</v>
          </cell>
          <cell r="D71">
            <v>164610</v>
          </cell>
          <cell r="E71">
            <v>4444617</v>
          </cell>
          <cell r="F71">
            <v>0</v>
          </cell>
          <cell r="G71">
            <v>0</v>
          </cell>
          <cell r="H71">
            <v>0</v>
          </cell>
          <cell r="I71">
            <v>4444617</v>
          </cell>
          <cell r="J71">
            <v>0</v>
          </cell>
          <cell r="K71">
            <v>0</v>
          </cell>
          <cell r="L71">
            <v>0</v>
          </cell>
          <cell r="M71">
            <v>4444617</v>
          </cell>
        </row>
        <row r="72">
          <cell r="B72" t="str">
            <v>STATE CENTER</v>
          </cell>
          <cell r="C72">
            <v>8226588</v>
          </cell>
          <cell r="D72">
            <v>167890</v>
          </cell>
          <cell r="E72">
            <v>8394478</v>
          </cell>
          <cell r="F72">
            <v>0</v>
          </cell>
          <cell r="G72">
            <v>0</v>
          </cell>
          <cell r="H72">
            <v>0</v>
          </cell>
          <cell r="I72">
            <v>8394478</v>
          </cell>
          <cell r="J72">
            <v>0</v>
          </cell>
          <cell r="K72">
            <v>0</v>
          </cell>
          <cell r="L72">
            <v>0</v>
          </cell>
          <cell r="M72">
            <v>8394478</v>
          </cell>
        </row>
        <row r="73">
          <cell r="B73" t="str">
            <v>VENTURA</v>
          </cell>
          <cell r="C73">
            <v>10743662</v>
          </cell>
          <cell r="D73">
            <v>70559</v>
          </cell>
          <cell r="E73">
            <v>10814221</v>
          </cell>
          <cell r="F73">
            <v>0</v>
          </cell>
          <cell r="G73">
            <v>0</v>
          </cell>
          <cell r="H73">
            <v>0</v>
          </cell>
          <cell r="I73">
            <v>10814221</v>
          </cell>
          <cell r="J73">
            <v>0</v>
          </cell>
          <cell r="K73">
            <v>0</v>
          </cell>
          <cell r="L73">
            <v>0</v>
          </cell>
          <cell r="M73">
            <v>10814221</v>
          </cell>
        </row>
        <row r="74">
          <cell r="B74" t="str">
            <v>VICTOR VALLEY</v>
          </cell>
          <cell r="C74">
            <v>2039510</v>
          </cell>
          <cell r="D74">
            <v>33074</v>
          </cell>
          <cell r="E74">
            <v>2072584</v>
          </cell>
          <cell r="F74">
            <v>0</v>
          </cell>
          <cell r="G74">
            <v>0</v>
          </cell>
          <cell r="H74">
            <v>0</v>
          </cell>
          <cell r="I74">
            <v>2072584</v>
          </cell>
          <cell r="J74">
            <v>0</v>
          </cell>
          <cell r="K74">
            <v>0</v>
          </cell>
          <cell r="L74">
            <v>0</v>
          </cell>
          <cell r="M74">
            <v>2072584</v>
          </cell>
        </row>
        <row r="75">
          <cell r="B75" t="str">
            <v>WEST HILLS</v>
          </cell>
          <cell r="C75">
            <v>1014262</v>
          </cell>
          <cell r="D75">
            <v>0</v>
          </cell>
          <cell r="E75">
            <v>1014262</v>
          </cell>
          <cell r="F75">
            <v>0</v>
          </cell>
          <cell r="G75">
            <v>0</v>
          </cell>
          <cell r="H75">
            <v>0</v>
          </cell>
          <cell r="I75">
            <v>1014262</v>
          </cell>
          <cell r="J75">
            <v>0</v>
          </cell>
          <cell r="K75">
            <v>0</v>
          </cell>
          <cell r="L75">
            <v>0</v>
          </cell>
          <cell r="M75">
            <v>1014262</v>
          </cell>
        </row>
        <row r="76">
          <cell r="B76" t="str">
            <v>WEST KERN</v>
          </cell>
          <cell r="C76">
            <v>799985</v>
          </cell>
          <cell r="D76">
            <v>26106</v>
          </cell>
          <cell r="E76">
            <v>826091</v>
          </cell>
          <cell r="F76">
            <v>0</v>
          </cell>
          <cell r="G76">
            <v>0</v>
          </cell>
          <cell r="H76">
            <v>0</v>
          </cell>
          <cell r="I76">
            <v>826091</v>
          </cell>
          <cell r="J76">
            <v>0</v>
          </cell>
          <cell r="K76">
            <v>0</v>
          </cell>
          <cell r="L76">
            <v>0</v>
          </cell>
          <cell r="M76">
            <v>826091</v>
          </cell>
        </row>
        <row r="77">
          <cell r="B77" t="str">
            <v>WEST VALLEY</v>
          </cell>
          <cell r="C77">
            <v>5308127</v>
          </cell>
          <cell r="D77">
            <v>2502571</v>
          </cell>
          <cell r="E77">
            <v>7810698</v>
          </cell>
          <cell r="F77">
            <v>0</v>
          </cell>
          <cell r="G77">
            <v>0</v>
          </cell>
          <cell r="H77">
            <v>0</v>
          </cell>
          <cell r="I77">
            <v>7810698</v>
          </cell>
          <cell r="J77">
            <v>0</v>
          </cell>
          <cell r="K77">
            <v>0</v>
          </cell>
          <cell r="L77">
            <v>0</v>
          </cell>
          <cell r="M77">
            <v>7810698</v>
          </cell>
        </row>
        <row r="78">
          <cell r="B78" t="str">
            <v>YOSEMITE</v>
          </cell>
          <cell r="C78">
            <v>4948763</v>
          </cell>
          <cell r="D78">
            <v>0</v>
          </cell>
          <cell r="E78">
            <v>4948763</v>
          </cell>
          <cell r="F78">
            <v>0</v>
          </cell>
          <cell r="G78">
            <v>0</v>
          </cell>
          <cell r="H78">
            <v>0</v>
          </cell>
          <cell r="I78">
            <v>4948763</v>
          </cell>
          <cell r="J78">
            <v>0</v>
          </cell>
          <cell r="K78">
            <v>0</v>
          </cell>
          <cell r="L78">
            <v>0</v>
          </cell>
          <cell r="M78">
            <v>4948763</v>
          </cell>
        </row>
        <row r="79">
          <cell r="B79" t="str">
            <v>YUBA</v>
          </cell>
          <cell r="C79">
            <v>1682985</v>
          </cell>
          <cell r="D79">
            <v>0</v>
          </cell>
          <cell r="E79">
            <v>1682985</v>
          </cell>
          <cell r="F79">
            <v>0</v>
          </cell>
          <cell r="G79">
            <v>0</v>
          </cell>
          <cell r="H79">
            <v>0</v>
          </cell>
          <cell r="I79">
            <v>1682985</v>
          </cell>
          <cell r="J79">
            <v>0</v>
          </cell>
          <cell r="K79">
            <v>0</v>
          </cell>
          <cell r="L79">
            <v>0</v>
          </cell>
          <cell r="M79">
            <v>1682985</v>
          </cell>
        </row>
      </sheetData>
      <sheetData sheetId="5" refreshError="1"/>
      <sheetData sheetId="6" refreshError="1"/>
      <sheetData sheetId="7" refreshError="1"/>
      <sheetData sheetId="8">
        <row r="10">
          <cell r="B10" t="str">
            <v>ALLAN HANCOCK</v>
          </cell>
          <cell r="C10">
            <v>2719819</v>
          </cell>
          <cell r="D10">
            <v>2734700</v>
          </cell>
          <cell r="F10">
            <v>2734355</v>
          </cell>
          <cell r="H10">
            <v>2734355</v>
          </cell>
          <cell r="I10">
            <v>0</v>
          </cell>
          <cell r="J10">
            <v>2734355</v>
          </cell>
        </row>
        <row r="11">
          <cell r="B11" t="str">
            <v>ANTELOPE VALLEY</v>
          </cell>
          <cell r="C11">
            <v>2357861</v>
          </cell>
          <cell r="D11">
            <v>2471247</v>
          </cell>
          <cell r="F11">
            <v>2500343</v>
          </cell>
          <cell r="H11">
            <v>12512835</v>
          </cell>
          <cell r="I11">
            <v>-10012491</v>
          </cell>
          <cell r="J11">
            <v>2500344</v>
          </cell>
        </row>
        <row r="12">
          <cell r="B12" t="str">
            <v>BARSTOW</v>
          </cell>
          <cell r="C12">
            <v>504285</v>
          </cell>
          <cell r="D12">
            <v>504285</v>
          </cell>
          <cell r="F12">
            <v>545099</v>
          </cell>
          <cell r="H12">
            <v>545099</v>
          </cell>
          <cell r="I12">
            <v>-24774</v>
          </cell>
          <cell r="J12">
            <v>520325</v>
          </cell>
        </row>
        <row r="13">
          <cell r="B13" t="str">
            <v>BUTTE</v>
          </cell>
          <cell r="C13">
            <v>3312809</v>
          </cell>
          <cell r="D13">
            <v>3480821</v>
          </cell>
          <cell r="F13">
            <v>3455319</v>
          </cell>
          <cell r="H13">
            <v>3455319</v>
          </cell>
          <cell r="I13">
            <v>0</v>
          </cell>
          <cell r="J13">
            <v>3455319</v>
          </cell>
        </row>
        <row r="14">
          <cell r="B14" t="str">
            <v>CABRILLO</v>
          </cell>
          <cell r="C14">
            <v>4552788</v>
          </cell>
          <cell r="D14">
            <v>4564357</v>
          </cell>
          <cell r="F14">
            <v>4575823</v>
          </cell>
          <cell r="H14">
            <v>4575823</v>
          </cell>
          <cell r="I14">
            <v>0</v>
          </cell>
          <cell r="J14">
            <v>4575823</v>
          </cell>
        </row>
        <row r="15">
          <cell r="B15" t="str">
            <v>CERRITOS</v>
          </cell>
          <cell r="C15">
            <v>4425736</v>
          </cell>
          <cell r="D15">
            <v>4370595</v>
          </cell>
          <cell r="F15">
            <v>4614697</v>
          </cell>
          <cell r="H15">
            <v>4614697</v>
          </cell>
          <cell r="I15">
            <v>0</v>
          </cell>
          <cell r="J15">
            <v>4614697</v>
          </cell>
        </row>
        <row r="16">
          <cell r="B16" t="str">
            <v>CHABOT-LAS POSITAS</v>
          </cell>
          <cell r="C16">
            <v>9973444</v>
          </cell>
          <cell r="D16">
            <v>10002176</v>
          </cell>
          <cell r="F16">
            <v>10028649</v>
          </cell>
          <cell r="H16">
            <v>10028649</v>
          </cell>
          <cell r="I16">
            <v>0</v>
          </cell>
          <cell r="J16">
            <v>10028649</v>
          </cell>
        </row>
        <row r="17">
          <cell r="B17" t="str">
            <v>CHAFFEY</v>
          </cell>
          <cell r="C17">
            <v>5923000</v>
          </cell>
          <cell r="D17">
            <v>6130000</v>
          </cell>
          <cell r="F17">
            <v>6107922</v>
          </cell>
          <cell r="H17">
            <v>6107923</v>
          </cell>
          <cell r="I17">
            <v>-209080</v>
          </cell>
          <cell r="J17">
            <v>5898843</v>
          </cell>
        </row>
        <row r="18">
          <cell r="B18" t="str">
            <v>CITRUS</v>
          </cell>
          <cell r="C18">
            <v>4385939</v>
          </cell>
          <cell r="D18">
            <v>5013839</v>
          </cell>
          <cell r="F18">
            <v>4968667</v>
          </cell>
          <cell r="H18">
            <v>4978603</v>
          </cell>
          <cell r="I18">
            <v>0</v>
          </cell>
          <cell r="J18">
            <v>4978603</v>
          </cell>
        </row>
        <row r="19">
          <cell r="B19" t="str">
            <v>COAST</v>
          </cell>
          <cell r="C19">
            <v>15713600</v>
          </cell>
          <cell r="D19">
            <v>16913973</v>
          </cell>
          <cell r="F19">
            <v>17053173</v>
          </cell>
          <cell r="H19">
            <v>17053174</v>
          </cell>
          <cell r="I19">
            <v>0</v>
          </cell>
          <cell r="J19">
            <v>17053174</v>
          </cell>
        </row>
        <row r="20">
          <cell r="B20" t="str">
            <v>COMPTON</v>
          </cell>
          <cell r="C20">
            <v>1022106</v>
          </cell>
          <cell r="D20">
            <v>926272</v>
          </cell>
          <cell r="F20">
            <v>897925</v>
          </cell>
          <cell r="H20">
            <v>897925</v>
          </cell>
          <cell r="I20">
            <v>-150000</v>
          </cell>
          <cell r="J20">
            <v>747925</v>
          </cell>
        </row>
        <row r="21">
          <cell r="B21" t="str">
            <v>CONTRA COSTA</v>
          </cell>
          <cell r="C21">
            <v>16787671</v>
          </cell>
          <cell r="D21">
            <v>17031640</v>
          </cell>
          <cell r="F21">
            <v>16605910</v>
          </cell>
          <cell r="H21">
            <v>16605910</v>
          </cell>
          <cell r="I21">
            <v>0</v>
          </cell>
          <cell r="J21">
            <v>16605910</v>
          </cell>
        </row>
        <row r="22">
          <cell r="B22" t="str">
            <v>COPPER MOUNTAIN</v>
          </cell>
          <cell r="C22">
            <v>199073</v>
          </cell>
          <cell r="D22">
            <v>195092</v>
          </cell>
          <cell r="F22">
            <v>225239</v>
          </cell>
          <cell r="H22">
            <v>225239</v>
          </cell>
          <cell r="I22">
            <v>0</v>
          </cell>
          <cell r="J22">
            <v>225239</v>
          </cell>
        </row>
        <row r="23">
          <cell r="B23" t="str">
            <v>DESERT</v>
          </cell>
          <cell r="C23">
            <v>2420696</v>
          </cell>
          <cell r="D23">
            <v>2384216</v>
          </cell>
          <cell r="F23">
            <v>2381343</v>
          </cell>
          <cell r="H23">
            <v>2381343</v>
          </cell>
          <cell r="I23">
            <v>-187581</v>
          </cell>
          <cell r="J23">
            <v>2193762</v>
          </cell>
        </row>
        <row r="24">
          <cell r="B24" t="str">
            <v>EL CAMINO</v>
          </cell>
          <cell r="C24">
            <v>7406721</v>
          </cell>
          <cell r="D24">
            <v>8469975</v>
          </cell>
          <cell r="F24">
            <v>8425893</v>
          </cell>
          <cell r="H24">
            <v>8425893</v>
          </cell>
          <cell r="I24">
            <v>-57565</v>
          </cell>
          <cell r="J24">
            <v>8368328</v>
          </cell>
        </row>
        <row r="25">
          <cell r="B25" t="str">
            <v>FEATHER RIVER</v>
          </cell>
          <cell r="C25">
            <v>575189</v>
          </cell>
          <cell r="D25">
            <v>580089</v>
          </cell>
          <cell r="F25">
            <v>577595</v>
          </cell>
          <cell r="H25">
            <v>1493340</v>
          </cell>
          <cell r="I25">
            <v>-915745</v>
          </cell>
          <cell r="J25">
            <v>577595</v>
          </cell>
        </row>
        <row r="26">
          <cell r="B26" t="str">
            <v>FOOTHILL-DEANZA</v>
          </cell>
          <cell r="C26">
            <v>21500000</v>
          </cell>
          <cell r="D26">
            <v>21100000</v>
          </cell>
          <cell r="F26">
            <v>22549523</v>
          </cell>
          <cell r="H26">
            <v>22549524</v>
          </cell>
          <cell r="I26">
            <v>0</v>
          </cell>
          <cell r="J26">
            <v>22549524</v>
          </cell>
        </row>
        <row r="27">
          <cell r="B27" t="str">
            <v>GAVILAN</v>
          </cell>
          <cell r="C27">
            <v>2392933</v>
          </cell>
          <cell r="D27">
            <v>2243504</v>
          </cell>
          <cell r="F27">
            <v>2173904</v>
          </cell>
          <cell r="H27">
            <v>2143904</v>
          </cell>
          <cell r="I27">
            <v>0</v>
          </cell>
          <cell r="J27">
            <v>2143904</v>
          </cell>
        </row>
        <row r="28">
          <cell r="B28" t="str">
            <v>GLENDALE</v>
          </cell>
          <cell r="C28">
            <v>3390025</v>
          </cell>
          <cell r="D28">
            <v>4713483</v>
          </cell>
          <cell r="F28">
            <v>4540393</v>
          </cell>
          <cell r="H28">
            <v>4717900</v>
          </cell>
          <cell r="I28">
            <v>-177507</v>
          </cell>
          <cell r="J28">
            <v>4540393</v>
          </cell>
        </row>
        <row r="29">
          <cell r="B29" t="str">
            <v>GROSSMONT-CUYAMACA</v>
          </cell>
          <cell r="C29">
            <v>7355715</v>
          </cell>
          <cell r="D29">
            <v>7330195</v>
          </cell>
          <cell r="F29">
            <v>7512429</v>
          </cell>
          <cell r="H29">
            <v>7512429</v>
          </cell>
          <cell r="I29">
            <v>0</v>
          </cell>
          <cell r="J29">
            <v>7512429</v>
          </cell>
        </row>
        <row r="30">
          <cell r="B30" t="str">
            <v>HARTNELL</v>
          </cell>
          <cell r="C30">
            <v>2040485</v>
          </cell>
          <cell r="D30">
            <v>2143755</v>
          </cell>
          <cell r="F30">
            <v>2130246</v>
          </cell>
          <cell r="H30">
            <v>2130246</v>
          </cell>
          <cell r="I30">
            <v>0</v>
          </cell>
          <cell r="J30">
            <v>2130246</v>
          </cell>
        </row>
        <row r="31">
          <cell r="B31" t="str">
            <v>IMPERIAL</v>
          </cell>
          <cell r="C31">
            <v>1296763</v>
          </cell>
          <cell r="D31">
            <v>1219101</v>
          </cell>
          <cell r="F31">
            <v>1303879</v>
          </cell>
          <cell r="H31">
            <v>1303879</v>
          </cell>
          <cell r="I31">
            <v>0</v>
          </cell>
          <cell r="J31">
            <v>1303879</v>
          </cell>
        </row>
        <row r="32">
          <cell r="B32" t="str">
            <v>KERN</v>
          </cell>
          <cell r="C32">
            <v>6263445</v>
          </cell>
          <cell r="D32">
            <v>6358782</v>
          </cell>
          <cell r="F32">
            <v>6355881</v>
          </cell>
          <cell r="H32">
            <v>26288552</v>
          </cell>
          <cell r="I32">
            <v>-19908982</v>
          </cell>
          <cell r="J32">
            <v>6379570</v>
          </cell>
        </row>
        <row r="33">
          <cell r="B33" t="str">
            <v>LAKE TAHOE</v>
          </cell>
          <cell r="C33">
            <v>921828</v>
          </cell>
          <cell r="D33">
            <v>809444</v>
          </cell>
          <cell r="F33">
            <v>814955</v>
          </cell>
          <cell r="H33">
            <v>816962</v>
          </cell>
          <cell r="I33">
            <v>-2006</v>
          </cell>
          <cell r="J33">
            <v>814956</v>
          </cell>
        </row>
        <row r="34">
          <cell r="B34" t="str">
            <v>LASSEN</v>
          </cell>
          <cell r="C34">
            <v>435000</v>
          </cell>
          <cell r="D34">
            <v>457000</v>
          </cell>
          <cell r="F34">
            <v>452451</v>
          </cell>
          <cell r="H34">
            <v>452451</v>
          </cell>
          <cell r="I34">
            <v>0</v>
          </cell>
          <cell r="J34">
            <v>452451</v>
          </cell>
        </row>
        <row r="35">
          <cell r="B35" t="str">
            <v>LONG BEACH</v>
          </cell>
          <cell r="C35">
            <v>4969312</v>
          </cell>
          <cell r="D35">
            <v>6508825</v>
          </cell>
          <cell r="F35">
            <v>6349587</v>
          </cell>
          <cell r="H35">
            <v>23194582</v>
          </cell>
          <cell r="I35">
            <v>-16844995</v>
          </cell>
          <cell r="J35">
            <v>6349587</v>
          </cell>
        </row>
        <row r="36">
          <cell r="B36" t="str">
            <v>LOS ANGELES</v>
          </cell>
          <cell r="C36">
            <v>32513036</v>
          </cell>
          <cell r="D36">
            <v>33045906</v>
          </cell>
          <cell r="F36">
            <v>33147207</v>
          </cell>
          <cell r="H36">
            <v>33147207</v>
          </cell>
          <cell r="I36">
            <v>0</v>
          </cell>
          <cell r="J36">
            <v>33147207</v>
          </cell>
        </row>
        <row r="37">
          <cell r="B37" t="str">
            <v>LOS RIOS</v>
          </cell>
          <cell r="C37">
            <v>16714746</v>
          </cell>
          <cell r="D37">
            <v>17032560</v>
          </cell>
          <cell r="F37">
            <v>16925982</v>
          </cell>
          <cell r="H37">
            <v>16925982</v>
          </cell>
          <cell r="I37">
            <v>0</v>
          </cell>
          <cell r="J37">
            <v>16925982</v>
          </cell>
        </row>
        <row r="38">
          <cell r="B38" t="str">
            <v>MARIN</v>
          </cell>
          <cell r="C38">
            <v>1857694</v>
          </cell>
          <cell r="D38">
            <v>2096672</v>
          </cell>
          <cell r="F38">
            <v>2067703</v>
          </cell>
          <cell r="H38">
            <v>3776202</v>
          </cell>
          <cell r="I38">
            <v>-1708499</v>
          </cell>
          <cell r="J38">
            <v>2067703</v>
          </cell>
        </row>
        <row r="39">
          <cell r="B39" t="str">
            <v>MENDOCINO-LAKE</v>
          </cell>
          <cell r="C39">
            <v>728358</v>
          </cell>
          <cell r="D39">
            <v>750000</v>
          </cell>
          <cell r="F39">
            <v>763968</v>
          </cell>
          <cell r="H39">
            <v>763968</v>
          </cell>
          <cell r="I39">
            <v>0</v>
          </cell>
          <cell r="J39">
            <v>763968</v>
          </cell>
        </row>
        <row r="40">
          <cell r="B40" t="str">
            <v>MERCED</v>
          </cell>
          <cell r="C40">
            <v>2578632</v>
          </cell>
          <cell r="D40">
            <v>2530279</v>
          </cell>
          <cell r="F40">
            <v>2530279</v>
          </cell>
          <cell r="H40">
            <v>2530279</v>
          </cell>
          <cell r="I40">
            <v>0</v>
          </cell>
          <cell r="J40">
            <v>2530279</v>
          </cell>
        </row>
        <row r="41">
          <cell r="B41" t="str">
            <v>MIRACOSTA</v>
          </cell>
          <cell r="C41">
            <v>8700000</v>
          </cell>
          <cell r="D41">
            <v>8700000</v>
          </cell>
          <cell r="F41">
            <v>5838785</v>
          </cell>
          <cell r="H41">
            <v>5838785</v>
          </cell>
          <cell r="I41">
            <v>0</v>
          </cell>
          <cell r="J41">
            <v>5838785</v>
          </cell>
        </row>
        <row r="42">
          <cell r="B42" t="str">
            <v>MONTEREY</v>
          </cell>
          <cell r="C42">
            <v>2922410</v>
          </cell>
          <cell r="D42">
            <v>2775164</v>
          </cell>
          <cell r="F42">
            <v>2950882</v>
          </cell>
          <cell r="H42">
            <v>2950882</v>
          </cell>
          <cell r="I42">
            <v>0</v>
          </cell>
          <cell r="J42">
            <v>2950882</v>
          </cell>
        </row>
        <row r="43">
          <cell r="B43" t="str">
            <v>MT. SAN ANTONIO</v>
          </cell>
          <cell r="C43">
            <v>9164297</v>
          </cell>
          <cell r="D43">
            <v>9364144</v>
          </cell>
          <cell r="F43">
            <v>9328195</v>
          </cell>
          <cell r="H43">
            <v>9328195</v>
          </cell>
          <cell r="I43">
            <v>-76121</v>
          </cell>
          <cell r="J43">
            <v>9252074</v>
          </cell>
        </row>
        <row r="44">
          <cell r="B44" t="str">
            <v>MT. SAN JACINTO</v>
          </cell>
          <cell r="C44">
            <v>3450000</v>
          </cell>
          <cell r="D44">
            <v>3759236</v>
          </cell>
          <cell r="F44">
            <v>3473755</v>
          </cell>
          <cell r="H44">
            <v>3473755</v>
          </cell>
          <cell r="I44">
            <v>-36167</v>
          </cell>
          <cell r="J44">
            <v>3437588</v>
          </cell>
        </row>
        <row r="45">
          <cell r="B45" t="str">
            <v>NAPA</v>
          </cell>
          <cell r="C45">
            <v>2111909</v>
          </cell>
          <cell r="D45">
            <v>2043872</v>
          </cell>
          <cell r="F45">
            <v>2221483</v>
          </cell>
          <cell r="J45">
            <v>0</v>
          </cell>
        </row>
        <row r="46">
          <cell r="B46" t="str">
            <v>NORTH ORANGE</v>
          </cell>
          <cell r="C46">
            <v>12911027</v>
          </cell>
          <cell r="D46">
            <v>13340368</v>
          </cell>
          <cell r="F46">
            <v>13147122</v>
          </cell>
          <cell r="H46">
            <v>13147122</v>
          </cell>
          <cell r="I46">
            <v>0</v>
          </cell>
          <cell r="J46">
            <v>13147122</v>
          </cell>
        </row>
        <row r="47">
          <cell r="B47" t="str">
            <v>OHLONE</v>
          </cell>
          <cell r="C47">
            <v>4306744</v>
          </cell>
          <cell r="D47">
            <v>4744917</v>
          </cell>
          <cell r="F47">
            <v>4771022</v>
          </cell>
          <cell r="H47">
            <v>8108069</v>
          </cell>
          <cell r="I47">
            <v>-3337047</v>
          </cell>
          <cell r="J47">
            <v>4771022</v>
          </cell>
        </row>
        <row r="48">
          <cell r="B48" t="str">
            <v>PALO VERDE</v>
          </cell>
          <cell r="C48">
            <v>484906</v>
          </cell>
          <cell r="D48">
            <v>538144</v>
          </cell>
          <cell r="F48">
            <v>512910</v>
          </cell>
          <cell r="H48">
            <v>505802</v>
          </cell>
          <cell r="I48">
            <v>0</v>
          </cell>
          <cell r="J48">
            <v>505802</v>
          </cell>
        </row>
        <row r="49">
          <cell r="B49" t="str">
            <v>PALOMAR</v>
          </cell>
          <cell r="C49">
            <v>8350257</v>
          </cell>
          <cell r="D49">
            <v>9162577</v>
          </cell>
          <cell r="F49">
            <v>9045148</v>
          </cell>
          <cell r="H49">
            <v>9045148</v>
          </cell>
          <cell r="I49">
            <v>0</v>
          </cell>
          <cell r="J49">
            <v>9045148</v>
          </cell>
        </row>
        <row r="50">
          <cell r="B50" t="str">
            <v>PASADENA</v>
          </cell>
          <cell r="C50">
            <v>9000000</v>
          </cell>
          <cell r="D50">
            <v>10041000</v>
          </cell>
          <cell r="F50">
            <v>9851095</v>
          </cell>
          <cell r="H50">
            <v>25378358</v>
          </cell>
          <cell r="I50">
            <v>-15527263</v>
          </cell>
          <cell r="J50">
            <v>9851095</v>
          </cell>
        </row>
        <row r="51">
          <cell r="B51" t="str">
            <v>PERALTA</v>
          </cell>
          <cell r="C51">
            <v>6277019</v>
          </cell>
          <cell r="D51">
            <v>6985547</v>
          </cell>
          <cell r="F51">
            <v>6624194</v>
          </cell>
          <cell r="H51">
            <v>6624194</v>
          </cell>
          <cell r="I51">
            <v>-229239</v>
          </cell>
          <cell r="J51">
            <v>6394955</v>
          </cell>
        </row>
        <row r="52">
          <cell r="B52" t="str">
            <v>RANCHO SANTIAGO</v>
          </cell>
          <cell r="C52">
            <v>7498248</v>
          </cell>
          <cell r="D52">
            <v>8574253</v>
          </cell>
          <cell r="F52">
            <v>9037615</v>
          </cell>
          <cell r="H52">
            <v>8850604</v>
          </cell>
          <cell r="I52">
            <v>0</v>
          </cell>
          <cell r="J52">
            <v>8850604</v>
          </cell>
        </row>
        <row r="53">
          <cell r="B53" t="str">
            <v>REDWOODS</v>
          </cell>
          <cell r="C53">
            <v>1411352</v>
          </cell>
          <cell r="D53">
            <v>1405556</v>
          </cell>
          <cell r="F53">
            <v>1223446</v>
          </cell>
          <cell r="H53">
            <v>1223447</v>
          </cell>
          <cell r="I53">
            <v>0</v>
          </cell>
          <cell r="J53">
            <v>1223447</v>
          </cell>
        </row>
        <row r="54">
          <cell r="B54" t="str">
            <v>RIO HONDO</v>
          </cell>
          <cell r="C54">
            <v>3000000</v>
          </cell>
          <cell r="D54">
            <v>3050000</v>
          </cell>
          <cell r="F54">
            <v>3989160</v>
          </cell>
          <cell r="H54">
            <v>4002883</v>
          </cell>
          <cell r="I54">
            <v>0</v>
          </cell>
          <cell r="J54">
            <v>4002883</v>
          </cell>
        </row>
        <row r="55">
          <cell r="B55" t="str">
            <v>RIVERSIDE</v>
          </cell>
          <cell r="C55">
            <v>8428741</v>
          </cell>
          <cell r="D55">
            <v>9060225</v>
          </cell>
          <cell r="F55">
            <v>10343269</v>
          </cell>
          <cell r="H55">
            <v>10474163</v>
          </cell>
          <cell r="I55">
            <v>0</v>
          </cell>
          <cell r="J55">
            <v>10474163</v>
          </cell>
        </row>
        <row r="56">
          <cell r="B56" t="str">
            <v>SAN BERNARDINO</v>
          </cell>
          <cell r="C56">
            <v>4281195</v>
          </cell>
          <cell r="D56">
            <v>5164716</v>
          </cell>
          <cell r="F56">
            <v>5148155</v>
          </cell>
          <cell r="H56">
            <v>5148155</v>
          </cell>
          <cell r="I56">
            <v>-17929</v>
          </cell>
          <cell r="J56">
            <v>5130226</v>
          </cell>
        </row>
        <row r="57">
          <cell r="B57" t="str">
            <v>SAN DIEGO</v>
          </cell>
          <cell r="C57">
            <v>11233444</v>
          </cell>
          <cell r="D57">
            <v>13926422</v>
          </cell>
          <cell r="F57">
            <v>13808582</v>
          </cell>
          <cell r="H57">
            <v>13847726</v>
          </cell>
          <cell r="I57">
            <v>0</v>
          </cell>
          <cell r="J57">
            <v>13847726</v>
          </cell>
        </row>
        <row r="58">
          <cell r="B58" t="str">
            <v>SAN FRANCISCO</v>
          </cell>
          <cell r="C58">
            <v>9765966</v>
          </cell>
          <cell r="D58">
            <v>9626623</v>
          </cell>
          <cell r="F58">
            <v>9511232</v>
          </cell>
          <cell r="H58">
            <v>9511232</v>
          </cell>
          <cell r="I58">
            <v>0</v>
          </cell>
          <cell r="J58">
            <v>9511232</v>
          </cell>
        </row>
        <row r="59">
          <cell r="B59" t="str">
            <v>SAN JOAQUIN DELTA</v>
          </cell>
          <cell r="C59">
            <v>6012129</v>
          </cell>
          <cell r="D59">
            <v>5428412</v>
          </cell>
          <cell r="F59">
            <v>4788857</v>
          </cell>
          <cell r="H59">
            <v>4788857</v>
          </cell>
          <cell r="I59">
            <v>201112</v>
          </cell>
          <cell r="J59">
            <v>4989969</v>
          </cell>
        </row>
        <row r="60">
          <cell r="B60" t="str">
            <v>SAN JOSE-EVERGREEN</v>
          </cell>
          <cell r="C60">
            <v>5129217</v>
          </cell>
          <cell r="D60">
            <v>5668932</v>
          </cell>
          <cell r="F60">
            <v>5498636</v>
          </cell>
          <cell r="H60">
            <v>5498636</v>
          </cell>
          <cell r="I60">
            <v>0</v>
          </cell>
          <cell r="J60">
            <v>5498636</v>
          </cell>
        </row>
        <row r="61">
          <cell r="B61" t="str">
            <v>SAN LUIS OBISPO</v>
          </cell>
          <cell r="C61">
            <v>3976010</v>
          </cell>
          <cell r="D61">
            <v>3963061</v>
          </cell>
          <cell r="F61">
            <v>3867845</v>
          </cell>
          <cell r="H61">
            <v>3867845</v>
          </cell>
          <cell r="I61">
            <v>0</v>
          </cell>
          <cell r="J61">
            <v>3867845</v>
          </cell>
        </row>
        <row r="62">
          <cell r="B62" t="str">
            <v>SAN MATEO</v>
          </cell>
          <cell r="C62">
            <v>10583599</v>
          </cell>
          <cell r="D62">
            <v>10960116</v>
          </cell>
          <cell r="F62">
            <v>10803020</v>
          </cell>
          <cell r="H62">
            <v>19803708</v>
          </cell>
          <cell r="I62">
            <v>-8944240</v>
          </cell>
          <cell r="J62">
            <v>10859468</v>
          </cell>
        </row>
        <row r="63">
          <cell r="B63" t="str">
            <v>SANTA BARBARA</v>
          </cell>
          <cell r="C63">
            <v>7095249</v>
          </cell>
          <cell r="D63">
            <v>7683487</v>
          </cell>
          <cell r="F63">
            <v>8108509</v>
          </cell>
          <cell r="H63">
            <v>7946340</v>
          </cell>
          <cell r="I63">
            <v>162170</v>
          </cell>
          <cell r="J63">
            <v>8108510</v>
          </cell>
        </row>
        <row r="64">
          <cell r="B64" t="str">
            <v>SANTA CLARITA</v>
          </cell>
          <cell r="C64">
            <v>8000000</v>
          </cell>
          <cell r="D64">
            <v>8100000</v>
          </cell>
          <cell r="F64">
            <v>8760004</v>
          </cell>
          <cell r="H64">
            <v>8760004</v>
          </cell>
          <cell r="I64">
            <v>120714</v>
          </cell>
          <cell r="J64">
            <v>8880718</v>
          </cell>
        </row>
        <row r="65">
          <cell r="B65" t="str">
            <v>SANTA MONICA</v>
          </cell>
          <cell r="C65">
            <v>13655858</v>
          </cell>
          <cell r="D65">
            <v>14430627</v>
          </cell>
          <cell r="F65">
            <v>14409483</v>
          </cell>
          <cell r="H65">
            <v>14409483</v>
          </cell>
          <cell r="I65">
            <v>0</v>
          </cell>
          <cell r="J65">
            <v>14409483</v>
          </cell>
        </row>
        <row r="66">
          <cell r="B66" t="str">
            <v>SEQUOIAS</v>
          </cell>
          <cell r="C66">
            <v>2748695</v>
          </cell>
          <cell r="D66">
            <v>2692066</v>
          </cell>
          <cell r="F66">
            <v>2689789</v>
          </cell>
          <cell r="H66">
            <v>2689789</v>
          </cell>
          <cell r="I66">
            <v>-92871</v>
          </cell>
          <cell r="J66">
            <v>2596918</v>
          </cell>
        </row>
        <row r="67">
          <cell r="B67" t="str">
            <v>SHASTA-TEH-TRI</v>
          </cell>
          <cell r="C67">
            <v>2040000</v>
          </cell>
          <cell r="D67">
            <v>2033274</v>
          </cell>
          <cell r="F67">
            <v>2030622</v>
          </cell>
          <cell r="H67">
            <v>2030622</v>
          </cell>
          <cell r="I67">
            <v>-3033</v>
          </cell>
          <cell r="J67">
            <v>2027589</v>
          </cell>
        </row>
        <row r="68">
          <cell r="B68" t="str">
            <v>SIERRA</v>
          </cell>
          <cell r="C68">
            <v>7182900</v>
          </cell>
          <cell r="D68">
            <v>7370099</v>
          </cell>
          <cell r="F68">
            <v>7324787</v>
          </cell>
          <cell r="H68">
            <v>16014325</v>
          </cell>
          <cell r="I68">
            <v>-8787573</v>
          </cell>
          <cell r="J68">
            <v>7226752</v>
          </cell>
        </row>
        <row r="69">
          <cell r="B69" t="str">
            <v>SISKIYOU</v>
          </cell>
          <cell r="C69">
            <v>1253925</v>
          </cell>
          <cell r="D69">
            <v>1277771</v>
          </cell>
          <cell r="F69">
            <v>1318025</v>
          </cell>
          <cell r="H69">
            <v>2432650</v>
          </cell>
          <cell r="I69">
            <v>-1114626</v>
          </cell>
          <cell r="J69">
            <v>1318024</v>
          </cell>
        </row>
        <row r="70">
          <cell r="B70" t="str">
            <v>SOLANO</v>
          </cell>
          <cell r="C70">
            <v>3500430</v>
          </cell>
          <cell r="D70">
            <v>3705554</v>
          </cell>
          <cell r="F70">
            <v>3695393</v>
          </cell>
          <cell r="H70">
            <v>3695393</v>
          </cell>
          <cell r="I70">
            <v>0</v>
          </cell>
          <cell r="J70">
            <v>3695393</v>
          </cell>
        </row>
        <row r="71">
          <cell r="B71" t="str">
            <v>SONOMA</v>
          </cell>
          <cell r="C71">
            <v>8833808</v>
          </cell>
          <cell r="D71">
            <v>8877889</v>
          </cell>
          <cell r="F71">
            <v>8705727</v>
          </cell>
          <cell r="H71">
            <v>8705727</v>
          </cell>
          <cell r="I71">
            <v>0</v>
          </cell>
          <cell r="J71">
            <v>8705727</v>
          </cell>
        </row>
        <row r="72">
          <cell r="B72" t="str">
            <v>SOUTH ORANGE</v>
          </cell>
          <cell r="C72">
            <v>18207166</v>
          </cell>
          <cell r="D72">
            <v>18344914</v>
          </cell>
          <cell r="F72">
            <v>18317670</v>
          </cell>
          <cell r="H72">
            <v>29215734</v>
          </cell>
          <cell r="I72">
            <v>-10898064</v>
          </cell>
          <cell r="J72">
            <v>18317670</v>
          </cell>
        </row>
        <row r="73">
          <cell r="B73" t="str">
            <v>SOUTHWESTERN</v>
          </cell>
          <cell r="C73">
            <v>3940226</v>
          </cell>
          <cell r="D73">
            <v>4451251</v>
          </cell>
          <cell r="F73">
            <v>4444617</v>
          </cell>
          <cell r="H73">
            <v>4444618</v>
          </cell>
          <cell r="I73">
            <v>0</v>
          </cell>
          <cell r="J73">
            <v>4444618</v>
          </cell>
        </row>
        <row r="74">
          <cell r="B74" t="str">
            <v>STATE CENTER</v>
          </cell>
          <cell r="C74">
            <v>8671834</v>
          </cell>
          <cell r="D74">
            <v>8453360</v>
          </cell>
          <cell r="F74">
            <v>8394478</v>
          </cell>
          <cell r="H74">
            <v>34277896</v>
          </cell>
          <cell r="I74">
            <v>-26259317</v>
          </cell>
          <cell r="J74">
            <v>8018579</v>
          </cell>
        </row>
        <row r="75">
          <cell r="B75" t="str">
            <v>VENTURA</v>
          </cell>
          <cell r="C75">
            <v>14152447</v>
          </cell>
          <cell r="D75">
            <v>14698300</v>
          </cell>
          <cell r="F75">
            <v>10814221</v>
          </cell>
          <cell r="H75">
            <v>10814221</v>
          </cell>
          <cell r="I75">
            <v>0</v>
          </cell>
          <cell r="J75">
            <v>10814221</v>
          </cell>
        </row>
        <row r="76">
          <cell r="B76" t="str">
            <v>VICTOR VALLEY</v>
          </cell>
          <cell r="C76">
            <v>2077452</v>
          </cell>
          <cell r="D76">
            <v>2126434</v>
          </cell>
          <cell r="F76">
            <v>2072584</v>
          </cell>
          <cell r="H76">
            <v>2072584</v>
          </cell>
          <cell r="I76">
            <v>0</v>
          </cell>
          <cell r="J76">
            <v>2072584</v>
          </cell>
        </row>
        <row r="77">
          <cell r="B77" t="str">
            <v>WEST HILLS</v>
          </cell>
          <cell r="C77">
            <v>1101194</v>
          </cell>
          <cell r="D77">
            <v>1030354</v>
          </cell>
          <cell r="F77">
            <v>1014262</v>
          </cell>
          <cell r="H77">
            <v>1014262</v>
          </cell>
          <cell r="I77">
            <v>0</v>
          </cell>
          <cell r="J77">
            <v>1014262</v>
          </cell>
        </row>
        <row r="78">
          <cell r="B78" t="str">
            <v>WEST KERN</v>
          </cell>
          <cell r="C78">
            <v>790372</v>
          </cell>
          <cell r="D78">
            <v>790923</v>
          </cell>
          <cell r="F78">
            <v>826091</v>
          </cell>
          <cell r="H78">
            <v>826091</v>
          </cell>
          <cell r="I78">
            <v>0</v>
          </cell>
          <cell r="J78">
            <v>826091</v>
          </cell>
        </row>
        <row r="79">
          <cell r="B79" t="str">
            <v>WEST VALLEY</v>
          </cell>
          <cell r="C79">
            <v>6668735</v>
          </cell>
          <cell r="D79">
            <v>7843480</v>
          </cell>
          <cell r="F79">
            <v>7810698</v>
          </cell>
          <cell r="H79">
            <v>7810697</v>
          </cell>
          <cell r="I79">
            <v>0</v>
          </cell>
          <cell r="J79">
            <v>7810697</v>
          </cell>
        </row>
        <row r="80">
          <cell r="B80" t="str">
            <v>YOSEMITE</v>
          </cell>
          <cell r="C80">
            <v>4600000</v>
          </cell>
          <cell r="D80">
            <v>5000000</v>
          </cell>
          <cell r="F80">
            <v>4948763</v>
          </cell>
          <cell r="H80">
            <v>4948763</v>
          </cell>
          <cell r="I80">
            <v>-258071</v>
          </cell>
          <cell r="J80">
            <v>4690692</v>
          </cell>
        </row>
        <row r="81">
          <cell r="B81" t="str">
            <v>YUBA</v>
          </cell>
          <cell r="C81">
            <v>1617388</v>
          </cell>
          <cell r="D81">
            <v>1703760</v>
          </cell>
          <cell r="F81">
            <v>1682985</v>
          </cell>
          <cell r="H81">
            <v>8071781</v>
          </cell>
          <cell r="I81">
            <v>-6388687</v>
          </cell>
          <cell r="J81">
            <v>1683094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ax11-15-2015"/>
      <sheetName val="1a.Modified ptax11-15-2015"/>
      <sheetName val="1b. ptax table 11-15-2015"/>
      <sheetName val="1c.DistrictAlpha ptax11-15-2015"/>
      <sheetName val="1d.County ptax11-15-2015"/>
      <sheetName val="1e.ERAF Analysis"/>
      <sheetName val="1g.General Apportionment"/>
      <sheetName val="1h.Tax_Proration"/>
      <sheetName val="APPORTIONMENT REPORT_1.26.16"/>
      <sheetName val="1i.NewERAFModptax11-15-2015"/>
      <sheetName val="1j.Los Angles ERAF Calculations"/>
      <sheetName val="1.Fall_Est_PTax&amp;ERAF"/>
      <sheetName val="2.Spring_Est_PTax&amp;ERAF"/>
    </sheetNames>
    <sheetDataSet>
      <sheetData sheetId="0"/>
      <sheetData sheetId="1"/>
      <sheetData sheetId="2"/>
      <sheetData sheetId="3">
        <row r="2">
          <cell r="C2" t="str">
            <v xml:space="preserve"> DISTRICT</v>
          </cell>
          <cell r="D2" t="str">
            <v xml:space="preserve"> COUNTY</v>
          </cell>
          <cell r="E2" t="str">
            <v xml:space="preserve"> DISTCODE</v>
          </cell>
          <cell r="F2" t="str">
            <v xml:space="preserve"> FYear</v>
          </cell>
          <cell r="G2" t="str">
            <v xml:space="preserve"> Period</v>
          </cell>
          <cell r="H2" t="str">
            <v xml:space="preserve"> Sec_Roll_A</v>
          </cell>
          <cell r="I2" t="str">
            <v xml:space="preserve"> Sup_Roll_A</v>
          </cell>
          <cell r="J2" t="str">
            <v>Unsec_Roll_A</v>
          </cell>
          <cell r="K2" t="str">
            <v xml:space="preserve"> AB1290_A</v>
          </cell>
          <cell r="L2" t="str">
            <v xml:space="preserve"> ptax475_A</v>
          </cell>
          <cell r="M2" t="str">
            <v xml:space="preserve"> preAB1290_A</v>
          </cell>
          <cell r="N2" t="str">
            <v xml:space="preserve"> portionptax475_A</v>
          </cell>
          <cell r="O2" t="str">
            <v xml:space="preserve">  RDA_dev_1_A</v>
          </cell>
          <cell r="P2" t="str">
            <v xml:space="preserve"> RDA_dev_2_A</v>
          </cell>
          <cell r="Q2" t="str">
            <v xml:space="preserve"> Prior_Year_A</v>
          </cell>
          <cell r="R2" t="str">
            <v>Timber_Yield_A</v>
          </cell>
          <cell r="S2" t="str">
            <v xml:space="preserve"> Homeowner_PTR_A</v>
          </cell>
          <cell r="T2" t="str">
            <v xml:space="preserve"> Other_A</v>
          </cell>
          <cell r="U2" t="str">
            <v xml:space="preserve"> ERAF_A </v>
          </cell>
          <cell r="V2" t="str">
            <v xml:space="preserve"> Redevelop_A</v>
          </cell>
          <cell r="W2" t="str">
            <v xml:space="preserve"> TOT_PTR_A</v>
          </cell>
          <cell r="X2" t="str">
            <v xml:space="preserve"> Impd_Rev_A</v>
          </cell>
          <cell r="Y2" t="str">
            <v>FY1_A</v>
          </cell>
          <cell r="Z2" t="str">
            <v xml:space="preserve"> FY2_A</v>
          </cell>
          <cell r="AA2" t="str">
            <v xml:space="preserve"> FY3_A</v>
          </cell>
          <cell r="AB2" t="str">
            <v xml:space="preserve"> Sec_Roll_E</v>
          </cell>
          <cell r="AC2" t="str">
            <v xml:space="preserve"> Sup_Roll_E</v>
          </cell>
          <cell r="AD2" t="str">
            <v xml:space="preserve"> Unsec_Roll_E</v>
          </cell>
          <cell r="AE2" t="str">
            <v xml:space="preserve"> AB1290_E</v>
          </cell>
          <cell r="AF2" t="str">
            <v xml:space="preserve"> ptax475_E</v>
          </cell>
          <cell r="AG2" t="str">
            <v xml:space="preserve"> preAB1290_E</v>
          </cell>
          <cell r="AH2" t="str">
            <v>portionptax475_E</v>
          </cell>
          <cell r="AI2" t="str">
            <v xml:space="preserve"> RDA_dev_1_E</v>
          </cell>
          <cell r="AJ2" t="str">
            <v xml:space="preserve"> RDA_dev_2_E</v>
          </cell>
          <cell r="AK2" t="str">
            <v xml:space="preserve"> Prior_Year_E</v>
          </cell>
          <cell r="AL2" t="str">
            <v xml:space="preserve"> Timber_Yield_E</v>
          </cell>
          <cell r="AM2" t="str">
            <v xml:space="preserve"> Homeowner_PTR_E</v>
          </cell>
          <cell r="AN2" t="str">
            <v xml:space="preserve"> Other_E</v>
          </cell>
          <cell r="AO2" t="str">
            <v xml:space="preserve"> ERAF_E</v>
          </cell>
          <cell r="AP2" t="str">
            <v xml:space="preserve"> TOT_PTR_E</v>
          </cell>
          <cell r="AQ2" t="str">
            <v xml:space="preserve"> Impd_Rev_E</v>
          </cell>
          <cell r="AR2" t="str">
            <v xml:space="preserve"> FY1_E</v>
          </cell>
          <cell r="AS2" t="str">
            <v xml:space="preserve"> FY2_E</v>
          </cell>
          <cell r="AT2" t="str">
            <v xml:space="preserve"> FY3_E</v>
          </cell>
          <cell r="AU2" t="str">
            <v xml:space="preserve"> FY1</v>
          </cell>
          <cell r="AV2" t="str">
            <v xml:space="preserve"> FY2</v>
          </cell>
          <cell r="AW2" t="str">
            <v xml:space="preserve"> FY3</v>
          </cell>
        </row>
        <row r="3">
          <cell r="C3" t="str">
            <v xml:space="preserve"> ALLAN HANCOCK     </v>
          </cell>
          <cell r="D3" t="str">
            <v xml:space="preserve"> SAN LUIS OBISPO   </v>
          </cell>
          <cell r="E3">
            <v>610</v>
          </cell>
          <cell r="F3" t="str">
            <v xml:space="preserve"> 2015-2016</v>
          </cell>
          <cell r="G3" t="str">
            <v xml:space="preserve"> 11/15/2015</v>
          </cell>
          <cell r="H3">
            <v>34485</v>
          </cell>
          <cell r="I3">
            <v>0</v>
          </cell>
          <cell r="J3">
            <v>764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-24</v>
          </cell>
          <cell r="R3">
            <v>0</v>
          </cell>
          <cell r="S3">
            <v>243</v>
          </cell>
          <cell r="T3">
            <v>0</v>
          </cell>
          <cell r="U3">
            <v>0</v>
          </cell>
          <cell r="V3" t="str">
            <v xml:space="preserve"> </v>
          </cell>
          <cell r="W3">
            <v>35468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37769</v>
          </cell>
          <cell r="AC3">
            <v>0</v>
          </cell>
          <cell r="AD3">
            <v>837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-27</v>
          </cell>
          <cell r="AL3">
            <v>0</v>
          </cell>
          <cell r="AM3">
            <v>251</v>
          </cell>
          <cell r="AN3">
            <v>0</v>
          </cell>
          <cell r="AO3">
            <v>0</v>
          </cell>
          <cell r="AP3">
            <v>38830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 t="str">
            <v xml:space="preserve"> </v>
          </cell>
          <cell r="AV3" t="str">
            <v xml:space="preserve"> </v>
          </cell>
          <cell r="AW3" t="str">
            <v xml:space="preserve"> </v>
          </cell>
        </row>
        <row r="4">
          <cell r="C4" t="str">
            <v xml:space="preserve"> ALLAN HANCOCK     </v>
          </cell>
          <cell r="D4" t="str">
            <v xml:space="preserve"> SANTA BARBARA     </v>
          </cell>
          <cell r="E4">
            <v>610</v>
          </cell>
          <cell r="F4" t="str">
            <v xml:space="preserve"> 2015-2016</v>
          </cell>
          <cell r="G4" t="str">
            <v xml:space="preserve"> 11/15/2015</v>
          </cell>
          <cell r="H4">
            <v>12108195</v>
          </cell>
          <cell r="I4">
            <v>216243</v>
          </cell>
          <cell r="J4">
            <v>625417</v>
          </cell>
          <cell r="K4">
            <v>35408</v>
          </cell>
          <cell r="L4">
            <v>16819</v>
          </cell>
          <cell r="M4">
            <v>0</v>
          </cell>
          <cell r="N4">
            <v>0</v>
          </cell>
          <cell r="O4">
            <v>183805</v>
          </cell>
          <cell r="P4">
            <v>0</v>
          </cell>
          <cell r="Q4">
            <v>-98543</v>
          </cell>
          <cell r="R4">
            <v>0</v>
          </cell>
          <cell r="S4">
            <v>75843</v>
          </cell>
          <cell r="T4">
            <v>0</v>
          </cell>
          <cell r="U4">
            <v>381665</v>
          </cell>
          <cell r="V4" t="str">
            <v xml:space="preserve"> </v>
          </cell>
          <cell r="W4">
            <v>13509444</v>
          </cell>
          <cell r="X4">
            <v>178786</v>
          </cell>
          <cell r="Y4">
            <v>4006</v>
          </cell>
          <cell r="Z4">
            <v>0</v>
          </cell>
          <cell r="AA4">
            <v>0</v>
          </cell>
          <cell r="AB4">
            <v>12682375</v>
          </cell>
          <cell r="AC4">
            <v>216243</v>
          </cell>
          <cell r="AD4">
            <v>577031</v>
          </cell>
          <cell r="AE4">
            <v>37486</v>
          </cell>
          <cell r="AF4">
            <v>17806</v>
          </cell>
          <cell r="AG4">
            <v>0</v>
          </cell>
          <cell r="AH4">
            <v>0</v>
          </cell>
          <cell r="AI4">
            <v>130240</v>
          </cell>
          <cell r="AJ4">
            <v>0</v>
          </cell>
          <cell r="AK4">
            <v>-26676</v>
          </cell>
          <cell r="AL4">
            <v>0</v>
          </cell>
          <cell r="AM4">
            <v>73570</v>
          </cell>
          <cell r="AN4">
            <v>0</v>
          </cell>
          <cell r="AO4">
            <v>1711279</v>
          </cell>
          <cell r="AP4">
            <v>15381868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 t="str">
            <v xml:space="preserve"> 10-11</v>
          </cell>
          <cell r="AV4" t="str">
            <v xml:space="preserve"> </v>
          </cell>
          <cell r="AW4" t="str">
            <v xml:space="preserve"> </v>
          </cell>
        </row>
        <row r="5">
          <cell r="C5" t="str">
            <v xml:space="preserve"> ALLAN HANCOCK     </v>
          </cell>
          <cell r="D5" t="str">
            <v xml:space="preserve"> VENTURA           </v>
          </cell>
          <cell r="E5">
            <v>610</v>
          </cell>
          <cell r="F5" t="str">
            <v xml:space="preserve"> 2015-2016</v>
          </cell>
          <cell r="G5" t="str">
            <v xml:space="preserve"> 11/15/2015</v>
          </cell>
          <cell r="H5">
            <v>20788</v>
          </cell>
          <cell r="I5">
            <v>301</v>
          </cell>
          <cell r="J5">
            <v>799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33</v>
          </cell>
          <cell r="R5">
            <v>0</v>
          </cell>
          <cell r="S5">
            <v>200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22121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20634</v>
          </cell>
          <cell r="AC5">
            <v>301</v>
          </cell>
          <cell r="AD5">
            <v>873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33</v>
          </cell>
          <cell r="AL5">
            <v>0</v>
          </cell>
          <cell r="AM5">
            <v>190</v>
          </cell>
          <cell r="AN5">
            <v>0</v>
          </cell>
          <cell r="AO5">
            <v>-2723</v>
          </cell>
          <cell r="AP5">
            <v>19308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 t="str">
            <v xml:space="preserve"> </v>
          </cell>
          <cell r="AV5" t="str">
            <v xml:space="preserve"> </v>
          </cell>
          <cell r="AW5" t="str">
            <v xml:space="preserve"> </v>
          </cell>
        </row>
        <row r="6">
          <cell r="C6" t="str">
            <v>ALLAN HANCOCK Subtotal</v>
          </cell>
          <cell r="H6">
            <v>12163468</v>
          </cell>
          <cell r="I6">
            <v>216544</v>
          </cell>
          <cell r="J6">
            <v>626980</v>
          </cell>
          <cell r="K6">
            <v>35408</v>
          </cell>
          <cell r="L6">
            <v>16819</v>
          </cell>
          <cell r="M6">
            <v>0</v>
          </cell>
          <cell r="N6">
            <v>0</v>
          </cell>
          <cell r="O6">
            <v>183805</v>
          </cell>
          <cell r="P6">
            <v>0</v>
          </cell>
          <cell r="Q6">
            <v>-98534</v>
          </cell>
          <cell r="R6">
            <v>0</v>
          </cell>
          <cell r="S6">
            <v>76286</v>
          </cell>
          <cell r="T6">
            <v>0</v>
          </cell>
          <cell r="U6">
            <v>381665</v>
          </cell>
          <cell r="V6">
            <v>0</v>
          </cell>
          <cell r="W6">
            <v>13567033</v>
          </cell>
          <cell r="X6">
            <v>178786</v>
          </cell>
          <cell r="Y6">
            <v>4006</v>
          </cell>
          <cell r="Z6">
            <v>0</v>
          </cell>
          <cell r="AA6">
            <v>0</v>
          </cell>
          <cell r="AB6">
            <v>12740778</v>
          </cell>
          <cell r="AC6">
            <v>216544</v>
          </cell>
          <cell r="AD6">
            <v>578741</v>
          </cell>
          <cell r="AE6">
            <v>37486</v>
          </cell>
          <cell r="AF6">
            <v>17806</v>
          </cell>
          <cell r="AG6">
            <v>0</v>
          </cell>
          <cell r="AH6">
            <v>0</v>
          </cell>
          <cell r="AI6">
            <v>130240</v>
          </cell>
          <cell r="AJ6">
            <v>0</v>
          </cell>
          <cell r="AK6">
            <v>-26670</v>
          </cell>
          <cell r="AL6">
            <v>0</v>
          </cell>
          <cell r="AM6">
            <v>74011</v>
          </cell>
          <cell r="AN6">
            <v>0</v>
          </cell>
          <cell r="AO6">
            <v>1708556</v>
          </cell>
          <cell r="AP6">
            <v>15440006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</row>
        <row r="8">
          <cell r="C8" t="str">
            <v xml:space="preserve"> ANTELOPE VALLEY   </v>
          </cell>
          <cell r="D8" t="str">
            <v xml:space="preserve"> KERN              </v>
          </cell>
          <cell r="E8">
            <v>620</v>
          </cell>
          <cell r="F8" t="str">
            <v xml:space="preserve"> 2015-2016</v>
          </cell>
          <cell r="G8" t="str">
            <v xml:space="preserve"> 11/15/2015</v>
          </cell>
          <cell r="H8">
            <v>728099</v>
          </cell>
          <cell r="I8">
            <v>448</v>
          </cell>
          <cell r="J8">
            <v>63198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3269</v>
          </cell>
          <cell r="R8">
            <v>0</v>
          </cell>
          <cell r="S8">
            <v>5831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800845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790431</v>
          </cell>
          <cell r="AC8">
            <v>224</v>
          </cell>
          <cell r="AD8">
            <v>81576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7154</v>
          </cell>
          <cell r="AN8">
            <v>0</v>
          </cell>
          <cell r="AO8">
            <v>0</v>
          </cell>
          <cell r="AP8">
            <v>879385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 t="str">
            <v xml:space="preserve"> </v>
          </cell>
          <cell r="AV8" t="str">
            <v xml:space="preserve"> </v>
          </cell>
          <cell r="AW8" t="str">
            <v xml:space="preserve"> </v>
          </cell>
        </row>
        <row r="9">
          <cell r="C9" t="str">
            <v xml:space="preserve"> ANTELOPE VALLEY   </v>
          </cell>
          <cell r="D9" t="str">
            <v xml:space="preserve"> LOS ANGELES       </v>
          </cell>
          <cell r="E9">
            <v>620</v>
          </cell>
          <cell r="F9" t="str">
            <v xml:space="preserve"> 2015-2016</v>
          </cell>
          <cell r="G9" t="str">
            <v xml:space="preserve"> 11/15/2015</v>
          </cell>
          <cell r="H9">
            <v>4446928</v>
          </cell>
          <cell r="I9">
            <v>145163</v>
          </cell>
          <cell r="J9">
            <v>168838</v>
          </cell>
          <cell r="K9">
            <v>8110</v>
          </cell>
          <cell r="L9">
            <v>3852</v>
          </cell>
          <cell r="M9">
            <v>0</v>
          </cell>
          <cell r="N9">
            <v>0</v>
          </cell>
          <cell r="O9">
            <v>182897</v>
          </cell>
          <cell r="P9">
            <v>0</v>
          </cell>
          <cell r="Q9">
            <v>92806</v>
          </cell>
          <cell r="R9">
            <v>0</v>
          </cell>
          <cell r="S9">
            <v>33622</v>
          </cell>
          <cell r="T9">
            <v>0</v>
          </cell>
          <cell r="U9">
            <v>0</v>
          </cell>
          <cell r="V9" t="str">
            <v xml:space="preserve"> </v>
          </cell>
          <cell r="W9">
            <v>5074106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4701737</v>
          </cell>
          <cell r="AC9">
            <v>181454</v>
          </cell>
          <cell r="AD9">
            <v>169000</v>
          </cell>
          <cell r="AE9">
            <v>8059</v>
          </cell>
          <cell r="AF9">
            <v>3828</v>
          </cell>
          <cell r="AG9">
            <v>0</v>
          </cell>
          <cell r="AH9">
            <v>0</v>
          </cell>
          <cell r="AI9">
            <v>177810</v>
          </cell>
          <cell r="AJ9">
            <v>0</v>
          </cell>
          <cell r="AK9">
            <v>104470</v>
          </cell>
          <cell r="AL9">
            <v>0</v>
          </cell>
          <cell r="AM9">
            <v>33600</v>
          </cell>
          <cell r="AN9">
            <v>0</v>
          </cell>
          <cell r="AO9">
            <v>0</v>
          </cell>
          <cell r="AP9">
            <v>5371899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 t="str">
            <v xml:space="preserve"> </v>
          </cell>
          <cell r="AV9" t="str">
            <v xml:space="preserve"> </v>
          </cell>
          <cell r="AW9" t="str">
            <v xml:space="preserve"> </v>
          </cell>
        </row>
        <row r="10">
          <cell r="C10" t="str">
            <v>ANTELOPE VALLEY Subtotal</v>
          </cell>
          <cell r="H10">
            <v>5175027</v>
          </cell>
          <cell r="I10">
            <v>145611</v>
          </cell>
          <cell r="J10">
            <v>232036</v>
          </cell>
          <cell r="K10">
            <v>8110</v>
          </cell>
          <cell r="L10">
            <v>3852</v>
          </cell>
          <cell r="M10">
            <v>0</v>
          </cell>
          <cell r="N10">
            <v>0</v>
          </cell>
          <cell r="O10">
            <v>182897</v>
          </cell>
          <cell r="P10">
            <v>0</v>
          </cell>
          <cell r="Q10">
            <v>96075</v>
          </cell>
          <cell r="R10">
            <v>0</v>
          </cell>
          <cell r="S10">
            <v>39453</v>
          </cell>
          <cell r="T10">
            <v>0</v>
          </cell>
          <cell r="U10">
            <v>0</v>
          </cell>
          <cell r="V10">
            <v>0</v>
          </cell>
          <cell r="W10">
            <v>5874951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5492168</v>
          </cell>
          <cell r="AC10">
            <v>181678</v>
          </cell>
          <cell r="AD10">
            <v>250576</v>
          </cell>
          <cell r="AE10">
            <v>8059</v>
          </cell>
          <cell r="AF10">
            <v>3828</v>
          </cell>
          <cell r="AG10">
            <v>0</v>
          </cell>
          <cell r="AH10">
            <v>0</v>
          </cell>
          <cell r="AI10">
            <v>177810</v>
          </cell>
          <cell r="AJ10">
            <v>0</v>
          </cell>
          <cell r="AK10">
            <v>104470</v>
          </cell>
          <cell r="AL10">
            <v>0</v>
          </cell>
          <cell r="AM10">
            <v>40754</v>
          </cell>
          <cell r="AN10">
            <v>0</v>
          </cell>
          <cell r="AO10">
            <v>0</v>
          </cell>
          <cell r="AP10">
            <v>6251284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</row>
        <row r="12">
          <cell r="C12" t="str">
            <v xml:space="preserve"> BARSTOW           </v>
          </cell>
          <cell r="D12" t="str">
            <v xml:space="preserve"> SAN BERNARDINO    </v>
          </cell>
          <cell r="E12">
            <v>910</v>
          </cell>
          <cell r="F12" t="str">
            <v xml:space="preserve"> 2015-2016</v>
          </cell>
          <cell r="G12" t="str">
            <v xml:space="preserve"> 11/15/2015</v>
          </cell>
          <cell r="H12">
            <v>4075213</v>
          </cell>
          <cell r="I12">
            <v>60892</v>
          </cell>
          <cell r="J12">
            <v>137714</v>
          </cell>
          <cell r="K12">
            <v>59685</v>
          </cell>
          <cell r="L12">
            <v>28350</v>
          </cell>
          <cell r="M12">
            <v>0</v>
          </cell>
          <cell r="N12">
            <v>0</v>
          </cell>
          <cell r="O12">
            <v>226333</v>
          </cell>
          <cell r="P12">
            <v>0</v>
          </cell>
          <cell r="Q12">
            <v>1699</v>
          </cell>
          <cell r="R12">
            <v>0</v>
          </cell>
          <cell r="S12">
            <v>37038</v>
          </cell>
          <cell r="T12">
            <v>0</v>
          </cell>
          <cell r="U12">
            <v>-1363078</v>
          </cell>
          <cell r="V12" t="str">
            <v xml:space="preserve"> </v>
          </cell>
          <cell r="W12">
            <v>3204161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3794483</v>
          </cell>
          <cell r="AC12">
            <v>60892</v>
          </cell>
          <cell r="AD12">
            <v>117002</v>
          </cell>
          <cell r="AE12">
            <v>63472</v>
          </cell>
          <cell r="AF12">
            <v>30149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4255</v>
          </cell>
          <cell r="AL12">
            <v>0</v>
          </cell>
          <cell r="AM12">
            <v>32624</v>
          </cell>
          <cell r="AN12">
            <v>0</v>
          </cell>
          <cell r="AO12">
            <v>-867458</v>
          </cell>
          <cell r="AP12">
            <v>3171947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str">
            <v xml:space="preserve"> </v>
          </cell>
          <cell r="AV12" t="str">
            <v xml:space="preserve"> </v>
          </cell>
          <cell r="AW12" t="str">
            <v xml:space="preserve"> </v>
          </cell>
        </row>
        <row r="13">
          <cell r="C13" t="str">
            <v xml:space="preserve">BARSTOW Subtotal       </v>
          </cell>
          <cell r="H13">
            <v>4075213</v>
          </cell>
          <cell r="I13">
            <v>60892</v>
          </cell>
          <cell r="J13">
            <v>137714</v>
          </cell>
          <cell r="K13">
            <v>59685</v>
          </cell>
          <cell r="L13">
            <v>28350</v>
          </cell>
          <cell r="M13">
            <v>0</v>
          </cell>
          <cell r="N13">
            <v>0</v>
          </cell>
          <cell r="O13">
            <v>226333</v>
          </cell>
          <cell r="P13">
            <v>0</v>
          </cell>
          <cell r="Q13">
            <v>1699</v>
          </cell>
          <cell r="R13">
            <v>0</v>
          </cell>
          <cell r="S13">
            <v>37038</v>
          </cell>
          <cell r="T13">
            <v>0</v>
          </cell>
          <cell r="U13">
            <v>-1363078</v>
          </cell>
          <cell r="V13">
            <v>0</v>
          </cell>
          <cell r="W13">
            <v>3204161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3794483</v>
          </cell>
          <cell r="AC13">
            <v>60892</v>
          </cell>
          <cell r="AD13">
            <v>117002</v>
          </cell>
          <cell r="AE13">
            <v>63472</v>
          </cell>
          <cell r="AF13">
            <v>30149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4255</v>
          </cell>
          <cell r="AL13">
            <v>0</v>
          </cell>
          <cell r="AM13">
            <v>32624</v>
          </cell>
          <cell r="AN13">
            <v>0</v>
          </cell>
          <cell r="AO13">
            <v>-867458</v>
          </cell>
          <cell r="AP13">
            <v>3171947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5">
          <cell r="C15" t="str">
            <v xml:space="preserve"> BUTTE             </v>
          </cell>
          <cell r="D15" t="str">
            <v xml:space="preserve"> BUTTE             </v>
          </cell>
          <cell r="E15">
            <v>110</v>
          </cell>
          <cell r="F15" t="str">
            <v xml:space="preserve"> 2015-2016</v>
          </cell>
          <cell r="G15" t="str">
            <v xml:space="preserve"> 11/15/2015</v>
          </cell>
          <cell r="H15">
            <v>10974065</v>
          </cell>
          <cell r="I15">
            <v>130153</v>
          </cell>
          <cell r="J15">
            <v>701090</v>
          </cell>
          <cell r="K15">
            <v>64361</v>
          </cell>
          <cell r="L15">
            <v>30571</v>
          </cell>
          <cell r="M15">
            <v>0</v>
          </cell>
          <cell r="N15">
            <v>0</v>
          </cell>
          <cell r="O15">
            <v>1261701</v>
          </cell>
          <cell r="P15">
            <v>0</v>
          </cell>
          <cell r="Q15">
            <v>17249</v>
          </cell>
          <cell r="R15">
            <v>27330</v>
          </cell>
          <cell r="S15">
            <v>217443</v>
          </cell>
          <cell r="T15">
            <v>6307</v>
          </cell>
          <cell r="U15">
            <v>-3280345</v>
          </cell>
          <cell r="V15" t="str">
            <v xml:space="preserve"> </v>
          </cell>
          <cell r="W15">
            <v>10085564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12533000</v>
          </cell>
          <cell r="AC15">
            <v>111000</v>
          </cell>
          <cell r="AD15">
            <v>757400</v>
          </cell>
          <cell r="AE15">
            <v>54707</v>
          </cell>
          <cell r="AF15">
            <v>25986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15000</v>
          </cell>
          <cell r="AL15">
            <v>23200</v>
          </cell>
          <cell r="AM15">
            <v>213000</v>
          </cell>
          <cell r="AN15">
            <v>5400</v>
          </cell>
          <cell r="AO15">
            <v>-1505999</v>
          </cell>
          <cell r="AP15">
            <v>12177987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str">
            <v xml:space="preserve"> </v>
          </cell>
          <cell r="AV15" t="str">
            <v xml:space="preserve"> </v>
          </cell>
          <cell r="AW15" t="str">
            <v xml:space="preserve"> </v>
          </cell>
        </row>
        <row r="16">
          <cell r="C16" t="str">
            <v xml:space="preserve"> BUTTE             </v>
          </cell>
          <cell r="D16" t="str">
            <v xml:space="preserve"> GLENN             </v>
          </cell>
          <cell r="E16">
            <v>110</v>
          </cell>
          <cell r="F16" t="str">
            <v xml:space="preserve"> 2015-2016</v>
          </cell>
          <cell r="G16" t="str">
            <v xml:space="preserve"> 11/15/2015</v>
          </cell>
          <cell r="H16">
            <v>2223968</v>
          </cell>
          <cell r="I16">
            <v>47256</v>
          </cell>
          <cell r="J16">
            <v>112663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27631</v>
          </cell>
          <cell r="T16">
            <v>0</v>
          </cell>
          <cell r="U16">
            <v>-214450</v>
          </cell>
          <cell r="V16" t="str">
            <v xml:space="preserve"> </v>
          </cell>
          <cell r="W16">
            <v>2197068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2403427</v>
          </cell>
          <cell r="AC16">
            <v>0</v>
          </cell>
          <cell r="AD16">
            <v>122632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27675</v>
          </cell>
          <cell r="AN16">
            <v>0</v>
          </cell>
          <cell r="AO16">
            <v>-74334</v>
          </cell>
          <cell r="AP16">
            <v>2479400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str">
            <v xml:space="preserve"> </v>
          </cell>
          <cell r="AV16" t="str">
            <v xml:space="preserve"> </v>
          </cell>
          <cell r="AW16" t="str">
            <v xml:space="preserve"> </v>
          </cell>
        </row>
        <row r="17">
          <cell r="C17" t="str">
            <v xml:space="preserve">BUTTE Subtotal            </v>
          </cell>
          <cell r="H17">
            <v>13198033</v>
          </cell>
          <cell r="I17">
            <v>177409</v>
          </cell>
          <cell r="J17">
            <v>813753</v>
          </cell>
          <cell r="K17">
            <v>64361</v>
          </cell>
          <cell r="L17">
            <v>30571</v>
          </cell>
          <cell r="M17">
            <v>0</v>
          </cell>
          <cell r="N17">
            <v>0</v>
          </cell>
          <cell r="O17">
            <v>1261701</v>
          </cell>
          <cell r="P17">
            <v>0</v>
          </cell>
          <cell r="Q17">
            <v>17249</v>
          </cell>
          <cell r="R17">
            <v>27330</v>
          </cell>
          <cell r="S17">
            <v>245074</v>
          </cell>
          <cell r="T17">
            <v>6307</v>
          </cell>
          <cell r="U17">
            <v>-3494795</v>
          </cell>
          <cell r="V17">
            <v>0</v>
          </cell>
          <cell r="W17">
            <v>12282632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14936427</v>
          </cell>
          <cell r="AC17">
            <v>111000</v>
          </cell>
          <cell r="AD17">
            <v>880032</v>
          </cell>
          <cell r="AE17">
            <v>54707</v>
          </cell>
          <cell r="AF17">
            <v>25986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15000</v>
          </cell>
          <cell r="AL17">
            <v>23200</v>
          </cell>
          <cell r="AM17">
            <v>240675</v>
          </cell>
          <cell r="AN17">
            <v>5400</v>
          </cell>
          <cell r="AO17">
            <v>-1580333</v>
          </cell>
          <cell r="AP17">
            <v>14657387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</row>
        <row r="19">
          <cell r="C19" t="str">
            <v xml:space="preserve"> CABRILLO          </v>
          </cell>
          <cell r="D19" t="str">
            <v xml:space="preserve"> MONTEREY          </v>
          </cell>
          <cell r="E19">
            <v>410</v>
          </cell>
          <cell r="F19" t="str">
            <v xml:space="preserve"> 2015-2016</v>
          </cell>
          <cell r="G19" t="str">
            <v xml:space="preserve"> 11/15/2015</v>
          </cell>
          <cell r="H19">
            <v>712724</v>
          </cell>
          <cell r="I19">
            <v>13621</v>
          </cell>
          <cell r="J19">
            <v>28816</v>
          </cell>
          <cell r="K19">
            <v>1573</v>
          </cell>
          <cell r="L19">
            <v>747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10696</v>
          </cell>
          <cell r="R19">
            <v>0</v>
          </cell>
          <cell r="S19">
            <v>4228</v>
          </cell>
          <cell r="T19">
            <v>0</v>
          </cell>
          <cell r="U19">
            <v>0</v>
          </cell>
          <cell r="V19" t="str">
            <v xml:space="preserve"> </v>
          </cell>
          <cell r="W19">
            <v>770832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728824</v>
          </cell>
          <cell r="AC19">
            <v>8173</v>
          </cell>
          <cell r="AD19">
            <v>29497</v>
          </cell>
          <cell r="AE19">
            <v>1573</v>
          </cell>
          <cell r="AF19">
            <v>747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6418</v>
          </cell>
          <cell r="AL19">
            <v>0</v>
          </cell>
          <cell r="AM19">
            <v>4221</v>
          </cell>
          <cell r="AN19">
            <v>0</v>
          </cell>
          <cell r="AO19">
            <v>0</v>
          </cell>
          <cell r="AP19">
            <v>777880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str">
            <v xml:space="preserve"> </v>
          </cell>
          <cell r="AV19" t="str">
            <v xml:space="preserve"> </v>
          </cell>
          <cell r="AW19" t="str">
            <v xml:space="preserve"> </v>
          </cell>
        </row>
        <row r="20">
          <cell r="C20" t="str">
            <v xml:space="preserve"> CABRILLO          </v>
          </cell>
          <cell r="D20" t="str">
            <v xml:space="preserve"> SAN BENITO        </v>
          </cell>
          <cell r="E20">
            <v>410</v>
          </cell>
          <cell r="F20" t="str">
            <v xml:space="preserve"> 2015-2016</v>
          </cell>
          <cell r="G20" t="str">
            <v xml:space="preserve"> 11/15/2015</v>
          </cell>
          <cell r="H20">
            <v>150509</v>
          </cell>
          <cell r="I20">
            <v>2049</v>
          </cell>
          <cell r="J20">
            <v>8557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119</v>
          </cell>
          <cell r="R20">
            <v>0</v>
          </cell>
          <cell r="S20">
            <v>1436</v>
          </cell>
          <cell r="T20">
            <v>0</v>
          </cell>
          <cell r="U20">
            <v>-4515</v>
          </cell>
          <cell r="V20" t="str">
            <v xml:space="preserve"> </v>
          </cell>
          <cell r="W20">
            <v>158155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165341</v>
          </cell>
          <cell r="AC20">
            <v>2671</v>
          </cell>
          <cell r="AD20">
            <v>8319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1459</v>
          </cell>
          <cell r="AN20">
            <v>0</v>
          </cell>
          <cell r="AO20">
            <v>-897</v>
          </cell>
          <cell r="AP20">
            <v>176893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str">
            <v xml:space="preserve"> </v>
          </cell>
          <cell r="AV20" t="str">
            <v xml:space="preserve"> </v>
          </cell>
          <cell r="AW20" t="str">
            <v xml:space="preserve"> </v>
          </cell>
        </row>
        <row r="21">
          <cell r="C21" t="str">
            <v xml:space="preserve"> CABRILLO          </v>
          </cell>
          <cell r="D21" t="str">
            <v xml:space="preserve"> SANTA CRUZ        </v>
          </cell>
          <cell r="E21">
            <v>410</v>
          </cell>
          <cell r="F21" t="str">
            <v xml:space="preserve"> 2015-2016</v>
          </cell>
          <cell r="G21" t="str">
            <v xml:space="preserve"> 11/15/2015</v>
          </cell>
          <cell r="H21">
            <v>18805194</v>
          </cell>
          <cell r="I21">
            <v>235942</v>
          </cell>
          <cell r="J21">
            <v>386023</v>
          </cell>
          <cell r="K21">
            <v>291963</v>
          </cell>
          <cell r="L21">
            <v>138682</v>
          </cell>
          <cell r="M21">
            <v>0</v>
          </cell>
          <cell r="N21">
            <v>0</v>
          </cell>
          <cell r="O21">
            <v>1172958</v>
          </cell>
          <cell r="P21">
            <v>0</v>
          </cell>
          <cell r="Q21">
            <v>54663</v>
          </cell>
          <cell r="R21">
            <v>9687</v>
          </cell>
          <cell r="S21">
            <v>144905</v>
          </cell>
          <cell r="T21">
            <v>0</v>
          </cell>
          <cell r="U21">
            <v>15383</v>
          </cell>
          <cell r="V21" t="str">
            <v xml:space="preserve"> </v>
          </cell>
          <cell r="W21">
            <v>20963437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19935783</v>
          </cell>
          <cell r="AC21">
            <v>200550</v>
          </cell>
          <cell r="AD21">
            <v>437421</v>
          </cell>
          <cell r="AE21">
            <v>248169</v>
          </cell>
          <cell r="AF21">
            <v>117880</v>
          </cell>
          <cell r="AG21">
            <v>0</v>
          </cell>
          <cell r="AH21">
            <v>0</v>
          </cell>
          <cell r="AI21">
            <v>997014</v>
          </cell>
          <cell r="AJ21">
            <v>0</v>
          </cell>
          <cell r="AK21">
            <v>0</v>
          </cell>
          <cell r="AL21">
            <v>8234</v>
          </cell>
          <cell r="AM21">
            <v>138027</v>
          </cell>
          <cell r="AN21">
            <v>0</v>
          </cell>
          <cell r="AO21">
            <v>862882</v>
          </cell>
          <cell r="AP21">
            <v>22697791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str">
            <v xml:space="preserve"> </v>
          </cell>
          <cell r="AV21" t="str">
            <v xml:space="preserve"> </v>
          </cell>
          <cell r="AW21" t="str">
            <v xml:space="preserve"> </v>
          </cell>
        </row>
        <row r="22">
          <cell r="C22" t="str">
            <v xml:space="preserve">CABRILLO Subtotal          </v>
          </cell>
          <cell r="H22">
            <v>19668427</v>
          </cell>
          <cell r="I22">
            <v>251612</v>
          </cell>
          <cell r="J22">
            <v>423396</v>
          </cell>
          <cell r="K22">
            <v>293536</v>
          </cell>
          <cell r="L22">
            <v>139429</v>
          </cell>
          <cell r="M22">
            <v>0</v>
          </cell>
          <cell r="N22">
            <v>0</v>
          </cell>
          <cell r="O22">
            <v>1172958</v>
          </cell>
          <cell r="P22">
            <v>0</v>
          </cell>
          <cell r="Q22">
            <v>65478</v>
          </cell>
          <cell r="R22">
            <v>9687</v>
          </cell>
          <cell r="S22">
            <v>150569</v>
          </cell>
          <cell r="T22">
            <v>0</v>
          </cell>
          <cell r="U22">
            <v>10868</v>
          </cell>
          <cell r="V22">
            <v>0</v>
          </cell>
          <cell r="W22">
            <v>21892424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20829948</v>
          </cell>
          <cell r="AC22">
            <v>211394</v>
          </cell>
          <cell r="AD22">
            <v>475237</v>
          </cell>
          <cell r="AE22">
            <v>249742</v>
          </cell>
          <cell r="AF22">
            <v>118627</v>
          </cell>
          <cell r="AG22">
            <v>0</v>
          </cell>
          <cell r="AH22">
            <v>0</v>
          </cell>
          <cell r="AI22">
            <v>997014</v>
          </cell>
          <cell r="AJ22">
            <v>0</v>
          </cell>
          <cell r="AK22">
            <v>6418</v>
          </cell>
          <cell r="AL22">
            <v>8234</v>
          </cell>
          <cell r="AM22">
            <v>143707</v>
          </cell>
          <cell r="AN22">
            <v>0</v>
          </cell>
          <cell r="AO22">
            <v>861985</v>
          </cell>
          <cell r="AP22">
            <v>23652564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</row>
        <row r="24">
          <cell r="C24" t="str">
            <v xml:space="preserve"> CERRITOS          </v>
          </cell>
          <cell r="D24" t="str">
            <v xml:space="preserve"> LOS ANGELES       </v>
          </cell>
          <cell r="E24">
            <v>810</v>
          </cell>
          <cell r="F24" t="str">
            <v xml:space="preserve"> 2015-2016</v>
          </cell>
          <cell r="G24" t="str">
            <v xml:space="preserve"> 11/15/2015</v>
          </cell>
          <cell r="H24">
            <v>7501085</v>
          </cell>
          <cell r="I24">
            <v>241562</v>
          </cell>
          <cell r="J24">
            <v>212263</v>
          </cell>
          <cell r="K24">
            <v>158184</v>
          </cell>
          <cell r="L24">
            <v>75137</v>
          </cell>
          <cell r="M24">
            <v>0</v>
          </cell>
          <cell r="N24">
            <v>0</v>
          </cell>
          <cell r="O24">
            <v>847376</v>
          </cell>
          <cell r="P24">
            <v>-252</v>
          </cell>
          <cell r="Q24">
            <v>206755</v>
          </cell>
          <cell r="R24">
            <v>0</v>
          </cell>
          <cell r="S24">
            <v>56186</v>
          </cell>
          <cell r="T24">
            <v>0</v>
          </cell>
          <cell r="U24">
            <v>4207729</v>
          </cell>
          <cell r="V24" t="str">
            <v xml:space="preserve"> </v>
          </cell>
          <cell r="W24">
            <v>13347841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7840134</v>
          </cell>
          <cell r="AC24">
            <v>301953</v>
          </cell>
          <cell r="AD24">
            <v>212000</v>
          </cell>
          <cell r="AE24">
            <v>74021</v>
          </cell>
          <cell r="AF24">
            <v>35160</v>
          </cell>
          <cell r="AG24">
            <v>0</v>
          </cell>
          <cell r="AH24">
            <v>0</v>
          </cell>
          <cell r="AI24">
            <v>205052</v>
          </cell>
          <cell r="AJ24">
            <v>0</v>
          </cell>
          <cell r="AK24">
            <v>244825</v>
          </cell>
          <cell r="AL24">
            <v>0</v>
          </cell>
          <cell r="AM24">
            <v>56200</v>
          </cell>
          <cell r="AN24">
            <v>0</v>
          </cell>
          <cell r="AO24">
            <v>0</v>
          </cell>
          <cell r="AP24">
            <v>8895324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str">
            <v xml:space="preserve"> </v>
          </cell>
          <cell r="AV24" t="str">
            <v xml:space="preserve"> </v>
          </cell>
          <cell r="AW24" t="str">
            <v xml:space="preserve"> </v>
          </cell>
        </row>
        <row r="25">
          <cell r="C25" t="str">
            <v xml:space="preserve">CERRITOS Subtotal     </v>
          </cell>
          <cell r="H25">
            <v>7501085</v>
          </cell>
          <cell r="I25">
            <v>241562</v>
          </cell>
          <cell r="J25">
            <v>212263</v>
          </cell>
          <cell r="K25">
            <v>158184</v>
          </cell>
          <cell r="L25">
            <v>75137</v>
          </cell>
          <cell r="M25">
            <v>0</v>
          </cell>
          <cell r="N25">
            <v>0</v>
          </cell>
          <cell r="O25">
            <v>847376</v>
          </cell>
          <cell r="P25">
            <v>-252</v>
          </cell>
          <cell r="Q25">
            <v>206755</v>
          </cell>
          <cell r="R25">
            <v>0</v>
          </cell>
          <cell r="S25">
            <v>56186</v>
          </cell>
          <cell r="T25">
            <v>0</v>
          </cell>
          <cell r="U25">
            <v>4207729</v>
          </cell>
          <cell r="V25">
            <v>0</v>
          </cell>
          <cell r="W25">
            <v>13347841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7840134</v>
          </cell>
          <cell r="AC25">
            <v>301953</v>
          </cell>
          <cell r="AD25">
            <v>212000</v>
          </cell>
          <cell r="AE25">
            <v>74021</v>
          </cell>
          <cell r="AF25">
            <v>35160</v>
          </cell>
          <cell r="AG25">
            <v>0</v>
          </cell>
          <cell r="AH25">
            <v>0</v>
          </cell>
          <cell r="AI25">
            <v>205052</v>
          </cell>
          <cell r="AJ25">
            <v>0</v>
          </cell>
          <cell r="AK25">
            <v>244825</v>
          </cell>
          <cell r="AL25">
            <v>0</v>
          </cell>
          <cell r="AM25">
            <v>56200</v>
          </cell>
          <cell r="AN25">
            <v>0</v>
          </cell>
          <cell r="AO25">
            <v>0</v>
          </cell>
          <cell r="AP25">
            <v>8895324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</row>
        <row r="27">
          <cell r="C27" t="str">
            <v xml:space="preserve"> CHABOT-LAS POSITAS</v>
          </cell>
          <cell r="D27" t="str">
            <v xml:space="preserve"> ALAMEDA           </v>
          </cell>
          <cell r="E27">
            <v>480</v>
          </cell>
          <cell r="F27" t="str">
            <v xml:space="preserve"> 2015-2016</v>
          </cell>
          <cell r="G27" t="str">
            <v xml:space="preserve"> 11/15/2015</v>
          </cell>
          <cell r="H27">
            <v>23326587</v>
          </cell>
          <cell r="I27">
            <v>655572</v>
          </cell>
          <cell r="J27">
            <v>1405679</v>
          </cell>
          <cell r="K27">
            <v>682709</v>
          </cell>
          <cell r="L27">
            <v>324287</v>
          </cell>
          <cell r="M27">
            <v>0</v>
          </cell>
          <cell r="N27">
            <v>0</v>
          </cell>
          <cell r="O27">
            <v>1005411</v>
          </cell>
          <cell r="P27">
            <v>0</v>
          </cell>
          <cell r="Q27">
            <v>-602799</v>
          </cell>
          <cell r="R27">
            <v>0</v>
          </cell>
          <cell r="S27">
            <v>215296</v>
          </cell>
          <cell r="T27">
            <v>842</v>
          </cell>
          <cell r="U27">
            <v>3848416</v>
          </cell>
          <cell r="V27" t="str">
            <v xml:space="preserve"> </v>
          </cell>
          <cell r="W27">
            <v>30179291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24579083</v>
          </cell>
          <cell r="AC27">
            <v>625418</v>
          </cell>
          <cell r="AD27">
            <v>1761412</v>
          </cell>
          <cell r="AE27">
            <v>682709</v>
          </cell>
          <cell r="AF27">
            <v>324287</v>
          </cell>
          <cell r="AG27">
            <v>0</v>
          </cell>
          <cell r="AH27">
            <v>0</v>
          </cell>
          <cell r="AI27">
            <v>1005411</v>
          </cell>
          <cell r="AJ27">
            <v>84347</v>
          </cell>
          <cell r="AK27">
            <v>-602799</v>
          </cell>
          <cell r="AL27">
            <v>0</v>
          </cell>
          <cell r="AM27">
            <v>210588</v>
          </cell>
          <cell r="AN27">
            <v>842</v>
          </cell>
          <cell r="AO27">
            <v>6451121</v>
          </cell>
          <cell r="AP27">
            <v>34439710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str">
            <v xml:space="preserve"> </v>
          </cell>
          <cell r="AV27" t="str">
            <v xml:space="preserve"> </v>
          </cell>
          <cell r="AW27" t="str">
            <v xml:space="preserve"> </v>
          </cell>
        </row>
        <row r="28">
          <cell r="C28" t="str">
            <v xml:space="preserve"> CHABOT-LAS POSITAS</v>
          </cell>
          <cell r="D28" t="str">
            <v xml:space="preserve"> CONTRA COSTA      </v>
          </cell>
          <cell r="E28">
            <v>480</v>
          </cell>
          <cell r="F28" t="str">
            <v xml:space="preserve"> 2015-2016</v>
          </cell>
          <cell r="G28" t="str">
            <v xml:space="preserve"> 11/15/2015</v>
          </cell>
          <cell r="H28">
            <v>275604</v>
          </cell>
          <cell r="I28">
            <v>5378</v>
          </cell>
          <cell r="J28">
            <v>9450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2371</v>
          </cell>
          <cell r="T28">
            <v>27</v>
          </cell>
          <cell r="U28">
            <v>0</v>
          </cell>
          <cell r="V28" t="str">
            <v xml:space="preserve"> </v>
          </cell>
          <cell r="W28">
            <v>292830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297399</v>
          </cell>
          <cell r="AC28">
            <v>5400</v>
          </cell>
          <cell r="AD28">
            <v>9110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2315</v>
          </cell>
          <cell r="AN28">
            <v>0</v>
          </cell>
          <cell r="AO28">
            <v>0</v>
          </cell>
          <cell r="AP28">
            <v>314224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str">
            <v xml:space="preserve"> </v>
          </cell>
          <cell r="AV28" t="str">
            <v xml:space="preserve"> </v>
          </cell>
          <cell r="AW28" t="str">
            <v xml:space="preserve"> </v>
          </cell>
        </row>
        <row r="29">
          <cell r="C29" t="str">
            <v>CHABOT-LAS POSITAS Subtotal</v>
          </cell>
          <cell r="H29">
            <v>23602191</v>
          </cell>
          <cell r="I29">
            <v>660950</v>
          </cell>
          <cell r="J29">
            <v>1415129</v>
          </cell>
          <cell r="K29">
            <v>682709</v>
          </cell>
          <cell r="L29">
            <v>324287</v>
          </cell>
          <cell r="M29">
            <v>0</v>
          </cell>
          <cell r="N29">
            <v>0</v>
          </cell>
          <cell r="O29">
            <v>1005411</v>
          </cell>
          <cell r="P29">
            <v>0</v>
          </cell>
          <cell r="Q29">
            <v>-602799</v>
          </cell>
          <cell r="R29">
            <v>0</v>
          </cell>
          <cell r="S29">
            <v>217667</v>
          </cell>
          <cell r="T29">
            <v>869</v>
          </cell>
          <cell r="U29">
            <v>3848416</v>
          </cell>
          <cell r="V29">
            <v>0</v>
          </cell>
          <cell r="W29">
            <v>30472121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24876482</v>
          </cell>
          <cell r="AC29">
            <v>630818</v>
          </cell>
          <cell r="AD29">
            <v>1770522</v>
          </cell>
          <cell r="AE29">
            <v>682709</v>
          </cell>
          <cell r="AF29">
            <v>324287</v>
          </cell>
          <cell r="AG29">
            <v>0</v>
          </cell>
          <cell r="AH29">
            <v>0</v>
          </cell>
          <cell r="AI29">
            <v>1005411</v>
          </cell>
          <cell r="AJ29">
            <v>84347</v>
          </cell>
          <cell r="AK29">
            <v>-602799</v>
          </cell>
          <cell r="AL29">
            <v>0</v>
          </cell>
          <cell r="AM29">
            <v>212903</v>
          </cell>
          <cell r="AN29">
            <v>842</v>
          </cell>
          <cell r="AO29">
            <v>6451121</v>
          </cell>
          <cell r="AP29">
            <v>34753934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</row>
        <row r="31">
          <cell r="C31" t="str">
            <v xml:space="preserve"> CHAFFEY           </v>
          </cell>
          <cell r="D31" t="str">
            <v xml:space="preserve"> SAN BERNARDINO    </v>
          </cell>
          <cell r="E31">
            <v>920</v>
          </cell>
          <cell r="F31" t="str">
            <v xml:space="preserve"> 2015-2016</v>
          </cell>
          <cell r="G31" t="str">
            <v xml:space="preserve"> 11/15/2015</v>
          </cell>
          <cell r="H31">
            <v>24532234</v>
          </cell>
          <cell r="I31">
            <v>481045</v>
          </cell>
          <cell r="J31">
            <v>1035887</v>
          </cell>
          <cell r="K31">
            <v>1720409</v>
          </cell>
          <cell r="L31">
            <v>817194</v>
          </cell>
          <cell r="M31">
            <v>0</v>
          </cell>
          <cell r="N31">
            <v>0</v>
          </cell>
          <cell r="O31">
            <v>10358065</v>
          </cell>
          <cell r="P31">
            <v>0</v>
          </cell>
          <cell r="Q31">
            <v>12485</v>
          </cell>
          <cell r="R31">
            <v>0</v>
          </cell>
          <cell r="S31">
            <v>278599</v>
          </cell>
          <cell r="T31">
            <v>0</v>
          </cell>
          <cell r="U31">
            <v>-10253076</v>
          </cell>
          <cell r="V31" t="str">
            <v xml:space="preserve"> </v>
          </cell>
          <cell r="W31">
            <v>27262433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25497935</v>
          </cell>
          <cell r="AC31">
            <v>481045</v>
          </cell>
          <cell r="AD31">
            <v>1003783</v>
          </cell>
          <cell r="AE31">
            <v>1786137</v>
          </cell>
          <cell r="AF31">
            <v>848415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31277</v>
          </cell>
          <cell r="AL31">
            <v>0</v>
          </cell>
          <cell r="AM31">
            <v>279886</v>
          </cell>
          <cell r="AN31">
            <v>0</v>
          </cell>
          <cell r="AO31">
            <v>-7442093</v>
          </cell>
          <cell r="AP31">
            <v>20700248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str">
            <v xml:space="preserve"> </v>
          </cell>
          <cell r="AV31" t="str">
            <v xml:space="preserve"> </v>
          </cell>
          <cell r="AW31" t="str">
            <v xml:space="preserve"> </v>
          </cell>
        </row>
        <row r="32">
          <cell r="C32" t="str">
            <v xml:space="preserve">CHAFFEY Subtotal     </v>
          </cell>
          <cell r="H32">
            <v>24532234</v>
          </cell>
          <cell r="I32">
            <v>481045</v>
          </cell>
          <cell r="J32">
            <v>1035887</v>
          </cell>
          <cell r="K32">
            <v>1720409</v>
          </cell>
          <cell r="L32">
            <v>817194</v>
          </cell>
          <cell r="M32">
            <v>0</v>
          </cell>
          <cell r="N32">
            <v>0</v>
          </cell>
          <cell r="O32">
            <v>10358065</v>
          </cell>
          <cell r="P32">
            <v>0</v>
          </cell>
          <cell r="Q32">
            <v>12485</v>
          </cell>
          <cell r="R32">
            <v>0</v>
          </cell>
          <cell r="S32">
            <v>278599</v>
          </cell>
          <cell r="T32">
            <v>0</v>
          </cell>
          <cell r="U32">
            <v>-10253076</v>
          </cell>
          <cell r="V32">
            <v>0</v>
          </cell>
          <cell r="W32">
            <v>27262433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25497935</v>
          </cell>
          <cell r="AC32">
            <v>481045</v>
          </cell>
          <cell r="AD32">
            <v>1003783</v>
          </cell>
          <cell r="AE32">
            <v>1786137</v>
          </cell>
          <cell r="AF32">
            <v>848415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31277</v>
          </cell>
          <cell r="AL32">
            <v>0</v>
          </cell>
          <cell r="AM32">
            <v>279886</v>
          </cell>
          <cell r="AN32">
            <v>0</v>
          </cell>
          <cell r="AO32">
            <v>-7442093</v>
          </cell>
          <cell r="AP32">
            <v>20700248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</row>
        <row r="34">
          <cell r="C34" t="str">
            <v xml:space="preserve"> CITRUS            </v>
          </cell>
          <cell r="D34" t="str">
            <v xml:space="preserve"> LOS ANGELES       </v>
          </cell>
          <cell r="E34">
            <v>820</v>
          </cell>
          <cell r="F34" t="str">
            <v xml:space="preserve"> 2015-2016</v>
          </cell>
          <cell r="G34" t="str">
            <v xml:space="preserve"> 11/15/2015</v>
          </cell>
          <cell r="H34">
            <v>4193110</v>
          </cell>
          <cell r="I34">
            <v>120255</v>
          </cell>
          <cell r="J34">
            <v>94581</v>
          </cell>
          <cell r="K34">
            <v>78708</v>
          </cell>
          <cell r="L34">
            <v>37386</v>
          </cell>
          <cell r="M34">
            <v>0</v>
          </cell>
          <cell r="N34">
            <v>0</v>
          </cell>
          <cell r="O34">
            <v>377151</v>
          </cell>
          <cell r="P34">
            <v>0</v>
          </cell>
          <cell r="Q34">
            <v>108472</v>
          </cell>
          <cell r="R34">
            <v>0</v>
          </cell>
          <cell r="S34">
            <v>31651</v>
          </cell>
          <cell r="T34">
            <v>0</v>
          </cell>
          <cell r="U34">
            <v>0</v>
          </cell>
          <cell r="V34" t="str">
            <v xml:space="preserve"> </v>
          </cell>
          <cell r="W34">
            <v>4962606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4445535</v>
          </cell>
          <cell r="AC34">
            <v>150319</v>
          </cell>
          <cell r="AD34">
            <v>95000</v>
          </cell>
          <cell r="AE34">
            <v>33330</v>
          </cell>
          <cell r="AF34">
            <v>15832</v>
          </cell>
          <cell r="AG34">
            <v>0</v>
          </cell>
          <cell r="AH34">
            <v>0</v>
          </cell>
          <cell r="AI34">
            <v>174490</v>
          </cell>
          <cell r="AJ34">
            <v>0</v>
          </cell>
          <cell r="AK34">
            <v>112738</v>
          </cell>
          <cell r="AL34">
            <v>0</v>
          </cell>
          <cell r="AM34">
            <v>31700</v>
          </cell>
          <cell r="AN34">
            <v>0</v>
          </cell>
          <cell r="AO34">
            <v>0</v>
          </cell>
          <cell r="AP34">
            <v>5025614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str">
            <v xml:space="preserve"> </v>
          </cell>
          <cell r="AV34" t="str">
            <v xml:space="preserve"> </v>
          </cell>
          <cell r="AW34" t="str">
            <v xml:space="preserve"> </v>
          </cell>
        </row>
        <row r="35">
          <cell r="C35" t="str">
            <v xml:space="preserve">CITRUS Subtotal       </v>
          </cell>
          <cell r="H35">
            <v>4193110</v>
          </cell>
          <cell r="I35">
            <v>120255</v>
          </cell>
          <cell r="J35">
            <v>94581</v>
          </cell>
          <cell r="K35">
            <v>78708</v>
          </cell>
          <cell r="L35">
            <v>37386</v>
          </cell>
          <cell r="M35">
            <v>0</v>
          </cell>
          <cell r="N35">
            <v>0</v>
          </cell>
          <cell r="O35">
            <v>377151</v>
          </cell>
          <cell r="P35">
            <v>0</v>
          </cell>
          <cell r="Q35">
            <v>108472</v>
          </cell>
          <cell r="R35">
            <v>0</v>
          </cell>
          <cell r="S35">
            <v>31651</v>
          </cell>
          <cell r="T35">
            <v>0</v>
          </cell>
          <cell r="U35">
            <v>0</v>
          </cell>
          <cell r="V35">
            <v>0</v>
          </cell>
          <cell r="W35">
            <v>4962606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4445535</v>
          </cell>
          <cell r="AC35">
            <v>150319</v>
          </cell>
          <cell r="AD35">
            <v>95000</v>
          </cell>
          <cell r="AE35">
            <v>33330</v>
          </cell>
          <cell r="AF35">
            <v>15832</v>
          </cell>
          <cell r="AG35">
            <v>0</v>
          </cell>
          <cell r="AH35">
            <v>0</v>
          </cell>
          <cell r="AI35">
            <v>174490</v>
          </cell>
          <cell r="AJ35">
            <v>0</v>
          </cell>
          <cell r="AK35">
            <v>112738</v>
          </cell>
          <cell r="AL35">
            <v>0</v>
          </cell>
          <cell r="AM35">
            <v>31700</v>
          </cell>
          <cell r="AN35">
            <v>0</v>
          </cell>
          <cell r="AO35">
            <v>0</v>
          </cell>
          <cell r="AP35">
            <v>5025614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</row>
        <row r="37">
          <cell r="C37" t="str">
            <v xml:space="preserve"> COAST             </v>
          </cell>
          <cell r="D37" t="str">
            <v xml:space="preserve"> ORANGE            </v>
          </cell>
          <cell r="E37">
            <v>830</v>
          </cell>
          <cell r="F37" t="str">
            <v xml:space="preserve"> 2015-2016</v>
          </cell>
          <cell r="G37" t="str">
            <v xml:space="preserve"> 11/15/2015</v>
          </cell>
          <cell r="H37">
            <v>93100524</v>
          </cell>
          <cell r="I37">
            <v>2674924</v>
          </cell>
          <cell r="J37">
            <v>3576660</v>
          </cell>
          <cell r="K37">
            <v>1534649</v>
          </cell>
          <cell r="L37">
            <v>728958</v>
          </cell>
          <cell r="M37">
            <v>0</v>
          </cell>
          <cell r="N37">
            <v>0</v>
          </cell>
          <cell r="O37">
            <v>4553465</v>
          </cell>
          <cell r="P37">
            <v>283394</v>
          </cell>
          <cell r="Q37">
            <v>1542715</v>
          </cell>
          <cell r="R37">
            <v>14</v>
          </cell>
          <cell r="S37">
            <v>690122</v>
          </cell>
          <cell r="T37">
            <v>0</v>
          </cell>
          <cell r="U37">
            <v>656554</v>
          </cell>
          <cell r="V37" t="str">
            <v xml:space="preserve"> </v>
          </cell>
          <cell r="W37">
            <v>107807330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100126954</v>
          </cell>
          <cell r="AC37">
            <v>2475711</v>
          </cell>
          <cell r="AD37">
            <v>3233811</v>
          </cell>
          <cell r="AE37">
            <v>1305466</v>
          </cell>
          <cell r="AF37">
            <v>620096</v>
          </cell>
          <cell r="AG37">
            <v>0</v>
          </cell>
          <cell r="AH37">
            <v>0</v>
          </cell>
          <cell r="AI37">
            <v>3511525</v>
          </cell>
          <cell r="AJ37">
            <v>0</v>
          </cell>
          <cell r="AK37">
            <v>1467926</v>
          </cell>
          <cell r="AL37">
            <v>14</v>
          </cell>
          <cell r="AM37">
            <v>687158</v>
          </cell>
          <cell r="AN37">
            <v>0</v>
          </cell>
          <cell r="AO37">
            <v>6533880</v>
          </cell>
          <cell r="AP37">
            <v>118657075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str">
            <v xml:space="preserve"> </v>
          </cell>
          <cell r="AV37" t="str">
            <v xml:space="preserve"> </v>
          </cell>
          <cell r="AW37" t="str">
            <v xml:space="preserve"> </v>
          </cell>
        </row>
        <row r="38">
          <cell r="C38" t="str">
            <v xml:space="preserve">COAST Subtotal         </v>
          </cell>
          <cell r="H38">
            <v>93100524</v>
          </cell>
          <cell r="I38">
            <v>2674924</v>
          </cell>
          <cell r="J38">
            <v>3576660</v>
          </cell>
          <cell r="K38">
            <v>1534649</v>
          </cell>
          <cell r="L38">
            <v>728958</v>
          </cell>
          <cell r="M38">
            <v>0</v>
          </cell>
          <cell r="N38">
            <v>0</v>
          </cell>
          <cell r="O38">
            <v>4553465</v>
          </cell>
          <cell r="P38">
            <v>283394</v>
          </cell>
          <cell r="Q38">
            <v>1542715</v>
          </cell>
          <cell r="R38">
            <v>14</v>
          </cell>
          <cell r="S38">
            <v>690122</v>
          </cell>
          <cell r="T38">
            <v>0</v>
          </cell>
          <cell r="U38">
            <v>656554</v>
          </cell>
          <cell r="V38">
            <v>0</v>
          </cell>
          <cell r="W38">
            <v>107807330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100126954</v>
          </cell>
          <cell r="AC38">
            <v>2475711</v>
          </cell>
          <cell r="AD38">
            <v>3233811</v>
          </cell>
          <cell r="AE38">
            <v>1305466</v>
          </cell>
          <cell r="AF38">
            <v>620096</v>
          </cell>
          <cell r="AG38">
            <v>0</v>
          </cell>
          <cell r="AH38">
            <v>0</v>
          </cell>
          <cell r="AI38">
            <v>3511525</v>
          </cell>
          <cell r="AJ38">
            <v>0</v>
          </cell>
          <cell r="AK38">
            <v>1467926</v>
          </cell>
          <cell r="AL38">
            <v>14</v>
          </cell>
          <cell r="AM38">
            <v>687158</v>
          </cell>
          <cell r="AN38">
            <v>0</v>
          </cell>
          <cell r="AO38">
            <v>6533880</v>
          </cell>
          <cell r="AP38">
            <v>118657075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</row>
        <row r="40">
          <cell r="C40" t="str">
            <v xml:space="preserve"> COMPTON           </v>
          </cell>
          <cell r="D40" t="str">
            <v xml:space="preserve"> LOS ANGELES       </v>
          </cell>
          <cell r="E40">
            <v>710</v>
          </cell>
          <cell r="F40" t="str">
            <v xml:space="preserve"> 2015-2016</v>
          </cell>
          <cell r="G40" t="str">
            <v xml:space="preserve"> 11/15/2015</v>
          </cell>
          <cell r="H40">
            <v>3747506</v>
          </cell>
          <cell r="I40">
            <v>114816</v>
          </cell>
          <cell r="J40">
            <v>49447</v>
          </cell>
          <cell r="K40">
            <v>140688</v>
          </cell>
          <cell r="L40">
            <v>66827</v>
          </cell>
          <cell r="M40">
            <v>0</v>
          </cell>
          <cell r="N40">
            <v>0</v>
          </cell>
          <cell r="O40">
            <v>587581</v>
          </cell>
          <cell r="P40">
            <v>144290</v>
          </cell>
          <cell r="Q40">
            <v>94598</v>
          </cell>
          <cell r="R40">
            <v>0</v>
          </cell>
          <cell r="S40">
            <v>27701</v>
          </cell>
          <cell r="T40">
            <v>0</v>
          </cell>
          <cell r="U40">
            <v>0</v>
          </cell>
          <cell r="V40" t="str">
            <v xml:space="preserve"> </v>
          </cell>
          <cell r="W40">
            <v>4832766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3933008</v>
          </cell>
          <cell r="AC40">
            <v>143520</v>
          </cell>
          <cell r="AD40">
            <v>49000</v>
          </cell>
          <cell r="AE40">
            <v>72654</v>
          </cell>
          <cell r="AF40">
            <v>34511</v>
          </cell>
          <cell r="AG40">
            <v>0</v>
          </cell>
          <cell r="AH40">
            <v>0</v>
          </cell>
          <cell r="AI40">
            <v>191482</v>
          </cell>
          <cell r="AJ40">
            <v>0</v>
          </cell>
          <cell r="AK40">
            <v>85270</v>
          </cell>
          <cell r="AL40">
            <v>0</v>
          </cell>
          <cell r="AM40">
            <v>27700</v>
          </cell>
          <cell r="AN40">
            <v>0</v>
          </cell>
          <cell r="AO40">
            <v>0</v>
          </cell>
          <cell r="AP40">
            <v>4464491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 t="str">
            <v xml:space="preserve"> </v>
          </cell>
          <cell r="AV40" t="str">
            <v xml:space="preserve"> </v>
          </cell>
          <cell r="AW40" t="str">
            <v xml:space="preserve"> </v>
          </cell>
        </row>
        <row r="41">
          <cell r="C41" t="str">
            <v xml:space="preserve">COMPTON Subtotal           </v>
          </cell>
          <cell r="H41">
            <v>3747506</v>
          </cell>
          <cell r="I41">
            <v>114816</v>
          </cell>
          <cell r="J41">
            <v>49447</v>
          </cell>
          <cell r="K41">
            <v>140688</v>
          </cell>
          <cell r="L41">
            <v>66827</v>
          </cell>
          <cell r="M41">
            <v>0</v>
          </cell>
          <cell r="N41">
            <v>0</v>
          </cell>
          <cell r="O41">
            <v>587581</v>
          </cell>
          <cell r="P41">
            <v>144290</v>
          </cell>
          <cell r="Q41">
            <v>94598</v>
          </cell>
          <cell r="R41">
            <v>0</v>
          </cell>
          <cell r="S41">
            <v>27701</v>
          </cell>
          <cell r="T41">
            <v>0</v>
          </cell>
          <cell r="U41">
            <v>0</v>
          </cell>
          <cell r="V41">
            <v>0</v>
          </cell>
          <cell r="W41">
            <v>4832766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3933008</v>
          </cell>
          <cell r="AC41">
            <v>143520</v>
          </cell>
          <cell r="AD41">
            <v>49000</v>
          </cell>
          <cell r="AE41">
            <v>72654</v>
          </cell>
          <cell r="AF41">
            <v>34511</v>
          </cell>
          <cell r="AG41">
            <v>0</v>
          </cell>
          <cell r="AH41">
            <v>0</v>
          </cell>
          <cell r="AI41">
            <v>191482</v>
          </cell>
          <cell r="AJ41">
            <v>0</v>
          </cell>
          <cell r="AK41">
            <v>85270</v>
          </cell>
          <cell r="AL41">
            <v>0</v>
          </cell>
          <cell r="AM41">
            <v>27700</v>
          </cell>
          <cell r="AN41">
            <v>0</v>
          </cell>
          <cell r="AO41">
            <v>0</v>
          </cell>
          <cell r="AP41">
            <v>4464491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</row>
        <row r="43">
          <cell r="C43" t="str">
            <v xml:space="preserve"> CONTRA COSTA      </v>
          </cell>
          <cell r="D43" t="str">
            <v xml:space="preserve"> CONTRA COSTA      </v>
          </cell>
          <cell r="E43">
            <v>310</v>
          </cell>
          <cell r="F43" t="str">
            <v xml:space="preserve"> 2015-2016</v>
          </cell>
          <cell r="G43" t="str">
            <v xml:space="preserve"> 11/15/2015</v>
          </cell>
          <cell r="H43">
            <v>69222053</v>
          </cell>
          <cell r="I43">
            <v>871342</v>
          </cell>
          <cell r="J43">
            <v>2676580</v>
          </cell>
          <cell r="K43">
            <v>131539</v>
          </cell>
          <cell r="L43">
            <v>62481</v>
          </cell>
          <cell r="M43">
            <v>0</v>
          </cell>
          <cell r="N43">
            <v>0</v>
          </cell>
          <cell r="O43">
            <v>1689504</v>
          </cell>
          <cell r="P43">
            <v>556841</v>
          </cell>
          <cell r="Q43">
            <v>0</v>
          </cell>
          <cell r="R43">
            <v>0</v>
          </cell>
          <cell r="S43">
            <v>670831</v>
          </cell>
          <cell r="T43">
            <v>7536</v>
          </cell>
          <cell r="U43">
            <v>5099051</v>
          </cell>
          <cell r="V43" t="str">
            <v xml:space="preserve"> </v>
          </cell>
          <cell r="W43">
            <v>80856219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75345580</v>
          </cell>
          <cell r="AC43">
            <v>871300</v>
          </cell>
          <cell r="AD43">
            <v>2577191</v>
          </cell>
          <cell r="AE43">
            <v>131500</v>
          </cell>
          <cell r="AF43">
            <v>62463</v>
          </cell>
          <cell r="AG43">
            <v>0</v>
          </cell>
          <cell r="AH43">
            <v>0</v>
          </cell>
          <cell r="AI43">
            <v>1689500</v>
          </cell>
          <cell r="AJ43">
            <v>556800</v>
          </cell>
          <cell r="AK43">
            <v>0</v>
          </cell>
          <cell r="AL43">
            <v>0</v>
          </cell>
          <cell r="AM43">
            <v>654845</v>
          </cell>
          <cell r="AN43">
            <v>7536</v>
          </cell>
          <cell r="AO43">
            <v>8053527</v>
          </cell>
          <cell r="AP43">
            <v>89818742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 t="str">
            <v xml:space="preserve"> </v>
          </cell>
          <cell r="AV43" t="str">
            <v xml:space="preserve"> </v>
          </cell>
          <cell r="AW43" t="str">
            <v xml:space="preserve"> </v>
          </cell>
        </row>
        <row r="44">
          <cell r="C44" t="str">
            <v xml:space="preserve">CONTRA COSTA Subtotal   </v>
          </cell>
          <cell r="H44">
            <v>69222053</v>
          </cell>
          <cell r="I44">
            <v>871342</v>
          </cell>
          <cell r="J44">
            <v>2676580</v>
          </cell>
          <cell r="K44">
            <v>131539</v>
          </cell>
          <cell r="L44">
            <v>62481</v>
          </cell>
          <cell r="M44">
            <v>0</v>
          </cell>
          <cell r="N44">
            <v>0</v>
          </cell>
          <cell r="O44">
            <v>1689504</v>
          </cell>
          <cell r="P44">
            <v>556841</v>
          </cell>
          <cell r="Q44">
            <v>0</v>
          </cell>
          <cell r="R44">
            <v>0</v>
          </cell>
          <cell r="S44">
            <v>670831</v>
          </cell>
          <cell r="T44">
            <v>7536</v>
          </cell>
          <cell r="U44">
            <v>5099051</v>
          </cell>
          <cell r="V44">
            <v>0</v>
          </cell>
          <cell r="W44">
            <v>80856219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75345580</v>
          </cell>
          <cell r="AC44">
            <v>871300</v>
          </cell>
          <cell r="AD44">
            <v>2577191</v>
          </cell>
          <cell r="AE44">
            <v>131500</v>
          </cell>
          <cell r="AF44">
            <v>62463</v>
          </cell>
          <cell r="AG44">
            <v>0</v>
          </cell>
          <cell r="AH44">
            <v>0</v>
          </cell>
          <cell r="AI44">
            <v>1689500</v>
          </cell>
          <cell r="AJ44">
            <v>556800</v>
          </cell>
          <cell r="AK44">
            <v>0</v>
          </cell>
          <cell r="AL44">
            <v>0</v>
          </cell>
          <cell r="AM44">
            <v>654845</v>
          </cell>
          <cell r="AN44">
            <v>7536</v>
          </cell>
          <cell r="AO44">
            <v>8053527</v>
          </cell>
          <cell r="AP44">
            <v>89818742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</row>
        <row r="46">
          <cell r="C46" t="str">
            <v xml:space="preserve"> COPPER MOUNTAIN</v>
          </cell>
          <cell r="D46" t="str">
            <v xml:space="preserve"> SAN BERNARDINO    </v>
          </cell>
          <cell r="E46">
            <v>970</v>
          </cell>
          <cell r="F46" t="str">
            <v xml:space="preserve"> 2015-2016</v>
          </cell>
          <cell r="G46" t="str">
            <v xml:space="preserve"> 11/15/2015</v>
          </cell>
          <cell r="H46">
            <v>1618284</v>
          </cell>
          <cell r="I46">
            <v>31703</v>
          </cell>
          <cell r="J46">
            <v>66213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69764</v>
          </cell>
          <cell r="P46">
            <v>0</v>
          </cell>
          <cell r="Q46">
            <v>824</v>
          </cell>
          <cell r="R46">
            <v>0</v>
          </cell>
          <cell r="S46">
            <v>17808</v>
          </cell>
          <cell r="T46">
            <v>0</v>
          </cell>
          <cell r="U46">
            <v>-655366</v>
          </cell>
          <cell r="V46" t="str">
            <v xml:space="preserve"> </v>
          </cell>
          <cell r="W46">
            <v>1149230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1653473</v>
          </cell>
          <cell r="AC46">
            <v>31586</v>
          </cell>
          <cell r="AD46">
            <v>63094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2065</v>
          </cell>
          <cell r="AL46">
            <v>0</v>
          </cell>
          <cell r="AM46">
            <v>17593</v>
          </cell>
          <cell r="AN46">
            <v>0</v>
          </cell>
          <cell r="AO46">
            <v>-467781</v>
          </cell>
          <cell r="AP46">
            <v>1300030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 t="str">
            <v xml:space="preserve"> </v>
          </cell>
          <cell r="AV46" t="str">
            <v xml:space="preserve"> </v>
          </cell>
          <cell r="AW46" t="str">
            <v xml:space="preserve"> </v>
          </cell>
        </row>
        <row r="47">
          <cell r="C47" t="str">
            <v>COPPER MOUNTAIN Subtotal</v>
          </cell>
          <cell r="H47">
            <v>1618284</v>
          </cell>
          <cell r="I47">
            <v>31703</v>
          </cell>
          <cell r="J47">
            <v>66213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69764</v>
          </cell>
          <cell r="P47">
            <v>0</v>
          </cell>
          <cell r="Q47">
            <v>824</v>
          </cell>
          <cell r="R47">
            <v>0</v>
          </cell>
          <cell r="S47">
            <v>17808</v>
          </cell>
          <cell r="T47">
            <v>0</v>
          </cell>
          <cell r="U47">
            <v>-655366</v>
          </cell>
          <cell r="V47">
            <v>0</v>
          </cell>
          <cell r="W47">
            <v>1149230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1653473</v>
          </cell>
          <cell r="AC47">
            <v>31586</v>
          </cell>
          <cell r="AD47">
            <v>63094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2065</v>
          </cell>
          <cell r="AL47">
            <v>0</v>
          </cell>
          <cell r="AM47">
            <v>17593</v>
          </cell>
          <cell r="AN47">
            <v>0</v>
          </cell>
          <cell r="AO47">
            <v>-467781</v>
          </cell>
          <cell r="AP47">
            <v>1300030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</row>
        <row r="49">
          <cell r="C49" t="str">
            <v xml:space="preserve"> DESERT            </v>
          </cell>
          <cell r="D49" t="str">
            <v xml:space="preserve"> IMPERIAL          </v>
          </cell>
          <cell r="E49">
            <v>930</v>
          </cell>
          <cell r="F49" t="str">
            <v xml:space="preserve"> 2015-2016</v>
          </cell>
          <cell r="G49" t="str">
            <v xml:space="preserve"> 11/15/2015</v>
          </cell>
          <cell r="H49">
            <v>146578</v>
          </cell>
          <cell r="I49">
            <v>2839</v>
          </cell>
          <cell r="J49">
            <v>19097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1797</v>
          </cell>
          <cell r="T49">
            <v>0</v>
          </cell>
          <cell r="U49">
            <v>0</v>
          </cell>
          <cell r="V49" t="str">
            <v xml:space="preserve"> </v>
          </cell>
          <cell r="W49">
            <v>170311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172555</v>
          </cell>
          <cell r="AC49">
            <v>0</v>
          </cell>
          <cell r="AD49">
            <v>19029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1790</v>
          </cell>
          <cell r="AN49">
            <v>0</v>
          </cell>
          <cell r="AO49">
            <v>0</v>
          </cell>
          <cell r="AP49">
            <v>193374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 t="str">
            <v xml:space="preserve"> </v>
          </cell>
          <cell r="AV49" t="str">
            <v xml:space="preserve"> </v>
          </cell>
          <cell r="AW49" t="str">
            <v xml:space="preserve"> </v>
          </cell>
        </row>
        <row r="50">
          <cell r="C50" t="str">
            <v xml:space="preserve"> DESERT            </v>
          </cell>
          <cell r="D50" t="str">
            <v xml:space="preserve"> RIVERSIDE         </v>
          </cell>
          <cell r="E50">
            <v>930</v>
          </cell>
          <cell r="F50" t="str">
            <v xml:space="preserve"> 2015-2016</v>
          </cell>
          <cell r="G50" t="str">
            <v xml:space="preserve"> 11/15/2015</v>
          </cell>
          <cell r="H50">
            <v>23838334</v>
          </cell>
          <cell r="I50">
            <v>511933</v>
          </cell>
          <cell r="J50">
            <v>1099060</v>
          </cell>
          <cell r="K50">
            <v>541185</v>
          </cell>
          <cell r="L50">
            <v>257063</v>
          </cell>
          <cell r="M50">
            <v>0</v>
          </cell>
          <cell r="N50">
            <v>0</v>
          </cell>
          <cell r="O50">
            <v>8416846</v>
          </cell>
          <cell r="P50">
            <v>361226</v>
          </cell>
          <cell r="Q50">
            <v>765848</v>
          </cell>
          <cell r="R50">
            <v>0</v>
          </cell>
          <cell r="S50">
            <v>325740</v>
          </cell>
          <cell r="T50">
            <v>471</v>
          </cell>
          <cell r="U50">
            <v>-4491144</v>
          </cell>
          <cell r="V50" t="str">
            <v xml:space="preserve"> </v>
          </cell>
          <cell r="W50">
            <v>31085377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23932853</v>
          </cell>
          <cell r="AC50">
            <v>578501</v>
          </cell>
          <cell r="AD50">
            <v>1030413</v>
          </cell>
          <cell r="AE50">
            <v>576470</v>
          </cell>
          <cell r="AF50">
            <v>273823</v>
          </cell>
          <cell r="AG50">
            <v>0</v>
          </cell>
          <cell r="AH50">
            <v>0</v>
          </cell>
          <cell r="AI50">
            <v>0</v>
          </cell>
          <cell r="AJ50">
            <v>10538</v>
          </cell>
          <cell r="AK50">
            <v>649422</v>
          </cell>
          <cell r="AL50">
            <v>0</v>
          </cell>
          <cell r="AM50">
            <v>322038</v>
          </cell>
          <cell r="AN50">
            <v>0</v>
          </cell>
          <cell r="AO50">
            <v>-3313898</v>
          </cell>
          <cell r="AP50">
            <v>23483690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 t="str">
            <v xml:space="preserve"> </v>
          </cell>
          <cell r="AV50" t="str">
            <v xml:space="preserve"> </v>
          </cell>
          <cell r="AW50" t="str">
            <v xml:space="preserve"> </v>
          </cell>
        </row>
        <row r="51">
          <cell r="C51" t="str">
            <v xml:space="preserve">DESERT Subtotal          </v>
          </cell>
          <cell r="H51">
            <v>23984912</v>
          </cell>
          <cell r="I51">
            <v>514772</v>
          </cell>
          <cell r="J51">
            <v>1118157</v>
          </cell>
          <cell r="K51">
            <v>541185</v>
          </cell>
          <cell r="L51">
            <v>257063</v>
          </cell>
          <cell r="M51">
            <v>0</v>
          </cell>
          <cell r="N51">
            <v>0</v>
          </cell>
          <cell r="O51">
            <v>8416846</v>
          </cell>
          <cell r="P51">
            <v>361226</v>
          </cell>
          <cell r="Q51">
            <v>765848</v>
          </cell>
          <cell r="R51">
            <v>0</v>
          </cell>
          <cell r="S51">
            <v>327537</v>
          </cell>
          <cell r="T51">
            <v>471</v>
          </cell>
          <cell r="U51">
            <v>-4491144</v>
          </cell>
          <cell r="V51">
            <v>0</v>
          </cell>
          <cell r="W51">
            <v>31255688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24105408</v>
          </cell>
          <cell r="AC51">
            <v>578501</v>
          </cell>
          <cell r="AD51">
            <v>1049442</v>
          </cell>
          <cell r="AE51">
            <v>576470</v>
          </cell>
          <cell r="AF51">
            <v>273823</v>
          </cell>
          <cell r="AG51">
            <v>0</v>
          </cell>
          <cell r="AH51">
            <v>0</v>
          </cell>
          <cell r="AI51">
            <v>0</v>
          </cell>
          <cell r="AJ51">
            <v>10538</v>
          </cell>
          <cell r="AK51">
            <v>649422</v>
          </cell>
          <cell r="AL51">
            <v>0</v>
          </cell>
          <cell r="AM51">
            <v>323828</v>
          </cell>
          <cell r="AN51">
            <v>0</v>
          </cell>
          <cell r="AO51">
            <v>-3313898</v>
          </cell>
          <cell r="AP51">
            <v>23677064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</row>
        <row r="53">
          <cell r="C53" t="str">
            <v xml:space="preserve"> EL CAMINO         </v>
          </cell>
          <cell r="D53" t="str">
            <v xml:space="preserve"> LOS ANGELES       </v>
          </cell>
          <cell r="E53">
            <v>720</v>
          </cell>
          <cell r="F53" t="str">
            <v xml:space="preserve"> 2015-2016</v>
          </cell>
          <cell r="G53" t="str">
            <v xml:space="preserve"> 11/15/2015</v>
          </cell>
          <cell r="H53">
            <v>24635336</v>
          </cell>
          <cell r="I53">
            <v>698132</v>
          </cell>
          <cell r="J53">
            <v>974272</v>
          </cell>
          <cell r="K53">
            <v>91965</v>
          </cell>
          <cell r="L53">
            <v>43683</v>
          </cell>
          <cell r="M53">
            <v>0</v>
          </cell>
          <cell r="N53">
            <v>0</v>
          </cell>
          <cell r="O53">
            <v>353090</v>
          </cell>
          <cell r="P53">
            <v>704878</v>
          </cell>
          <cell r="Q53">
            <v>577276</v>
          </cell>
          <cell r="R53">
            <v>0</v>
          </cell>
          <cell r="S53">
            <v>187572</v>
          </cell>
          <cell r="T53">
            <v>0</v>
          </cell>
          <cell r="U53">
            <v>0</v>
          </cell>
          <cell r="V53" t="str">
            <v xml:space="preserve"> </v>
          </cell>
          <cell r="W53">
            <v>28174239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25968108</v>
          </cell>
          <cell r="AC53">
            <v>872665</v>
          </cell>
          <cell r="AD53">
            <v>974000</v>
          </cell>
          <cell r="AE53">
            <v>41817</v>
          </cell>
          <cell r="AF53">
            <v>19863</v>
          </cell>
          <cell r="AG53">
            <v>0</v>
          </cell>
          <cell r="AH53">
            <v>0</v>
          </cell>
          <cell r="AI53">
            <v>249520</v>
          </cell>
          <cell r="AJ53">
            <v>0</v>
          </cell>
          <cell r="AK53">
            <v>661226</v>
          </cell>
          <cell r="AL53">
            <v>0</v>
          </cell>
          <cell r="AM53">
            <v>187600</v>
          </cell>
          <cell r="AN53">
            <v>0</v>
          </cell>
          <cell r="AO53">
            <v>0</v>
          </cell>
          <cell r="AP53">
            <v>28932982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 t="str">
            <v xml:space="preserve"> </v>
          </cell>
          <cell r="AV53" t="str">
            <v xml:space="preserve"> </v>
          </cell>
          <cell r="AW53" t="str">
            <v xml:space="preserve"> </v>
          </cell>
        </row>
        <row r="54">
          <cell r="C54" t="str">
            <v xml:space="preserve">EL CAMINO Subtotal     </v>
          </cell>
          <cell r="H54">
            <v>24635336</v>
          </cell>
          <cell r="I54">
            <v>698132</v>
          </cell>
          <cell r="J54">
            <v>974272</v>
          </cell>
          <cell r="K54">
            <v>91965</v>
          </cell>
          <cell r="L54">
            <v>43683</v>
          </cell>
          <cell r="M54">
            <v>0</v>
          </cell>
          <cell r="N54">
            <v>0</v>
          </cell>
          <cell r="O54">
            <v>353090</v>
          </cell>
          <cell r="P54">
            <v>704878</v>
          </cell>
          <cell r="Q54">
            <v>577276</v>
          </cell>
          <cell r="R54">
            <v>0</v>
          </cell>
          <cell r="S54">
            <v>187572</v>
          </cell>
          <cell r="T54">
            <v>0</v>
          </cell>
          <cell r="U54">
            <v>0</v>
          </cell>
          <cell r="V54">
            <v>0</v>
          </cell>
          <cell r="W54">
            <v>28174239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25968108</v>
          </cell>
          <cell r="AC54">
            <v>872665</v>
          </cell>
          <cell r="AD54">
            <v>974000</v>
          </cell>
          <cell r="AE54">
            <v>41817</v>
          </cell>
          <cell r="AF54">
            <v>19863</v>
          </cell>
          <cell r="AG54">
            <v>0</v>
          </cell>
          <cell r="AH54">
            <v>0</v>
          </cell>
          <cell r="AI54">
            <v>249520</v>
          </cell>
          <cell r="AJ54">
            <v>0</v>
          </cell>
          <cell r="AK54">
            <v>661226</v>
          </cell>
          <cell r="AL54">
            <v>0</v>
          </cell>
          <cell r="AM54">
            <v>187600</v>
          </cell>
          <cell r="AN54">
            <v>0</v>
          </cell>
          <cell r="AO54">
            <v>0</v>
          </cell>
          <cell r="AP54">
            <v>28932982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</row>
        <row r="56">
          <cell r="C56" t="str">
            <v xml:space="preserve"> FEATHER RIVER     </v>
          </cell>
          <cell r="D56" t="str">
            <v xml:space="preserve"> PLUMAS            </v>
          </cell>
          <cell r="E56">
            <v>120</v>
          </cell>
          <cell r="F56" t="str">
            <v xml:space="preserve"> 2015-2016</v>
          </cell>
          <cell r="G56" t="str">
            <v xml:space="preserve"> 11/15/2015</v>
          </cell>
          <cell r="H56">
            <v>4156514</v>
          </cell>
          <cell r="I56">
            <v>31371</v>
          </cell>
          <cell r="J56">
            <v>104294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5092</v>
          </cell>
          <cell r="R56">
            <v>55187</v>
          </cell>
          <cell r="S56">
            <v>38524</v>
          </cell>
          <cell r="T56">
            <v>0</v>
          </cell>
          <cell r="U56">
            <v>519931</v>
          </cell>
          <cell r="V56" t="str">
            <v xml:space="preserve"> </v>
          </cell>
          <cell r="W56">
            <v>4910913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4156514</v>
          </cell>
          <cell r="AC56">
            <v>617424</v>
          </cell>
          <cell r="AD56">
            <v>104294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5092</v>
          </cell>
          <cell r="AL56">
            <v>55187</v>
          </cell>
          <cell r="AM56">
            <v>37835</v>
          </cell>
          <cell r="AN56">
            <v>0</v>
          </cell>
          <cell r="AO56">
            <v>519931</v>
          </cell>
          <cell r="AP56">
            <v>5496277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 t="str">
            <v xml:space="preserve"> </v>
          </cell>
          <cell r="AV56" t="str">
            <v xml:space="preserve"> </v>
          </cell>
          <cell r="AW56" t="str">
            <v xml:space="preserve"> </v>
          </cell>
        </row>
        <row r="57">
          <cell r="C57" t="str">
            <v xml:space="preserve">FEATHER RIVER Subtotal     </v>
          </cell>
          <cell r="H57">
            <v>4156514</v>
          </cell>
          <cell r="I57">
            <v>31371</v>
          </cell>
          <cell r="J57">
            <v>104294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5092</v>
          </cell>
          <cell r="R57">
            <v>55187</v>
          </cell>
          <cell r="S57">
            <v>38524</v>
          </cell>
          <cell r="T57">
            <v>0</v>
          </cell>
          <cell r="U57">
            <v>519931</v>
          </cell>
          <cell r="V57">
            <v>0</v>
          </cell>
          <cell r="W57">
            <v>4910913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4156514</v>
          </cell>
          <cell r="AC57">
            <v>617424</v>
          </cell>
          <cell r="AD57">
            <v>104294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5092</v>
          </cell>
          <cell r="AL57">
            <v>55187</v>
          </cell>
          <cell r="AM57">
            <v>37835</v>
          </cell>
          <cell r="AN57">
            <v>0</v>
          </cell>
          <cell r="AO57">
            <v>519931</v>
          </cell>
          <cell r="AP57">
            <v>5496277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</row>
        <row r="59">
          <cell r="C59" t="str">
            <v xml:space="preserve"> FOOTHILL-DEANZA   </v>
          </cell>
          <cell r="D59" t="str">
            <v xml:space="preserve"> SANTA CLARA       </v>
          </cell>
          <cell r="E59">
            <v>420</v>
          </cell>
          <cell r="F59" t="str">
            <v xml:space="preserve"> 2015-2016</v>
          </cell>
          <cell r="G59" t="str">
            <v xml:space="preserve"> 11/15/2015</v>
          </cell>
          <cell r="H59">
            <v>75725408</v>
          </cell>
          <cell r="I59">
            <v>2767955</v>
          </cell>
          <cell r="J59">
            <v>5906898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989950</v>
          </cell>
          <cell r="P59">
            <v>47663</v>
          </cell>
          <cell r="Q59">
            <v>0</v>
          </cell>
          <cell r="R59">
            <v>22</v>
          </cell>
          <cell r="S59">
            <v>461637</v>
          </cell>
          <cell r="T59">
            <v>0</v>
          </cell>
          <cell r="U59">
            <v>-4375052</v>
          </cell>
          <cell r="V59" t="str">
            <v xml:space="preserve"> </v>
          </cell>
          <cell r="W59">
            <v>81524481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84149167</v>
          </cell>
          <cell r="AC59">
            <v>1661000</v>
          </cell>
          <cell r="AD59">
            <v>6442000</v>
          </cell>
          <cell r="AE59">
            <v>15909</v>
          </cell>
          <cell r="AF59">
            <v>7557</v>
          </cell>
          <cell r="AG59">
            <v>0</v>
          </cell>
          <cell r="AH59">
            <v>0</v>
          </cell>
          <cell r="AI59">
            <v>389209</v>
          </cell>
          <cell r="AJ59">
            <v>9074</v>
          </cell>
          <cell r="AK59">
            <v>0</v>
          </cell>
          <cell r="AL59">
            <v>22</v>
          </cell>
          <cell r="AM59">
            <v>462827</v>
          </cell>
          <cell r="AN59">
            <v>0</v>
          </cell>
          <cell r="AO59">
            <v>0</v>
          </cell>
          <cell r="AP59">
            <v>93120856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 t="str">
            <v xml:space="preserve"> </v>
          </cell>
          <cell r="AV59" t="str">
            <v xml:space="preserve"> </v>
          </cell>
          <cell r="AW59" t="str">
            <v xml:space="preserve"> </v>
          </cell>
        </row>
        <row r="60">
          <cell r="C60" t="str">
            <v xml:space="preserve">FOOTHILL-DEANZA Subtotal  </v>
          </cell>
          <cell r="H60">
            <v>75725408</v>
          </cell>
          <cell r="I60">
            <v>2767955</v>
          </cell>
          <cell r="J60">
            <v>5906898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989950</v>
          </cell>
          <cell r="P60">
            <v>47663</v>
          </cell>
          <cell r="Q60">
            <v>0</v>
          </cell>
          <cell r="R60">
            <v>22</v>
          </cell>
          <cell r="S60">
            <v>461637</v>
          </cell>
          <cell r="T60">
            <v>0</v>
          </cell>
          <cell r="U60">
            <v>-4375052</v>
          </cell>
          <cell r="V60">
            <v>0</v>
          </cell>
          <cell r="W60">
            <v>81524481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84149167</v>
          </cell>
          <cell r="AC60">
            <v>1661000</v>
          </cell>
          <cell r="AD60">
            <v>6442000</v>
          </cell>
          <cell r="AE60">
            <v>15909</v>
          </cell>
          <cell r="AF60">
            <v>7557</v>
          </cell>
          <cell r="AG60">
            <v>0</v>
          </cell>
          <cell r="AH60">
            <v>0</v>
          </cell>
          <cell r="AI60">
            <v>389209</v>
          </cell>
          <cell r="AJ60">
            <v>9074</v>
          </cell>
          <cell r="AK60">
            <v>0</v>
          </cell>
          <cell r="AL60">
            <v>22</v>
          </cell>
          <cell r="AM60">
            <v>462827</v>
          </cell>
          <cell r="AN60">
            <v>0</v>
          </cell>
          <cell r="AO60">
            <v>0</v>
          </cell>
          <cell r="AP60">
            <v>93120856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</row>
        <row r="62">
          <cell r="C62" t="str">
            <v xml:space="preserve"> GAVILAN           </v>
          </cell>
          <cell r="D62" t="str">
            <v xml:space="preserve"> SAN BENITO        </v>
          </cell>
          <cell r="E62">
            <v>440</v>
          </cell>
          <cell r="F62" t="str">
            <v xml:space="preserve"> 2015-2016</v>
          </cell>
          <cell r="G62" t="str">
            <v xml:space="preserve"> 11/15/2015</v>
          </cell>
          <cell r="H62">
            <v>4274379</v>
          </cell>
          <cell r="I62">
            <v>69994</v>
          </cell>
          <cell r="J62">
            <v>242520</v>
          </cell>
          <cell r="K62">
            <v>11731</v>
          </cell>
          <cell r="L62">
            <v>5572</v>
          </cell>
          <cell r="M62">
            <v>0</v>
          </cell>
          <cell r="N62">
            <v>0</v>
          </cell>
          <cell r="O62">
            <v>402504</v>
          </cell>
          <cell r="P62">
            <v>0</v>
          </cell>
          <cell r="Q62">
            <v>4842</v>
          </cell>
          <cell r="R62">
            <v>0</v>
          </cell>
          <cell r="S62">
            <v>40714</v>
          </cell>
          <cell r="T62">
            <v>0</v>
          </cell>
          <cell r="U62">
            <v>-127964</v>
          </cell>
          <cell r="V62" t="str">
            <v xml:space="preserve"> </v>
          </cell>
          <cell r="W62">
            <v>4912561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4556159</v>
          </cell>
          <cell r="AC62">
            <v>88156</v>
          </cell>
          <cell r="AD62">
            <v>228624</v>
          </cell>
          <cell r="AE62">
            <v>12552</v>
          </cell>
          <cell r="AF62">
            <v>5962</v>
          </cell>
          <cell r="AG62">
            <v>0</v>
          </cell>
          <cell r="AH62">
            <v>0</v>
          </cell>
          <cell r="AI62">
            <v>430680</v>
          </cell>
          <cell r="AJ62">
            <v>0</v>
          </cell>
          <cell r="AK62">
            <v>5000</v>
          </cell>
          <cell r="AL62">
            <v>0</v>
          </cell>
          <cell r="AM62">
            <v>40097</v>
          </cell>
          <cell r="AN62">
            <v>0</v>
          </cell>
          <cell r="AO62">
            <v>-24647</v>
          </cell>
          <cell r="AP62">
            <v>5330031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 t="str">
            <v xml:space="preserve"> </v>
          </cell>
          <cell r="AV62" t="str">
            <v xml:space="preserve"> </v>
          </cell>
          <cell r="AW62" t="str">
            <v xml:space="preserve"> </v>
          </cell>
        </row>
        <row r="63">
          <cell r="C63" t="str">
            <v xml:space="preserve"> GAVILAN           </v>
          </cell>
          <cell r="D63" t="str">
            <v xml:space="preserve"> SANTA CLARA       </v>
          </cell>
          <cell r="E63">
            <v>440</v>
          </cell>
          <cell r="F63" t="str">
            <v xml:space="preserve"> 2015-2016</v>
          </cell>
          <cell r="G63" t="str">
            <v xml:space="preserve"> 11/15/2015</v>
          </cell>
          <cell r="H63">
            <v>9271523</v>
          </cell>
          <cell r="I63">
            <v>369482</v>
          </cell>
          <cell r="J63">
            <v>780258</v>
          </cell>
          <cell r="K63">
            <v>199310</v>
          </cell>
          <cell r="L63">
            <v>94672</v>
          </cell>
          <cell r="M63">
            <v>0</v>
          </cell>
          <cell r="N63">
            <v>0</v>
          </cell>
          <cell r="O63">
            <v>711309</v>
          </cell>
          <cell r="P63">
            <v>0</v>
          </cell>
          <cell r="Q63">
            <v>11</v>
          </cell>
          <cell r="R63">
            <v>30</v>
          </cell>
          <cell r="S63">
            <v>61061</v>
          </cell>
          <cell r="T63">
            <v>0</v>
          </cell>
          <cell r="U63">
            <v>-575553</v>
          </cell>
          <cell r="V63" t="str">
            <v xml:space="preserve"> </v>
          </cell>
          <cell r="W63">
            <v>10712793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9811205</v>
          </cell>
          <cell r="AC63">
            <v>222000</v>
          </cell>
          <cell r="AD63">
            <v>824000</v>
          </cell>
          <cell r="AE63">
            <v>213101</v>
          </cell>
          <cell r="AF63">
            <v>101223</v>
          </cell>
          <cell r="AG63">
            <v>0</v>
          </cell>
          <cell r="AH63">
            <v>0</v>
          </cell>
          <cell r="AI63">
            <v>592251</v>
          </cell>
          <cell r="AJ63">
            <v>91995</v>
          </cell>
          <cell r="AK63">
            <v>0</v>
          </cell>
          <cell r="AL63">
            <v>30</v>
          </cell>
          <cell r="AM63">
            <v>58737</v>
          </cell>
          <cell r="AN63">
            <v>0</v>
          </cell>
          <cell r="AO63">
            <v>0</v>
          </cell>
          <cell r="AP63">
            <v>11701441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 t="str">
            <v xml:space="preserve"> </v>
          </cell>
          <cell r="AV63" t="str">
            <v xml:space="preserve"> </v>
          </cell>
          <cell r="AW63" t="str">
            <v xml:space="preserve"> </v>
          </cell>
        </row>
        <row r="64">
          <cell r="C64" t="str">
            <v xml:space="preserve">GAVILAN Subtotal          </v>
          </cell>
          <cell r="H64">
            <v>13545902</v>
          </cell>
          <cell r="I64">
            <v>439476</v>
          </cell>
          <cell r="J64">
            <v>1022778</v>
          </cell>
          <cell r="K64">
            <v>211041</v>
          </cell>
          <cell r="L64">
            <v>100244</v>
          </cell>
          <cell r="M64">
            <v>0</v>
          </cell>
          <cell r="N64">
            <v>0</v>
          </cell>
          <cell r="O64">
            <v>1113813</v>
          </cell>
          <cell r="P64">
            <v>0</v>
          </cell>
          <cell r="Q64">
            <v>4853</v>
          </cell>
          <cell r="R64">
            <v>30</v>
          </cell>
          <cell r="S64">
            <v>101775</v>
          </cell>
          <cell r="T64">
            <v>0</v>
          </cell>
          <cell r="U64">
            <v>-703517</v>
          </cell>
          <cell r="V64">
            <v>0</v>
          </cell>
          <cell r="W64">
            <v>15625354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14367364</v>
          </cell>
          <cell r="AC64">
            <v>310156</v>
          </cell>
          <cell r="AD64">
            <v>1052624</v>
          </cell>
          <cell r="AE64">
            <v>225653</v>
          </cell>
          <cell r="AF64">
            <v>107185</v>
          </cell>
          <cell r="AG64">
            <v>0</v>
          </cell>
          <cell r="AH64">
            <v>0</v>
          </cell>
          <cell r="AI64">
            <v>1022931</v>
          </cell>
          <cell r="AJ64">
            <v>91995</v>
          </cell>
          <cell r="AK64">
            <v>5000</v>
          </cell>
          <cell r="AL64">
            <v>30</v>
          </cell>
          <cell r="AM64">
            <v>98834</v>
          </cell>
          <cell r="AN64">
            <v>0</v>
          </cell>
          <cell r="AO64">
            <v>-24647</v>
          </cell>
          <cell r="AP64">
            <v>17031472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</row>
        <row r="66">
          <cell r="C66" t="str">
            <v xml:space="preserve"> GLENDALE          </v>
          </cell>
          <cell r="D66" t="str">
            <v xml:space="preserve"> LOS ANGELES       </v>
          </cell>
          <cell r="E66">
            <v>730</v>
          </cell>
          <cell r="F66" t="str">
            <v xml:space="preserve"> 2015-2016</v>
          </cell>
          <cell r="G66" t="str">
            <v xml:space="preserve"> 11/15/2015</v>
          </cell>
          <cell r="H66">
            <v>8613764</v>
          </cell>
          <cell r="I66">
            <v>256171</v>
          </cell>
          <cell r="J66">
            <v>240775</v>
          </cell>
          <cell r="K66">
            <v>128002</v>
          </cell>
          <cell r="L66">
            <v>60801</v>
          </cell>
          <cell r="M66">
            <v>0</v>
          </cell>
          <cell r="N66">
            <v>0</v>
          </cell>
          <cell r="O66">
            <v>1042707</v>
          </cell>
          <cell r="P66">
            <v>0</v>
          </cell>
          <cell r="Q66">
            <v>160867</v>
          </cell>
          <cell r="R66">
            <v>0</v>
          </cell>
          <cell r="S66">
            <v>66032</v>
          </cell>
          <cell r="T66">
            <v>0</v>
          </cell>
          <cell r="U66">
            <v>1927200</v>
          </cell>
          <cell r="V66" t="str">
            <v xml:space="preserve"> </v>
          </cell>
          <cell r="W66">
            <v>12368317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9080630</v>
          </cell>
          <cell r="AC66">
            <v>320214</v>
          </cell>
          <cell r="AD66">
            <v>241000</v>
          </cell>
          <cell r="AE66">
            <v>54082</v>
          </cell>
          <cell r="AF66">
            <v>25689</v>
          </cell>
          <cell r="AG66">
            <v>0</v>
          </cell>
          <cell r="AH66">
            <v>0</v>
          </cell>
          <cell r="AI66">
            <v>381725</v>
          </cell>
          <cell r="AJ66">
            <v>0</v>
          </cell>
          <cell r="AK66">
            <v>297546</v>
          </cell>
          <cell r="AL66">
            <v>0</v>
          </cell>
          <cell r="AM66">
            <v>66000</v>
          </cell>
          <cell r="AN66">
            <v>0</v>
          </cell>
          <cell r="AO66">
            <v>0</v>
          </cell>
          <cell r="AP66">
            <v>10412804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 t="str">
            <v xml:space="preserve"> </v>
          </cell>
          <cell r="AV66" t="str">
            <v xml:space="preserve"> </v>
          </cell>
          <cell r="AW66" t="str">
            <v xml:space="preserve"> </v>
          </cell>
        </row>
        <row r="67">
          <cell r="C67" t="str">
            <v>GLENDALE Subtotal</v>
          </cell>
          <cell r="H67">
            <v>8613764</v>
          </cell>
          <cell r="I67">
            <v>256171</v>
          </cell>
          <cell r="J67">
            <v>240775</v>
          </cell>
          <cell r="K67">
            <v>128002</v>
          </cell>
          <cell r="L67">
            <v>60801</v>
          </cell>
          <cell r="M67">
            <v>0</v>
          </cell>
          <cell r="N67">
            <v>0</v>
          </cell>
          <cell r="O67">
            <v>1042707</v>
          </cell>
          <cell r="P67">
            <v>0</v>
          </cell>
          <cell r="Q67">
            <v>160867</v>
          </cell>
          <cell r="R67">
            <v>0</v>
          </cell>
          <cell r="S67">
            <v>66032</v>
          </cell>
          <cell r="T67">
            <v>0</v>
          </cell>
          <cell r="U67">
            <v>1927200</v>
          </cell>
          <cell r="V67">
            <v>0</v>
          </cell>
          <cell r="W67">
            <v>12368317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9080630</v>
          </cell>
          <cell r="AC67">
            <v>320214</v>
          </cell>
          <cell r="AD67">
            <v>241000</v>
          </cell>
          <cell r="AE67">
            <v>54082</v>
          </cell>
          <cell r="AF67">
            <v>25689</v>
          </cell>
          <cell r="AG67">
            <v>0</v>
          </cell>
          <cell r="AH67">
            <v>0</v>
          </cell>
          <cell r="AI67">
            <v>381725</v>
          </cell>
          <cell r="AJ67">
            <v>0</v>
          </cell>
          <cell r="AK67">
            <v>297546</v>
          </cell>
          <cell r="AL67">
            <v>0</v>
          </cell>
          <cell r="AM67">
            <v>66000</v>
          </cell>
          <cell r="AN67">
            <v>0</v>
          </cell>
          <cell r="AO67">
            <v>0</v>
          </cell>
          <cell r="AP67">
            <v>10412804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</row>
        <row r="69">
          <cell r="C69" t="str">
            <v xml:space="preserve"> GROSSMONT-CUYAMACA</v>
          </cell>
          <cell r="D69" t="str">
            <v xml:space="preserve"> SAN DIEGO         </v>
          </cell>
          <cell r="E69">
            <v>20</v>
          </cell>
          <cell r="F69" t="str">
            <v xml:space="preserve"> 2015-2016</v>
          </cell>
          <cell r="G69" t="str">
            <v xml:space="preserve"> 11/15/2015</v>
          </cell>
          <cell r="H69">
            <v>32211526</v>
          </cell>
          <cell r="I69">
            <v>805942</v>
          </cell>
          <cell r="J69">
            <v>1091526</v>
          </cell>
          <cell r="K69">
            <v>190991</v>
          </cell>
          <cell r="L69">
            <v>90721</v>
          </cell>
          <cell r="M69">
            <v>0</v>
          </cell>
          <cell r="N69">
            <v>0</v>
          </cell>
          <cell r="O69">
            <v>1173731</v>
          </cell>
          <cell r="P69">
            <v>183118</v>
          </cell>
          <cell r="Q69">
            <v>-27058</v>
          </cell>
          <cell r="R69">
            <v>0</v>
          </cell>
          <cell r="S69">
            <v>275633</v>
          </cell>
          <cell r="T69">
            <v>0</v>
          </cell>
          <cell r="U69">
            <v>-3034647</v>
          </cell>
          <cell r="V69" t="str">
            <v xml:space="preserve"> </v>
          </cell>
          <cell r="W69">
            <v>32770492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33683189</v>
          </cell>
          <cell r="AC69">
            <v>761842</v>
          </cell>
          <cell r="AD69">
            <v>1112285</v>
          </cell>
          <cell r="AE69">
            <v>86779</v>
          </cell>
          <cell r="AF69">
            <v>41220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-16555</v>
          </cell>
          <cell r="AL69">
            <v>0</v>
          </cell>
          <cell r="AM69">
            <v>271745</v>
          </cell>
          <cell r="AN69">
            <v>0</v>
          </cell>
          <cell r="AO69">
            <v>-1307911</v>
          </cell>
          <cell r="AP69">
            <v>34545815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 t="str">
            <v xml:space="preserve"> </v>
          </cell>
          <cell r="AV69" t="str">
            <v xml:space="preserve"> </v>
          </cell>
          <cell r="AW69" t="str">
            <v xml:space="preserve"> </v>
          </cell>
        </row>
        <row r="70">
          <cell r="C70" t="str">
            <v>GROSSMONT-CUYAMACA Subtotal</v>
          </cell>
          <cell r="H70">
            <v>32211526</v>
          </cell>
          <cell r="I70">
            <v>805942</v>
          </cell>
          <cell r="J70">
            <v>1091526</v>
          </cell>
          <cell r="K70">
            <v>190991</v>
          </cell>
          <cell r="L70">
            <v>90721</v>
          </cell>
          <cell r="M70">
            <v>0</v>
          </cell>
          <cell r="N70">
            <v>0</v>
          </cell>
          <cell r="O70">
            <v>1173731</v>
          </cell>
          <cell r="P70">
            <v>183118</v>
          </cell>
          <cell r="Q70">
            <v>-27058</v>
          </cell>
          <cell r="R70">
            <v>0</v>
          </cell>
          <cell r="S70">
            <v>275633</v>
          </cell>
          <cell r="T70">
            <v>0</v>
          </cell>
          <cell r="U70">
            <v>-3034647</v>
          </cell>
          <cell r="V70">
            <v>0</v>
          </cell>
          <cell r="W70">
            <v>32770492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33683189</v>
          </cell>
          <cell r="AC70">
            <v>761842</v>
          </cell>
          <cell r="AD70">
            <v>1112285</v>
          </cell>
          <cell r="AE70">
            <v>86779</v>
          </cell>
          <cell r="AF70">
            <v>41220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-16555</v>
          </cell>
          <cell r="AL70">
            <v>0</v>
          </cell>
          <cell r="AM70">
            <v>271745</v>
          </cell>
          <cell r="AN70">
            <v>0</v>
          </cell>
          <cell r="AO70">
            <v>-1307911</v>
          </cell>
          <cell r="AP70">
            <v>34545815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</row>
        <row r="72">
          <cell r="C72" t="str">
            <v xml:space="preserve"> HARTNELL          </v>
          </cell>
          <cell r="D72" t="str">
            <v xml:space="preserve"> MONTEREY          </v>
          </cell>
          <cell r="E72">
            <v>450</v>
          </cell>
          <cell r="F72" t="str">
            <v xml:space="preserve"> 2015-2016</v>
          </cell>
          <cell r="G72" t="str">
            <v xml:space="preserve"> 11/15/2015</v>
          </cell>
          <cell r="H72">
            <v>18519308</v>
          </cell>
          <cell r="I72">
            <v>360138</v>
          </cell>
          <cell r="J72">
            <v>737774</v>
          </cell>
          <cell r="K72">
            <v>82600</v>
          </cell>
          <cell r="L72">
            <v>39235</v>
          </cell>
          <cell r="M72">
            <v>0</v>
          </cell>
          <cell r="N72">
            <v>0</v>
          </cell>
          <cell r="O72">
            <v>795166</v>
          </cell>
          <cell r="P72">
            <v>0</v>
          </cell>
          <cell r="Q72">
            <v>310880</v>
          </cell>
          <cell r="R72">
            <v>0</v>
          </cell>
          <cell r="S72">
            <v>110282</v>
          </cell>
          <cell r="T72">
            <v>0</v>
          </cell>
          <cell r="U72">
            <v>-3749</v>
          </cell>
          <cell r="V72" t="str">
            <v xml:space="preserve"> </v>
          </cell>
          <cell r="W72">
            <v>20869034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18654252</v>
          </cell>
          <cell r="AC72">
            <v>222761</v>
          </cell>
          <cell r="AD72">
            <v>756359</v>
          </cell>
          <cell r="AE72">
            <v>82600</v>
          </cell>
          <cell r="AF72">
            <v>39235</v>
          </cell>
          <cell r="AG72">
            <v>0</v>
          </cell>
          <cell r="AH72">
            <v>0</v>
          </cell>
          <cell r="AI72">
            <v>795166</v>
          </cell>
          <cell r="AJ72">
            <v>0</v>
          </cell>
          <cell r="AK72">
            <v>179849</v>
          </cell>
          <cell r="AL72">
            <v>0</v>
          </cell>
          <cell r="AM72">
            <v>108238</v>
          </cell>
          <cell r="AN72">
            <v>0</v>
          </cell>
          <cell r="AO72">
            <v>0</v>
          </cell>
          <cell r="AP72">
            <v>20755860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 t="str">
            <v xml:space="preserve"> </v>
          </cell>
          <cell r="AV72" t="str">
            <v xml:space="preserve"> </v>
          </cell>
          <cell r="AW72" t="str">
            <v xml:space="preserve"> </v>
          </cell>
        </row>
        <row r="73">
          <cell r="C73" t="str">
            <v xml:space="preserve"> HARTNELL          </v>
          </cell>
          <cell r="D73" t="str">
            <v xml:space="preserve"> SAN BENITO        </v>
          </cell>
          <cell r="E73">
            <v>450</v>
          </cell>
          <cell r="F73" t="str">
            <v xml:space="preserve"> 2015-2016</v>
          </cell>
          <cell r="G73" t="str">
            <v xml:space="preserve"> 11/15/2015</v>
          </cell>
          <cell r="H73">
            <v>67002</v>
          </cell>
          <cell r="I73">
            <v>923</v>
          </cell>
          <cell r="J73">
            <v>3674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59</v>
          </cell>
          <cell r="R73">
            <v>0</v>
          </cell>
          <cell r="S73">
            <v>617</v>
          </cell>
          <cell r="T73">
            <v>0</v>
          </cell>
          <cell r="U73">
            <v>-1938</v>
          </cell>
          <cell r="V73" t="str">
            <v xml:space="preserve"> </v>
          </cell>
          <cell r="W73">
            <v>70337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70215</v>
          </cell>
          <cell r="AC73">
            <v>1094</v>
          </cell>
          <cell r="AD73">
            <v>3407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60</v>
          </cell>
          <cell r="AL73">
            <v>0</v>
          </cell>
          <cell r="AM73">
            <v>598</v>
          </cell>
          <cell r="AN73">
            <v>0</v>
          </cell>
          <cell r="AO73">
            <v>-367</v>
          </cell>
          <cell r="AP73">
            <v>75007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str">
            <v xml:space="preserve"> </v>
          </cell>
          <cell r="AV73" t="str">
            <v xml:space="preserve"> </v>
          </cell>
          <cell r="AW73" t="str">
            <v xml:space="preserve"> </v>
          </cell>
        </row>
        <row r="74">
          <cell r="C74" t="str">
            <v xml:space="preserve">HARTNELL Subtotal         </v>
          </cell>
          <cell r="H74">
            <v>18586310</v>
          </cell>
          <cell r="I74">
            <v>361061</v>
          </cell>
          <cell r="J74">
            <v>741448</v>
          </cell>
          <cell r="K74">
            <v>82600</v>
          </cell>
          <cell r="L74">
            <v>39235</v>
          </cell>
          <cell r="M74">
            <v>0</v>
          </cell>
          <cell r="N74">
            <v>0</v>
          </cell>
          <cell r="O74">
            <v>795166</v>
          </cell>
          <cell r="P74">
            <v>0</v>
          </cell>
          <cell r="Q74">
            <v>310939</v>
          </cell>
          <cell r="R74">
            <v>0</v>
          </cell>
          <cell r="S74">
            <v>110899</v>
          </cell>
          <cell r="T74">
            <v>0</v>
          </cell>
          <cell r="U74">
            <v>-5687</v>
          </cell>
          <cell r="V74">
            <v>0</v>
          </cell>
          <cell r="W74">
            <v>20939371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18724467</v>
          </cell>
          <cell r="AC74">
            <v>223855</v>
          </cell>
          <cell r="AD74">
            <v>759766</v>
          </cell>
          <cell r="AE74">
            <v>82600</v>
          </cell>
          <cell r="AF74">
            <v>39235</v>
          </cell>
          <cell r="AG74">
            <v>0</v>
          </cell>
          <cell r="AH74">
            <v>0</v>
          </cell>
          <cell r="AI74">
            <v>795166</v>
          </cell>
          <cell r="AJ74">
            <v>0</v>
          </cell>
          <cell r="AK74">
            <v>179909</v>
          </cell>
          <cell r="AL74">
            <v>0</v>
          </cell>
          <cell r="AM74">
            <v>108836</v>
          </cell>
          <cell r="AN74">
            <v>0</v>
          </cell>
          <cell r="AO74">
            <v>-367</v>
          </cell>
          <cell r="AP74">
            <v>20830867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6">
          <cell r="C76" t="str">
            <v xml:space="preserve"> IMPERIAL          </v>
          </cell>
          <cell r="D76" t="str">
            <v xml:space="preserve"> IMPERIAL          </v>
          </cell>
          <cell r="E76">
            <v>30</v>
          </cell>
          <cell r="F76" t="str">
            <v xml:space="preserve"> 2015-2016</v>
          </cell>
          <cell r="G76" t="str">
            <v xml:space="preserve"> 11/15/2015</v>
          </cell>
          <cell r="H76">
            <v>6891290</v>
          </cell>
          <cell r="I76">
            <v>119926</v>
          </cell>
          <cell r="J76">
            <v>867452</v>
          </cell>
          <cell r="K76">
            <v>119234</v>
          </cell>
          <cell r="L76">
            <v>56636</v>
          </cell>
          <cell r="M76">
            <v>0</v>
          </cell>
          <cell r="N76">
            <v>0</v>
          </cell>
          <cell r="O76">
            <v>429045</v>
          </cell>
          <cell r="P76">
            <v>0</v>
          </cell>
          <cell r="Q76">
            <v>0</v>
          </cell>
          <cell r="R76">
            <v>0</v>
          </cell>
          <cell r="S76">
            <v>81610</v>
          </cell>
          <cell r="T76">
            <v>0</v>
          </cell>
          <cell r="U76">
            <v>-3379042</v>
          </cell>
          <cell r="V76" t="str">
            <v xml:space="preserve"> </v>
          </cell>
          <cell r="W76">
            <v>5066917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7540129</v>
          </cell>
          <cell r="AC76">
            <v>0</v>
          </cell>
          <cell r="AD76">
            <v>859597</v>
          </cell>
          <cell r="AE76">
            <v>162009</v>
          </cell>
          <cell r="AF76">
            <v>76954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80876</v>
          </cell>
          <cell r="AN76">
            <v>0</v>
          </cell>
          <cell r="AO76">
            <v>-2247889</v>
          </cell>
          <cell r="AP76">
            <v>6309667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 t="str">
            <v xml:space="preserve"> </v>
          </cell>
          <cell r="AV76" t="str">
            <v xml:space="preserve"> </v>
          </cell>
          <cell r="AW76" t="str">
            <v xml:space="preserve"> </v>
          </cell>
        </row>
        <row r="77">
          <cell r="C77" t="str">
            <v xml:space="preserve">IMPERIAL Subtotal         </v>
          </cell>
          <cell r="H77">
            <v>6891290</v>
          </cell>
          <cell r="I77">
            <v>119926</v>
          </cell>
          <cell r="J77">
            <v>867452</v>
          </cell>
          <cell r="K77">
            <v>119234</v>
          </cell>
          <cell r="L77">
            <v>56636</v>
          </cell>
          <cell r="M77">
            <v>0</v>
          </cell>
          <cell r="N77">
            <v>0</v>
          </cell>
          <cell r="O77">
            <v>429045</v>
          </cell>
          <cell r="P77">
            <v>0</v>
          </cell>
          <cell r="Q77">
            <v>0</v>
          </cell>
          <cell r="R77">
            <v>0</v>
          </cell>
          <cell r="S77">
            <v>81610</v>
          </cell>
          <cell r="T77">
            <v>0</v>
          </cell>
          <cell r="U77">
            <v>-3379042</v>
          </cell>
          <cell r="V77">
            <v>0</v>
          </cell>
          <cell r="W77">
            <v>5066917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7540129</v>
          </cell>
          <cell r="AC77">
            <v>0</v>
          </cell>
          <cell r="AD77">
            <v>859597</v>
          </cell>
          <cell r="AE77">
            <v>162009</v>
          </cell>
          <cell r="AF77">
            <v>76954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80876</v>
          </cell>
          <cell r="AN77">
            <v>0</v>
          </cell>
          <cell r="AO77">
            <v>-2247889</v>
          </cell>
          <cell r="AP77">
            <v>6309667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</row>
        <row r="79">
          <cell r="C79" t="str">
            <v xml:space="preserve"> KERN              </v>
          </cell>
          <cell r="D79" t="str">
            <v xml:space="preserve"> INYO              </v>
          </cell>
          <cell r="E79">
            <v>520</v>
          </cell>
          <cell r="F79" t="str">
            <v xml:space="preserve"> 2015-2016</v>
          </cell>
          <cell r="G79" t="str">
            <v xml:space="preserve"> 11/15/2015</v>
          </cell>
          <cell r="H79">
            <v>320387</v>
          </cell>
          <cell r="I79">
            <v>2616</v>
          </cell>
          <cell r="J79">
            <v>41396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3625</v>
          </cell>
          <cell r="R79">
            <v>0</v>
          </cell>
          <cell r="S79">
            <v>2331</v>
          </cell>
          <cell r="T79">
            <v>0</v>
          </cell>
          <cell r="U79">
            <v>0</v>
          </cell>
          <cell r="V79" t="str">
            <v xml:space="preserve"> </v>
          </cell>
          <cell r="W79">
            <v>370355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323856</v>
          </cell>
          <cell r="AC79">
            <v>0</v>
          </cell>
          <cell r="AD79">
            <v>36327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4721</v>
          </cell>
          <cell r="AL79">
            <v>0</v>
          </cell>
          <cell r="AM79">
            <v>2218</v>
          </cell>
          <cell r="AN79">
            <v>0</v>
          </cell>
          <cell r="AO79">
            <v>0</v>
          </cell>
          <cell r="AP79">
            <v>367122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 t="str">
            <v xml:space="preserve"> </v>
          </cell>
          <cell r="AV79" t="str">
            <v xml:space="preserve"> </v>
          </cell>
          <cell r="AW79" t="str">
            <v xml:space="preserve"> </v>
          </cell>
        </row>
        <row r="80">
          <cell r="C80" t="str">
            <v xml:space="preserve"> KERN              </v>
          </cell>
          <cell r="D80" t="str">
            <v xml:space="preserve"> KERN              </v>
          </cell>
          <cell r="E80">
            <v>520</v>
          </cell>
          <cell r="F80" t="str">
            <v xml:space="preserve"> 2015-2016</v>
          </cell>
          <cell r="G80" t="str">
            <v xml:space="preserve"> 11/15/2015</v>
          </cell>
          <cell r="H80">
            <v>43807562</v>
          </cell>
          <cell r="I80">
            <v>1607842</v>
          </cell>
          <cell r="J80">
            <v>4173384</v>
          </cell>
          <cell r="K80">
            <v>291096</v>
          </cell>
          <cell r="L80">
            <v>138271</v>
          </cell>
          <cell r="M80">
            <v>0</v>
          </cell>
          <cell r="N80">
            <v>0</v>
          </cell>
          <cell r="O80">
            <v>325266</v>
          </cell>
          <cell r="P80">
            <v>0</v>
          </cell>
          <cell r="Q80">
            <v>0</v>
          </cell>
          <cell r="R80">
            <v>451</v>
          </cell>
          <cell r="S80">
            <v>390581</v>
          </cell>
          <cell r="T80">
            <v>0</v>
          </cell>
          <cell r="U80">
            <v>-8494615</v>
          </cell>
          <cell r="V80" t="str">
            <v xml:space="preserve"> </v>
          </cell>
          <cell r="W80">
            <v>41948742</v>
          </cell>
          <cell r="X80">
            <v>4022469</v>
          </cell>
          <cell r="Y80">
            <v>0</v>
          </cell>
          <cell r="Z80">
            <v>0</v>
          </cell>
          <cell r="AA80">
            <v>0</v>
          </cell>
          <cell r="AB80">
            <v>45633051</v>
          </cell>
          <cell r="AC80">
            <v>803921</v>
          </cell>
          <cell r="AD80">
            <v>4680452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410465</v>
          </cell>
          <cell r="AN80">
            <v>0</v>
          </cell>
          <cell r="AO80">
            <v>-5237730</v>
          </cell>
          <cell r="AP80">
            <v>46290159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str">
            <v xml:space="preserve"> </v>
          </cell>
          <cell r="AV80" t="str">
            <v xml:space="preserve"> </v>
          </cell>
          <cell r="AW80" t="str">
            <v xml:space="preserve"> </v>
          </cell>
        </row>
        <row r="81">
          <cell r="C81" t="str">
            <v xml:space="preserve"> KERN              </v>
          </cell>
          <cell r="D81" t="str">
            <v xml:space="preserve"> SAN BERNARDINO    </v>
          </cell>
          <cell r="E81">
            <v>520</v>
          </cell>
          <cell r="F81" t="str">
            <v xml:space="preserve"> 2015-2016</v>
          </cell>
          <cell r="G81" t="str">
            <v xml:space="preserve"> 11/15/2015</v>
          </cell>
          <cell r="H81">
            <v>51416</v>
          </cell>
          <cell r="I81">
            <v>913</v>
          </cell>
          <cell r="J81">
            <v>1775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1423</v>
          </cell>
          <cell r="R81">
            <v>0</v>
          </cell>
          <cell r="S81">
            <v>477</v>
          </cell>
          <cell r="T81">
            <v>0</v>
          </cell>
          <cell r="U81">
            <v>0</v>
          </cell>
          <cell r="V81" t="str">
            <v xml:space="preserve"> </v>
          </cell>
          <cell r="W81">
            <v>56004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48868</v>
          </cell>
          <cell r="AC81">
            <v>913</v>
          </cell>
          <cell r="AD81">
            <v>1521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965</v>
          </cell>
          <cell r="AL81">
            <v>0</v>
          </cell>
          <cell r="AM81">
            <v>424</v>
          </cell>
          <cell r="AN81">
            <v>0</v>
          </cell>
          <cell r="AO81">
            <v>0</v>
          </cell>
          <cell r="AP81">
            <v>52691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 t="str">
            <v xml:space="preserve"> </v>
          </cell>
          <cell r="AV81" t="str">
            <v xml:space="preserve"> </v>
          </cell>
          <cell r="AW81" t="str">
            <v xml:space="preserve"> </v>
          </cell>
        </row>
        <row r="82">
          <cell r="C82" t="str">
            <v xml:space="preserve"> KERN              </v>
          </cell>
          <cell r="D82" t="str">
            <v xml:space="preserve"> TULARE            </v>
          </cell>
          <cell r="E82">
            <v>520</v>
          </cell>
          <cell r="F82" t="str">
            <v xml:space="preserve"> 2015-2016</v>
          </cell>
          <cell r="G82" t="str">
            <v xml:space="preserve"> 11/15/2015</v>
          </cell>
          <cell r="H82">
            <v>4358632</v>
          </cell>
          <cell r="I82">
            <v>43934</v>
          </cell>
          <cell r="J82">
            <v>256399</v>
          </cell>
          <cell r="K82">
            <v>5920</v>
          </cell>
          <cell r="L82">
            <v>2812</v>
          </cell>
          <cell r="M82">
            <v>0</v>
          </cell>
          <cell r="N82">
            <v>0</v>
          </cell>
          <cell r="O82">
            <v>67958</v>
          </cell>
          <cell r="P82">
            <v>0</v>
          </cell>
          <cell r="Q82">
            <v>181660</v>
          </cell>
          <cell r="R82">
            <v>99</v>
          </cell>
          <cell r="S82">
            <v>51383</v>
          </cell>
          <cell r="T82">
            <v>0</v>
          </cell>
          <cell r="U82">
            <v>-699147</v>
          </cell>
          <cell r="V82" t="str">
            <v xml:space="preserve"> </v>
          </cell>
          <cell r="W82">
            <v>4263730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4572131</v>
          </cell>
          <cell r="AC82">
            <v>29438</v>
          </cell>
          <cell r="AD82">
            <v>256898</v>
          </cell>
          <cell r="AE82">
            <v>5920</v>
          </cell>
          <cell r="AF82">
            <v>2812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-519615</v>
          </cell>
          <cell r="AP82">
            <v>4341664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str">
            <v xml:space="preserve"> </v>
          </cell>
          <cell r="AV82" t="str">
            <v xml:space="preserve"> </v>
          </cell>
          <cell r="AW82" t="str">
            <v xml:space="preserve"> </v>
          </cell>
        </row>
        <row r="83">
          <cell r="C83" t="str">
            <v>KERN Subtotal</v>
          </cell>
          <cell r="H83">
            <v>48537997</v>
          </cell>
          <cell r="I83">
            <v>1655305</v>
          </cell>
          <cell r="J83">
            <v>4472954</v>
          </cell>
          <cell r="K83">
            <v>297016</v>
          </cell>
          <cell r="L83">
            <v>141083</v>
          </cell>
          <cell r="M83">
            <v>0</v>
          </cell>
          <cell r="N83">
            <v>0</v>
          </cell>
          <cell r="O83">
            <v>393224</v>
          </cell>
          <cell r="P83">
            <v>0</v>
          </cell>
          <cell r="Q83">
            <v>186708</v>
          </cell>
          <cell r="R83">
            <v>550</v>
          </cell>
          <cell r="S83">
            <v>444772</v>
          </cell>
          <cell r="T83">
            <v>0</v>
          </cell>
          <cell r="U83">
            <v>-9193762</v>
          </cell>
          <cell r="V83">
            <v>0</v>
          </cell>
          <cell r="W83">
            <v>46638831</v>
          </cell>
          <cell r="X83">
            <v>4022469</v>
          </cell>
          <cell r="Y83">
            <v>0</v>
          </cell>
          <cell r="Z83">
            <v>0</v>
          </cell>
          <cell r="AA83">
            <v>0</v>
          </cell>
          <cell r="AB83">
            <v>50577906</v>
          </cell>
          <cell r="AC83">
            <v>834272</v>
          </cell>
          <cell r="AD83">
            <v>4975198</v>
          </cell>
          <cell r="AE83">
            <v>5920</v>
          </cell>
          <cell r="AF83">
            <v>2812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5686</v>
          </cell>
          <cell r="AL83">
            <v>0</v>
          </cell>
          <cell r="AM83">
            <v>413107</v>
          </cell>
          <cell r="AN83">
            <v>0</v>
          </cell>
          <cell r="AO83">
            <v>-5757345</v>
          </cell>
          <cell r="AP83">
            <v>51051636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</row>
        <row r="85">
          <cell r="C85" t="str">
            <v xml:space="preserve"> LAKE TAHOE        </v>
          </cell>
          <cell r="D85" t="str">
            <v xml:space="preserve"> EL DORADO         </v>
          </cell>
          <cell r="E85">
            <v>220</v>
          </cell>
          <cell r="F85" t="str">
            <v xml:space="preserve"> 2015-2016</v>
          </cell>
          <cell r="G85" t="str">
            <v xml:space="preserve"> 11/15/2015</v>
          </cell>
          <cell r="H85">
            <v>3504911</v>
          </cell>
          <cell r="I85">
            <v>66197</v>
          </cell>
          <cell r="J85">
            <v>80239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5157</v>
          </cell>
          <cell r="Q85">
            <v>3814</v>
          </cell>
          <cell r="R85">
            <v>205</v>
          </cell>
          <cell r="S85">
            <v>39699</v>
          </cell>
          <cell r="T85">
            <v>0</v>
          </cell>
          <cell r="U85">
            <v>0</v>
          </cell>
          <cell r="V85" t="str">
            <v xml:space="preserve"> </v>
          </cell>
          <cell r="W85">
            <v>3700222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3722324</v>
          </cell>
          <cell r="AC85">
            <v>66197</v>
          </cell>
          <cell r="AD85">
            <v>77206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1</v>
          </cell>
          <cell r="AL85">
            <v>51</v>
          </cell>
          <cell r="AM85">
            <v>39318</v>
          </cell>
          <cell r="AN85">
            <v>0</v>
          </cell>
          <cell r="AO85">
            <v>0</v>
          </cell>
          <cell r="AP85">
            <v>3905097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 t="str">
            <v xml:space="preserve"> </v>
          </cell>
          <cell r="AV85" t="str">
            <v xml:space="preserve"> </v>
          </cell>
          <cell r="AW85" t="str">
            <v xml:space="preserve"> </v>
          </cell>
        </row>
        <row r="86">
          <cell r="C86" t="str">
            <v xml:space="preserve">LAKE TAHOE Subtotal        </v>
          </cell>
          <cell r="H86">
            <v>3504911</v>
          </cell>
          <cell r="I86">
            <v>66197</v>
          </cell>
          <cell r="J86">
            <v>80239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5157</v>
          </cell>
          <cell r="Q86">
            <v>3814</v>
          </cell>
          <cell r="R86">
            <v>205</v>
          </cell>
          <cell r="S86">
            <v>39699</v>
          </cell>
          <cell r="T86">
            <v>0</v>
          </cell>
          <cell r="U86">
            <v>0</v>
          </cell>
          <cell r="V86">
            <v>0</v>
          </cell>
          <cell r="W86">
            <v>3700222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3722324</v>
          </cell>
          <cell r="AC86">
            <v>66197</v>
          </cell>
          <cell r="AD86">
            <v>77206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1</v>
          </cell>
          <cell r="AL86">
            <v>51</v>
          </cell>
          <cell r="AM86">
            <v>39318</v>
          </cell>
          <cell r="AN86">
            <v>0</v>
          </cell>
          <cell r="AO86">
            <v>0</v>
          </cell>
          <cell r="AP86">
            <v>3905097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</row>
        <row r="88">
          <cell r="C88" t="str">
            <v xml:space="preserve"> LASSEN            </v>
          </cell>
          <cell r="D88" t="str">
            <v xml:space="preserve"> LASSEN            </v>
          </cell>
          <cell r="E88">
            <v>130</v>
          </cell>
          <cell r="F88" t="str">
            <v xml:space="preserve"> 2015-2016</v>
          </cell>
          <cell r="G88" t="str">
            <v xml:space="preserve"> 11/15/2015</v>
          </cell>
          <cell r="H88">
            <v>1775268</v>
          </cell>
          <cell r="I88">
            <v>5855</v>
          </cell>
          <cell r="J88">
            <v>87798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7618</v>
          </cell>
          <cell r="R88">
            <v>10741</v>
          </cell>
          <cell r="S88">
            <v>32504</v>
          </cell>
          <cell r="T88">
            <v>0</v>
          </cell>
          <cell r="U88">
            <v>-399103</v>
          </cell>
          <cell r="V88" t="str">
            <v xml:space="preserve"> </v>
          </cell>
          <cell r="W88">
            <v>1520681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1789887</v>
          </cell>
          <cell r="AC88">
            <v>5842</v>
          </cell>
          <cell r="AD88">
            <v>86042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7466</v>
          </cell>
          <cell r="AL88">
            <v>10038</v>
          </cell>
          <cell r="AM88">
            <v>31639</v>
          </cell>
          <cell r="AN88">
            <v>0</v>
          </cell>
          <cell r="AO88">
            <v>-340477</v>
          </cell>
          <cell r="AP88">
            <v>1590437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 t="str">
            <v xml:space="preserve"> </v>
          </cell>
          <cell r="AV88" t="str">
            <v xml:space="preserve"> </v>
          </cell>
          <cell r="AW88" t="str">
            <v xml:space="preserve"> </v>
          </cell>
        </row>
        <row r="89">
          <cell r="C89" t="str">
            <v xml:space="preserve"> MODOC             </v>
          </cell>
          <cell r="D89" t="str">
            <v xml:space="preserve"> LASSEN            </v>
          </cell>
          <cell r="E89">
            <v>130</v>
          </cell>
          <cell r="F89" t="str">
            <v xml:space="preserve"> 2015-2016</v>
          </cell>
          <cell r="G89" t="str">
            <v xml:space="preserve"> 11/15/2015</v>
          </cell>
          <cell r="AB89">
            <v>98000</v>
          </cell>
          <cell r="AC89">
            <v>540</v>
          </cell>
          <cell r="AD89">
            <v>3300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6000</v>
          </cell>
          <cell r="AL89">
            <v>275</v>
          </cell>
          <cell r="AM89">
            <v>1400</v>
          </cell>
          <cell r="AN89">
            <v>0</v>
          </cell>
          <cell r="AO89">
            <v>-5305</v>
          </cell>
          <cell r="AP89">
            <v>104210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C90" t="str">
            <v xml:space="preserve">LASSEN Subtotal           </v>
          </cell>
          <cell r="H90">
            <v>1775268</v>
          </cell>
          <cell r="I90">
            <v>5855</v>
          </cell>
          <cell r="J90">
            <v>87798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7618</v>
          </cell>
          <cell r="R90">
            <v>10741</v>
          </cell>
          <cell r="S90">
            <v>32504</v>
          </cell>
          <cell r="T90">
            <v>0</v>
          </cell>
          <cell r="U90">
            <v>-399103</v>
          </cell>
          <cell r="V90">
            <v>0</v>
          </cell>
          <cell r="W90">
            <v>1520681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1887887</v>
          </cell>
          <cell r="AC90">
            <v>6382</v>
          </cell>
          <cell r="AD90">
            <v>89342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13466</v>
          </cell>
          <cell r="AL90">
            <v>10313</v>
          </cell>
          <cell r="AM90">
            <v>33039</v>
          </cell>
          <cell r="AN90">
            <v>0</v>
          </cell>
          <cell r="AO90">
            <v>-345782</v>
          </cell>
          <cell r="AP90">
            <v>1694647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</row>
        <row r="92">
          <cell r="C92" t="str">
            <v xml:space="preserve"> LONG BEACH        </v>
          </cell>
          <cell r="D92" t="str">
            <v xml:space="preserve"> LOS ANGELES       </v>
          </cell>
          <cell r="E92">
            <v>840</v>
          </cell>
          <cell r="F92" t="str">
            <v xml:space="preserve"> 2015-2016</v>
          </cell>
          <cell r="G92" t="str">
            <v xml:space="preserve"> 11/15/2015</v>
          </cell>
          <cell r="H92">
            <v>10579494</v>
          </cell>
          <cell r="I92">
            <v>327778</v>
          </cell>
          <cell r="J92">
            <v>236126</v>
          </cell>
          <cell r="K92">
            <v>663287</v>
          </cell>
          <cell r="L92">
            <v>315061</v>
          </cell>
          <cell r="M92">
            <v>0</v>
          </cell>
          <cell r="N92">
            <v>0</v>
          </cell>
          <cell r="O92">
            <v>2078336</v>
          </cell>
          <cell r="P92">
            <v>0</v>
          </cell>
          <cell r="Q92">
            <v>305255</v>
          </cell>
          <cell r="R92">
            <v>0</v>
          </cell>
          <cell r="S92">
            <v>79006</v>
          </cell>
          <cell r="T92">
            <v>0</v>
          </cell>
          <cell r="U92">
            <v>3163097</v>
          </cell>
          <cell r="V92" t="str">
            <v xml:space="preserve"> </v>
          </cell>
          <cell r="W92">
            <v>17084153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10726549</v>
          </cell>
          <cell r="AC92">
            <v>409723</v>
          </cell>
          <cell r="AD92">
            <v>236000</v>
          </cell>
          <cell r="AE92">
            <v>270327</v>
          </cell>
          <cell r="AF92">
            <v>128405</v>
          </cell>
          <cell r="AG92">
            <v>0</v>
          </cell>
          <cell r="AH92">
            <v>0</v>
          </cell>
          <cell r="AI92">
            <v>500422</v>
          </cell>
          <cell r="AJ92">
            <v>0</v>
          </cell>
          <cell r="AK92">
            <v>369986</v>
          </cell>
          <cell r="AL92">
            <v>0</v>
          </cell>
          <cell r="AM92">
            <v>79000</v>
          </cell>
          <cell r="AN92">
            <v>0</v>
          </cell>
          <cell r="AO92">
            <v>0</v>
          </cell>
          <cell r="AP92">
            <v>12450085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 t="str">
            <v xml:space="preserve"> </v>
          </cell>
          <cell r="AV92" t="str">
            <v xml:space="preserve"> </v>
          </cell>
          <cell r="AW92" t="str">
            <v xml:space="preserve"> </v>
          </cell>
        </row>
        <row r="93">
          <cell r="C93" t="str">
            <v xml:space="preserve">LONG BEACH Subtotal     </v>
          </cell>
          <cell r="H93">
            <v>10579494</v>
          </cell>
          <cell r="I93">
            <v>327778</v>
          </cell>
          <cell r="J93">
            <v>236126</v>
          </cell>
          <cell r="K93">
            <v>663287</v>
          </cell>
          <cell r="L93">
            <v>315061</v>
          </cell>
          <cell r="M93">
            <v>0</v>
          </cell>
          <cell r="N93">
            <v>0</v>
          </cell>
          <cell r="O93">
            <v>2078336</v>
          </cell>
          <cell r="P93">
            <v>0</v>
          </cell>
          <cell r="Q93">
            <v>305255</v>
          </cell>
          <cell r="R93">
            <v>0</v>
          </cell>
          <cell r="S93">
            <v>79006</v>
          </cell>
          <cell r="T93">
            <v>0</v>
          </cell>
          <cell r="U93">
            <v>3163097</v>
          </cell>
          <cell r="V93">
            <v>0</v>
          </cell>
          <cell r="W93">
            <v>17084153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10726549</v>
          </cell>
          <cell r="AC93">
            <v>409723</v>
          </cell>
          <cell r="AD93">
            <v>236000</v>
          </cell>
          <cell r="AE93">
            <v>270327</v>
          </cell>
          <cell r="AF93">
            <v>128405</v>
          </cell>
          <cell r="AG93">
            <v>0</v>
          </cell>
          <cell r="AH93">
            <v>0</v>
          </cell>
          <cell r="AI93">
            <v>500422</v>
          </cell>
          <cell r="AJ93">
            <v>0</v>
          </cell>
          <cell r="AK93">
            <v>369986</v>
          </cell>
          <cell r="AL93">
            <v>0</v>
          </cell>
          <cell r="AM93">
            <v>79000</v>
          </cell>
          <cell r="AN93">
            <v>0</v>
          </cell>
          <cell r="AO93">
            <v>0</v>
          </cell>
          <cell r="AP93">
            <v>12450085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</row>
        <row r="95">
          <cell r="C95" t="str">
            <v xml:space="preserve"> LOS ANGELES       </v>
          </cell>
          <cell r="D95" t="str">
            <v xml:space="preserve"> LOS ANGELES       </v>
          </cell>
          <cell r="E95">
            <v>740</v>
          </cell>
          <cell r="F95" t="str">
            <v xml:space="preserve"> 2015-2016</v>
          </cell>
          <cell r="G95" t="str">
            <v xml:space="preserve"> 11/15/2015</v>
          </cell>
          <cell r="H95">
            <v>156653302</v>
          </cell>
          <cell r="I95">
            <v>4245540</v>
          </cell>
          <cell r="J95">
            <v>5734245</v>
          </cell>
          <cell r="K95">
            <v>1950215</v>
          </cell>
          <cell r="L95">
            <v>926352</v>
          </cell>
          <cell r="M95">
            <v>0</v>
          </cell>
          <cell r="N95">
            <v>0</v>
          </cell>
          <cell r="O95">
            <v>7903537</v>
          </cell>
          <cell r="P95">
            <v>423356</v>
          </cell>
          <cell r="Q95">
            <v>3730432</v>
          </cell>
          <cell r="R95">
            <v>0</v>
          </cell>
          <cell r="S95">
            <v>1178509</v>
          </cell>
          <cell r="T95">
            <v>0</v>
          </cell>
          <cell r="U95">
            <v>0</v>
          </cell>
          <cell r="V95" t="str">
            <v xml:space="preserve"> </v>
          </cell>
          <cell r="W95">
            <v>180795273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167008085</v>
          </cell>
          <cell r="AC95">
            <v>5306925</v>
          </cell>
          <cell r="AD95">
            <v>5734000</v>
          </cell>
          <cell r="AE95">
            <v>906779</v>
          </cell>
          <cell r="AF95">
            <v>430720</v>
          </cell>
          <cell r="AG95">
            <v>0</v>
          </cell>
          <cell r="AH95">
            <v>0</v>
          </cell>
          <cell r="AI95">
            <v>1755970</v>
          </cell>
          <cell r="AJ95">
            <v>0</v>
          </cell>
          <cell r="AK95">
            <v>4023440</v>
          </cell>
          <cell r="AL95">
            <v>0</v>
          </cell>
          <cell r="AM95">
            <v>1178500</v>
          </cell>
          <cell r="AN95">
            <v>0</v>
          </cell>
          <cell r="AO95">
            <v>0</v>
          </cell>
          <cell r="AP95">
            <v>185437640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 t="str">
            <v xml:space="preserve"> </v>
          </cell>
          <cell r="AV95" t="str">
            <v xml:space="preserve"> </v>
          </cell>
          <cell r="AW95" t="str">
            <v xml:space="preserve"> </v>
          </cell>
        </row>
        <row r="96">
          <cell r="C96" t="str">
            <v xml:space="preserve">LOS ANGELES Subtotal     </v>
          </cell>
          <cell r="H96">
            <v>156653302</v>
          </cell>
          <cell r="I96">
            <v>4245540</v>
          </cell>
          <cell r="J96">
            <v>5734245</v>
          </cell>
          <cell r="K96">
            <v>1950215</v>
          </cell>
          <cell r="L96">
            <v>926352</v>
          </cell>
          <cell r="M96">
            <v>0</v>
          </cell>
          <cell r="N96">
            <v>0</v>
          </cell>
          <cell r="O96">
            <v>7903537</v>
          </cell>
          <cell r="P96">
            <v>423356</v>
          </cell>
          <cell r="Q96">
            <v>3730432</v>
          </cell>
          <cell r="R96">
            <v>0</v>
          </cell>
          <cell r="S96">
            <v>1178509</v>
          </cell>
          <cell r="T96">
            <v>0</v>
          </cell>
          <cell r="U96">
            <v>0</v>
          </cell>
          <cell r="V96">
            <v>0</v>
          </cell>
          <cell r="W96">
            <v>180795273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167008085</v>
          </cell>
          <cell r="AC96">
            <v>5306925</v>
          </cell>
          <cell r="AD96">
            <v>5734000</v>
          </cell>
          <cell r="AE96">
            <v>906779</v>
          </cell>
          <cell r="AF96">
            <v>430720</v>
          </cell>
          <cell r="AG96">
            <v>0</v>
          </cell>
          <cell r="AH96">
            <v>0</v>
          </cell>
          <cell r="AI96">
            <v>1755970</v>
          </cell>
          <cell r="AJ96">
            <v>0</v>
          </cell>
          <cell r="AK96">
            <v>4023440</v>
          </cell>
          <cell r="AL96">
            <v>0</v>
          </cell>
          <cell r="AM96">
            <v>1178500</v>
          </cell>
          <cell r="AN96">
            <v>0</v>
          </cell>
          <cell r="AO96">
            <v>0</v>
          </cell>
          <cell r="AP96">
            <v>185437640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</row>
        <row r="98">
          <cell r="C98" t="str">
            <v xml:space="preserve"> LOS RIOS          </v>
          </cell>
          <cell r="D98" t="str">
            <v xml:space="preserve"> EL DORADO         </v>
          </cell>
          <cell r="E98">
            <v>230</v>
          </cell>
          <cell r="F98" t="str">
            <v xml:space="preserve"> 2015-2016</v>
          </cell>
          <cell r="G98" t="str">
            <v xml:space="preserve"> 11/15/2015</v>
          </cell>
          <cell r="H98">
            <v>9548443</v>
          </cell>
          <cell r="I98">
            <v>167861</v>
          </cell>
          <cell r="J98">
            <v>204269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9586</v>
          </cell>
          <cell r="R98">
            <v>19593</v>
          </cell>
          <cell r="S98">
            <v>101044</v>
          </cell>
          <cell r="T98">
            <v>0</v>
          </cell>
          <cell r="U98">
            <v>858877</v>
          </cell>
          <cell r="V98" t="str">
            <v xml:space="preserve"> </v>
          </cell>
          <cell r="W98">
            <v>10909673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10090779</v>
          </cell>
          <cell r="AC98">
            <v>167861</v>
          </cell>
          <cell r="AD98">
            <v>196575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4898</v>
          </cell>
          <cell r="AM98">
            <v>100107</v>
          </cell>
          <cell r="AN98">
            <v>0</v>
          </cell>
          <cell r="AO98">
            <v>1413330</v>
          </cell>
          <cell r="AP98">
            <v>11973551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 t="str">
            <v xml:space="preserve"> </v>
          </cell>
          <cell r="AV98" t="str">
            <v xml:space="preserve"> </v>
          </cell>
          <cell r="AW98" t="str">
            <v xml:space="preserve"> </v>
          </cell>
        </row>
        <row r="99">
          <cell r="C99" t="str">
            <v xml:space="preserve"> LOS RIOS          </v>
          </cell>
          <cell r="D99" t="str">
            <v xml:space="preserve"> PLACER            </v>
          </cell>
          <cell r="E99">
            <v>230</v>
          </cell>
          <cell r="F99" t="str">
            <v xml:space="preserve"> 2015-2016</v>
          </cell>
          <cell r="G99" t="str">
            <v xml:space="preserve"> 11/15/2015</v>
          </cell>
          <cell r="H99">
            <v>38073</v>
          </cell>
          <cell r="I99">
            <v>880</v>
          </cell>
          <cell r="J99">
            <v>926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20</v>
          </cell>
          <cell r="R99">
            <v>0</v>
          </cell>
          <cell r="S99">
            <v>358</v>
          </cell>
          <cell r="T99">
            <v>0</v>
          </cell>
          <cell r="U99">
            <v>0</v>
          </cell>
          <cell r="V99" t="str">
            <v xml:space="preserve"> </v>
          </cell>
          <cell r="W99">
            <v>40257</v>
          </cell>
          <cell r="X99">
            <v>-5</v>
          </cell>
          <cell r="Y99">
            <v>0</v>
          </cell>
          <cell r="Z99">
            <v>0</v>
          </cell>
          <cell r="AA99">
            <v>0</v>
          </cell>
          <cell r="AB99">
            <v>42815</v>
          </cell>
          <cell r="AC99">
            <v>922</v>
          </cell>
          <cell r="AD99">
            <v>994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20</v>
          </cell>
          <cell r="AL99">
            <v>0</v>
          </cell>
          <cell r="AM99">
            <v>362</v>
          </cell>
          <cell r="AN99">
            <v>0</v>
          </cell>
          <cell r="AO99">
            <v>0</v>
          </cell>
          <cell r="AP99">
            <v>45113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str">
            <v xml:space="preserve"> </v>
          </cell>
          <cell r="AV99" t="str">
            <v xml:space="preserve"> </v>
          </cell>
          <cell r="AW99" t="str">
            <v xml:space="preserve"> </v>
          </cell>
        </row>
        <row r="100">
          <cell r="C100" t="str">
            <v xml:space="preserve"> LOS RIOS          </v>
          </cell>
          <cell r="D100" t="str">
            <v xml:space="preserve"> SACRAMENTO        </v>
          </cell>
          <cell r="E100">
            <v>230</v>
          </cell>
          <cell r="F100" t="str">
            <v xml:space="preserve"> 2015-2016</v>
          </cell>
          <cell r="G100" t="str">
            <v xml:space="preserve"> 11/15/2015</v>
          </cell>
          <cell r="H100">
            <v>35086267</v>
          </cell>
          <cell r="I100">
            <v>610872</v>
          </cell>
          <cell r="J100">
            <v>1496981</v>
          </cell>
          <cell r="K100">
            <v>287341</v>
          </cell>
          <cell r="L100">
            <v>136487</v>
          </cell>
          <cell r="M100">
            <v>0</v>
          </cell>
          <cell r="N100">
            <v>0</v>
          </cell>
          <cell r="O100">
            <v>628974</v>
          </cell>
          <cell r="P100">
            <v>0</v>
          </cell>
          <cell r="Q100">
            <v>0</v>
          </cell>
          <cell r="R100">
            <v>17</v>
          </cell>
          <cell r="S100">
            <v>466570</v>
          </cell>
          <cell r="T100">
            <v>1683</v>
          </cell>
          <cell r="U100">
            <v>3370123</v>
          </cell>
          <cell r="V100" t="str">
            <v xml:space="preserve"> </v>
          </cell>
          <cell r="W100">
            <v>41797974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36291317</v>
          </cell>
          <cell r="AC100">
            <v>1238625</v>
          </cell>
          <cell r="AD100">
            <v>1150819</v>
          </cell>
          <cell r="AE100">
            <v>278304</v>
          </cell>
          <cell r="AF100">
            <v>132194</v>
          </cell>
          <cell r="AG100">
            <v>0</v>
          </cell>
          <cell r="AH100">
            <v>0</v>
          </cell>
          <cell r="AI100">
            <v>338805</v>
          </cell>
          <cell r="AJ100">
            <v>0</v>
          </cell>
          <cell r="AK100">
            <v>0</v>
          </cell>
          <cell r="AL100">
            <v>17</v>
          </cell>
          <cell r="AM100">
            <v>515823</v>
          </cell>
          <cell r="AN100">
            <v>1683</v>
          </cell>
          <cell r="AO100">
            <v>6899352</v>
          </cell>
          <cell r="AP100">
            <v>46568635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str">
            <v xml:space="preserve"> </v>
          </cell>
          <cell r="AV100" t="str">
            <v xml:space="preserve"> </v>
          </cell>
          <cell r="AW100" t="str">
            <v xml:space="preserve"> </v>
          </cell>
        </row>
        <row r="101">
          <cell r="C101" t="str">
            <v xml:space="preserve"> LOS RIOS          </v>
          </cell>
          <cell r="D101" t="str">
            <v xml:space="preserve"> SOLANO            </v>
          </cell>
          <cell r="E101">
            <v>230</v>
          </cell>
          <cell r="F101" t="str">
            <v xml:space="preserve"> 2015-2016</v>
          </cell>
          <cell r="G101" t="str">
            <v xml:space="preserve"> 11/15/2015</v>
          </cell>
          <cell r="H101">
            <v>9274</v>
          </cell>
          <cell r="I101">
            <v>150</v>
          </cell>
          <cell r="J101">
            <v>582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5</v>
          </cell>
          <cell r="R101">
            <v>0</v>
          </cell>
          <cell r="S101">
            <v>87</v>
          </cell>
          <cell r="T101">
            <v>0</v>
          </cell>
          <cell r="U101">
            <v>0</v>
          </cell>
          <cell r="V101" t="str">
            <v xml:space="preserve"> </v>
          </cell>
          <cell r="W101">
            <v>10098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11504</v>
          </cell>
          <cell r="AC101">
            <v>176</v>
          </cell>
          <cell r="AD101">
            <v>683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101</v>
          </cell>
          <cell r="AN101">
            <v>0</v>
          </cell>
          <cell r="AO101">
            <v>0</v>
          </cell>
          <cell r="AP101">
            <v>12464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str">
            <v xml:space="preserve"> </v>
          </cell>
          <cell r="AV101" t="str">
            <v xml:space="preserve"> </v>
          </cell>
          <cell r="AW101" t="str">
            <v xml:space="preserve"> </v>
          </cell>
        </row>
        <row r="102">
          <cell r="C102" t="str">
            <v xml:space="preserve"> LOS RIOS          </v>
          </cell>
          <cell r="D102" t="str">
            <v xml:space="preserve"> YOLO              </v>
          </cell>
          <cell r="E102">
            <v>230</v>
          </cell>
          <cell r="F102" t="str">
            <v xml:space="preserve"> 2015-2016</v>
          </cell>
          <cell r="G102" t="str">
            <v xml:space="preserve"> 11/15/2015</v>
          </cell>
          <cell r="H102">
            <v>4622727</v>
          </cell>
          <cell r="I102">
            <v>77496</v>
          </cell>
          <cell r="J102">
            <v>175908</v>
          </cell>
          <cell r="K102">
            <v>121659</v>
          </cell>
          <cell r="L102">
            <v>57788</v>
          </cell>
          <cell r="M102">
            <v>0</v>
          </cell>
          <cell r="N102">
            <v>0</v>
          </cell>
          <cell r="O102">
            <v>458399</v>
          </cell>
          <cell r="P102">
            <v>0</v>
          </cell>
          <cell r="Q102">
            <v>1410</v>
          </cell>
          <cell r="R102">
            <v>0</v>
          </cell>
          <cell r="S102">
            <v>48856</v>
          </cell>
          <cell r="T102">
            <v>1564</v>
          </cell>
          <cell r="U102">
            <v>-386020</v>
          </cell>
          <cell r="V102" t="str">
            <v xml:space="preserve"> </v>
          </cell>
          <cell r="W102">
            <v>5058128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4953369</v>
          </cell>
          <cell r="AC102">
            <v>75000</v>
          </cell>
          <cell r="AD102">
            <v>194888</v>
          </cell>
          <cell r="AE102">
            <v>129017</v>
          </cell>
          <cell r="AF102">
            <v>61283</v>
          </cell>
          <cell r="AG102">
            <v>0</v>
          </cell>
          <cell r="AH102">
            <v>0</v>
          </cell>
          <cell r="AI102">
            <v>231689</v>
          </cell>
          <cell r="AJ102">
            <v>0</v>
          </cell>
          <cell r="AK102">
            <v>1300</v>
          </cell>
          <cell r="AL102">
            <v>0</v>
          </cell>
          <cell r="AM102">
            <v>48475</v>
          </cell>
          <cell r="AN102">
            <v>1200</v>
          </cell>
          <cell r="AO102">
            <v>386592</v>
          </cell>
          <cell r="AP102">
            <v>5953796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 t="str">
            <v xml:space="preserve"> </v>
          </cell>
          <cell r="AV102" t="str">
            <v xml:space="preserve"> </v>
          </cell>
          <cell r="AW102" t="str">
            <v xml:space="preserve"> </v>
          </cell>
        </row>
        <row r="103">
          <cell r="C103" t="str">
            <v xml:space="preserve">LOS RIOS Subtotal          </v>
          </cell>
          <cell r="H103">
            <v>49304784</v>
          </cell>
          <cell r="I103">
            <v>857259</v>
          </cell>
          <cell r="J103">
            <v>1878666</v>
          </cell>
          <cell r="K103">
            <v>409000</v>
          </cell>
          <cell r="L103">
            <v>194275</v>
          </cell>
          <cell r="M103">
            <v>0</v>
          </cell>
          <cell r="N103">
            <v>0</v>
          </cell>
          <cell r="O103">
            <v>1087373</v>
          </cell>
          <cell r="P103">
            <v>0</v>
          </cell>
          <cell r="Q103">
            <v>11021</v>
          </cell>
          <cell r="R103">
            <v>19610</v>
          </cell>
          <cell r="S103">
            <v>616915</v>
          </cell>
          <cell r="T103">
            <v>3247</v>
          </cell>
          <cell r="U103">
            <v>3842980</v>
          </cell>
          <cell r="V103">
            <v>0</v>
          </cell>
          <cell r="W103">
            <v>57816130</v>
          </cell>
          <cell r="X103">
            <v>-5</v>
          </cell>
          <cell r="Y103">
            <v>0</v>
          </cell>
          <cell r="Z103">
            <v>0</v>
          </cell>
          <cell r="AA103">
            <v>0</v>
          </cell>
          <cell r="AB103">
            <v>51389784</v>
          </cell>
          <cell r="AC103">
            <v>1482584</v>
          </cell>
          <cell r="AD103">
            <v>1543959</v>
          </cell>
          <cell r="AE103">
            <v>407321</v>
          </cell>
          <cell r="AF103">
            <v>193477</v>
          </cell>
          <cell r="AG103">
            <v>0</v>
          </cell>
          <cell r="AH103">
            <v>0</v>
          </cell>
          <cell r="AI103">
            <v>570494</v>
          </cell>
          <cell r="AJ103">
            <v>0</v>
          </cell>
          <cell r="AK103">
            <v>1321</v>
          </cell>
          <cell r="AL103">
            <v>4915</v>
          </cell>
          <cell r="AM103">
            <v>664868</v>
          </cell>
          <cell r="AN103">
            <v>2883</v>
          </cell>
          <cell r="AO103">
            <v>8699274</v>
          </cell>
          <cell r="AP103">
            <v>64553559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</row>
        <row r="105">
          <cell r="C105" t="str">
            <v xml:space="preserve"> MARIN             </v>
          </cell>
          <cell r="D105" t="str">
            <v xml:space="preserve"> MARIN             </v>
          </cell>
          <cell r="E105">
            <v>330</v>
          </cell>
          <cell r="F105" t="str">
            <v xml:space="preserve"> 2015-2016</v>
          </cell>
          <cell r="G105" t="str">
            <v xml:space="preserve"> 11/15/2015</v>
          </cell>
          <cell r="H105">
            <v>42739925</v>
          </cell>
          <cell r="I105">
            <v>1164582</v>
          </cell>
          <cell r="J105">
            <v>919932</v>
          </cell>
          <cell r="K105">
            <v>102265</v>
          </cell>
          <cell r="L105">
            <v>48576</v>
          </cell>
          <cell r="M105">
            <v>0</v>
          </cell>
          <cell r="N105">
            <v>0</v>
          </cell>
          <cell r="O105">
            <v>235798</v>
          </cell>
          <cell r="P105">
            <v>1989</v>
          </cell>
          <cell r="Q105">
            <v>130797</v>
          </cell>
          <cell r="R105">
            <v>0</v>
          </cell>
          <cell r="S105">
            <v>261987</v>
          </cell>
          <cell r="T105">
            <v>2448</v>
          </cell>
          <cell r="U105">
            <v>0</v>
          </cell>
          <cell r="V105" t="str">
            <v xml:space="preserve"> </v>
          </cell>
          <cell r="W105">
            <v>45506034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45476890</v>
          </cell>
          <cell r="AC105">
            <v>1164582</v>
          </cell>
          <cell r="AD105">
            <v>907507</v>
          </cell>
          <cell r="AE105">
            <v>106658</v>
          </cell>
          <cell r="AF105">
            <v>50663</v>
          </cell>
          <cell r="AG105">
            <v>0</v>
          </cell>
          <cell r="AH105">
            <v>0</v>
          </cell>
          <cell r="AI105">
            <v>247744</v>
          </cell>
          <cell r="AJ105">
            <v>0</v>
          </cell>
          <cell r="AK105">
            <v>130797</v>
          </cell>
          <cell r="AL105">
            <v>0</v>
          </cell>
          <cell r="AM105">
            <v>259461</v>
          </cell>
          <cell r="AN105">
            <v>2180</v>
          </cell>
          <cell r="AO105">
            <v>0</v>
          </cell>
          <cell r="AP105">
            <v>48239824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 t="str">
            <v xml:space="preserve"> </v>
          </cell>
          <cell r="AV105" t="str">
            <v xml:space="preserve"> </v>
          </cell>
          <cell r="AW105" t="str">
            <v xml:space="preserve"> </v>
          </cell>
        </row>
        <row r="106">
          <cell r="C106" t="str">
            <v xml:space="preserve">MARIN Subtotal          </v>
          </cell>
          <cell r="H106">
            <v>42739925</v>
          </cell>
          <cell r="I106">
            <v>1164582</v>
          </cell>
          <cell r="J106">
            <v>919932</v>
          </cell>
          <cell r="K106">
            <v>102265</v>
          </cell>
          <cell r="L106">
            <v>48576</v>
          </cell>
          <cell r="M106">
            <v>0</v>
          </cell>
          <cell r="N106">
            <v>0</v>
          </cell>
          <cell r="O106">
            <v>235798</v>
          </cell>
          <cell r="P106">
            <v>1989</v>
          </cell>
          <cell r="Q106">
            <v>130797</v>
          </cell>
          <cell r="R106">
            <v>0</v>
          </cell>
          <cell r="S106">
            <v>261987</v>
          </cell>
          <cell r="T106">
            <v>2448</v>
          </cell>
          <cell r="U106">
            <v>0</v>
          </cell>
          <cell r="V106">
            <v>0</v>
          </cell>
          <cell r="W106">
            <v>45506034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45476890</v>
          </cell>
          <cell r="AC106">
            <v>1164582</v>
          </cell>
          <cell r="AD106">
            <v>907507</v>
          </cell>
          <cell r="AE106">
            <v>106658</v>
          </cell>
          <cell r="AF106">
            <v>50663</v>
          </cell>
          <cell r="AG106">
            <v>0</v>
          </cell>
          <cell r="AH106">
            <v>0</v>
          </cell>
          <cell r="AI106">
            <v>247744</v>
          </cell>
          <cell r="AJ106">
            <v>0</v>
          </cell>
          <cell r="AK106">
            <v>130797</v>
          </cell>
          <cell r="AL106">
            <v>0</v>
          </cell>
          <cell r="AM106">
            <v>259461</v>
          </cell>
          <cell r="AN106">
            <v>2180</v>
          </cell>
          <cell r="AO106">
            <v>0</v>
          </cell>
          <cell r="AP106">
            <v>48239824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</row>
        <row r="108">
          <cell r="C108" t="str">
            <v xml:space="preserve"> MENDOCINO-LAKE    </v>
          </cell>
          <cell r="D108" t="str">
            <v xml:space="preserve"> LAKE              </v>
          </cell>
          <cell r="E108">
            <v>140</v>
          </cell>
          <cell r="F108" t="str">
            <v xml:space="preserve"> 2015-2016</v>
          </cell>
          <cell r="G108" t="str">
            <v xml:space="preserve"> 11/15/2015</v>
          </cell>
          <cell r="H108">
            <v>2044123</v>
          </cell>
          <cell r="I108">
            <v>3298</v>
          </cell>
          <cell r="J108">
            <v>49162</v>
          </cell>
          <cell r="K108">
            <v>34934</v>
          </cell>
          <cell r="L108">
            <v>16594</v>
          </cell>
          <cell r="M108">
            <v>0</v>
          </cell>
          <cell r="N108">
            <v>0</v>
          </cell>
          <cell r="O108">
            <v>96411</v>
          </cell>
          <cell r="P108">
            <v>0</v>
          </cell>
          <cell r="Q108">
            <v>1494</v>
          </cell>
          <cell r="R108">
            <v>935</v>
          </cell>
          <cell r="S108">
            <v>28391</v>
          </cell>
          <cell r="T108">
            <v>15955</v>
          </cell>
          <cell r="U108">
            <v>-29172</v>
          </cell>
          <cell r="V108" t="str">
            <v xml:space="preserve"> </v>
          </cell>
          <cell r="W108">
            <v>2227191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2075484</v>
          </cell>
          <cell r="AC108">
            <v>2473</v>
          </cell>
          <cell r="AD108">
            <v>49438</v>
          </cell>
          <cell r="AE108">
            <v>34860</v>
          </cell>
          <cell r="AF108">
            <v>16559</v>
          </cell>
          <cell r="AG108">
            <v>0</v>
          </cell>
          <cell r="AH108">
            <v>0</v>
          </cell>
          <cell r="AI108">
            <v>98728</v>
          </cell>
          <cell r="AJ108">
            <v>0</v>
          </cell>
          <cell r="AK108">
            <v>1494</v>
          </cell>
          <cell r="AL108">
            <v>935</v>
          </cell>
          <cell r="AM108">
            <v>27743</v>
          </cell>
          <cell r="AN108">
            <v>15955</v>
          </cell>
          <cell r="AO108">
            <v>133606</v>
          </cell>
          <cell r="AP108">
            <v>2422415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 t="str">
            <v xml:space="preserve"> </v>
          </cell>
          <cell r="AV108" t="str">
            <v xml:space="preserve"> </v>
          </cell>
          <cell r="AW108" t="str">
            <v xml:space="preserve"> </v>
          </cell>
        </row>
        <row r="109">
          <cell r="C109" t="str">
            <v xml:space="preserve"> MENDOCINO-LAKE    </v>
          </cell>
          <cell r="D109" t="str">
            <v xml:space="preserve"> MENDOCINO         </v>
          </cell>
          <cell r="E109">
            <v>140</v>
          </cell>
          <cell r="F109" t="str">
            <v xml:space="preserve"> 2015-2016</v>
          </cell>
          <cell r="G109" t="str">
            <v xml:space="preserve"> 11/15/2015</v>
          </cell>
          <cell r="H109">
            <v>3597027</v>
          </cell>
          <cell r="I109">
            <v>29997</v>
          </cell>
          <cell r="J109">
            <v>132892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298815</v>
          </cell>
          <cell r="P109">
            <v>0</v>
          </cell>
          <cell r="Q109">
            <v>1646</v>
          </cell>
          <cell r="R109">
            <v>13162</v>
          </cell>
          <cell r="S109">
            <v>41960</v>
          </cell>
          <cell r="T109">
            <v>0</v>
          </cell>
          <cell r="U109">
            <v>0</v>
          </cell>
          <cell r="V109" t="str">
            <v xml:space="preserve"> </v>
          </cell>
          <cell r="W109">
            <v>4115499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3609832</v>
          </cell>
          <cell r="AC109">
            <v>5198</v>
          </cell>
          <cell r="AD109">
            <v>142291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187352</v>
          </cell>
          <cell r="AJ109">
            <v>0</v>
          </cell>
          <cell r="AK109">
            <v>6933</v>
          </cell>
          <cell r="AL109">
            <v>13805</v>
          </cell>
          <cell r="AM109">
            <v>40888</v>
          </cell>
          <cell r="AN109">
            <v>0</v>
          </cell>
          <cell r="AO109">
            <v>0</v>
          </cell>
          <cell r="AP109">
            <v>4006299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 t="str">
            <v xml:space="preserve"> </v>
          </cell>
          <cell r="AV109" t="str">
            <v xml:space="preserve"> </v>
          </cell>
          <cell r="AW109" t="str">
            <v xml:space="preserve"> </v>
          </cell>
        </row>
        <row r="110">
          <cell r="C110" t="str">
            <v>MENDOCINO-LAKE Subtotal</v>
          </cell>
          <cell r="H110">
            <v>5641150</v>
          </cell>
          <cell r="I110">
            <v>33295</v>
          </cell>
          <cell r="J110">
            <v>182054</v>
          </cell>
          <cell r="K110">
            <v>34934</v>
          </cell>
          <cell r="L110">
            <v>16594</v>
          </cell>
          <cell r="M110">
            <v>0</v>
          </cell>
          <cell r="N110">
            <v>0</v>
          </cell>
          <cell r="O110">
            <v>395226</v>
          </cell>
          <cell r="P110">
            <v>0</v>
          </cell>
          <cell r="Q110">
            <v>3140</v>
          </cell>
          <cell r="R110">
            <v>14097</v>
          </cell>
          <cell r="S110">
            <v>70351</v>
          </cell>
          <cell r="T110">
            <v>15955</v>
          </cell>
          <cell r="U110">
            <v>-29172</v>
          </cell>
          <cell r="V110">
            <v>0</v>
          </cell>
          <cell r="W110">
            <v>6342690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5685316</v>
          </cell>
          <cell r="AC110">
            <v>7671</v>
          </cell>
          <cell r="AD110">
            <v>191729</v>
          </cell>
          <cell r="AE110">
            <v>34860</v>
          </cell>
          <cell r="AF110">
            <v>16559</v>
          </cell>
          <cell r="AG110">
            <v>0</v>
          </cell>
          <cell r="AH110">
            <v>0</v>
          </cell>
          <cell r="AI110">
            <v>286080</v>
          </cell>
          <cell r="AJ110">
            <v>0</v>
          </cell>
          <cell r="AK110">
            <v>8427</v>
          </cell>
          <cell r="AL110">
            <v>14740</v>
          </cell>
          <cell r="AM110">
            <v>68631</v>
          </cell>
          <cell r="AN110">
            <v>15955</v>
          </cell>
          <cell r="AO110">
            <v>133606</v>
          </cell>
          <cell r="AP110">
            <v>6428714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</row>
        <row r="112">
          <cell r="C112" t="str">
            <v xml:space="preserve"> MERCED            </v>
          </cell>
          <cell r="D112" t="str">
            <v xml:space="preserve"> FRESNO            </v>
          </cell>
          <cell r="E112">
            <v>530</v>
          </cell>
          <cell r="F112" t="str">
            <v xml:space="preserve"> 2015-2016</v>
          </cell>
          <cell r="G112" t="str">
            <v xml:space="preserve"> 11/15/2015</v>
          </cell>
          <cell r="H112">
            <v>58530</v>
          </cell>
          <cell r="I112">
            <v>821</v>
          </cell>
          <cell r="J112">
            <v>2601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1306</v>
          </cell>
          <cell r="R112">
            <v>0</v>
          </cell>
          <cell r="S112">
            <v>692</v>
          </cell>
          <cell r="T112">
            <v>0</v>
          </cell>
          <cell r="U112">
            <v>-9819</v>
          </cell>
          <cell r="V112" t="str">
            <v xml:space="preserve"> </v>
          </cell>
          <cell r="W112">
            <v>54131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59700</v>
          </cell>
          <cell r="AC112">
            <v>821</v>
          </cell>
          <cell r="AD112">
            <v>2601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1306</v>
          </cell>
          <cell r="AL112">
            <v>0</v>
          </cell>
          <cell r="AM112">
            <v>692</v>
          </cell>
          <cell r="AN112">
            <v>0</v>
          </cell>
          <cell r="AO112">
            <v>-4136</v>
          </cell>
          <cell r="AP112">
            <v>60984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 t="str">
            <v xml:space="preserve"> </v>
          </cell>
          <cell r="AV112" t="str">
            <v xml:space="preserve"> </v>
          </cell>
          <cell r="AW112" t="str">
            <v xml:space="preserve"> </v>
          </cell>
        </row>
        <row r="113">
          <cell r="C113" t="str">
            <v xml:space="preserve"> MERCED            </v>
          </cell>
          <cell r="D113" t="str">
            <v xml:space="preserve"> MADERA            </v>
          </cell>
          <cell r="E113">
            <v>530</v>
          </cell>
          <cell r="F113" t="str">
            <v xml:space="preserve"> 2015-2016</v>
          </cell>
          <cell r="G113" t="str">
            <v xml:space="preserve"> 11/15/2015</v>
          </cell>
          <cell r="H113">
            <v>1207896</v>
          </cell>
          <cell r="I113">
            <v>7840</v>
          </cell>
          <cell r="J113">
            <v>24745</v>
          </cell>
          <cell r="K113">
            <v>22892</v>
          </cell>
          <cell r="L113">
            <v>10874</v>
          </cell>
          <cell r="M113">
            <v>0</v>
          </cell>
          <cell r="N113">
            <v>0</v>
          </cell>
          <cell r="O113">
            <v>34356</v>
          </cell>
          <cell r="P113">
            <v>0</v>
          </cell>
          <cell r="Q113">
            <v>-7617</v>
          </cell>
          <cell r="R113">
            <v>0</v>
          </cell>
          <cell r="S113">
            <v>14386</v>
          </cell>
          <cell r="T113">
            <v>0</v>
          </cell>
          <cell r="U113">
            <v>-222855</v>
          </cell>
          <cell r="V113" t="str">
            <v xml:space="preserve"> </v>
          </cell>
          <cell r="W113">
            <v>1069625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1284154</v>
          </cell>
          <cell r="AC113">
            <v>0</v>
          </cell>
          <cell r="AD113">
            <v>32680</v>
          </cell>
          <cell r="AE113">
            <v>23926</v>
          </cell>
          <cell r="AF113">
            <v>11365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-34328</v>
          </cell>
          <cell r="AL113">
            <v>0</v>
          </cell>
          <cell r="AM113">
            <v>14409</v>
          </cell>
          <cell r="AN113">
            <v>0</v>
          </cell>
          <cell r="AO113">
            <v>-172884</v>
          </cell>
          <cell r="AP113">
            <v>1135396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 t="str">
            <v xml:space="preserve"> </v>
          </cell>
          <cell r="AV113" t="str">
            <v xml:space="preserve"> </v>
          </cell>
          <cell r="AW113" t="str">
            <v xml:space="preserve"> </v>
          </cell>
        </row>
        <row r="114">
          <cell r="C114" t="str">
            <v xml:space="preserve"> MERCED            </v>
          </cell>
          <cell r="D114" t="str">
            <v xml:space="preserve"> MERCED            </v>
          </cell>
          <cell r="E114">
            <v>530</v>
          </cell>
          <cell r="F114" t="str">
            <v xml:space="preserve"> 2015-2016</v>
          </cell>
          <cell r="G114" t="str">
            <v xml:space="preserve"> 11/15/2015</v>
          </cell>
          <cell r="H114">
            <v>7829381</v>
          </cell>
          <cell r="I114">
            <v>159563</v>
          </cell>
          <cell r="J114">
            <v>606279</v>
          </cell>
          <cell r="K114">
            <v>135662</v>
          </cell>
          <cell r="L114">
            <v>64439</v>
          </cell>
          <cell r="M114">
            <v>0</v>
          </cell>
          <cell r="N114">
            <v>0</v>
          </cell>
          <cell r="O114">
            <v>168621</v>
          </cell>
          <cell r="P114">
            <v>0</v>
          </cell>
          <cell r="Q114">
            <v>21588</v>
          </cell>
          <cell r="R114">
            <v>8</v>
          </cell>
          <cell r="S114">
            <v>94176</v>
          </cell>
          <cell r="T114">
            <v>7024</v>
          </cell>
          <cell r="U114">
            <v>-630733</v>
          </cell>
          <cell r="V114" t="str">
            <v xml:space="preserve"> </v>
          </cell>
          <cell r="W114">
            <v>8320346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8220850</v>
          </cell>
          <cell r="AC114">
            <v>167541</v>
          </cell>
          <cell r="AD114">
            <v>636592</v>
          </cell>
          <cell r="AE114">
            <v>142445</v>
          </cell>
          <cell r="AF114">
            <v>67661</v>
          </cell>
          <cell r="AG114">
            <v>0</v>
          </cell>
          <cell r="AH114">
            <v>0</v>
          </cell>
          <cell r="AI114">
            <v>177052</v>
          </cell>
          <cell r="AJ114">
            <v>0</v>
          </cell>
          <cell r="AK114">
            <v>22667</v>
          </cell>
          <cell r="AL114">
            <v>9</v>
          </cell>
          <cell r="AM114">
            <v>98884</v>
          </cell>
          <cell r="AN114">
            <v>7375</v>
          </cell>
          <cell r="AO114">
            <v>-662269</v>
          </cell>
          <cell r="AP114">
            <v>8736362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 t="str">
            <v xml:space="preserve"> </v>
          </cell>
          <cell r="AV114" t="str">
            <v xml:space="preserve"> </v>
          </cell>
          <cell r="AW114" t="str">
            <v xml:space="preserve"> </v>
          </cell>
        </row>
        <row r="115">
          <cell r="C115" t="str">
            <v xml:space="preserve">MERCED Subtotal            </v>
          </cell>
          <cell r="H115">
            <v>9095807</v>
          </cell>
          <cell r="I115">
            <v>168224</v>
          </cell>
          <cell r="J115">
            <v>633625</v>
          </cell>
          <cell r="K115">
            <v>158554</v>
          </cell>
          <cell r="L115">
            <v>75313</v>
          </cell>
          <cell r="M115">
            <v>0</v>
          </cell>
          <cell r="N115">
            <v>0</v>
          </cell>
          <cell r="O115">
            <v>202977</v>
          </cell>
          <cell r="P115">
            <v>0</v>
          </cell>
          <cell r="Q115">
            <v>15277</v>
          </cell>
          <cell r="R115">
            <v>8</v>
          </cell>
          <cell r="S115">
            <v>109254</v>
          </cell>
          <cell r="T115">
            <v>7024</v>
          </cell>
          <cell r="U115">
            <v>-863407</v>
          </cell>
          <cell r="V115">
            <v>0</v>
          </cell>
          <cell r="W115">
            <v>9444102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9564704</v>
          </cell>
          <cell r="AC115">
            <v>168362</v>
          </cell>
          <cell r="AD115">
            <v>671873</v>
          </cell>
          <cell r="AE115">
            <v>166371</v>
          </cell>
          <cell r="AF115">
            <v>79026</v>
          </cell>
          <cell r="AG115">
            <v>0</v>
          </cell>
          <cell r="AH115">
            <v>0</v>
          </cell>
          <cell r="AI115">
            <v>177052</v>
          </cell>
          <cell r="AJ115">
            <v>0</v>
          </cell>
          <cell r="AK115">
            <v>-10355</v>
          </cell>
          <cell r="AL115">
            <v>9</v>
          </cell>
          <cell r="AM115">
            <v>113985</v>
          </cell>
          <cell r="AN115">
            <v>7375</v>
          </cell>
          <cell r="AO115">
            <v>-839289</v>
          </cell>
          <cell r="AP115">
            <v>9932742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</row>
        <row r="117">
          <cell r="C117" t="str">
            <v xml:space="preserve"> MIRA COSTA        </v>
          </cell>
          <cell r="D117" t="str">
            <v xml:space="preserve"> SAN DIEGO         </v>
          </cell>
          <cell r="E117">
            <v>50</v>
          </cell>
          <cell r="F117" t="str">
            <v xml:space="preserve"> 2015-2016</v>
          </cell>
          <cell r="G117" t="str">
            <v xml:space="preserve"> 11/15/2015</v>
          </cell>
          <cell r="H117">
            <v>78286425</v>
          </cell>
          <cell r="I117">
            <v>1813146</v>
          </cell>
          <cell r="J117">
            <v>2670801</v>
          </cell>
          <cell r="K117">
            <v>188113</v>
          </cell>
          <cell r="L117">
            <v>89354</v>
          </cell>
          <cell r="M117">
            <v>0</v>
          </cell>
          <cell r="N117">
            <v>0</v>
          </cell>
          <cell r="O117">
            <v>658003</v>
          </cell>
          <cell r="P117">
            <v>0</v>
          </cell>
          <cell r="Q117">
            <v>-65292</v>
          </cell>
          <cell r="R117">
            <v>0</v>
          </cell>
          <cell r="S117">
            <v>674712</v>
          </cell>
          <cell r="T117">
            <v>0</v>
          </cell>
          <cell r="U117">
            <v>0</v>
          </cell>
          <cell r="V117" t="str">
            <v xml:space="preserve"> </v>
          </cell>
          <cell r="W117">
            <v>84127149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81851774</v>
          </cell>
          <cell r="AC117">
            <v>1715539</v>
          </cell>
          <cell r="AD117">
            <v>2722653</v>
          </cell>
          <cell r="AE117">
            <v>93860</v>
          </cell>
          <cell r="AF117">
            <v>44584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-40547</v>
          </cell>
          <cell r="AL117">
            <v>0</v>
          </cell>
          <cell r="AM117">
            <v>665182</v>
          </cell>
          <cell r="AN117">
            <v>0</v>
          </cell>
          <cell r="AO117">
            <v>0</v>
          </cell>
          <cell r="AP117">
            <v>86959185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 t="str">
            <v xml:space="preserve"> </v>
          </cell>
          <cell r="AV117" t="str">
            <v xml:space="preserve"> </v>
          </cell>
          <cell r="AW117" t="str">
            <v xml:space="preserve"> </v>
          </cell>
        </row>
        <row r="118">
          <cell r="C118" t="str">
            <v>MIRA COSTA Subtotal</v>
          </cell>
          <cell r="H118">
            <v>78286425</v>
          </cell>
          <cell r="I118">
            <v>1813146</v>
          </cell>
          <cell r="J118">
            <v>2670801</v>
          </cell>
          <cell r="K118">
            <v>188113</v>
          </cell>
          <cell r="L118">
            <v>89354</v>
          </cell>
          <cell r="M118">
            <v>0</v>
          </cell>
          <cell r="N118">
            <v>0</v>
          </cell>
          <cell r="O118">
            <v>658003</v>
          </cell>
          <cell r="P118">
            <v>0</v>
          </cell>
          <cell r="Q118">
            <v>-65292</v>
          </cell>
          <cell r="R118">
            <v>0</v>
          </cell>
          <cell r="S118">
            <v>674712</v>
          </cell>
          <cell r="T118">
            <v>0</v>
          </cell>
          <cell r="U118">
            <v>0</v>
          </cell>
          <cell r="V118">
            <v>0</v>
          </cell>
          <cell r="W118">
            <v>84127149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81851774</v>
          </cell>
          <cell r="AC118">
            <v>1715539</v>
          </cell>
          <cell r="AD118">
            <v>2722653</v>
          </cell>
          <cell r="AE118">
            <v>93860</v>
          </cell>
          <cell r="AF118">
            <v>44584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-40547</v>
          </cell>
          <cell r="AL118">
            <v>0</v>
          </cell>
          <cell r="AM118">
            <v>665182</v>
          </cell>
          <cell r="AN118">
            <v>0</v>
          </cell>
          <cell r="AO118">
            <v>0</v>
          </cell>
          <cell r="AP118">
            <v>86959185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</row>
        <row r="120">
          <cell r="C120" t="str">
            <v xml:space="preserve"> MONTEREY PENINSULA</v>
          </cell>
          <cell r="D120" t="str">
            <v xml:space="preserve"> MONTEREY          </v>
          </cell>
          <cell r="E120">
            <v>460</v>
          </cell>
          <cell r="F120" t="str">
            <v xml:space="preserve"> 2015-2016</v>
          </cell>
          <cell r="G120" t="str">
            <v xml:space="preserve"> 11/15/2015</v>
          </cell>
          <cell r="H120">
            <v>14577695</v>
          </cell>
          <cell r="I120">
            <v>284586</v>
          </cell>
          <cell r="J120">
            <v>581584</v>
          </cell>
          <cell r="K120">
            <v>87121</v>
          </cell>
          <cell r="L120">
            <v>41382</v>
          </cell>
          <cell r="M120">
            <v>0</v>
          </cell>
          <cell r="N120">
            <v>0</v>
          </cell>
          <cell r="O120">
            <v>630780</v>
          </cell>
          <cell r="P120">
            <v>2332</v>
          </cell>
          <cell r="Q120">
            <v>246709</v>
          </cell>
          <cell r="R120">
            <v>0</v>
          </cell>
          <cell r="S120">
            <v>86817</v>
          </cell>
          <cell r="T120">
            <v>0</v>
          </cell>
          <cell r="U120">
            <v>539540</v>
          </cell>
          <cell r="V120" t="str">
            <v xml:space="preserve"> </v>
          </cell>
          <cell r="W120">
            <v>16991425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14934101</v>
          </cell>
          <cell r="AC120">
            <v>176023</v>
          </cell>
          <cell r="AD120">
            <v>607391</v>
          </cell>
          <cell r="AE120">
            <v>87121</v>
          </cell>
          <cell r="AF120">
            <v>41382</v>
          </cell>
          <cell r="AG120">
            <v>0</v>
          </cell>
          <cell r="AH120">
            <v>0</v>
          </cell>
          <cell r="AI120">
            <v>630780</v>
          </cell>
          <cell r="AJ120">
            <v>0</v>
          </cell>
          <cell r="AK120">
            <v>142754</v>
          </cell>
          <cell r="AL120">
            <v>0</v>
          </cell>
          <cell r="AM120">
            <v>86904</v>
          </cell>
          <cell r="AN120">
            <v>0</v>
          </cell>
          <cell r="AO120">
            <v>768731</v>
          </cell>
          <cell r="AP120">
            <v>17388066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 t="str">
            <v xml:space="preserve"> </v>
          </cell>
          <cell r="AV120" t="str">
            <v xml:space="preserve"> </v>
          </cell>
          <cell r="AW120" t="str">
            <v xml:space="preserve"> </v>
          </cell>
        </row>
        <row r="121">
          <cell r="C121" t="str">
            <v>MONTEREY PENINSULA Subtotal</v>
          </cell>
          <cell r="H121">
            <v>14577695</v>
          </cell>
          <cell r="I121">
            <v>284586</v>
          </cell>
          <cell r="J121">
            <v>581584</v>
          </cell>
          <cell r="K121">
            <v>87121</v>
          </cell>
          <cell r="L121">
            <v>41382</v>
          </cell>
          <cell r="M121">
            <v>0</v>
          </cell>
          <cell r="N121">
            <v>0</v>
          </cell>
          <cell r="O121">
            <v>630780</v>
          </cell>
          <cell r="P121">
            <v>2332</v>
          </cell>
          <cell r="Q121">
            <v>246709</v>
          </cell>
          <cell r="R121">
            <v>0</v>
          </cell>
          <cell r="S121">
            <v>86817</v>
          </cell>
          <cell r="T121">
            <v>0</v>
          </cell>
          <cell r="U121">
            <v>539540</v>
          </cell>
          <cell r="V121">
            <v>0</v>
          </cell>
          <cell r="W121">
            <v>16991425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14934101</v>
          </cell>
          <cell r="AC121">
            <v>176023</v>
          </cell>
          <cell r="AD121">
            <v>607391</v>
          </cell>
          <cell r="AE121">
            <v>87121</v>
          </cell>
          <cell r="AF121">
            <v>41382</v>
          </cell>
          <cell r="AG121">
            <v>0</v>
          </cell>
          <cell r="AH121">
            <v>0</v>
          </cell>
          <cell r="AI121">
            <v>630780</v>
          </cell>
          <cell r="AJ121">
            <v>0</v>
          </cell>
          <cell r="AK121">
            <v>142754</v>
          </cell>
          <cell r="AL121">
            <v>0</v>
          </cell>
          <cell r="AM121">
            <v>86904</v>
          </cell>
          <cell r="AN121">
            <v>0</v>
          </cell>
          <cell r="AO121">
            <v>768731</v>
          </cell>
          <cell r="AP121">
            <v>17388066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</row>
        <row r="123">
          <cell r="C123" t="str">
            <v xml:space="preserve"> MT SAN ANTONIO    </v>
          </cell>
          <cell r="D123" t="str">
            <v xml:space="preserve"> LOS ANGELES       </v>
          </cell>
          <cell r="E123">
            <v>850</v>
          </cell>
          <cell r="F123" t="str">
            <v xml:space="preserve"> 2015-2016</v>
          </cell>
          <cell r="G123" t="str">
            <v xml:space="preserve"> 11/15/2015</v>
          </cell>
          <cell r="H123">
            <v>17324120</v>
          </cell>
          <cell r="I123">
            <v>516172</v>
          </cell>
          <cell r="J123">
            <v>417380</v>
          </cell>
          <cell r="K123">
            <v>820619</v>
          </cell>
          <cell r="L123">
            <v>389794</v>
          </cell>
          <cell r="M123">
            <v>0</v>
          </cell>
          <cell r="N123">
            <v>0</v>
          </cell>
          <cell r="O123">
            <v>809150</v>
          </cell>
          <cell r="P123">
            <v>0</v>
          </cell>
          <cell r="Q123">
            <v>412153</v>
          </cell>
          <cell r="R123">
            <v>0</v>
          </cell>
          <cell r="S123">
            <v>129721</v>
          </cell>
          <cell r="T123">
            <v>0</v>
          </cell>
          <cell r="U123">
            <v>3898947</v>
          </cell>
          <cell r="V123" t="str">
            <v xml:space="preserve"> </v>
          </cell>
          <cell r="W123">
            <v>23897437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18164340</v>
          </cell>
          <cell r="AC123">
            <v>645215</v>
          </cell>
          <cell r="AD123">
            <v>417000</v>
          </cell>
          <cell r="AE123">
            <v>171495</v>
          </cell>
          <cell r="AF123">
            <v>81460</v>
          </cell>
          <cell r="AG123">
            <v>0</v>
          </cell>
          <cell r="AH123">
            <v>0</v>
          </cell>
          <cell r="AI123">
            <v>958836</v>
          </cell>
          <cell r="AJ123">
            <v>0</v>
          </cell>
          <cell r="AK123">
            <v>419313</v>
          </cell>
          <cell r="AL123">
            <v>0</v>
          </cell>
          <cell r="AM123">
            <v>129700</v>
          </cell>
          <cell r="AN123">
            <v>0</v>
          </cell>
          <cell r="AO123">
            <v>0</v>
          </cell>
          <cell r="AP123">
            <v>20815864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 t="str">
            <v xml:space="preserve"> </v>
          </cell>
          <cell r="AV123" t="str">
            <v xml:space="preserve"> </v>
          </cell>
          <cell r="AW123" t="str">
            <v xml:space="preserve"> </v>
          </cell>
        </row>
        <row r="124">
          <cell r="C124" t="str">
            <v xml:space="preserve">MT SAN ANTONIO Subtotal    </v>
          </cell>
          <cell r="H124">
            <v>17324120</v>
          </cell>
          <cell r="I124">
            <v>516172</v>
          </cell>
          <cell r="J124">
            <v>417380</v>
          </cell>
          <cell r="K124">
            <v>820619</v>
          </cell>
          <cell r="L124">
            <v>389794</v>
          </cell>
          <cell r="M124">
            <v>0</v>
          </cell>
          <cell r="N124">
            <v>0</v>
          </cell>
          <cell r="O124">
            <v>809150</v>
          </cell>
          <cell r="P124">
            <v>0</v>
          </cell>
          <cell r="Q124">
            <v>412153</v>
          </cell>
          <cell r="R124">
            <v>0</v>
          </cell>
          <cell r="S124">
            <v>129721</v>
          </cell>
          <cell r="T124">
            <v>0</v>
          </cell>
          <cell r="U124">
            <v>3898947</v>
          </cell>
          <cell r="V124">
            <v>0</v>
          </cell>
          <cell r="W124">
            <v>23897437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18164340</v>
          </cell>
          <cell r="AC124">
            <v>645215</v>
          </cell>
          <cell r="AD124">
            <v>417000</v>
          </cell>
          <cell r="AE124">
            <v>171495</v>
          </cell>
          <cell r="AF124">
            <v>81460</v>
          </cell>
          <cell r="AG124">
            <v>0</v>
          </cell>
          <cell r="AH124">
            <v>0</v>
          </cell>
          <cell r="AI124">
            <v>958836</v>
          </cell>
          <cell r="AJ124">
            <v>0</v>
          </cell>
          <cell r="AK124">
            <v>419313</v>
          </cell>
          <cell r="AL124">
            <v>0</v>
          </cell>
          <cell r="AM124">
            <v>129700</v>
          </cell>
          <cell r="AN124">
            <v>0</v>
          </cell>
          <cell r="AO124">
            <v>0</v>
          </cell>
          <cell r="AP124">
            <v>20815864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</row>
        <row r="126">
          <cell r="C126" t="str">
            <v xml:space="preserve"> MT SAN JACINTO    </v>
          </cell>
          <cell r="D126" t="str">
            <v xml:space="preserve"> RIVERSIDE         </v>
          </cell>
          <cell r="E126">
            <v>940</v>
          </cell>
          <cell r="F126" t="str">
            <v xml:space="preserve"> 2015-2016</v>
          </cell>
          <cell r="G126" t="str">
            <v xml:space="preserve"> 11/15/2015</v>
          </cell>
          <cell r="H126">
            <v>23125086</v>
          </cell>
          <cell r="I126">
            <v>491256</v>
          </cell>
          <cell r="J126">
            <v>1034248</v>
          </cell>
          <cell r="K126">
            <v>458653</v>
          </cell>
          <cell r="L126">
            <v>217860</v>
          </cell>
          <cell r="M126">
            <v>0</v>
          </cell>
          <cell r="N126">
            <v>0</v>
          </cell>
          <cell r="O126">
            <v>1159214</v>
          </cell>
          <cell r="P126">
            <v>0</v>
          </cell>
          <cell r="Q126">
            <v>719499</v>
          </cell>
          <cell r="R126">
            <v>0</v>
          </cell>
          <cell r="S126">
            <v>319001</v>
          </cell>
          <cell r="T126">
            <v>461</v>
          </cell>
          <cell r="U126">
            <v>-4407735</v>
          </cell>
          <cell r="V126" t="str">
            <v xml:space="preserve"> </v>
          </cell>
          <cell r="W126">
            <v>22658890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23548746</v>
          </cell>
          <cell r="AC126">
            <v>572373</v>
          </cell>
          <cell r="AD126">
            <v>1023790</v>
          </cell>
          <cell r="AE126">
            <v>480236</v>
          </cell>
          <cell r="AF126">
            <v>228112</v>
          </cell>
          <cell r="AG126">
            <v>0</v>
          </cell>
          <cell r="AH126">
            <v>0</v>
          </cell>
          <cell r="AI126">
            <v>0</v>
          </cell>
          <cell r="AJ126">
            <v>13529</v>
          </cell>
          <cell r="AK126">
            <v>631591</v>
          </cell>
          <cell r="AL126">
            <v>0</v>
          </cell>
          <cell r="AM126">
            <v>319968</v>
          </cell>
          <cell r="AN126">
            <v>0</v>
          </cell>
          <cell r="AO126">
            <v>-3292597</v>
          </cell>
          <cell r="AP126">
            <v>23045512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 t="str">
            <v xml:space="preserve"> </v>
          </cell>
          <cell r="AV126" t="str">
            <v xml:space="preserve"> </v>
          </cell>
          <cell r="AW126" t="str">
            <v xml:space="preserve"> </v>
          </cell>
        </row>
        <row r="127">
          <cell r="C127" t="str">
            <v>MT SAN JACINTO Subtotal</v>
          </cell>
          <cell r="H127">
            <v>23125086</v>
          </cell>
          <cell r="I127">
            <v>491256</v>
          </cell>
          <cell r="J127">
            <v>1034248</v>
          </cell>
          <cell r="K127">
            <v>458653</v>
          </cell>
          <cell r="L127">
            <v>217860</v>
          </cell>
          <cell r="M127">
            <v>0</v>
          </cell>
          <cell r="N127">
            <v>0</v>
          </cell>
          <cell r="O127">
            <v>1159214</v>
          </cell>
          <cell r="P127">
            <v>0</v>
          </cell>
          <cell r="Q127">
            <v>719499</v>
          </cell>
          <cell r="R127">
            <v>0</v>
          </cell>
          <cell r="S127">
            <v>319001</v>
          </cell>
          <cell r="T127">
            <v>461</v>
          </cell>
          <cell r="U127">
            <v>-4407735</v>
          </cell>
          <cell r="V127">
            <v>0</v>
          </cell>
          <cell r="W127">
            <v>22658890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23548746</v>
          </cell>
          <cell r="AC127">
            <v>572373</v>
          </cell>
          <cell r="AD127">
            <v>1023790</v>
          </cell>
          <cell r="AE127">
            <v>480236</v>
          </cell>
          <cell r="AF127">
            <v>228112</v>
          </cell>
          <cell r="AG127">
            <v>0</v>
          </cell>
          <cell r="AH127">
            <v>0</v>
          </cell>
          <cell r="AI127">
            <v>0</v>
          </cell>
          <cell r="AJ127">
            <v>13529</v>
          </cell>
          <cell r="AK127">
            <v>631591</v>
          </cell>
          <cell r="AL127">
            <v>0</v>
          </cell>
          <cell r="AM127">
            <v>319968</v>
          </cell>
          <cell r="AN127">
            <v>0</v>
          </cell>
          <cell r="AO127">
            <v>-3292597</v>
          </cell>
          <cell r="AP127">
            <v>23045512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</row>
        <row r="129">
          <cell r="C129" t="str">
            <v xml:space="preserve"> NAPA VALLEY       </v>
          </cell>
          <cell r="D129" t="str">
            <v xml:space="preserve"> NAPA              </v>
          </cell>
          <cell r="E129">
            <v>240</v>
          </cell>
          <cell r="F129" t="str">
            <v xml:space="preserve"> 2015-2016</v>
          </cell>
          <cell r="G129" t="str">
            <v xml:space="preserve"> 11/15/2015</v>
          </cell>
          <cell r="H129">
            <v>23691093</v>
          </cell>
          <cell r="I129">
            <v>473487</v>
          </cell>
          <cell r="J129">
            <v>966556</v>
          </cell>
          <cell r="K129">
            <v>85347</v>
          </cell>
          <cell r="L129">
            <v>40540</v>
          </cell>
          <cell r="M129">
            <v>0</v>
          </cell>
          <cell r="N129">
            <v>0</v>
          </cell>
          <cell r="O129">
            <v>228303</v>
          </cell>
          <cell r="P129">
            <v>0</v>
          </cell>
          <cell r="Q129">
            <v>15856</v>
          </cell>
          <cell r="R129">
            <v>0</v>
          </cell>
          <cell r="S129">
            <v>126664</v>
          </cell>
          <cell r="T129">
            <v>174</v>
          </cell>
          <cell r="U129">
            <v>-3426603</v>
          </cell>
          <cell r="V129" t="str">
            <v xml:space="preserve"> </v>
          </cell>
          <cell r="W129">
            <v>22116070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24827233</v>
          </cell>
          <cell r="AC129">
            <v>0</v>
          </cell>
          <cell r="AD129">
            <v>906654</v>
          </cell>
          <cell r="AE129">
            <v>85347</v>
          </cell>
          <cell r="AF129">
            <v>40540</v>
          </cell>
          <cell r="AG129">
            <v>0</v>
          </cell>
          <cell r="AH129">
            <v>0</v>
          </cell>
          <cell r="AI129">
            <v>228300</v>
          </cell>
          <cell r="AJ129">
            <v>0</v>
          </cell>
          <cell r="AK129">
            <v>0</v>
          </cell>
          <cell r="AL129">
            <v>0</v>
          </cell>
          <cell r="AM129">
            <v>122634</v>
          </cell>
          <cell r="AN129">
            <v>0</v>
          </cell>
          <cell r="AO129">
            <v>-2617227</v>
          </cell>
          <cell r="AP129">
            <v>23508134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 t="str">
            <v xml:space="preserve"> </v>
          </cell>
          <cell r="AV129" t="str">
            <v xml:space="preserve"> </v>
          </cell>
          <cell r="AW129" t="str">
            <v xml:space="preserve"> </v>
          </cell>
        </row>
        <row r="130">
          <cell r="C130" t="str">
            <v xml:space="preserve"> NAPA VALLEY       </v>
          </cell>
          <cell r="D130" t="str">
            <v xml:space="preserve"> SONOMA            </v>
          </cell>
          <cell r="E130">
            <v>240</v>
          </cell>
          <cell r="F130" t="str">
            <v xml:space="preserve"> 2015-2016</v>
          </cell>
          <cell r="G130" t="str">
            <v xml:space="preserve"> 11/15/2015</v>
          </cell>
          <cell r="H130">
            <v>266653</v>
          </cell>
          <cell r="I130">
            <v>2509</v>
          </cell>
          <cell r="J130">
            <v>9586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81</v>
          </cell>
          <cell r="R130">
            <v>1798</v>
          </cell>
          <cell r="S130">
            <v>0</v>
          </cell>
          <cell r="T130">
            <v>0</v>
          </cell>
          <cell r="U130">
            <v>0</v>
          </cell>
          <cell r="V130" t="str">
            <v xml:space="preserve"> </v>
          </cell>
          <cell r="W130">
            <v>280627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209979</v>
          </cell>
          <cell r="AC130">
            <v>2509</v>
          </cell>
          <cell r="AD130">
            <v>6851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1630</v>
          </cell>
          <cell r="AM130">
            <v>0</v>
          </cell>
          <cell r="AN130">
            <v>0</v>
          </cell>
          <cell r="AO130">
            <v>0</v>
          </cell>
          <cell r="AP130">
            <v>220969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 t="str">
            <v xml:space="preserve"> </v>
          </cell>
          <cell r="AV130" t="str">
            <v xml:space="preserve"> </v>
          </cell>
          <cell r="AW130" t="str">
            <v xml:space="preserve"> </v>
          </cell>
        </row>
        <row r="131">
          <cell r="C131" t="str">
            <v xml:space="preserve">NAPA VALLEY Subtotal       </v>
          </cell>
          <cell r="H131">
            <v>23957746</v>
          </cell>
          <cell r="I131">
            <v>475996</v>
          </cell>
          <cell r="J131">
            <v>976142</v>
          </cell>
          <cell r="K131">
            <v>85347</v>
          </cell>
          <cell r="L131">
            <v>40540</v>
          </cell>
          <cell r="M131">
            <v>0</v>
          </cell>
          <cell r="N131">
            <v>0</v>
          </cell>
          <cell r="O131">
            <v>228303</v>
          </cell>
          <cell r="P131">
            <v>0</v>
          </cell>
          <cell r="Q131">
            <v>15937</v>
          </cell>
          <cell r="R131">
            <v>1798</v>
          </cell>
          <cell r="S131">
            <v>126664</v>
          </cell>
          <cell r="T131">
            <v>174</v>
          </cell>
          <cell r="U131">
            <v>-3426603</v>
          </cell>
          <cell r="V131">
            <v>0</v>
          </cell>
          <cell r="W131">
            <v>22396697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25037212</v>
          </cell>
          <cell r="AC131">
            <v>2509</v>
          </cell>
          <cell r="AD131">
            <v>913505</v>
          </cell>
          <cell r="AE131">
            <v>85347</v>
          </cell>
          <cell r="AF131">
            <v>40540</v>
          </cell>
          <cell r="AG131">
            <v>0</v>
          </cell>
          <cell r="AH131">
            <v>0</v>
          </cell>
          <cell r="AI131">
            <v>228300</v>
          </cell>
          <cell r="AJ131">
            <v>0</v>
          </cell>
          <cell r="AK131">
            <v>0</v>
          </cell>
          <cell r="AL131">
            <v>1630</v>
          </cell>
          <cell r="AM131">
            <v>122634</v>
          </cell>
          <cell r="AN131">
            <v>0</v>
          </cell>
          <cell r="AO131">
            <v>-2617227</v>
          </cell>
          <cell r="AP131">
            <v>23729103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</row>
        <row r="133">
          <cell r="C133" t="str">
            <v xml:space="preserve"> NORTH ORANGE      </v>
          </cell>
          <cell r="D133" t="str">
            <v xml:space="preserve"> LOS ANGELES       </v>
          </cell>
          <cell r="E133">
            <v>860</v>
          </cell>
          <cell r="F133" t="str">
            <v xml:space="preserve"> 2015-2016</v>
          </cell>
          <cell r="G133" t="str">
            <v xml:space="preserve"> 11/15/2015</v>
          </cell>
          <cell r="H133">
            <v>632490</v>
          </cell>
          <cell r="I133">
            <v>17518</v>
          </cell>
          <cell r="J133">
            <v>25089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17596</v>
          </cell>
          <cell r="R133">
            <v>0</v>
          </cell>
          <cell r="S133">
            <v>4826</v>
          </cell>
          <cell r="T133">
            <v>0</v>
          </cell>
          <cell r="U133">
            <v>0</v>
          </cell>
          <cell r="V133" t="str">
            <v xml:space="preserve"> </v>
          </cell>
          <cell r="W133">
            <v>697519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662217</v>
          </cell>
          <cell r="AC133">
            <v>21898</v>
          </cell>
          <cell r="AD133">
            <v>25000</v>
          </cell>
          <cell r="AE133">
            <v>455</v>
          </cell>
          <cell r="AF133">
            <v>216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19660</v>
          </cell>
          <cell r="AL133">
            <v>0</v>
          </cell>
          <cell r="AM133">
            <v>4800</v>
          </cell>
          <cell r="AN133">
            <v>0</v>
          </cell>
          <cell r="AO133">
            <v>0</v>
          </cell>
          <cell r="AP133">
            <v>733791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 t="str">
            <v xml:space="preserve"> </v>
          </cell>
          <cell r="AV133" t="str">
            <v xml:space="preserve"> </v>
          </cell>
          <cell r="AW133" t="str">
            <v xml:space="preserve"> </v>
          </cell>
        </row>
        <row r="134">
          <cell r="C134" t="str">
            <v xml:space="preserve"> NORTH ORANGE      </v>
          </cell>
          <cell r="D134" t="str">
            <v xml:space="preserve"> ORANGE            </v>
          </cell>
          <cell r="E134">
            <v>860</v>
          </cell>
          <cell r="F134" t="str">
            <v xml:space="preserve"> 2015-2016</v>
          </cell>
          <cell r="G134" t="str">
            <v xml:space="preserve"> 11/15/2015</v>
          </cell>
          <cell r="H134">
            <v>56103025</v>
          </cell>
          <cell r="I134">
            <v>1609064</v>
          </cell>
          <cell r="J134">
            <v>2151203</v>
          </cell>
          <cell r="K134">
            <v>1465918</v>
          </cell>
          <cell r="L134">
            <v>696311</v>
          </cell>
          <cell r="M134">
            <v>0</v>
          </cell>
          <cell r="N134">
            <v>0</v>
          </cell>
          <cell r="O134">
            <v>5114241</v>
          </cell>
          <cell r="P134">
            <v>71279</v>
          </cell>
          <cell r="Q134">
            <v>1800078</v>
          </cell>
          <cell r="R134">
            <v>9</v>
          </cell>
          <cell r="S134">
            <v>415058</v>
          </cell>
          <cell r="T134">
            <v>697519</v>
          </cell>
          <cell r="U134">
            <v>394772</v>
          </cell>
          <cell r="V134" t="str">
            <v xml:space="preserve"> </v>
          </cell>
          <cell r="W134">
            <v>69052559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59825828</v>
          </cell>
          <cell r="AC134">
            <v>1477193</v>
          </cell>
          <cell r="AD134">
            <v>1928146</v>
          </cell>
          <cell r="AE134">
            <v>1327853</v>
          </cell>
          <cell r="AF134">
            <v>630730</v>
          </cell>
          <cell r="AG134">
            <v>0</v>
          </cell>
          <cell r="AH134">
            <v>0</v>
          </cell>
          <cell r="AI134">
            <v>4345954</v>
          </cell>
          <cell r="AJ134">
            <v>0</v>
          </cell>
          <cell r="AK134">
            <v>2046942</v>
          </cell>
          <cell r="AL134">
            <v>9</v>
          </cell>
          <cell r="AM134">
            <v>409715</v>
          </cell>
          <cell r="AN134">
            <v>0</v>
          </cell>
          <cell r="AO134">
            <v>3895798</v>
          </cell>
          <cell r="AP134">
            <v>74560315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 t="str">
            <v xml:space="preserve"> </v>
          </cell>
          <cell r="AV134" t="str">
            <v xml:space="preserve"> </v>
          </cell>
          <cell r="AW134" t="str">
            <v xml:space="preserve"> </v>
          </cell>
        </row>
        <row r="135">
          <cell r="C135" t="str">
            <v xml:space="preserve">NORTH ORANGE Subtotal     </v>
          </cell>
          <cell r="H135">
            <v>56735515</v>
          </cell>
          <cell r="I135">
            <v>1626582</v>
          </cell>
          <cell r="J135">
            <v>2176292</v>
          </cell>
          <cell r="K135">
            <v>1465918</v>
          </cell>
          <cell r="L135">
            <v>696311</v>
          </cell>
          <cell r="M135">
            <v>0</v>
          </cell>
          <cell r="N135">
            <v>0</v>
          </cell>
          <cell r="O135">
            <v>5114241</v>
          </cell>
          <cell r="P135">
            <v>71279</v>
          </cell>
          <cell r="Q135">
            <v>1817674</v>
          </cell>
          <cell r="R135">
            <v>9</v>
          </cell>
          <cell r="S135">
            <v>419884</v>
          </cell>
          <cell r="T135">
            <v>697519</v>
          </cell>
          <cell r="U135">
            <v>394772</v>
          </cell>
          <cell r="V135">
            <v>0</v>
          </cell>
          <cell r="W135">
            <v>69750078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60488045</v>
          </cell>
          <cell r="AC135">
            <v>1499091</v>
          </cell>
          <cell r="AD135">
            <v>1953146</v>
          </cell>
          <cell r="AE135">
            <v>1328308</v>
          </cell>
          <cell r="AF135">
            <v>630946</v>
          </cell>
          <cell r="AG135">
            <v>0</v>
          </cell>
          <cell r="AH135">
            <v>0</v>
          </cell>
          <cell r="AI135">
            <v>4345954</v>
          </cell>
          <cell r="AJ135">
            <v>0</v>
          </cell>
          <cell r="AK135">
            <v>2066602</v>
          </cell>
          <cell r="AL135">
            <v>9</v>
          </cell>
          <cell r="AM135">
            <v>414515</v>
          </cell>
          <cell r="AN135">
            <v>0</v>
          </cell>
          <cell r="AO135">
            <v>3895798</v>
          </cell>
          <cell r="AP135">
            <v>75294106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</row>
        <row r="137">
          <cell r="C137" t="str">
            <v xml:space="preserve"> OHLONE</v>
          </cell>
          <cell r="D137" t="str">
            <v xml:space="preserve"> ALAMEDA           </v>
          </cell>
          <cell r="E137">
            <v>430</v>
          </cell>
          <cell r="F137" t="str">
            <v xml:space="preserve"> 2015-2016</v>
          </cell>
          <cell r="G137" t="str">
            <v xml:space="preserve"> 11/15/2015</v>
          </cell>
          <cell r="H137">
            <v>14460540</v>
          </cell>
          <cell r="I137">
            <v>424956</v>
          </cell>
          <cell r="J137">
            <v>835323</v>
          </cell>
          <cell r="K137">
            <v>127344</v>
          </cell>
          <cell r="L137">
            <v>60488</v>
          </cell>
          <cell r="M137">
            <v>0</v>
          </cell>
          <cell r="N137">
            <v>0</v>
          </cell>
          <cell r="O137">
            <v>474122</v>
          </cell>
          <cell r="P137">
            <v>123781</v>
          </cell>
          <cell r="Q137">
            <v>-357649</v>
          </cell>
          <cell r="R137">
            <v>0</v>
          </cell>
          <cell r="S137">
            <v>127404</v>
          </cell>
          <cell r="T137">
            <v>5314</v>
          </cell>
          <cell r="U137">
            <v>1566979</v>
          </cell>
          <cell r="V137" t="str">
            <v xml:space="preserve"> </v>
          </cell>
          <cell r="W137">
            <v>17721258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16272583</v>
          </cell>
          <cell r="AC137">
            <v>461106</v>
          </cell>
          <cell r="AD137">
            <v>1055359</v>
          </cell>
          <cell r="AE137">
            <v>72876</v>
          </cell>
          <cell r="AF137">
            <v>34616</v>
          </cell>
          <cell r="AG137">
            <v>0</v>
          </cell>
          <cell r="AH137">
            <v>0</v>
          </cell>
          <cell r="AI137">
            <v>1403</v>
          </cell>
          <cell r="AJ137">
            <v>0</v>
          </cell>
          <cell r="AK137">
            <v>-357649</v>
          </cell>
          <cell r="AL137">
            <v>0</v>
          </cell>
          <cell r="AM137">
            <v>126175</v>
          </cell>
          <cell r="AN137">
            <v>5314</v>
          </cell>
          <cell r="AO137">
            <v>2626736</v>
          </cell>
          <cell r="AP137">
            <v>20225643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 t="str">
            <v xml:space="preserve"> </v>
          </cell>
          <cell r="AV137" t="str">
            <v xml:space="preserve"> </v>
          </cell>
          <cell r="AW137" t="str">
            <v xml:space="preserve"> </v>
          </cell>
        </row>
        <row r="138">
          <cell r="C138" t="str">
            <v>OHLONE Subtotal</v>
          </cell>
          <cell r="H138">
            <v>14460540</v>
          </cell>
          <cell r="I138">
            <v>424956</v>
          </cell>
          <cell r="J138">
            <v>835323</v>
          </cell>
          <cell r="K138">
            <v>127344</v>
          </cell>
          <cell r="L138">
            <v>60488</v>
          </cell>
          <cell r="M138">
            <v>0</v>
          </cell>
          <cell r="N138">
            <v>0</v>
          </cell>
          <cell r="O138">
            <v>474122</v>
          </cell>
          <cell r="P138">
            <v>123781</v>
          </cell>
          <cell r="Q138">
            <v>-357649</v>
          </cell>
          <cell r="R138">
            <v>0</v>
          </cell>
          <cell r="S138">
            <v>127404</v>
          </cell>
          <cell r="T138">
            <v>5314</v>
          </cell>
          <cell r="U138">
            <v>1566979</v>
          </cell>
          <cell r="V138">
            <v>0</v>
          </cell>
          <cell r="W138">
            <v>17721258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16272583</v>
          </cell>
          <cell r="AC138">
            <v>461106</v>
          </cell>
          <cell r="AD138">
            <v>1055359</v>
          </cell>
          <cell r="AE138">
            <v>72876</v>
          </cell>
          <cell r="AF138">
            <v>34616</v>
          </cell>
          <cell r="AG138">
            <v>0</v>
          </cell>
          <cell r="AH138">
            <v>0</v>
          </cell>
          <cell r="AI138">
            <v>1403</v>
          </cell>
          <cell r="AJ138">
            <v>0</v>
          </cell>
          <cell r="AK138">
            <v>-357649</v>
          </cell>
          <cell r="AL138">
            <v>0</v>
          </cell>
          <cell r="AM138">
            <v>126175</v>
          </cell>
          <cell r="AN138">
            <v>5314</v>
          </cell>
          <cell r="AO138">
            <v>2626736</v>
          </cell>
          <cell r="AP138">
            <v>20225643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</row>
        <row r="140">
          <cell r="C140" t="str">
            <v xml:space="preserve"> PALO VERDE        </v>
          </cell>
          <cell r="D140" t="str">
            <v xml:space="preserve"> RIVERSIDE         </v>
          </cell>
          <cell r="E140">
            <v>950</v>
          </cell>
          <cell r="F140" t="str">
            <v xml:space="preserve"> 2015-2016</v>
          </cell>
          <cell r="G140" t="str">
            <v xml:space="preserve"> 11/15/2015</v>
          </cell>
          <cell r="H140">
            <v>909499</v>
          </cell>
          <cell r="I140">
            <v>18200</v>
          </cell>
          <cell r="J140">
            <v>38791</v>
          </cell>
          <cell r="K140">
            <v>155672</v>
          </cell>
          <cell r="L140">
            <v>73944</v>
          </cell>
          <cell r="M140">
            <v>0</v>
          </cell>
          <cell r="N140">
            <v>0</v>
          </cell>
          <cell r="O140">
            <v>209656</v>
          </cell>
          <cell r="P140">
            <v>0</v>
          </cell>
          <cell r="Q140">
            <v>27007</v>
          </cell>
          <cell r="R140">
            <v>0</v>
          </cell>
          <cell r="S140">
            <v>11626</v>
          </cell>
          <cell r="T140">
            <v>17</v>
          </cell>
          <cell r="U140">
            <v>-160396</v>
          </cell>
          <cell r="V140" t="str">
            <v xml:space="preserve"> </v>
          </cell>
          <cell r="W140">
            <v>1128344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887663</v>
          </cell>
          <cell r="AC140">
            <v>20204</v>
          </cell>
          <cell r="AD140">
            <v>35661</v>
          </cell>
          <cell r="AE140">
            <v>88242</v>
          </cell>
          <cell r="AF140">
            <v>41915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23133</v>
          </cell>
          <cell r="AL140">
            <v>0</v>
          </cell>
          <cell r="AM140">
            <v>11145</v>
          </cell>
          <cell r="AN140">
            <v>0</v>
          </cell>
          <cell r="AO140">
            <v>-114689</v>
          </cell>
          <cell r="AP140">
            <v>905032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 t="str">
            <v xml:space="preserve"> </v>
          </cell>
          <cell r="AV140" t="str">
            <v xml:space="preserve"> </v>
          </cell>
          <cell r="AW140" t="str">
            <v xml:space="preserve"> </v>
          </cell>
        </row>
        <row r="141">
          <cell r="C141" t="str">
            <v xml:space="preserve"> PALO VERDE        </v>
          </cell>
          <cell r="D141" t="str">
            <v xml:space="preserve"> SAN BERNARDINO    </v>
          </cell>
          <cell r="E141">
            <v>950</v>
          </cell>
          <cell r="F141" t="str">
            <v xml:space="preserve"> 2015-2016</v>
          </cell>
          <cell r="G141" t="str">
            <v xml:space="preserve"> 11/15/2015</v>
          </cell>
          <cell r="H141">
            <v>359978</v>
          </cell>
          <cell r="I141">
            <v>5527</v>
          </cell>
          <cell r="J141">
            <v>11410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9822</v>
          </cell>
          <cell r="R141">
            <v>0</v>
          </cell>
          <cell r="S141">
            <v>3069</v>
          </cell>
          <cell r="T141">
            <v>0</v>
          </cell>
          <cell r="U141">
            <v>0</v>
          </cell>
          <cell r="V141" t="str">
            <v xml:space="preserve"> </v>
          </cell>
          <cell r="W141">
            <v>389806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362833</v>
          </cell>
          <cell r="AC141">
            <v>5527</v>
          </cell>
          <cell r="AD141">
            <v>10550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6663</v>
          </cell>
          <cell r="AL141">
            <v>0</v>
          </cell>
          <cell r="AM141">
            <v>2942</v>
          </cell>
          <cell r="AN141">
            <v>0</v>
          </cell>
          <cell r="AO141">
            <v>0</v>
          </cell>
          <cell r="AP141">
            <v>388515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 t="str">
            <v xml:space="preserve"> </v>
          </cell>
          <cell r="AV141" t="str">
            <v xml:space="preserve"> </v>
          </cell>
          <cell r="AW141" t="str">
            <v xml:space="preserve"> </v>
          </cell>
        </row>
        <row r="142">
          <cell r="C142" t="str">
            <v>PALO VERDE Subtotal</v>
          </cell>
          <cell r="H142">
            <v>1269477</v>
          </cell>
          <cell r="I142">
            <v>23727</v>
          </cell>
          <cell r="J142">
            <v>50201</v>
          </cell>
          <cell r="K142">
            <v>155672</v>
          </cell>
          <cell r="L142">
            <v>73944</v>
          </cell>
          <cell r="M142">
            <v>0</v>
          </cell>
          <cell r="N142">
            <v>0</v>
          </cell>
          <cell r="O142">
            <v>209656</v>
          </cell>
          <cell r="P142">
            <v>0</v>
          </cell>
          <cell r="Q142">
            <v>36829</v>
          </cell>
          <cell r="R142">
            <v>0</v>
          </cell>
          <cell r="S142">
            <v>14695</v>
          </cell>
          <cell r="T142">
            <v>17</v>
          </cell>
          <cell r="U142">
            <v>-160396</v>
          </cell>
          <cell r="V142">
            <v>0</v>
          </cell>
          <cell r="W142">
            <v>1518150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1250496</v>
          </cell>
          <cell r="AC142">
            <v>25731</v>
          </cell>
          <cell r="AD142">
            <v>46211</v>
          </cell>
          <cell r="AE142">
            <v>88242</v>
          </cell>
          <cell r="AF142">
            <v>41915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29796</v>
          </cell>
          <cell r="AL142">
            <v>0</v>
          </cell>
          <cell r="AM142">
            <v>14087</v>
          </cell>
          <cell r="AN142">
            <v>0</v>
          </cell>
          <cell r="AO142">
            <v>-114689</v>
          </cell>
          <cell r="AP142">
            <v>1293547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</row>
        <row r="144">
          <cell r="C144" t="str">
            <v xml:space="preserve"> PALOMAR           </v>
          </cell>
          <cell r="D144" t="str">
            <v xml:space="preserve"> SAN DIEGO         </v>
          </cell>
          <cell r="E144">
            <v>60</v>
          </cell>
          <cell r="F144" t="str">
            <v xml:space="preserve"> 2015-2016</v>
          </cell>
          <cell r="G144" t="str">
            <v xml:space="preserve"> 11/15/2015</v>
          </cell>
          <cell r="H144">
            <v>57684761</v>
          </cell>
          <cell r="I144">
            <v>1474140</v>
          </cell>
          <cell r="J144">
            <v>1889840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2882524</v>
          </cell>
          <cell r="P144">
            <v>196026</v>
          </cell>
          <cell r="Q144">
            <v>-45827</v>
          </cell>
          <cell r="R144">
            <v>0</v>
          </cell>
          <cell r="S144">
            <v>477535</v>
          </cell>
          <cell r="T144">
            <v>0</v>
          </cell>
          <cell r="U144">
            <v>-5257393</v>
          </cell>
          <cell r="V144" t="str">
            <v xml:space="preserve"> </v>
          </cell>
          <cell r="W144">
            <v>59301606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60260595</v>
          </cell>
          <cell r="AC144">
            <v>1395341</v>
          </cell>
          <cell r="AD144">
            <v>1926961</v>
          </cell>
          <cell r="AE144">
            <v>2246</v>
          </cell>
          <cell r="AF144">
            <v>1067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-28678</v>
          </cell>
          <cell r="AL144">
            <v>0</v>
          </cell>
          <cell r="AM144">
            <v>470785</v>
          </cell>
          <cell r="AN144">
            <v>0</v>
          </cell>
          <cell r="AO144">
            <v>-2265897</v>
          </cell>
          <cell r="AP144">
            <v>61760174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 t="str">
            <v xml:space="preserve"> </v>
          </cell>
          <cell r="AV144" t="str">
            <v xml:space="preserve"> </v>
          </cell>
          <cell r="AW144" t="str">
            <v xml:space="preserve"> </v>
          </cell>
        </row>
        <row r="145">
          <cell r="C145" t="str">
            <v xml:space="preserve">PALOMAR Subtotal         </v>
          </cell>
          <cell r="H145">
            <v>57684761</v>
          </cell>
          <cell r="I145">
            <v>1474140</v>
          </cell>
          <cell r="J145">
            <v>1889840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2882524</v>
          </cell>
          <cell r="P145">
            <v>196026</v>
          </cell>
          <cell r="Q145">
            <v>-45827</v>
          </cell>
          <cell r="R145">
            <v>0</v>
          </cell>
          <cell r="S145">
            <v>477535</v>
          </cell>
          <cell r="T145">
            <v>0</v>
          </cell>
          <cell r="U145">
            <v>-5257393</v>
          </cell>
          <cell r="V145">
            <v>0</v>
          </cell>
          <cell r="W145">
            <v>59301606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60260595</v>
          </cell>
          <cell r="AC145">
            <v>1395341</v>
          </cell>
          <cell r="AD145">
            <v>1926961</v>
          </cell>
          <cell r="AE145">
            <v>2246</v>
          </cell>
          <cell r="AF145">
            <v>1067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-28678</v>
          </cell>
          <cell r="AL145">
            <v>0</v>
          </cell>
          <cell r="AM145">
            <v>470785</v>
          </cell>
          <cell r="AN145">
            <v>0</v>
          </cell>
          <cell r="AO145">
            <v>-2265897</v>
          </cell>
          <cell r="AP145">
            <v>61760174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</row>
        <row r="147">
          <cell r="C147" t="str">
            <v xml:space="preserve"> PASADENA          </v>
          </cell>
          <cell r="D147" t="str">
            <v xml:space="preserve"> LOS ANGELES       </v>
          </cell>
          <cell r="E147">
            <v>770</v>
          </cell>
          <cell r="F147" t="str">
            <v xml:space="preserve"> 2015-2016</v>
          </cell>
          <cell r="G147" t="str">
            <v xml:space="preserve"> 11/15/2015</v>
          </cell>
          <cell r="H147">
            <v>20974101</v>
          </cell>
          <cell r="I147">
            <v>550882</v>
          </cell>
          <cell r="J147">
            <v>821242</v>
          </cell>
          <cell r="K147">
            <v>63451</v>
          </cell>
          <cell r="L147">
            <v>30139</v>
          </cell>
          <cell r="M147">
            <v>0</v>
          </cell>
          <cell r="N147">
            <v>0</v>
          </cell>
          <cell r="O147">
            <v>1584935</v>
          </cell>
          <cell r="P147">
            <v>1239</v>
          </cell>
          <cell r="Q147">
            <v>482203</v>
          </cell>
          <cell r="R147">
            <v>0</v>
          </cell>
          <cell r="S147">
            <v>161165</v>
          </cell>
          <cell r="T147">
            <v>0</v>
          </cell>
          <cell r="U147">
            <v>0</v>
          </cell>
          <cell r="V147" t="str">
            <v xml:space="preserve"> </v>
          </cell>
          <cell r="W147">
            <v>24605906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22354197</v>
          </cell>
          <cell r="AC147">
            <v>688603</v>
          </cell>
          <cell r="AD147">
            <v>821000</v>
          </cell>
          <cell r="AE147">
            <v>23868</v>
          </cell>
          <cell r="AF147">
            <v>11337</v>
          </cell>
          <cell r="AG147">
            <v>0</v>
          </cell>
          <cell r="AH147">
            <v>0</v>
          </cell>
          <cell r="AI147">
            <v>74503</v>
          </cell>
          <cell r="AJ147">
            <v>0</v>
          </cell>
          <cell r="AK147">
            <v>513497</v>
          </cell>
          <cell r="AL147">
            <v>0</v>
          </cell>
          <cell r="AM147">
            <v>161200</v>
          </cell>
          <cell r="AN147">
            <v>0</v>
          </cell>
          <cell r="AO147">
            <v>0</v>
          </cell>
          <cell r="AP147">
            <v>24624337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 t="str">
            <v xml:space="preserve"> </v>
          </cell>
          <cell r="AV147" t="str">
            <v xml:space="preserve"> </v>
          </cell>
          <cell r="AW147" t="str">
            <v xml:space="preserve"> </v>
          </cell>
        </row>
        <row r="148">
          <cell r="C148" t="str">
            <v xml:space="preserve">PASADENA Subtotal         </v>
          </cell>
          <cell r="H148">
            <v>20974101</v>
          </cell>
          <cell r="I148">
            <v>550882</v>
          </cell>
          <cell r="J148">
            <v>821242</v>
          </cell>
          <cell r="K148">
            <v>63451</v>
          </cell>
          <cell r="L148">
            <v>30139</v>
          </cell>
          <cell r="M148">
            <v>0</v>
          </cell>
          <cell r="N148">
            <v>0</v>
          </cell>
          <cell r="O148">
            <v>1584935</v>
          </cell>
          <cell r="P148">
            <v>1239</v>
          </cell>
          <cell r="Q148">
            <v>482203</v>
          </cell>
          <cell r="R148">
            <v>0</v>
          </cell>
          <cell r="S148">
            <v>161165</v>
          </cell>
          <cell r="T148">
            <v>0</v>
          </cell>
          <cell r="U148">
            <v>0</v>
          </cell>
          <cell r="V148">
            <v>0</v>
          </cell>
          <cell r="W148">
            <v>24605906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22354197</v>
          </cell>
          <cell r="AC148">
            <v>688603</v>
          </cell>
          <cell r="AD148">
            <v>821000</v>
          </cell>
          <cell r="AE148">
            <v>23868</v>
          </cell>
          <cell r="AF148">
            <v>11337</v>
          </cell>
          <cell r="AG148">
            <v>0</v>
          </cell>
          <cell r="AH148">
            <v>0</v>
          </cell>
          <cell r="AI148">
            <v>74503</v>
          </cell>
          <cell r="AJ148">
            <v>0</v>
          </cell>
          <cell r="AK148">
            <v>513497</v>
          </cell>
          <cell r="AL148">
            <v>0</v>
          </cell>
          <cell r="AM148">
            <v>161200</v>
          </cell>
          <cell r="AN148">
            <v>0</v>
          </cell>
          <cell r="AO148">
            <v>0</v>
          </cell>
          <cell r="AP148">
            <v>24624337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</row>
        <row r="150">
          <cell r="C150" t="str">
            <v xml:space="preserve"> PERALTA</v>
          </cell>
          <cell r="D150" t="str">
            <v xml:space="preserve"> ALAMEDA           </v>
          </cell>
          <cell r="E150">
            <v>340</v>
          </cell>
          <cell r="F150" t="str">
            <v xml:space="preserve"> 2015-2016</v>
          </cell>
          <cell r="G150" t="str">
            <v xml:space="preserve"> 11/15/2015</v>
          </cell>
          <cell r="H150">
            <v>15513026</v>
          </cell>
          <cell r="I150">
            <v>424618</v>
          </cell>
          <cell r="J150">
            <v>1103118</v>
          </cell>
          <cell r="K150">
            <v>1301492</v>
          </cell>
          <cell r="L150">
            <v>618209</v>
          </cell>
          <cell r="M150">
            <v>0</v>
          </cell>
          <cell r="N150">
            <v>0</v>
          </cell>
          <cell r="O150">
            <v>1973063</v>
          </cell>
          <cell r="P150">
            <v>19535</v>
          </cell>
          <cell r="Q150">
            <v>-477813</v>
          </cell>
          <cell r="R150">
            <v>0</v>
          </cell>
          <cell r="S150">
            <v>168246</v>
          </cell>
          <cell r="T150">
            <v>0</v>
          </cell>
          <cell r="U150">
            <v>14197660</v>
          </cell>
          <cell r="V150" t="str">
            <v xml:space="preserve"> </v>
          </cell>
          <cell r="W150">
            <v>33539662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16564210</v>
          </cell>
          <cell r="AC150">
            <v>336905</v>
          </cell>
          <cell r="AD150">
            <v>1408719</v>
          </cell>
          <cell r="AE150">
            <v>1262592</v>
          </cell>
          <cell r="AF150">
            <v>599731</v>
          </cell>
          <cell r="AG150">
            <v>0</v>
          </cell>
          <cell r="AH150">
            <v>0</v>
          </cell>
          <cell r="AI150">
            <v>1964144</v>
          </cell>
          <cell r="AJ150">
            <v>0</v>
          </cell>
          <cell r="AK150">
            <v>-477813</v>
          </cell>
          <cell r="AL150">
            <v>0</v>
          </cell>
          <cell r="AM150">
            <v>168422</v>
          </cell>
          <cell r="AN150">
            <v>0</v>
          </cell>
          <cell r="AO150">
            <v>23799617</v>
          </cell>
          <cell r="AP150">
            <v>44363935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 t="str">
            <v xml:space="preserve"> </v>
          </cell>
          <cell r="AV150" t="str">
            <v xml:space="preserve"> </v>
          </cell>
          <cell r="AW150" t="str">
            <v xml:space="preserve"> </v>
          </cell>
        </row>
        <row r="151">
          <cell r="C151" t="str">
            <v>PERALTA Subtotal</v>
          </cell>
          <cell r="H151">
            <v>15513026</v>
          </cell>
          <cell r="I151">
            <v>424618</v>
          </cell>
          <cell r="J151">
            <v>1103118</v>
          </cell>
          <cell r="K151">
            <v>1301492</v>
          </cell>
          <cell r="L151">
            <v>618209</v>
          </cell>
          <cell r="M151">
            <v>0</v>
          </cell>
          <cell r="N151">
            <v>0</v>
          </cell>
          <cell r="O151">
            <v>1973063</v>
          </cell>
          <cell r="P151">
            <v>19535</v>
          </cell>
          <cell r="Q151">
            <v>-477813</v>
          </cell>
          <cell r="R151">
            <v>0</v>
          </cell>
          <cell r="S151">
            <v>168246</v>
          </cell>
          <cell r="T151">
            <v>0</v>
          </cell>
          <cell r="U151">
            <v>14197660</v>
          </cell>
          <cell r="V151">
            <v>0</v>
          </cell>
          <cell r="W151">
            <v>33539662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16564210</v>
          </cell>
          <cell r="AC151">
            <v>336905</v>
          </cell>
          <cell r="AD151">
            <v>1408719</v>
          </cell>
          <cell r="AE151">
            <v>1262592</v>
          </cell>
          <cell r="AF151">
            <v>599731</v>
          </cell>
          <cell r="AG151">
            <v>0</v>
          </cell>
          <cell r="AH151">
            <v>0</v>
          </cell>
          <cell r="AI151">
            <v>1964144</v>
          </cell>
          <cell r="AJ151">
            <v>0</v>
          </cell>
          <cell r="AK151">
            <v>-477813</v>
          </cell>
          <cell r="AL151">
            <v>0</v>
          </cell>
          <cell r="AM151">
            <v>168422</v>
          </cell>
          <cell r="AN151">
            <v>0</v>
          </cell>
          <cell r="AO151">
            <v>23799617</v>
          </cell>
          <cell r="AP151">
            <v>44363935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</row>
        <row r="153">
          <cell r="C153" t="str">
            <v xml:space="preserve"> RANCHO SANTIAGO   </v>
          </cell>
          <cell r="D153" t="str">
            <v xml:space="preserve"> ORANGE            </v>
          </cell>
          <cell r="E153">
            <v>870</v>
          </cell>
          <cell r="F153" t="str">
            <v xml:space="preserve"> 2015-2016</v>
          </cell>
          <cell r="G153" t="str">
            <v xml:space="preserve"> 11/15/2015</v>
          </cell>
          <cell r="H153">
            <v>39961546</v>
          </cell>
          <cell r="I153">
            <v>1144948</v>
          </cell>
          <cell r="J153">
            <v>1529150</v>
          </cell>
          <cell r="K153">
            <v>310048</v>
          </cell>
          <cell r="L153">
            <v>147273</v>
          </cell>
          <cell r="M153">
            <v>0</v>
          </cell>
          <cell r="N153">
            <v>0</v>
          </cell>
          <cell r="O153">
            <v>3673735</v>
          </cell>
          <cell r="P153">
            <v>2111500</v>
          </cell>
          <cell r="Q153">
            <v>662064</v>
          </cell>
          <cell r="R153">
            <v>6</v>
          </cell>
          <cell r="S153">
            <v>295240</v>
          </cell>
          <cell r="T153">
            <v>0</v>
          </cell>
          <cell r="U153">
            <v>281777</v>
          </cell>
          <cell r="V153" t="str">
            <v xml:space="preserve"> </v>
          </cell>
          <cell r="W153">
            <v>49807239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42753754</v>
          </cell>
          <cell r="AC153">
            <v>1054067</v>
          </cell>
          <cell r="AD153">
            <v>1376106</v>
          </cell>
          <cell r="AE153">
            <v>385611</v>
          </cell>
          <cell r="AF153">
            <v>183165</v>
          </cell>
          <cell r="AG153">
            <v>0</v>
          </cell>
          <cell r="AH153">
            <v>0</v>
          </cell>
          <cell r="AI153">
            <v>2723321</v>
          </cell>
          <cell r="AJ153">
            <v>0</v>
          </cell>
          <cell r="AK153">
            <v>628048</v>
          </cell>
          <cell r="AL153">
            <v>6</v>
          </cell>
          <cell r="AM153">
            <v>292411</v>
          </cell>
          <cell r="AN153">
            <v>0</v>
          </cell>
          <cell r="AO153">
            <v>7126684</v>
          </cell>
          <cell r="AP153">
            <v>56137562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 t="str">
            <v xml:space="preserve"> </v>
          </cell>
          <cell r="AV153" t="str">
            <v xml:space="preserve"> </v>
          </cell>
          <cell r="AW153" t="str">
            <v xml:space="preserve"> </v>
          </cell>
        </row>
        <row r="154">
          <cell r="C154" t="str">
            <v xml:space="preserve">RANCHO SANTIAGO Subtotal   </v>
          </cell>
          <cell r="H154">
            <v>39961546</v>
          </cell>
          <cell r="I154">
            <v>1144948</v>
          </cell>
          <cell r="J154">
            <v>1529150</v>
          </cell>
          <cell r="K154">
            <v>310048</v>
          </cell>
          <cell r="L154">
            <v>147273</v>
          </cell>
          <cell r="M154">
            <v>0</v>
          </cell>
          <cell r="N154">
            <v>0</v>
          </cell>
          <cell r="O154">
            <v>3673735</v>
          </cell>
          <cell r="P154">
            <v>2111500</v>
          </cell>
          <cell r="Q154">
            <v>662064</v>
          </cell>
          <cell r="R154">
            <v>6</v>
          </cell>
          <cell r="S154">
            <v>295240</v>
          </cell>
          <cell r="T154">
            <v>0</v>
          </cell>
          <cell r="U154">
            <v>281777</v>
          </cell>
          <cell r="V154">
            <v>0</v>
          </cell>
          <cell r="W154">
            <v>49807239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42753754</v>
          </cell>
          <cell r="AC154">
            <v>1054067</v>
          </cell>
          <cell r="AD154">
            <v>1376106</v>
          </cell>
          <cell r="AE154">
            <v>385611</v>
          </cell>
          <cell r="AF154">
            <v>183165</v>
          </cell>
          <cell r="AG154">
            <v>0</v>
          </cell>
          <cell r="AH154">
            <v>0</v>
          </cell>
          <cell r="AI154">
            <v>2723321</v>
          </cell>
          <cell r="AJ154">
            <v>0</v>
          </cell>
          <cell r="AK154">
            <v>628048</v>
          </cell>
          <cell r="AL154">
            <v>6</v>
          </cell>
          <cell r="AM154">
            <v>292411</v>
          </cell>
          <cell r="AN154">
            <v>0</v>
          </cell>
          <cell r="AO154">
            <v>7126684</v>
          </cell>
          <cell r="AP154">
            <v>56137562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</row>
        <row r="156">
          <cell r="C156" t="str">
            <v xml:space="preserve"> REDWOODS          </v>
          </cell>
          <cell r="D156" t="str">
            <v xml:space="preserve"> DEL NORTE         </v>
          </cell>
          <cell r="E156">
            <v>160</v>
          </cell>
          <cell r="F156" t="str">
            <v xml:space="preserve"> 2015-2016</v>
          </cell>
          <cell r="G156" t="str">
            <v xml:space="preserve"> 11/15/2015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22508</v>
          </cell>
          <cell r="S156">
            <v>0</v>
          </cell>
          <cell r="T156">
            <v>0</v>
          </cell>
          <cell r="U156">
            <v>0</v>
          </cell>
          <cell r="V156" t="str">
            <v xml:space="preserve"> </v>
          </cell>
          <cell r="W156">
            <v>22508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18006</v>
          </cell>
          <cell r="AM156">
            <v>0</v>
          </cell>
          <cell r="AN156">
            <v>0</v>
          </cell>
          <cell r="AO156">
            <v>0</v>
          </cell>
          <cell r="AP156">
            <v>18006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 t="str">
            <v xml:space="preserve"> </v>
          </cell>
          <cell r="AV156" t="str">
            <v xml:space="preserve"> </v>
          </cell>
          <cell r="AW156" t="str">
            <v xml:space="preserve"> </v>
          </cell>
        </row>
        <row r="157">
          <cell r="C157" t="str">
            <v xml:space="preserve"> REDWOODS          </v>
          </cell>
          <cell r="D157" t="str">
            <v xml:space="preserve"> HUMBOLDT          </v>
          </cell>
          <cell r="E157">
            <v>160</v>
          </cell>
          <cell r="F157" t="str">
            <v xml:space="preserve"> 2015-2016</v>
          </cell>
          <cell r="G157" t="str">
            <v xml:space="preserve"> 11/15/2015</v>
          </cell>
          <cell r="H157">
            <v>6651841</v>
          </cell>
          <cell r="I157">
            <v>59156</v>
          </cell>
          <cell r="J157">
            <v>291172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312352</v>
          </cell>
          <cell r="P157">
            <v>104740</v>
          </cell>
          <cell r="Q157">
            <v>8658</v>
          </cell>
          <cell r="R157">
            <v>205319</v>
          </cell>
          <cell r="S157">
            <v>110163</v>
          </cell>
          <cell r="T157">
            <v>0</v>
          </cell>
          <cell r="U157">
            <v>-429401</v>
          </cell>
          <cell r="V157" t="str">
            <v xml:space="preserve"> </v>
          </cell>
          <cell r="W157">
            <v>7314000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6932712</v>
          </cell>
          <cell r="AC157">
            <v>59156</v>
          </cell>
          <cell r="AD157">
            <v>294692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312352</v>
          </cell>
          <cell r="AJ157">
            <v>140447</v>
          </cell>
          <cell r="AK157">
            <v>8658</v>
          </cell>
          <cell r="AL157">
            <v>205319</v>
          </cell>
          <cell r="AM157">
            <v>105918</v>
          </cell>
          <cell r="AN157">
            <v>0</v>
          </cell>
          <cell r="AO157">
            <v>-429401</v>
          </cell>
          <cell r="AP157">
            <v>7629853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 t="str">
            <v xml:space="preserve"> </v>
          </cell>
          <cell r="AV157" t="str">
            <v xml:space="preserve"> </v>
          </cell>
          <cell r="AW157" t="str">
            <v xml:space="preserve"> </v>
          </cell>
        </row>
        <row r="158">
          <cell r="C158" t="str">
            <v xml:space="preserve"> REDWOODS          </v>
          </cell>
          <cell r="D158" t="str">
            <v xml:space="preserve"> MENDOCINO         </v>
          </cell>
          <cell r="E158">
            <v>160</v>
          </cell>
          <cell r="F158" t="str">
            <v xml:space="preserve"> 2015-2016</v>
          </cell>
          <cell r="G158" t="str">
            <v xml:space="preserve"> 11/15/2015</v>
          </cell>
          <cell r="H158">
            <v>1794610</v>
          </cell>
          <cell r="I158">
            <v>14251</v>
          </cell>
          <cell r="J158">
            <v>62793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-381</v>
          </cell>
          <cell r="R158">
            <v>53288</v>
          </cell>
          <cell r="S158">
            <v>19826</v>
          </cell>
          <cell r="T158">
            <v>0</v>
          </cell>
          <cell r="U158">
            <v>125172</v>
          </cell>
          <cell r="V158" t="str">
            <v xml:space="preserve"> </v>
          </cell>
          <cell r="W158">
            <v>2069559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1808432</v>
          </cell>
          <cell r="AC158">
            <v>2444</v>
          </cell>
          <cell r="AD158">
            <v>66918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3261</v>
          </cell>
          <cell r="AL158">
            <v>42836</v>
          </cell>
          <cell r="AM158">
            <v>19229</v>
          </cell>
          <cell r="AN158">
            <v>0</v>
          </cell>
          <cell r="AO158">
            <v>422695</v>
          </cell>
          <cell r="AP158">
            <v>2365815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 t="str">
            <v xml:space="preserve"> </v>
          </cell>
          <cell r="AV158" t="str">
            <v xml:space="preserve"> </v>
          </cell>
          <cell r="AW158" t="str">
            <v xml:space="preserve"> </v>
          </cell>
        </row>
        <row r="159">
          <cell r="C159" t="str">
            <v xml:space="preserve"> REDWOODS          </v>
          </cell>
          <cell r="D159" t="str">
            <v xml:space="preserve"> TRINITY           </v>
          </cell>
          <cell r="E159">
            <v>160</v>
          </cell>
          <cell r="F159" t="str">
            <v xml:space="preserve"> 2015-2016</v>
          </cell>
          <cell r="G159" t="str">
            <v xml:space="preserve"> 11/15/2015</v>
          </cell>
          <cell r="H159">
            <v>47915</v>
          </cell>
          <cell r="I159">
            <v>1894</v>
          </cell>
          <cell r="J159">
            <v>1116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35</v>
          </cell>
          <cell r="R159">
            <v>151</v>
          </cell>
          <cell r="S159">
            <v>715</v>
          </cell>
          <cell r="T159">
            <v>0</v>
          </cell>
          <cell r="U159">
            <v>0</v>
          </cell>
          <cell r="V159" t="str">
            <v xml:space="preserve"> </v>
          </cell>
          <cell r="W159">
            <v>51826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50000</v>
          </cell>
          <cell r="AC159">
            <v>1000</v>
          </cell>
          <cell r="AD159">
            <v>1500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10</v>
          </cell>
          <cell r="AL159">
            <v>150</v>
          </cell>
          <cell r="AM159">
            <v>619</v>
          </cell>
          <cell r="AN159">
            <v>0</v>
          </cell>
          <cell r="AO159">
            <v>0</v>
          </cell>
          <cell r="AP159">
            <v>53279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 t="str">
            <v xml:space="preserve"> </v>
          </cell>
          <cell r="AV159" t="str">
            <v xml:space="preserve"> </v>
          </cell>
          <cell r="AW159" t="str">
            <v xml:space="preserve"> </v>
          </cell>
        </row>
        <row r="160">
          <cell r="C160" t="str">
            <v xml:space="preserve">REDWOODS Subtotal         </v>
          </cell>
          <cell r="H160">
            <v>8494366</v>
          </cell>
          <cell r="I160">
            <v>75301</v>
          </cell>
          <cell r="J160">
            <v>355081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312352</v>
          </cell>
          <cell r="P160">
            <v>104740</v>
          </cell>
          <cell r="Q160">
            <v>8312</v>
          </cell>
          <cell r="R160">
            <v>281266</v>
          </cell>
          <cell r="S160">
            <v>130704</v>
          </cell>
          <cell r="T160">
            <v>0</v>
          </cell>
          <cell r="U160">
            <v>-304229</v>
          </cell>
          <cell r="V160">
            <v>0</v>
          </cell>
          <cell r="W160">
            <v>9457893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8791144</v>
          </cell>
          <cell r="AC160">
            <v>62600</v>
          </cell>
          <cell r="AD160">
            <v>363110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312352</v>
          </cell>
          <cell r="AJ160">
            <v>140447</v>
          </cell>
          <cell r="AK160">
            <v>11929</v>
          </cell>
          <cell r="AL160">
            <v>266311</v>
          </cell>
          <cell r="AM160">
            <v>125766</v>
          </cell>
          <cell r="AN160">
            <v>0</v>
          </cell>
          <cell r="AO160">
            <v>-6706</v>
          </cell>
          <cell r="AP160">
            <v>10066953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</row>
        <row r="162">
          <cell r="C162" t="str">
            <v xml:space="preserve"> RIO HONDO         </v>
          </cell>
          <cell r="D162" t="str">
            <v xml:space="preserve"> LOS ANGELES       </v>
          </cell>
          <cell r="E162">
            <v>880</v>
          </cell>
          <cell r="F162" t="str">
            <v xml:space="preserve"> 2015-2016</v>
          </cell>
          <cell r="G162" t="str">
            <v xml:space="preserve"> 11/15/2015</v>
          </cell>
          <cell r="H162">
            <v>5185926</v>
          </cell>
          <cell r="I162">
            <v>148141</v>
          </cell>
          <cell r="J162">
            <v>124061</v>
          </cell>
          <cell r="K162">
            <v>144664</v>
          </cell>
          <cell r="L162">
            <v>68715</v>
          </cell>
          <cell r="M162">
            <v>0</v>
          </cell>
          <cell r="N162">
            <v>0</v>
          </cell>
          <cell r="O162">
            <v>555289</v>
          </cell>
          <cell r="P162">
            <v>-1005</v>
          </cell>
          <cell r="Q162">
            <v>46341</v>
          </cell>
          <cell r="R162">
            <v>0</v>
          </cell>
          <cell r="S162">
            <v>38697</v>
          </cell>
          <cell r="T162">
            <v>0</v>
          </cell>
          <cell r="U162">
            <v>0</v>
          </cell>
          <cell r="V162" t="str">
            <v xml:space="preserve"> </v>
          </cell>
          <cell r="W162">
            <v>6166165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5419293</v>
          </cell>
          <cell r="AC162">
            <v>185176</v>
          </cell>
          <cell r="AD162">
            <v>124000</v>
          </cell>
          <cell r="AE162">
            <v>60167</v>
          </cell>
          <cell r="AF162">
            <v>28579</v>
          </cell>
          <cell r="AG162">
            <v>0</v>
          </cell>
          <cell r="AH162">
            <v>0</v>
          </cell>
          <cell r="AI162">
            <v>83957</v>
          </cell>
          <cell r="AJ162">
            <v>0</v>
          </cell>
          <cell r="AK162">
            <v>97413</v>
          </cell>
          <cell r="AL162">
            <v>0</v>
          </cell>
          <cell r="AM162">
            <v>38700</v>
          </cell>
          <cell r="AN162">
            <v>0</v>
          </cell>
          <cell r="AO162">
            <v>0</v>
          </cell>
          <cell r="AP162">
            <v>5977118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 t="str">
            <v xml:space="preserve"> </v>
          </cell>
          <cell r="AV162" t="str">
            <v xml:space="preserve"> </v>
          </cell>
          <cell r="AW162" t="str">
            <v xml:space="preserve"> </v>
          </cell>
        </row>
        <row r="163">
          <cell r="C163" t="str">
            <v xml:space="preserve">RIO HONDO Subtotal        </v>
          </cell>
          <cell r="H163">
            <v>5185926</v>
          </cell>
          <cell r="I163">
            <v>148141</v>
          </cell>
          <cell r="J163">
            <v>124061</v>
          </cell>
          <cell r="K163">
            <v>144664</v>
          </cell>
          <cell r="L163">
            <v>68715</v>
          </cell>
          <cell r="M163">
            <v>0</v>
          </cell>
          <cell r="N163">
            <v>0</v>
          </cell>
          <cell r="O163">
            <v>555289</v>
          </cell>
          <cell r="P163">
            <v>-1005</v>
          </cell>
          <cell r="Q163">
            <v>46341</v>
          </cell>
          <cell r="R163">
            <v>0</v>
          </cell>
          <cell r="S163">
            <v>38697</v>
          </cell>
          <cell r="T163">
            <v>0</v>
          </cell>
          <cell r="U163">
            <v>0</v>
          </cell>
          <cell r="V163">
            <v>0</v>
          </cell>
          <cell r="W163">
            <v>6166165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5419293</v>
          </cell>
          <cell r="AC163">
            <v>185176</v>
          </cell>
          <cell r="AD163">
            <v>124000</v>
          </cell>
          <cell r="AE163">
            <v>60167</v>
          </cell>
          <cell r="AF163">
            <v>28579</v>
          </cell>
          <cell r="AG163">
            <v>0</v>
          </cell>
          <cell r="AH163">
            <v>0</v>
          </cell>
          <cell r="AI163">
            <v>83957</v>
          </cell>
          <cell r="AJ163">
            <v>0</v>
          </cell>
          <cell r="AK163">
            <v>97413</v>
          </cell>
          <cell r="AL163">
            <v>0</v>
          </cell>
          <cell r="AM163">
            <v>38700</v>
          </cell>
          <cell r="AN163">
            <v>0</v>
          </cell>
          <cell r="AO163">
            <v>0</v>
          </cell>
          <cell r="AP163">
            <v>5977118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</row>
        <row r="165">
          <cell r="C165" t="str">
            <v xml:space="preserve"> RIVERSIDE         </v>
          </cell>
          <cell r="D165" t="str">
            <v xml:space="preserve"> RIVERSIDE         </v>
          </cell>
          <cell r="E165">
            <v>960</v>
          </cell>
          <cell r="F165" t="str">
            <v xml:space="preserve"> 2015-2016</v>
          </cell>
          <cell r="G165" t="str">
            <v xml:space="preserve"> 11/15/2015</v>
          </cell>
          <cell r="H165">
            <v>32178177</v>
          </cell>
          <cell r="I165">
            <v>690713</v>
          </cell>
          <cell r="J165">
            <v>1469561</v>
          </cell>
          <cell r="K165">
            <v>1583185</v>
          </cell>
          <cell r="L165">
            <v>752013</v>
          </cell>
          <cell r="M165">
            <v>0</v>
          </cell>
          <cell r="N165">
            <v>0</v>
          </cell>
          <cell r="O165">
            <v>3396483</v>
          </cell>
          <cell r="P165">
            <v>68378</v>
          </cell>
          <cell r="Q165">
            <v>1023567</v>
          </cell>
          <cell r="R165">
            <v>0</v>
          </cell>
          <cell r="S165">
            <v>443409</v>
          </cell>
          <cell r="T165">
            <v>641</v>
          </cell>
          <cell r="U165">
            <v>-6119488</v>
          </cell>
          <cell r="V165" t="str">
            <v xml:space="preserve"> </v>
          </cell>
          <cell r="W165">
            <v>33903454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32399576</v>
          </cell>
          <cell r="AC165">
            <v>789105</v>
          </cell>
          <cell r="AD165">
            <v>1406733</v>
          </cell>
          <cell r="AE165">
            <v>1420341</v>
          </cell>
          <cell r="AF165">
            <v>674662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881245</v>
          </cell>
          <cell r="AL165">
            <v>0</v>
          </cell>
          <cell r="AM165">
            <v>439651</v>
          </cell>
          <cell r="AN165">
            <v>0</v>
          </cell>
          <cell r="AO165">
            <v>-4524175</v>
          </cell>
          <cell r="AP165">
            <v>32066797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 t="str">
            <v xml:space="preserve"> </v>
          </cell>
          <cell r="AV165" t="str">
            <v xml:space="preserve"> </v>
          </cell>
          <cell r="AW165" t="str">
            <v xml:space="preserve"> </v>
          </cell>
        </row>
        <row r="166">
          <cell r="C166" t="str">
            <v xml:space="preserve">RIVERSIDE Subtotal         </v>
          </cell>
          <cell r="H166">
            <v>32178177</v>
          </cell>
          <cell r="I166">
            <v>690713</v>
          </cell>
          <cell r="J166">
            <v>1469561</v>
          </cell>
          <cell r="K166">
            <v>1583185</v>
          </cell>
          <cell r="L166">
            <v>752013</v>
          </cell>
          <cell r="M166">
            <v>0</v>
          </cell>
          <cell r="N166">
            <v>0</v>
          </cell>
          <cell r="O166">
            <v>3396483</v>
          </cell>
          <cell r="P166">
            <v>68378</v>
          </cell>
          <cell r="Q166">
            <v>1023567</v>
          </cell>
          <cell r="R166">
            <v>0</v>
          </cell>
          <cell r="S166">
            <v>443409</v>
          </cell>
          <cell r="T166">
            <v>641</v>
          </cell>
          <cell r="U166">
            <v>-6119488</v>
          </cell>
          <cell r="V166">
            <v>0</v>
          </cell>
          <cell r="W166">
            <v>33903454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32399576</v>
          </cell>
          <cell r="AC166">
            <v>789105</v>
          </cell>
          <cell r="AD166">
            <v>1406733</v>
          </cell>
          <cell r="AE166">
            <v>1420341</v>
          </cell>
          <cell r="AF166">
            <v>674662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881245</v>
          </cell>
          <cell r="AL166">
            <v>0</v>
          </cell>
          <cell r="AM166">
            <v>439651</v>
          </cell>
          <cell r="AN166">
            <v>0</v>
          </cell>
          <cell r="AO166">
            <v>-4524175</v>
          </cell>
          <cell r="AP166">
            <v>32066797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</row>
        <row r="168">
          <cell r="C168" t="str">
            <v xml:space="preserve"> SAN BERNARDINO    </v>
          </cell>
          <cell r="D168" t="str">
            <v xml:space="preserve"> RIVERSIDE         </v>
          </cell>
          <cell r="E168">
            <v>980</v>
          </cell>
          <cell r="F168" t="str">
            <v xml:space="preserve"> 2015-2016</v>
          </cell>
          <cell r="G168" t="str">
            <v xml:space="preserve"> 11/15/2015</v>
          </cell>
          <cell r="H168">
            <v>300257</v>
          </cell>
          <cell r="I168">
            <v>6391</v>
          </cell>
          <cell r="J168">
            <v>13594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12018</v>
          </cell>
          <cell r="P168">
            <v>0</v>
          </cell>
          <cell r="Q168">
            <v>9506</v>
          </cell>
          <cell r="R168">
            <v>0</v>
          </cell>
          <cell r="S168">
            <v>4099</v>
          </cell>
          <cell r="T168">
            <v>6</v>
          </cell>
          <cell r="U168">
            <v>-56570</v>
          </cell>
          <cell r="V168" t="str">
            <v xml:space="preserve"> </v>
          </cell>
          <cell r="W168">
            <v>289301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302584</v>
          </cell>
          <cell r="AC168">
            <v>7300</v>
          </cell>
          <cell r="AD168">
            <v>13017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8148</v>
          </cell>
          <cell r="AL168">
            <v>0</v>
          </cell>
          <cell r="AM168">
            <v>4068</v>
          </cell>
          <cell r="AN168">
            <v>0</v>
          </cell>
          <cell r="AO168">
            <v>-41864</v>
          </cell>
          <cell r="AP168">
            <v>293253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 t="str">
            <v xml:space="preserve"> </v>
          </cell>
          <cell r="AV168" t="str">
            <v xml:space="preserve"> </v>
          </cell>
          <cell r="AW168" t="str">
            <v xml:space="preserve"> </v>
          </cell>
        </row>
        <row r="169">
          <cell r="C169" t="str">
            <v xml:space="preserve"> SAN BERNARDINO    </v>
          </cell>
          <cell r="D169" t="str">
            <v xml:space="preserve"> SAN BERNARDINO    </v>
          </cell>
          <cell r="E169">
            <v>980</v>
          </cell>
          <cell r="F169" t="str">
            <v xml:space="preserve"> 2015-2016</v>
          </cell>
          <cell r="G169" t="str">
            <v xml:space="preserve"> 11/15/2015</v>
          </cell>
          <cell r="H169">
            <v>19644194</v>
          </cell>
          <cell r="I169">
            <v>387457</v>
          </cell>
          <cell r="J169">
            <v>821432</v>
          </cell>
          <cell r="K169">
            <v>783910</v>
          </cell>
          <cell r="L169">
            <v>372357</v>
          </cell>
          <cell r="M169">
            <v>0</v>
          </cell>
          <cell r="N169">
            <v>0</v>
          </cell>
          <cell r="O169">
            <v>4676296</v>
          </cell>
          <cell r="P169">
            <v>0</v>
          </cell>
          <cell r="Q169">
            <v>10019</v>
          </cell>
          <cell r="R169">
            <v>0</v>
          </cell>
          <cell r="S169">
            <v>220922</v>
          </cell>
          <cell r="T169">
            <v>0</v>
          </cell>
          <cell r="U169">
            <v>-8130431</v>
          </cell>
          <cell r="V169" t="str">
            <v xml:space="preserve"> </v>
          </cell>
          <cell r="W169">
            <v>18002246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20311891</v>
          </cell>
          <cell r="AC169">
            <v>387457</v>
          </cell>
          <cell r="AD169">
            <v>792033</v>
          </cell>
          <cell r="AE169">
            <v>817427</v>
          </cell>
          <cell r="AF169">
            <v>388278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25099</v>
          </cell>
          <cell r="AL169">
            <v>0</v>
          </cell>
          <cell r="AM169">
            <v>220843</v>
          </cell>
          <cell r="AN169">
            <v>0</v>
          </cell>
          <cell r="AO169">
            <v>-5872162</v>
          </cell>
          <cell r="AP169">
            <v>16253439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 t="str">
            <v xml:space="preserve"> </v>
          </cell>
          <cell r="AV169" t="str">
            <v xml:space="preserve"> </v>
          </cell>
          <cell r="AW169" t="str">
            <v xml:space="preserve"> </v>
          </cell>
        </row>
        <row r="170">
          <cell r="C170" t="str">
            <v xml:space="preserve">SAN BERNARDINO Subtotal    </v>
          </cell>
          <cell r="H170">
            <v>19944451</v>
          </cell>
          <cell r="I170">
            <v>393848</v>
          </cell>
          <cell r="J170">
            <v>835026</v>
          </cell>
          <cell r="K170">
            <v>783910</v>
          </cell>
          <cell r="L170">
            <v>372357</v>
          </cell>
          <cell r="M170">
            <v>0</v>
          </cell>
          <cell r="N170">
            <v>0</v>
          </cell>
          <cell r="O170">
            <v>4688314</v>
          </cell>
          <cell r="P170">
            <v>0</v>
          </cell>
          <cell r="Q170">
            <v>19525</v>
          </cell>
          <cell r="R170">
            <v>0</v>
          </cell>
          <cell r="S170">
            <v>225021</v>
          </cell>
          <cell r="T170">
            <v>6</v>
          </cell>
          <cell r="U170">
            <v>-8187001</v>
          </cell>
          <cell r="V170">
            <v>0</v>
          </cell>
          <cell r="W170">
            <v>18291547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20614475</v>
          </cell>
          <cell r="AC170">
            <v>394757</v>
          </cell>
          <cell r="AD170">
            <v>805050</v>
          </cell>
          <cell r="AE170">
            <v>817427</v>
          </cell>
          <cell r="AF170">
            <v>388278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33247</v>
          </cell>
          <cell r="AL170">
            <v>0</v>
          </cell>
          <cell r="AM170">
            <v>224911</v>
          </cell>
          <cell r="AN170">
            <v>0</v>
          </cell>
          <cell r="AO170">
            <v>-5914026</v>
          </cell>
          <cell r="AP170">
            <v>16546692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</row>
        <row r="172">
          <cell r="C172" t="str">
            <v xml:space="preserve"> SAN DIEGO         </v>
          </cell>
          <cell r="D172" t="str">
            <v xml:space="preserve"> SAN DIEGO         </v>
          </cell>
          <cell r="E172">
            <v>70</v>
          </cell>
          <cell r="F172" t="str">
            <v xml:space="preserve"> 2015-2016</v>
          </cell>
          <cell r="G172" t="str">
            <v xml:space="preserve"> 11/15/2015</v>
          </cell>
          <cell r="H172">
            <v>81305339</v>
          </cell>
          <cell r="I172">
            <v>2102506</v>
          </cell>
          <cell r="J172">
            <v>2761743</v>
          </cell>
          <cell r="K172">
            <v>568001</v>
          </cell>
          <cell r="L172">
            <v>269800</v>
          </cell>
          <cell r="M172">
            <v>0</v>
          </cell>
          <cell r="N172">
            <v>0</v>
          </cell>
          <cell r="O172">
            <v>4891394</v>
          </cell>
          <cell r="P172">
            <v>0</v>
          </cell>
          <cell r="Q172">
            <v>-67603</v>
          </cell>
          <cell r="R172">
            <v>0</v>
          </cell>
          <cell r="S172">
            <v>697670</v>
          </cell>
          <cell r="T172">
            <v>0</v>
          </cell>
          <cell r="U172">
            <v>-7681045</v>
          </cell>
          <cell r="V172" t="str">
            <v xml:space="preserve"> </v>
          </cell>
          <cell r="W172">
            <v>84279804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85012724</v>
          </cell>
          <cell r="AC172">
            <v>1989621</v>
          </cell>
          <cell r="AD172">
            <v>2815302</v>
          </cell>
          <cell r="AE172">
            <v>282237</v>
          </cell>
          <cell r="AF172">
            <v>134063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-41921</v>
          </cell>
          <cell r="AL172">
            <v>0</v>
          </cell>
          <cell r="AM172">
            <v>687817</v>
          </cell>
          <cell r="AN172">
            <v>0</v>
          </cell>
          <cell r="AO172">
            <v>-3310474</v>
          </cell>
          <cell r="AP172">
            <v>87287132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 t="str">
            <v xml:space="preserve"> </v>
          </cell>
          <cell r="AV172" t="str">
            <v xml:space="preserve"> </v>
          </cell>
          <cell r="AW172" t="str">
            <v xml:space="preserve"> </v>
          </cell>
        </row>
        <row r="173">
          <cell r="C173" t="str">
            <v xml:space="preserve">SAN DIEGO Subtotal        </v>
          </cell>
          <cell r="H173">
            <v>81305339</v>
          </cell>
          <cell r="I173">
            <v>2102506</v>
          </cell>
          <cell r="J173">
            <v>2761743</v>
          </cell>
          <cell r="K173">
            <v>568001</v>
          </cell>
          <cell r="L173">
            <v>269800</v>
          </cell>
          <cell r="M173">
            <v>0</v>
          </cell>
          <cell r="N173">
            <v>0</v>
          </cell>
          <cell r="O173">
            <v>4891394</v>
          </cell>
          <cell r="P173">
            <v>0</v>
          </cell>
          <cell r="Q173">
            <v>-67603</v>
          </cell>
          <cell r="R173">
            <v>0</v>
          </cell>
          <cell r="S173">
            <v>697670</v>
          </cell>
          <cell r="T173">
            <v>0</v>
          </cell>
          <cell r="U173">
            <v>-7681045</v>
          </cell>
          <cell r="V173">
            <v>0</v>
          </cell>
          <cell r="W173">
            <v>84279804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85012724</v>
          </cell>
          <cell r="AC173">
            <v>1989621</v>
          </cell>
          <cell r="AD173">
            <v>2815302</v>
          </cell>
          <cell r="AE173">
            <v>282237</v>
          </cell>
          <cell r="AF173">
            <v>134063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-41921</v>
          </cell>
          <cell r="AL173">
            <v>0</v>
          </cell>
          <cell r="AM173">
            <v>687817</v>
          </cell>
          <cell r="AN173">
            <v>0</v>
          </cell>
          <cell r="AO173">
            <v>-3310474</v>
          </cell>
          <cell r="AP173">
            <v>87287132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</row>
        <row r="175">
          <cell r="C175" t="str">
            <v xml:space="preserve"> SAN FRANCISCO     </v>
          </cell>
          <cell r="D175" t="str">
            <v xml:space="preserve"> SAN FRANCISCO     </v>
          </cell>
          <cell r="E175">
            <v>360</v>
          </cell>
          <cell r="F175" t="str">
            <v xml:space="preserve"> 2015-2016</v>
          </cell>
          <cell r="G175" t="str">
            <v xml:space="preserve"> 11/15/2015</v>
          </cell>
          <cell r="H175">
            <v>22091366</v>
          </cell>
          <cell r="I175">
            <v>759603</v>
          </cell>
          <cell r="J175">
            <v>1420251</v>
          </cell>
          <cell r="K175">
            <v>526704</v>
          </cell>
          <cell r="L175">
            <v>250184</v>
          </cell>
          <cell r="M175">
            <v>0</v>
          </cell>
          <cell r="N175">
            <v>0</v>
          </cell>
          <cell r="O175">
            <v>489520</v>
          </cell>
          <cell r="P175">
            <v>0</v>
          </cell>
          <cell r="Q175">
            <v>12982</v>
          </cell>
          <cell r="R175">
            <v>0</v>
          </cell>
          <cell r="S175">
            <v>96817</v>
          </cell>
          <cell r="T175">
            <v>0</v>
          </cell>
          <cell r="U175">
            <v>31477310</v>
          </cell>
          <cell r="V175" t="str">
            <v xml:space="preserve"> </v>
          </cell>
          <cell r="W175">
            <v>56598033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22699617</v>
          </cell>
          <cell r="AC175">
            <v>725094</v>
          </cell>
          <cell r="AD175">
            <v>1425404</v>
          </cell>
          <cell r="AE175">
            <v>555205</v>
          </cell>
          <cell r="AF175">
            <v>263722</v>
          </cell>
          <cell r="AG175">
            <v>0</v>
          </cell>
          <cell r="AH175">
            <v>0</v>
          </cell>
          <cell r="AI175">
            <v>489520</v>
          </cell>
          <cell r="AJ175">
            <v>0</v>
          </cell>
          <cell r="AK175">
            <v>9944</v>
          </cell>
          <cell r="AL175">
            <v>0</v>
          </cell>
          <cell r="AM175">
            <v>93315</v>
          </cell>
          <cell r="AN175">
            <v>0</v>
          </cell>
          <cell r="AO175">
            <v>37100571</v>
          </cell>
          <cell r="AP175">
            <v>62807187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 t="str">
            <v xml:space="preserve"> </v>
          </cell>
          <cell r="AV175" t="str">
            <v xml:space="preserve"> </v>
          </cell>
          <cell r="AW175" t="str">
            <v xml:space="preserve"> </v>
          </cell>
        </row>
        <row r="176">
          <cell r="C176" t="str">
            <v xml:space="preserve">SAN FRANCISCO Subtotal     </v>
          </cell>
          <cell r="H176">
            <v>22091366</v>
          </cell>
          <cell r="I176">
            <v>759603</v>
          </cell>
          <cell r="J176">
            <v>1420251</v>
          </cell>
          <cell r="K176">
            <v>526704</v>
          </cell>
          <cell r="L176">
            <v>250184</v>
          </cell>
          <cell r="M176">
            <v>0</v>
          </cell>
          <cell r="N176">
            <v>0</v>
          </cell>
          <cell r="O176">
            <v>489520</v>
          </cell>
          <cell r="P176">
            <v>0</v>
          </cell>
          <cell r="Q176">
            <v>12982</v>
          </cell>
          <cell r="R176">
            <v>0</v>
          </cell>
          <cell r="S176">
            <v>96817</v>
          </cell>
          <cell r="T176">
            <v>0</v>
          </cell>
          <cell r="U176">
            <v>31477310</v>
          </cell>
          <cell r="V176">
            <v>0</v>
          </cell>
          <cell r="W176">
            <v>56598033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22699617</v>
          </cell>
          <cell r="AC176">
            <v>725094</v>
          </cell>
          <cell r="AD176">
            <v>1425404</v>
          </cell>
          <cell r="AE176">
            <v>555205</v>
          </cell>
          <cell r="AF176">
            <v>263722</v>
          </cell>
          <cell r="AG176">
            <v>0</v>
          </cell>
          <cell r="AH176">
            <v>0</v>
          </cell>
          <cell r="AI176">
            <v>489520</v>
          </cell>
          <cell r="AJ176">
            <v>0</v>
          </cell>
          <cell r="AK176">
            <v>9944</v>
          </cell>
          <cell r="AL176">
            <v>0</v>
          </cell>
          <cell r="AM176">
            <v>93315</v>
          </cell>
          <cell r="AN176">
            <v>0</v>
          </cell>
          <cell r="AO176">
            <v>37100571</v>
          </cell>
          <cell r="AP176">
            <v>62807187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</row>
        <row r="178">
          <cell r="C178" t="str">
            <v xml:space="preserve"> SAN JOAQUIN DELTA </v>
          </cell>
          <cell r="D178" t="str">
            <v xml:space="preserve"> ALAMEDA           </v>
          </cell>
          <cell r="E178">
            <v>550</v>
          </cell>
          <cell r="F178" t="str">
            <v xml:space="preserve"> 2015-2016</v>
          </cell>
          <cell r="G178" t="str">
            <v xml:space="preserve"> 11/15/2015</v>
          </cell>
          <cell r="H178">
            <v>126295</v>
          </cell>
          <cell r="I178">
            <v>2690</v>
          </cell>
          <cell r="J178">
            <v>7373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-1760</v>
          </cell>
          <cell r="R178">
            <v>0</v>
          </cell>
          <cell r="S178">
            <v>576</v>
          </cell>
          <cell r="T178">
            <v>0</v>
          </cell>
          <cell r="U178">
            <v>0</v>
          </cell>
          <cell r="V178" t="str">
            <v xml:space="preserve"> </v>
          </cell>
          <cell r="W178">
            <v>135174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76113</v>
          </cell>
          <cell r="AC178">
            <v>1846</v>
          </cell>
          <cell r="AD178">
            <v>4060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-1760</v>
          </cell>
          <cell r="AL178">
            <v>0</v>
          </cell>
          <cell r="AM178">
            <v>485</v>
          </cell>
          <cell r="AN178">
            <v>0</v>
          </cell>
          <cell r="AO178">
            <v>0</v>
          </cell>
          <cell r="AP178">
            <v>80744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 t="str">
            <v xml:space="preserve"> </v>
          </cell>
          <cell r="AV178" t="str">
            <v xml:space="preserve"> </v>
          </cell>
          <cell r="AW178" t="str">
            <v xml:space="preserve"> </v>
          </cell>
        </row>
        <row r="179">
          <cell r="C179" t="str">
            <v xml:space="preserve"> SAN JOAQUIN DELTA </v>
          </cell>
          <cell r="D179" t="str">
            <v xml:space="preserve"> CALAVERAS         </v>
          </cell>
          <cell r="E179">
            <v>550</v>
          </cell>
          <cell r="F179" t="str">
            <v xml:space="preserve"> 2015-2016</v>
          </cell>
          <cell r="G179" t="str">
            <v xml:space="preserve"> 11/15/2015</v>
          </cell>
          <cell r="H179">
            <v>985197</v>
          </cell>
          <cell r="I179">
            <v>17576</v>
          </cell>
          <cell r="J179">
            <v>16541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1051</v>
          </cell>
          <cell r="R179">
            <v>64</v>
          </cell>
          <cell r="S179">
            <v>13492</v>
          </cell>
          <cell r="T179">
            <v>0</v>
          </cell>
          <cell r="U179">
            <v>196690</v>
          </cell>
          <cell r="V179" t="str">
            <v xml:space="preserve"> </v>
          </cell>
          <cell r="W179">
            <v>1230611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1039713</v>
          </cell>
          <cell r="AC179">
            <v>17000</v>
          </cell>
          <cell r="AD179">
            <v>16500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780</v>
          </cell>
          <cell r="AL179">
            <v>64</v>
          </cell>
          <cell r="AM179">
            <v>13300</v>
          </cell>
          <cell r="AN179">
            <v>0</v>
          </cell>
          <cell r="AO179">
            <v>232130</v>
          </cell>
          <cell r="AP179">
            <v>1319487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 t="str">
            <v xml:space="preserve"> </v>
          </cell>
          <cell r="AV179" t="str">
            <v xml:space="preserve"> </v>
          </cell>
          <cell r="AW179" t="str">
            <v xml:space="preserve"> </v>
          </cell>
        </row>
        <row r="180">
          <cell r="C180" t="str">
            <v xml:space="preserve"> SAN JOAQUIN DELTA </v>
          </cell>
          <cell r="D180" t="str">
            <v xml:space="preserve"> SACRAMENTO        </v>
          </cell>
          <cell r="E180">
            <v>550</v>
          </cell>
          <cell r="F180" t="str">
            <v xml:space="preserve"> 2015-2016</v>
          </cell>
          <cell r="G180" t="str">
            <v xml:space="preserve"> 11/15/2015</v>
          </cell>
          <cell r="H180">
            <v>830494</v>
          </cell>
          <cell r="I180">
            <v>14793</v>
          </cell>
          <cell r="J180">
            <v>35069</v>
          </cell>
          <cell r="K180">
            <v>5150</v>
          </cell>
          <cell r="L180">
            <v>2446</v>
          </cell>
          <cell r="M180">
            <v>0</v>
          </cell>
          <cell r="N180">
            <v>0</v>
          </cell>
          <cell r="O180">
            <v>28893</v>
          </cell>
          <cell r="P180">
            <v>0</v>
          </cell>
          <cell r="Q180">
            <v>0</v>
          </cell>
          <cell r="R180">
            <v>0</v>
          </cell>
          <cell r="S180">
            <v>10934</v>
          </cell>
          <cell r="T180">
            <v>0</v>
          </cell>
          <cell r="U180">
            <v>0</v>
          </cell>
          <cell r="V180" t="str">
            <v xml:space="preserve"> </v>
          </cell>
          <cell r="W180">
            <v>922629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844800</v>
          </cell>
          <cell r="AC180">
            <v>28833</v>
          </cell>
          <cell r="AD180">
            <v>26789</v>
          </cell>
          <cell r="AE180">
            <v>6819</v>
          </cell>
          <cell r="AF180">
            <v>3239</v>
          </cell>
          <cell r="AG180">
            <v>0</v>
          </cell>
          <cell r="AH180">
            <v>0</v>
          </cell>
          <cell r="AI180">
            <v>33711</v>
          </cell>
          <cell r="AJ180">
            <v>0</v>
          </cell>
          <cell r="AK180">
            <v>0</v>
          </cell>
          <cell r="AL180">
            <v>0</v>
          </cell>
          <cell r="AM180">
            <v>12007</v>
          </cell>
          <cell r="AN180">
            <v>0</v>
          </cell>
          <cell r="AO180">
            <v>0</v>
          </cell>
          <cell r="AP180">
            <v>949379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 t="str">
            <v xml:space="preserve"> </v>
          </cell>
          <cell r="AV180" t="str">
            <v xml:space="preserve"> </v>
          </cell>
          <cell r="AW180" t="str">
            <v xml:space="preserve"> </v>
          </cell>
        </row>
        <row r="181">
          <cell r="C181" t="str">
            <v xml:space="preserve"> SAN JOAQUIN DELTA </v>
          </cell>
          <cell r="D181" t="str">
            <v xml:space="preserve"> SAN JOAQUIN       </v>
          </cell>
          <cell r="E181">
            <v>550</v>
          </cell>
          <cell r="F181" t="str">
            <v xml:space="preserve"> 2015-2016</v>
          </cell>
          <cell r="G181" t="str">
            <v xml:space="preserve"> 11/15/2015</v>
          </cell>
          <cell r="H181">
            <v>18255442</v>
          </cell>
          <cell r="I181">
            <v>190220</v>
          </cell>
          <cell r="J181">
            <v>1103937</v>
          </cell>
          <cell r="K181">
            <v>241526</v>
          </cell>
          <cell r="L181">
            <v>114725</v>
          </cell>
          <cell r="M181">
            <v>0</v>
          </cell>
          <cell r="N181">
            <v>0</v>
          </cell>
          <cell r="O181">
            <v>858061</v>
          </cell>
          <cell r="P181">
            <v>15499</v>
          </cell>
          <cell r="Q181">
            <v>18779</v>
          </cell>
          <cell r="R181">
            <v>0</v>
          </cell>
          <cell r="S181">
            <v>204992</v>
          </cell>
          <cell r="T181">
            <v>57</v>
          </cell>
          <cell r="U181">
            <v>2020723</v>
          </cell>
          <cell r="V181" t="str">
            <v xml:space="preserve"> </v>
          </cell>
          <cell r="W181">
            <v>22782435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19449096</v>
          </cell>
          <cell r="AC181">
            <v>195926</v>
          </cell>
          <cell r="AD181">
            <v>1105689</v>
          </cell>
          <cell r="AE181">
            <v>307807</v>
          </cell>
          <cell r="AF181">
            <v>146208</v>
          </cell>
          <cell r="AG181">
            <v>0</v>
          </cell>
          <cell r="AH181">
            <v>0</v>
          </cell>
          <cell r="AI181">
            <v>48085</v>
          </cell>
          <cell r="AJ181">
            <v>0</v>
          </cell>
          <cell r="AK181">
            <v>18779</v>
          </cell>
          <cell r="AL181">
            <v>0</v>
          </cell>
          <cell r="AM181">
            <v>200881</v>
          </cell>
          <cell r="AN181">
            <v>0</v>
          </cell>
          <cell r="AO181">
            <v>4594977</v>
          </cell>
          <cell r="AP181">
            <v>25759641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 t="str">
            <v xml:space="preserve"> </v>
          </cell>
          <cell r="AV181" t="str">
            <v xml:space="preserve"> </v>
          </cell>
          <cell r="AW181" t="str">
            <v xml:space="preserve"> </v>
          </cell>
        </row>
        <row r="182">
          <cell r="C182" t="str">
            <v xml:space="preserve"> SAN JOAQUIN DELTA </v>
          </cell>
          <cell r="D182" t="str">
            <v xml:space="preserve"> SOLANO            </v>
          </cell>
          <cell r="E182">
            <v>550</v>
          </cell>
          <cell r="F182" t="str">
            <v xml:space="preserve"> 2015-2016</v>
          </cell>
          <cell r="G182" t="str">
            <v xml:space="preserve"> 11/15/2015</v>
          </cell>
          <cell r="H182">
            <v>1176173</v>
          </cell>
          <cell r="I182">
            <v>20473</v>
          </cell>
          <cell r="J182">
            <v>74119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55191</v>
          </cell>
          <cell r="P182">
            <v>2505</v>
          </cell>
          <cell r="Q182">
            <v>-13307</v>
          </cell>
          <cell r="R182">
            <v>0</v>
          </cell>
          <cell r="S182">
            <v>11986</v>
          </cell>
          <cell r="T182">
            <v>-8</v>
          </cell>
          <cell r="U182">
            <v>0</v>
          </cell>
          <cell r="V182" t="str">
            <v xml:space="preserve"> </v>
          </cell>
          <cell r="W182">
            <v>1327132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1175909</v>
          </cell>
          <cell r="AC182">
            <v>19279</v>
          </cell>
          <cell r="AD182">
            <v>68646</v>
          </cell>
          <cell r="AE182">
            <v>524</v>
          </cell>
          <cell r="AF182">
            <v>249</v>
          </cell>
          <cell r="AG182">
            <v>0</v>
          </cell>
          <cell r="AH182">
            <v>0</v>
          </cell>
          <cell r="AI182">
            <v>51233</v>
          </cell>
          <cell r="AJ182">
            <v>0</v>
          </cell>
          <cell r="AK182">
            <v>0</v>
          </cell>
          <cell r="AL182">
            <v>0</v>
          </cell>
          <cell r="AM182">
            <v>11150</v>
          </cell>
          <cell r="AN182">
            <v>0</v>
          </cell>
          <cell r="AO182">
            <v>0</v>
          </cell>
          <cell r="AP182">
            <v>1326466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 t="str">
            <v xml:space="preserve"> </v>
          </cell>
          <cell r="AV182" t="str">
            <v xml:space="preserve"> </v>
          </cell>
          <cell r="AW182" t="str">
            <v xml:space="preserve"> </v>
          </cell>
        </row>
        <row r="183">
          <cell r="C183" t="str">
            <v>SAN JOAQUIN DELTA Subtotal</v>
          </cell>
          <cell r="H183">
            <v>21373601</v>
          </cell>
          <cell r="I183">
            <v>245752</v>
          </cell>
          <cell r="J183">
            <v>1237039</v>
          </cell>
          <cell r="K183">
            <v>246676</v>
          </cell>
          <cell r="L183">
            <v>117171</v>
          </cell>
          <cell r="M183">
            <v>0</v>
          </cell>
          <cell r="N183">
            <v>0</v>
          </cell>
          <cell r="O183">
            <v>942145</v>
          </cell>
          <cell r="P183">
            <v>18004</v>
          </cell>
          <cell r="Q183">
            <v>4763</v>
          </cell>
          <cell r="R183">
            <v>64</v>
          </cell>
          <cell r="S183">
            <v>241980</v>
          </cell>
          <cell r="T183">
            <v>49</v>
          </cell>
          <cell r="U183">
            <v>2217413</v>
          </cell>
          <cell r="V183">
            <v>0</v>
          </cell>
          <cell r="W183">
            <v>26397981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22585631</v>
          </cell>
          <cell r="AC183">
            <v>262884</v>
          </cell>
          <cell r="AD183">
            <v>1221684</v>
          </cell>
          <cell r="AE183">
            <v>315150</v>
          </cell>
          <cell r="AF183">
            <v>149696</v>
          </cell>
          <cell r="AG183">
            <v>0</v>
          </cell>
          <cell r="AH183">
            <v>0</v>
          </cell>
          <cell r="AI183">
            <v>133029</v>
          </cell>
          <cell r="AJ183">
            <v>0</v>
          </cell>
          <cell r="AK183">
            <v>17799</v>
          </cell>
          <cell r="AL183">
            <v>64</v>
          </cell>
          <cell r="AM183">
            <v>237823</v>
          </cell>
          <cell r="AN183">
            <v>0</v>
          </cell>
          <cell r="AO183">
            <v>4827107</v>
          </cell>
          <cell r="AP183">
            <v>29435717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</row>
        <row r="185">
          <cell r="C185" t="str">
            <v xml:space="preserve"> SAN JOSE          </v>
          </cell>
          <cell r="D185" t="str">
            <v xml:space="preserve"> SANTA CLARA       </v>
          </cell>
          <cell r="E185">
            <v>470</v>
          </cell>
          <cell r="F185" t="str">
            <v xml:space="preserve"> 2015-2016</v>
          </cell>
          <cell r="G185" t="str">
            <v xml:space="preserve"> 11/15/2015</v>
          </cell>
          <cell r="H185">
            <v>67320287</v>
          </cell>
          <cell r="I185">
            <v>2782207</v>
          </cell>
          <cell r="J185">
            <v>5911482</v>
          </cell>
          <cell r="K185">
            <v>1563717</v>
          </cell>
          <cell r="L185">
            <v>742766</v>
          </cell>
          <cell r="M185">
            <v>0</v>
          </cell>
          <cell r="N185">
            <v>0</v>
          </cell>
          <cell r="O185">
            <v>1693148</v>
          </cell>
          <cell r="P185">
            <v>0</v>
          </cell>
          <cell r="Q185">
            <v>0</v>
          </cell>
          <cell r="R185">
            <v>0</v>
          </cell>
          <cell r="S185">
            <v>462037</v>
          </cell>
          <cell r="T185">
            <v>0</v>
          </cell>
          <cell r="U185">
            <v>0</v>
          </cell>
          <cell r="V185" t="str">
            <v xml:space="preserve"> </v>
          </cell>
          <cell r="W185">
            <v>78911927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71213075</v>
          </cell>
          <cell r="AC185">
            <v>1669000</v>
          </cell>
          <cell r="AD185">
            <v>6258000</v>
          </cell>
          <cell r="AE185">
            <v>1686141</v>
          </cell>
          <cell r="AF185">
            <v>800917</v>
          </cell>
          <cell r="AG185">
            <v>0</v>
          </cell>
          <cell r="AH185">
            <v>0</v>
          </cell>
          <cell r="AI185">
            <v>1646770</v>
          </cell>
          <cell r="AJ185">
            <v>0</v>
          </cell>
          <cell r="AK185">
            <v>0</v>
          </cell>
          <cell r="AL185">
            <v>0</v>
          </cell>
          <cell r="AM185">
            <v>446340</v>
          </cell>
          <cell r="AN185">
            <v>0</v>
          </cell>
          <cell r="AO185">
            <v>0</v>
          </cell>
          <cell r="AP185">
            <v>82034102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 t="str">
            <v xml:space="preserve"> </v>
          </cell>
          <cell r="AV185" t="str">
            <v xml:space="preserve"> </v>
          </cell>
          <cell r="AW185" t="str">
            <v xml:space="preserve"> </v>
          </cell>
        </row>
        <row r="186">
          <cell r="C186" t="str">
            <v xml:space="preserve">SAN JOSE Subtotal    </v>
          </cell>
          <cell r="H186">
            <v>67320287</v>
          </cell>
          <cell r="I186">
            <v>2782207</v>
          </cell>
          <cell r="J186">
            <v>5911482</v>
          </cell>
          <cell r="K186">
            <v>1563717</v>
          </cell>
          <cell r="L186">
            <v>742766</v>
          </cell>
          <cell r="M186">
            <v>0</v>
          </cell>
          <cell r="N186">
            <v>0</v>
          </cell>
          <cell r="O186">
            <v>1693148</v>
          </cell>
          <cell r="P186">
            <v>0</v>
          </cell>
          <cell r="Q186">
            <v>0</v>
          </cell>
          <cell r="R186">
            <v>0</v>
          </cell>
          <cell r="S186">
            <v>462037</v>
          </cell>
          <cell r="T186">
            <v>0</v>
          </cell>
          <cell r="U186">
            <v>0</v>
          </cell>
          <cell r="V186">
            <v>0</v>
          </cell>
          <cell r="W186">
            <v>78911927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71213075</v>
          </cell>
          <cell r="AC186">
            <v>1669000</v>
          </cell>
          <cell r="AD186">
            <v>6258000</v>
          </cell>
          <cell r="AE186">
            <v>1686141</v>
          </cell>
          <cell r="AF186">
            <v>800917</v>
          </cell>
          <cell r="AG186">
            <v>0</v>
          </cell>
          <cell r="AH186">
            <v>0</v>
          </cell>
          <cell r="AI186">
            <v>1646770</v>
          </cell>
          <cell r="AJ186">
            <v>0</v>
          </cell>
          <cell r="AK186">
            <v>0</v>
          </cell>
          <cell r="AL186">
            <v>0</v>
          </cell>
          <cell r="AM186">
            <v>446340</v>
          </cell>
          <cell r="AN186">
            <v>0</v>
          </cell>
          <cell r="AO186">
            <v>0</v>
          </cell>
          <cell r="AP186">
            <v>82034102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</row>
        <row r="188">
          <cell r="C188" t="str">
            <v xml:space="preserve"> SAN LUIS OBISPO   </v>
          </cell>
          <cell r="D188" t="str">
            <v xml:space="preserve"> MONTEREY          </v>
          </cell>
          <cell r="E188">
            <v>640</v>
          </cell>
          <cell r="F188" t="str">
            <v xml:space="preserve"> 2015-2016</v>
          </cell>
          <cell r="G188" t="str">
            <v xml:space="preserve"> 11/15/2015</v>
          </cell>
          <cell r="H188">
            <v>183595</v>
          </cell>
          <cell r="I188">
            <v>3517</v>
          </cell>
          <cell r="J188">
            <v>7465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2687</v>
          </cell>
          <cell r="R188">
            <v>0</v>
          </cell>
          <cell r="S188">
            <v>1096</v>
          </cell>
          <cell r="T188">
            <v>0</v>
          </cell>
          <cell r="U188">
            <v>0</v>
          </cell>
          <cell r="V188" t="str">
            <v xml:space="preserve"> </v>
          </cell>
          <cell r="W188">
            <v>198360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205047</v>
          </cell>
          <cell r="AC188">
            <v>2110</v>
          </cell>
          <cell r="AD188">
            <v>8340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1612</v>
          </cell>
          <cell r="AL188">
            <v>0</v>
          </cell>
          <cell r="AM188">
            <v>1192</v>
          </cell>
          <cell r="AN188">
            <v>0</v>
          </cell>
          <cell r="AO188">
            <v>0</v>
          </cell>
          <cell r="AP188">
            <v>218301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 t="str">
            <v xml:space="preserve"> </v>
          </cell>
          <cell r="AV188" t="str">
            <v xml:space="preserve"> </v>
          </cell>
          <cell r="AW188" t="str">
            <v xml:space="preserve"> </v>
          </cell>
        </row>
        <row r="189">
          <cell r="C189" t="str">
            <v xml:space="preserve"> SAN LUIS OBISPO   </v>
          </cell>
          <cell r="D189" t="str">
            <v xml:space="preserve"> SAN LUIS OBISPO   </v>
          </cell>
          <cell r="E189">
            <v>640</v>
          </cell>
          <cell r="F189" t="str">
            <v xml:space="preserve"> 2015-2016</v>
          </cell>
          <cell r="G189" t="str">
            <v xml:space="preserve"> 11/15/2015</v>
          </cell>
          <cell r="H189">
            <v>30410315</v>
          </cell>
          <cell r="I189">
            <v>706688</v>
          </cell>
          <cell r="J189">
            <v>736344</v>
          </cell>
          <cell r="K189">
            <v>284293</v>
          </cell>
          <cell r="L189">
            <v>135039</v>
          </cell>
          <cell r="M189">
            <v>0</v>
          </cell>
          <cell r="N189">
            <v>0</v>
          </cell>
          <cell r="O189">
            <v>211369</v>
          </cell>
          <cell r="P189">
            <v>0</v>
          </cell>
          <cell r="Q189">
            <v>-15952</v>
          </cell>
          <cell r="R189">
            <v>0</v>
          </cell>
          <cell r="S189">
            <v>231037</v>
          </cell>
          <cell r="T189">
            <v>0</v>
          </cell>
          <cell r="U189">
            <v>353740</v>
          </cell>
          <cell r="V189" t="str">
            <v xml:space="preserve"> </v>
          </cell>
          <cell r="W189">
            <v>32768580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33020021</v>
          </cell>
          <cell r="AC189">
            <v>706688</v>
          </cell>
          <cell r="AD189">
            <v>759558</v>
          </cell>
          <cell r="AE189">
            <v>128397</v>
          </cell>
          <cell r="AF189">
            <v>60989</v>
          </cell>
          <cell r="AG189">
            <v>0</v>
          </cell>
          <cell r="AH189">
            <v>0</v>
          </cell>
          <cell r="AI189">
            <v>229884</v>
          </cell>
          <cell r="AJ189">
            <v>0</v>
          </cell>
          <cell r="AK189">
            <v>-19773</v>
          </cell>
          <cell r="AL189">
            <v>0</v>
          </cell>
          <cell r="AM189">
            <v>227912</v>
          </cell>
          <cell r="AN189">
            <v>0</v>
          </cell>
          <cell r="AO189">
            <v>1228738</v>
          </cell>
          <cell r="AP189">
            <v>36214017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 t="str">
            <v xml:space="preserve"> </v>
          </cell>
          <cell r="AV189" t="str">
            <v xml:space="preserve"> </v>
          </cell>
          <cell r="AW189" t="str">
            <v xml:space="preserve"> </v>
          </cell>
        </row>
        <row r="190">
          <cell r="C190" t="str">
            <v>SAN LUIS OBISPO Subtotal</v>
          </cell>
          <cell r="H190">
            <v>30593910</v>
          </cell>
          <cell r="I190">
            <v>710205</v>
          </cell>
          <cell r="J190">
            <v>743809</v>
          </cell>
          <cell r="K190">
            <v>284293</v>
          </cell>
          <cell r="L190">
            <v>135039</v>
          </cell>
          <cell r="M190">
            <v>0</v>
          </cell>
          <cell r="N190">
            <v>0</v>
          </cell>
          <cell r="O190">
            <v>211369</v>
          </cell>
          <cell r="P190">
            <v>0</v>
          </cell>
          <cell r="Q190">
            <v>-13265</v>
          </cell>
          <cell r="R190">
            <v>0</v>
          </cell>
          <cell r="S190">
            <v>232133</v>
          </cell>
          <cell r="T190">
            <v>0</v>
          </cell>
          <cell r="U190">
            <v>353740</v>
          </cell>
          <cell r="V190">
            <v>0</v>
          </cell>
          <cell r="W190">
            <v>32966940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33225068</v>
          </cell>
          <cell r="AC190">
            <v>708798</v>
          </cell>
          <cell r="AD190">
            <v>767898</v>
          </cell>
          <cell r="AE190">
            <v>128397</v>
          </cell>
          <cell r="AF190">
            <v>60989</v>
          </cell>
          <cell r="AG190">
            <v>0</v>
          </cell>
          <cell r="AH190">
            <v>0</v>
          </cell>
          <cell r="AI190">
            <v>229884</v>
          </cell>
          <cell r="AJ190">
            <v>0</v>
          </cell>
          <cell r="AK190">
            <v>-18161</v>
          </cell>
          <cell r="AL190">
            <v>0</v>
          </cell>
          <cell r="AM190">
            <v>229104</v>
          </cell>
          <cell r="AN190">
            <v>0</v>
          </cell>
          <cell r="AO190">
            <v>1228738</v>
          </cell>
          <cell r="AP190">
            <v>36432318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</row>
        <row r="192">
          <cell r="C192" t="str">
            <v xml:space="preserve"> SAN MATEO         </v>
          </cell>
          <cell r="D192" t="str">
            <v xml:space="preserve"> SAN MATEO         </v>
          </cell>
          <cell r="E192">
            <v>370</v>
          </cell>
          <cell r="F192" t="str">
            <v xml:space="preserve"> 2015-2016</v>
          </cell>
          <cell r="G192" t="str">
            <v xml:space="preserve"> 11/15/2015</v>
          </cell>
          <cell r="H192">
            <v>100167215</v>
          </cell>
          <cell r="I192">
            <v>3381066</v>
          </cell>
          <cell r="J192">
            <v>5161836</v>
          </cell>
          <cell r="K192">
            <v>507640</v>
          </cell>
          <cell r="L192">
            <v>241129</v>
          </cell>
          <cell r="M192">
            <v>0</v>
          </cell>
          <cell r="N192">
            <v>0</v>
          </cell>
          <cell r="O192">
            <v>4726520</v>
          </cell>
          <cell r="P192">
            <v>340154</v>
          </cell>
          <cell r="Q192">
            <v>-22057</v>
          </cell>
          <cell r="R192">
            <v>8380</v>
          </cell>
          <cell r="S192">
            <v>619015</v>
          </cell>
          <cell r="T192">
            <v>0</v>
          </cell>
          <cell r="U192">
            <v>0</v>
          </cell>
          <cell r="V192" t="str">
            <v xml:space="preserve"> </v>
          </cell>
          <cell r="W192">
            <v>114623258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107547399</v>
          </cell>
          <cell r="AC192">
            <v>3904646</v>
          </cell>
          <cell r="AD192">
            <v>5346948</v>
          </cell>
          <cell r="AE192">
            <v>525594</v>
          </cell>
          <cell r="AF192">
            <v>249657</v>
          </cell>
          <cell r="AG192">
            <v>0</v>
          </cell>
          <cell r="AH192">
            <v>0</v>
          </cell>
          <cell r="AI192">
            <v>4703246</v>
          </cell>
          <cell r="AJ192">
            <v>0</v>
          </cell>
          <cell r="AK192">
            <v>102313</v>
          </cell>
          <cell r="AL192">
            <v>0</v>
          </cell>
          <cell r="AM192">
            <v>602326</v>
          </cell>
          <cell r="AN192">
            <v>0</v>
          </cell>
          <cell r="AO192">
            <v>0</v>
          </cell>
          <cell r="AP192">
            <v>122456535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 t="str">
            <v xml:space="preserve"> </v>
          </cell>
          <cell r="AV192" t="str">
            <v xml:space="preserve"> </v>
          </cell>
          <cell r="AW192" t="str">
            <v xml:space="preserve"> </v>
          </cell>
        </row>
        <row r="193">
          <cell r="C193" t="str">
            <v xml:space="preserve">SAN MATEO Subtotal         </v>
          </cell>
          <cell r="H193">
            <v>100167215</v>
          </cell>
          <cell r="I193">
            <v>3381066</v>
          </cell>
          <cell r="J193">
            <v>5161836</v>
          </cell>
          <cell r="K193">
            <v>507640</v>
          </cell>
          <cell r="L193">
            <v>241129</v>
          </cell>
          <cell r="M193">
            <v>0</v>
          </cell>
          <cell r="N193">
            <v>0</v>
          </cell>
          <cell r="O193">
            <v>4726520</v>
          </cell>
          <cell r="P193">
            <v>340154</v>
          </cell>
          <cell r="Q193">
            <v>-22057</v>
          </cell>
          <cell r="R193">
            <v>8380</v>
          </cell>
          <cell r="S193">
            <v>619015</v>
          </cell>
          <cell r="T193">
            <v>0</v>
          </cell>
          <cell r="U193">
            <v>0</v>
          </cell>
          <cell r="V193">
            <v>0</v>
          </cell>
          <cell r="W193">
            <v>114623258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107547399</v>
          </cell>
          <cell r="AC193">
            <v>3904646</v>
          </cell>
          <cell r="AD193">
            <v>5346948</v>
          </cell>
          <cell r="AE193">
            <v>525594</v>
          </cell>
          <cell r="AF193">
            <v>249657</v>
          </cell>
          <cell r="AG193">
            <v>0</v>
          </cell>
          <cell r="AH193">
            <v>0</v>
          </cell>
          <cell r="AI193">
            <v>4703246</v>
          </cell>
          <cell r="AJ193">
            <v>0</v>
          </cell>
          <cell r="AK193">
            <v>102313</v>
          </cell>
          <cell r="AL193">
            <v>0</v>
          </cell>
          <cell r="AM193">
            <v>602326</v>
          </cell>
          <cell r="AN193">
            <v>0</v>
          </cell>
          <cell r="AO193">
            <v>0</v>
          </cell>
          <cell r="AP193">
            <v>122456535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5">
          <cell r="C195" t="str">
            <v xml:space="preserve"> SANTA BARBARA     </v>
          </cell>
          <cell r="D195" t="str">
            <v xml:space="preserve"> SANTA BARBARA     </v>
          </cell>
          <cell r="E195">
            <v>650</v>
          </cell>
          <cell r="F195" t="str">
            <v xml:space="preserve"> 2015-2016</v>
          </cell>
          <cell r="G195" t="str">
            <v xml:space="preserve"> 11/15/2015</v>
          </cell>
          <cell r="H195">
            <v>23244718</v>
          </cell>
          <cell r="I195">
            <v>414696</v>
          </cell>
          <cell r="J195">
            <v>1096915</v>
          </cell>
          <cell r="K195">
            <v>67244</v>
          </cell>
          <cell r="L195">
            <v>31941</v>
          </cell>
          <cell r="M195">
            <v>0</v>
          </cell>
          <cell r="N195">
            <v>0</v>
          </cell>
          <cell r="O195">
            <v>1008574</v>
          </cell>
          <cell r="P195">
            <v>0</v>
          </cell>
          <cell r="Q195">
            <v>-189127</v>
          </cell>
          <cell r="R195">
            <v>0</v>
          </cell>
          <cell r="S195">
            <v>150050</v>
          </cell>
          <cell r="T195">
            <v>0</v>
          </cell>
          <cell r="U195">
            <v>0</v>
          </cell>
          <cell r="V195" t="str">
            <v xml:space="preserve"> </v>
          </cell>
          <cell r="W195">
            <v>25757767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24312165</v>
          </cell>
          <cell r="AC195">
            <v>414696</v>
          </cell>
          <cell r="AD195">
            <v>998601</v>
          </cell>
          <cell r="AE195">
            <v>70453</v>
          </cell>
          <cell r="AF195">
            <v>33465</v>
          </cell>
          <cell r="AG195">
            <v>0</v>
          </cell>
          <cell r="AH195">
            <v>0</v>
          </cell>
          <cell r="AI195">
            <v>1054916</v>
          </cell>
          <cell r="AJ195">
            <v>0</v>
          </cell>
          <cell r="AK195">
            <v>-52524</v>
          </cell>
          <cell r="AL195">
            <v>0</v>
          </cell>
          <cell r="AM195">
            <v>148004</v>
          </cell>
          <cell r="AN195">
            <v>0</v>
          </cell>
          <cell r="AO195">
            <v>0</v>
          </cell>
          <cell r="AP195">
            <v>26909323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 t="str">
            <v xml:space="preserve"> </v>
          </cell>
          <cell r="AV195" t="str">
            <v xml:space="preserve"> </v>
          </cell>
          <cell r="AW195" t="str">
            <v xml:space="preserve"> </v>
          </cell>
        </row>
        <row r="196">
          <cell r="C196" t="str">
            <v xml:space="preserve">SANTA BARBARA Subtotal   </v>
          </cell>
          <cell r="H196">
            <v>23244718</v>
          </cell>
          <cell r="I196">
            <v>414696</v>
          </cell>
          <cell r="J196">
            <v>1096915</v>
          </cell>
          <cell r="K196">
            <v>67244</v>
          </cell>
          <cell r="L196">
            <v>31941</v>
          </cell>
          <cell r="M196">
            <v>0</v>
          </cell>
          <cell r="N196">
            <v>0</v>
          </cell>
          <cell r="O196">
            <v>1008574</v>
          </cell>
          <cell r="P196">
            <v>0</v>
          </cell>
          <cell r="Q196">
            <v>-189127</v>
          </cell>
          <cell r="R196">
            <v>0</v>
          </cell>
          <cell r="S196">
            <v>150050</v>
          </cell>
          <cell r="T196">
            <v>0</v>
          </cell>
          <cell r="U196">
            <v>0</v>
          </cell>
          <cell r="V196">
            <v>0</v>
          </cell>
          <cell r="W196">
            <v>25757767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24312165</v>
          </cell>
          <cell r="AC196">
            <v>414696</v>
          </cell>
          <cell r="AD196">
            <v>998601</v>
          </cell>
          <cell r="AE196">
            <v>70453</v>
          </cell>
          <cell r="AF196">
            <v>33465</v>
          </cell>
          <cell r="AG196">
            <v>0</v>
          </cell>
          <cell r="AH196">
            <v>0</v>
          </cell>
          <cell r="AI196">
            <v>1054916</v>
          </cell>
          <cell r="AJ196">
            <v>0</v>
          </cell>
          <cell r="AK196">
            <v>-52524</v>
          </cell>
          <cell r="AL196">
            <v>0</v>
          </cell>
          <cell r="AM196">
            <v>148004</v>
          </cell>
          <cell r="AN196">
            <v>0</v>
          </cell>
          <cell r="AO196">
            <v>0</v>
          </cell>
          <cell r="AP196">
            <v>26909323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8">
          <cell r="C198" t="str">
            <v xml:space="preserve"> SANTA CLARITA     </v>
          </cell>
          <cell r="D198" t="str">
            <v xml:space="preserve"> LOS ANGELES       </v>
          </cell>
          <cell r="E198">
            <v>660</v>
          </cell>
          <cell r="F198" t="str">
            <v xml:space="preserve"> 2015-2016</v>
          </cell>
          <cell r="G198" t="str">
            <v xml:space="preserve"> 11/15/2015</v>
          </cell>
          <cell r="H198">
            <v>13092561</v>
          </cell>
          <cell r="I198">
            <v>356276</v>
          </cell>
          <cell r="J198">
            <v>509826</v>
          </cell>
          <cell r="K198">
            <v>24436</v>
          </cell>
          <cell r="L198">
            <v>11607</v>
          </cell>
          <cell r="M198">
            <v>0</v>
          </cell>
          <cell r="N198">
            <v>0</v>
          </cell>
          <cell r="O198">
            <v>1639</v>
          </cell>
          <cell r="P198">
            <v>0</v>
          </cell>
          <cell r="Q198">
            <v>282684</v>
          </cell>
          <cell r="R198">
            <v>0</v>
          </cell>
          <cell r="S198">
            <v>100044</v>
          </cell>
          <cell r="T198">
            <v>0</v>
          </cell>
          <cell r="U198">
            <v>0</v>
          </cell>
          <cell r="V198" t="str">
            <v xml:space="preserve"> </v>
          </cell>
          <cell r="W198">
            <v>14354637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13803487</v>
          </cell>
          <cell r="AC198">
            <v>445345</v>
          </cell>
          <cell r="AD198">
            <v>510000</v>
          </cell>
          <cell r="AE198">
            <v>11842</v>
          </cell>
          <cell r="AF198">
            <v>5625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313501</v>
          </cell>
          <cell r="AL198">
            <v>0</v>
          </cell>
          <cell r="AM198">
            <v>100000</v>
          </cell>
          <cell r="AN198">
            <v>0</v>
          </cell>
          <cell r="AO198">
            <v>0</v>
          </cell>
          <cell r="AP198">
            <v>15177958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 t="str">
            <v xml:space="preserve"> </v>
          </cell>
          <cell r="AV198" t="str">
            <v xml:space="preserve"> </v>
          </cell>
          <cell r="AW198" t="str">
            <v xml:space="preserve"> </v>
          </cell>
        </row>
        <row r="199">
          <cell r="C199" t="str">
            <v xml:space="preserve">SANTA CLARITA Subtotal  </v>
          </cell>
          <cell r="H199">
            <v>13092561</v>
          </cell>
          <cell r="I199">
            <v>356276</v>
          </cell>
          <cell r="J199">
            <v>509826</v>
          </cell>
          <cell r="K199">
            <v>24436</v>
          </cell>
          <cell r="L199">
            <v>11607</v>
          </cell>
          <cell r="M199">
            <v>0</v>
          </cell>
          <cell r="N199">
            <v>0</v>
          </cell>
          <cell r="O199">
            <v>1639</v>
          </cell>
          <cell r="P199">
            <v>0</v>
          </cell>
          <cell r="Q199">
            <v>282684</v>
          </cell>
          <cell r="R199">
            <v>0</v>
          </cell>
          <cell r="S199">
            <v>100044</v>
          </cell>
          <cell r="T199">
            <v>0</v>
          </cell>
          <cell r="U199">
            <v>0</v>
          </cell>
          <cell r="V199">
            <v>0</v>
          </cell>
          <cell r="W199">
            <v>14354637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13803487</v>
          </cell>
          <cell r="AC199">
            <v>445345</v>
          </cell>
          <cell r="AD199">
            <v>510000</v>
          </cell>
          <cell r="AE199">
            <v>11842</v>
          </cell>
          <cell r="AF199">
            <v>5625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313501</v>
          </cell>
          <cell r="AL199">
            <v>0</v>
          </cell>
          <cell r="AM199">
            <v>100000</v>
          </cell>
          <cell r="AN199">
            <v>0</v>
          </cell>
          <cell r="AO199">
            <v>0</v>
          </cell>
          <cell r="AP199">
            <v>15177958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1">
          <cell r="C201" t="str">
            <v xml:space="preserve"> SANTA MONICA      </v>
          </cell>
          <cell r="D201" t="str">
            <v xml:space="preserve"> LOS ANGELES       </v>
          </cell>
          <cell r="E201">
            <v>780</v>
          </cell>
          <cell r="F201" t="str">
            <v xml:space="preserve"> 2015-2016</v>
          </cell>
          <cell r="G201" t="str">
            <v xml:space="preserve"> 11/15/2015</v>
          </cell>
          <cell r="H201">
            <v>12711869</v>
          </cell>
          <cell r="I201">
            <v>347025</v>
          </cell>
          <cell r="J201">
            <v>520962</v>
          </cell>
          <cell r="K201">
            <v>1079357</v>
          </cell>
          <cell r="L201">
            <v>512695</v>
          </cell>
          <cell r="M201">
            <v>0</v>
          </cell>
          <cell r="N201">
            <v>0</v>
          </cell>
          <cell r="O201">
            <v>1442071</v>
          </cell>
          <cell r="P201">
            <v>1812575</v>
          </cell>
          <cell r="Q201">
            <v>489691</v>
          </cell>
          <cell r="R201">
            <v>0</v>
          </cell>
          <cell r="S201">
            <v>97865</v>
          </cell>
          <cell r="T201">
            <v>0</v>
          </cell>
          <cell r="U201">
            <v>1630112</v>
          </cell>
          <cell r="V201" t="str">
            <v xml:space="preserve"> </v>
          </cell>
          <cell r="W201">
            <v>19564865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13451700</v>
          </cell>
          <cell r="AC201">
            <v>433781</v>
          </cell>
          <cell r="AD201">
            <v>521000</v>
          </cell>
          <cell r="AE201">
            <v>464613</v>
          </cell>
          <cell r="AF201">
            <v>220691</v>
          </cell>
          <cell r="AG201">
            <v>0</v>
          </cell>
          <cell r="AH201">
            <v>0</v>
          </cell>
          <cell r="AI201">
            <v>413987</v>
          </cell>
          <cell r="AJ201">
            <v>0</v>
          </cell>
          <cell r="AK201">
            <v>448317</v>
          </cell>
          <cell r="AL201">
            <v>0</v>
          </cell>
          <cell r="AM201">
            <v>97900</v>
          </cell>
          <cell r="AN201">
            <v>0</v>
          </cell>
          <cell r="AO201">
            <v>0</v>
          </cell>
          <cell r="AP201">
            <v>15587376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 t="str">
            <v xml:space="preserve"> </v>
          </cell>
          <cell r="AV201" t="str">
            <v xml:space="preserve"> </v>
          </cell>
          <cell r="AW201" t="str">
            <v xml:space="preserve"> </v>
          </cell>
        </row>
        <row r="202">
          <cell r="C202" t="str">
            <v xml:space="preserve">SANTA MONICA Subtotal    </v>
          </cell>
          <cell r="H202">
            <v>12711869</v>
          </cell>
          <cell r="I202">
            <v>347025</v>
          </cell>
          <cell r="J202">
            <v>520962</v>
          </cell>
          <cell r="K202">
            <v>1079357</v>
          </cell>
          <cell r="L202">
            <v>512695</v>
          </cell>
          <cell r="M202">
            <v>0</v>
          </cell>
          <cell r="N202">
            <v>0</v>
          </cell>
          <cell r="O202">
            <v>1442071</v>
          </cell>
          <cell r="P202">
            <v>1812575</v>
          </cell>
          <cell r="Q202">
            <v>489691</v>
          </cell>
          <cell r="R202">
            <v>0</v>
          </cell>
          <cell r="S202">
            <v>97865</v>
          </cell>
          <cell r="T202">
            <v>0</v>
          </cell>
          <cell r="U202">
            <v>1630112</v>
          </cell>
          <cell r="V202">
            <v>0</v>
          </cell>
          <cell r="W202">
            <v>19564865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13451700</v>
          </cell>
          <cell r="AC202">
            <v>433781</v>
          </cell>
          <cell r="AD202">
            <v>521000</v>
          </cell>
          <cell r="AE202">
            <v>464613</v>
          </cell>
          <cell r="AF202">
            <v>220691</v>
          </cell>
          <cell r="AG202">
            <v>0</v>
          </cell>
          <cell r="AH202">
            <v>0</v>
          </cell>
          <cell r="AI202">
            <v>413987</v>
          </cell>
          <cell r="AJ202">
            <v>0</v>
          </cell>
          <cell r="AK202">
            <v>448317</v>
          </cell>
          <cell r="AL202">
            <v>0</v>
          </cell>
          <cell r="AM202">
            <v>97900</v>
          </cell>
          <cell r="AN202">
            <v>0</v>
          </cell>
          <cell r="AO202">
            <v>0</v>
          </cell>
          <cell r="AP202">
            <v>15587376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4">
          <cell r="C204" t="str">
            <v xml:space="preserve"> SEQUOIAS          </v>
          </cell>
          <cell r="D204" t="str">
            <v xml:space="preserve"> FRESNO            </v>
          </cell>
          <cell r="E204">
            <v>560</v>
          </cell>
          <cell r="F204" t="str">
            <v xml:space="preserve"> 2015-2016</v>
          </cell>
          <cell r="G204" t="str">
            <v xml:space="preserve"> 11/15/2015</v>
          </cell>
          <cell r="H204">
            <v>24833</v>
          </cell>
          <cell r="I204">
            <v>369</v>
          </cell>
          <cell r="J204">
            <v>1129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166</v>
          </cell>
          <cell r="R204">
            <v>0</v>
          </cell>
          <cell r="S204">
            <v>302</v>
          </cell>
          <cell r="T204">
            <v>0</v>
          </cell>
          <cell r="U204">
            <v>-4123</v>
          </cell>
          <cell r="V204" t="str">
            <v xml:space="preserve"> </v>
          </cell>
          <cell r="W204">
            <v>22676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25329</v>
          </cell>
          <cell r="AC204">
            <v>369</v>
          </cell>
          <cell r="AD204">
            <v>1129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166</v>
          </cell>
          <cell r="AL204">
            <v>0</v>
          </cell>
          <cell r="AM204">
            <v>302</v>
          </cell>
          <cell r="AN204">
            <v>0</v>
          </cell>
          <cell r="AO204">
            <v>-1737</v>
          </cell>
          <cell r="AP204">
            <v>25558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 t="str">
            <v xml:space="preserve"> </v>
          </cell>
          <cell r="AV204" t="str">
            <v xml:space="preserve"> </v>
          </cell>
          <cell r="AW204" t="str">
            <v xml:space="preserve"> </v>
          </cell>
        </row>
        <row r="205">
          <cell r="C205" t="str">
            <v xml:space="preserve"> SEQUOIAS          </v>
          </cell>
          <cell r="D205" t="str">
            <v xml:space="preserve"> KINGS             </v>
          </cell>
          <cell r="E205">
            <v>560</v>
          </cell>
          <cell r="F205" t="str">
            <v xml:space="preserve"> 2015-2016</v>
          </cell>
          <cell r="G205" t="str">
            <v xml:space="preserve"> 11/15/2015</v>
          </cell>
          <cell r="H205">
            <v>2483139</v>
          </cell>
          <cell r="I205">
            <v>32693</v>
          </cell>
          <cell r="J205">
            <v>114610</v>
          </cell>
          <cell r="K205">
            <v>27643</v>
          </cell>
          <cell r="L205">
            <v>13130</v>
          </cell>
          <cell r="M205">
            <v>0</v>
          </cell>
          <cell r="N205">
            <v>0</v>
          </cell>
          <cell r="O205">
            <v>99950</v>
          </cell>
          <cell r="P205">
            <v>7632</v>
          </cell>
          <cell r="Q205">
            <v>28199</v>
          </cell>
          <cell r="R205">
            <v>0</v>
          </cell>
          <cell r="S205">
            <v>31813</v>
          </cell>
          <cell r="T205">
            <v>0</v>
          </cell>
          <cell r="U205">
            <v>-1234806</v>
          </cell>
          <cell r="V205" t="str">
            <v xml:space="preserve"> </v>
          </cell>
          <cell r="W205">
            <v>1576360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2666827</v>
          </cell>
          <cell r="AC205">
            <v>15000</v>
          </cell>
          <cell r="AD205">
            <v>119000</v>
          </cell>
          <cell r="AE205">
            <v>28000</v>
          </cell>
          <cell r="AF205">
            <v>13300</v>
          </cell>
          <cell r="AG205">
            <v>0</v>
          </cell>
          <cell r="AH205">
            <v>0</v>
          </cell>
          <cell r="AI205">
            <v>99950</v>
          </cell>
          <cell r="AJ205">
            <v>0</v>
          </cell>
          <cell r="AK205">
            <v>29000</v>
          </cell>
          <cell r="AL205">
            <v>0</v>
          </cell>
          <cell r="AM205">
            <v>31040</v>
          </cell>
          <cell r="AN205">
            <v>0</v>
          </cell>
          <cell r="AO205">
            <v>-1099430</v>
          </cell>
          <cell r="AP205">
            <v>1874687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 t="str">
            <v xml:space="preserve"> </v>
          </cell>
          <cell r="AV205" t="str">
            <v xml:space="preserve"> </v>
          </cell>
          <cell r="AW205" t="str">
            <v xml:space="preserve"> </v>
          </cell>
        </row>
        <row r="206">
          <cell r="C206" t="str">
            <v xml:space="preserve"> SEQUOIAS          </v>
          </cell>
          <cell r="D206" t="str">
            <v xml:space="preserve"> TULARE            </v>
          </cell>
          <cell r="E206">
            <v>560</v>
          </cell>
          <cell r="F206" t="str">
            <v xml:space="preserve"> 2015-2016</v>
          </cell>
          <cell r="G206" t="str">
            <v xml:space="preserve"> 11/15/2015</v>
          </cell>
          <cell r="H206">
            <v>9705277</v>
          </cell>
          <cell r="I206">
            <v>104428</v>
          </cell>
          <cell r="J206">
            <v>574431</v>
          </cell>
          <cell r="K206">
            <v>137381</v>
          </cell>
          <cell r="L206">
            <v>65256</v>
          </cell>
          <cell r="M206">
            <v>0</v>
          </cell>
          <cell r="N206">
            <v>0</v>
          </cell>
          <cell r="O206">
            <v>520919</v>
          </cell>
          <cell r="P206">
            <v>5253</v>
          </cell>
          <cell r="Q206">
            <v>346534</v>
          </cell>
          <cell r="R206">
            <v>37</v>
          </cell>
          <cell r="S206">
            <v>115269</v>
          </cell>
          <cell r="T206">
            <v>0</v>
          </cell>
          <cell r="U206">
            <v>-1562563</v>
          </cell>
          <cell r="V206" t="str">
            <v xml:space="preserve"> </v>
          </cell>
          <cell r="W206">
            <v>9874841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10224990</v>
          </cell>
          <cell r="AC206">
            <v>29438</v>
          </cell>
          <cell r="AD206">
            <v>256898</v>
          </cell>
          <cell r="AE206">
            <v>137381</v>
          </cell>
          <cell r="AF206">
            <v>65256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109842</v>
          </cell>
          <cell r="AN206">
            <v>0</v>
          </cell>
          <cell r="AO206">
            <v>-1170553</v>
          </cell>
          <cell r="AP206">
            <v>9515871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 t="str">
            <v xml:space="preserve"> </v>
          </cell>
          <cell r="AV206" t="str">
            <v xml:space="preserve"> </v>
          </cell>
          <cell r="AW206" t="str">
            <v xml:space="preserve"> </v>
          </cell>
        </row>
        <row r="207">
          <cell r="C207" t="str">
            <v xml:space="preserve">SEQUOIAS Subtotal         </v>
          </cell>
          <cell r="H207">
            <v>12213249</v>
          </cell>
          <cell r="I207">
            <v>137490</v>
          </cell>
          <cell r="J207">
            <v>690170</v>
          </cell>
          <cell r="K207">
            <v>165024</v>
          </cell>
          <cell r="L207">
            <v>78386</v>
          </cell>
          <cell r="M207">
            <v>0</v>
          </cell>
          <cell r="N207">
            <v>0</v>
          </cell>
          <cell r="O207">
            <v>620869</v>
          </cell>
          <cell r="P207">
            <v>12885</v>
          </cell>
          <cell r="Q207">
            <v>374899</v>
          </cell>
          <cell r="R207">
            <v>37</v>
          </cell>
          <cell r="S207">
            <v>147384</v>
          </cell>
          <cell r="T207">
            <v>0</v>
          </cell>
          <cell r="U207">
            <v>-2801492</v>
          </cell>
          <cell r="V207">
            <v>0</v>
          </cell>
          <cell r="W207">
            <v>11473877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12917146</v>
          </cell>
          <cell r="AC207">
            <v>44807</v>
          </cell>
          <cell r="AD207">
            <v>377027</v>
          </cell>
          <cell r="AE207">
            <v>165381</v>
          </cell>
          <cell r="AF207">
            <v>78556</v>
          </cell>
          <cell r="AG207">
            <v>0</v>
          </cell>
          <cell r="AH207">
            <v>0</v>
          </cell>
          <cell r="AI207">
            <v>99950</v>
          </cell>
          <cell r="AJ207">
            <v>0</v>
          </cell>
          <cell r="AK207">
            <v>29166</v>
          </cell>
          <cell r="AL207">
            <v>0</v>
          </cell>
          <cell r="AM207">
            <v>141184</v>
          </cell>
          <cell r="AN207">
            <v>0</v>
          </cell>
          <cell r="AO207">
            <v>-2271720</v>
          </cell>
          <cell r="AP207">
            <v>11416116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9">
          <cell r="C209" t="str">
            <v xml:space="preserve"> SHASTA            </v>
          </cell>
          <cell r="D209" t="str">
            <v xml:space="preserve"> HUMBOLDT          </v>
          </cell>
          <cell r="E209">
            <v>170</v>
          </cell>
          <cell r="F209" t="str">
            <v xml:space="preserve"> 2015-2016</v>
          </cell>
          <cell r="G209" t="str">
            <v xml:space="preserve"> 11/15/2015</v>
          </cell>
          <cell r="H209">
            <v>19420</v>
          </cell>
          <cell r="I209">
            <v>150</v>
          </cell>
          <cell r="J209">
            <v>729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22</v>
          </cell>
          <cell r="R209">
            <v>140</v>
          </cell>
          <cell r="S209">
            <v>283</v>
          </cell>
          <cell r="T209">
            <v>0</v>
          </cell>
          <cell r="U209">
            <v>-1102</v>
          </cell>
          <cell r="V209" t="str">
            <v xml:space="preserve"> </v>
          </cell>
          <cell r="W209">
            <v>19642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21118</v>
          </cell>
          <cell r="AC209">
            <v>150</v>
          </cell>
          <cell r="AD209">
            <v>793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22</v>
          </cell>
          <cell r="AL209">
            <v>140</v>
          </cell>
          <cell r="AM209">
            <v>285</v>
          </cell>
          <cell r="AN209">
            <v>0</v>
          </cell>
          <cell r="AO209">
            <v>-1102</v>
          </cell>
          <cell r="AP209">
            <v>21406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 t="str">
            <v xml:space="preserve"> </v>
          </cell>
          <cell r="AV209" t="str">
            <v xml:space="preserve"> </v>
          </cell>
          <cell r="AW209" t="str">
            <v xml:space="preserve"> </v>
          </cell>
        </row>
        <row r="210">
          <cell r="C210" t="str">
            <v xml:space="preserve"> SHASTA            </v>
          </cell>
          <cell r="D210" t="str">
            <v xml:space="preserve"> LASSEN            </v>
          </cell>
          <cell r="E210">
            <v>170</v>
          </cell>
          <cell r="F210" t="str">
            <v xml:space="preserve"> 2015-2016</v>
          </cell>
          <cell r="G210" t="str">
            <v xml:space="preserve"> 11/15/2015</v>
          </cell>
          <cell r="H210">
            <v>78086</v>
          </cell>
          <cell r="I210">
            <v>242</v>
          </cell>
          <cell r="J210">
            <v>3918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27</v>
          </cell>
          <cell r="R210">
            <v>475</v>
          </cell>
          <cell r="S210">
            <v>1408</v>
          </cell>
          <cell r="T210">
            <v>0</v>
          </cell>
          <cell r="U210">
            <v>-17767</v>
          </cell>
          <cell r="V210" t="str">
            <v xml:space="preserve"> </v>
          </cell>
          <cell r="W210">
            <v>66389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76524</v>
          </cell>
          <cell r="AC210">
            <v>265</v>
          </cell>
          <cell r="AD210">
            <v>3840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26</v>
          </cell>
          <cell r="AL210">
            <v>452</v>
          </cell>
          <cell r="AM210">
            <v>1380</v>
          </cell>
          <cell r="AN210">
            <v>0</v>
          </cell>
          <cell r="AO210">
            <v>-16849</v>
          </cell>
          <cell r="AP210">
            <v>65638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 t="str">
            <v xml:space="preserve"> </v>
          </cell>
          <cell r="AV210" t="str">
            <v xml:space="preserve"> </v>
          </cell>
          <cell r="AW210" t="str">
            <v xml:space="preserve"> </v>
          </cell>
        </row>
        <row r="211">
          <cell r="C211" t="str">
            <v xml:space="preserve"> SHASTA            </v>
          </cell>
          <cell r="D211" t="str">
            <v xml:space="preserve"> MODOC             </v>
          </cell>
          <cell r="E211">
            <v>170</v>
          </cell>
          <cell r="F211" t="str">
            <v xml:space="preserve"> 2015-2016</v>
          </cell>
          <cell r="G211" t="str">
            <v xml:space="preserve"> 11/15/2015</v>
          </cell>
          <cell r="H211">
            <v>12132</v>
          </cell>
          <cell r="I211">
            <v>79</v>
          </cell>
          <cell r="J211">
            <v>496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1167</v>
          </cell>
          <cell r="R211">
            <v>31</v>
          </cell>
          <cell r="S211">
            <v>210</v>
          </cell>
          <cell r="T211">
            <v>0</v>
          </cell>
          <cell r="U211">
            <v>-830</v>
          </cell>
          <cell r="V211" t="str">
            <v xml:space="preserve"> </v>
          </cell>
          <cell r="W211">
            <v>13285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12100</v>
          </cell>
          <cell r="AC211">
            <v>80</v>
          </cell>
          <cell r="AD211">
            <v>495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1000</v>
          </cell>
          <cell r="AL211">
            <v>25</v>
          </cell>
          <cell r="AM211">
            <v>200</v>
          </cell>
          <cell r="AN211">
            <v>0</v>
          </cell>
          <cell r="AO211">
            <v>-691</v>
          </cell>
          <cell r="AP211">
            <v>13209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 t="str">
            <v xml:space="preserve"> </v>
          </cell>
          <cell r="AV211" t="str">
            <v xml:space="preserve"> </v>
          </cell>
          <cell r="AW211" t="str">
            <v xml:space="preserve"> </v>
          </cell>
        </row>
        <row r="212">
          <cell r="C212" t="str">
            <v xml:space="preserve"> SHASTA            </v>
          </cell>
          <cell r="D212" t="str">
            <v xml:space="preserve"> SHASTA            </v>
          </cell>
          <cell r="E212">
            <v>170</v>
          </cell>
          <cell r="F212" t="str">
            <v xml:space="preserve"> 2015-2016</v>
          </cell>
          <cell r="G212" t="str">
            <v xml:space="preserve"> 11/15/2015</v>
          </cell>
          <cell r="H212">
            <v>8794185</v>
          </cell>
          <cell r="I212">
            <v>127545</v>
          </cell>
          <cell r="J212">
            <v>447943</v>
          </cell>
          <cell r="K212">
            <v>57080</v>
          </cell>
          <cell r="L212">
            <v>27113</v>
          </cell>
          <cell r="M212">
            <v>0</v>
          </cell>
          <cell r="N212">
            <v>0</v>
          </cell>
          <cell r="O212">
            <v>627050</v>
          </cell>
          <cell r="P212">
            <v>0</v>
          </cell>
          <cell r="Q212">
            <v>4612</v>
          </cell>
          <cell r="R212">
            <v>88101</v>
          </cell>
          <cell r="S212">
            <v>154914</v>
          </cell>
          <cell r="T212">
            <v>611</v>
          </cell>
          <cell r="U212">
            <v>-1380613</v>
          </cell>
          <cell r="V212" t="str">
            <v xml:space="preserve"> </v>
          </cell>
          <cell r="W212">
            <v>8891461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8441118</v>
          </cell>
          <cell r="AC212">
            <v>110495</v>
          </cell>
          <cell r="AD212">
            <v>404467</v>
          </cell>
          <cell r="AE212">
            <v>38802</v>
          </cell>
          <cell r="AF212">
            <v>18431</v>
          </cell>
          <cell r="AG212">
            <v>0</v>
          </cell>
          <cell r="AH212">
            <v>0</v>
          </cell>
          <cell r="AI212">
            <v>525499</v>
          </cell>
          <cell r="AJ212">
            <v>0</v>
          </cell>
          <cell r="AK212">
            <v>4151</v>
          </cell>
          <cell r="AL212">
            <v>70481</v>
          </cell>
          <cell r="AM212">
            <v>154323</v>
          </cell>
          <cell r="AN212">
            <v>0</v>
          </cell>
          <cell r="AO212">
            <v>-580319</v>
          </cell>
          <cell r="AP212">
            <v>9148646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 t="str">
            <v xml:space="preserve"> </v>
          </cell>
          <cell r="AV212" t="str">
            <v xml:space="preserve"> </v>
          </cell>
          <cell r="AW212" t="str">
            <v xml:space="preserve"> </v>
          </cell>
        </row>
        <row r="213">
          <cell r="C213" t="str">
            <v xml:space="preserve"> SHASTA            </v>
          </cell>
          <cell r="D213" t="str">
            <v xml:space="preserve"> TEHAMA            </v>
          </cell>
          <cell r="E213">
            <v>170</v>
          </cell>
          <cell r="F213" t="str">
            <v xml:space="preserve"> 2015-2016</v>
          </cell>
          <cell r="G213" t="str">
            <v xml:space="preserve"> 11/15/2015</v>
          </cell>
          <cell r="H213">
            <v>2465625</v>
          </cell>
          <cell r="I213">
            <v>24753</v>
          </cell>
          <cell r="J213">
            <v>98207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4345</v>
          </cell>
          <cell r="R213">
            <v>22307</v>
          </cell>
          <cell r="S213">
            <v>54797</v>
          </cell>
          <cell r="T213">
            <v>1036</v>
          </cell>
          <cell r="U213">
            <v>-1020</v>
          </cell>
          <cell r="V213" t="str">
            <v xml:space="preserve"> </v>
          </cell>
          <cell r="W213">
            <v>2670050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2823137</v>
          </cell>
          <cell r="AC213">
            <v>25000</v>
          </cell>
          <cell r="AD213">
            <v>101908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5000</v>
          </cell>
          <cell r="AL213">
            <v>15000</v>
          </cell>
          <cell r="AM213">
            <v>52353</v>
          </cell>
          <cell r="AN213">
            <v>500</v>
          </cell>
          <cell r="AO213">
            <v>5166</v>
          </cell>
          <cell r="AP213">
            <v>3028064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 t="str">
            <v xml:space="preserve"> </v>
          </cell>
          <cell r="AV213" t="str">
            <v xml:space="preserve"> </v>
          </cell>
          <cell r="AW213" t="str">
            <v xml:space="preserve"> </v>
          </cell>
        </row>
        <row r="214">
          <cell r="C214" t="str">
            <v xml:space="preserve"> SHASTA            </v>
          </cell>
          <cell r="D214" t="str">
            <v xml:space="preserve"> TRINITY           </v>
          </cell>
          <cell r="E214">
            <v>170</v>
          </cell>
          <cell r="F214" t="str">
            <v xml:space="preserve"> 2015-2016</v>
          </cell>
          <cell r="G214" t="str">
            <v xml:space="preserve"> 11/15/2015</v>
          </cell>
          <cell r="H214">
            <v>1335386</v>
          </cell>
          <cell r="I214">
            <v>52916</v>
          </cell>
          <cell r="J214">
            <v>31176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984</v>
          </cell>
          <cell r="R214">
            <v>15009</v>
          </cell>
          <cell r="S214">
            <v>17916</v>
          </cell>
          <cell r="T214">
            <v>0</v>
          </cell>
          <cell r="U214">
            <v>0</v>
          </cell>
          <cell r="V214" t="str">
            <v xml:space="preserve"> </v>
          </cell>
          <cell r="W214">
            <v>1453387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1340000</v>
          </cell>
          <cell r="AC214">
            <v>40000</v>
          </cell>
          <cell r="AD214">
            <v>32000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400</v>
          </cell>
          <cell r="AL214">
            <v>15000</v>
          </cell>
          <cell r="AM214">
            <v>17102</v>
          </cell>
          <cell r="AN214">
            <v>0</v>
          </cell>
          <cell r="AO214">
            <v>0</v>
          </cell>
          <cell r="AP214">
            <v>1444502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 t="str">
            <v xml:space="preserve"> </v>
          </cell>
          <cell r="AV214" t="str">
            <v xml:space="preserve"> </v>
          </cell>
          <cell r="AW214" t="str">
            <v xml:space="preserve"> </v>
          </cell>
        </row>
        <row r="215">
          <cell r="C215" t="str">
            <v xml:space="preserve">SHASTA Subtotal            </v>
          </cell>
          <cell r="H215">
            <v>12704834</v>
          </cell>
          <cell r="I215">
            <v>205685</v>
          </cell>
          <cell r="J215">
            <v>582469</v>
          </cell>
          <cell r="K215">
            <v>57080</v>
          </cell>
          <cell r="L215">
            <v>27113</v>
          </cell>
          <cell r="M215">
            <v>0</v>
          </cell>
          <cell r="N215">
            <v>0</v>
          </cell>
          <cell r="O215">
            <v>627050</v>
          </cell>
          <cell r="P215">
            <v>0</v>
          </cell>
          <cell r="Q215">
            <v>11157</v>
          </cell>
          <cell r="R215">
            <v>126063</v>
          </cell>
          <cell r="S215">
            <v>229528</v>
          </cell>
          <cell r="T215">
            <v>1647</v>
          </cell>
          <cell r="U215">
            <v>-1401332</v>
          </cell>
          <cell r="V215">
            <v>0</v>
          </cell>
          <cell r="W215">
            <v>13114214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12713997</v>
          </cell>
          <cell r="AC215">
            <v>175990</v>
          </cell>
          <cell r="AD215">
            <v>543503</v>
          </cell>
          <cell r="AE215">
            <v>38802</v>
          </cell>
          <cell r="AF215">
            <v>18431</v>
          </cell>
          <cell r="AG215">
            <v>0</v>
          </cell>
          <cell r="AH215">
            <v>0</v>
          </cell>
          <cell r="AI215">
            <v>525499</v>
          </cell>
          <cell r="AJ215">
            <v>0</v>
          </cell>
          <cell r="AK215">
            <v>10599</v>
          </cell>
          <cell r="AL215">
            <v>101098</v>
          </cell>
          <cell r="AM215">
            <v>225643</v>
          </cell>
          <cell r="AN215">
            <v>500</v>
          </cell>
          <cell r="AO215">
            <v>-593795</v>
          </cell>
          <cell r="AP215">
            <v>13721465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7">
          <cell r="C217" t="str">
            <v xml:space="preserve"> SIERRA            </v>
          </cell>
          <cell r="D217" t="str">
            <v xml:space="preserve"> EL DORADO         </v>
          </cell>
          <cell r="E217">
            <v>270</v>
          </cell>
          <cell r="F217" t="str">
            <v xml:space="preserve"> 2015-2016</v>
          </cell>
          <cell r="G217" t="str">
            <v xml:space="preserve"> 11/15/2015</v>
          </cell>
          <cell r="H217">
            <v>488518</v>
          </cell>
          <cell r="I217">
            <v>8614</v>
          </cell>
          <cell r="J217">
            <v>10460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494</v>
          </cell>
          <cell r="R217">
            <v>0</v>
          </cell>
          <cell r="S217">
            <v>5174</v>
          </cell>
          <cell r="T217">
            <v>0</v>
          </cell>
          <cell r="U217">
            <v>0</v>
          </cell>
          <cell r="V217" t="str">
            <v xml:space="preserve"> </v>
          </cell>
          <cell r="W217">
            <v>513260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512455</v>
          </cell>
          <cell r="AC217">
            <v>8614</v>
          </cell>
          <cell r="AD217">
            <v>9990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1</v>
          </cell>
          <cell r="AL217">
            <v>0</v>
          </cell>
          <cell r="AM217">
            <v>5088</v>
          </cell>
          <cell r="AN217">
            <v>0</v>
          </cell>
          <cell r="AO217">
            <v>0</v>
          </cell>
          <cell r="AP217">
            <v>536148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 t="str">
            <v xml:space="preserve"> </v>
          </cell>
          <cell r="AV217" t="str">
            <v xml:space="preserve"> </v>
          </cell>
          <cell r="AW217" t="str">
            <v xml:space="preserve"> </v>
          </cell>
        </row>
        <row r="218">
          <cell r="C218" t="str">
            <v xml:space="preserve"> SIERRA            </v>
          </cell>
          <cell r="D218" t="str">
            <v xml:space="preserve"> NEVADA            </v>
          </cell>
          <cell r="E218">
            <v>270</v>
          </cell>
          <cell r="F218" t="str">
            <v xml:space="preserve"> 2015-2016</v>
          </cell>
          <cell r="G218" t="str">
            <v xml:space="preserve"> 11/15/2015</v>
          </cell>
          <cell r="H218">
            <v>13107010</v>
          </cell>
          <cell r="I218">
            <v>206719</v>
          </cell>
          <cell r="J218">
            <v>260008</v>
          </cell>
          <cell r="K218">
            <v>32380</v>
          </cell>
          <cell r="L218">
            <v>15381</v>
          </cell>
          <cell r="M218">
            <v>0</v>
          </cell>
          <cell r="N218">
            <v>0</v>
          </cell>
          <cell r="O218">
            <v>99329</v>
          </cell>
          <cell r="P218">
            <v>0</v>
          </cell>
          <cell r="Q218">
            <v>4407</v>
          </cell>
          <cell r="R218">
            <v>3787</v>
          </cell>
          <cell r="S218">
            <v>140235</v>
          </cell>
          <cell r="T218">
            <v>0</v>
          </cell>
          <cell r="U218">
            <v>607452</v>
          </cell>
          <cell r="V218" t="str">
            <v xml:space="preserve"> </v>
          </cell>
          <cell r="W218">
            <v>14444328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13796580</v>
          </cell>
          <cell r="AC218">
            <v>200000</v>
          </cell>
          <cell r="AD218">
            <v>243736</v>
          </cell>
          <cell r="AE218">
            <v>32217</v>
          </cell>
          <cell r="AF218">
            <v>15303</v>
          </cell>
          <cell r="AG218">
            <v>0</v>
          </cell>
          <cell r="AH218">
            <v>0</v>
          </cell>
          <cell r="AI218">
            <v>84318</v>
          </cell>
          <cell r="AJ218">
            <v>0</v>
          </cell>
          <cell r="AK218">
            <v>4000</v>
          </cell>
          <cell r="AL218">
            <v>4000</v>
          </cell>
          <cell r="AM218">
            <v>140077</v>
          </cell>
          <cell r="AN218">
            <v>0</v>
          </cell>
          <cell r="AO218">
            <v>1049123</v>
          </cell>
          <cell r="AP218">
            <v>15537137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 t="str">
            <v xml:space="preserve"> </v>
          </cell>
          <cell r="AV218" t="str">
            <v xml:space="preserve"> </v>
          </cell>
          <cell r="AW218" t="str">
            <v xml:space="preserve"> </v>
          </cell>
        </row>
        <row r="219">
          <cell r="C219" t="str">
            <v xml:space="preserve"> SIERRA            </v>
          </cell>
          <cell r="D219" t="str">
            <v xml:space="preserve"> PLACER            </v>
          </cell>
          <cell r="E219">
            <v>270</v>
          </cell>
          <cell r="F219" t="str">
            <v xml:space="preserve"> 2015-2016</v>
          </cell>
          <cell r="G219" t="str">
            <v xml:space="preserve"> 11/15/2015</v>
          </cell>
          <cell r="H219">
            <v>42476421</v>
          </cell>
          <cell r="I219">
            <v>1031008</v>
          </cell>
          <cell r="J219">
            <v>1046218</v>
          </cell>
          <cell r="K219">
            <v>340784</v>
          </cell>
          <cell r="L219">
            <v>161872</v>
          </cell>
          <cell r="M219">
            <v>0</v>
          </cell>
          <cell r="N219">
            <v>0</v>
          </cell>
          <cell r="O219">
            <v>453406</v>
          </cell>
          <cell r="P219">
            <v>124296</v>
          </cell>
          <cell r="Q219">
            <v>22132</v>
          </cell>
          <cell r="R219">
            <v>30352</v>
          </cell>
          <cell r="S219">
            <v>404681</v>
          </cell>
          <cell r="T219">
            <v>0</v>
          </cell>
          <cell r="U219">
            <v>847975</v>
          </cell>
          <cell r="V219" t="str">
            <v xml:space="preserve"> </v>
          </cell>
          <cell r="W219">
            <v>46598361</v>
          </cell>
          <cell r="X219">
            <v>-3307</v>
          </cell>
          <cell r="Y219">
            <v>0</v>
          </cell>
          <cell r="Z219">
            <v>0</v>
          </cell>
          <cell r="AA219">
            <v>0</v>
          </cell>
          <cell r="AB219">
            <v>46412492</v>
          </cell>
          <cell r="AC219">
            <v>1053267</v>
          </cell>
          <cell r="AD219">
            <v>1089627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22132</v>
          </cell>
          <cell r="AL219">
            <v>30352</v>
          </cell>
          <cell r="AM219">
            <v>396690</v>
          </cell>
          <cell r="AN219">
            <v>0</v>
          </cell>
          <cell r="AO219">
            <v>3471056</v>
          </cell>
          <cell r="AP219">
            <v>52475616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 t="str">
            <v xml:space="preserve"> </v>
          </cell>
          <cell r="AV219" t="str">
            <v xml:space="preserve"> </v>
          </cell>
          <cell r="AW219" t="str">
            <v xml:space="preserve"> </v>
          </cell>
        </row>
        <row r="220">
          <cell r="C220" t="str">
            <v xml:space="preserve"> SIERRA            </v>
          </cell>
          <cell r="D220" t="str">
            <v xml:space="preserve"> SACRAMENTO        </v>
          </cell>
          <cell r="E220">
            <v>270</v>
          </cell>
          <cell r="F220" t="str">
            <v xml:space="preserve"> 2015-2016</v>
          </cell>
          <cell r="G220" t="str">
            <v xml:space="preserve"> 11/15/2015</v>
          </cell>
          <cell r="H220">
            <v>1248989</v>
          </cell>
          <cell r="I220">
            <v>22415</v>
          </cell>
          <cell r="J220">
            <v>53249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16602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1341255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1290816</v>
          </cell>
          <cell r="AC220">
            <v>44056</v>
          </cell>
          <cell r="AD220">
            <v>40932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18347</v>
          </cell>
          <cell r="AN220">
            <v>0</v>
          </cell>
          <cell r="AO220">
            <v>0</v>
          </cell>
          <cell r="AP220">
            <v>1394151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 t="str">
            <v xml:space="preserve"> </v>
          </cell>
          <cell r="AV220" t="str">
            <v xml:space="preserve"> </v>
          </cell>
          <cell r="AW220" t="str">
            <v xml:space="preserve"> </v>
          </cell>
        </row>
        <row r="221">
          <cell r="C221" t="str">
            <v xml:space="preserve">SIERRA Subtotal         </v>
          </cell>
          <cell r="H221">
            <v>57320938</v>
          </cell>
          <cell r="I221">
            <v>1268756</v>
          </cell>
          <cell r="J221">
            <v>1369935</v>
          </cell>
          <cell r="K221">
            <v>373164</v>
          </cell>
          <cell r="L221">
            <v>177253</v>
          </cell>
          <cell r="M221">
            <v>0</v>
          </cell>
          <cell r="N221">
            <v>0</v>
          </cell>
          <cell r="O221">
            <v>552735</v>
          </cell>
          <cell r="P221">
            <v>124296</v>
          </cell>
          <cell r="Q221">
            <v>27033</v>
          </cell>
          <cell r="R221">
            <v>34139</v>
          </cell>
          <cell r="S221">
            <v>566692</v>
          </cell>
          <cell r="T221">
            <v>0</v>
          </cell>
          <cell r="U221">
            <v>1455427</v>
          </cell>
          <cell r="V221">
            <v>0</v>
          </cell>
          <cell r="W221">
            <v>62897204</v>
          </cell>
          <cell r="X221">
            <v>-3307</v>
          </cell>
          <cell r="Y221">
            <v>0</v>
          </cell>
          <cell r="Z221">
            <v>0</v>
          </cell>
          <cell r="AA221">
            <v>0</v>
          </cell>
          <cell r="AB221">
            <v>62012343</v>
          </cell>
          <cell r="AC221">
            <v>1305937</v>
          </cell>
          <cell r="AD221">
            <v>1384285</v>
          </cell>
          <cell r="AE221">
            <v>32217</v>
          </cell>
          <cell r="AF221">
            <v>15303</v>
          </cell>
          <cell r="AG221">
            <v>0</v>
          </cell>
          <cell r="AH221">
            <v>0</v>
          </cell>
          <cell r="AI221">
            <v>84318</v>
          </cell>
          <cell r="AJ221">
            <v>0</v>
          </cell>
          <cell r="AK221">
            <v>26133</v>
          </cell>
          <cell r="AL221">
            <v>34352</v>
          </cell>
          <cell r="AM221">
            <v>560202</v>
          </cell>
          <cell r="AN221">
            <v>0</v>
          </cell>
          <cell r="AO221">
            <v>4520179</v>
          </cell>
          <cell r="AP221">
            <v>69943052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3">
          <cell r="C223" t="str">
            <v xml:space="preserve"> SISKIYOU          </v>
          </cell>
          <cell r="D223" t="str">
            <v xml:space="preserve"> SHASTA            </v>
          </cell>
          <cell r="E223">
            <v>180</v>
          </cell>
          <cell r="F223" t="str">
            <v xml:space="preserve"> 2015-2016</v>
          </cell>
          <cell r="G223" t="str">
            <v xml:space="preserve"> 11/15/2015</v>
          </cell>
          <cell r="H223">
            <v>49414</v>
          </cell>
          <cell r="I223">
            <v>30059</v>
          </cell>
          <cell r="J223">
            <v>2059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21</v>
          </cell>
          <cell r="R223">
            <v>6560</v>
          </cell>
          <cell r="S223">
            <v>712</v>
          </cell>
          <cell r="T223">
            <v>0</v>
          </cell>
          <cell r="U223">
            <v>-6346</v>
          </cell>
          <cell r="V223" t="str">
            <v xml:space="preserve"> </v>
          </cell>
          <cell r="W223">
            <v>82479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47945</v>
          </cell>
          <cell r="AC223">
            <v>24082</v>
          </cell>
          <cell r="AD223">
            <v>1887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19</v>
          </cell>
          <cell r="AL223">
            <v>5248</v>
          </cell>
          <cell r="AM223">
            <v>710</v>
          </cell>
          <cell r="AN223">
            <v>0</v>
          </cell>
          <cell r="AO223">
            <v>2707</v>
          </cell>
          <cell r="AP223">
            <v>82598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 t="str">
            <v xml:space="preserve"> </v>
          </cell>
          <cell r="AV223" t="str">
            <v xml:space="preserve"> </v>
          </cell>
          <cell r="AW223" t="str">
            <v xml:space="preserve"> </v>
          </cell>
        </row>
        <row r="224">
          <cell r="C224" t="str">
            <v xml:space="preserve"> SISKIYOU          </v>
          </cell>
          <cell r="D224" t="str">
            <v xml:space="preserve"> SISKIYOU          </v>
          </cell>
          <cell r="E224">
            <v>180</v>
          </cell>
          <cell r="F224" t="str">
            <v xml:space="preserve"> 2015-2016</v>
          </cell>
          <cell r="G224" t="str">
            <v xml:space="preserve"> 11/15/2015</v>
          </cell>
          <cell r="H224">
            <v>3298220</v>
          </cell>
          <cell r="I224">
            <v>14646</v>
          </cell>
          <cell r="J224">
            <v>177690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6029</v>
          </cell>
          <cell r="R224">
            <v>84829</v>
          </cell>
          <cell r="S224">
            <v>56826</v>
          </cell>
          <cell r="T224">
            <v>0</v>
          </cell>
          <cell r="U224">
            <v>-197244</v>
          </cell>
          <cell r="V224" t="str">
            <v xml:space="preserve"> </v>
          </cell>
          <cell r="W224">
            <v>3440996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3400000</v>
          </cell>
          <cell r="AC224">
            <v>15000</v>
          </cell>
          <cell r="AD224">
            <v>180000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6100</v>
          </cell>
          <cell r="AL224">
            <v>85000</v>
          </cell>
          <cell r="AM224">
            <v>56164</v>
          </cell>
          <cell r="AN224">
            <v>0</v>
          </cell>
          <cell r="AO224">
            <v>-197244</v>
          </cell>
          <cell r="AP224">
            <v>3545020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 t="str">
            <v xml:space="preserve"> </v>
          </cell>
          <cell r="AV224" t="str">
            <v xml:space="preserve"> </v>
          </cell>
          <cell r="AW224" t="str">
            <v xml:space="preserve"> </v>
          </cell>
        </row>
        <row r="225">
          <cell r="C225" t="str">
            <v xml:space="preserve">SISKIYOU Subtotal       </v>
          </cell>
          <cell r="H225">
            <v>3347634</v>
          </cell>
          <cell r="I225">
            <v>44705</v>
          </cell>
          <cell r="J225">
            <v>179749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6050</v>
          </cell>
          <cell r="R225">
            <v>91389</v>
          </cell>
          <cell r="S225">
            <v>57538</v>
          </cell>
          <cell r="T225">
            <v>0</v>
          </cell>
          <cell r="U225">
            <v>-203590</v>
          </cell>
          <cell r="V225">
            <v>0</v>
          </cell>
          <cell r="W225">
            <v>3523475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3447945</v>
          </cell>
          <cell r="AC225">
            <v>39082</v>
          </cell>
          <cell r="AD225">
            <v>181887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6119</v>
          </cell>
          <cell r="AL225">
            <v>90248</v>
          </cell>
          <cell r="AM225">
            <v>56874</v>
          </cell>
          <cell r="AN225">
            <v>0</v>
          </cell>
          <cell r="AO225">
            <v>-194537</v>
          </cell>
          <cell r="AP225">
            <v>3627618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7">
          <cell r="C227" t="str">
            <v xml:space="preserve"> SOLANO            </v>
          </cell>
          <cell r="D227" t="str">
            <v xml:space="preserve"> SOLANO            </v>
          </cell>
          <cell r="E227">
            <v>280</v>
          </cell>
          <cell r="F227" t="str">
            <v xml:space="preserve"> 2015-2016</v>
          </cell>
          <cell r="G227" t="str">
            <v xml:space="preserve"> 11/15/2015</v>
          </cell>
          <cell r="H227">
            <v>9648202</v>
          </cell>
          <cell r="I227">
            <v>171512</v>
          </cell>
          <cell r="J227">
            <v>630616</v>
          </cell>
          <cell r="K227">
            <v>132359</v>
          </cell>
          <cell r="L227">
            <v>62871</v>
          </cell>
          <cell r="M227">
            <v>0</v>
          </cell>
          <cell r="N227">
            <v>0</v>
          </cell>
          <cell r="O227">
            <v>2372208</v>
          </cell>
          <cell r="P227">
            <v>292502</v>
          </cell>
          <cell r="Q227">
            <v>-26217</v>
          </cell>
          <cell r="R227">
            <v>0</v>
          </cell>
          <cell r="S227">
            <v>122922</v>
          </cell>
          <cell r="T227">
            <v>35</v>
          </cell>
          <cell r="U227">
            <v>-232127</v>
          </cell>
          <cell r="V227" t="str">
            <v xml:space="preserve"> </v>
          </cell>
          <cell r="W227">
            <v>13042524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10276498</v>
          </cell>
          <cell r="AC227">
            <v>210020</v>
          </cell>
          <cell r="AD227">
            <v>607811</v>
          </cell>
          <cell r="AE227">
            <v>149628</v>
          </cell>
          <cell r="AF227">
            <v>71073</v>
          </cell>
          <cell r="AG227">
            <v>0</v>
          </cell>
          <cell r="AH227">
            <v>0</v>
          </cell>
          <cell r="AI227">
            <v>2486417</v>
          </cell>
          <cell r="AJ227">
            <v>0</v>
          </cell>
          <cell r="AK227">
            <v>0</v>
          </cell>
          <cell r="AL227">
            <v>0</v>
          </cell>
          <cell r="AM227">
            <v>121464</v>
          </cell>
          <cell r="AN227">
            <v>0</v>
          </cell>
          <cell r="AO227">
            <v>790787</v>
          </cell>
          <cell r="AP227">
            <v>14564070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 t="str">
            <v xml:space="preserve"> </v>
          </cell>
          <cell r="AV227" t="str">
            <v xml:space="preserve"> </v>
          </cell>
          <cell r="AW227" t="str">
            <v xml:space="preserve"> </v>
          </cell>
        </row>
        <row r="228">
          <cell r="C228" t="str">
            <v xml:space="preserve"> SOLANO            </v>
          </cell>
          <cell r="D228" t="str">
            <v xml:space="preserve"> YOLO              </v>
          </cell>
          <cell r="E228">
            <v>280</v>
          </cell>
          <cell r="F228" t="str">
            <v xml:space="preserve"> 2015-2016</v>
          </cell>
          <cell r="G228" t="str">
            <v xml:space="preserve"> 11/15/2015</v>
          </cell>
          <cell r="H228">
            <v>209278</v>
          </cell>
          <cell r="I228">
            <v>2583</v>
          </cell>
          <cell r="J228">
            <v>9192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25520</v>
          </cell>
          <cell r="Q228">
            <v>72</v>
          </cell>
          <cell r="R228">
            <v>0</v>
          </cell>
          <cell r="S228">
            <v>2596</v>
          </cell>
          <cell r="T228">
            <v>1605</v>
          </cell>
          <cell r="U228">
            <v>0</v>
          </cell>
          <cell r="V228" t="str">
            <v xml:space="preserve"> </v>
          </cell>
          <cell r="W228">
            <v>250846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230658</v>
          </cell>
          <cell r="AC228">
            <v>2000</v>
          </cell>
          <cell r="AD228">
            <v>12042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70</v>
          </cell>
          <cell r="AL228">
            <v>0</v>
          </cell>
          <cell r="AM228">
            <v>2574</v>
          </cell>
          <cell r="AN228">
            <v>1500</v>
          </cell>
          <cell r="AO228">
            <v>0</v>
          </cell>
          <cell r="AP228">
            <v>248844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 t="str">
            <v xml:space="preserve"> </v>
          </cell>
          <cell r="AV228" t="str">
            <v xml:space="preserve"> </v>
          </cell>
          <cell r="AW228" t="str">
            <v xml:space="preserve"> </v>
          </cell>
        </row>
        <row r="229">
          <cell r="C229" t="str">
            <v xml:space="preserve">SOLANO Subtotal            </v>
          </cell>
          <cell r="H229">
            <v>9857480</v>
          </cell>
          <cell r="I229">
            <v>174095</v>
          </cell>
          <cell r="J229">
            <v>639808</v>
          </cell>
          <cell r="K229">
            <v>132359</v>
          </cell>
          <cell r="L229">
            <v>62871</v>
          </cell>
          <cell r="M229">
            <v>0</v>
          </cell>
          <cell r="N229">
            <v>0</v>
          </cell>
          <cell r="O229">
            <v>2372208</v>
          </cell>
          <cell r="P229">
            <v>318022</v>
          </cell>
          <cell r="Q229">
            <v>-26145</v>
          </cell>
          <cell r="R229">
            <v>0</v>
          </cell>
          <cell r="S229">
            <v>125518</v>
          </cell>
          <cell r="T229">
            <v>1640</v>
          </cell>
          <cell r="U229">
            <v>-232127</v>
          </cell>
          <cell r="V229">
            <v>0</v>
          </cell>
          <cell r="W229">
            <v>13293370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10507156</v>
          </cell>
          <cell r="AC229">
            <v>212020</v>
          </cell>
          <cell r="AD229">
            <v>619853</v>
          </cell>
          <cell r="AE229">
            <v>149628</v>
          </cell>
          <cell r="AF229">
            <v>71073</v>
          </cell>
          <cell r="AG229">
            <v>0</v>
          </cell>
          <cell r="AH229">
            <v>0</v>
          </cell>
          <cell r="AI229">
            <v>2486417</v>
          </cell>
          <cell r="AJ229">
            <v>0</v>
          </cell>
          <cell r="AK229">
            <v>70</v>
          </cell>
          <cell r="AL229">
            <v>0</v>
          </cell>
          <cell r="AM229">
            <v>124038</v>
          </cell>
          <cell r="AN229">
            <v>1500</v>
          </cell>
          <cell r="AO229">
            <v>790787</v>
          </cell>
          <cell r="AP229">
            <v>14812914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1">
          <cell r="C231" t="str">
            <v xml:space="preserve"> SONOMA</v>
          </cell>
          <cell r="D231" t="str">
            <v xml:space="preserve"> SONOMA            </v>
          </cell>
          <cell r="E231">
            <v>260</v>
          </cell>
          <cell r="F231" t="str">
            <v xml:space="preserve"> 2015-2016</v>
          </cell>
          <cell r="G231" t="str">
            <v xml:space="preserve"> 11/15/2015</v>
          </cell>
          <cell r="H231">
            <v>40932068</v>
          </cell>
          <cell r="I231">
            <v>823429</v>
          </cell>
          <cell r="J231">
            <v>1148881</v>
          </cell>
          <cell r="K231">
            <v>678045</v>
          </cell>
          <cell r="L231">
            <v>322071</v>
          </cell>
          <cell r="M231">
            <v>0</v>
          </cell>
          <cell r="N231">
            <v>0</v>
          </cell>
          <cell r="O231">
            <v>1904849</v>
          </cell>
          <cell r="P231">
            <v>175573</v>
          </cell>
          <cell r="Q231">
            <v>18587</v>
          </cell>
          <cell r="R231">
            <v>9388</v>
          </cell>
          <cell r="S231">
            <v>373166</v>
          </cell>
          <cell r="T231">
            <v>3497</v>
          </cell>
          <cell r="U231">
            <v>591171</v>
          </cell>
          <cell r="V231" t="str">
            <v xml:space="preserve"> </v>
          </cell>
          <cell r="W231">
            <v>46302680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42881798</v>
          </cell>
          <cell r="AC231">
            <v>691680</v>
          </cell>
          <cell r="AD231">
            <v>1220801</v>
          </cell>
          <cell r="AE231">
            <v>820331</v>
          </cell>
          <cell r="AF231">
            <v>389657</v>
          </cell>
          <cell r="AG231">
            <v>0</v>
          </cell>
          <cell r="AH231">
            <v>0</v>
          </cell>
          <cell r="AI231">
            <v>952425</v>
          </cell>
          <cell r="AJ231">
            <v>0</v>
          </cell>
          <cell r="AK231">
            <v>0</v>
          </cell>
          <cell r="AL231">
            <v>9388</v>
          </cell>
          <cell r="AM231">
            <v>358464</v>
          </cell>
          <cell r="AN231">
            <v>0</v>
          </cell>
          <cell r="AO231">
            <v>2561770</v>
          </cell>
          <cell r="AP231">
            <v>49065983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 t="str">
            <v xml:space="preserve"> </v>
          </cell>
          <cell r="AV231" t="str">
            <v xml:space="preserve"> </v>
          </cell>
          <cell r="AW231" t="str">
            <v xml:space="preserve"> </v>
          </cell>
        </row>
        <row r="232">
          <cell r="C232" t="str">
            <v xml:space="preserve"> SONOMA            </v>
          </cell>
          <cell r="D232" t="str">
            <v xml:space="preserve"> MARIN             </v>
          </cell>
          <cell r="E232">
            <v>260</v>
          </cell>
          <cell r="F232" t="str">
            <v xml:space="preserve"> 2015-2016</v>
          </cell>
          <cell r="G232" t="str">
            <v xml:space="preserve"> 11/15/2015</v>
          </cell>
          <cell r="H232">
            <v>73579</v>
          </cell>
          <cell r="I232">
            <v>1809</v>
          </cell>
          <cell r="J232">
            <v>1438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154</v>
          </cell>
          <cell r="R232">
            <v>0</v>
          </cell>
          <cell r="S232">
            <v>410</v>
          </cell>
          <cell r="T232">
            <v>0</v>
          </cell>
          <cell r="U232">
            <v>0</v>
          </cell>
          <cell r="V232" t="str">
            <v xml:space="preserve"> </v>
          </cell>
          <cell r="W232">
            <v>77390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73631</v>
          </cell>
          <cell r="AC232">
            <v>1808</v>
          </cell>
          <cell r="AD232">
            <v>1342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155</v>
          </cell>
          <cell r="AL232">
            <v>0</v>
          </cell>
          <cell r="AM232">
            <v>384</v>
          </cell>
          <cell r="AN232">
            <v>0</v>
          </cell>
          <cell r="AO232">
            <v>0</v>
          </cell>
          <cell r="AP232">
            <v>77320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 t="str">
            <v xml:space="preserve"> </v>
          </cell>
          <cell r="AV232" t="str">
            <v xml:space="preserve"> </v>
          </cell>
          <cell r="AW232" t="str">
            <v xml:space="preserve"> </v>
          </cell>
        </row>
        <row r="233">
          <cell r="C233" t="str">
            <v xml:space="preserve"> SONOMA            </v>
          </cell>
          <cell r="D233" t="str">
            <v xml:space="preserve"> MENDOCINO         </v>
          </cell>
          <cell r="E233">
            <v>260</v>
          </cell>
          <cell r="F233" t="str">
            <v xml:space="preserve"> 2015-2016</v>
          </cell>
          <cell r="G233" t="str">
            <v xml:space="preserve"> 11/15/2015</v>
          </cell>
          <cell r="H233">
            <v>627624</v>
          </cell>
          <cell r="I233">
            <v>4598</v>
          </cell>
          <cell r="J233">
            <v>20474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-124</v>
          </cell>
          <cell r="R233">
            <v>2409</v>
          </cell>
          <cell r="S233">
            <v>6465</v>
          </cell>
          <cell r="T233">
            <v>0</v>
          </cell>
          <cell r="U233">
            <v>0</v>
          </cell>
          <cell r="V233" t="str">
            <v xml:space="preserve"> </v>
          </cell>
          <cell r="W233">
            <v>661446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627908</v>
          </cell>
          <cell r="AC233">
            <v>786</v>
          </cell>
          <cell r="AD233">
            <v>21525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1049</v>
          </cell>
          <cell r="AL233">
            <v>1937</v>
          </cell>
          <cell r="AM233">
            <v>6185</v>
          </cell>
          <cell r="AN233">
            <v>0</v>
          </cell>
          <cell r="AO233">
            <v>0</v>
          </cell>
          <cell r="AP233">
            <v>659390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 t="str">
            <v xml:space="preserve"> </v>
          </cell>
          <cell r="AV233" t="str">
            <v xml:space="preserve"> </v>
          </cell>
          <cell r="AW233" t="str">
            <v xml:space="preserve"> </v>
          </cell>
        </row>
        <row r="234">
          <cell r="C234" t="str">
            <v xml:space="preserve">SONOMA Subtotal        </v>
          </cell>
          <cell r="H234">
            <v>41633271</v>
          </cell>
          <cell r="I234">
            <v>829836</v>
          </cell>
          <cell r="J234">
            <v>1170793</v>
          </cell>
          <cell r="K234">
            <v>678045</v>
          </cell>
          <cell r="L234">
            <v>322071</v>
          </cell>
          <cell r="M234">
            <v>0</v>
          </cell>
          <cell r="N234">
            <v>0</v>
          </cell>
          <cell r="O234">
            <v>1904849</v>
          </cell>
          <cell r="P234">
            <v>175573</v>
          </cell>
          <cell r="Q234">
            <v>18617</v>
          </cell>
          <cell r="R234">
            <v>11797</v>
          </cell>
          <cell r="S234">
            <v>380041</v>
          </cell>
          <cell r="T234">
            <v>3497</v>
          </cell>
          <cell r="U234">
            <v>591171</v>
          </cell>
          <cell r="V234">
            <v>0</v>
          </cell>
          <cell r="W234">
            <v>47041516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43583337</v>
          </cell>
          <cell r="AC234">
            <v>694274</v>
          </cell>
          <cell r="AD234">
            <v>1243668</v>
          </cell>
          <cell r="AE234">
            <v>820331</v>
          </cell>
          <cell r="AF234">
            <v>389657</v>
          </cell>
          <cell r="AG234">
            <v>0</v>
          </cell>
          <cell r="AH234">
            <v>0</v>
          </cell>
          <cell r="AI234">
            <v>952425</v>
          </cell>
          <cell r="AJ234">
            <v>0</v>
          </cell>
          <cell r="AK234">
            <v>1204</v>
          </cell>
          <cell r="AL234">
            <v>11325</v>
          </cell>
          <cell r="AM234">
            <v>365033</v>
          </cell>
          <cell r="AN234">
            <v>0</v>
          </cell>
          <cell r="AO234">
            <v>2561770</v>
          </cell>
          <cell r="AP234">
            <v>49802693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6">
          <cell r="C236" t="str">
            <v xml:space="preserve"> SOUTH ORANGE CO.</v>
          </cell>
          <cell r="D236" t="str">
            <v xml:space="preserve"> ORANGE            </v>
          </cell>
          <cell r="E236">
            <v>890</v>
          </cell>
          <cell r="F236" t="str">
            <v xml:space="preserve"> 2015-2016</v>
          </cell>
          <cell r="G236" t="str">
            <v xml:space="preserve"> 11/15/2015</v>
          </cell>
          <cell r="H236">
            <v>159348955</v>
          </cell>
          <cell r="I236">
            <v>4586112</v>
          </cell>
          <cell r="J236">
            <v>6160059</v>
          </cell>
          <cell r="K236">
            <v>656530</v>
          </cell>
          <cell r="L236">
            <v>311852</v>
          </cell>
          <cell r="M236">
            <v>0</v>
          </cell>
          <cell r="N236">
            <v>0</v>
          </cell>
          <cell r="O236">
            <v>3562937</v>
          </cell>
          <cell r="P236">
            <v>771930</v>
          </cell>
          <cell r="Q236">
            <v>2605084</v>
          </cell>
          <cell r="R236">
            <v>25</v>
          </cell>
          <cell r="S236">
            <v>1184736</v>
          </cell>
          <cell r="T236">
            <v>0</v>
          </cell>
          <cell r="U236">
            <v>0</v>
          </cell>
          <cell r="V236" t="str">
            <v xml:space="preserve"> </v>
          </cell>
          <cell r="W236">
            <v>178531690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173769671</v>
          </cell>
          <cell r="AC236">
            <v>4303209</v>
          </cell>
          <cell r="AD236">
            <v>5629887</v>
          </cell>
          <cell r="AE236">
            <v>611858</v>
          </cell>
          <cell r="AF236">
            <v>290633</v>
          </cell>
          <cell r="AG236">
            <v>0</v>
          </cell>
          <cell r="AH236">
            <v>0</v>
          </cell>
          <cell r="AI236">
            <v>2216880</v>
          </cell>
          <cell r="AJ236">
            <v>0</v>
          </cell>
          <cell r="AK236">
            <v>2518832</v>
          </cell>
          <cell r="AL236">
            <v>25</v>
          </cell>
          <cell r="AM236">
            <v>1196303</v>
          </cell>
          <cell r="AN236">
            <v>0</v>
          </cell>
          <cell r="AO236">
            <v>11375126</v>
          </cell>
          <cell r="AP236">
            <v>201300566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 t="str">
            <v xml:space="preserve"> </v>
          </cell>
          <cell r="AV236" t="str">
            <v xml:space="preserve"> </v>
          </cell>
          <cell r="AW236" t="str">
            <v xml:space="preserve"> </v>
          </cell>
        </row>
        <row r="237">
          <cell r="C237" t="str">
            <v>SOUTH ORANGE CO. Subtotal</v>
          </cell>
          <cell r="H237">
            <v>159348955</v>
          </cell>
          <cell r="I237">
            <v>4586112</v>
          </cell>
          <cell r="J237">
            <v>6160059</v>
          </cell>
          <cell r="K237">
            <v>656530</v>
          </cell>
          <cell r="L237">
            <v>311852</v>
          </cell>
          <cell r="M237">
            <v>0</v>
          </cell>
          <cell r="N237">
            <v>0</v>
          </cell>
          <cell r="O237">
            <v>3562937</v>
          </cell>
          <cell r="P237">
            <v>771930</v>
          </cell>
          <cell r="Q237">
            <v>2605084</v>
          </cell>
          <cell r="R237">
            <v>25</v>
          </cell>
          <cell r="S237">
            <v>1184736</v>
          </cell>
          <cell r="T237">
            <v>0</v>
          </cell>
          <cell r="U237">
            <v>0</v>
          </cell>
          <cell r="V237">
            <v>0</v>
          </cell>
          <cell r="W237">
            <v>178531690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173769671</v>
          </cell>
          <cell r="AC237">
            <v>4303209</v>
          </cell>
          <cell r="AD237">
            <v>5629887</v>
          </cell>
          <cell r="AE237">
            <v>611858</v>
          </cell>
          <cell r="AF237">
            <v>290633</v>
          </cell>
          <cell r="AG237">
            <v>0</v>
          </cell>
          <cell r="AH237">
            <v>0</v>
          </cell>
          <cell r="AI237">
            <v>2216880</v>
          </cell>
          <cell r="AJ237">
            <v>0</v>
          </cell>
          <cell r="AK237">
            <v>2518832</v>
          </cell>
          <cell r="AL237">
            <v>25</v>
          </cell>
          <cell r="AM237">
            <v>1196303</v>
          </cell>
          <cell r="AN237">
            <v>0</v>
          </cell>
          <cell r="AO237">
            <v>11375126</v>
          </cell>
          <cell r="AP237">
            <v>201300566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9">
          <cell r="C239" t="str">
            <v xml:space="preserve"> SOUTHWESTERN      </v>
          </cell>
          <cell r="D239" t="str">
            <v xml:space="preserve"> SAN DIEGO         </v>
          </cell>
          <cell r="E239">
            <v>90</v>
          </cell>
          <cell r="F239" t="str">
            <v xml:space="preserve"> 2015-2016</v>
          </cell>
          <cell r="G239" t="str">
            <v xml:space="preserve"> 11/15/2015</v>
          </cell>
          <cell r="H239">
            <v>20808361</v>
          </cell>
          <cell r="I239">
            <v>517038</v>
          </cell>
          <cell r="J239">
            <v>710050</v>
          </cell>
          <cell r="K239">
            <v>290613</v>
          </cell>
          <cell r="L239">
            <v>138041</v>
          </cell>
          <cell r="M239">
            <v>0</v>
          </cell>
          <cell r="N239">
            <v>0</v>
          </cell>
          <cell r="O239">
            <v>580557</v>
          </cell>
          <cell r="P239">
            <v>15687</v>
          </cell>
          <cell r="Q239">
            <v>-17370</v>
          </cell>
          <cell r="R239">
            <v>0</v>
          </cell>
          <cell r="S239">
            <v>179371</v>
          </cell>
          <cell r="T239">
            <v>0</v>
          </cell>
          <cell r="U239">
            <v>-1974792</v>
          </cell>
          <cell r="V239" t="str">
            <v xml:space="preserve"> </v>
          </cell>
          <cell r="W239">
            <v>20956943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21754858</v>
          </cell>
          <cell r="AC239">
            <v>489094</v>
          </cell>
          <cell r="AD239">
            <v>723813</v>
          </cell>
          <cell r="AE239">
            <v>134781</v>
          </cell>
          <cell r="AF239">
            <v>64021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-10779</v>
          </cell>
          <cell r="AL239">
            <v>0</v>
          </cell>
          <cell r="AM239">
            <v>176837</v>
          </cell>
          <cell r="AN239">
            <v>0</v>
          </cell>
          <cell r="AO239">
            <v>-851121</v>
          </cell>
          <cell r="AP239">
            <v>22346723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 t="str">
            <v xml:space="preserve"> </v>
          </cell>
          <cell r="AV239" t="str">
            <v xml:space="preserve"> </v>
          </cell>
          <cell r="AW239" t="str">
            <v xml:space="preserve"> </v>
          </cell>
        </row>
        <row r="240">
          <cell r="C240" t="str">
            <v xml:space="preserve">SOUTHWESTERN Subtotal     </v>
          </cell>
          <cell r="H240">
            <v>20808361</v>
          </cell>
          <cell r="I240">
            <v>517038</v>
          </cell>
          <cell r="J240">
            <v>710050</v>
          </cell>
          <cell r="K240">
            <v>290613</v>
          </cell>
          <cell r="L240">
            <v>138041</v>
          </cell>
          <cell r="M240">
            <v>0</v>
          </cell>
          <cell r="N240">
            <v>0</v>
          </cell>
          <cell r="O240">
            <v>580557</v>
          </cell>
          <cell r="P240">
            <v>15687</v>
          </cell>
          <cell r="Q240">
            <v>-17370</v>
          </cell>
          <cell r="R240">
            <v>0</v>
          </cell>
          <cell r="S240">
            <v>179371</v>
          </cell>
          <cell r="T240">
            <v>0</v>
          </cell>
          <cell r="U240">
            <v>-1974792</v>
          </cell>
          <cell r="V240">
            <v>0</v>
          </cell>
          <cell r="W240">
            <v>20956943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21754858</v>
          </cell>
          <cell r="AC240">
            <v>489094</v>
          </cell>
          <cell r="AD240">
            <v>723813</v>
          </cell>
          <cell r="AE240">
            <v>134781</v>
          </cell>
          <cell r="AF240">
            <v>64021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-10779</v>
          </cell>
          <cell r="AL240">
            <v>0</v>
          </cell>
          <cell r="AM240">
            <v>176837</v>
          </cell>
          <cell r="AN240">
            <v>0</v>
          </cell>
          <cell r="AO240">
            <v>-851121</v>
          </cell>
          <cell r="AP240">
            <v>22346723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2">
          <cell r="C242" t="str">
            <v xml:space="preserve"> STATE CENTER      </v>
          </cell>
          <cell r="D242" t="str">
            <v xml:space="preserve"> FRESNO            </v>
          </cell>
          <cell r="E242">
            <v>570</v>
          </cell>
          <cell r="F242" t="str">
            <v xml:space="preserve"> 2015-2016</v>
          </cell>
          <cell r="G242" t="str">
            <v xml:space="preserve"> 11/15/2015</v>
          </cell>
          <cell r="H242">
            <v>28217152</v>
          </cell>
          <cell r="I242">
            <v>420448</v>
          </cell>
          <cell r="J242">
            <v>1271701</v>
          </cell>
          <cell r="K242">
            <v>157149</v>
          </cell>
          <cell r="L242">
            <v>74646</v>
          </cell>
          <cell r="M242">
            <v>0</v>
          </cell>
          <cell r="N242">
            <v>0</v>
          </cell>
          <cell r="O242">
            <v>1606764</v>
          </cell>
          <cell r="P242">
            <v>23365</v>
          </cell>
          <cell r="Q242">
            <v>188302</v>
          </cell>
          <cell r="R242">
            <v>6254</v>
          </cell>
          <cell r="S242">
            <v>339989</v>
          </cell>
          <cell r="T242">
            <v>0</v>
          </cell>
          <cell r="U242">
            <v>-4723538</v>
          </cell>
          <cell r="V242" t="str">
            <v xml:space="preserve"> </v>
          </cell>
          <cell r="W242">
            <v>27425083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28781495</v>
          </cell>
          <cell r="AC242">
            <v>420448</v>
          </cell>
          <cell r="AD242">
            <v>1271701</v>
          </cell>
          <cell r="AE242">
            <v>157149</v>
          </cell>
          <cell r="AF242">
            <v>74646</v>
          </cell>
          <cell r="AG242">
            <v>0</v>
          </cell>
          <cell r="AH242">
            <v>0</v>
          </cell>
          <cell r="AI242">
            <v>1606764</v>
          </cell>
          <cell r="AJ242">
            <v>23365</v>
          </cell>
          <cell r="AK242">
            <v>188302</v>
          </cell>
          <cell r="AL242">
            <v>6254</v>
          </cell>
          <cell r="AM242">
            <v>339989</v>
          </cell>
          <cell r="AN242">
            <v>0</v>
          </cell>
          <cell r="AO242">
            <v>-1989822</v>
          </cell>
          <cell r="AP242">
            <v>30723142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 t="str">
            <v xml:space="preserve"> </v>
          </cell>
          <cell r="AV242" t="str">
            <v xml:space="preserve"> </v>
          </cell>
          <cell r="AW242" t="str">
            <v xml:space="preserve"> </v>
          </cell>
        </row>
        <row r="243">
          <cell r="C243" t="str">
            <v xml:space="preserve"> STATE CENTER      </v>
          </cell>
          <cell r="D243" t="str">
            <v xml:space="preserve"> KINGS             </v>
          </cell>
          <cell r="E243">
            <v>570</v>
          </cell>
          <cell r="F243" t="str">
            <v xml:space="preserve"> 2015-2016</v>
          </cell>
          <cell r="G243" t="str">
            <v xml:space="preserve"> 11/15/2015</v>
          </cell>
          <cell r="H243">
            <v>54281</v>
          </cell>
          <cell r="I243">
            <v>712</v>
          </cell>
          <cell r="J243">
            <v>2574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633</v>
          </cell>
          <cell r="R243">
            <v>0</v>
          </cell>
          <cell r="S243">
            <v>693</v>
          </cell>
          <cell r="T243">
            <v>0</v>
          </cell>
          <cell r="U243">
            <v>-26908</v>
          </cell>
          <cell r="V243" t="str">
            <v xml:space="preserve"> </v>
          </cell>
          <cell r="W243">
            <v>31985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57027</v>
          </cell>
          <cell r="AC243">
            <v>712</v>
          </cell>
          <cell r="AD243">
            <v>2600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650</v>
          </cell>
          <cell r="AL243">
            <v>0</v>
          </cell>
          <cell r="AM243">
            <v>660</v>
          </cell>
          <cell r="AN243">
            <v>0</v>
          </cell>
          <cell r="AO243">
            <v>-23508</v>
          </cell>
          <cell r="AP243">
            <v>38141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 t="str">
            <v xml:space="preserve"> </v>
          </cell>
          <cell r="AV243" t="str">
            <v xml:space="preserve"> </v>
          </cell>
          <cell r="AW243" t="str">
            <v xml:space="preserve"> </v>
          </cell>
        </row>
        <row r="244">
          <cell r="C244" t="str">
            <v xml:space="preserve"> STATE CENTER      </v>
          </cell>
          <cell r="D244" t="str">
            <v xml:space="preserve"> MADERA            </v>
          </cell>
          <cell r="E244">
            <v>570</v>
          </cell>
          <cell r="F244" t="str">
            <v xml:space="preserve"> 2015-2016</v>
          </cell>
          <cell r="G244" t="str">
            <v xml:space="preserve"> 11/15/2015</v>
          </cell>
          <cell r="H244">
            <v>7204851</v>
          </cell>
          <cell r="I244">
            <v>93380</v>
          </cell>
          <cell r="J244">
            <v>262803</v>
          </cell>
          <cell r="K244">
            <v>44073</v>
          </cell>
          <cell r="L244">
            <v>20935</v>
          </cell>
          <cell r="M244">
            <v>0</v>
          </cell>
          <cell r="N244">
            <v>0</v>
          </cell>
          <cell r="O244">
            <v>94149</v>
          </cell>
          <cell r="P244">
            <v>0</v>
          </cell>
          <cell r="Q244">
            <v>-46332</v>
          </cell>
          <cell r="R244">
            <v>5717</v>
          </cell>
          <cell r="S244">
            <v>81843</v>
          </cell>
          <cell r="T244">
            <v>0</v>
          </cell>
          <cell r="U244">
            <v>0</v>
          </cell>
          <cell r="V244" t="str">
            <v xml:space="preserve"> </v>
          </cell>
          <cell r="W244">
            <v>7717346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7416997</v>
          </cell>
          <cell r="AC244">
            <v>0</v>
          </cell>
          <cell r="AD244">
            <v>274628</v>
          </cell>
          <cell r="AE244">
            <v>42685</v>
          </cell>
          <cell r="AF244">
            <v>20275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79836</v>
          </cell>
          <cell r="AN244">
            <v>0</v>
          </cell>
          <cell r="AO244">
            <v>0</v>
          </cell>
          <cell r="AP244">
            <v>7791736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 t="str">
            <v xml:space="preserve"> </v>
          </cell>
          <cell r="AV244" t="str">
            <v xml:space="preserve"> </v>
          </cell>
          <cell r="AW244" t="str">
            <v xml:space="preserve"> </v>
          </cell>
        </row>
        <row r="245">
          <cell r="C245" t="str">
            <v xml:space="preserve"> STATE CENTER      </v>
          </cell>
          <cell r="D245" t="str">
            <v xml:space="preserve"> TULARE            </v>
          </cell>
          <cell r="E245">
            <v>570</v>
          </cell>
          <cell r="F245" t="str">
            <v xml:space="preserve"> 2015-2016</v>
          </cell>
          <cell r="G245" t="str">
            <v xml:space="preserve"> 11/15/2015</v>
          </cell>
          <cell r="H245">
            <v>695965</v>
          </cell>
          <cell r="I245">
            <v>9363</v>
          </cell>
          <cell r="J245">
            <v>40955</v>
          </cell>
          <cell r="K245">
            <v>39599</v>
          </cell>
          <cell r="L245">
            <v>18810</v>
          </cell>
          <cell r="M245">
            <v>0</v>
          </cell>
          <cell r="N245">
            <v>0</v>
          </cell>
          <cell r="O245">
            <v>42308</v>
          </cell>
          <cell r="P245">
            <v>0</v>
          </cell>
          <cell r="Q245">
            <v>29599</v>
          </cell>
          <cell r="R245">
            <v>0</v>
          </cell>
          <cell r="S245">
            <v>8236</v>
          </cell>
          <cell r="T245">
            <v>0</v>
          </cell>
          <cell r="U245">
            <v>-111669</v>
          </cell>
          <cell r="V245" t="str">
            <v xml:space="preserve"> </v>
          </cell>
          <cell r="W245">
            <v>733567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674222</v>
          </cell>
          <cell r="AC245">
            <v>6394</v>
          </cell>
          <cell r="AD245">
            <v>37736</v>
          </cell>
          <cell r="AE245">
            <v>39599</v>
          </cell>
          <cell r="AF245">
            <v>18810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7184</v>
          </cell>
          <cell r="AN245">
            <v>0</v>
          </cell>
          <cell r="AO245">
            <v>-76310</v>
          </cell>
          <cell r="AP245">
            <v>668036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 t="str">
            <v xml:space="preserve"> </v>
          </cell>
          <cell r="AV245" t="str">
            <v xml:space="preserve"> </v>
          </cell>
          <cell r="AW245" t="str">
            <v xml:space="preserve"> </v>
          </cell>
        </row>
        <row r="246">
          <cell r="C246" t="str">
            <v xml:space="preserve">STATE CENTER Subtotal     </v>
          </cell>
          <cell r="H246">
            <v>36172249</v>
          </cell>
          <cell r="I246">
            <v>523903</v>
          </cell>
          <cell r="J246">
            <v>1578033</v>
          </cell>
          <cell r="K246">
            <v>240821</v>
          </cell>
          <cell r="L246">
            <v>114391</v>
          </cell>
          <cell r="M246">
            <v>0</v>
          </cell>
          <cell r="N246">
            <v>0</v>
          </cell>
          <cell r="O246">
            <v>1743221</v>
          </cell>
          <cell r="P246">
            <v>23365</v>
          </cell>
          <cell r="Q246">
            <v>172202</v>
          </cell>
          <cell r="R246">
            <v>11971</v>
          </cell>
          <cell r="S246">
            <v>430761</v>
          </cell>
          <cell r="T246">
            <v>0</v>
          </cell>
          <cell r="U246">
            <v>-4862115</v>
          </cell>
          <cell r="V246">
            <v>0</v>
          </cell>
          <cell r="W246">
            <v>35907981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36929741</v>
          </cell>
          <cell r="AC246">
            <v>427554</v>
          </cell>
          <cell r="AD246">
            <v>1586665</v>
          </cell>
          <cell r="AE246">
            <v>239433</v>
          </cell>
          <cell r="AF246">
            <v>113731</v>
          </cell>
          <cell r="AG246">
            <v>0</v>
          </cell>
          <cell r="AH246">
            <v>0</v>
          </cell>
          <cell r="AI246">
            <v>1606764</v>
          </cell>
          <cell r="AJ246">
            <v>23365</v>
          </cell>
          <cell r="AK246">
            <v>188952</v>
          </cell>
          <cell r="AL246">
            <v>6254</v>
          </cell>
          <cell r="AM246">
            <v>427669</v>
          </cell>
          <cell r="AN246">
            <v>0</v>
          </cell>
          <cell r="AO246">
            <v>-2089640</v>
          </cell>
          <cell r="AP246">
            <v>39221055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8">
          <cell r="C248" t="str">
            <v xml:space="preserve"> VENTURA           </v>
          </cell>
          <cell r="D248" t="str">
            <v xml:space="preserve"> VENTURA           </v>
          </cell>
          <cell r="E248">
            <v>680</v>
          </cell>
          <cell r="F248" t="str">
            <v xml:space="preserve"> 2015-2016</v>
          </cell>
          <cell r="G248" t="str">
            <v xml:space="preserve"> 11/15/2015</v>
          </cell>
          <cell r="H248">
            <v>53979751</v>
          </cell>
          <cell r="I248">
            <v>832087</v>
          </cell>
          <cell r="J248">
            <v>1506404</v>
          </cell>
          <cell r="K248">
            <v>1529800</v>
          </cell>
          <cell r="L248">
            <v>726655</v>
          </cell>
          <cell r="M248">
            <v>0</v>
          </cell>
          <cell r="N248">
            <v>0</v>
          </cell>
          <cell r="O248">
            <v>2673715</v>
          </cell>
          <cell r="P248">
            <v>97365</v>
          </cell>
          <cell r="Q248">
            <v>95819</v>
          </cell>
          <cell r="R248">
            <v>0</v>
          </cell>
          <cell r="S248">
            <v>480921</v>
          </cell>
          <cell r="T248">
            <v>2735</v>
          </cell>
          <cell r="U248">
            <v>-6947257</v>
          </cell>
          <cell r="V248" t="str">
            <v xml:space="preserve"> </v>
          </cell>
          <cell r="W248">
            <v>53448195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53858316</v>
          </cell>
          <cell r="AC248">
            <v>624065</v>
          </cell>
          <cell r="AD248">
            <v>1741438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450</v>
          </cell>
          <cell r="AJ248">
            <v>0</v>
          </cell>
          <cell r="AK248">
            <v>76655</v>
          </cell>
          <cell r="AL248">
            <v>0</v>
          </cell>
          <cell r="AM248">
            <v>456875</v>
          </cell>
          <cell r="AN248">
            <v>2461</v>
          </cell>
          <cell r="AO248">
            <v>-6944534</v>
          </cell>
          <cell r="AP248">
            <v>49815726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 t="str">
            <v xml:space="preserve"> </v>
          </cell>
          <cell r="AV248" t="str">
            <v xml:space="preserve"> </v>
          </cell>
          <cell r="AW248" t="str">
            <v xml:space="preserve"> </v>
          </cell>
        </row>
        <row r="249">
          <cell r="C249" t="str">
            <v xml:space="preserve">VENTURA Subtotal           </v>
          </cell>
          <cell r="H249">
            <v>53979751</v>
          </cell>
          <cell r="I249">
            <v>832087</v>
          </cell>
          <cell r="J249">
            <v>1506404</v>
          </cell>
          <cell r="K249">
            <v>1529800</v>
          </cell>
          <cell r="L249">
            <v>726655</v>
          </cell>
          <cell r="M249">
            <v>0</v>
          </cell>
          <cell r="N249">
            <v>0</v>
          </cell>
          <cell r="O249">
            <v>2673715</v>
          </cell>
          <cell r="P249">
            <v>97365</v>
          </cell>
          <cell r="Q249">
            <v>95819</v>
          </cell>
          <cell r="R249">
            <v>0</v>
          </cell>
          <cell r="S249">
            <v>480921</v>
          </cell>
          <cell r="T249">
            <v>2735</v>
          </cell>
          <cell r="U249">
            <v>-6947257</v>
          </cell>
          <cell r="V249">
            <v>0</v>
          </cell>
          <cell r="W249">
            <v>53448195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53858316</v>
          </cell>
          <cell r="AC249">
            <v>624065</v>
          </cell>
          <cell r="AD249">
            <v>1741438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450</v>
          </cell>
          <cell r="AJ249">
            <v>0</v>
          </cell>
          <cell r="AK249">
            <v>76655</v>
          </cell>
          <cell r="AL249">
            <v>0</v>
          </cell>
          <cell r="AM249">
            <v>456875</v>
          </cell>
          <cell r="AN249">
            <v>2461</v>
          </cell>
          <cell r="AO249">
            <v>-6944534</v>
          </cell>
          <cell r="AP249">
            <v>49815726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1">
          <cell r="C251" t="str">
            <v xml:space="preserve"> VICTOR VALLEY     </v>
          </cell>
          <cell r="D251" t="str">
            <v xml:space="preserve"> LOS ANGELES       </v>
          </cell>
          <cell r="E251">
            <v>990</v>
          </cell>
          <cell r="F251" t="str">
            <v xml:space="preserve"> 2015-2016</v>
          </cell>
          <cell r="G251" t="str">
            <v xml:space="preserve"> 11/15/2015</v>
          </cell>
          <cell r="H251">
            <v>18790</v>
          </cell>
          <cell r="I251">
            <v>459</v>
          </cell>
          <cell r="J251">
            <v>658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580</v>
          </cell>
          <cell r="R251">
            <v>0</v>
          </cell>
          <cell r="S251">
            <v>126</v>
          </cell>
          <cell r="T251">
            <v>0</v>
          </cell>
          <cell r="U251">
            <v>0</v>
          </cell>
          <cell r="V251" t="str">
            <v xml:space="preserve"> </v>
          </cell>
          <cell r="W251">
            <v>20613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19617</v>
          </cell>
          <cell r="AC251">
            <v>574</v>
          </cell>
          <cell r="AD251">
            <v>700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894</v>
          </cell>
          <cell r="AL251">
            <v>0</v>
          </cell>
          <cell r="AM251">
            <v>100</v>
          </cell>
          <cell r="AN251">
            <v>0</v>
          </cell>
          <cell r="AO251">
            <v>0</v>
          </cell>
          <cell r="AP251">
            <v>21885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 t="str">
            <v xml:space="preserve"> </v>
          </cell>
          <cell r="AV251" t="str">
            <v xml:space="preserve"> </v>
          </cell>
          <cell r="AW251" t="str">
            <v xml:space="preserve"> </v>
          </cell>
        </row>
        <row r="252">
          <cell r="C252" t="str">
            <v xml:space="preserve"> VICTOR VALLEY     </v>
          </cell>
          <cell r="D252" t="str">
            <v xml:space="preserve"> SAN BERNARDINO    </v>
          </cell>
          <cell r="E252">
            <v>990</v>
          </cell>
          <cell r="F252" t="str">
            <v xml:space="preserve"> 2015-2016</v>
          </cell>
          <cell r="G252" t="str">
            <v xml:space="preserve"> 11/15/2015</v>
          </cell>
          <cell r="H252">
            <v>11120440</v>
          </cell>
          <cell r="I252">
            <v>222756</v>
          </cell>
          <cell r="J252">
            <v>463844</v>
          </cell>
          <cell r="K252">
            <v>205296</v>
          </cell>
          <cell r="L252">
            <v>97516</v>
          </cell>
          <cell r="M252">
            <v>0</v>
          </cell>
          <cell r="N252">
            <v>0</v>
          </cell>
          <cell r="O252">
            <v>388890</v>
          </cell>
          <cell r="P252">
            <v>0</v>
          </cell>
          <cell r="Q252">
            <v>5720</v>
          </cell>
          <cell r="R252">
            <v>0</v>
          </cell>
          <cell r="S252">
            <v>124750</v>
          </cell>
          <cell r="T252">
            <v>0</v>
          </cell>
          <cell r="U252">
            <v>-4591069</v>
          </cell>
          <cell r="V252" t="str">
            <v xml:space="preserve"> </v>
          </cell>
          <cell r="W252">
            <v>7832847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11492735</v>
          </cell>
          <cell r="AC252">
            <v>222756</v>
          </cell>
          <cell r="AD252">
            <v>447052</v>
          </cell>
          <cell r="AE252">
            <v>253299</v>
          </cell>
          <cell r="AF252">
            <v>120317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14330</v>
          </cell>
          <cell r="AL252">
            <v>0</v>
          </cell>
          <cell r="AM252">
            <v>124652</v>
          </cell>
          <cell r="AN252">
            <v>0</v>
          </cell>
          <cell r="AO252">
            <v>-3314459</v>
          </cell>
          <cell r="AP252">
            <v>9107383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 t="str">
            <v xml:space="preserve"> </v>
          </cell>
          <cell r="AV252" t="str">
            <v xml:space="preserve"> </v>
          </cell>
          <cell r="AW252" t="str">
            <v xml:space="preserve"> </v>
          </cell>
        </row>
        <row r="253">
          <cell r="C253" t="str">
            <v>VICTOR VALLEY Subtotal</v>
          </cell>
          <cell r="H253">
            <v>11139230</v>
          </cell>
          <cell r="I253">
            <v>223215</v>
          </cell>
          <cell r="J253">
            <v>464502</v>
          </cell>
          <cell r="K253">
            <v>205296</v>
          </cell>
          <cell r="L253">
            <v>97516</v>
          </cell>
          <cell r="M253">
            <v>0</v>
          </cell>
          <cell r="N253">
            <v>0</v>
          </cell>
          <cell r="O253">
            <v>388890</v>
          </cell>
          <cell r="P253">
            <v>0</v>
          </cell>
          <cell r="Q253">
            <v>6300</v>
          </cell>
          <cell r="R253">
            <v>0</v>
          </cell>
          <cell r="S253">
            <v>124876</v>
          </cell>
          <cell r="T253">
            <v>0</v>
          </cell>
          <cell r="U253">
            <v>-4591069</v>
          </cell>
          <cell r="V253">
            <v>0</v>
          </cell>
          <cell r="W253">
            <v>7853460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11512352</v>
          </cell>
          <cell r="AC253">
            <v>223330</v>
          </cell>
          <cell r="AD253">
            <v>447752</v>
          </cell>
          <cell r="AE253">
            <v>253299</v>
          </cell>
          <cell r="AF253">
            <v>120317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15224</v>
          </cell>
          <cell r="AL253">
            <v>0</v>
          </cell>
          <cell r="AM253">
            <v>124752</v>
          </cell>
          <cell r="AN253">
            <v>0</v>
          </cell>
          <cell r="AO253">
            <v>-3314459</v>
          </cell>
          <cell r="AP253">
            <v>9129268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5">
          <cell r="C255" t="str">
            <v xml:space="preserve"> WEST HILLS        </v>
          </cell>
          <cell r="D255" t="str">
            <v xml:space="preserve"> FRESNO            </v>
          </cell>
          <cell r="E255">
            <v>580</v>
          </cell>
          <cell r="F255" t="str">
            <v xml:space="preserve"> 2015-2016</v>
          </cell>
          <cell r="G255" t="str">
            <v xml:space="preserve"> 11/15/2015</v>
          </cell>
          <cell r="H255">
            <v>4009173</v>
          </cell>
          <cell r="I255">
            <v>59862</v>
          </cell>
          <cell r="J255">
            <v>188449</v>
          </cell>
          <cell r="K255">
            <v>18112</v>
          </cell>
          <cell r="L255">
            <v>8603</v>
          </cell>
          <cell r="M255">
            <v>0</v>
          </cell>
          <cell r="N255">
            <v>0</v>
          </cell>
          <cell r="O255">
            <v>150488</v>
          </cell>
          <cell r="P255">
            <v>0</v>
          </cell>
          <cell r="Q255">
            <v>27173</v>
          </cell>
          <cell r="R255">
            <v>0</v>
          </cell>
          <cell r="S255">
            <v>50183</v>
          </cell>
          <cell r="T255">
            <v>0</v>
          </cell>
          <cell r="U255">
            <v>-669821</v>
          </cell>
          <cell r="V255" t="str">
            <v xml:space="preserve"> </v>
          </cell>
          <cell r="W255">
            <v>3824110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4089356</v>
          </cell>
          <cell r="AC255">
            <v>59862</v>
          </cell>
          <cell r="AD255">
            <v>188449</v>
          </cell>
          <cell r="AE255">
            <v>18112</v>
          </cell>
          <cell r="AF255">
            <v>8603</v>
          </cell>
          <cell r="AG255">
            <v>0</v>
          </cell>
          <cell r="AH255">
            <v>0</v>
          </cell>
          <cell r="AI255">
            <v>150488</v>
          </cell>
          <cell r="AJ255">
            <v>0</v>
          </cell>
          <cell r="AK255">
            <v>27173</v>
          </cell>
          <cell r="AL255">
            <v>0</v>
          </cell>
          <cell r="AM255">
            <v>50183</v>
          </cell>
          <cell r="AN255">
            <v>0</v>
          </cell>
          <cell r="AO255">
            <v>-282167</v>
          </cell>
          <cell r="AP255">
            <v>4291947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 t="str">
            <v xml:space="preserve"> </v>
          </cell>
          <cell r="AV255" t="str">
            <v xml:space="preserve"> </v>
          </cell>
          <cell r="AW255" t="str">
            <v xml:space="preserve"> </v>
          </cell>
        </row>
        <row r="256">
          <cell r="C256" t="str">
            <v xml:space="preserve"> WEST HILLS        </v>
          </cell>
          <cell r="D256" t="str">
            <v xml:space="preserve"> KINGS             </v>
          </cell>
          <cell r="E256">
            <v>580</v>
          </cell>
          <cell r="F256" t="str">
            <v xml:space="preserve"> 2015-2016</v>
          </cell>
          <cell r="G256" t="str">
            <v xml:space="preserve"> 11/15/2015</v>
          </cell>
          <cell r="H256">
            <v>1029248</v>
          </cell>
          <cell r="I256">
            <v>13461</v>
          </cell>
          <cell r="J256">
            <v>44869</v>
          </cell>
          <cell r="K256">
            <v>58746</v>
          </cell>
          <cell r="L256">
            <v>27904</v>
          </cell>
          <cell r="M256">
            <v>0</v>
          </cell>
          <cell r="N256">
            <v>0</v>
          </cell>
          <cell r="O256">
            <v>259229</v>
          </cell>
          <cell r="P256">
            <v>419</v>
          </cell>
          <cell r="Q256">
            <v>11040</v>
          </cell>
          <cell r="R256">
            <v>0</v>
          </cell>
          <cell r="S256">
            <v>13100</v>
          </cell>
          <cell r="T256">
            <v>0</v>
          </cell>
          <cell r="U256">
            <v>-508450</v>
          </cell>
          <cell r="V256" t="str">
            <v xml:space="preserve"> </v>
          </cell>
          <cell r="W256">
            <v>890820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1078117</v>
          </cell>
          <cell r="AC256">
            <v>13000</v>
          </cell>
          <cell r="AD256">
            <v>44000</v>
          </cell>
          <cell r="AE256">
            <v>58000</v>
          </cell>
          <cell r="AF256">
            <v>27550</v>
          </cell>
          <cell r="AG256">
            <v>0</v>
          </cell>
          <cell r="AH256">
            <v>0</v>
          </cell>
          <cell r="AI256">
            <v>259229</v>
          </cell>
          <cell r="AJ256">
            <v>0</v>
          </cell>
          <cell r="AK256">
            <v>11040</v>
          </cell>
          <cell r="AL256">
            <v>0</v>
          </cell>
          <cell r="AM256">
            <v>12462</v>
          </cell>
          <cell r="AN256">
            <v>0</v>
          </cell>
          <cell r="AO256">
            <v>-444400</v>
          </cell>
          <cell r="AP256">
            <v>1000998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 t="str">
            <v xml:space="preserve"> </v>
          </cell>
          <cell r="AV256" t="str">
            <v xml:space="preserve"> </v>
          </cell>
          <cell r="AW256" t="str">
            <v xml:space="preserve"> </v>
          </cell>
        </row>
        <row r="257">
          <cell r="C257" t="str">
            <v xml:space="preserve"> WEST HILLS        </v>
          </cell>
          <cell r="D257" t="str">
            <v xml:space="preserve"> MADERA            </v>
          </cell>
          <cell r="E257">
            <v>580</v>
          </cell>
          <cell r="F257" t="str">
            <v xml:space="preserve"> 2015-2016</v>
          </cell>
          <cell r="G257" t="str">
            <v xml:space="preserve"> 11/15/2015</v>
          </cell>
          <cell r="H257">
            <v>314617</v>
          </cell>
          <cell r="I257">
            <v>3664</v>
          </cell>
          <cell r="J257">
            <v>13329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-1571</v>
          </cell>
          <cell r="R257">
            <v>0</v>
          </cell>
          <cell r="S257">
            <v>3447</v>
          </cell>
          <cell r="T257">
            <v>0</v>
          </cell>
          <cell r="U257">
            <v>0</v>
          </cell>
          <cell r="V257" t="str">
            <v xml:space="preserve"> </v>
          </cell>
          <cell r="W257">
            <v>333486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373639</v>
          </cell>
          <cell r="AC257">
            <v>0</v>
          </cell>
          <cell r="AD257">
            <v>15933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3900</v>
          </cell>
          <cell r="AN257">
            <v>0</v>
          </cell>
          <cell r="AO257">
            <v>0</v>
          </cell>
          <cell r="AP257">
            <v>393472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 t="str">
            <v xml:space="preserve"> </v>
          </cell>
          <cell r="AV257" t="str">
            <v xml:space="preserve"> </v>
          </cell>
          <cell r="AW257" t="str">
            <v xml:space="preserve"> </v>
          </cell>
        </row>
        <row r="258">
          <cell r="C258" t="str">
            <v xml:space="preserve"> WEST HILLS        </v>
          </cell>
          <cell r="D258" t="str">
            <v xml:space="preserve"> MONTEREY          </v>
          </cell>
          <cell r="E258">
            <v>580</v>
          </cell>
          <cell r="F258" t="str">
            <v xml:space="preserve"> 2015-2016</v>
          </cell>
          <cell r="G258" t="str">
            <v xml:space="preserve"> 11/15/2015</v>
          </cell>
          <cell r="H258">
            <v>7534</v>
          </cell>
          <cell r="I258">
            <v>145</v>
          </cell>
          <cell r="J258">
            <v>305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121</v>
          </cell>
          <cell r="R258">
            <v>0</v>
          </cell>
          <cell r="S258">
            <v>45</v>
          </cell>
          <cell r="T258">
            <v>0</v>
          </cell>
          <cell r="U258">
            <v>0</v>
          </cell>
          <cell r="V258" t="str">
            <v xml:space="preserve"> </v>
          </cell>
          <cell r="W258">
            <v>8150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7892</v>
          </cell>
          <cell r="AC258">
            <v>87</v>
          </cell>
          <cell r="AD258">
            <v>319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72</v>
          </cell>
          <cell r="AL258">
            <v>0</v>
          </cell>
          <cell r="AM258">
            <v>46</v>
          </cell>
          <cell r="AN258">
            <v>0</v>
          </cell>
          <cell r="AO258">
            <v>0</v>
          </cell>
          <cell r="AP258">
            <v>8416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 t="str">
            <v xml:space="preserve"> </v>
          </cell>
          <cell r="AV258" t="str">
            <v xml:space="preserve"> </v>
          </cell>
          <cell r="AW258" t="str">
            <v xml:space="preserve"> </v>
          </cell>
        </row>
        <row r="259">
          <cell r="C259" t="str">
            <v xml:space="preserve"> WEST HILLS        </v>
          </cell>
          <cell r="D259" t="str">
            <v xml:space="preserve"> SAN BENITO        </v>
          </cell>
          <cell r="E259">
            <v>580</v>
          </cell>
          <cell r="F259" t="str">
            <v xml:space="preserve"> 2015-2016</v>
          </cell>
          <cell r="G259" t="str">
            <v xml:space="preserve"> 11/15/2015</v>
          </cell>
          <cell r="H259">
            <v>1320</v>
          </cell>
          <cell r="I259">
            <v>18</v>
          </cell>
          <cell r="J259">
            <v>71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1</v>
          </cell>
          <cell r="R259">
            <v>0</v>
          </cell>
          <cell r="S259">
            <v>12</v>
          </cell>
          <cell r="T259">
            <v>0</v>
          </cell>
          <cell r="U259">
            <v>-38</v>
          </cell>
          <cell r="V259" t="str">
            <v xml:space="preserve"> </v>
          </cell>
          <cell r="W259">
            <v>1384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1380</v>
          </cell>
          <cell r="AC259">
            <v>21</v>
          </cell>
          <cell r="AD259">
            <v>66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1</v>
          </cell>
          <cell r="AL259">
            <v>0</v>
          </cell>
          <cell r="AM259">
            <v>12</v>
          </cell>
          <cell r="AN259">
            <v>0</v>
          </cell>
          <cell r="AO259">
            <v>-7</v>
          </cell>
          <cell r="AP259">
            <v>1473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 t="str">
            <v xml:space="preserve"> </v>
          </cell>
          <cell r="AV259" t="str">
            <v xml:space="preserve"> </v>
          </cell>
          <cell r="AW259" t="str">
            <v xml:space="preserve"> </v>
          </cell>
        </row>
        <row r="260">
          <cell r="C260" t="str">
            <v>WEST HILLS Subtotal</v>
          </cell>
          <cell r="H260">
            <v>5361892</v>
          </cell>
          <cell r="I260">
            <v>77150</v>
          </cell>
          <cell r="J260">
            <v>247023</v>
          </cell>
          <cell r="K260">
            <v>76858</v>
          </cell>
          <cell r="L260">
            <v>36507</v>
          </cell>
          <cell r="M260">
            <v>0</v>
          </cell>
          <cell r="N260">
            <v>0</v>
          </cell>
          <cell r="O260">
            <v>409717</v>
          </cell>
          <cell r="P260">
            <v>419</v>
          </cell>
          <cell r="Q260">
            <v>36764</v>
          </cell>
          <cell r="R260">
            <v>0</v>
          </cell>
          <cell r="S260">
            <v>66787</v>
          </cell>
          <cell r="T260">
            <v>0</v>
          </cell>
          <cell r="U260">
            <v>-1178309</v>
          </cell>
          <cell r="V260">
            <v>0</v>
          </cell>
          <cell r="W260">
            <v>5057950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5550384</v>
          </cell>
          <cell r="AC260">
            <v>72970</v>
          </cell>
          <cell r="AD260">
            <v>248767</v>
          </cell>
          <cell r="AE260">
            <v>76112</v>
          </cell>
          <cell r="AF260">
            <v>36153</v>
          </cell>
          <cell r="AG260">
            <v>0</v>
          </cell>
          <cell r="AH260">
            <v>0</v>
          </cell>
          <cell r="AI260">
            <v>409717</v>
          </cell>
          <cell r="AJ260">
            <v>0</v>
          </cell>
          <cell r="AK260">
            <v>38286</v>
          </cell>
          <cell r="AL260">
            <v>0</v>
          </cell>
          <cell r="AM260">
            <v>66603</v>
          </cell>
          <cell r="AN260">
            <v>0</v>
          </cell>
          <cell r="AO260">
            <v>-726574</v>
          </cell>
          <cell r="AP260">
            <v>5696306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2">
          <cell r="C262" t="str">
            <v xml:space="preserve"> WEST KERN         </v>
          </cell>
          <cell r="D262" t="str">
            <v xml:space="preserve"> KERN              </v>
          </cell>
          <cell r="E262">
            <v>690</v>
          </cell>
          <cell r="F262" t="str">
            <v xml:space="preserve"> 2015-2016</v>
          </cell>
          <cell r="G262" t="str">
            <v xml:space="preserve"> 11/15/2015</v>
          </cell>
          <cell r="H262">
            <v>8111958</v>
          </cell>
          <cell r="I262">
            <v>381617</v>
          </cell>
          <cell r="J262">
            <v>993315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94213</v>
          </cell>
          <cell r="T262">
            <v>0</v>
          </cell>
          <cell r="U262">
            <v>0</v>
          </cell>
          <cell r="V262" t="str">
            <v xml:space="preserve"> </v>
          </cell>
          <cell r="W262">
            <v>9581103</v>
          </cell>
          <cell r="X262">
            <v>3268961</v>
          </cell>
          <cell r="Y262">
            <v>0</v>
          </cell>
          <cell r="Z262">
            <v>0</v>
          </cell>
          <cell r="AA262">
            <v>0</v>
          </cell>
          <cell r="AB262">
            <v>7389579</v>
          </cell>
          <cell r="AC262">
            <v>192308</v>
          </cell>
          <cell r="AD262">
            <v>754462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66165</v>
          </cell>
          <cell r="AN262">
            <v>0</v>
          </cell>
          <cell r="AO262">
            <v>0</v>
          </cell>
          <cell r="AP262">
            <v>8402514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 t="str">
            <v xml:space="preserve"> </v>
          </cell>
          <cell r="AV262" t="str">
            <v xml:space="preserve"> </v>
          </cell>
          <cell r="AW262" t="str">
            <v xml:space="preserve"> </v>
          </cell>
        </row>
        <row r="263">
          <cell r="C263" t="str">
            <v xml:space="preserve">WEST KERN Subtotal       </v>
          </cell>
          <cell r="H263">
            <v>8111958</v>
          </cell>
          <cell r="I263">
            <v>381617</v>
          </cell>
          <cell r="J263">
            <v>993315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94213</v>
          </cell>
          <cell r="T263">
            <v>0</v>
          </cell>
          <cell r="U263">
            <v>0</v>
          </cell>
          <cell r="V263">
            <v>0</v>
          </cell>
          <cell r="W263">
            <v>9581103</v>
          </cell>
          <cell r="X263">
            <v>3268961</v>
          </cell>
          <cell r="Y263">
            <v>0</v>
          </cell>
          <cell r="Z263">
            <v>0</v>
          </cell>
          <cell r="AA263">
            <v>0</v>
          </cell>
          <cell r="AB263">
            <v>7389579</v>
          </cell>
          <cell r="AC263">
            <v>192308</v>
          </cell>
          <cell r="AD263">
            <v>754462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66165</v>
          </cell>
          <cell r="AN263">
            <v>0</v>
          </cell>
          <cell r="AO263">
            <v>0</v>
          </cell>
          <cell r="AP263">
            <v>8402514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5">
          <cell r="C265" t="str">
            <v xml:space="preserve"> WEST VALLEY       </v>
          </cell>
          <cell r="D265" t="str">
            <v xml:space="preserve"> SANTA CLARA       </v>
          </cell>
          <cell r="E265">
            <v>490</v>
          </cell>
          <cell r="F265" t="str">
            <v xml:space="preserve"> 2015-2016</v>
          </cell>
          <cell r="G265" t="str">
            <v xml:space="preserve"> 11/15/2015</v>
          </cell>
          <cell r="H265">
            <v>70755752</v>
          </cell>
          <cell r="I265">
            <v>3027475</v>
          </cell>
          <cell r="J265">
            <v>6452410</v>
          </cell>
          <cell r="K265">
            <v>1396386</v>
          </cell>
          <cell r="L265">
            <v>663283</v>
          </cell>
          <cell r="M265">
            <v>0</v>
          </cell>
          <cell r="N265">
            <v>0</v>
          </cell>
          <cell r="O265">
            <v>2438184</v>
          </cell>
          <cell r="P265">
            <v>2544780</v>
          </cell>
          <cell r="Q265">
            <v>0</v>
          </cell>
          <cell r="R265">
            <v>83</v>
          </cell>
          <cell r="S265">
            <v>504285</v>
          </cell>
          <cell r="T265">
            <v>0</v>
          </cell>
          <cell r="U265">
            <v>0</v>
          </cell>
          <cell r="V265" t="str">
            <v xml:space="preserve"> </v>
          </cell>
          <cell r="W265">
            <v>86386252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76096002</v>
          </cell>
          <cell r="AC265">
            <v>1816000</v>
          </cell>
          <cell r="AD265">
            <v>7051000</v>
          </cell>
          <cell r="AE265">
            <v>2160408</v>
          </cell>
          <cell r="AF265">
            <v>1026194</v>
          </cell>
          <cell r="AG265">
            <v>0</v>
          </cell>
          <cell r="AH265">
            <v>0</v>
          </cell>
          <cell r="AI265">
            <v>4608895</v>
          </cell>
          <cell r="AJ265">
            <v>0</v>
          </cell>
          <cell r="AK265">
            <v>0</v>
          </cell>
          <cell r="AL265">
            <v>83</v>
          </cell>
          <cell r="AM265">
            <v>506753</v>
          </cell>
          <cell r="AN265">
            <v>0</v>
          </cell>
          <cell r="AO265">
            <v>0</v>
          </cell>
          <cell r="AP265">
            <v>91104927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 t="str">
            <v xml:space="preserve"> </v>
          </cell>
          <cell r="AV265" t="str">
            <v xml:space="preserve"> </v>
          </cell>
          <cell r="AW265" t="str">
            <v xml:space="preserve"> </v>
          </cell>
        </row>
        <row r="266">
          <cell r="C266" t="str">
            <v xml:space="preserve"> WEST VALLEY       </v>
          </cell>
          <cell r="D266" t="str">
            <v xml:space="preserve"> SANTA CRUZ        </v>
          </cell>
          <cell r="E266">
            <v>490</v>
          </cell>
          <cell r="F266" t="str">
            <v xml:space="preserve"> 2015-2016</v>
          </cell>
          <cell r="G266" t="str">
            <v xml:space="preserve"> 11/15/2015</v>
          </cell>
          <cell r="H266">
            <v>963318</v>
          </cell>
          <cell r="I266">
            <v>0</v>
          </cell>
          <cell r="J266">
            <v>19858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2550</v>
          </cell>
          <cell r="R266">
            <v>0</v>
          </cell>
          <cell r="S266">
            <v>7455</v>
          </cell>
          <cell r="T266">
            <v>0</v>
          </cell>
          <cell r="U266">
            <v>0</v>
          </cell>
          <cell r="V266" t="str">
            <v xml:space="preserve"> </v>
          </cell>
          <cell r="W266">
            <v>993181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1041369</v>
          </cell>
          <cell r="AC266">
            <v>0</v>
          </cell>
          <cell r="AD266">
            <v>22944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7240</v>
          </cell>
          <cell r="AN266">
            <v>0</v>
          </cell>
          <cell r="AO266">
            <v>0</v>
          </cell>
          <cell r="AP266">
            <v>1071553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 t="str">
            <v xml:space="preserve"> </v>
          </cell>
          <cell r="AV266" t="str">
            <v xml:space="preserve"> </v>
          </cell>
          <cell r="AW266" t="str">
            <v xml:space="preserve"> </v>
          </cell>
        </row>
        <row r="267">
          <cell r="C267" t="str">
            <v xml:space="preserve">WEST VALLEY Subtotal       </v>
          </cell>
          <cell r="H267">
            <v>71719070</v>
          </cell>
          <cell r="I267">
            <v>3027475</v>
          </cell>
          <cell r="J267">
            <v>6472268</v>
          </cell>
          <cell r="K267">
            <v>1396386</v>
          </cell>
          <cell r="L267">
            <v>663283</v>
          </cell>
          <cell r="M267">
            <v>0</v>
          </cell>
          <cell r="N267">
            <v>0</v>
          </cell>
          <cell r="O267">
            <v>2438184</v>
          </cell>
          <cell r="P267">
            <v>2544780</v>
          </cell>
          <cell r="Q267">
            <v>2550</v>
          </cell>
          <cell r="R267">
            <v>83</v>
          </cell>
          <cell r="S267">
            <v>511740</v>
          </cell>
          <cell r="T267">
            <v>0</v>
          </cell>
          <cell r="U267">
            <v>0</v>
          </cell>
          <cell r="V267">
            <v>0</v>
          </cell>
          <cell r="W267">
            <v>87379433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77137371</v>
          </cell>
          <cell r="AC267">
            <v>1816000</v>
          </cell>
          <cell r="AD267">
            <v>7073944</v>
          </cell>
          <cell r="AE267">
            <v>2160408</v>
          </cell>
          <cell r="AF267">
            <v>1026194</v>
          </cell>
          <cell r="AG267">
            <v>0</v>
          </cell>
          <cell r="AH267">
            <v>0</v>
          </cell>
          <cell r="AI267">
            <v>4608895</v>
          </cell>
          <cell r="AJ267">
            <v>0</v>
          </cell>
          <cell r="AK267">
            <v>0</v>
          </cell>
          <cell r="AL267">
            <v>83</v>
          </cell>
          <cell r="AM267">
            <v>513993</v>
          </cell>
          <cell r="AN267">
            <v>0</v>
          </cell>
          <cell r="AO267">
            <v>0</v>
          </cell>
          <cell r="AP267">
            <v>92176480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9">
          <cell r="C269" t="str">
            <v xml:space="preserve"> YOSEMITE          </v>
          </cell>
          <cell r="D269" t="str">
            <v xml:space="preserve"> CALAVERAS         </v>
          </cell>
          <cell r="E269">
            <v>590</v>
          </cell>
          <cell r="F269" t="str">
            <v xml:space="preserve"> 2015-2016</v>
          </cell>
          <cell r="G269" t="str">
            <v xml:space="preserve"> 11/15/2015</v>
          </cell>
          <cell r="H269">
            <v>1902625</v>
          </cell>
          <cell r="I269">
            <v>34099</v>
          </cell>
          <cell r="J269">
            <v>32089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2069</v>
          </cell>
          <cell r="R269">
            <v>108</v>
          </cell>
          <cell r="S269">
            <v>26175</v>
          </cell>
          <cell r="T269">
            <v>0</v>
          </cell>
          <cell r="U269">
            <v>0</v>
          </cell>
          <cell r="V269" t="str">
            <v xml:space="preserve"> </v>
          </cell>
          <cell r="W269">
            <v>1997165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1999881</v>
          </cell>
          <cell r="AC269">
            <v>33000</v>
          </cell>
          <cell r="AD269">
            <v>32100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1500</v>
          </cell>
          <cell r="AL269">
            <v>108</v>
          </cell>
          <cell r="AM269">
            <v>25700</v>
          </cell>
          <cell r="AN269">
            <v>0</v>
          </cell>
          <cell r="AO269">
            <v>0</v>
          </cell>
          <cell r="AP269">
            <v>2092289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 t="str">
            <v xml:space="preserve"> </v>
          </cell>
          <cell r="AV269" t="str">
            <v xml:space="preserve"> </v>
          </cell>
          <cell r="AW269" t="str">
            <v xml:space="preserve"> </v>
          </cell>
        </row>
        <row r="270">
          <cell r="C270" t="str">
            <v xml:space="preserve"> YOSEMITE          </v>
          </cell>
          <cell r="D270" t="str">
            <v xml:space="preserve"> MERCED            </v>
          </cell>
          <cell r="E270">
            <v>590</v>
          </cell>
          <cell r="F270" t="str">
            <v xml:space="preserve"> 2015-2016</v>
          </cell>
          <cell r="G270" t="str">
            <v xml:space="preserve"> 11/15/2015</v>
          </cell>
          <cell r="H270">
            <v>1509558</v>
          </cell>
          <cell r="I270">
            <v>33833</v>
          </cell>
          <cell r="J270">
            <v>117257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4238</v>
          </cell>
          <cell r="R270">
            <v>2</v>
          </cell>
          <cell r="S270">
            <v>18210</v>
          </cell>
          <cell r="T270">
            <v>1868</v>
          </cell>
          <cell r="U270">
            <v>-121997</v>
          </cell>
          <cell r="V270" t="str">
            <v xml:space="preserve"> </v>
          </cell>
          <cell r="W270">
            <v>1562969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1585036</v>
          </cell>
          <cell r="AC270">
            <v>35525</v>
          </cell>
          <cell r="AD270">
            <v>123120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4450</v>
          </cell>
          <cell r="AL270">
            <v>2</v>
          </cell>
          <cell r="AM270">
            <v>19120</v>
          </cell>
          <cell r="AN270">
            <v>1961</v>
          </cell>
          <cell r="AO270">
            <v>-128097</v>
          </cell>
          <cell r="AP270">
            <v>1641117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 t="str">
            <v xml:space="preserve"> </v>
          </cell>
          <cell r="AV270" t="str">
            <v xml:space="preserve"> </v>
          </cell>
          <cell r="AW270" t="str">
            <v xml:space="preserve"> </v>
          </cell>
        </row>
        <row r="271">
          <cell r="C271" t="str">
            <v xml:space="preserve"> YOSEMITE          </v>
          </cell>
          <cell r="D271" t="str">
            <v xml:space="preserve"> SAN JOAQUIN       </v>
          </cell>
          <cell r="E271">
            <v>590</v>
          </cell>
          <cell r="F271" t="str">
            <v xml:space="preserve"> 2015-2016</v>
          </cell>
          <cell r="G271" t="str">
            <v xml:space="preserve"> 11/15/2015</v>
          </cell>
          <cell r="H271">
            <v>975012</v>
          </cell>
          <cell r="I271">
            <v>10627</v>
          </cell>
          <cell r="J271">
            <v>59834</v>
          </cell>
          <cell r="K271">
            <v>42103</v>
          </cell>
          <cell r="L271">
            <v>19999</v>
          </cell>
          <cell r="M271">
            <v>0</v>
          </cell>
          <cell r="N271">
            <v>0</v>
          </cell>
          <cell r="O271">
            <v>248616</v>
          </cell>
          <cell r="P271">
            <v>0</v>
          </cell>
          <cell r="Q271">
            <v>1031</v>
          </cell>
          <cell r="R271">
            <v>0</v>
          </cell>
          <cell r="S271">
            <v>11116</v>
          </cell>
          <cell r="T271">
            <v>0</v>
          </cell>
          <cell r="U271">
            <v>0</v>
          </cell>
          <cell r="V271" t="str">
            <v xml:space="preserve"> </v>
          </cell>
          <cell r="W271">
            <v>1326235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1054129</v>
          </cell>
          <cell r="AC271">
            <v>10946</v>
          </cell>
          <cell r="AD271">
            <v>60844</v>
          </cell>
          <cell r="AE271">
            <v>48687</v>
          </cell>
          <cell r="AF271">
            <v>23126</v>
          </cell>
          <cell r="AG271">
            <v>0</v>
          </cell>
          <cell r="AH271">
            <v>0</v>
          </cell>
          <cell r="AI271">
            <v>51762</v>
          </cell>
          <cell r="AJ271">
            <v>0</v>
          </cell>
          <cell r="AK271">
            <v>1031</v>
          </cell>
          <cell r="AL271">
            <v>0</v>
          </cell>
          <cell r="AM271">
            <v>11048</v>
          </cell>
          <cell r="AN271">
            <v>0</v>
          </cell>
          <cell r="AO271">
            <v>0</v>
          </cell>
          <cell r="AP271">
            <v>1212886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 t="str">
            <v xml:space="preserve"> </v>
          </cell>
          <cell r="AV271" t="str">
            <v xml:space="preserve"> </v>
          </cell>
          <cell r="AW271" t="str">
            <v xml:space="preserve"> </v>
          </cell>
        </row>
        <row r="272">
          <cell r="C272" t="str">
            <v xml:space="preserve"> YOSEMITE          </v>
          </cell>
          <cell r="D272" t="str">
            <v xml:space="preserve"> SANTA CLARA       </v>
          </cell>
          <cell r="E272">
            <v>590</v>
          </cell>
          <cell r="F272" t="str">
            <v xml:space="preserve"> 2015-2016</v>
          </cell>
          <cell r="G272" t="str">
            <v xml:space="preserve"> 11/15/2015</v>
          </cell>
          <cell r="H272">
            <v>22696</v>
          </cell>
          <cell r="I272">
            <v>702</v>
          </cell>
          <cell r="J272">
            <v>1599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125</v>
          </cell>
          <cell r="T272">
            <v>0</v>
          </cell>
          <cell r="U272">
            <v>0</v>
          </cell>
          <cell r="V272" t="str">
            <v xml:space="preserve"> </v>
          </cell>
          <cell r="W272">
            <v>25122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23540</v>
          </cell>
          <cell r="AC272">
            <v>400</v>
          </cell>
          <cell r="AD272">
            <v>1700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118</v>
          </cell>
          <cell r="AN272">
            <v>0</v>
          </cell>
          <cell r="AO272">
            <v>0</v>
          </cell>
          <cell r="AP272">
            <v>25758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 t="str">
            <v xml:space="preserve"> </v>
          </cell>
          <cell r="AV272" t="str">
            <v xml:space="preserve"> </v>
          </cell>
          <cell r="AW272" t="str">
            <v xml:space="preserve"> </v>
          </cell>
        </row>
        <row r="273">
          <cell r="C273" t="str">
            <v xml:space="preserve"> YOSEMITE          </v>
          </cell>
          <cell r="D273" t="str">
            <v xml:space="preserve"> STANISLAUS        </v>
          </cell>
          <cell r="E273">
            <v>590</v>
          </cell>
          <cell r="F273" t="str">
            <v xml:space="preserve"> 2015-2016</v>
          </cell>
          <cell r="G273" t="str">
            <v xml:space="preserve"> 11/15/2015</v>
          </cell>
          <cell r="H273">
            <v>26775456</v>
          </cell>
          <cell r="I273">
            <v>415695</v>
          </cell>
          <cell r="J273">
            <v>1446012</v>
          </cell>
          <cell r="K273">
            <v>176292</v>
          </cell>
          <cell r="L273">
            <v>83739</v>
          </cell>
          <cell r="M273">
            <v>0</v>
          </cell>
          <cell r="N273">
            <v>0</v>
          </cell>
          <cell r="O273">
            <v>486944</v>
          </cell>
          <cell r="P273">
            <v>0</v>
          </cell>
          <cell r="Q273">
            <v>38763</v>
          </cell>
          <cell r="R273">
            <v>0</v>
          </cell>
          <cell r="S273">
            <v>389032</v>
          </cell>
          <cell r="T273">
            <v>24298</v>
          </cell>
          <cell r="U273">
            <v>-5719213</v>
          </cell>
          <cell r="V273" t="str">
            <v xml:space="preserve"> </v>
          </cell>
          <cell r="W273">
            <v>23940726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28114229</v>
          </cell>
          <cell r="AC273">
            <v>436480</v>
          </cell>
          <cell r="AD273">
            <v>1518313</v>
          </cell>
          <cell r="AE273">
            <v>185107</v>
          </cell>
          <cell r="AF273">
            <v>87926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46851</v>
          </cell>
          <cell r="AL273">
            <v>0</v>
          </cell>
          <cell r="AM273">
            <v>408484</v>
          </cell>
          <cell r="AN273">
            <v>12149</v>
          </cell>
          <cell r="AO273">
            <v>-3759961</v>
          </cell>
          <cell r="AP273">
            <v>26864471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 t="str">
            <v xml:space="preserve"> </v>
          </cell>
          <cell r="AV273" t="str">
            <v xml:space="preserve"> </v>
          </cell>
          <cell r="AW273" t="str">
            <v xml:space="preserve"> </v>
          </cell>
        </row>
        <row r="274">
          <cell r="C274" t="str">
            <v xml:space="preserve"> YOSEMITE          </v>
          </cell>
          <cell r="D274" t="str">
            <v xml:space="preserve"> TUOLUMNE          </v>
          </cell>
          <cell r="E274">
            <v>590</v>
          </cell>
          <cell r="F274" t="str">
            <v xml:space="preserve"> 2015-2016</v>
          </cell>
          <cell r="G274" t="str">
            <v xml:space="preserve"> 11/15/2015</v>
          </cell>
          <cell r="H274">
            <v>4216403</v>
          </cell>
          <cell r="I274">
            <v>47759</v>
          </cell>
          <cell r="J274">
            <v>120570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2458</v>
          </cell>
          <cell r="R274">
            <v>26962</v>
          </cell>
          <cell r="S274">
            <v>61860</v>
          </cell>
          <cell r="T274">
            <v>0</v>
          </cell>
          <cell r="U274">
            <v>52732</v>
          </cell>
          <cell r="V274" t="str">
            <v xml:space="preserve"> </v>
          </cell>
          <cell r="W274">
            <v>4528744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4442528</v>
          </cell>
          <cell r="AC274">
            <v>17444</v>
          </cell>
          <cell r="AD274">
            <v>121208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1967</v>
          </cell>
          <cell r="AL274">
            <v>21569</v>
          </cell>
          <cell r="AM274">
            <v>61144</v>
          </cell>
          <cell r="AN274">
            <v>0</v>
          </cell>
          <cell r="AO274">
            <v>163476</v>
          </cell>
          <cell r="AP274">
            <v>4829336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 t="str">
            <v xml:space="preserve"> </v>
          </cell>
          <cell r="AV274" t="str">
            <v xml:space="preserve"> </v>
          </cell>
          <cell r="AW274" t="str">
            <v xml:space="preserve"> </v>
          </cell>
        </row>
        <row r="275">
          <cell r="C275" t="str">
            <v xml:space="preserve">YOSEMITE Subtotal          </v>
          </cell>
          <cell r="H275">
            <v>35401750</v>
          </cell>
          <cell r="I275">
            <v>542715</v>
          </cell>
          <cell r="J275">
            <v>1777361</v>
          </cell>
          <cell r="K275">
            <v>218395</v>
          </cell>
          <cell r="L275">
            <v>103738</v>
          </cell>
          <cell r="M275">
            <v>0</v>
          </cell>
          <cell r="N275">
            <v>0</v>
          </cell>
          <cell r="O275">
            <v>735560</v>
          </cell>
          <cell r="P275">
            <v>0</v>
          </cell>
          <cell r="Q275">
            <v>48559</v>
          </cell>
          <cell r="R275">
            <v>27072</v>
          </cell>
          <cell r="S275">
            <v>506518</v>
          </cell>
          <cell r="T275">
            <v>26166</v>
          </cell>
          <cell r="U275">
            <v>-5788478</v>
          </cell>
          <cell r="V275">
            <v>0</v>
          </cell>
          <cell r="W275">
            <v>33380961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37219343</v>
          </cell>
          <cell r="AC275">
            <v>533795</v>
          </cell>
          <cell r="AD275">
            <v>1857285</v>
          </cell>
          <cell r="AE275">
            <v>233794</v>
          </cell>
          <cell r="AF275">
            <v>111052</v>
          </cell>
          <cell r="AG275">
            <v>0</v>
          </cell>
          <cell r="AH275">
            <v>0</v>
          </cell>
          <cell r="AI275">
            <v>51762</v>
          </cell>
          <cell r="AJ275">
            <v>0</v>
          </cell>
          <cell r="AK275">
            <v>55799</v>
          </cell>
          <cell r="AL275">
            <v>21679</v>
          </cell>
          <cell r="AM275">
            <v>525614</v>
          </cell>
          <cell r="AN275">
            <v>14110</v>
          </cell>
          <cell r="AO275">
            <v>-3724582</v>
          </cell>
          <cell r="AP275">
            <v>36665857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7">
          <cell r="C277" t="str">
            <v xml:space="preserve"> YUBA              </v>
          </cell>
          <cell r="D277" t="str">
            <v xml:space="preserve"> BUTTE             </v>
          </cell>
          <cell r="E277">
            <v>290</v>
          </cell>
          <cell r="F277" t="str">
            <v xml:space="preserve"> 2015-2016</v>
          </cell>
          <cell r="G277" t="str">
            <v xml:space="preserve"> 11/15/2015</v>
          </cell>
          <cell r="H277">
            <v>51011</v>
          </cell>
          <cell r="I277">
            <v>365</v>
          </cell>
          <cell r="J277">
            <v>1925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67</v>
          </cell>
          <cell r="R277">
            <v>1078</v>
          </cell>
          <cell r="S277">
            <v>812</v>
          </cell>
          <cell r="T277">
            <v>1</v>
          </cell>
          <cell r="U277">
            <v>-9073</v>
          </cell>
          <cell r="V277" t="str">
            <v xml:space="preserve"> </v>
          </cell>
          <cell r="W277">
            <v>46186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39370</v>
          </cell>
          <cell r="AC277">
            <v>310</v>
          </cell>
          <cell r="AD277">
            <v>2000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100</v>
          </cell>
          <cell r="AL277">
            <v>900</v>
          </cell>
          <cell r="AM277">
            <v>560</v>
          </cell>
          <cell r="AN277">
            <v>0</v>
          </cell>
          <cell r="AO277">
            <v>-3971</v>
          </cell>
          <cell r="AP277">
            <v>39269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 t="str">
            <v xml:space="preserve"> </v>
          </cell>
          <cell r="AV277" t="str">
            <v xml:space="preserve"> </v>
          </cell>
          <cell r="AW277" t="str">
            <v xml:space="preserve"> </v>
          </cell>
        </row>
        <row r="278">
          <cell r="C278" t="str">
            <v xml:space="preserve"> YUBA              </v>
          </cell>
          <cell r="D278" t="str">
            <v xml:space="preserve"> COLUSA            </v>
          </cell>
          <cell r="E278">
            <v>290</v>
          </cell>
          <cell r="F278" t="str">
            <v xml:space="preserve"> 2015-2016</v>
          </cell>
          <cell r="G278" t="str">
            <v xml:space="preserve"> 11/15/2015</v>
          </cell>
          <cell r="H278">
            <v>4065088</v>
          </cell>
          <cell r="I278">
            <v>47820</v>
          </cell>
          <cell r="J278">
            <v>292915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-677</v>
          </cell>
          <cell r="R278">
            <v>34</v>
          </cell>
          <cell r="S278">
            <v>29045</v>
          </cell>
          <cell r="T278">
            <v>26855</v>
          </cell>
          <cell r="U278">
            <v>-262292</v>
          </cell>
          <cell r="V278" t="str">
            <v xml:space="preserve"> </v>
          </cell>
          <cell r="W278">
            <v>4198788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4188000</v>
          </cell>
          <cell r="AC278">
            <v>23500</v>
          </cell>
          <cell r="AD278">
            <v>285000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29280</v>
          </cell>
          <cell r="AN278">
            <v>12000</v>
          </cell>
          <cell r="AO278">
            <v>-120300</v>
          </cell>
          <cell r="AP278">
            <v>4417480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 t="str">
            <v xml:space="preserve"> </v>
          </cell>
          <cell r="AV278" t="str">
            <v xml:space="preserve"> </v>
          </cell>
          <cell r="AW278" t="str">
            <v xml:space="preserve"> </v>
          </cell>
        </row>
        <row r="279">
          <cell r="C279" t="str">
            <v xml:space="preserve"> YUBA              </v>
          </cell>
          <cell r="D279" t="str">
            <v xml:space="preserve"> GLENN             </v>
          </cell>
          <cell r="E279">
            <v>290</v>
          </cell>
          <cell r="F279" t="str">
            <v xml:space="preserve"> 2015-2016</v>
          </cell>
          <cell r="G279" t="str">
            <v xml:space="preserve"> 11/15/2015</v>
          </cell>
          <cell r="H279">
            <v>65471</v>
          </cell>
          <cell r="I279">
            <v>1286</v>
          </cell>
          <cell r="J279">
            <v>3048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747</v>
          </cell>
          <cell r="T279">
            <v>0</v>
          </cell>
          <cell r="U279">
            <v>-6283</v>
          </cell>
          <cell r="V279" t="str">
            <v xml:space="preserve"> </v>
          </cell>
          <cell r="W279">
            <v>64269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69585</v>
          </cell>
          <cell r="AC279">
            <v>0</v>
          </cell>
          <cell r="AD279">
            <v>3461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739</v>
          </cell>
          <cell r="AN279">
            <v>0</v>
          </cell>
          <cell r="AO279">
            <v>-2142</v>
          </cell>
          <cell r="AP279">
            <v>71643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 t="str">
            <v xml:space="preserve"> </v>
          </cell>
          <cell r="AV279" t="str">
            <v xml:space="preserve"> </v>
          </cell>
          <cell r="AW279" t="str">
            <v xml:space="preserve"> </v>
          </cell>
        </row>
        <row r="280">
          <cell r="C280" t="str">
            <v xml:space="preserve"> YUBA              </v>
          </cell>
          <cell r="D280" t="str">
            <v xml:space="preserve"> LAKE              </v>
          </cell>
          <cell r="E280">
            <v>290</v>
          </cell>
          <cell r="F280" t="str">
            <v xml:space="preserve"> 2015-2016</v>
          </cell>
          <cell r="G280" t="str">
            <v xml:space="preserve"> 11/15/2015</v>
          </cell>
          <cell r="H280">
            <v>2219802</v>
          </cell>
          <cell r="I280">
            <v>3660</v>
          </cell>
          <cell r="J280">
            <v>53849</v>
          </cell>
          <cell r="K280">
            <v>5354</v>
          </cell>
          <cell r="L280">
            <v>2543</v>
          </cell>
          <cell r="M280">
            <v>0</v>
          </cell>
          <cell r="N280">
            <v>0</v>
          </cell>
          <cell r="O280">
            <v>19825</v>
          </cell>
          <cell r="P280">
            <v>0</v>
          </cell>
          <cell r="Q280">
            <v>1642</v>
          </cell>
          <cell r="R280">
            <v>0</v>
          </cell>
          <cell r="S280">
            <v>31098</v>
          </cell>
          <cell r="T280">
            <v>1773</v>
          </cell>
          <cell r="U280">
            <v>0</v>
          </cell>
          <cell r="V280" t="str">
            <v xml:space="preserve"> </v>
          </cell>
          <cell r="W280">
            <v>2334192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2305560</v>
          </cell>
          <cell r="AC280">
            <v>2745</v>
          </cell>
          <cell r="AD280">
            <v>54087</v>
          </cell>
          <cell r="AE280">
            <v>5643</v>
          </cell>
          <cell r="AF280">
            <v>2680</v>
          </cell>
          <cell r="AG280">
            <v>0</v>
          </cell>
          <cell r="AH280">
            <v>0</v>
          </cell>
          <cell r="AI280">
            <v>20260</v>
          </cell>
          <cell r="AJ280">
            <v>0</v>
          </cell>
          <cell r="AK280">
            <v>1642</v>
          </cell>
          <cell r="AL280">
            <v>0</v>
          </cell>
          <cell r="AM280">
            <v>30352</v>
          </cell>
          <cell r="AN280">
            <v>1773</v>
          </cell>
          <cell r="AO280">
            <v>0</v>
          </cell>
          <cell r="AP280">
            <v>2419099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 t="str">
            <v xml:space="preserve"> </v>
          </cell>
          <cell r="AV280" t="str">
            <v xml:space="preserve"> </v>
          </cell>
          <cell r="AW280" t="str">
            <v xml:space="preserve"> </v>
          </cell>
        </row>
        <row r="281">
          <cell r="C281" t="str">
            <v xml:space="preserve"> YUBA              </v>
          </cell>
          <cell r="D281" t="str">
            <v xml:space="preserve"> PLACER            </v>
          </cell>
          <cell r="E281">
            <v>290</v>
          </cell>
          <cell r="F281" t="str">
            <v xml:space="preserve"> 2015-2016</v>
          </cell>
          <cell r="G281" t="str">
            <v xml:space="preserve"> 11/15/2015</v>
          </cell>
          <cell r="H281">
            <v>31180</v>
          </cell>
          <cell r="I281">
            <v>695</v>
          </cell>
          <cell r="J281">
            <v>744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15</v>
          </cell>
          <cell r="R281">
            <v>0</v>
          </cell>
          <cell r="S281">
            <v>288</v>
          </cell>
          <cell r="T281">
            <v>0</v>
          </cell>
          <cell r="U281">
            <v>0</v>
          </cell>
          <cell r="V281" t="str">
            <v xml:space="preserve"> </v>
          </cell>
          <cell r="W281">
            <v>32922</v>
          </cell>
          <cell r="X281">
            <v>-6</v>
          </cell>
          <cell r="Y281">
            <v>0</v>
          </cell>
          <cell r="Z281">
            <v>0</v>
          </cell>
          <cell r="AA281">
            <v>0</v>
          </cell>
          <cell r="AB281">
            <v>34467</v>
          </cell>
          <cell r="AC281">
            <v>729</v>
          </cell>
          <cell r="AD281">
            <v>786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15</v>
          </cell>
          <cell r="AL281">
            <v>0</v>
          </cell>
          <cell r="AM281">
            <v>286</v>
          </cell>
          <cell r="AN281">
            <v>0</v>
          </cell>
          <cell r="AO281">
            <v>0</v>
          </cell>
          <cell r="AP281">
            <v>36283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 t="str">
            <v xml:space="preserve"> </v>
          </cell>
          <cell r="AV281" t="str">
            <v xml:space="preserve"> </v>
          </cell>
          <cell r="AW281" t="str">
            <v xml:space="preserve"> </v>
          </cell>
        </row>
        <row r="282">
          <cell r="C282" t="str">
            <v xml:space="preserve"> YUBA              </v>
          </cell>
          <cell r="D282" t="str">
            <v xml:space="preserve"> SUTTER            </v>
          </cell>
          <cell r="E282">
            <v>290</v>
          </cell>
          <cell r="F282" t="str">
            <v xml:space="preserve"> 2015-2016</v>
          </cell>
          <cell r="G282" t="str">
            <v xml:space="preserve"> 11/15/2015</v>
          </cell>
          <cell r="H282">
            <v>6059875</v>
          </cell>
          <cell r="I282">
            <v>78465</v>
          </cell>
          <cell r="J282">
            <v>436136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11300</v>
          </cell>
          <cell r="R282">
            <v>0</v>
          </cell>
          <cell r="S282">
            <v>84700</v>
          </cell>
          <cell r="T282">
            <v>7130</v>
          </cell>
          <cell r="U282">
            <v>-724416</v>
          </cell>
          <cell r="V282" t="str">
            <v xml:space="preserve"> </v>
          </cell>
          <cell r="W282">
            <v>5953190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6181000</v>
          </cell>
          <cell r="AC282">
            <v>75000</v>
          </cell>
          <cell r="AD282">
            <v>440000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8500</v>
          </cell>
          <cell r="AL282">
            <v>0</v>
          </cell>
          <cell r="AM282">
            <v>83750</v>
          </cell>
          <cell r="AN282">
            <v>4500</v>
          </cell>
          <cell r="AO282">
            <v>-685000</v>
          </cell>
          <cell r="AP282">
            <v>6107750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 t="str">
            <v xml:space="preserve"> </v>
          </cell>
          <cell r="AV282" t="str">
            <v xml:space="preserve"> </v>
          </cell>
          <cell r="AW282" t="str">
            <v xml:space="preserve"> </v>
          </cell>
        </row>
        <row r="283">
          <cell r="C283" t="str">
            <v xml:space="preserve"> YUBA              </v>
          </cell>
          <cell r="D283" t="str">
            <v xml:space="preserve"> YOLO              </v>
          </cell>
          <cell r="E283">
            <v>290</v>
          </cell>
          <cell r="F283" t="str">
            <v xml:space="preserve"> 2015-2016</v>
          </cell>
          <cell r="G283" t="str">
            <v xml:space="preserve"> 11/15/2015</v>
          </cell>
          <cell r="H283">
            <v>5118600</v>
          </cell>
          <cell r="I283">
            <v>88292</v>
          </cell>
          <cell r="J283">
            <v>289369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2263</v>
          </cell>
          <cell r="R283">
            <v>0</v>
          </cell>
          <cell r="S283">
            <v>49105</v>
          </cell>
          <cell r="T283">
            <v>16619</v>
          </cell>
          <cell r="U283">
            <v>0</v>
          </cell>
          <cell r="V283" t="str">
            <v xml:space="preserve"> </v>
          </cell>
          <cell r="W283">
            <v>5564248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5572176</v>
          </cell>
          <cell r="AC283">
            <v>75000</v>
          </cell>
          <cell r="AD283">
            <v>325302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2000</v>
          </cell>
          <cell r="AL283">
            <v>0</v>
          </cell>
          <cell r="AM283">
            <v>48805</v>
          </cell>
          <cell r="AN283">
            <v>16550</v>
          </cell>
          <cell r="AO283">
            <v>0</v>
          </cell>
          <cell r="AP283">
            <v>6039833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 t="str">
            <v xml:space="preserve"> </v>
          </cell>
          <cell r="AV283" t="str">
            <v xml:space="preserve"> </v>
          </cell>
          <cell r="AW283" t="str">
            <v xml:space="preserve"> </v>
          </cell>
        </row>
        <row r="284">
          <cell r="C284" t="str">
            <v xml:space="preserve"> YUBA              </v>
          </cell>
          <cell r="D284" t="str">
            <v xml:space="preserve"> YUBA              </v>
          </cell>
          <cell r="E284">
            <v>290</v>
          </cell>
          <cell r="F284" t="str">
            <v xml:space="preserve"> 2015-2016</v>
          </cell>
          <cell r="G284" t="str">
            <v xml:space="preserve"> 11/15/2015</v>
          </cell>
          <cell r="H284">
            <v>3298638</v>
          </cell>
          <cell r="I284">
            <v>61043</v>
          </cell>
          <cell r="J284">
            <v>276512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4801</v>
          </cell>
          <cell r="S284">
            <v>51911</v>
          </cell>
          <cell r="T284">
            <v>0</v>
          </cell>
          <cell r="U284">
            <v>340127</v>
          </cell>
          <cell r="V284" t="str">
            <v xml:space="preserve"> </v>
          </cell>
          <cell r="W284">
            <v>4033032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3252072</v>
          </cell>
          <cell r="AC284">
            <v>0</v>
          </cell>
          <cell r="AD284">
            <v>172400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4802</v>
          </cell>
          <cell r="AM284">
            <v>50700</v>
          </cell>
          <cell r="AN284">
            <v>0</v>
          </cell>
          <cell r="AO284">
            <v>3949641</v>
          </cell>
          <cell r="AP284">
            <v>7429615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 t="str">
            <v xml:space="preserve"> </v>
          </cell>
          <cell r="AV284" t="str">
            <v xml:space="preserve"> </v>
          </cell>
          <cell r="AW284" t="str">
            <v xml:space="preserve"> </v>
          </cell>
        </row>
        <row r="285">
          <cell r="C285" t="str">
            <v xml:space="preserve">YUBA Subtotal            </v>
          </cell>
          <cell r="H285">
            <v>20909665</v>
          </cell>
          <cell r="I285">
            <v>281626</v>
          </cell>
          <cell r="J285">
            <v>1354498</v>
          </cell>
          <cell r="K285">
            <v>5354</v>
          </cell>
          <cell r="L285">
            <v>2543</v>
          </cell>
          <cell r="M285">
            <v>0</v>
          </cell>
          <cell r="N285">
            <v>0</v>
          </cell>
          <cell r="O285">
            <v>19825</v>
          </cell>
          <cell r="P285">
            <v>0</v>
          </cell>
          <cell r="Q285">
            <v>14610</v>
          </cell>
          <cell r="R285">
            <v>5913</v>
          </cell>
          <cell r="S285">
            <v>247706</v>
          </cell>
          <cell r="T285">
            <v>52378</v>
          </cell>
          <cell r="U285">
            <v>-661937</v>
          </cell>
          <cell r="V285">
            <v>0</v>
          </cell>
          <cell r="W285">
            <v>22226827</v>
          </cell>
          <cell r="X285">
            <v>-6</v>
          </cell>
          <cell r="Y285">
            <v>0</v>
          </cell>
          <cell r="Z285">
            <v>0</v>
          </cell>
          <cell r="AA285">
            <v>0</v>
          </cell>
          <cell r="AB285">
            <v>21642230</v>
          </cell>
          <cell r="AC285">
            <v>177284</v>
          </cell>
          <cell r="AD285">
            <v>1283036</v>
          </cell>
          <cell r="AE285">
            <v>5643</v>
          </cell>
          <cell r="AF285">
            <v>2680</v>
          </cell>
          <cell r="AG285">
            <v>0</v>
          </cell>
          <cell r="AH285">
            <v>0</v>
          </cell>
          <cell r="AI285">
            <v>20260</v>
          </cell>
          <cell r="AJ285">
            <v>0</v>
          </cell>
          <cell r="AK285">
            <v>12257</v>
          </cell>
          <cell r="AL285">
            <v>5702</v>
          </cell>
          <cell r="AM285">
            <v>244472</v>
          </cell>
          <cell r="AN285">
            <v>34823</v>
          </cell>
          <cell r="AO285">
            <v>3138228</v>
          </cell>
          <cell r="AP285">
            <v>26560972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7">
          <cell r="C287" t="str">
            <v>DISTRICT TOTAL</v>
          </cell>
          <cell r="H287">
            <v>2179584866</v>
          </cell>
          <cell r="I287">
            <v>55879359</v>
          </cell>
          <cell r="J287">
            <v>99783228</v>
          </cell>
          <cell r="K287">
            <v>28357605</v>
          </cell>
          <cell r="L287">
            <v>13469859</v>
          </cell>
          <cell r="M287">
            <v>0</v>
          </cell>
          <cell r="N287">
            <v>0</v>
          </cell>
          <cell r="O287">
            <v>111513691</v>
          </cell>
          <cell r="P287">
            <v>11664520</v>
          </cell>
          <cell r="Q287">
            <v>16055325</v>
          </cell>
          <cell r="R287">
            <v>737493</v>
          </cell>
          <cell r="S287">
            <v>18894057</v>
          </cell>
          <cell r="T287">
            <v>836101</v>
          </cell>
          <cell r="U287">
            <v>-26164897</v>
          </cell>
          <cell r="V287">
            <v>0</v>
          </cell>
          <cell r="W287">
            <v>2482253602</v>
          </cell>
          <cell r="X287">
            <v>7466898</v>
          </cell>
          <cell r="Y287">
            <v>4006</v>
          </cell>
          <cell r="Z287">
            <v>0</v>
          </cell>
          <cell r="AA287">
            <v>0</v>
          </cell>
          <cell r="AB287">
            <v>2305828502</v>
          </cell>
          <cell r="AC287">
            <v>52549840</v>
          </cell>
          <cell r="AD287">
            <v>100860654</v>
          </cell>
          <cell r="AE287">
            <v>22983894</v>
          </cell>
          <cell r="AF287">
            <v>10917348</v>
          </cell>
          <cell r="AG287">
            <v>0</v>
          </cell>
          <cell r="AH287">
            <v>0</v>
          </cell>
          <cell r="AI287">
            <v>47517076</v>
          </cell>
          <cell r="AJ287">
            <v>930095</v>
          </cell>
          <cell r="AK287">
            <v>16067717</v>
          </cell>
          <cell r="AL287">
            <v>655501</v>
          </cell>
          <cell r="AM287">
            <v>18703943</v>
          </cell>
          <cell r="AN287">
            <v>100879</v>
          </cell>
          <cell r="AO287">
            <v>69770406</v>
          </cell>
          <cell r="AP287">
            <v>2623901961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</sheetData>
      <sheetData sheetId="4">
        <row r="2">
          <cell r="D2" t="str">
            <v xml:space="preserve"> COUNTY</v>
          </cell>
          <cell r="E2" t="str">
            <v xml:space="preserve"> DISTCODE</v>
          </cell>
          <cell r="F2" t="str">
            <v xml:space="preserve"> FYear</v>
          </cell>
          <cell r="G2" t="str">
            <v xml:space="preserve"> Period</v>
          </cell>
          <cell r="H2" t="str">
            <v xml:space="preserve"> Sec_Roll_A</v>
          </cell>
          <cell r="I2" t="str">
            <v xml:space="preserve"> Sup_Roll_A</v>
          </cell>
          <cell r="J2" t="str">
            <v>Unsec_Roll_A</v>
          </cell>
          <cell r="K2" t="str">
            <v xml:space="preserve"> AB1290_A</v>
          </cell>
          <cell r="L2" t="str">
            <v xml:space="preserve"> ptax475_A</v>
          </cell>
          <cell r="M2" t="str">
            <v xml:space="preserve"> preAB1290_A</v>
          </cell>
          <cell r="N2" t="str">
            <v xml:space="preserve"> portionptax475_A</v>
          </cell>
          <cell r="O2" t="str">
            <v xml:space="preserve">  RDA_dev_1_A</v>
          </cell>
          <cell r="P2" t="str">
            <v xml:space="preserve"> RDA_dev_2_A</v>
          </cell>
          <cell r="Q2" t="str">
            <v xml:space="preserve"> Prior_Year_A</v>
          </cell>
          <cell r="R2" t="str">
            <v>Timber_Yield_A</v>
          </cell>
          <cell r="S2" t="str">
            <v xml:space="preserve"> Homeowner_PTR_A</v>
          </cell>
          <cell r="T2" t="str">
            <v xml:space="preserve"> Other_A</v>
          </cell>
          <cell r="U2" t="str">
            <v xml:space="preserve"> ERAF_A </v>
          </cell>
          <cell r="V2" t="str">
            <v xml:space="preserve"> Redevelop_A</v>
          </cell>
          <cell r="W2" t="str">
            <v xml:space="preserve"> TOT_PTR_A</v>
          </cell>
          <cell r="X2" t="str">
            <v xml:space="preserve"> Impd_Rev_A</v>
          </cell>
          <cell r="Y2" t="str">
            <v>FY1_A</v>
          </cell>
          <cell r="Z2" t="str">
            <v xml:space="preserve"> FY2_A</v>
          </cell>
          <cell r="AA2" t="str">
            <v xml:space="preserve"> FY3_A</v>
          </cell>
          <cell r="AB2" t="str">
            <v xml:space="preserve"> Sec_Roll_E</v>
          </cell>
          <cell r="AC2" t="str">
            <v xml:space="preserve"> Sup_Roll_E</v>
          </cell>
          <cell r="AD2" t="str">
            <v xml:space="preserve"> Unsec_Roll_E</v>
          </cell>
          <cell r="AE2" t="str">
            <v xml:space="preserve"> AB1290_E</v>
          </cell>
          <cell r="AF2" t="str">
            <v xml:space="preserve"> ptax475_E</v>
          </cell>
          <cell r="AG2" t="str">
            <v xml:space="preserve"> preAB1290_E</v>
          </cell>
          <cell r="AH2" t="str">
            <v>portionptax475_E</v>
          </cell>
          <cell r="AI2" t="str">
            <v xml:space="preserve"> RDA_dev_1_E</v>
          </cell>
          <cell r="AJ2" t="str">
            <v xml:space="preserve"> RDA_dev_2_E</v>
          </cell>
          <cell r="AK2" t="str">
            <v xml:space="preserve"> Prior_Year_E</v>
          </cell>
          <cell r="AL2" t="str">
            <v xml:space="preserve"> Timber_Yield_E</v>
          </cell>
          <cell r="AM2" t="str">
            <v xml:space="preserve"> Homeowner_PTR_E</v>
          </cell>
          <cell r="AN2" t="str">
            <v xml:space="preserve"> Other_E</v>
          </cell>
          <cell r="AO2" t="str">
            <v xml:space="preserve"> ERAF_E</v>
          </cell>
          <cell r="AP2" t="str">
            <v xml:space="preserve"> TOT_PTR_E</v>
          </cell>
        </row>
        <row r="3">
          <cell r="E3">
            <v>430</v>
          </cell>
          <cell r="F3" t="str">
            <v xml:space="preserve"> 2015-2016</v>
          </cell>
          <cell r="G3" t="str">
            <v xml:space="preserve"> 11/15/2015</v>
          </cell>
          <cell r="H3">
            <v>14460540</v>
          </cell>
          <cell r="I3">
            <v>424956</v>
          </cell>
          <cell r="J3">
            <v>835323</v>
          </cell>
          <cell r="K3">
            <v>127344</v>
          </cell>
          <cell r="L3">
            <v>60488</v>
          </cell>
          <cell r="M3">
            <v>0</v>
          </cell>
          <cell r="N3">
            <v>0</v>
          </cell>
          <cell r="O3">
            <v>474122</v>
          </cell>
          <cell r="P3">
            <v>123781</v>
          </cell>
          <cell r="Q3">
            <v>-357649</v>
          </cell>
          <cell r="R3">
            <v>0</v>
          </cell>
          <cell r="S3">
            <v>127404</v>
          </cell>
          <cell r="T3">
            <v>5314</v>
          </cell>
          <cell r="U3">
            <v>1566979</v>
          </cell>
          <cell r="V3" t="str">
            <v xml:space="preserve"> </v>
          </cell>
          <cell r="W3">
            <v>17721258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16272583</v>
          </cell>
          <cell r="AC3">
            <v>461106</v>
          </cell>
          <cell r="AD3">
            <v>1055359</v>
          </cell>
          <cell r="AE3">
            <v>72876</v>
          </cell>
          <cell r="AF3">
            <v>34616</v>
          </cell>
          <cell r="AG3">
            <v>0</v>
          </cell>
          <cell r="AH3">
            <v>0</v>
          </cell>
          <cell r="AI3">
            <v>1403</v>
          </cell>
          <cell r="AJ3">
            <v>0</v>
          </cell>
          <cell r="AK3">
            <v>-357649</v>
          </cell>
          <cell r="AL3">
            <v>0</v>
          </cell>
          <cell r="AM3">
            <v>126175</v>
          </cell>
          <cell r="AN3">
            <v>5314</v>
          </cell>
          <cell r="AO3">
            <v>2626736</v>
          </cell>
          <cell r="AP3">
            <v>20225643</v>
          </cell>
        </row>
        <row r="4">
          <cell r="E4">
            <v>340</v>
          </cell>
          <cell r="F4" t="str">
            <v xml:space="preserve"> 2015-2016</v>
          </cell>
          <cell r="G4" t="str">
            <v xml:space="preserve"> 11/15/2015</v>
          </cell>
          <cell r="H4">
            <v>15513026</v>
          </cell>
          <cell r="I4">
            <v>424618</v>
          </cell>
          <cell r="J4">
            <v>1103118</v>
          </cell>
          <cell r="K4">
            <v>1301492</v>
          </cell>
          <cell r="L4">
            <v>618209</v>
          </cell>
          <cell r="M4">
            <v>0</v>
          </cell>
          <cell r="N4">
            <v>0</v>
          </cell>
          <cell r="O4">
            <v>1973063</v>
          </cell>
          <cell r="P4">
            <v>19535</v>
          </cell>
          <cell r="Q4">
            <v>-477813</v>
          </cell>
          <cell r="R4">
            <v>0</v>
          </cell>
          <cell r="S4">
            <v>168246</v>
          </cell>
          <cell r="T4">
            <v>0</v>
          </cell>
          <cell r="U4">
            <v>14197660</v>
          </cell>
          <cell r="V4" t="str">
            <v xml:space="preserve"> </v>
          </cell>
          <cell r="W4">
            <v>33539662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16564210</v>
          </cell>
          <cell r="AC4">
            <v>336905</v>
          </cell>
          <cell r="AD4">
            <v>1408719</v>
          </cell>
          <cell r="AE4">
            <v>1262592</v>
          </cell>
          <cell r="AF4">
            <v>599731</v>
          </cell>
          <cell r="AG4">
            <v>0</v>
          </cell>
          <cell r="AH4">
            <v>0</v>
          </cell>
          <cell r="AI4">
            <v>1964144</v>
          </cell>
          <cell r="AJ4">
            <v>0</v>
          </cell>
          <cell r="AK4">
            <v>-477813</v>
          </cell>
          <cell r="AL4">
            <v>0</v>
          </cell>
          <cell r="AM4">
            <v>168422</v>
          </cell>
          <cell r="AN4">
            <v>0</v>
          </cell>
          <cell r="AO4">
            <v>23799617</v>
          </cell>
          <cell r="AP4">
            <v>44363935</v>
          </cell>
        </row>
        <row r="5">
          <cell r="E5">
            <v>480</v>
          </cell>
          <cell r="F5" t="str">
            <v xml:space="preserve"> 2015-2016</v>
          </cell>
          <cell r="G5" t="str">
            <v xml:space="preserve"> 11/15/2015</v>
          </cell>
          <cell r="H5">
            <v>23326587</v>
          </cell>
          <cell r="I5">
            <v>655572</v>
          </cell>
          <cell r="J5">
            <v>1405679</v>
          </cell>
          <cell r="K5">
            <v>682709</v>
          </cell>
          <cell r="L5">
            <v>324287</v>
          </cell>
          <cell r="M5">
            <v>0</v>
          </cell>
          <cell r="N5">
            <v>0</v>
          </cell>
          <cell r="O5">
            <v>1005411</v>
          </cell>
          <cell r="P5">
            <v>0</v>
          </cell>
          <cell r="Q5">
            <v>-602799</v>
          </cell>
          <cell r="R5">
            <v>0</v>
          </cell>
          <cell r="S5">
            <v>215296</v>
          </cell>
          <cell r="T5">
            <v>842</v>
          </cell>
          <cell r="U5">
            <v>3848416</v>
          </cell>
          <cell r="V5" t="str">
            <v xml:space="preserve"> </v>
          </cell>
          <cell r="W5">
            <v>30179291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24579083</v>
          </cell>
          <cell r="AC5">
            <v>625418</v>
          </cell>
          <cell r="AD5">
            <v>1761412</v>
          </cell>
          <cell r="AE5">
            <v>682709</v>
          </cell>
          <cell r="AF5">
            <v>324287</v>
          </cell>
          <cell r="AG5">
            <v>0</v>
          </cell>
          <cell r="AH5">
            <v>0</v>
          </cell>
          <cell r="AI5">
            <v>1005411</v>
          </cell>
          <cell r="AJ5">
            <v>84347</v>
          </cell>
          <cell r="AK5">
            <v>-602799</v>
          </cell>
          <cell r="AL5">
            <v>0</v>
          </cell>
          <cell r="AM5">
            <v>210588</v>
          </cell>
          <cell r="AN5">
            <v>842</v>
          </cell>
          <cell r="AO5">
            <v>6451121</v>
          </cell>
          <cell r="AP5">
            <v>34439710</v>
          </cell>
        </row>
        <row r="6">
          <cell r="E6">
            <v>550</v>
          </cell>
          <cell r="F6" t="str">
            <v xml:space="preserve"> 2015-2016</v>
          </cell>
          <cell r="G6" t="str">
            <v xml:space="preserve"> 11/15/2015</v>
          </cell>
          <cell r="H6">
            <v>126295</v>
          </cell>
          <cell r="I6">
            <v>2690</v>
          </cell>
          <cell r="J6">
            <v>7373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-1760</v>
          </cell>
          <cell r="R6">
            <v>0</v>
          </cell>
          <cell r="S6">
            <v>576</v>
          </cell>
          <cell r="T6">
            <v>0</v>
          </cell>
          <cell r="U6">
            <v>0</v>
          </cell>
          <cell r="V6" t="str">
            <v xml:space="preserve"> </v>
          </cell>
          <cell r="W6">
            <v>135174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76113</v>
          </cell>
          <cell r="AC6">
            <v>1846</v>
          </cell>
          <cell r="AD6">
            <v>4060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-1760</v>
          </cell>
          <cell r="AL6">
            <v>0</v>
          </cell>
          <cell r="AM6">
            <v>485</v>
          </cell>
          <cell r="AN6">
            <v>0</v>
          </cell>
          <cell r="AO6">
            <v>0</v>
          </cell>
          <cell r="AP6">
            <v>80744</v>
          </cell>
        </row>
        <row r="7">
          <cell r="D7" t="str">
            <v xml:space="preserve"> ALAMEDA           </v>
          </cell>
          <cell r="AO7">
            <v>32877474</v>
          </cell>
          <cell r="AP7">
            <v>99110032</v>
          </cell>
        </row>
        <row r="9">
          <cell r="E9">
            <v>110</v>
          </cell>
          <cell r="F9" t="str">
            <v xml:space="preserve"> 2015-2016</v>
          </cell>
          <cell r="G9" t="str">
            <v xml:space="preserve"> 11/15/2015</v>
          </cell>
          <cell r="H9">
            <v>10974065</v>
          </cell>
          <cell r="I9">
            <v>130153</v>
          </cell>
          <cell r="J9">
            <v>701090</v>
          </cell>
          <cell r="K9">
            <v>64361</v>
          </cell>
          <cell r="L9">
            <v>30571</v>
          </cell>
          <cell r="M9">
            <v>0</v>
          </cell>
          <cell r="N9">
            <v>0</v>
          </cell>
          <cell r="O9">
            <v>1261701</v>
          </cell>
          <cell r="P9">
            <v>0</v>
          </cell>
          <cell r="Q9">
            <v>17249</v>
          </cell>
          <cell r="R9">
            <v>27330</v>
          </cell>
          <cell r="S9">
            <v>217443</v>
          </cell>
          <cell r="T9">
            <v>6307</v>
          </cell>
          <cell r="U9">
            <v>-3280345</v>
          </cell>
          <cell r="V9" t="str">
            <v xml:space="preserve"> </v>
          </cell>
          <cell r="W9">
            <v>10085564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12533000</v>
          </cell>
          <cell r="AC9">
            <v>111000</v>
          </cell>
          <cell r="AD9">
            <v>757400</v>
          </cell>
          <cell r="AE9">
            <v>54707</v>
          </cell>
          <cell r="AF9">
            <v>25986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15000</v>
          </cell>
          <cell r="AL9">
            <v>23200</v>
          </cell>
          <cell r="AM9">
            <v>213000</v>
          </cell>
          <cell r="AN9">
            <v>5400</v>
          </cell>
          <cell r="AO9">
            <v>-1505999</v>
          </cell>
          <cell r="AP9">
            <v>12177987</v>
          </cell>
        </row>
        <row r="10">
          <cell r="E10">
            <v>290</v>
          </cell>
          <cell r="F10" t="str">
            <v xml:space="preserve"> 2015-2016</v>
          </cell>
          <cell r="G10" t="str">
            <v xml:space="preserve"> 11/15/2015</v>
          </cell>
          <cell r="H10">
            <v>51011</v>
          </cell>
          <cell r="I10">
            <v>365</v>
          </cell>
          <cell r="J10">
            <v>1925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67</v>
          </cell>
          <cell r="R10">
            <v>1078</v>
          </cell>
          <cell r="S10">
            <v>812</v>
          </cell>
          <cell r="T10">
            <v>1</v>
          </cell>
          <cell r="U10">
            <v>-9073</v>
          </cell>
          <cell r="V10" t="str">
            <v xml:space="preserve"> </v>
          </cell>
          <cell r="W10">
            <v>46186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39370</v>
          </cell>
          <cell r="AC10">
            <v>310</v>
          </cell>
          <cell r="AD10">
            <v>2000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100</v>
          </cell>
          <cell r="AL10">
            <v>900</v>
          </cell>
          <cell r="AM10">
            <v>560</v>
          </cell>
          <cell r="AN10">
            <v>0</v>
          </cell>
          <cell r="AO10">
            <v>-3971</v>
          </cell>
          <cell r="AP10">
            <v>39269</v>
          </cell>
        </row>
        <row r="11">
          <cell r="D11" t="str">
            <v xml:space="preserve"> BUTTE             </v>
          </cell>
          <cell r="AO11">
            <v>-1509970</v>
          </cell>
          <cell r="AP11">
            <v>12217256</v>
          </cell>
        </row>
        <row r="13">
          <cell r="E13">
            <v>550</v>
          </cell>
          <cell r="F13" t="str">
            <v xml:space="preserve"> 2015-2016</v>
          </cell>
          <cell r="G13" t="str">
            <v xml:space="preserve"> 11/15/2015</v>
          </cell>
          <cell r="H13">
            <v>985197</v>
          </cell>
          <cell r="I13">
            <v>17576</v>
          </cell>
          <cell r="J13">
            <v>16541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1051</v>
          </cell>
          <cell r="R13">
            <v>64</v>
          </cell>
          <cell r="S13">
            <v>13492</v>
          </cell>
          <cell r="T13">
            <v>0</v>
          </cell>
          <cell r="U13">
            <v>196690</v>
          </cell>
          <cell r="V13" t="str">
            <v xml:space="preserve"> </v>
          </cell>
          <cell r="W13">
            <v>1230611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1039713</v>
          </cell>
          <cell r="AC13">
            <v>17000</v>
          </cell>
          <cell r="AD13">
            <v>16500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780</v>
          </cell>
          <cell r="AL13">
            <v>64</v>
          </cell>
          <cell r="AM13">
            <v>13300</v>
          </cell>
          <cell r="AN13">
            <v>0</v>
          </cell>
          <cell r="AO13">
            <v>232130</v>
          </cell>
          <cell r="AP13">
            <v>1319487</v>
          </cell>
        </row>
        <row r="14">
          <cell r="E14">
            <v>590</v>
          </cell>
          <cell r="F14" t="str">
            <v xml:space="preserve"> 2015-2016</v>
          </cell>
          <cell r="G14" t="str">
            <v xml:space="preserve"> 11/15/2015</v>
          </cell>
          <cell r="H14">
            <v>1902625</v>
          </cell>
          <cell r="I14">
            <v>34099</v>
          </cell>
          <cell r="J14">
            <v>32089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2069</v>
          </cell>
          <cell r="R14">
            <v>108</v>
          </cell>
          <cell r="S14">
            <v>26175</v>
          </cell>
          <cell r="T14">
            <v>0</v>
          </cell>
          <cell r="U14">
            <v>0</v>
          </cell>
          <cell r="V14" t="str">
            <v xml:space="preserve"> </v>
          </cell>
          <cell r="W14">
            <v>1997165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1999881</v>
          </cell>
          <cell r="AC14">
            <v>33000</v>
          </cell>
          <cell r="AD14">
            <v>32100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1500</v>
          </cell>
          <cell r="AL14">
            <v>108</v>
          </cell>
          <cell r="AM14">
            <v>25700</v>
          </cell>
          <cell r="AN14">
            <v>0</v>
          </cell>
          <cell r="AO14">
            <v>0</v>
          </cell>
          <cell r="AP14">
            <v>2092289</v>
          </cell>
        </row>
        <row r="15">
          <cell r="D15" t="str">
            <v xml:space="preserve"> CALAVERAS         </v>
          </cell>
          <cell r="AO15">
            <v>232130</v>
          </cell>
          <cell r="AP15">
            <v>3411776</v>
          </cell>
        </row>
        <row r="17">
          <cell r="E17">
            <v>290</v>
          </cell>
          <cell r="F17" t="str">
            <v xml:space="preserve"> 2015-2016</v>
          </cell>
          <cell r="G17" t="str">
            <v xml:space="preserve"> 11/15/2015</v>
          </cell>
          <cell r="H17">
            <v>4065088</v>
          </cell>
          <cell r="I17">
            <v>47820</v>
          </cell>
          <cell r="J17">
            <v>292915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-677</v>
          </cell>
          <cell r="R17">
            <v>34</v>
          </cell>
          <cell r="S17">
            <v>29045</v>
          </cell>
          <cell r="T17">
            <v>26855</v>
          </cell>
          <cell r="U17">
            <v>-262292</v>
          </cell>
          <cell r="V17" t="str">
            <v xml:space="preserve"> </v>
          </cell>
          <cell r="W17">
            <v>4198788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4188000</v>
          </cell>
          <cell r="AC17">
            <v>23500</v>
          </cell>
          <cell r="AD17">
            <v>285000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29280</v>
          </cell>
          <cell r="AN17">
            <v>12000</v>
          </cell>
          <cell r="AO17">
            <v>-120300</v>
          </cell>
          <cell r="AP17">
            <v>4417480</v>
          </cell>
        </row>
        <row r="18">
          <cell r="D18" t="str">
            <v xml:space="preserve"> COLUSA            </v>
          </cell>
          <cell r="AO18">
            <v>-120300</v>
          </cell>
          <cell r="AP18">
            <v>4417480</v>
          </cell>
        </row>
        <row r="20">
          <cell r="E20">
            <v>480</v>
          </cell>
          <cell r="F20" t="str">
            <v xml:space="preserve"> 2015-2016</v>
          </cell>
          <cell r="G20" t="str">
            <v xml:space="preserve"> 11/15/2015</v>
          </cell>
          <cell r="H20">
            <v>275604</v>
          </cell>
          <cell r="I20">
            <v>5378</v>
          </cell>
          <cell r="J20">
            <v>9450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2371</v>
          </cell>
          <cell r="T20">
            <v>27</v>
          </cell>
          <cell r="U20">
            <v>0</v>
          </cell>
          <cell r="V20" t="str">
            <v xml:space="preserve"> </v>
          </cell>
          <cell r="W20">
            <v>292830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297399</v>
          </cell>
          <cell r="AC20">
            <v>5400</v>
          </cell>
          <cell r="AD20">
            <v>9110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2315</v>
          </cell>
          <cell r="AN20">
            <v>0</v>
          </cell>
          <cell r="AO20">
            <v>0</v>
          </cell>
          <cell r="AP20">
            <v>314224</v>
          </cell>
        </row>
        <row r="21">
          <cell r="E21">
            <v>310</v>
          </cell>
          <cell r="F21" t="str">
            <v xml:space="preserve"> 2015-2016</v>
          </cell>
          <cell r="G21" t="str">
            <v xml:space="preserve"> 11/15/2015</v>
          </cell>
          <cell r="H21">
            <v>69222053</v>
          </cell>
          <cell r="I21">
            <v>871342</v>
          </cell>
          <cell r="J21">
            <v>2676580</v>
          </cell>
          <cell r="K21">
            <v>131539</v>
          </cell>
          <cell r="L21">
            <v>62481</v>
          </cell>
          <cell r="M21">
            <v>0</v>
          </cell>
          <cell r="N21">
            <v>0</v>
          </cell>
          <cell r="O21">
            <v>1689504</v>
          </cell>
          <cell r="P21">
            <v>556841</v>
          </cell>
          <cell r="Q21">
            <v>0</v>
          </cell>
          <cell r="R21">
            <v>0</v>
          </cell>
          <cell r="S21">
            <v>670831</v>
          </cell>
          <cell r="T21">
            <v>7536</v>
          </cell>
          <cell r="U21">
            <v>5099051</v>
          </cell>
          <cell r="V21" t="str">
            <v xml:space="preserve"> </v>
          </cell>
          <cell r="W21">
            <v>80856219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75345580</v>
          </cell>
          <cell r="AC21">
            <v>871300</v>
          </cell>
          <cell r="AD21">
            <v>2577191</v>
          </cell>
          <cell r="AE21">
            <v>131500</v>
          </cell>
          <cell r="AF21">
            <v>62463</v>
          </cell>
          <cell r="AG21">
            <v>0</v>
          </cell>
          <cell r="AH21">
            <v>0</v>
          </cell>
          <cell r="AI21">
            <v>1689500</v>
          </cell>
          <cell r="AJ21">
            <v>556800</v>
          </cell>
          <cell r="AK21">
            <v>0</v>
          </cell>
          <cell r="AL21">
            <v>0</v>
          </cell>
          <cell r="AM21">
            <v>654845</v>
          </cell>
          <cell r="AN21">
            <v>7536</v>
          </cell>
          <cell r="AO21">
            <v>8053527</v>
          </cell>
          <cell r="AP21">
            <v>89818742</v>
          </cell>
        </row>
        <row r="22">
          <cell r="D22" t="str">
            <v xml:space="preserve"> CONTRA COSTA      </v>
          </cell>
          <cell r="AO22">
            <v>8053527</v>
          </cell>
          <cell r="AP22">
            <v>90132966</v>
          </cell>
        </row>
        <row r="24">
          <cell r="E24">
            <v>160</v>
          </cell>
          <cell r="F24" t="str">
            <v xml:space="preserve"> 2015-2016</v>
          </cell>
          <cell r="G24" t="str">
            <v xml:space="preserve"> 11/15/2015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22508</v>
          </cell>
          <cell r="S24">
            <v>0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22508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18006</v>
          </cell>
          <cell r="AM24">
            <v>0</v>
          </cell>
          <cell r="AN24">
            <v>0</v>
          </cell>
          <cell r="AO24">
            <v>0</v>
          </cell>
          <cell r="AP24">
            <v>18006</v>
          </cell>
        </row>
        <row r="25">
          <cell r="D25" t="str">
            <v xml:space="preserve"> DEL NORTE         </v>
          </cell>
          <cell r="AO25">
            <v>0</v>
          </cell>
          <cell r="AP25">
            <v>18006</v>
          </cell>
        </row>
        <row r="27">
          <cell r="E27">
            <v>270</v>
          </cell>
          <cell r="F27" t="str">
            <v xml:space="preserve"> 2015-2016</v>
          </cell>
          <cell r="G27" t="str">
            <v xml:space="preserve"> 11/15/2015</v>
          </cell>
          <cell r="H27">
            <v>488518</v>
          </cell>
          <cell r="I27">
            <v>8614</v>
          </cell>
          <cell r="J27">
            <v>10460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494</v>
          </cell>
          <cell r="R27">
            <v>0</v>
          </cell>
          <cell r="S27">
            <v>5174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513260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512455</v>
          </cell>
          <cell r="AC27">
            <v>8614</v>
          </cell>
          <cell r="AD27">
            <v>9990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1</v>
          </cell>
          <cell r="AL27">
            <v>0</v>
          </cell>
          <cell r="AM27">
            <v>5088</v>
          </cell>
          <cell r="AN27">
            <v>0</v>
          </cell>
          <cell r="AO27">
            <v>0</v>
          </cell>
          <cell r="AP27">
            <v>536148</v>
          </cell>
        </row>
        <row r="28">
          <cell r="E28">
            <v>230</v>
          </cell>
          <cell r="F28" t="str">
            <v xml:space="preserve"> 2015-2016</v>
          </cell>
          <cell r="G28" t="str">
            <v xml:space="preserve"> 11/15/2015</v>
          </cell>
          <cell r="H28">
            <v>9548443</v>
          </cell>
          <cell r="I28">
            <v>167861</v>
          </cell>
          <cell r="J28">
            <v>204269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9586</v>
          </cell>
          <cell r="R28">
            <v>19593</v>
          </cell>
          <cell r="S28">
            <v>101044</v>
          </cell>
          <cell r="T28">
            <v>0</v>
          </cell>
          <cell r="U28">
            <v>858877</v>
          </cell>
          <cell r="V28" t="str">
            <v xml:space="preserve"> </v>
          </cell>
          <cell r="W28">
            <v>10909673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10090779</v>
          </cell>
          <cell r="AC28">
            <v>167861</v>
          </cell>
          <cell r="AD28">
            <v>196575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1</v>
          </cell>
          <cell r="AL28">
            <v>4898</v>
          </cell>
          <cell r="AM28">
            <v>100107</v>
          </cell>
          <cell r="AN28">
            <v>0</v>
          </cell>
          <cell r="AO28">
            <v>1413330</v>
          </cell>
          <cell r="AP28">
            <v>11973551</v>
          </cell>
        </row>
        <row r="29">
          <cell r="E29">
            <v>220</v>
          </cell>
          <cell r="F29" t="str">
            <v xml:space="preserve"> 2015-2016</v>
          </cell>
          <cell r="G29" t="str">
            <v xml:space="preserve"> 11/15/2015</v>
          </cell>
          <cell r="H29">
            <v>3504911</v>
          </cell>
          <cell r="I29">
            <v>66197</v>
          </cell>
          <cell r="J29">
            <v>80239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5157</v>
          </cell>
          <cell r="Q29">
            <v>3814</v>
          </cell>
          <cell r="R29">
            <v>205</v>
          </cell>
          <cell r="S29">
            <v>39699</v>
          </cell>
          <cell r="T29">
            <v>0</v>
          </cell>
          <cell r="U29">
            <v>0</v>
          </cell>
          <cell r="V29" t="str">
            <v xml:space="preserve"> </v>
          </cell>
          <cell r="W29">
            <v>3700222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3722324</v>
          </cell>
          <cell r="AC29">
            <v>66197</v>
          </cell>
          <cell r="AD29">
            <v>77206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1</v>
          </cell>
          <cell r="AL29">
            <v>51</v>
          </cell>
          <cell r="AM29">
            <v>39318</v>
          </cell>
          <cell r="AN29">
            <v>0</v>
          </cell>
          <cell r="AO29">
            <v>0</v>
          </cell>
          <cell r="AP29">
            <v>3905097</v>
          </cell>
        </row>
        <row r="30">
          <cell r="D30" t="str">
            <v xml:space="preserve"> EL DORADO         </v>
          </cell>
          <cell r="AO30">
            <v>1413330</v>
          </cell>
          <cell r="AP30">
            <v>16414796</v>
          </cell>
        </row>
        <row r="32">
          <cell r="E32">
            <v>580</v>
          </cell>
          <cell r="F32" t="str">
            <v xml:space="preserve"> 2015-2016</v>
          </cell>
          <cell r="G32" t="str">
            <v xml:space="preserve"> 11/15/2015</v>
          </cell>
          <cell r="H32">
            <v>4009173</v>
          </cell>
          <cell r="I32">
            <v>59862</v>
          </cell>
          <cell r="J32">
            <v>188449</v>
          </cell>
          <cell r="K32">
            <v>18112</v>
          </cell>
          <cell r="L32">
            <v>8603</v>
          </cell>
          <cell r="M32">
            <v>0</v>
          </cell>
          <cell r="N32">
            <v>0</v>
          </cell>
          <cell r="O32">
            <v>150488</v>
          </cell>
          <cell r="P32">
            <v>0</v>
          </cell>
          <cell r="Q32">
            <v>27173</v>
          </cell>
          <cell r="R32">
            <v>0</v>
          </cell>
          <cell r="S32">
            <v>50183</v>
          </cell>
          <cell r="T32">
            <v>0</v>
          </cell>
          <cell r="U32">
            <v>-669821</v>
          </cell>
          <cell r="V32" t="str">
            <v xml:space="preserve"> </v>
          </cell>
          <cell r="W32">
            <v>3824110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4089356</v>
          </cell>
          <cell r="AC32">
            <v>59862</v>
          </cell>
          <cell r="AD32">
            <v>188449</v>
          </cell>
          <cell r="AE32">
            <v>18112</v>
          </cell>
          <cell r="AF32">
            <v>8603</v>
          </cell>
          <cell r="AG32">
            <v>0</v>
          </cell>
          <cell r="AH32">
            <v>0</v>
          </cell>
          <cell r="AI32">
            <v>150488</v>
          </cell>
          <cell r="AJ32">
            <v>0</v>
          </cell>
          <cell r="AK32">
            <v>27173</v>
          </cell>
          <cell r="AL32">
            <v>0</v>
          </cell>
          <cell r="AM32">
            <v>50183</v>
          </cell>
          <cell r="AN32">
            <v>0</v>
          </cell>
          <cell r="AO32">
            <v>-282167</v>
          </cell>
          <cell r="AP32">
            <v>4291947</v>
          </cell>
        </row>
        <row r="33">
          <cell r="E33">
            <v>570</v>
          </cell>
          <cell r="F33" t="str">
            <v xml:space="preserve"> 2015-2016</v>
          </cell>
          <cell r="G33" t="str">
            <v xml:space="preserve"> 11/15/2015</v>
          </cell>
          <cell r="H33">
            <v>28217152</v>
          </cell>
          <cell r="I33">
            <v>420448</v>
          </cell>
          <cell r="J33">
            <v>1271701</v>
          </cell>
          <cell r="K33">
            <v>157149</v>
          </cell>
          <cell r="L33">
            <v>74646</v>
          </cell>
          <cell r="M33">
            <v>0</v>
          </cell>
          <cell r="N33">
            <v>0</v>
          </cell>
          <cell r="O33">
            <v>1606764</v>
          </cell>
          <cell r="P33">
            <v>23365</v>
          </cell>
          <cell r="Q33">
            <v>188302</v>
          </cell>
          <cell r="R33">
            <v>6254</v>
          </cell>
          <cell r="S33">
            <v>339989</v>
          </cell>
          <cell r="T33">
            <v>0</v>
          </cell>
          <cell r="U33">
            <v>-4723538</v>
          </cell>
          <cell r="V33" t="str">
            <v xml:space="preserve"> </v>
          </cell>
          <cell r="W33">
            <v>27425083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28781495</v>
          </cell>
          <cell r="AC33">
            <v>420448</v>
          </cell>
          <cell r="AD33">
            <v>1271701</v>
          </cell>
          <cell r="AE33">
            <v>157149</v>
          </cell>
          <cell r="AF33">
            <v>74646</v>
          </cell>
          <cell r="AG33">
            <v>0</v>
          </cell>
          <cell r="AH33">
            <v>0</v>
          </cell>
          <cell r="AI33">
            <v>1606764</v>
          </cell>
          <cell r="AJ33">
            <v>23365</v>
          </cell>
          <cell r="AK33">
            <v>188302</v>
          </cell>
          <cell r="AL33">
            <v>6254</v>
          </cell>
          <cell r="AM33">
            <v>339989</v>
          </cell>
          <cell r="AN33">
            <v>0</v>
          </cell>
          <cell r="AO33">
            <v>-1989822</v>
          </cell>
          <cell r="AP33">
            <v>30723142</v>
          </cell>
        </row>
        <row r="34">
          <cell r="E34">
            <v>530</v>
          </cell>
          <cell r="F34" t="str">
            <v xml:space="preserve"> 2015-2016</v>
          </cell>
          <cell r="G34" t="str">
            <v xml:space="preserve"> 11/15/2015</v>
          </cell>
          <cell r="H34">
            <v>58530</v>
          </cell>
          <cell r="I34">
            <v>821</v>
          </cell>
          <cell r="J34">
            <v>2601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1306</v>
          </cell>
          <cell r="R34">
            <v>0</v>
          </cell>
          <cell r="S34">
            <v>692</v>
          </cell>
          <cell r="T34">
            <v>0</v>
          </cell>
          <cell r="U34">
            <v>-9819</v>
          </cell>
          <cell r="V34" t="str">
            <v xml:space="preserve"> </v>
          </cell>
          <cell r="W34">
            <v>54131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59700</v>
          </cell>
          <cell r="AC34">
            <v>821</v>
          </cell>
          <cell r="AD34">
            <v>2601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1306</v>
          </cell>
          <cell r="AL34">
            <v>0</v>
          </cell>
          <cell r="AM34">
            <v>692</v>
          </cell>
          <cell r="AN34">
            <v>0</v>
          </cell>
          <cell r="AO34">
            <v>-4136</v>
          </cell>
          <cell r="AP34">
            <v>60984</v>
          </cell>
        </row>
        <row r="35">
          <cell r="E35">
            <v>560</v>
          </cell>
          <cell r="F35" t="str">
            <v xml:space="preserve"> 2015-2016</v>
          </cell>
          <cell r="G35" t="str">
            <v xml:space="preserve"> 11/15/2015</v>
          </cell>
          <cell r="H35">
            <v>24833</v>
          </cell>
          <cell r="I35">
            <v>369</v>
          </cell>
          <cell r="J35">
            <v>1129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166</v>
          </cell>
          <cell r="R35">
            <v>0</v>
          </cell>
          <cell r="S35">
            <v>302</v>
          </cell>
          <cell r="T35">
            <v>0</v>
          </cell>
          <cell r="U35">
            <v>-4123</v>
          </cell>
          <cell r="V35" t="str">
            <v xml:space="preserve"> </v>
          </cell>
          <cell r="W35">
            <v>22676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25329</v>
          </cell>
          <cell r="AC35">
            <v>369</v>
          </cell>
          <cell r="AD35">
            <v>1129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166</v>
          </cell>
          <cell r="AL35">
            <v>0</v>
          </cell>
          <cell r="AM35">
            <v>302</v>
          </cell>
          <cell r="AN35">
            <v>0</v>
          </cell>
          <cell r="AO35">
            <v>-1737</v>
          </cell>
          <cell r="AP35">
            <v>25558</v>
          </cell>
        </row>
        <row r="36">
          <cell r="D36" t="str">
            <v xml:space="preserve"> FRESNO            </v>
          </cell>
          <cell r="AO36">
            <v>-2277862</v>
          </cell>
          <cell r="AP36">
            <v>35101631</v>
          </cell>
        </row>
        <row r="38">
          <cell r="E38">
            <v>110</v>
          </cell>
          <cell r="F38" t="str">
            <v xml:space="preserve"> 2015-2016</v>
          </cell>
          <cell r="G38" t="str">
            <v xml:space="preserve"> 11/15/2015</v>
          </cell>
          <cell r="H38">
            <v>2223968</v>
          </cell>
          <cell r="I38">
            <v>47256</v>
          </cell>
          <cell r="J38">
            <v>112663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27631</v>
          </cell>
          <cell r="T38">
            <v>0</v>
          </cell>
          <cell r="U38">
            <v>-214450</v>
          </cell>
          <cell r="V38" t="str">
            <v xml:space="preserve"> </v>
          </cell>
          <cell r="W38">
            <v>2197068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2403427</v>
          </cell>
          <cell r="AC38">
            <v>0</v>
          </cell>
          <cell r="AD38">
            <v>122632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27675</v>
          </cell>
          <cell r="AN38">
            <v>0</v>
          </cell>
          <cell r="AO38">
            <v>-74334</v>
          </cell>
          <cell r="AP38">
            <v>2479400</v>
          </cell>
        </row>
        <row r="39">
          <cell r="E39">
            <v>290</v>
          </cell>
          <cell r="F39" t="str">
            <v xml:space="preserve"> 2015-2016</v>
          </cell>
          <cell r="G39" t="str">
            <v xml:space="preserve"> 11/15/2015</v>
          </cell>
          <cell r="H39">
            <v>65471</v>
          </cell>
          <cell r="I39">
            <v>1286</v>
          </cell>
          <cell r="J39">
            <v>3048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747</v>
          </cell>
          <cell r="T39">
            <v>0</v>
          </cell>
          <cell r="U39">
            <v>-6283</v>
          </cell>
          <cell r="V39" t="str">
            <v xml:space="preserve"> </v>
          </cell>
          <cell r="W39">
            <v>64269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69585</v>
          </cell>
          <cell r="AC39">
            <v>0</v>
          </cell>
          <cell r="AD39">
            <v>3461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739</v>
          </cell>
          <cell r="AN39">
            <v>0</v>
          </cell>
          <cell r="AO39">
            <v>-2142</v>
          </cell>
          <cell r="AP39">
            <v>71643</v>
          </cell>
        </row>
        <row r="40">
          <cell r="D40" t="str">
            <v xml:space="preserve"> GLENN             </v>
          </cell>
          <cell r="AO40">
            <v>-76476</v>
          </cell>
          <cell r="AP40">
            <v>2551043</v>
          </cell>
        </row>
        <row r="42">
          <cell r="E42">
            <v>160</v>
          </cell>
          <cell r="F42" t="str">
            <v xml:space="preserve"> 2015-2016</v>
          </cell>
          <cell r="G42" t="str">
            <v xml:space="preserve"> 11/15/2015</v>
          </cell>
          <cell r="H42">
            <v>6651841</v>
          </cell>
          <cell r="I42">
            <v>59156</v>
          </cell>
          <cell r="J42">
            <v>291172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312352</v>
          </cell>
          <cell r="P42">
            <v>104740</v>
          </cell>
          <cell r="Q42">
            <v>8658</v>
          </cell>
          <cell r="R42">
            <v>205319</v>
          </cell>
          <cell r="S42">
            <v>110163</v>
          </cell>
          <cell r="T42">
            <v>0</v>
          </cell>
          <cell r="U42">
            <v>-429401</v>
          </cell>
          <cell r="V42" t="str">
            <v xml:space="preserve"> </v>
          </cell>
          <cell r="W42">
            <v>7314000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6932712</v>
          </cell>
          <cell r="AC42">
            <v>59156</v>
          </cell>
          <cell r="AD42">
            <v>294692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312352</v>
          </cell>
          <cell r="AJ42">
            <v>140447</v>
          </cell>
          <cell r="AK42">
            <v>8658</v>
          </cell>
          <cell r="AL42">
            <v>205319</v>
          </cell>
          <cell r="AM42">
            <v>105918</v>
          </cell>
          <cell r="AN42">
            <v>0</v>
          </cell>
          <cell r="AO42">
            <v>-429401</v>
          </cell>
          <cell r="AP42">
            <v>7629853</v>
          </cell>
        </row>
        <row r="43">
          <cell r="E43">
            <v>170</v>
          </cell>
          <cell r="F43" t="str">
            <v xml:space="preserve"> 2015-2016</v>
          </cell>
          <cell r="G43" t="str">
            <v xml:space="preserve"> 11/15/2015</v>
          </cell>
          <cell r="H43">
            <v>19420</v>
          </cell>
          <cell r="I43">
            <v>150</v>
          </cell>
          <cell r="J43">
            <v>729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22</v>
          </cell>
          <cell r="R43">
            <v>140</v>
          </cell>
          <cell r="S43">
            <v>283</v>
          </cell>
          <cell r="T43">
            <v>0</v>
          </cell>
          <cell r="U43">
            <v>-1102</v>
          </cell>
          <cell r="V43" t="str">
            <v xml:space="preserve"> </v>
          </cell>
          <cell r="W43">
            <v>19642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21118</v>
          </cell>
          <cell r="AC43">
            <v>150</v>
          </cell>
          <cell r="AD43">
            <v>793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22</v>
          </cell>
          <cell r="AL43">
            <v>140</v>
          </cell>
          <cell r="AM43">
            <v>285</v>
          </cell>
          <cell r="AN43">
            <v>0</v>
          </cell>
          <cell r="AO43">
            <v>-1102</v>
          </cell>
          <cell r="AP43">
            <v>21406</v>
          </cell>
        </row>
        <row r="44">
          <cell r="D44" t="str">
            <v xml:space="preserve"> HUMBOLDT          </v>
          </cell>
          <cell r="AO44">
            <v>-430503</v>
          </cell>
          <cell r="AP44">
            <v>7651259</v>
          </cell>
        </row>
        <row r="46">
          <cell r="E46">
            <v>30</v>
          </cell>
          <cell r="F46" t="str">
            <v xml:space="preserve"> 2015-2016</v>
          </cell>
          <cell r="G46" t="str">
            <v xml:space="preserve"> 11/15/2015</v>
          </cell>
          <cell r="H46">
            <v>6891290</v>
          </cell>
          <cell r="I46">
            <v>119926</v>
          </cell>
          <cell r="J46">
            <v>867452</v>
          </cell>
          <cell r="K46">
            <v>119234</v>
          </cell>
          <cell r="L46">
            <v>56636</v>
          </cell>
          <cell r="M46">
            <v>0</v>
          </cell>
          <cell r="N46">
            <v>0</v>
          </cell>
          <cell r="O46">
            <v>429045</v>
          </cell>
          <cell r="P46">
            <v>0</v>
          </cell>
          <cell r="Q46">
            <v>0</v>
          </cell>
          <cell r="R46">
            <v>0</v>
          </cell>
          <cell r="S46">
            <v>81610</v>
          </cell>
          <cell r="T46">
            <v>0</v>
          </cell>
          <cell r="U46">
            <v>-3379042</v>
          </cell>
          <cell r="V46" t="str">
            <v xml:space="preserve"> </v>
          </cell>
          <cell r="W46">
            <v>5066917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7540129</v>
          </cell>
          <cell r="AC46">
            <v>0</v>
          </cell>
          <cell r="AD46">
            <v>859597</v>
          </cell>
          <cell r="AE46">
            <v>162009</v>
          </cell>
          <cell r="AF46">
            <v>76954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80876</v>
          </cell>
          <cell r="AN46">
            <v>0</v>
          </cell>
          <cell r="AO46">
            <v>-2247889</v>
          </cell>
          <cell r="AP46">
            <v>6309667</v>
          </cell>
        </row>
        <row r="47">
          <cell r="E47">
            <v>930</v>
          </cell>
          <cell r="F47" t="str">
            <v xml:space="preserve"> 2015-2016</v>
          </cell>
          <cell r="G47" t="str">
            <v xml:space="preserve"> 11/15/2015</v>
          </cell>
          <cell r="H47">
            <v>146578</v>
          </cell>
          <cell r="I47">
            <v>2839</v>
          </cell>
          <cell r="J47">
            <v>19097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1797</v>
          </cell>
          <cell r="T47">
            <v>0</v>
          </cell>
          <cell r="U47">
            <v>0</v>
          </cell>
          <cell r="V47" t="str">
            <v xml:space="preserve"> </v>
          </cell>
          <cell r="W47">
            <v>170311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172555</v>
          </cell>
          <cell r="AC47">
            <v>0</v>
          </cell>
          <cell r="AD47">
            <v>19029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1790</v>
          </cell>
          <cell r="AN47">
            <v>0</v>
          </cell>
          <cell r="AO47">
            <v>0</v>
          </cell>
          <cell r="AP47">
            <v>193374</v>
          </cell>
        </row>
        <row r="48">
          <cell r="D48" t="str">
            <v xml:space="preserve"> IMPERIAL          </v>
          </cell>
          <cell r="AO48">
            <v>-2247889</v>
          </cell>
          <cell r="AP48">
            <v>6503041</v>
          </cell>
        </row>
        <row r="50">
          <cell r="E50">
            <v>520</v>
          </cell>
          <cell r="F50" t="str">
            <v xml:space="preserve"> 2015-2016</v>
          </cell>
          <cell r="G50" t="str">
            <v xml:space="preserve"> 11/15/2015</v>
          </cell>
          <cell r="H50">
            <v>320387</v>
          </cell>
          <cell r="I50">
            <v>2616</v>
          </cell>
          <cell r="J50">
            <v>41396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3625</v>
          </cell>
          <cell r="R50">
            <v>0</v>
          </cell>
          <cell r="S50">
            <v>2331</v>
          </cell>
          <cell r="T50">
            <v>0</v>
          </cell>
          <cell r="U50">
            <v>0</v>
          </cell>
          <cell r="V50" t="str">
            <v xml:space="preserve"> </v>
          </cell>
          <cell r="W50">
            <v>370355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323856</v>
          </cell>
          <cell r="AC50">
            <v>0</v>
          </cell>
          <cell r="AD50">
            <v>36327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4721</v>
          </cell>
          <cell r="AL50">
            <v>0</v>
          </cell>
          <cell r="AM50">
            <v>2218</v>
          </cell>
          <cell r="AN50">
            <v>0</v>
          </cell>
          <cell r="AO50">
            <v>0</v>
          </cell>
          <cell r="AP50">
            <v>367122</v>
          </cell>
        </row>
        <row r="51">
          <cell r="D51" t="str">
            <v xml:space="preserve"> INYO              </v>
          </cell>
          <cell r="AO51">
            <v>0</v>
          </cell>
          <cell r="AP51">
            <v>367122</v>
          </cell>
        </row>
        <row r="53">
          <cell r="E53">
            <v>520</v>
          </cell>
          <cell r="F53" t="str">
            <v xml:space="preserve"> 2015-2016</v>
          </cell>
          <cell r="G53" t="str">
            <v xml:space="preserve"> 11/15/2015</v>
          </cell>
          <cell r="H53">
            <v>43807562</v>
          </cell>
          <cell r="I53">
            <v>1607842</v>
          </cell>
          <cell r="J53">
            <v>4173384</v>
          </cell>
          <cell r="K53">
            <v>291096</v>
          </cell>
          <cell r="L53">
            <v>138271</v>
          </cell>
          <cell r="M53">
            <v>0</v>
          </cell>
          <cell r="N53">
            <v>0</v>
          </cell>
          <cell r="O53">
            <v>325266</v>
          </cell>
          <cell r="P53">
            <v>0</v>
          </cell>
          <cell r="Q53">
            <v>0</v>
          </cell>
          <cell r="R53">
            <v>451</v>
          </cell>
          <cell r="S53">
            <v>390581</v>
          </cell>
          <cell r="T53">
            <v>0</v>
          </cell>
          <cell r="U53">
            <v>-8494615</v>
          </cell>
          <cell r="V53" t="str">
            <v xml:space="preserve"> </v>
          </cell>
          <cell r="W53">
            <v>41948742</v>
          </cell>
          <cell r="X53">
            <v>4022469</v>
          </cell>
          <cell r="Y53">
            <v>0</v>
          </cell>
          <cell r="Z53">
            <v>0</v>
          </cell>
          <cell r="AA53">
            <v>0</v>
          </cell>
          <cell r="AB53">
            <v>45633051</v>
          </cell>
          <cell r="AC53">
            <v>803921</v>
          </cell>
          <cell r="AD53">
            <v>4680452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410465</v>
          </cell>
          <cell r="AN53">
            <v>0</v>
          </cell>
          <cell r="AO53">
            <v>-5237730</v>
          </cell>
          <cell r="AP53">
            <v>46290159</v>
          </cell>
        </row>
        <row r="54">
          <cell r="E54">
            <v>690</v>
          </cell>
          <cell r="F54" t="str">
            <v xml:space="preserve"> 2015-2016</v>
          </cell>
          <cell r="G54" t="str">
            <v xml:space="preserve"> 11/15/2015</v>
          </cell>
          <cell r="H54">
            <v>8111958</v>
          </cell>
          <cell r="I54">
            <v>381617</v>
          </cell>
          <cell r="J54">
            <v>993315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94213</v>
          </cell>
          <cell r="T54">
            <v>0</v>
          </cell>
          <cell r="U54">
            <v>0</v>
          </cell>
          <cell r="V54" t="str">
            <v xml:space="preserve"> </v>
          </cell>
          <cell r="W54">
            <v>9581103</v>
          </cell>
          <cell r="X54">
            <v>3268961</v>
          </cell>
          <cell r="Y54">
            <v>0</v>
          </cell>
          <cell r="Z54">
            <v>0</v>
          </cell>
          <cell r="AA54">
            <v>0</v>
          </cell>
          <cell r="AB54">
            <v>7389579</v>
          </cell>
          <cell r="AC54">
            <v>192308</v>
          </cell>
          <cell r="AD54">
            <v>754462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66165</v>
          </cell>
          <cell r="AN54">
            <v>0</v>
          </cell>
          <cell r="AO54">
            <v>0</v>
          </cell>
          <cell r="AP54">
            <v>8402514</v>
          </cell>
        </row>
        <row r="55">
          <cell r="E55">
            <v>620</v>
          </cell>
          <cell r="F55" t="str">
            <v xml:space="preserve"> 2015-2016</v>
          </cell>
          <cell r="G55" t="str">
            <v xml:space="preserve"> 11/15/2015</v>
          </cell>
          <cell r="H55">
            <v>728099</v>
          </cell>
          <cell r="I55">
            <v>448</v>
          </cell>
          <cell r="J55">
            <v>63198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3269</v>
          </cell>
          <cell r="R55">
            <v>0</v>
          </cell>
          <cell r="S55">
            <v>5831</v>
          </cell>
          <cell r="T55">
            <v>0</v>
          </cell>
          <cell r="U55">
            <v>0</v>
          </cell>
          <cell r="V55" t="str">
            <v xml:space="preserve"> </v>
          </cell>
          <cell r="W55">
            <v>800845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790431</v>
          </cell>
          <cell r="AC55">
            <v>224</v>
          </cell>
          <cell r="AD55">
            <v>81576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7154</v>
          </cell>
          <cell r="AN55">
            <v>0</v>
          </cell>
          <cell r="AO55">
            <v>0</v>
          </cell>
          <cell r="AP55">
            <v>879385</v>
          </cell>
        </row>
        <row r="56">
          <cell r="D56" t="str">
            <v xml:space="preserve"> KERN              </v>
          </cell>
          <cell r="AO56">
            <v>-5237730</v>
          </cell>
          <cell r="AP56">
            <v>55572058</v>
          </cell>
        </row>
        <row r="58">
          <cell r="E58">
            <v>580</v>
          </cell>
          <cell r="F58" t="str">
            <v xml:space="preserve"> 2015-2016</v>
          </cell>
          <cell r="G58" t="str">
            <v xml:space="preserve"> 11/15/2015</v>
          </cell>
          <cell r="H58">
            <v>1029248</v>
          </cell>
          <cell r="I58">
            <v>13461</v>
          </cell>
          <cell r="J58">
            <v>44869</v>
          </cell>
          <cell r="K58">
            <v>58746</v>
          </cell>
          <cell r="L58">
            <v>27904</v>
          </cell>
          <cell r="M58">
            <v>0</v>
          </cell>
          <cell r="N58">
            <v>0</v>
          </cell>
          <cell r="O58">
            <v>259229</v>
          </cell>
          <cell r="P58">
            <v>419</v>
          </cell>
          <cell r="Q58">
            <v>11040</v>
          </cell>
          <cell r="R58">
            <v>0</v>
          </cell>
          <cell r="S58">
            <v>13100</v>
          </cell>
          <cell r="T58">
            <v>0</v>
          </cell>
          <cell r="U58">
            <v>-508450</v>
          </cell>
          <cell r="V58" t="str">
            <v xml:space="preserve"> </v>
          </cell>
          <cell r="W58">
            <v>890820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1078117</v>
          </cell>
          <cell r="AC58">
            <v>13000</v>
          </cell>
          <cell r="AD58">
            <v>44000</v>
          </cell>
          <cell r="AE58">
            <v>58000</v>
          </cell>
          <cell r="AF58">
            <v>27550</v>
          </cell>
          <cell r="AG58">
            <v>0</v>
          </cell>
          <cell r="AH58">
            <v>0</v>
          </cell>
          <cell r="AI58">
            <v>259229</v>
          </cell>
          <cell r="AJ58">
            <v>0</v>
          </cell>
          <cell r="AK58">
            <v>11040</v>
          </cell>
          <cell r="AL58">
            <v>0</v>
          </cell>
          <cell r="AM58">
            <v>12462</v>
          </cell>
          <cell r="AN58">
            <v>0</v>
          </cell>
          <cell r="AO58">
            <v>-444400</v>
          </cell>
          <cell r="AP58">
            <v>1000998</v>
          </cell>
        </row>
        <row r="59">
          <cell r="E59">
            <v>570</v>
          </cell>
          <cell r="F59" t="str">
            <v xml:space="preserve"> 2015-2016</v>
          </cell>
          <cell r="G59" t="str">
            <v xml:space="preserve"> 11/15/2015</v>
          </cell>
          <cell r="H59">
            <v>54281</v>
          </cell>
          <cell r="I59">
            <v>712</v>
          </cell>
          <cell r="J59">
            <v>2574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633</v>
          </cell>
          <cell r="R59">
            <v>0</v>
          </cell>
          <cell r="S59">
            <v>693</v>
          </cell>
          <cell r="T59">
            <v>0</v>
          </cell>
          <cell r="U59">
            <v>-26908</v>
          </cell>
          <cell r="V59" t="str">
            <v xml:space="preserve"> </v>
          </cell>
          <cell r="W59">
            <v>31985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57027</v>
          </cell>
          <cell r="AC59">
            <v>712</v>
          </cell>
          <cell r="AD59">
            <v>2600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650</v>
          </cell>
          <cell r="AL59">
            <v>0</v>
          </cell>
          <cell r="AM59">
            <v>660</v>
          </cell>
          <cell r="AN59">
            <v>0</v>
          </cell>
          <cell r="AO59">
            <v>-23508</v>
          </cell>
          <cell r="AP59">
            <v>38141</v>
          </cell>
        </row>
        <row r="60">
          <cell r="E60">
            <v>560</v>
          </cell>
          <cell r="F60" t="str">
            <v xml:space="preserve"> 2015-2016</v>
          </cell>
          <cell r="G60" t="str">
            <v xml:space="preserve"> 11/15/2015</v>
          </cell>
          <cell r="H60">
            <v>2483139</v>
          </cell>
          <cell r="I60">
            <v>32693</v>
          </cell>
          <cell r="J60">
            <v>114610</v>
          </cell>
          <cell r="K60">
            <v>27643</v>
          </cell>
          <cell r="L60">
            <v>13130</v>
          </cell>
          <cell r="M60">
            <v>0</v>
          </cell>
          <cell r="N60">
            <v>0</v>
          </cell>
          <cell r="O60">
            <v>99950</v>
          </cell>
          <cell r="P60">
            <v>7632</v>
          </cell>
          <cell r="Q60">
            <v>28199</v>
          </cell>
          <cell r="R60">
            <v>0</v>
          </cell>
          <cell r="S60">
            <v>31813</v>
          </cell>
          <cell r="T60">
            <v>0</v>
          </cell>
          <cell r="U60">
            <v>-1234806</v>
          </cell>
          <cell r="V60" t="str">
            <v xml:space="preserve"> </v>
          </cell>
          <cell r="W60">
            <v>1576360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2666827</v>
          </cell>
          <cell r="AC60">
            <v>15000</v>
          </cell>
          <cell r="AD60">
            <v>119000</v>
          </cell>
          <cell r="AE60">
            <v>28000</v>
          </cell>
          <cell r="AF60">
            <v>13300</v>
          </cell>
          <cell r="AG60">
            <v>0</v>
          </cell>
          <cell r="AH60">
            <v>0</v>
          </cell>
          <cell r="AI60">
            <v>99950</v>
          </cell>
          <cell r="AJ60">
            <v>0</v>
          </cell>
          <cell r="AK60">
            <v>29000</v>
          </cell>
          <cell r="AL60">
            <v>0</v>
          </cell>
          <cell r="AM60">
            <v>31040</v>
          </cell>
          <cell r="AN60">
            <v>0</v>
          </cell>
          <cell r="AO60">
            <v>-1099430</v>
          </cell>
          <cell r="AP60">
            <v>1874687</v>
          </cell>
        </row>
        <row r="61">
          <cell r="D61" t="str">
            <v xml:space="preserve"> KINGS             </v>
          </cell>
          <cell r="AO61">
            <v>-1567338</v>
          </cell>
          <cell r="AP61">
            <v>2913826</v>
          </cell>
        </row>
        <row r="63">
          <cell r="E63">
            <v>290</v>
          </cell>
          <cell r="F63" t="str">
            <v xml:space="preserve"> 2015-2016</v>
          </cell>
          <cell r="G63" t="str">
            <v xml:space="preserve"> 11/15/2015</v>
          </cell>
          <cell r="H63">
            <v>2219802</v>
          </cell>
          <cell r="I63">
            <v>3660</v>
          </cell>
          <cell r="J63">
            <v>53849</v>
          </cell>
          <cell r="K63">
            <v>5354</v>
          </cell>
          <cell r="L63">
            <v>2543</v>
          </cell>
          <cell r="M63">
            <v>0</v>
          </cell>
          <cell r="N63">
            <v>0</v>
          </cell>
          <cell r="O63">
            <v>19825</v>
          </cell>
          <cell r="P63">
            <v>0</v>
          </cell>
          <cell r="Q63">
            <v>1642</v>
          </cell>
          <cell r="R63">
            <v>0</v>
          </cell>
          <cell r="S63">
            <v>31098</v>
          </cell>
          <cell r="T63">
            <v>1773</v>
          </cell>
          <cell r="U63">
            <v>0</v>
          </cell>
          <cell r="V63" t="str">
            <v xml:space="preserve"> </v>
          </cell>
          <cell r="W63">
            <v>2334192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2305560</v>
          </cell>
          <cell r="AC63">
            <v>2745</v>
          </cell>
          <cell r="AD63">
            <v>54087</v>
          </cell>
          <cell r="AE63">
            <v>5643</v>
          </cell>
          <cell r="AF63">
            <v>2680</v>
          </cell>
          <cell r="AG63">
            <v>0</v>
          </cell>
          <cell r="AH63">
            <v>0</v>
          </cell>
          <cell r="AI63">
            <v>20260</v>
          </cell>
          <cell r="AJ63">
            <v>0</v>
          </cell>
          <cell r="AK63">
            <v>1642</v>
          </cell>
          <cell r="AL63">
            <v>0</v>
          </cell>
          <cell r="AM63">
            <v>30352</v>
          </cell>
          <cell r="AN63">
            <v>1773</v>
          </cell>
          <cell r="AO63">
            <v>0</v>
          </cell>
          <cell r="AP63">
            <v>2419099</v>
          </cell>
        </row>
        <row r="64">
          <cell r="E64">
            <v>140</v>
          </cell>
          <cell r="F64" t="str">
            <v xml:space="preserve"> 2015-2016</v>
          </cell>
          <cell r="G64" t="str">
            <v xml:space="preserve"> 11/15/2015</v>
          </cell>
          <cell r="H64">
            <v>2044123</v>
          </cell>
          <cell r="I64">
            <v>3298</v>
          </cell>
          <cell r="J64">
            <v>49162</v>
          </cell>
          <cell r="K64">
            <v>34934</v>
          </cell>
          <cell r="L64">
            <v>16594</v>
          </cell>
          <cell r="M64">
            <v>0</v>
          </cell>
          <cell r="N64">
            <v>0</v>
          </cell>
          <cell r="O64">
            <v>96411</v>
          </cell>
          <cell r="P64">
            <v>0</v>
          </cell>
          <cell r="Q64">
            <v>1494</v>
          </cell>
          <cell r="R64">
            <v>935</v>
          </cell>
          <cell r="S64">
            <v>28391</v>
          </cell>
          <cell r="T64">
            <v>15955</v>
          </cell>
          <cell r="U64">
            <v>-29172</v>
          </cell>
          <cell r="V64" t="str">
            <v xml:space="preserve"> </v>
          </cell>
          <cell r="W64">
            <v>2227191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2075484</v>
          </cell>
          <cell r="AC64">
            <v>2473</v>
          </cell>
          <cell r="AD64">
            <v>49438</v>
          </cell>
          <cell r="AE64">
            <v>34860</v>
          </cell>
          <cell r="AF64">
            <v>16559</v>
          </cell>
          <cell r="AG64">
            <v>0</v>
          </cell>
          <cell r="AH64">
            <v>0</v>
          </cell>
          <cell r="AI64">
            <v>98728</v>
          </cell>
          <cell r="AJ64">
            <v>0</v>
          </cell>
          <cell r="AK64">
            <v>1494</v>
          </cell>
          <cell r="AL64">
            <v>935</v>
          </cell>
          <cell r="AM64">
            <v>27743</v>
          </cell>
          <cell r="AN64">
            <v>15955</v>
          </cell>
          <cell r="AO64">
            <v>133606</v>
          </cell>
          <cell r="AP64">
            <v>2422415</v>
          </cell>
        </row>
        <row r="65">
          <cell r="D65" t="str">
            <v xml:space="preserve"> LAKE              </v>
          </cell>
          <cell r="AO65">
            <v>133606</v>
          </cell>
          <cell r="AP65">
            <v>4841514</v>
          </cell>
        </row>
        <row r="67">
          <cell r="E67">
            <v>130</v>
          </cell>
          <cell r="F67" t="str">
            <v xml:space="preserve"> 2015-2016</v>
          </cell>
          <cell r="G67" t="str">
            <v xml:space="preserve"> 11/15/2015</v>
          </cell>
          <cell r="H67">
            <v>1775268</v>
          </cell>
          <cell r="I67">
            <v>5855</v>
          </cell>
          <cell r="J67">
            <v>87798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7618</v>
          </cell>
          <cell r="R67">
            <v>10741</v>
          </cell>
          <cell r="S67">
            <v>32504</v>
          </cell>
          <cell r="T67">
            <v>0</v>
          </cell>
          <cell r="U67">
            <v>-399103</v>
          </cell>
          <cell r="V67" t="str">
            <v xml:space="preserve"> </v>
          </cell>
          <cell r="W67">
            <v>1520681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1789887</v>
          </cell>
          <cell r="AC67">
            <v>5842</v>
          </cell>
          <cell r="AD67">
            <v>86042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7466</v>
          </cell>
          <cell r="AL67">
            <v>10038</v>
          </cell>
          <cell r="AM67">
            <v>31639</v>
          </cell>
          <cell r="AN67">
            <v>0</v>
          </cell>
          <cell r="AO67">
            <v>-340477</v>
          </cell>
          <cell r="AP67">
            <v>1590437</v>
          </cell>
        </row>
        <row r="68">
          <cell r="E68">
            <v>170</v>
          </cell>
          <cell r="F68" t="str">
            <v xml:space="preserve"> 2015-2016</v>
          </cell>
          <cell r="G68" t="str">
            <v xml:space="preserve"> 11/15/2015</v>
          </cell>
          <cell r="H68">
            <v>78086</v>
          </cell>
          <cell r="I68">
            <v>242</v>
          </cell>
          <cell r="J68">
            <v>3918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27</v>
          </cell>
          <cell r="R68">
            <v>475</v>
          </cell>
          <cell r="S68">
            <v>1408</v>
          </cell>
          <cell r="T68">
            <v>0</v>
          </cell>
          <cell r="U68">
            <v>-17767</v>
          </cell>
          <cell r="V68" t="str">
            <v xml:space="preserve"> </v>
          </cell>
          <cell r="W68">
            <v>66389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76524</v>
          </cell>
          <cell r="AC68">
            <v>265</v>
          </cell>
          <cell r="AD68">
            <v>3840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26</v>
          </cell>
          <cell r="AL68">
            <v>452</v>
          </cell>
          <cell r="AM68">
            <v>1380</v>
          </cell>
          <cell r="AN68">
            <v>0</v>
          </cell>
          <cell r="AO68">
            <v>-16849</v>
          </cell>
          <cell r="AP68">
            <v>65638</v>
          </cell>
        </row>
        <row r="69">
          <cell r="D69" t="str">
            <v xml:space="preserve"> LASSEN            </v>
          </cell>
          <cell r="AO69">
            <v>-357326</v>
          </cell>
          <cell r="AP69">
            <v>1656075</v>
          </cell>
        </row>
        <row r="71">
          <cell r="E71">
            <v>620</v>
          </cell>
          <cell r="F71" t="str">
            <v xml:space="preserve"> 2015-2016</v>
          </cell>
          <cell r="G71" t="str">
            <v xml:space="preserve"> 11/15/2015</v>
          </cell>
          <cell r="H71">
            <v>4446928</v>
          </cell>
          <cell r="I71">
            <v>145163</v>
          </cell>
          <cell r="J71">
            <v>168838</v>
          </cell>
          <cell r="K71">
            <v>8110</v>
          </cell>
          <cell r="L71">
            <v>3852</v>
          </cell>
          <cell r="M71">
            <v>0</v>
          </cell>
          <cell r="N71">
            <v>0</v>
          </cell>
          <cell r="O71">
            <v>182897</v>
          </cell>
          <cell r="P71">
            <v>0</v>
          </cell>
          <cell r="Q71">
            <v>92806</v>
          </cell>
          <cell r="R71">
            <v>0</v>
          </cell>
          <cell r="S71">
            <v>33622</v>
          </cell>
          <cell r="T71">
            <v>0</v>
          </cell>
          <cell r="U71">
            <v>0</v>
          </cell>
          <cell r="V71" t="str">
            <v xml:space="preserve"> </v>
          </cell>
          <cell r="W71">
            <v>5074106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4701737</v>
          </cell>
          <cell r="AC71">
            <v>181454</v>
          </cell>
          <cell r="AD71">
            <v>169000</v>
          </cell>
          <cell r="AE71">
            <v>8059</v>
          </cell>
          <cell r="AF71">
            <v>3828</v>
          </cell>
          <cell r="AG71">
            <v>0</v>
          </cell>
          <cell r="AH71">
            <v>0</v>
          </cell>
          <cell r="AI71">
            <v>177810</v>
          </cell>
          <cell r="AJ71">
            <v>0</v>
          </cell>
          <cell r="AK71">
            <v>104470</v>
          </cell>
          <cell r="AL71">
            <v>0</v>
          </cell>
          <cell r="AM71">
            <v>33600</v>
          </cell>
          <cell r="AN71">
            <v>0</v>
          </cell>
          <cell r="AO71">
            <v>0</v>
          </cell>
          <cell r="AP71">
            <v>5371899</v>
          </cell>
        </row>
        <row r="72">
          <cell r="E72">
            <v>810</v>
          </cell>
          <cell r="F72" t="str">
            <v xml:space="preserve"> 2015-2016</v>
          </cell>
          <cell r="G72" t="str">
            <v xml:space="preserve"> 11/15/2015</v>
          </cell>
          <cell r="H72">
            <v>7501085</v>
          </cell>
          <cell r="I72">
            <v>241562</v>
          </cell>
          <cell r="J72">
            <v>212263</v>
          </cell>
          <cell r="K72">
            <v>158184</v>
          </cell>
          <cell r="L72">
            <v>75137</v>
          </cell>
          <cell r="M72">
            <v>0</v>
          </cell>
          <cell r="N72">
            <v>0</v>
          </cell>
          <cell r="O72">
            <v>847376</v>
          </cell>
          <cell r="P72">
            <v>-252</v>
          </cell>
          <cell r="Q72">
            <v>206755</v>
          </cell>
          <cell r="R72">
            <v>0</v>
          </cell>
          <cell r="S72">
            <v>56186</v>
          </cell>
          <cell r="T72">
            <v>0</v>
          </cell>
          <cell r="U72">
            <v>4207729</v>
          </cell>
          <cell r="V72" t="str">
            <v xml:space="preserve"> </v>
          </cell>
          <cell r="W72">
            <v>13347841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7840134</v>
          </cell>
          <cell r="AC72">
            <v>301953</v>
          </cell>
          <cell r="AD72">
            <v>212000</v>
          </cell>
          <cell r="AE72">
            <v>74021</v>
          </cell>
          <cell r="AF72">
            <v>35160</v>
          </cell>
          <cell r="AG72">
            <v>0</v>
          </cell>
          <cell r="AH72">
            <v>0</v>
          </cell>
          <cell r="AI72">
            <v>205052</v>
          </cell>
          <cell r="AJ72">
            <v>0</v>
          </cell>
          <cell r="AK72">
            <v>244825</v>
          </cell>
          <cell r="AL72">
            <v>0</v>
          </cell>
          <cell r="AM72">
            <v>56200</v>
          </cell>
          <cell r="AN72">
            <v>0</v>
          </cell>
          <cell r="AO72">
            <v>0</v>
          </cell>
          <cell r="AP72">
            <v>8895324</v>
          </cell>
        </row>
        <row r="73">
          <cell r="E73">
            <v>820</v>
          </cell>
          <cell r="F73" t="str">
            <v xml:space="preserve"> 2015-2016</v>
          </cell>
          <cell r="G73" t="str">
            <v xml:space="preserve"> 11/15/2015</v>
          </cell>
          <cell r="H73">
            <v>4193110</v>
          </cell>
          <cell r="I73">
            <v>120255</v>
          </cell>
          <cell r="J73">
            <v>94581</v>
          </cell>
          <cell r="K73">
            <v>78708</v>
          </cell>
          <cell r="L73">
            <v>37386</v>
          </cell>
          <cell r="M73">
            <v>0</v>
          </cell>
          <cell r="N73">
            <v>0</v>
          </cell>
          <cell r="O73">
            <v>377151</v>
          </cell>
          <cell r="P73">
            <v>0</v>
          </cell>
          <cell r="Q73">
            <v>108472</v>
          </cell>
          <cell r="R73">
            <v>0</v>
          </cell>
          <cell r="S73">
            <v>31651</v>
          </cell>
          <cell r="T73">
            <v>0</v>
          </cell>
          <cell r="U73">
            <v>0</v>
          </cell>
          <cell r="V73" t="str">
            <v xml:space="preserve"> </v>
          </cell>
          <cell r="W73">
            <v>4962606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4445535</v>
          </cell>
          <cell r="AC73">
            <v>150319</v>
          </cell>
          <cell r="AD73">
            <v>95000</v>
          </cell>
          <cell r="AE73">
            <v>33330</v>
          </cell>
          <cell r="AF73">
            <v>15832</v>
          </cell>
          <cell r="AG73">
            <v>0</v>
          </cell>
          <cell r="AH73">
            <v>0</v>
          </cell>
          <cell r="AI73">
            <v>174490</v>
          </cell>
          <cell r="AJ73">
            <v>0</v>
          </cell>
          <cell r="AK73">
            <v>112738</v>
          </cell>
          <cell r="AL73">
            <v>0</v>
          </cell>
          <cell r="AM73">
            <v>31700</v>
          </cell>
          <cell r="AN73">
            <v>0</v>
          </cell>
          <cell r="AO73">
            <v>0</v>
          </cell>
          <cell r="AP73">
            <v>5025614</v>
          </cell>
        </row>
        <row r="74">
          <cell r="E74">
            <v>710</v>
          </cell>
          <cell r="F74" t="str">
            <v xml:space="preserve"> 2015-2016</v>
          </cell>
          <cell r="G74" t="str">
            <v xml:space="preserve"> 11/15/2015</v>
          </cell>
          <cell r="H74">
            <v>3747506</v>
          </cell>
          <cell r="I74">
            <v>114816</v>
          </cell>
          <cell r="J74">
            <v>49447</v>
          </cell>
          <cell r="K74">
            <v>140688</v>
          </cell>
          <cell r="L74">
            <v>66827</v>
          </cell>
          <cell r="M74">
            <v>0</v>
          </cell>
          <cell r="N74">
            <v>0</v>
          </cell>
          <cell r="O74">
            <v>587581</v>
          </cell>
          <cell r="P74">
            <v>144290</v>
          </cell>
          <cell r="Q74">
            <v>94598</v>
          </cell>
          <cell r="R74">
            <v>0</v>
          </cell>
          <cell r="S74">
            <v>27701</v>
          </cell>
          <cell r="T74">
            <v>0</v>
          </cell>
          <cell r="U74">
            <v>0</v>
          </cell>
          <cell r="V74" t="str">
            <v xml:space="preserve"> </v>
          </cell>
          <cell r="W74">
            <v>4832766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3933008</v>
          </cell>
          <cell r="AC74">
            <v>143520</v>
          </cell>
          <cell r="AD74">
            <v>49000</v>
          </cell>
          <cell r="AE74">
            <v>72654</v>
          </cell>
          <cell r="AF74">
            <v>34511</v>
          </cell>
          <cell r="AG74">
            <v>0</v>
          </cell>
          <cell r="AH74">
            <v>0</v>
          </cell>
          <cell r="AI74">
            <v>191482</v>
          </cell>
          <cell r="AJ74">
            <v>0</v>
          </cell>
          <cell r="AK74">
            <v>85270</v>
          </cell>
          <cell r="AL74">
            <v>0</v>
          </cell>
          <cell r="AM74">
            <v>27700</v>
          </cell>
          <cell r="AN74">
            <v>0</v>
          </cell>
          <cell r="AO74">
            <v>0</v>
          </cell>
          <cell r="AP74">
            <v>4464491</v>
          </cell>
        </row>
        <row r="75">
          <cell r="E75">
            <v>720</v>
          </cell>
          <cell r="F75" t="str">
            <v xml:space="preserve"> 2015-2016</v>
          </cell>
          <cell r="G75" t="str">
            <v xml:space="preserve"> 11/15/2015</v>
          </cell>
          <cell r="H75">
            <v>24635336</v>
          </cell>
          <cell r="I75">
            <v>698132</v>
          </cell>
          <cell r="J75">
            <v>974272</v>
          </cell>
          <cell r="K75">
            <v>91965</v>
          </cell>
          <cell r="L75">
            <v>43683</v>
          </cell>
          <cell r="M75">
            <v>0</v>
          </cell>
          <cell r="N75">
            <v>0</v>
          </cell>
          <cell r="O75">
            <v>353090</v>
          </cell>
          <cell r="P75">
            <v>704878</v>
          </cell>
          <cell r="Q75">
            <v>577276</v>
          </cell>
          <cell r="R75">
            <v>0</v>
          </cell>
          <cell r="S75">
            <v>187572</v>
          </cell>
          <cell r="T75">
            <v>0</v>
          </cell>
          <cell r="U75">
            <v>0</v>
          </cell>
          <cell r="V75" t="str">
            <v xml:space="preserve"> </v>
          </cell>
          <cell r="W75">
            <v>28174239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25968108</v>
          </cell>
          <cell r="AC75">
            <v>872665</v>
          </cell>
          <cell r="AD75">
            <v>974000</v>
          </cell>
          <cell r="AE75">
            <v>41817</v>
          </cell>
          <cell r="AF75">
            <v>19863</v>
          </cell>
          <cell r="AG75">
            <v>0</v>
          </cell>
          <cell r="AH75">
            <v>0</v>
          </cell>
          <cell r="AI75">
            <v>249520</v>
          </cell>
          <cell r="AJ75">
            <v>0</v>
          </cell>
          <cell r="AK75">
            <v>661226</v>
          </cell>
          <cell r="AL75">
            <v>0</v>
          </cell>
          <cell r="AM75">
            <v>187600</v>
          </cell>
          <cell r="AN75">
            <v>0</v>
          </cell>
          <cell r="AO75">
            <v>0</v>
          </cell>
          <cell r="AP75">
            <v>28932982</v>
          </cell>
        </row>
        <row r="76">
          <cell r="E76">
            <v>740</v>
          </cell>
          <cell r="F76" t="str">
            <v xml:space="preserve"> 2015-2016</v>
          </cell>
          <cell r="G76" t="str">
            <v xml:space="preserve"> 11/15/2015</v>
          </cell>
          <cell r="H76">
            <v>156653302</v>
          </cell>
          <cell r="I76">
            <v>4245540</v>
          </cell>
          <cell r="J76">
            <v>5734245</v>
          </cell>
          <cell r="K76">
            <v>1950215</v>
          </cell>
          <cell r="L76">
            <v>926352</v>
          </cell>
          <cell r="M76">
            <v>0</v>
          </cell>
          <cell r="N76">
            <v>0</v>
          </cell>
          <cell r="O76">
            <v>7903537</v>
          </cell>
          <cell r="P76">
            <v>423356</v>
          </cell>
          <cell r="Q76">
            <v>3730432</v>
          </cell>
          <cell r="R76">
            <v>0</v>
          </cell>
          <cell r="S76">
            <v>1178509</v>
          </cell>
          <cell r="T76">
            <v>0</v>
          </cell>
          <cell r="U76">
            <v>0</v>
          </cell>
          <cell r="V76" t="str">
            <v xml:space="preserve"> </v>
          </cell>
          <cell r="W76">
            <v>180795273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167008085</v>
          </cell>
          <cell r="AC76">
            <v>5306925</v>
          </cell>
          <cell r="AD76">
            <v>5734000</v>
          </cell>
          <cell r="AE76">
            <v>906779</v>
          </cell>
          <cell r="AF76">
            <v>430720</v>
          </cell>
          <cell r="AG76">
            <v>0</v>
          </cell>
          <cell r="AH76">
            <v>0</v>
          </cell>
          <cell r="AI76">
            <v>1755970</v>
          </cell>
          <cell r="AJ76">
            <v>0</v>
          </cell>
          <cell r="AK76">
            <v>4023440</v>
          </cell>
          <cell r="AL76">
            <v>0</v>
          </cell>
          <cell r="AM76">
            <v>1178500</v>
          </cell>
          <cell r="AN76">
            <v>0</v>
          </cell>
          <cell r="AO76">
            <v>0</v>
          </cell>
          <cell r="AP76">
            <v>185437640</v>
          </cell>
        </row>
        <row r="77">
          <cell r="E77">
            <v>850</v>
          </cell>
          <cell r="F77" t="str">
            <v xml:space="preserve"> 2015-2016</v>
          </cell>
          <cell r="G77" t="str">
            <v xml:space="preserve"> 11/15/2015</v>
          </cell>
          <cell r="H77">
            <v>17324120</v>
          </cell>
          <cell r="I77">
            <v>516172</v>
          </cell>
          <cell r="J77">
            <v>417380</v>
          </cell>
          <cell r="K77">
            <v>820619</v>
          </cell>
          <cell r="L77">
            <v>389794</v>
          </cell>
          <cell r="M77">
            <v>0</v>
          </cell>
          <cell r="N77">
            <v>0</v>
          </cell>
          <cell r="O77">
            <v>809150</v>
          </cell>
          <cell r="P77">
            <v>0</v>
          </cell>
          <cell r="Q77">
            <v>412153</v>
          </cell>
          <cell r="R77">
            <v>0</v>
          </cell>
          <cell r="S77">
            <v>129721</v>
          </cell>
          <cell r="T77">
            <v>0</v>
          </cell>
          <cell r="U77">
            <v>3898947</v>
          </cell>
          <cell r="V77" t="str">
            <v xml:space="preserve"> </v>
          </cell>
          <cell r="W77">
            <v>23897437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18164340</v>
          </cell>
          <cell r="AC77">
            <v>645215</v>
          </cell>
          <cell r="AD77">
            <v>417000</v>
          </cell>
          <cell r="AE77">
            <v>171495</v>
          </cell>
          <cell r="AF77">
            <v>81460</v>
          </cell>
          <cell r="AG77">
            <v>0</v>
          </cell>
          <cell r="AH77">
            <v>0</v>
          </cell>
          <cell r="AI77">
            <v>958836</v>
          </cell>
          <cell r="AJ77">
            <v>0</v>
          </cell>
          <cell r="AK77">
            <v>419313</v>
          </cell>
          <cell r="AL77">
            <v>0</v>
          </cell>
          <cell r="AM77">
            <v>129700</v>
          </cell>
          <cell r="AN77">
            <v>0</v>
          </cell>
          <cell r="AO77">
            <v>0</v>
          </cell>
          <cell r="AP77">
            <v>20815864</v>
          </cell>
        </row>
        <row r="78">
          <cell r="E78">
            <v>770</v>
          </cell>
          <cell r="F78" t="str">
            <v xml:space="preserve"> 2015-2016</v>
          </cell>
          <cell r="G78" t="str">
            <v xml:space="preserve"> 11/15/2015</v>
          </cell>
          <cell r="H78">
            <v>20974101</v>
          </cell>
          <cell r="I78">
            <v>550882</v>
          </cell>
          <cell r="J78">
            <v>821242</v>
          </cell>
          <cell r="K78">
            <v>63451</v>
          </cell>
          <cell r="L78">
            <v>30139</v>
          </cell>
          <cell r="M78">
            <v>0</v>
          </cell>
          <cell r="N78">
            <v>0</v>
          </cell>
          <cell r="O78">
            <v>1584935</v>
          </cell>
          <cell r="P78">
            <v>1239</v>
          </cell>
          <cell r="Q78">
            <v>482203</v>
          </cell>
          <cell r="R78">
            <v>0</v>
          </cell>
          <cell r="S78">
            <v>161165</v>
          </cell>
          <cell r="T78">
            <v>0</v>
          </cell>
          <cell r="U78">
            <v>0</v>
          </cell>
          <cell r="V78" t="str">
            <v xml:space="preserve"> </v>
          </cell>
          <cell r="W78">
            <v>24605906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22354197</v>
          </cell>
          <cell r="AC78">
            <v>688603</v>
          </cell>
          <cell r="AD78">
            <v>821000</v>
          </cell>
          <cell r="AE78">
            <v>23868</v>
          </cell>
          <cell r="AF78">
            <v>11337</v>
          </cell>
          <cell r="AG78">
            <v>0</v>
          </cell>
          <cell r="AH78">
            <v>0</v>
          </cell>
          <cell r="AI78">
            <v>74503</v>
          </cell>
          <cell r="AJ78">
            <v>0</v>
          </cell>
          <cell r="AK78">
            <v>513497</v>
          </cell>
          <cell r="AL78">
            <v>0</v>
          </cell>
          <cell r="AM78">
            <v>161200</v>
          </cell>
          <cell r="AN78">
            <v>0</v>
          </cell>
          <cell r="AO78">
            <v>0</v>
          </cell>
          <cell r="AP78">
            <v>24624337</v>
          </cell>
        </row>
        <row r="79">
          <cell r="E79">
            <v>880</v>
          </cell>
          <cell r="F79" t="str">
            <v xml:space="preserve"> 2015-2016</v>
          </cell>
          <cell r="G79" t="str">
            <v xml:space="preserve"> 11/15/2015</v>
          </cell>
          <cell r="H79">
            <v>5185926</v>
          </cell>
          <cell r="I79">
            <v>148141</v>
          </cell>
          <cell r="J79">
            <v>124061</v>
          </cell>
          <cell r="K79">
            <v>144664</v>
          </cell>
          <cell r="L79">
            <v>68715</v>
          </cell>
          <cell r="M79">
            <v>0</v>
          </cell>
          <cell r="N79">
            <v>0</v>
          </cell>
          <cell r="O79">
            <v>555289</v>
          </cell>
          <cell r="P79">
            <v>-1005</v>
          </cell>
          <cell r="Q79">
            <v>46341</v>
          </cell>
          <cell r="R79">
            <v>0</v>
          </cell>
          <cell r="S79">
            <v>38697</v>
          </cell>
          <cell r="T79">
            <v>0</v>
          </cell>
          <cell r="U79">
            <v>0</v>
          </cell>
          <cell r="V79" t="str">
            <v xml:space="preserve"> </v>
          </cell>
          <cell r="W79">
            <v>6166165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5419293</v>
          </cell>
          <cell r="AC79">
            <v>185176</v>
          </cell>
          <cell r="AD79">
            <v>124000</v>
          </cell>
          <cell r="AE79">
            <v>60167</v>
          </cell>
          <cell r="AF79">
            <v>28579</v>
          </cell>
          <cell r="AG79">
            <v>0</v>
          </cell>
          <cell r="AH79">
            <v>0</v>
          </cell>
          <cell r="AI79">
            <v>83957</v>
          </cell>
          <cell r="AJ79">
            <v>0</v>
          </cell>
          <cell r="AK79">
            <v>97413</v>
          </cell>
          <cell r="AL79">
            <v>0</v>
          </cell>
          <cell r="AM79">
            <v>38700</v>
          </cell>
          <cell r="AN79">
            <v>0</v>
          </cell>
          <cell r="AO79">
            <v>0</v>
          </cell>
          <cell r="AP79">
            <v>5977118</v>
          </cell>
        </row>
        <row r="80">
          <cell r="E80">
            <v>660</v>
          </cell>
          <cell r="F80" t="str">
            <v xml:space="preserve"> 2015-2016</v>
          </cell>
          <cell r="G80" t="str">
            <v xml:space="preserve"> 11/15/2015</v>
          </cell>
          <cell r="H80">
            <v>13092561</v>
          </cell>
          <cell r="I80">
            <v>356276</v>
          </cell>
          <cell r="J80">
            <v>509826</v>
          </cell>
          <cell r="K80">
            <v>24436</v>
          </cell>
          <cell r="L80">
            <v>11607</v>
          </cell>
          <cell r="M80">
            <v>0</v>
          </cell>
          <cell r="N80">
            <v>0</v>
          </cell>
          <cell r="O80">
            <v>1639</v>
          </cell>
          <cell r="P80">
            <v>0</v>
          </cell>
          <cell r="Q80">
            <v>282684</v>
          </cell>
          <cell r="R80">
            <v>0</v>
          </cell>
          <cell r="S80">
            <v>100044</v>
          </cell>
          <cell r="T80">
            <v>0</v>
          </cell>
          <cell r="U80">
            <v>0</v>
          </cell>
          <cell r="V80" t="str">
            <v xml:space="preserve"> </v>
          </cell>
          <cell r="W80">
            <v>14354637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13803487</v>
          </cell>
          <cell r="AC80">
            <v>445345</v>
          </cell>
          <cell r="AD80">
            <v>510000</v>
          </cell>
          <cell r="AE80">
            <v>11842</v>
          </cell>
          <cell r="AF80">
            <v>5625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313501</v>
          </cell>
          <cell r="AL80">
            <v>0</v>
          </cell>
          <cell r="AM80">
            <v>100000</v>
          </cell>
          <cell r="AN80">
            <v>0</v>
          </cell>
          <cell r="AO80">
            <v>0</v>
          </cell>
          <cell r="AP80">
            <v>15177958</v>
          </cell>
        </row>
        <row r="81">
          <cell r="E81">
            <v>860</v>
          </cell>
          <cell r="F81" t="str">
            <v xml:space="preserve"> 2015-2016</v>
          </cell>
          <cell r="G81" t="str">
            <v xml:space="preserve"> 11/15/2015</v>
          </cell>
          <cell r="H81">
            <v>632490</v>
          </cell>
          <cell r="I81">
            <v>17518</v>
          </cell>
          <cell r="J81">
            <v>25089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17596</v>
          </cell>
          <cell r="R81">
            <v>0</v>
          </cell>
          <cell r="S81">
            <v>4826</v>
          </cell>
          <cell r="T81">
            <v>0</v>
          </cell>
          <cell r="U81">
            <v>0</v>
          </cell>
          <cell r="V81" t="str">
            <v xml:space="preserve"> </v>
          </cell>
          <cell r="W81">
            <v>697519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662217</v>
          </cell>
          <cell r="AC81">
            <v>21898</v>
          </cell>
          <cell r="AD81">
            <v>25000</v>
          </cell>
          <cell r="AE81">
            <v>455</v>
          </cell>
          <cell r="AF81">
            <v>216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19660</v>
          </cell>
          <cell r="AL81">
            <v>0</v>
          </cell>
          <cell r="AM81">
            <v>4800</v>
          </cell>
          <cell r="AN81">
            <v>0</v>
          </cell>
          <cell r="AO81">
            <v>0</v>
          </cell>
          <cell r="AP81">
            <v>733791</v>
          </cell>
        </row>
        <row r="82">
          <cell r="E82">
            <v>990</v>
          </cell>
          <cell r="F82" t="str">
            <v xml:space="preserve"> 2015-2016</v>
          </cell>
          <cell r="G82" t="str">
            <v xml:space="preserve"> 11/15/2015</v>
          </cell>
          <cell r="H82">
            <v>18790</v>
          </cell>
          <cell r="I82">
            <v>459</v>
          </cell>
          <cell r="J82">
            <v>658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580</v>
          </cell>
          <cell r="R82">
            <v>0</v>
          </cell>
          <cell r="S82">
            <v>126</v>
          </cell>
          <cell r="T82">
            <v>0</v>
          </cell>
          <cell r="U82">
            <v>0</v>
          </cell>
          <cell r="V82" t="str">
            <v xml:space="preserve"> </v>
          </cell>
          <cell r="W82">
            <v>20613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19617</v>
          </cell>
          <cell r="AC82">
            <v>574</v>
          </cell>
          <cell r="AD82">
            <v>700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894</v>
          </cell>
          <cell r="AL82">
            <v>0</v>
          </cell>
          <cell r="AM82">
            <v>100</v>
          </cell>
          <cell r="AN82">
            <v>0</v>
          </cell>
          <cell r="AO82">
            <v>0</v>
          </cell>
          <cell r="AP82">
            <v>21885</v>
          </cell>
        </row>
        <row r="83">
          <cell r="E83">
            <v>730</v>
          </cell>
          <cell r="F83" t="str">
            <v xml:space="preserve"> 2015-2016</v>
          </cell>
          <cell r="G83" t="str">
            <v xml:space="preserve"> 11/15/2015</v>
          </cell>
          <cell r="H83">
            <v>8613764</v>
          </cell>
          <cell r="I83">
            <v>256171</v>
          </cell>
          <cell r="J83">
            <v>240775</v>
          </cell>
          <cell r="K83">
            <v>128002</v>
          </cell>
          <cell r="L83">
            <v>60801</v>
          </cell>
          <cell r="M83">
            <v>0</v>
          </cell>
          <cell r="N83">
            <v>0</v>
          </cell>
          <cell r="O83">
            <v>1042707</v>
          </cell>
          <cell r="P83">
            <v>0</v>
          </cell>
          <cell r="Q83">
            <v>160867</v>
          </cell>
          <cell r="R83">
            <v>0</v>
          </cell>
          <cell r="S83">
            <v>66032</v>
          </cell>
          <cell r="T83">
            <v>0</v>
          </cell>
          <cell r="U83">
            <v>1927200</v>
          </cell>
          <cell r="V83" t="str">
            <v xml:space="preserve"> </v>
          </cell>
          <cell r="W83">
            <v>12368317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9080630</v>
          </cell>
          <cell r="AC83">
            <v>320214</v>
          </cell>
          <cell r="AD83">
            <v>241000</v>
          </cell>
          <cell r="AE83">
            <v>54082</v>
          </cell>
          <cell r="AF83">
            <v>25689</v>
          </cell>
          <cell r="AG83">
            <v>0</v>
          </cell>
          <cell r="AH83">
            <v>0</v>
          </cell>
          <cell r="AI83">
            <v>381725</v>
          </cell>
          <cell r="AJ83">
            <v>0</v>
          </cell>
          <cell r="AK83">
            <v>297546</v>
          </cell>
          <cell r="AL83">
            <v>0</v>
          </cell>
          <cell r="AM83">
            <v>66000</v>
          </cell>
          <cell r="AN83">
            <v>0</v>
          </cell>
          <cell r="AO83">
            <v>0</v>
          </cell>
          <cell r="AP83">
            <v>10412804</v>
          </cell>
        </row>
        <row r="84">
          <cell r="E84">
            <v>840</v>
          </cell>
          <cell r="F84" t="str">
            <v xml:space="preserve"> 2015-2016</v>
          </cell>
          <cell r="G84" t="str">
            <v xml:space="preserve"> 11/15/2015</v>
          </cell>
          <cell r="H84">
            <v>10579494</v>
          </cell>
          <cell r="I84">
            <v>327778</v>
          </cell>
          <cell r="J84">
            <v>236126</v>
          </cell>
          <cell r="K84">
            <v>663287</v>
          </cell>
          <cell r="L84">
            <v>315061</v>
          </cell>
          <cell r="M84">
            <v>0</v>
          </cell>
          <cell r="N84">
            <v>0</v>
          </cell>
          <cell r="O84">
            <v>2078336</v>
          </cell>
          <cell r="P84">
            <v>0</v>
          </cell>
          <cell r="Q84">
            <v>305255</v>
          </cell>
          <cell r="R84">
            <v>0</v>
          </cell>
          <cell r="S84">
            <v>79006</v>
          </cell>
          <cell r="T84">
            <v>0</v>
          </cell>
          <cell r="U84">
            <v>3163097</v>
          </cell>
          <cell r="V84" t="str">
            <v xml:space="preserve"> </v>
          </cell>
          <cell r="W84">
            <v>17084153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10726549</v>
          </cell>
          <cell r="AC84">
            <v>409723</v>
          </cell>
          <cell r="AD84">
            <v>236000</v>
          </cell>
          <cell r="AE84">
            <v>270327</v>
          </cell>
          <cell r="AF84">
            <v>128405</v>
          </cell>
          <cell r="AG84">
            <v>0</v>
          </cell>
          <cell r="AH84">
            <v>0</v>
          </cell>
          <cell r="AI84">
            <v>500422</v>
          </cell>
          <cell r="AJ84">
            <v>0</v>
          </cell>
          <cell r="AK84">
            <v>369986</v>
          </cell>
          <cell r="AL84">
            <v>0</v>
          </cell>
          <cell r="AM84">
            <v>79000</v>
          </cell>
          <cell r="AN84">
            <v>0</v>
          </cell>
          <cell r="AO84">
            <v>0</v>
          </cell>
          <cell r="AP84">
            <v>12450085</v>
          </cell>
        </row>
        <row r="85">
          <cell r="E85">
            <v>780</v>
          </cell>
          <cell r="F85" t="str">
            <v xml:space="preserve"> 2015-2016</v>
          </cell>
          <cell r="G85" t="str">
            <v xml:space="preserve"> 11/15/2015</v>
          </cell>
          <cell r="H85">
            <v>12711869</v>
          </cell>
          <cell r="I85">
            <v>347025</v>
          </cell>
          <cell r="J85">
            <v>520962</v>
          </cell>
          <cell r="K85">
            <v>1079357</v>
          </cell>
          <cell r="L85">
            <v>512695</v>
          </cell>
          <cell r="M85">
            <v>0</v>
          </cell>
          <cell r="N85">
            <v>0</v>
          </cell>
          <cell r="O85">
            <v>1442071</v>
          </cell>
          <cell r="P85">
            <v>1812575</v>
          </cell>
          <cell r="Q85">
            <v>489691</v>
          </cell>
          <cell r="R85">
            <v>0</v>
          </cell>
          <cell r="S85">
            <v>97865</v>
          </cell>
          <cell r="T85">
            <v>0</v>
          </cell>
          <cell r="U85">
            <v>1630112</v>
          </cell>
          <cell r="V85" t="str">
            <v xml:space="preserve"> </v>
          </cell>
          <cell r="W85">
            <v>19564865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13451700</v>
          </cell>
          <cell r="AC85">
            <v>433781</v>
          </cell>
          <cell r="AD85">
            <v>521000</v>
          </cell>
          <cell r="AE85">
            <v>464613</v>
          </cell>
          <cell r="AF85">
            <v>220691</v>
          </cell>
          <cell r="AG85">
            <v>0</v>
          </cell>
          <cell r="AH85">
            <v>0</v>
          </cell>
          <cell r="AI85">
            <v>413987</v>
          </cell>
          <cell r="AJ85">
            <v>0</v>
          </cell>
          <cell r="AK85">
            <v>448317</v>
          </cell>
          <cell r="AL85">
            <v>0</v>
          </cell>
          <cell r="AM85">
            <v>97900</v>
          </cell>
          <cell r="AN85">
            <v>0</v>
          </cell>
          <cell r="AO85">
            <v>0</v>
          </cell>
          <cell r="AP85">
            <v>15587376</v>
          </cell>
        </row>
        <row r="86">
          <cell r="D86" t="str">
            <v xml:space="preserve"> LOS ANGELES       </v>
          </cell>
          <cell r="AO86">
            <v>0</v>
          </cell>
          <cell r="AP86">
            <v>343929168</v>
          </cell>
        </row>
        <row r="88">
          <cell r="E88">
            <v>580</v>
          </cell>
          <cell r="F88" t="str">
            <v xml:space="preserve"> 2015-2016</v>
          </cell>
          <cell r="G88" t="str">
            <v xml:space="preserve"> 11/15/2015</v>
          </cell>
          <cell r="H88">
            <v>314617</v>
          </cell>
          <cell r="I88">
            <v>3664</v>
          </cell>
          <cell r="J88">
            <v>13329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-1571</v>
          </cell>
          <cell r="R88">
            <v>0</v>
          </cell>
          <cell r="S88">
            <v>3447</v>
          </cell>
          <cell r="T88">
            <v>0</v>
          </cell>
          <cell r="U88">
            <v>0</v>
          </cell>
          <cell r="V88" t="str">
            <v xml:space="preserve"> </v>
          </cell>
          <cell r="W88">
            <v>333486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373639</v>
          </cell>
          <cell r="AC88">
            <v>0</v>
          </cell>
          <cell r="AD88">
            <v>15933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3900</v>
          </cell>
          <cell r="AN88">
            <v>0</v>
          </cell>
          <cell r="AO88">
            <v>0</v>
          </cell>
          <cell r="AP88">
            <v>393472</v>
          </cell>
        </row>
        <row r="89">
          <cell r="E89">
            <v>570</v>
          </cell>
          <cell r="F89" t="str">
            <v xml:space="preserve"> 2015-2016</v>
          </cell>
          <cell r="G89" t="str">
            <v xml:space="preserve"> 11/15/2015</v>
          </cell>
          <cell r="H89">
            <v>7204851</v>
          </cell>
          <cell r="I89">
            <v>93380</v>
          </cell>
          <cell r="J89">
            <v>262803</v>
          </cell>
          <cell r="K89">
            <v>44073</v>
          </cell>
          <cell r="L89">
            <v>20935</v>
          </cell>
          <cell r="M89">
            <v>0</v>
          </cell>
          <cell r="N89">
            <v>0</v>
          </cell>
          <cell r="O89">
            <v>94149</v>
          </cell>
          <cell r="P89">
            <v>0</v>
          </cell>
          <cell r="Q89">
            <v>-46332</v>
          </cell>
          <cell r="R89">
            <v>5717</v>
          </cell>
          <cell r="S89">
            <v>81843</v>
          </cell>
          <cell r="T89">
            <v>0</v>
          </cell>
          <cell r="U89">
            <v>0</v>
          </cell>
          <cell r="V89" t="str">
            <v xml:space="preserve"> </v>
          </cell>
          <cell r="W89">
            <v>7717346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7416997</v>
          </cell>
          <cell r="AC89">
            <v>0</v>
          </cell>
          <cell r="AD89">
            <v>274628</v>
          </cell>
          <cell r="AE89">
            <v>42685</v>
          </cell>
          <cell r="AF89">
            <v>20275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79836</v>
          </cell>
          <cell r="AN89">
            <v>0</v>
          </cell>
          <cell r="AO89">
            <v>0</v>
          </cell>
          <cell r="AP89">
            <v>7791736</v>
          </cell>
        </row>
        <row r="90">
          <cell r="E90">
            <v>530</v>
          </cell>
          <cell r="F90" t="str">
            <v xml:space="preserve"> 2015-2016</v>
          </cell>
          <cell r="G90" t="str">
            <v xml:space="preserve"> 11/15/2015</v>
          </cell>
          <cell r="H90">
            <v>1207896</v>
          </cell>
          <cell r="I90">
            <v>7840</v>
          </cell>
          <cell r="J90">
            <v>24745</v>
          </cell>
          <cell r="K90">
            <v>22892</v>
          </cell>
          <cell r="L90">
            <v>10874</v>
          </cell>
          <cell r="M90">
            <v>0</v>
          </cell>
          <cell r="N90">
            <v>0</v>
          </cell>
          <cell r="O90">
            <v>34356</v>
          </cell>
          <cell r="P90">
            <v>0</v>
          </cell>
          <cell r="Q90">
            <v>-7617</v>
          </cell>
          <cell r="R90">
            <v>0</v>
          </cell>
          <cell r="S90">
            <v>14386</v>
          </cell>
          <cell r="T90">
            <v>0</v>
          </cell>
          <cell r="U90">
            <v>-222855</v>
          </cell>
          <cell r="V90" t="str">
            <v xml:space="preserve"> </v>
          </cell>
          <cell r="W90">
            <v>1069625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1284154</v>
          </cell>
          <cell r="AC90">
            <v>0</v>
          </cell>
          <cell r="AD90">
            <v>32680</v>
          </cell>
          <cell r="AE90">
            <v>23926</v>
          </cell>
          <cell r="AF90">
            <v>11365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-34328</v>
          </cell>
          <cell r="AL90">
            <v>0</v>
          </cell>
          <cell r="AM90">
            <v>14409</v>
          </cell>
          <cell r="AN90">
            <v>0</v>
          </cell>
          <cell r="AO90">
            <v>-172884</v>
          </cell>
          <cell r="AP90">
            <v>1135396</v>
          </cell>
        </row>
        <row r="91">
          <cell r="D91" t="str">
            <v xml:space="preserve"> MADERA            </v>
          </cell>
          <cell r="AO91">
            <v>-172884</v>
          </cell>
          <cell r="AP91">
            <v>9320604</v>
          </cell>
        </row>
        <row r="93">
          <cell r="E93">
            <v>330</v>
          </cell>
          <cell r="F93" t="str">
            <v xml:space="preserve"> 2015-2016</v>
          </cell>
          <cell r="G93" t="str">
            <v xml:space="preserve"> 11/15/2015</v>
          </cell>
          <cell r="H93">
            <v>42739925</v>
          </cell>
          <cell r="I93">
            <v>1164582</v>
          </cell>
          <cell r="J93">
            <v>919932</v>
          </cell>
          <cell r="K93">
            <v>102265</v>
          </cell>
          <cell r="L93">
            <v>48576</v>
          </cell>
          <cell r="M93">
            <v>0</v>
          </cell>
          <cell r="N93">
            <v>0</v>
          </cell>
          <cell r="O93">
            <v>235798</v>
          </cell>
          <cell r="P93">
            <v>1989</v>
          </cell>
          <cell r="Q93">
            <v>130797</v>
          </cell>
          <cell r="R93">
            <v>0</v>
          </cell>
          <cell r="S93">
            <v>261987</v>
          </cell>
          <cell r="T93">
            <v>2448</v>
          </cell>
          <cell r="U93">
            <v>0</v>
          </cell>
          <cell r="V93" t="str">
            <v xml:space="preserve"> </v>
          </cell>
          <cell r="W93">
            <v>45506034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45476890</v>
          </cell>
          <cell r="AC93">
            <v>1164582</v>
          </cell>
          <cell r="AD93">
            <v>907507</v>
          </cell>
          <cell r="AE93">
            <v>106658</v>
          </cell>
          <cell r="AF93">
            <v>50663</v>
          </cell>
          <cell r="AG93">
            <v>0</v>
          </cell>
          <cell r="AH93">
            <v>0</v>
          </cell>
          <cell r="AI93">
            <v>247744</v>
          </cell>
          <cell r="AJ93">
            <v>0</v>
          </cell>
          <cell r="AK93">
            <v>130797</v>
          </cell>
          <cell r="AL93">
            <v>0</v>
          </cell>
          <cell r="AM93">
            <v>259461</v>
          </cell>
          <cell r="AN93">
            <v>2180</v>
          </cell>
          <cell r="AO93">
            <v>0</v>
          </cell>
          <cell r="AP93">
            <v>48239824</v>
          </cell>
        </row>
        <row r="94">
          <cell r="E94">
            <v>260</v>
          </cell>
          <cell r="F94" t="str">
            <v xml:space="preserve"> 2015-2016</v>
          </cell>
          <cell r="G94" t="str">
            <v xml:space="preserve"> 11/15/2015</v>
          </cell>
          <cell r="H94">
            <v>73579</v>
          </cell>
          <cell r="I94">
            <v>1809</v>
          </cell>
          <cell r="J94">
            <v>1438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154</v>
          </cell>
          <cell r="R94">
            <v>0</v>
          </cell>
          <cell r="S94">
            <v>410</v>
          </cell>
          <cell r="T94">
            <v>0</v>
          </cell>
          <cell r="U94">
            <v>0</v>
          </cell>
          <cell r="V94" t="str">
            <v xml:space="preserve"> </v>
          </cell>
          <cell r="W94">
            <v>77390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73631</v>
          </cell>
          <cell r="AC94">
            <v>1808</v>
          </cell>
          <cell r="AD94">
            <v>1342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155</v>
          </cell>
          <cell r="AL94">
            <v>0</v>
          </cell>
          <cell r="AM94">
            <v>384</v>
          </cell>
          <cell r="AN94">
            <v>0</v>
          </cell>
          <cell r="AO94">
            <v>0</v>
          </cell>
          <cell r="AP94">
            <v>77320</v>
          </cell>
        </row>
        <row r="95">
          <cell r="D95" t="str">
            <v xml:space="preserve"> MARIN             </v>
          </cell>
          <cell r="AO95">
            <v>0</v>
          </cell>
          <cell r="AP95">
            <v>48317144</v>
          </cell>
        </row>
        <row r="97">
          <cell r="E97">
            <v>160</v>
          </cell>
          <cell r="F97" t="str">
            <v xml:space="preserve"> 2015-2016</v>
          </cell>
          <cell r="G97" t="str">
            <v xml:space="preserve"> 11/15/2015</v>
          </cell>
          <cell r="H97">
            <v>1794610</v>
          </cell>
          <cell r="I97">
            <v>14251</v>
          </cell>
          <cell r="J97">
            <v>62793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-381</v>
          </cell>
          <cell r="R97">
            <v>53288</v>
          </cell>
          <cell r="S97">
            <v>19826</v>
          </cell>
          <cell r="T97">
            <v>0</v>
          </cell>
          <cell r="U97">
            <v>125172</v>
          </cell>
          <cell r="V97" t="str">
            <v xml:space="preserve"> </v>
          </cell>
          <cell r="W97">
            <v>2069559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1808432</v>
          </cell>
          <cell r="AC97">
            <v>2444</v>
          </cell>
          <cell r="AD97">
            <v>66918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3261</v>
          </cell>
          <cell r="AL97">
            <v>42836</v>
          </cell>
          <cell r="AM97">
            <v>19229</v>
          </cell>
          <cell r="AN97">
            <v>0</v>
          </cell>
          <cell r="AO97">
            <v>422695</v>
          </cell>
          <cell r="AP97">
            <v>2365815</v>
          </cell>
        </row>
        <row r="98">
          <cell r="E98">
            <v>260</v>
          </cell>
          <cell r="F98" t="str">
            <v xml:space="preserve"> 2015-2016</v>
          </cell>
          <cell r="G98" t="str">
            <v xml:space="preserve"> 11/15/2015</v>
          </cell>
          <cell r="H98">
            <v>627624</v>
          </cell>
          <cell r="I98">
            <v>4598</v>
          </cell>
          <cell r="J98">
            <v>20474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-124</v>
          </cell>
          <cell r="R98">
            <v>2409</v>
          </cell>
          <cell r="S98">
            <v>6465</v>
          </cell>
          <cell r="T98">
            <v>0</v>
          </cell>
          <cell r="U98">
            <v>0</v>
          </cell>
          <cell r="V98" t="str">
            <v xml:space="preserve"> </v>
          </cell>
          <cell r="W98">
            <v>661446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627908</v>
          </cell>
          <cell r="AC98">
            <v>786</v>
          </cell>
          <cell r="AD98">
            <v>21525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1049</v>
          </cell>
          <cell r="AL98">
            <v>1937</v>
          </cell>
          <cell r="AM98">
            <v>6185</v>
          </cell>
          <cell r="AN98">
            <v>0</v>
          </cell>
          <cell r="AO98">
            <v>0</v>
          </cell>
          <cell r="AP98">
            <v>659390</v>
          </cell>
        </row>
        <row r="99">
          <cell r="E99">
            <v>140</v>
          </cell>
          <cell r="F99" t="str">
            <v xml:space="preserve"> 2015-2016</v>
          </cell>
          <cell r="G99" t="str">
            <v xml:space="preserve"> 11/15/2015</v>
          </cell>
          <cell r="H99">
            <v>3597027</v>
          </cell>
          <cell r="I99">
            <v>29997</v>
          </cell>
          <cell r="J99">
            <v>132892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298815</v>
          </cell>
          <cell r="P99">
            <v>0</v>
          </cell>
          <cell r="Q99">
            <v>1646</v>
          </cell>
          <cell r="R99">
            <v>13162</v>
          </cell>
          <cell r="S99">
            <v>41960</v>
          </cell>
          <cell r="T99">
            <v>0</v>
          </cell>
          <cell r="U99">
            <v>0</v>
          </cell>
          <cell r="V99" t="str">
            <v xml:space="preserve"> </v>
          </cell>
          <cell r="W99">
            <v>4115499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3609832</v>
          </cell>
          <cell r="AC99">
            <v>5198</v>
          </cell>
          <cell r="AD99">
            <v>142291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187352</v>
          </cell>
          <cell r="AJ99">
            <v>0</v>
          </cell>
          <cell r="AK99">
            <v>6933</v>
          </cell>
          <cell r="AL99">
            <v>13805</v>
          </cell>
          <cell r="AM99">
            <v>40888</v>
          </cell>
          <cell r="AN99">
            <v>0</v>
          </cell>
          <cell r="AO99">
            <v>0</v>
          </cell>
          <cell r="AP99">
            <v>4006299</v>
          </cell>
        </row>
        <row r="100">
          <cell r="D100" t="str">
            <v xml:space="preserve"> MENDOCINO         </v>
          </cell>
          <cell r="AO100">
            <v>422695</v>
          </cell>
          <cell r="AP100">
            <v>7031504</v>
          </cell>
        </row>
        <row r="102">
          <cell r="E102">
            <v>530</v>
          </cell>
          <cell r="F102" t="str">
            <v xml:space="preserve"> 2015-2016</v>
          </cell>
          <cell r="G102" t="str">
            <v xml:space="preserve"> 11/15/2015</v>
          </cell>
          <cell r="H102">
            <v>7829381</v>
          </cell>
          <cell r="I102">
            <v>159563</v>
          </cell>
          <cell r="J102">
            <v>606279</v>
          </cell>
          <cell r="K102">
            <v>135662</v>
          </cell>
          <cell r="L102">
            <v>64439</v>
          </cell>
          <cell r="M102">
            <v>0</v>
          </cell>
          <cell r="N102">
            <v>0</v>
          </cell>
          <cell r="O102">
            <v>168621</v>
          </cell>
          <cell r="P102">
            <v>0</v>
          </cell>
          <cell r="Q102">
            <v>21588</v>
          </cell>
          <cell r="R102">
            <v>8</v>
          </cell>
          <cell r="S102">
            <v>94176</v>
          </cell>
          <cell r="T102">
            <v>7024</v>
          </cell>
          <cell r="U102">
            <v>-630733</v>
          </cell>
          <cell r="V102" t="str">
            <v xml:space="preserve"> </v>
          </cell>
          <cell r="W102">
            <v>8320346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8220850</v>
          </cell>
          <cell r="AC102">
            <v>167541</v>
          </cell>
          <cell r="AD102">
            <v>636592</v>
          </cell>
          <cell r="AE102">
            <v>142445</v>
          </cell>
          <cell r="AF102">
            <v>67661</v>
          </cell>
          <cell r="AG102">
            <v>0</v>
          </cell>
          <cell r="AH102">
            <v>0</v>
          </cell>
          <cell r="AI102">
            <v>177052</v>
          </cell>
          <cell r="AJ102">
            <v>0</v>
          </cell>
          <cell r="AK102">
            <v>22667</v>
          </cell>
          <cell r="AL102">
            <v>9</v>
          </cell>
          <cell r="AM102">
            <v>98884</v>
          </cell>
          <cell r="AN102">
            <v>7375</v>
          </cell>
          <cell r="AO102">
            <v>-662269</v>
          </cell>
          <cell r="AP102">
            <v>8736362</v>
          </cell>
        </row>
        <row r="103">
          <cell r="E103">
            <v>590</v>
          </cell>
          <cell r="F103" t="str">
            <v xml:space="preserve"> 2015-2016</v>
          </cell>
          <cell r="G103" t="str">
            <v xml:space="preserve"> 11/15/2015</v>
          </cell>
          <cell r="H103">
            <v>1509558</v>
          </cell>
          <cell r="I103">
            <v>33833</v>
          </cell>
          <cell r="J103">
            <v>117257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4238</v>
          </cell>
          <cell r="R103">
            <v>2</v>
          </cell>
          <cell r="S103">
            <v>18210</v>
          </cell>
          <cell r="T103">
            <v>1868</v>
          </cell>
          <cell r="U103">
            <v>-121997</v>
          </cell>
          <cell r="V103" t="str">
            <v xml:space="preserve"> </v>
          </cell>
          <cell r="W103">
            <v>1562969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1585036</v>
          </cell>
          <cell r="AC103">
            <v>35525</v>
          </cell>
          <cell r="AD103">
            <v>123120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4450</v>
          </cell>
          <cell r="AL103">
            <v>2</v>
          </cell>
          <cell r="AM103">
            <v>19120</v>
          </cell>
          <cell r="AN103">
            <v>1961</v>
          </cell>
          <cell r="AO103">
            <v>-128097</v>
          </cell>
          <cell r="AP103">
            <v>1641117</v>
          </cell>
        </row>
        <row r="104">
          <cell r="D104" t="str">
            <v xml:space="preserve"> MERCED            </v>
          </cell>
          <cell r="AO104">
            <v>-790366</v>
          </cell>
          <cell r="AP104">
            <v>10377479</v>
          </cell>
        </row>
        <row r="106">
          <cell r="E106">
            <v>130</v>
          </cell>
          <cell r="F106" t="str">
            <v xml:space="preserve"> 2015-2016</v>
          </cell>
          <cell r="G106" t="str">
            <v xml:space="preserve"> 11/15/2015</v>
          </cell>
          <cell r="AB106">
            <v>98000</v>
          </cell>
          <cell r="AC106">
            <v>540</v>
          </cell>
          <cell r="AD106">
            <v>3300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6000</v>
          </cell>
          <cell r="AL106">
            <v>275</v>
          </cell>
          <cell r="AM106">
            <v>1400</v>
          </cell>
          <cell r="AN106">
            <v>0</v>
          </cell>
          <cell r="AO106">
            <v>-5305</v>
          </cell>
          <cell r="AP106">
            <v>104210</v>
          </cell>
        </row>
        <row r="107">
          <cell r="E107">
            <v>170</v>
          </cell>
          <cell r="F107" t="str">
            <v xml:space="preserve"> 2015-2016</v>
          </cell>
          <cell r="G107" t="str">
            <v xml:space="preserve"> 11/15/2015</v>
          </cell>
          <cell r="H107">
            <v>12132</v>
          </cell>
          <cell r="I107">
            <v>79</v>
          </cell>
          <cell r="J107">
            <v>496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1167</v>
          </cell>
          <cell r="R107">
            <v>31</v>
          </cell>
          <cell r="S107">
            <v>210</v>
          </cell>
          <cell r="T107">
            <v>0</v>
          </cell>
          <cell r="U107">
            <v>-830</v>
          </cell>
          <cell r="V107" t="str">
            <v xml:space="preserve"> </v>
          </cell>
          <cell r="W107">
            <v>13285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12100</v>
          </cell>
          <cell r="AC107">
            <v>80</v>
          </cell>
          <cell r="AD107">
            <v>495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1000</v>
          </cell>
          <cell r="AL107">
            <v>25</v>
          </cell>
          <cell r="AM107">
            <v>200</v>
          </cell>
          <cell r="AN107">
            <v>0</v>
          </cell>
          <cell r="AO107">
            <v>-691</v>
          </cell>
          <cell r="AP107">
            <v>13209</v>
          </cell>
        </row>
        <row r="108">
          <cell r="D108" t="str">
            <v xml:space="preserve"> MODOC             </v>
          </cell>
          <cell r="AO108">
            <v>-5996</v>
          </cell>
          <cell r="AP108">
            <v>117419</v>
          </cell>
        </row>
        <row r="110">
          <cell r="E110">
            <v>580</v>
          </cell>
          <cell r="F110" t="str">
            <v xml:space="preserve"> 2015-2016</v>
          </cell>
          <cell r="G110" t="str">
            <v xml:space="preserve"> 11/15/2015</v>
          </cell>
          <cell r="H110">
            <v>7534</v>
          </cell>
          <cell r="I110">
            <v>145</v>
          </cell>
          <cell r="J110">
            <v>305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121</v>
          </cell>
          <cell r="R110">
            <v>0</v>
          </cell>
          <cell r="S110">
            <v>45</v>
          </cell>
          <cell r="T110">
            <v>0</v>
          </cell>
          <cell r="U110">
            <v>0</v>
          </cell>
          <cell r="V110" t="str">
            <v xml:space="preserve"> </v>
          </cell>
          <cell r="W110">
            <v>8150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7892</v>
          </cell>
          <cell r="AC110">
            <v>87</v>
          </cell>
          <cell r="AD110">
            <v>319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72</v>
          </cell>
          <cell r="AL110">
            <v>0</v>
          </cell>
          <cell r="AM110">
            <v>46</v>
          </cell>
          <cell r="AN110">
            <v>0</v>
          </cell>
          <cell r="AO110">
            <v>0</v>
          </cell>
          <cell r="AP110">
            <v>8416</v>
          </cell>
        </row>
        <row r="111">
          <cell r="E111">
            <v>450</v>
          </cell>
          <cell r="F111" t="str">
            <v xml:space="preserve"> 2015-2016</v>
          </cell>
          <cell r="G111" t="str">
            <v xml:space="preserve"> 11/15/2015</v>
          </cell>
          <cell r="H111">
            <v>18519308</v>
          </cell>
          <cell r="I111">
            <v>360138</v>
          </cell>
          <cell r="J111">
            <v>737774</v>
          </cell>
          <cell r="K111">
            <v>82600</v>
          </cell>
          <cell r="L111">
            <v>39235</v>
          </cell>
          <cell r="M111">
            <v>0</v>
          </cell>
          <cell r="N111">
            <v>0</v>
          </cell>
          <cell r="O111">
            <v>795166</v>
          </cell>
          <cell r="P111">
            <v>0</v>
          </cell>
          <cell r="Q111">
            <v>310880</v>
          </cell>
          <cell r="R111">
            <v>0</v>
          </cell>
          <cell r="S111">
            <v>110282</v>
          </cell>
          <cell r="T111">
            <v>0</v>
          </cell>
          <cell r="U111">
            <v>-3749</v>
          </cell>
          <cell r="V111" t="str">
            <v xml:space="preserve"> </v>
          </cell>
          <cell r="W111">
            <v>20869034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18654252</v>
          </cell>
          <cell r="AC111">
            <v>222761</v>
          </cell>
          <cell r="AD111">
            <v>756359</v>
          </cell>
          <cell r="AE111">
            <v>82600</v>
          </cell>
          <cell r="AF111">
            <v>39235</v>
          </cell>
          <cell r="AG111">
            <v>0</v>
          </cell>
          <cell r="AH111">
            <v>0</v>
          </cell>
          <cell r="AI111">
            <v>795166</v>
          </cell>
          <cell r="AJ111">
            <v>0</v>
          </cell>
          <cell r="AK111">
            <v>179849</v>
          </cell>
          <cell r="AL111">
            <v>0</v>
          </cell>
          <cell r="AM111">
            <v>108238</v>
          </cell>
          <cell r="AN111">
            <v>0</v>
          </cell>
          <cell r="AO111">
            <v>0</v>
          </cell>
          <cell r="AP111">
            <v>20755860</v>
          </cell>
        </row>
        <row r="112">
          <cell r="E112">
            <v>460</v>
          </cell>
          <cell r="F112" t="str">
            <v xml:space="preserve"> 2015-2016</v>
          </cell>
          <cell r="G112" t="str">
            <v xml:space="preserve"> 11/15/2015</v>
          </cell>
          <cell r="H112">
            <v>14577695</v>
          </cell>
          <cell r="I112">
            <v>284586</v>
          </cell>
          <cell r="J112">
            <v>581584</v>
          </cell>
          <cell r="K112">
            <v>87121</v>
          </cell>
          <cell r="L112">
            <v>41382</v>
          </cell>
          <cell r="M112">
            <v>0</v>
          </cell>
          <cell r="N112">
            <v>0</v>
          </cell>
          <cell r="O112">
            <v>630780</v>
          </cell>
          <cell r="P112">
            <v>2332</v>
          </cell>
          <cell r="Q112">
            <v>246709</v>
          </cell>
          <cell r="R112">
            <v>0</v>
          </cell>
          <cell r="S112">
            <v>86817</v>
          </cell>
          <cell r="T112">
            <v>0</v>
          </cell>
          <cell r="U112">
            <v>539540</v>
          </cell>
          <cell r="V112" t="str">
            <v xml:space="preserve"> </v>
          </cell>
          <cell r="W112">
            <v>16991425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14934101</v>
          </cell>
          <cell r="AC112">
            <v>176023</v>
          </cell>
          <cell r="AD112">
            <v>607391</v>
          </cell>
          <cell r="AE112">
            <v>87121</v>
          </cell>
          <cell r="AF112">
            <v>41382</v>
          </cell>
          <cell r="AG112">
            <v>0</v>
          </cell>
          <cell r="AH112">
            <v>0</v>
          </cell>
          <cell r="AI112">
            <v>630780</v>
          </cell>
          <cell r="AJ112">
            <v>0</v>
          </cell>
          <cell r="AK112">
            <v>142754</v>
          </cell>
          <cell r="AL112">
            <v>0</v>
          </cell>
          <cell r="AM112">
            <v>86904</v>
          </cell>
          <cell r="AN112">
            <v>0</v>
          </cell>
          <cell r="AO112">
            <v>768731</v>
          </cell>
          <cell r="AP112">
            <v>17388066</v>
          </cell>
        </row>
        <row r="113">
          <cell r="E113">
            <v>640</v>
          </cell>
          <cell r="F113" t="str">
            <v xml:space="preserve"> 2015-2016</v>
          </cell>
          <cell r="G113" t="str">
            <v xml:space="preserve"> 11/15/2015</v>
          </cell>
          <cell r="H113">
            <v>183595</v>
          </cell>
          <cell r="I113">
            <v>3517</v>
          </cell>
          <cell r="J113">
            <v>7465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2687</v>
          </cell>
          <cell r="R113">
            <v>0</v>
          </cell>
          <cell r="S113">
            <v>1096</v>
          </cell>
          <cell r="T113">
            <v>0</v>
          </cell>
          <cell r="U113">
            <v>0</v>
          </cell>
          <cell r="V113" t="str">
            <v xml:space="preserve"> </v>
          </cell>
          <cell r="W113">
            <v>198360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205047</v>
          </cell>
          <cell r="AC113">
            <v>2110</v>
          </cell>
          <cell r="AD113">
            <v>8340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1612</v>
          </cell>
          <cell r="AL113">
            <v>0</v>
          </cell>
          <cell r="AM113">
            <v>1192</v>
          </cell>
          <cell r="AN113">
            <v>0</v>
          </cell>
          <cell r="AO113">
            <v>0</v>
          </cell>
          <cell r="AP113">
            <v>218301</v>
          </cell>
        </row>
        <row r="114">
          <cell r="E114">
            <v>410</v>
          </cell>
          <cell r="F114" t="str">
            <v xml:space="preserve"> 2015-2016</v>
          </cell>
          <cell r="G114" t="str">
            <v xml:space="preserve"> 11/15/2015</v>
          </cell>
          <cell r="H114">
            <v>712724</v>
          </cell>
          <cell r="I114">
            <v>13621</v>
          </cell>
          <cell r="J114">
            <v>28816</v>
          </cell>
          <cell r="K114">
            <v>1573</v>
          </cell>
          <cell r="L114">
            <v>747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10696</v>
          </cell>
          <cell r="R114">
            <v>0</v>
          </cell>
          <cell r="S114">
            <v>4228</v>
          </cell>
          <cell r="T114">
            <v>0</v>
          </cell>
          <cell r="U114">
            <v>0</v>
          </cell>
          <cell r="V114" t="str">
            <v xml:space="preserve"> </v>
          </cell>
          <cell r="W114">
            <v>770832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728824</v>
          </cell>
          <cell r="AC114">
            <v>8173</v>
          </cell>
          <cell r="AD114">
            <v>29497</v>
          </cell>
          <cell r="AE114">
            <v>1573</v>
          </cell>
          <cell r="AF114">
            <v>747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6418</v>
          </cell>
          <cell r="AL114">
            <v>0</v>
          </cell>
          <cell r="AM114">
            <v>4221</v>
          </cell>
          <cell r="AN114">
            <v>0</v>
          </cell>
          <cell r="AO114">
            <v>0</v>
          </cell>
          <cell r="AP114">
            <v>777880</v>
          </cell>
        </row>
        <row r="115">
          <cell r="D115" t="str">
            <v xml:space="preserve"> MONTEREY          </v>
          </cell>
          <cell r="AO115">
            <v>768731</v>
          </cell>
          <cell r="AP115">
            <v>39148523</v>
          </cell>
        </row>
        <row r="117">
          <cell r="E117">
            <v>240</v>
          </cell>
          <cell r="F117" t="str">
            <v xml:space="preserve"> 2015-2016</v>
          </cell>
          <cell r="G117" t="str">
            <v xml:space="preserve"> 11/15/2015</v>
          </cell>
          <cell r="H117">
            <v>23691093</v>
          </cell>
          <cell r="I117">
            <v>473487</v>
          </cell>
          <cell r="J117">
            <v>966556</v>
          </cell>
          <cell r="K117">
            <v>85347</v>
          </cell>
          <cell r="L117">
            <v>40540</v>
          </cell>
          <cell r="M117">
            <v>0</v>
          </cell>
          <cell r="N117">
            <v>0</v>
          </cell>
          <cell r="O117">
            <v>228303</v>
          </cell>
          <cell r="P117">
            <v>0</v>
          </cell>
          <cell r="Q117">
            <v>15856</v>
          </cell>
          <cell r="R117">
            <v>0</v>
          </cell>
          <cell r="S117">
            <v>126664</v>
          </cell>
          <cell r="T117">
            <v>174</v>
          </cell>
          <cell r="U117">
            <v>-3426603</v>
          </cell>
          <cell r="V117" t="str">
            <v xml:space="preserve"> </v>
          </cell>
          <cell r="W117">
            <v>22116070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24827233</v>
          </cell>
          <cell r="AC117">
            <v>0</v>
          </cell>
          <cell r="AD117">
            <v>906654</v>
          </cell>
          <cell r="AE117">
            <v>85347</v>
          </cell>
          <cell r="AF117">
            <v>40540</v>
          </cell>
          <cell r="AG117">
            <v>0</v>
          </cell>
          <cell r="AH117">
            <v>0</v>
          </cell>
          <cell r="AI117">
            <v>228300</v>
          </cell>
          <cell r="AJ117">
            <v>0</v>
          </cell>
          <cell r="AK117">
            <v>0</v>
          </cell>
          <cell r="AL117">
            <v>0</v>
          </cell>
          <cell r="AM117">
            <v>122634</v>
          </cell>
          <cell r="AN117">
            <v>0</v>
          </cell>
          <cell r="AO117">
            <v>-2617227</v>
          </cell>
          <cell r="AP117">
            <v>23508134</v>
          </cell>
        </row>
        <row r="118">
          <cell r="D118" t="str">
            <v xml:space="preserve"> NAPA              </v>
          </cell>
          <cell r="AO118">
            <v>-2617227</v>
          </cell>
          <cell r="AP118">
            <v>23508134</v>
          </cell>
        </row>
        <row r="120">
          <cell r="E120">
            <v>270</v>
          </cell>
          <cell r="F120" t="str">
            <v xml:space="preserve"> 2015-2016</v>
          </cell>
          <cell r="G120" t="str">
            <v xml:space="preserve"> 11/15/2015</v>
          </cell>
          <cell r="H120">
            <v>13107010</v>
          </cell>
          <cell r="I120">
            <v>206719</v>
          </cell>
          <cell r="J120">
            <v>260008</v>
          </cell>
          <cell r="K120">
            <v>32380</v>
          </cell>
          <cell r="L120">
            <v>15381</v>
          </cell>
          <cell r="M120">
            <v>0</v>
          </cell>
          <cell r="N120">
            <v>0</v>
          </cell>
          <cell r="O120">
            <v>99329</v>
          </cell>
          <cell r="P120">
            <v>0</v>
          </cell>
          <cell r="Q120">
            <v>4407</v>
          </cell>
          <cell r="R120">
            <v>3787</v>
          </cell>
          <cell r="S120">
            <v>140235</v>
          </cell>
          <cell r="T120">
            <v>0</v>
          </cell>
          <cell r="U120">
            <v>607452</v>
          </cell>
          <cell r="V120" t="str">
            <v xml:space="preserve"> </v>
          </cell>
          <cell r="W120">
            <v>14444328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13796580</v>
          </cell>
          <cell r="AC120">
            <v>200000</v>
          </cell>
          <cell r="AD120">
            <v>243736</v>
          </cell>
          <cell r="AE120">
            <v>32217</v>
          </cell>
          <cell r="AF120">
            <v>15303</v>
          </cell>
          <cell r="AG120">
            <v>0</v>
          </cell>
          <cell r="AH120">
            <v>0</v>
          </cell>
          <cell r="AI120">
            <v>84318</v>
          </cell>
          <cell r="AJ120">
            <v>0</v>
          </cell>
          <cell r="AK120">
            <v>4000</v>
          </cell>
          <cell r="AL120">
            <v>4000</v>
          </cell>
          <cell r="AM120">
            <v>140077</v>
          </cell>
          <cell r="AN120">
            <v>0</v>
          </cell>
          <cell r="AO120">
            <v>1049123</v>
          </cell>
          <cell r="AP120">
            <v>15537137</v>
          </cell>
        </row>
        <row r="121">
          <cell r="D121" t="str">
            <v xml:space="preserve"> NEVADA            </v>
          </cell>
          <cell r="AO121">
            <v>1049123</v>
          </cell>
          <cell r="AP121">
            <v>15537137</v>
          </cell>
        </row>
        <row r="123">
          <cell r="E123">
            <v>860</v>
          </cell>
          <cell r="F123" t="str">
            <v xml:space="preserve"> 2015-2016</v>
          </cell>
          <cell r="G123" t="str">
            <v xml:space="preserve"> 11/15/2015</v>
          </cell>
          <cell r="H123">
            <v>56103025</v>
          </cell>
          <cell r="I123">
            <v>1609064</v>
          </cell>
          <cell r="J123">
            <v>2151203</v>
          </cell>
          <cell r="K123">
            <v>1465918</v>
          </cell>
          <cell r="L123">
            <v>696311</v>
          </cell>
          <cell r="M123">
            <v>0</v>
          </cell>
          <cell r="N123">
            <v>0</v>
          </cell>
          <cell r="O123">
            <v>5114241</v>
          </cell>
          <cell r="P123">
            <v>71279</v>
          </cell>
          <cell r="Q123">
            <v>1800078</v>
          </cell>
          <cell r="R123">
            <v>9</v>
          </cell>
          <cell r="S123">
            <v>415058</v>
          </cell>
          <cell r="T123">
            <v>697519</v>
          </cell>
          <cell r="U123">
            <v>394772</v>
          </cell>
          <cell r="V123" t="str">
            <v xml:space="preserve"> </v>
          </cell>
          <cell r="W123">
            <v>69052559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59825828</v>
          </cell>
          <cell r="AC123">
            <v>1477193</v>
          </cell>
          <cell r="AD123">
            <v>1928146</v>
          </cell>
          <cell r="AE123">
            <v>1327853</v>
          </cell>
          <cell r="AF123">
            <v>630730</v>
          </cell>
          <cell r="AG123">
            <v>0</v>
          </cell>
          <cell r="AH123">
            <v>0</v>
          </cell>
          <cell r="AI123">
            <v>4345954</v>
          </cell>
          <cell r="AJ123">
            <v>0</v>
          </cell>
          <cell r="AK123">
            <v>2046942</v>
          </cell>
          <cell r="AL123">
            <v>9</v>
          </cell>
          <cell r="AM123">
            <v>409715</v>
          </cell>
          <cell r="AN123">
            <v>0</v>
          </cell>
          <cell r="AO123">
            <v>3895798</v>
          </cell>
          <cell r="AP123">
            <v>74560315</v>
          </cell>
        </row>
        <row r="124">
          <cell r="E124">
            <v>830</v>
          </cell>
          <cell r="F124" t="str">
            <v xml:space="preserve"> 2015-2016</v>
          </cell>
          <cell r="G124" t="str">
            <v xml:space="preserve"> 11/15/2015</v>
          </cell>
          <cell r="H124">
            <v>93100524</v>
          </cell>
          <cell r="I124">
            <v>2674924</v>
          </cell>
          <cell r="J124">
            <v>3576660</v>
          </cell>
          <cell r="K124">
            <v>1534649</v>
          </cell>
          <cell r="L124">
            <v>728958</v>
          </cell>
          <cell r="M124">
            <v>0</v>
          </cell>
          <cell r="N124">
            <v>0</v>
          </cell>
          <cell r="O124">
            <v>4553465</v>
          </cell>
          <cell r="P124">
            <v>283394</v>
          </cell>
          <cell r="Q124">
            <v>1542715</v>
          </cell>
          <cell r="R124">
            <v>14</v>
          </cell>
          <cell r="S124">
            <v>690122</v>
          </cell>
          <cell r="T124">
            <v>0</v>
          </cell>
          <cell r="U124">
            <v>656554</v>
          </cell>
          <cell r="V124" t="str">
            <v xml:space="preserve"> </v>
          </cell>
          <cell r="W124">
            <v>107807330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100126954</v>
          </cell>
          <cell r="AC124">
            <v>2475711</v>
          </cell>
          <cell r="AD124">
            <v>3233811</v>
          </cell>
          <cell r="AE124">
            <v>1305466</v>
          </cell>
          <cell r="AF124">
            <v>620096</v>
          </cell>
          <cell r="AG124">
            <v>0</v>
          </cell>
          <cell r="AH124">
            <v>0</v>
          </cell>
          <cell r="AI124">
            <v>3511525</v>
          </cell>
          <cell r="AJ124">
            <v>0</v>
          </cell>
          <cell r="AK124">
            <v>1467926</v>
          </cell>
          <cell r="AL124">
            <v>14</v>
          </cell>
          <cell r="AM124">
            <v>687158</v>
          </cell>
          <cell r="AN124">
            <v>0</v>
          </cell>
          <cell r="AO124">
            <v>6533880</v>
          </cell>
          <cell r="AP124">
            <v>118657075</v>
          </cell>
        </row>
        <row r="125">
          <cell r="E125">
            <v>890</v>
          </cell>
          <cell r="F125" t="str">
            <v xml:space="preserve"> 2015-2016</v>
          </cell>
          <cell r="G125" t="str">
            <v xml:space="preserve"> 11/15/2015</v>
          </cell>
          <cell r="H125">
            <v>159348955</v>
          </cell>
          <cell r="I125">
            <v>4586112</v>
          </cell>
          <cell r="J125">
            <v>6160059</v>
          </cell>
          <cell r="K125">
            <v>656530</v>
          </cell>
          <cell r="L125">
            <v>311852</v>
          </cell>
          <cell r="M125">
            <v>0</v>
          </cell>
          <cell r="N125">
            <v>0</v>
          </cell>
          <cell r="O125">
            <v>3562937</v>
          </cell>
          <cell r="P125">
            <v>771930</v>
          </cell>
          <cell r="Q125">
            <v>2605084</v>
          </cell>
          <cell r="R125">
            <v>25</v>
          </cell>
          <cell r="S125">
            <v>1184736</v>
          </cell>
          <cell r="T125">
            <v>0</v>
          </cell>
          <cell r="U125">
            <v>0</v>
          </cell>
          <cell r="V125" t="str">
            <v xml:space="preserve"> </v>
          </cell>
          <cell r="W125">
            <v>178531690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173769671</v>
          </cell>
          <cell r="AC125">
            <v>4303209</v>
          </cell>
          <cell r="AD125">
            <v>5629887</v>
          </cell>
          <cell r="AE125">
            <v>611858</v>
          </cell>
          <cell r="AF125">
            <v>290633</v>
          </cell>
          <cell r="AG125">
            <v>0</v>
          </cell>
          <cell r="AH125">
            <v>0</v>
          </cell>
          <cell r="AI125">
            <v>2216880</v>
          </cell>
          <cell r="AJ125">
            <v>0</v>
          </cell>
          <cell r="AK125">
            <v>2518832</v>
          </cell>
          <cell r="AL125">
            <v>25</v>
          </cell>
          <cell r="AM125">
            <v>1196303</v>
          </cell>
          <cell r="AN125">
            <v>0</v>
          </cell>
          <cell r="AO125">
            <v>11375126</v>
          </cell>
          <cell r="AP125">
            <v>201300566</v>
          </cell>
        </row>
        <row r="126">
          <cell r="E126">
            <v>870</v>
          </cell>
          <cell r="F126" t="str">
            <v xml:space="preserve"> 2015-2016</v>
          </cell>
          <cell r="G126" t="str">
            <v xml:space="preserve"> 11/15/2015</v>
          </cell>
          <cell r="H126">
            <v>39961546</v>
          </cell>
          <cell r="I126">
            <v>1144948</v>
          </cell>
          <cell r="J126">
            <v>1529150</v>
          </cell>
          <cell r="K126">
            <v>310048</v>
          </cell>
          <cell r="L126">
            <v>147273</v>
          </cell>
          <cell r="M126">
            <v>0</v>
          </cell>
          <cell r="N126">
            <v>0</v>
          </cell>
          <cell r="O126">
            <v>3673735</v>
          </cell>
          <cell r="P126">
            <v>2111500</v>
          </cell>
          <cell r="Q126">
            <v>662064</v>
          </cell>
          <cell r="R126">
            <v>6</v>
          </cell>
          <cell r="S126">
            <v>295240</v>
          </cell>
          <cell r="T126">
            <v>0</v>
          </cell>
          <cell r="U126">
            <v>281777</v>
          </cell>
          <cell r="V126" t="str">
            <v xml:space="preserve"> </v>
          </cell>
          <cell r="W126">
            <v>49807239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42753754</v>
          </cell>
          <cell r="AC126">
            <v>1054067</v>
          </cell>
          <cell r="AD126">
            <v>1376106</v>
          </cell>
          <cell r="AE126">
            <v>385611</v>
          </cell>
          <cell r="AF126">
            <v>183165</v>
          </cell>
          <cell r="AG126">
            <v>0</v>
          </cell>
          <cell r="AH126">
            <v>0</v>
          </cell>
          <cell r="AI126">
            <v>2723321</v>
          </cell>
          <cell r="AJ126">
            <v>0</v>
          </cell>
          <cell r="AK126">
            <v>628048</v>
          </cell>
          <cell r="AL126">
            <v>6</v>
          </cell>
          <cell r="AM126">
            <v>292411</v>
          </cell>
          <cell r="AN126">
            <v>0</v>
          </cell>
          <cell r="AO126">
            <v>7126684</v>
          </cell>
          <cell r="AP126">
            <v>56137562</v>
          </cell>
        </row>
        <row r="127">
          <cell r="D127" t="str">
            <v xml:space="preserve"> ORANGE            </v>
          </cell>
          <cell r="AO127">
            <v>28931488</v>
          </cell>
          <cell r="AP127">
            <v>450655518</v>
          </cell>
        </row>
        <row r="129">
          <cell r="E129">
            <v>270</v>
          </cell>
          <cell r="F129" t="str">
            <v xml:space="preserve"> 2015-2016</v>
          </cell>
          <cell r="G129" t="str">
            <v xml:space="preserve"> 11/15/2015</v>
          </cell>
          <cell r="H129">
            <v>42476421</v>
          </cell>
          <cell r="I129">
            <v>1031008</v>
          </cell>
          <cell r="J129">
            <v>1046218</v>
          </cell>
          <cell r="K129">
            <v>340784</v>
          </cell>
          <cell r="L129">
            <v>161872</v>
          </cell>
          <cell r="M129">
            <v>0</v>
          </cell>
          <cell r="N129">
            <v>0</v>
          </cell>
          <cell r="O129">
            <v>453406</v>
          </cell>
          <cell r="P129">
            <v>124296</v>
          </cell>
          <cell r="Q129">
            <v>22132</v>
          </cell>
          <cell r="R129">
            <v>30352</v>
          </cell>
          <cell r="S129">
            <v>404681</v>
          </cell>
          <cell r="T129">
            <v>0</v>
          </cell>
          <cell r="U129">
            <v>847975</v>
          </cell>
          <cell r="V129" t="str">
            <v xml:space="preserve"> </v>
          </cell>
          <cell r="W129">
            <v>46598361</v>
          </cell>
          <cell r="X129">
            <v>-3307</v>
          </cell>
          <cell r="Y129">
            <v>0</v>
          </cell>
          <cell r="Z129">
            <v>0</v>
          </cell>
          <cell r="AA129">
            <v>0</v>
          </cell>
          <cell r="AB129">
            <v>46412492</v>
          </cell>
          <cell r="AC129">
            <v>1053267</v>
          </cell>
          <cell r="AD129">
            <v>1089627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22132</v>
          </cell>
          <cell r="AL129">
            <v>30352</v>
          </cell>
          <cell r="AM129">
            <v>396690</v>
          </cell>
          <cell r="AN129">
            <v>0</v>
          </cell>
          <cell r="AO129">
            <v>3471056</v>
          </cell>
          <cell r="AP129">
            <v>52475616</v>
          </cell>
        </row>
        <row r="130">
          <cell r="E130">
            <v>230</v>
          </cell>
          <cell r="F130" t="str">
            <v xml:space="preserve"> 2015-2016</v>
          </cell>
          <cell r="G130" t="str">
            <v xml:space="preserve"> 11/15/2015</v>
          </cell>
          <cell r="H130">
            <v>38073</v>
          </cell>
          <cell r="I130">
            <v>880</v>
          </cell>
          <cell r="J130">
            <v>926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20</v>
          </cell>
          <cell r="R130">
            <v>0</v>
          </cell>
          <cell r="S130">
            <v>358</v>
          </cell>
          <cell r="T130">
            <v>0</v>
          </cell>
          <cell r="U130">
            <v>0</v>
          </cell>
          <cell r="V130" t="str">
            <v xml:space="preserve"> </v>
          </cell>
          <cell r="W130">
            <v>40257</v>
          </cell>
          <cell r="X130">
            <v>-5</v>
          </cell>
          <cell r="Y130">
            <v>0</v>
          </cell>
          <cell r="Z130">
            <v>0</v>
          </cell>
          <cell r="AA130">
            <v>0</v>
          </cell>
          <cell r="AB130">
            <v>42815</v>
          </cell>
          <cell r="AC130">
            <v>922</v>
          </cell>
          <cell r="AD130">
            <v>994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20</v>
          </cell>
          <cell r="AL130">
            <v>0</v>
          </cell>
          <cell r="AM130">
            <v>362</v>
          </cell>
          <cell r="AN130">
            <v>0</v>
          </cell>
          <cell r="AO130">
            <v>0</v>
          </cell>
          <cell r="AP130">
            <v>45113</v>
          </cell>
        </row>
        <row r="131">
          <cell r="E131">
            <v>290</v>
          </cell>
          <cell r="F131" t="str">
            <v xml:space="preserve"> 2015-2016</v>
          </cell>
          <cell r="G131" t="str">
            <v xml:space="preserve"> 11/15/2015</v>
          </cell>
          <cell r="H131">
            <v>31180</v>
          </cell>
          <cell r="I131">
            <v>695</v>
          </cell>
          <cell r="J131">
            <v>744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15</v>
          </cell>
          <cell r="R131">
            <v>0</v>
          </cell>
          <cell r="S131">
            <v>288</v>
          </cell>
          <cell r="T131">
            <v>0</v>
          </cell>
          <cell r="U131">
            <v>0</v>
          </cell>
          <cell r="V131" t="str">
            <v xml:space="preserve"> </v>
          </cell>
          <cell r="W131">
            <v>32922</v>
          </cell>
          <cell r="X131">
            <v>-6</v>
          </cell>
          <cell r="Y131">
            <v>0</v>
          </cell>
          <cell r="Z131">
            <v>0</v>
          </cell>
          <cell r="AA131">
            <v>0</v>
          </cell>
          <cell r="AB131">
            <v>34467</v>
          </cell>
          <cell r="AC131">
            <v>729</v>
          </cell>
          <cell r="AD131">
            <v>786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15</v>
          </cell>
          <cell r="AL131">
            <v>0</v>
          </cell>
          <cell r="AM131">
            <v>286</v>
          </cell>
          <cell r="AN131">
            <v>0</v>
          </cell>
          <cell r="AO131">
            <v>0</v>
          </cell>
          <cell r="AP131">
            <v>36283</v>
          </cell>
        </row>
        <row r="132">
          <cell r="D132" t="str">
            <v xml:space="preserve"> PLACER            </v>
          </cell>
          <cell r="AO132">
            <v>3471056</v>
          </cell>
          <cell r="AP132">
            <v>52557012</v>
          </cell>
        </row>
        <row r="134">
          <cell r="E134">
            <v>120</v>
          </cell>
          <cell r="F134" t="str">
            <v xml:space="preserve"> 2015-2016</v>
          </cell>
          <cell r="G134" t="str">
            <v xml:space="preserve"> 11/15/2015</v>
          </cell>
          <cell r="H134">
            <v>4156514</v>
          </cell>
          <cell r="I134">
            <v>31371</v>
          </cell>
          <cell r="J134">
            <v>104294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5092</v>
          </cell>
          <cell r="R134">
            <v>55187</v>
          </cell>
          <cell r="S134">
            <v>38524</v>
          </cell>
          <cell r="T134">
            <v>0</v>
          </cell>
          <cell r="U134">
            <v>519931</v>
          </cell>
          <cell r="V134" t="str">
            <v xml:space="preserve"> </v>
          </cell>
          <cell r="W134">
            <v>4910913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4156514</v>
          </cell>
          <cell r="AC134">
            <v>617424</v>
          </cell>
          <cell r="AD134">
            <v>104294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5092</v>
          </cell>
          <cell r="AL134">
            <v>55187</v>
          </cell>
          <cell r="AM134">
            <v>37835</v>
          </cell>
          <cell r="AN134">
            <v>0</v>
          </cell>
          <cell r="AO134">
            <v>519931</v>
          </cell>
          <cell r="AP134">
            <v>5496277</v>
          </cell>
        </row>
        <row r="135">
          <cell r="D135" t="str">
            <v xml:space="preserve"> PLUMAS            </v>
          </cell>
          <cell r="AO135">
            <v>519931</v>
          </cell>
          <cell r="AP135">
            <v>5496277</v>
          </cell>
        </row>
        <row r="137">
          <cell r="E137">
            <v>930</v>
          </cell>
          <cell r="F137" t="str">
            <v xml:space="preserve"> 2015-2016</v>
          </cell>
          <cell r="G137" t="str">
            <v xml:space="preserve"> 11/15/2015</v>
          </cell>
          <cell r="H137">
            <v>23838334</v>
          </cell>
          <cell r="I137">
            <v>511933</v>
          </cell>
          <cell r="J137">
            <v>1099060</v>
          </cell>
          <cell r="K137">
            <v>541185</v>
          </cell>
          <cell r="L137">
            <v>257063</v>
          </cell>
          <cell r="M137">
            <v>0</v>
          </cell>
          <cell r="N137">
            <v>0</v>
          </cell>
          <cell r="O137">
            <v>8416846</v>
          </cell>
          <cell r="P137">
            <v>361226</v>
          </cell>
          <cell r="Q137">
            <v>765848</v>
          </cell>
          <cell r="R137">
            <v>0</v>
          </cell>
          <cell r="S137">
            <v>325740</v>
          </cell>
          <cell r="T137">
            <v>471</v>
          </cell>
          <cell r="U137">
            <v>-4491144</v>
          </cell>
          <cell r="V137" t="str">
            <v xml:space="preserve"> </v>
          </cell>
          <cell r="W137">
            <v>31085377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23932853</v>
          </cell>
          <cell r="AC137">
            <v>578501</v>
          </cell>
          <cell r="AD137">
            <v>1030413</v>
          </cell>
          <cell r="AE137">
            <v>576470</v>
          </cell>
          <cell r="AF137">
            <v>273823</v>
          </cell>
          <cell r="AG137">
            <v>0</v>
          </cell>
          <cell r="AH137">
            <v>0</v>
          </cell>
          <cell r="AI137">
            <v>0</v>
          </cell>
          <cell r="AJ137">
            <v>10538</v>
          </cell>
          <cell r="AK137">
            <v>649422</v>
          </cell>
          <cell r="AL137">
            <v>0</v>
          </cell>
          <cell r="AM137">
            <v>322038</v>
          </cell>
          <cell r="AN137">
            <v>0</v>
          </cell>
          <cell r="AO137">
            <v>-3313898</v>
          </cell>
          <cell r="AP137">
            <v>23483690</v>
          </cell>
        </row>
        <row r="138">
          <cell r="E138">
            <v>940</v>
          </cell>
          <cell r="F138" t="str">
            <v xml:space="preserve"> 2015-2016</v>
          </cell>
          <cell r="G138" t="str">
            <v xml:space="preserve"> 11/15/2015</v>
          </cell>
          <cell r="H138">
            <v>23125086</v>
          </cell>
          <cell r="I138">
            <v>491256</v>
          </cell>
          <cell r="J138">
            <v>1034248</v>
          </cell>
          <cell r="K138">
            <v>458653</v>
          </cell>
          <cell r="L138">
            <v>217860</v>
          </cell>
          <cell r="M138">
            <v>0</v>
          </cell>
          <cell r="N138">
            <v>0</v>
          </cell>
          <cell r="O138">
            <v>1159214</v>
          </cell>
          <cell r="P138">
            <v>0</v>
          </cell>
          <cell r="Q138">
            <v>719499</v>
          </cell>
          <cell r="R138">
            <v>0</v>
          </cell>
          <cell r="S138">
            <v>319001</v>
          </cell>
          <cell r="T138">
            <v>461</v>
          </cell>
          <cell r="U138">
            <v>-4407735</v>
          </cell>
          <cell r="V138" t="str">
            <v xml:space="preserve"> </v>
          </cell>
          <cell r="W138">
            <v>22658890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23548746</v>
          </cell>
          <cell r="AC138">
            <v>572373</v>
          </cell>
          <cell r="AD138">
            <v>1023790</v>
          </cell>
          <cell r="AE138">
            <v>480236</v>
          </cell>
          <cell r="AF138">
            <v>228112</v>
          </cell>
          <cell r="AG138">
            <v>0</v>
          </cell>
          <cell r="AH138">
            <v>0</v>
          </cell>
          <cell r="AI138">
            <v>0</v>
          </cell>
          <cell r="AJ138">
            <v>13529</v>
          </cell>
          <cell r="AK138">
            <v>631591</v>
          </cell>
          <cell r="AL138">
            <v>0</v>
          </cell>
          <cell r="AM138">
            <v>319968</v>
          </cell>
          <cell r="AN138">
            <v>0</v>
          </cell>
          <cell r="AO138">
            <v>-3292597</v>
          </cell>
          <cell r="AP138">
            <v>23045512</v>
          </cell>
        </row>
        <row r="139">
          <cell r="E139">
            <v>960</v>
          </cell>
          <cell r="F139" t="str">
            <v xml:space="preserve"> 2015-2016</v>
          </cell>
          <cell r="G139" t="str">
            <v xml:space="preserve"> 11/15/2015</v>
          </cell>
          <cell r="H139">
            <v>32178177</v>
          </cell>
          <cell r="I139">
            <v>690713</v>
          </cell>
          <cell r="J139">
            <v>1469561</v>
          </cell>
          <cell r="K139">
            <v>1583185</v>
          </cell>
          <cell r="L139">
            <v>752013</v>
          </cell>
          <cell r="M139">
            <v>0</v>
          </cell>
          <cell r="N139">
            <v>0</v>
          </cell>
          <cell r="O139">
            <v>3396483</v>
          </cell>
          <cell r="P139">
            <v>68378</v>
          </cell>
          <cell r="Q139">
            <v>1023567</v>
          </cell>
          <cell r="R139">
            <v>0</v>
          </cell>
          <cell r="S139">
            <v>443409</v>
          </cell>
          <cell r="T139">
            <v>641</v>
          </cell>
          <cell r="U139">
            <v>-6119488</v>
          </cell>
          <cell r="V139" t="str">
            <v xml:space="preserve"> </v>
          </cell>
          <cell r="W139">
            <v>33903454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32399576</v>
          </cell>
          <cell r="AC139">
            <v>789105</v>
          </cell>
          <cell r="AD139">
            <v>1406733</v>
          </cell>
          <cell r="AE139">
            <v>1420341</v>
          </cell>
          <cell r="AF139">
            <v>674662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881245</v>
          </cell>
          <cell r="AL139">
            <v>0</v>
          </cell>
          <cell r="AM139">
            <v>439651</v>
          </cell>
          <cell r="AN139">
            <v>0</v>
          </cell>
          <cell r="AO139">
            <v>-4524175</v>
          </cell>
          <cell r="AP139">
            <v>32066797</v>
          </cell>
        </row>
        <row r="140">
          <cell r="E140">
            <v>980</v>
          </cell>
          <cell r="F140" t="str">
            <v xml:space="preserve"> 2015-2016</v>
          </cell>
          <cell r="G140" t="str">
            <v xml:space="preserve"> 11/15/2015</v>
          </cell>
          <cell r="H140">
            <v>300257</v>
          </cell>
          <cell r="I140">
            <v>6391</v>
          </cell>
          <cell r="J140">
            <v>13594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12018</v>
          </cell>
          <cell r="P140">
            <v>0</v>
          </cell>
          <cell r="Q140">
            <v>9506</v>
          </cell>
          <cell r="R140">
            <v>0</v>
          </cell>
          <cell r="S140">
            <v>4099</v>
          </cell>
          <cell r="T140">
            <v>6</v>
          </cell>
          <cell r="U140">
            <v>-56570</v>
          </cell>
          <cell r="V140" t="str">
            <v xml:space="preserve"> </v>
          </cell>
          <cell r="W140">
            <v>289301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302584</v>
          </cell>
          <cell r="AC140">
            <v>7300</v>
          </cell>
          <cell r="AD140">
            <v>13017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8148</v>
          </cell>
          <cell r="AL140">
            <v>0</v>
          </cell>
          <cell r="AM140">
            <v>4068</v>
          </cell>
          <cell r="AN140">
            <v>0</v>
          </cell>
          <cell r="AO140">
            <v>-41864</v>
          </cell>
          <cell r="AP140">
            <v>293253</v>
          </cell>
        </row>
        <row r="141">
          <cell r="E141">
            <v>950</v>
          </cell>
          <cell r="F141" t="str">
            <v xml:space="preserve"> 2015-2016</v>
          </cell>
          <cell r="G141" t="str">
            <v xml:space="preserve"> 11/15/2015</v>
          </cell>
          <cell r="H141">
            <v>909499</v>
          </cell>
          <cell r="I141">
            <v>18200</v>
          </cell>
          <cell r="J141">
            <v>38791</v>
          </cell>
          <cell r="K141">
            <v>155672</v>
          </cell>
          <cell r="L141">
            <v>73944</v>
          </cell>
          <cell r="M141">
            <v>0</v>
          </cell>
          <cell r="N141">
            <v>0</v>
          </cell>
          <cell r="O141">
            <v>209656</v>
          </cell>
          <cell r="P141">
            <v>0</v>
          </cell>
          <cell r="Q141">
            <v>27007</v>
          </cell>
          <cell r="R141">
            <v>0</v>
          </cell>
          <cell r="S141">
            <v>11626</v>
          </cell>
          <cell r="T141">
            <v>17</v>
          </cell>
          <cell r="U141">
            <v>-160396</v>
          </cell>
          <cell r="V141" t="str">
            <v xml:space="preserve"> </v>
          </cell>
          <cell r="W141">
            <v>1128344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887663</v>
          </cell>
          <cell r="AC141">
            <v>20204</v>
          </cell>
          <cell r="AD141">
            <v>35661</v>
          </cell>
          <cell r="AE141">
            <v>88242</v>
          </cell>
          <cell r="AF141">
            <v>41915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23133</v>
          </cell>
          <cell r="AL141">
            <v>0</v>
          </cell>
          <cell r="AM141">
            <v>11145</v>
          </cell>
          <cell r="AN141">
            <v>0</v>
          </cell>
          <cell r="AO141">
            <v>-114689</v>
          </cell>
          <cell r="AP141">
            <v>905032</v>
          </cell>
        </row>
        <row r="142">
          <cell r="D142" t="str">
            <v xml:space="preserve"> RIVERSIDE         </v>
          </cell>
          <cell r="AO142">
            <v>-11287223</v>
          </cell>
          <cell r="AP142">
            <v>79794284</v>
          </cell>
        </row>
        <row r="144">
          <cell r="E144">
            <v>270</v>
          </cell>
          <cell r="F144" t="str">
            <v xml:space="preserve"> 2015-2016</v>
          </cell>
          <cell r="G144" t="str">
            <v xml:space="preserve"> 11/15/2015</v>
          </cell>
          <cell r="H144">
            <v>1248989</v>
          </cell>
          <cell r="I144">
            <v>22415</v>
          </cell>
          <cell r="J144">
            <v>53249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16602</v>
          </cell>
          <cell r="T144">
            <v>0</v>
          </cell>
          <cell r="U144">
            <v>0</v>
          </cell>
          <cell r="V144" t="str">
            <v xml:space="preserve"> </v>
          </cell>
          <cell r="W144">
            <v>1341255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1290816</v>
          </cell>
          <cell r="AC144">
            <v>44056</v>
          </cell>
          <cell r="AD144">
            <v>40932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18347</v>
          </cell>
          <cell r="AN144">
            <v>0</v>
          </cell>
          <cell r="AO144">
            <v>0</v>
          </cell>
          <cell r="AP144">
            <v>1394151</v>
          </cell>
        </row>
        <row r="145">
          <cell r="E145">
            <v>230</v>
          </cell>
          <cell r="F145" t="str">
            <v xml:space="preserve"> 2015-2016</v>
          </cell>
          <cell r="G145" t="str">
            <v xml:space="preserve"> 11/15/2015</v>
          </cell>
          <cell r="H145">
            <v>35086267</v>
          </cell>
          <cell r="I145">
            <v>610872</v>
          </cell>
          <cell r="J145">
            <v>1496981</v>
          </cell>
          <cell r="K145">
            <v>287341</v>
          </cell>
          <cell r="L145">
            <v>136487</v>
          </cell>
          <cell r="M145">
            <v>0</v>
          </cell>
          <cell r="N145">
            <v>0</v>
          </cell>
          <cell r="O145">
            <v>628974</v>
          </cell>
          <cell r="P145">
            <v>0</v>
          </cell>
          <cell r="Q145">
            <v>0</v>
          </cell>
          <cell r="R145">
            <v>17</v>
          </cell>
          <cell r="S145">
            <v>466570</v>
          </cell>
          <cell r="T145">
            <v>1683</v>
          </cell>
          <cell r="U145">
            <v>3370123</v>
          </cell>
          <cell r="V145" t="str">
            <v xml:space="preserve"> </v>
          </cell>
          <cell r="W145">
            <v>41797974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36291317</v>
          </cell>
          <cell r="AC145">
            <v>1238625</v>
          </cell>
          <cell r="AD145">
            <v>1150819</v>
          </cell>
          <cell r="AE145">
            <v>278304</v>
          </cell>
          <cell r="AF145">
            <v>132194</v>
          </cell>
          <cell r="AG145">
            <v>0</v>
          </cell>
          <cell r="AH145">
            <v>0</v>
          </cell>
          <cell r="AI145">
            <v>338805</v>
          </cell>
          <cell r="AJ145">
            <v>0</v>
          </cell>
          <cell r="AK145">
            <v>0</v>
          </cell>
          <cell r="AL145">
            <v>17</v>
          </cell>
          <cell r="AM145">
            <v>515823</v>
          </cell>
          <cell r="AN145">
            <v>1683</v>
          </cell>
          <cell r="AO145">
            <v>6899352</v>
          </cell>
          <cell r="AP145">
            <v>46568635</v>
          </cell>
        </row>
        <row r="146">
          <cell r="E146">
            <v>550</v>
          </cell>
          <cell r="F146" t="str">
            <v xml:space="preserve"> 2015-2016</v>
          </cell>
          <cell r="G146" t="str">
            <v xml:space="preserve"> 11/15/2015</v>
          </cell>
          <cell r="H146">
            <v>830494</v>
          </cell>
          <cell r="I146">
            <v>14793</v>
          </cell>
          <cell r="J146">
            <v>35069</v>
          </cell>
          <cell r="K146">
            <v>5150</v>
          </cell>
          <cell r="L146">
            <v>2446</v>
          </cell>
          <cell r="M146">
            <v>0</v>
          </cell>
          <cell r="N146">
            <v>0</v>
          </cell>
          <cell r="O146">
            <v>28893</v>
          </cell>
          <cell r="P146">
            <v>0</v>
          </cell>
          <cell r="Q146">
            <v>0</v>
          </cell>
          <cell r="R146">
            <v>0</v>
          </cell>
          <cell r="S146">
            <v>10934</v>
          </cell>
          <cell r="T146">
            <v>0</v>
          </cell>
          <cell r="U146">
            <v>0</v>
          </cell>
          <cell r="V146" t="str">
            <v xml:space="preserve"> </v>
          </cell>
          <cell r="W146">
            <v>922629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844800</v>
          </cell>
          <cell r="AC146">
            <v>28833</v>
          </cell>
          <cell r="AD146">
            <v>26789</v>
          </cell>
          <cell r="AE146">
            <v>6819</v>
          </cell>
          <cell r="AF146">
            <v>3239</v>
          </cell>
          <cell r="AG146">
            <v>0</v>
          </cell>
          <cell r="AH146">
            <v>0</v>
          </cell>
          <cell r="AI146">
            <v>33711</v>
          </cell>
          <cell r="AJ146">
            <v>0</v>
          </cell>
          <cell r="AK146">
            <v>0</v>
          </cell>
          <cell r="AL146">
            <v>0</v>
          </cell>
          <cell r="AM146">
            <v>12007</v>
          </cell>
          <cell r="AN146">
            <v>0</v>
          </cell>
          <cell r="AO146">
            <v>0</v>
          </cell>
          <cell r="AP146">
            <v>949379</v>
          </cell>
        </row>
        <row r="147">
          <cell r="D147" t="str">
            <v xml:space="preserve"> SACRAMENTO        </v>
          </cell>
          <cell r="AO147">
            <v>6899352</v>
          </cell>
          <cell r="AP147">
            <v>48912165</v>
          </cell>
        </row>
        <row r="149">
          <cell r="E149">
            <v>580</v>
          </cell>
          <cell r="F149" t="str">
            <v xml:space="preserve"> 2015-2016</v>
          </cell>
          <cell r="G149" t="str">
            <v xml:space="preserve"> 11/15/2015</v>
          </cell>
          <cell r="H149">
            <v>1320</v>
          </cell>
          <cell r="I149">
            <v>18</v>
          </cell>
          <cell r="J149">
            <v>71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1</v>
          </cell>
          <cell r="R149">
            <v>0</v>
          </cell>
          <cell r="S149">
            <v>12</v>
          </cell>
          <cell r="T149">
            <v>0</v>
          </cell>
          <cell r="U149">
            <v>-38</v>
          </cell>
          <cell r="V149" t="str">
            <v xml:space="preserve"> </v>
          </cell>
          <cell r="W149">
            <v>1384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1380</v>
          </cell>
          <cell r="AC149">
            <v>21</v>
          </cell>
          <cell r="AD149">
            <v>66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1</v>
          </cell>
          <cell r="AL149">
            <v>0</v>
          </cell>
          <cell r="AM149">
            <v>12</v>
          </cell>
          <cell r="AN149">
            <v>0</v>
          </cell>
          <cell r="AO149">
            <v>-7</v>
          </cell>
          <cell r="AP149">
            <v>1473</v>
          </cell>
        </row>
        <row r="150">
          <cell r="E150">
            <v>450</v>
          </cell>
          <cell r="F150" t="str">
            <v xml:space="preserve"> 2015-2016</v>
          </cell>
          <cell r="G150" t="str">
            <v xml:space="preserve"> 11/15/2015</v>
          </cell>
          <cell r="H150">
            <v>67002</v>
          </cell>
          <cell r="I150">
            <v>923</v>
          </cell>
          <cell r="J150">
            <v>3674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59</v>
          </cell>
          <cell r="R150">
            <v>0</v>
          </cell>
          <cell r="S150">
            <v>617</v>
          </cell>
          <cell r="T150">
            <v>0</v>
          </cell>
          <cell r="U150">
            <v>-1938</v>
          </cell>
          <cell r="V150" t="str">
            <v xml:space="preserve"> </v>
          </cell>
          <cell r="W150">
            <v>70337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70215</v>
          </cell>
          <cell r="AC150">
            <v>1094</v>
          </cell>
          <cell r="AD150">
            <v>3407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60</v>
          </cell>
          <cell r="AL150">
            <v>0</v>
          </cell>
          <cell r="AM150">
            <v>598</v>
          </cell>
          <cell r="AN150">
            <v>0</v>
          </cell>
          <cell r="AO150">
            <v>-367</v>
          </cell>
          <cell r="AP150">
            <v>75007</v>
          </cell>
        </row>
        <row r="151">
          <cell r="E151">
            <v>440</v>
          </cell>
          <cell r="F151" t="str">
            <v xml:space="preserve"> 2015-2016</v>
          </cell>
          <cell r="G151" t="str">
            <v xml:space="preserve"> 11/15/2015</v>
          </cell>
          <cell r="H151">
            <v>4274379</v>
          </cell>
          <cell r="I151">
            <v>69994</v>
          </cell>
          <cell r="J151">
            <v>242520</v>
          </cell>
          <cell r="K151">
            <v>11731</v>
          </cell>
          <cell r="L151">
            <v>5572</v>
          </cell>
          <cell r="M151">
            <v>0</v>
          </cell>
          <cell r="N151">
            <v>0</v>
          </cell>
          <cell r="O151">
            <v>402504</v>
          </cell>
          <cell r="P151">
            <v>0</v>
          </cell>
          <cell r="Q151">
            <v>4842</v>
          </cell>
          <cell r="R151">
            <v>0</v>
          </cell>
          <cell r="S151">
            <v>40714</v>
          </cell>
          <cell r="T151">
            <v>0</v>
          </cell>
          <cell r="U151">
            <v>-127964</v>
          </cell>
          <cell r="V151" t="str">
            <v xml:space="preserve"> </v>
          </cell>
          <cell r="W151">
            <v>4912561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4556159</v>
          </cell>
          <cell r="AC151">
            <v>88156</v>
          </cell>
          <cell r="AD151">
            <v>228624</v>
          </cell>
          <cell r="AE151">
            <v>12552</v>
          </cell>
          <cell r="AF151">
            <v>5962</v>
          </cell>
          <cell r="AG151">
            <v>0</v>
          </cell>
          <cell r="AH151">
            <v>0</v>
          </cell>
          <cell r="AI151">
            <v>430680</v>
          </cell>
          <cell r="AJ151">
            <v>0</v>
          </cell>
          <cell r="AK151">
            <v>5000</v>
          </cell>
          <cell r="AL151">
            <v>0</v>
          </cell>
          <cell r="AM151">
            <v>40097</v>
          </cell>
          <cell r="AN151">
            <v>0</v>
          </cell>
          <cell r="AO151">
            <v>-24647</v>
          </cell>
          <cell r="AP151">
            <v>5330031</v>
          </cell>
        </row>
        <row r="152">
          <cell r="E152">
            <v>410</v>
          </cell>
          <cell r="F152" t="str">
            <v xml:space="preserve"> 2015-2016</v>
          </cell>
          <cell r="G152" t="str">
            <v xml:space="preserve"> 11/15/2015</v>
          </cell>
          <cell r="H152">
            <v>150509</v>
          </cell>
          <cell r="I152">
            <v>2049</v>
          </cell>
          <cell r="J152">
            <v>8557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119</v>
          </cell>
          <cell r="R152">
            <v>0</v>
          </cell>
          <cell r="S152">
            <v>1436</v>
          </cell>
          <cell r="T152">
            <v>0</v>
          </cell>
          <cell r="U152">
            <v>-4515</v>
          </cell>
          <cell r="V152" t="str">
            <v xml:space="preserve"> </v>
          </cell>
          <cell r="W152">
            <v>158155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165341</v>
          </cell>
          <cell r="AC152">
            <v>2671</v>
          </cell>
          <cell r="AD152">
            <v>8319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1459</v>
          </cell>
          <cell r="AN152">
            <v>0</v>
          </cell>
          <cell r="AO152">
            <v>-897</v>
          </cell>
          <cell r="AP152">
            <v>176893</v>
          </cell>
        </row>
        <row r="153">
          <cell r="D153" t="str">
            <v xml:space="preserve"> SAN BENITO        </v>
          </cell>
          <cell r="AO153">
            <v>-25918</v>
          </cell>
          <cell r="AP153">
            <v>5583404</v>
          </cell>
        </row>
        <row r="155">
          <cell r="E155">
            <v>520</v>
          </cell>
          <cell r="F155" t="str">
            <v xml:space="preserve"> 2015-2016</v>
          </cell>
          <cell r="G155" t="str">
            <v xml:space="preserve"> 11/15/2015</v>
          </cell>
          <cell r="H155">
            <v>51416</v>
          </cell>
          <cell r="I155">
            <v>913</v>
          </cell>
          <cell r="J155">
            <v>1775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1423</v>
          </cell>
          <cell r="R155">
            <v>0</v>
          </cell>
          <cell r="S155">
            <v>477</v>
          </cell>
          <cell r="T155">
            <v>0</v>
          </cell>
          <cell r="U155">
            <v>0</v>
          </cell>
          <cell r="V155" t="str">
            <v xml:space="preserve"> </v>
          </cell>
          <cell r="W155">
            <v>56004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48868</v>
          </cell>
          <cell r="AC155">
            <v>913</v>
          </cell>
          <cell r="AD155">
            <v>1521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965</v>
          </cell>
          <cell r="AL155">
            <v>0</v>
          </cell>
          <cell r="AM155">
            <v>424</v>
          </cell>
          <cell r="AN155">
            <v>0</v>
          </cell>
          <cell r="AO155">
            <v>0</v>
          </cell>
          <cell r="AP155">
            <v>52691</v>
          </cell>
        </row>
        <row r="156">
          <cell r="E156">
            <v>910</v>
          </cell>
          <cell r="F156" t="str">
            <v xml:space="preserve"> 2015-2016</v>
          </cell>
          <cell r="G156" t="str">
            <v xml:space="preserve"> 11/15/2015</v>
          </cell>
          <cell r="H156">
            <v>4075213</v>
          </cell>
          <cell r="I156">
            <v>60892</v>
          </cell>
          <cell r="J156">
            <v>137714</v>
          </cell>
          <cell r="K156">
            <v>59685</v>
          </cell>
          <cell r="L156">
            <v>28350</v>
          </cell>
          <cell r="M156">
            <v>0</v>
          </cell>
          <cell r="N156">
            <v>0</v>
          </cell>
          <cell r="O156">
            <v>226333</v>
          </cell>
          <cell r="P156">
            <v>0</v>
          </cell>
          <cell r="Q156">
            <v>1699</v>
          </cell>
          <cell r="R156">
            <v>0</v>
          </cell>
          <cell r="S156">
            <v>37038</v>
          </cell>
          <cell r="T156">
            <v>0</v>
          </cell>
          <cell r="U156">
            <v>-1363078</v>
          </cell>
          <cell r="V156" t="str">
            <v xml:space="preserve"> </v>
          </cell>
          <cell r="W156">
            <v>3204161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3794483</v>
          </cell>
          <cell r="AC156">
            <v>60892</v>
          </cell>
          <cell r="AD156">
            <v>117002</v>
          </cell>
          <cell r="AE156">
            <v>63472</v>
          </cell>
          <cell r="AF156">
            <v>30149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4255</v>
          </cell>
          <cell r="AL156">
            <v>0</v>
          </cell>
          <cell r="AM156">
            <v>32624</v>
          </cell>
          <cell r="AN156">
            <v>0</v>
          </cell>
          <cell r="AO156">
            <v>-867458</v>
          </cell>
          <cell r="AP156">
            <v>3171947</v>
          </cell>
        </row>
        <row r="157">
          <cell r="E157">
            <v>920</v>
          </cell>
          <cell r="F157" t="str">
            <v xml:space="preserve"> 2015-2016</v>
          </cell>
          <cell r="G157" t="str">
            <v xml:space="preserve"> 11/15/2015</v>
          </cell>
          <cell r="H157">
            <v>24532234</v>
          </cell>
          <cell r="I157">
            <v>481045</v>
          </cell>
          <cell r="J157">
            <v>1035887</v>
          </cell>
          <cell r="K157">
            <v>1720409</v>
          </cell>
          <cell r="L157">
            <v>817194</v>
          </cell>
          <cell r="M157">
            <v>0</v>
          </cell>
          <cell r="N157">
            <v>0</v>
          </cell>
          <cell r="O157">
            <v>10358065</v>
          </cell>
          <cell r="P157">
            <v>0</v>
          </cell>
          <cell r="Q157">
            <v>12485</v>
          </cell>
          <cell r="R157">
            <v>0</v>
          </cell>
          <cell r="S157">
            <v>278599</v>
          </cell>
          <cell r="T157">
            <v>0</v>
          </cell>
          <cell r="U157">
            <v>-10253076</v>
          </cell>
          <cell r="V157" t="str">
            <v xml:space="preserve"> </v>
          </cell>
          <cell r="W157">
            <v>27262433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25497935</v>
          </cell>
          <cell r="AC157">
            <v>481045</v>
          </cell>
          <cell r="AD157">
            <v>1003783</v>
          </cell>
          <cell r="AE157">
            <v>1786137</v>
          </cell>
          <cell r="AF157">
            <v>848415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31277</v>
          </cell>
          <cell r="AL157">
            <v>0</v>
          </cell>
          <cell r="AM157">
            <v>279886</v>
          </cell>
          <cell r="AN157">
            <v>0</v>
          </cell>
          <cell r="AO157">
            <v>-7442093</v>
          </cell>
          <cell r="AP157">
            <v>20700248</v>
          </cell>
        </row>
        <row r="158">
          <cell r="E158">
            <v>980</v>
          </cell>
          <cell r="F158" t="str">
            <v xml:space="preserve"> 2015-2016</v>
          </cell>
          <cell r="G158" t="str">
            <v xml:space="preserve"> 11/15/2015</v>
          </cell>
          <cell r="H158">
            <v>19644194</v>
          </cell>
          <cell r="I158">
            <v>387457</v>
          </cell>
          <cell r="J158">
            <v>821432</v>
          </cell>
          <cell r="K158">
            <v>783910</v>
          </cell>
          <cell r="L158">
            <v>372357</v>
          </cell>
          <cell r="M158">
            <v>0</v>
          </cell>
          <cell r="N158">
            <v>0</v>
          </cell>
          <cell r="O158">
            <v>4676296</v>
          </cell>
          <cell r="P158">
            <v>0</v>
          </cell>
          <cell r="Q158">
            <v>10019</v>
          </cell>
          <cell r="R158">
            <v>0</v>
          </cell>
          <cell r="S158">
            <v>220922</v>
          </cell>
          <cell r="T158">
            <v>0</v>
          </cell>
          <cell r="U158">
            <v>-8130431</v>
          </cell>
          <cell r="V158" t="str">
            <v xml:space="preserve"> </v>
          </cell>
          <cell r="W158">
            <v>18002246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20311891</v>
          </cell>
          <cell r="AC158">
            <v>387457</v>
          </cell>
          <cell r="AD158">
            <v>792033</v>
          </cell>
          <cell r="AE158">
            <v>817427</v>
          </cell>
          <cell r="AF158">
            <v>388278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25099</v>
          </cell>
          <cell r="AL158">
            <v>0</v>
          </cell>
          <cell r="AM158">
            <v>220843</v>
          </cell>
          <cell r="AN158">
            <v>0</v>
          </cell>
          <cell r="AO158">
            <v>-5872162</v>
          </cell>
          <cell r="AP158">
            <v>16253439</v>
          </cell>
        </row>
        <row r="159">
          <cell r="E159">
            <v>990</v>
          </cell>
          <cell r="F159" t="str">
            <v xml:space="preserve"> 2015-2016</v>
          </cell>
          <cell r="G159" t="str">
            <v xml:space="preserve"> 11/15/2015</v>
          </cell>
          <cell r="H159">
            <v>11120440</v>
          </cell>
          <cell r="I159">
            <v>222756</v>
          </cell>
          <cell r="J159">
            <v>463844</v>
          </cell>
          <cell r="K159">
            <v>205296</v>
          </cell>
          <cell r="L159">
            <v>97516</v>
          </cell>
          <cell r="M159">
            <v>0</v>
          </cell>
          <cell r="N159">
            <v>0</v>
          </cell>
          <cell r="O159">
            <v>388890</v>
          </cell>
          <cell r="P159">
            <v>0</v>
          </cell>
          <cell r="Q159">
            <v>5720</v>
          </cell>
          <cell r="R159">
            <v>0</v>
          </cell>
          <cell r="S159">
            <v>124750</v>
          </cell>
          <cell r="T159">
            <v>0</v>
          </cell>
          <cell r="U159">
            <v>-4591069</v>
          </cell>
          <cell r="V159" t="str">
            <v xml:space="preserve"> </v>
          </cell>
          <cell r="W159">
            <v>7832847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11492735</v>
          </cell>
          <cell r="AC159">
            <v>222756</v>
          </cell>
          <cell r="AD159">
            <v>447052</v>
          </cell>
          <cell r="AE159">
            <v>253299</v>
          </cell>
          <cell r="AF159">
            <v>120317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14330</v>
          </cell>
          <cell r="AL159">
            <v>0</v>
          </cell>
          <cell r="AM159">
            <v>124652</v>
          </cell>
          <cell r="AN159">
            <v>0</v>
          </cell>
          <cell r="AO159">
            <v>-3314459</v>
          </cell>
          <cell r="AP159">
            <v>9107383</v>
          </cell>
        </row>
        <row r="160">
          <cell r="E160">
            <v>950</v>
          </cell>
          <cell r="F160" t="str">
            <v xml:space="preserve"> 2015-2016</v>
          </cell>
          <cell r="G160" t="str">
            <v xml:space="preserve"> 11/15/2015</v>
          </cell>
          <cell r="H160">
            <v>359978</v>
          </cell>
          <cell r="I160">
            <v>5527</v>
          </cell>
          <cell r="J160">
            <v>11410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9822</v>
          </cell>
          <cell r="R160">
            <v>0</v>
          </cell>
          <cell r="S160">
            <v>3069</v>
          </cell>
          <cell r="T160">
            <v>0</v>
          </cell>
          <cell r="U160">
            <v>0</v>
          </cell>
          <cell r="V160" t="str">
            <v xml:space="preserve"> </v>
          </cell>
          <cell r="W160">
            <v>389806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362833</v>
          </cell>
          <cell r="AC160">
            <v>5527</v>
          </cell>
          <cell r="AD160">
            <v>10550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6663</v>
          </cell>
          <cell r="AL160">
            <v>0</v>
          </cell>
          <cell r="AM160">
            <v>2942</v>
          </cell>
          <cell r="AN160">
            <v>0</v>
          </cell>
          <cell r="AO160">
            <v>0</v>
          </cell>
          <cell r="AP160">
            <v>388515</v>
          </cell>
        </row>
        <row r="161">
          <cell r="E161">
            <v>970</v>
          </cell>
          <cell r="F161" t="str">
            <v xml:space="preserve"> 2015-2016</v>
          </cell>
          <cell r="G161" t="str">
            <v xml:space="preserve"> 11/15/2015</v>
          </cell>
          <cell r="H161">
            <v>1618284</v>
          </cell>
          <cell r="I161">
            <v>31703</v>
          </cell>
          <cell r="J161">
            <v>66213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69764</v>
          </cell>
          <cell r="P161">
            <v>0</v>
          </cell>
          <cell r="Q161">
            <v>824</v>
          </cell>
          <cell r="R161">
            <v>0</v>
          </cell>
          <cell r="S161">
            <v>17808</v>
          </cell>
          <cell r="T161">
            <v>0</v>
          </cell>
          <cell r="U161">
            <v>-655366</v>
          </cell>
          <cell r="V161" t="str">
            <v xml:space="preserve"> </v>
          </cell>
          <cell r="W161">
            <v>1149230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1653473</v>
          </cell>
          <cell r="AC161">
            <v>31586</v>
          </cell>
          <cell r="AD161">
            <v>63094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2065</v>
          </cell>
          <cell r="AL161">
            <v>0</v>
          </cell>
          <cell r="AM161">
            <v>17593</v>
          </cell>
          <cell r="AN161">
            <v>0</v>
          </cell>
          <cell r="AO161">
            <v>-467781</v>
          </cell>
          <cell r="AP161">
            <v>1300030</v>
          </cell>
        </row>
        <row r="162">
          <cell r="D162" t="str">
            <v xml:space="preserve"> SAN BERNARDINO    </v>
          </cell>
          <cell r="AO162">
            <v>-17963953</v>
          </cell>
          <cell r="AP162">
            <v>50974253</v>
          </cell>
        </row>
        <row r="164">
          <cell r="E164">
            <v>20</v>
          </cell>
          <cell r="F164" t="str">
            <v xml:space="preserve"> 2015-2016</v>
          </cell>
          <cell r="G164" t="str">
            <v xml:space="preserve"> 11/15/2015</v>
          </cell>
          <cell r="H164">
            <v>32211526</v>
          </cell>
          <cell r="I164">
            <v>805942</v>
          </cell>
          <cell r="J164">
            <v>1091526</v>
          </cell>
          <cell r="K164">
            <v>190991</v>
          </cell>
          <cell r="L164">
            <v>90721</v>
          </cell>
          <cell r="M164">
            <v>0</v>
          </cell>
          <cell r="N164">
            <v>0</v>
          </cell>
          <cell r="O164">
            <v>1173731</v>
          </cell>
          <cell r="P164">
            <v>183118</v>
          </cell>
          <cell r="Q164">
            <v>-27058</v>
          </cell>
          <cell r="R164">
            <v>0</v>
          </cell>
          <cell r="S164">
            <v>275633</v>
          </cell>
          <cell r="T164">
            <v>0</v>
          </cell>
          <cell r="U164">
            <v>-3034647</v>
          </cell>
          <cell r="V164" t="str">
            <v xml:space="preserve"> </v>
          </cell>
          <cell r="W164">
            <v>32770492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33683189</v>
          </cell>
          <cell r="AC164">
            <v>761842</v>
          </cell>
          <cell r="AD164">
            <v>1112285</v>
          </cell>
          <cell r="AE164">
            <v>86779</v>
          </cell>
          <cell r="AF164">
            <v>41220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-16555</v>
          </cell>
          <cell r="AL164">
            <v>0</v>
          </cell>
          <cell r="AM164">
            <v>271745</v>
          </cell>
          <cell r="AN164">
            <v>0</v>
          </cell>
          <cell r="AO164">
            <v>-1307911</v>
          </cell>
          <cell r="AP164">
            <v>34545815</v>
          </cell>
        </row>
        <row r="165">
          <cell r="E165">
            <v>50</v>
          </cell>
          <cell r="F165" t="str">
            <v xml:space="preserve"> 2015-2016</v>
          </cell>
          <cell r="G165" t="str">
            <v xml:space="preserve"> 11/15/2015</v>
          </cell>
          <cell r="H165">
            <v>78286425</v>
          </cell>
          <cell r="I165">
            <v>1813146</v>
          </cell>
          <cell r="J165">
            <v>2670801</v>
          </cell>
          <cell r="K165">
            <v>188113</v>
          </cell>
          <cell r="L165">
            <v>89354</v>
          </cell>
          <cell r="M165">
            <v>0</v>
          </cell>
          <cell r="N165">
            <v>0</v>
          </cell>
          <cell r="O165">
            <v>658003</v>
          </cell>
          <cell r="P165">
            <v>0</v>
          </cell>
          <cell r="Q165">
            <v>-65292</v>
          </cell>
          <cell r="R165">
            <v>0</v>
          </cell>
          <cell r="S165">
            <v>674712</v>
          </cell>
          <cell r="T165">
            <v>0</v>
          </cell>
          <cell r="U165">
            <v>0</v>
          </cell>
          <cell r="V165" t="str">
            <v xml:space="preserve"> </v>
          </cell>
          <cell r="W165">
            <v>84127149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81851774</v>
          </cell>
          <cell r="AC165">
            <v>1715539</v>
          </cell>
          <cell r="AD165">
            <v>2722653</v>
          </cell>
          <cell r="AE165">
            <v>93860</v>
          </cell>
          <cell r="AF165">
            <v>44584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-40547</v>
          </cell>
          <cell r="AL165">
            <v>0</v>
          </cell>
          <cell r="AM165">
            <v>665182</v>
          </cell>
          <cell r="AN165">
            <v>0</v>
          </cell>
          <cell r="AO165">
            <v>0</v>
          </cell>
          <cell r="AP165">
            <v>86959185</v>
          </cell>
        </row>
        <row r="166">
          <cell r="E166">
            <v>60</v>
          </cell>
          <cell r="F166" t="str">
            <v xml:space="preserve"> 2015-2016</v>
          </cell>
          <cell r="G166" t="str">
            <v xml:space="preserve"> 11/15/2015</v>
          </cell>
          <cell r="H166">
            <v>57684761</v>
          </cell>
          <cell r="I166">
            <v>1474140</v>
          </cell>
          <cell r="J166">
            <v>1889840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2882524</v>
          </cell>
          <cell r="P166">
            <v>196026</v>
          </cell>
          <cell r="Q166">
            <v>-45827</v>
          </cell>
          <cell r="R166">
            <v>0</v>
          </cell>
          <cell r="S166">
            <v>477535</v>
          </cell>
          <cell r="T166">
            <v>0</v>
          </cell>
          <cell r="U166">
            <v>-5257393</v>
          </cell>
          <cell r="V166" t="str">
            <v xml:space="preserve"> </v>
          </cell>
          <cell r="W166">
            <v>59301606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60260595</v>
          </cell>
          <cell r="AC166">
            <v>1395341</v>
          </cell>
          <cell r="AD166">
            <v>1926961</v>
          </cell>
          <cell r="AE166">
            <v>2246</v>
          </cell>
          <cell r="AF166">
            <v>1067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-28678</v>
          </cell>
          <cell r="AL166">
            <v>0</v>
          </cell>
          <cell r="AM166">
            <v>470785</v>
          </cell>
          <cell r="AN166">
            <v>0</v>
          </cell>
          <cell r="AO166">
            <v>-2265897</v>
          </cell>
          <cell r="AP166">
            <v>61760174</v>
          </cell>
        </row>
        <row r="167">
          <cell r="E167">
            <v>90</v>
          </cell>
          <cell r="F167" t="str">
            <v xml:space="preserve"> 2015-2016</v>
          </cell>
          <cell r="G167" t="str">
            <v xml:space="preserve"> 11/15/2015</v>
          </cell>
          <cell r="H167">
            <v>20808361</v>
          </cell>
          <cell r="I167">
            <v>517038</v>
          </cell>
          <cell r="J167">
            <v>710050</v>
          </cell>
          <cell r="K167">
            <v>290613</v>
          </cell>
          <cell r="L167">
            <v>138041</v>
          </cell>
          <cell r="M167">
            <v>0</v>
          </cell>
          <cell r="N167">
            <v>0</v>
          </cell>
          <cell r="O167">
            <v>580557</v>
          </cell>
          <cell r="P167">
            <v>15687</v>
          </cell>
          <cell r="Q167">
            <v>-17370</v>
          </cell>
          <cell r="R167">
            <v>0</v>
          </cell>
          <cell r="S167">
            <v>179371</v>
          </cell>
          <cell r="T167">
            <v>0</v>
          </cell>
          <cell r="U167">
            <v>-1974792</v>
          </cell>
          <cell r="V167" t="str">
            <v xml:space="preserve"> </v>
          </cell>
          <cell r="W167">
            <v>20956943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21754858</v>
          </cell>
          <cell r="AC167">
            <v>489094</v>
          </cell>
          <cell r="AD167">
            <v>723813</v>
          </cell>
          <cell r="AE167">
            <v>134781</v>
          </cell>
          <cell r="AF167">
            <v>64021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-10779</v>
          </cell>
          <cell r="AL167">
            <v>0</v>
          </cell>
          <cell r="AM167">
            <v>176837</v>
          </cell>
          <cell r="AN167">
            <v>0</v>
          </cell>
          <cell r="AO167">
            <v>-851121</v>
          </cell>
          <cell r="AP167">
            <v>22346723</v>
          </cell>
        </row>
        <row r="168">
          <cell r="E168">
            <v>70</v>
          </cell>
          <cell r="F168" t="str">
            <v xml:space="preserve"> 2015-2016</v>
          </cell>
          <cell r="G168" t="str">
            <v xml:space="preserve"> 11/15/2015</v>
          </cell>
          <cell r="H168">
            <v>81305339</v>
          </cell>
          <cell r="I168">
            <v>2102506</v>
          </cell>
          <cell r="J168">
            <v>2761743</v>
          </cell>
          <cell r="K168">
            <v>568001</v>
          </cell>
          <cell r="L168">
            <v>269800</v>
          </cell>
          <cell r="M168">
            <v>0</v>
          </cell>
          <cell r="N168">
            <v>0</v>
          </cell>
          <cell r="O168">
            <v>4891394</v>
          </cell>
          <cell r="P168">
            <v>0</v>
          </cell>
          <cell r="Q168">
            <v>-67603</v>
          </cell>
          <cell r="R168">
            <v>0</v>
          </cell>
          <cell r="S168">
            <v>697670</v>
          </cell>
          <cell r="T168">
            <v>0</v>
          </cell>
          <cell r="U168">
            <v>-7681045</v>
          </cell>
          <cell r="V168" t="str">
            <v xml:space="preserve"> </v>
          </cell>
          <cell r="W168">
            <v>84279804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85012724</v>
          </cell>
          <cell r="AC168">
            <v>1989621</v>
          </cell>
          <cell r="AD168">
            <v>2815302</v>
          </cell>
          <cell r="AE168">
            <v>282237</v>
          </cell>
          <cell r="AF168">
            <v>134063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-41921</v>
          </cell>
          <cell r="AL168">
            <v>0</v>
          </cell>
          <cell r="AM168">
            <v>687817</v>
          </cell>
          <cell r="AN168">
            <v>0</v>
          </cell>
          <cell r="AO168">
            <v>-3310474</v>
          </cell>
          <cell r="AP168">
            <v>87287132</v>
          </cell>
        </row>
        <row r="169">
          <cell r="D169" t="str">
            <v xml:space="preserve"> SAN DIEGO         </v>
          </cell>
          <cell r="AO169">
            <v>-7735403</v>
          </cell>
          <cell r="AP169">
            <v>292899029</v>
          </cell>
        </row>
        <row r="171">
          <cell r="E171">
            <v>360</v>
          </cell>
          <cell r="F171" t="str">
            <v xml:space="preserve"> 2015-2016</v>
          </cell>
          <cell r="G171" t="str">
            <v xml:space="preserve"> 11/15/2015</v>
          </cell>
          <cell r="H171">
            <v>22091366</v>
          </cell>
          <cell r="I171">
            <v>759603</v>
          </cell>
          <cell r="J171">
            <v>1420251</v>
          </cell>
          <cell r="K171">
            <v>526704</v>
          </cell>
          <cell r="L171">
            <v>250184</v>
          </cell>
          <cell r="M171">
            <v>0</v>
          </cell>
          <cell r="N171">
            <v>0</v>
          </cell>
          <cell r="O171">
            <v>489520</v>
          </cell>
          <cell r="P171">
            <v>0</v>
          </cell>
          <cell r="Q171">
            <v>12982</v>
          </cell>
          <cell r="R171">
            <v>0</v>
          </cell>
          <cell r="S171">
            <v>96817</v>
          </cell>
          <cell r="T171">
            <v>0</v>
          </cell>
          <cell r="U171">
            <v>31477310</v>
          </cell>
          <cell r="V171" t="str">
            <v xml:space="preserve"> </v>
          </cell>
          <cell r="W171">
            <v>56598033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22699617</v>
          </cell>
          <cell r="AC171">
            <v>725094</v>
          </cell>
          <cell r="AD171">
            <v>1425404</v>
          </cell>
          <cell r="AE171">
            <v>555205</v>
          </cell>
          <cell r="AF171">
            <v>263722</v>
          </cell>
          <cell r="AG171">
            <v>0</v>
          </cell>
          <cell r="AH171">
            <v>0</v>
          </cell>
          <cell r="AI171">
            <v>489520</v>
          </cell>
          <cell r="AJ171">
            <v>0</v>
          </cell>
          <cell r="AK171">
            <v>9944</v>
          </cell>
          <cell r="AL171">
            <v>0</v>
          </cell>
          <cell r="AM171">
            <v>93315</v>
          </cell>
          <cell r="AN171">
            <v>0</v>
          </cell>
          <cell r="AO171">
            <v>37100571</v>
          </cell>
          <cell r="AP171">
            <v>62807187</v>
          </cell>
        </row>
        <row r="172">
          <cell r="D172" t="str">
            <v xml:space="preserve"> SAN FRANCISCO     </v>
          </cell>
          <cell r="AO172">
            <v>37100571</v>
          </cell>
          <cell r="AP172">
            <v>62807187</v>
          </cell>
        </row>
        <row r="174">
          <cell r="E174">
            <v>550</v>
          </cell>
          <cell r="F174" t="str">
            <v xml:space="preserve"> 2015-2016</v>
          </cell>
          <cell r="G174" t="str">
            <v xml:space="preserve"> 11/15/2015</v>
          </cell>
          <cell r="H174">
            <v>18255442</v>
          </cell>
          <cell r="I174">
            <v>190220</v>
          </cell>
          <cell r="J174">
            <v>1103937</v>
          </cell>
          <cell r="K174">
            <v>241526</v>
          </cell>
          <cell r="L174">
            <v>114725</v>
          </cell>
          <cell r="M174">
            <v>0</v>
          </cell>
          <cell r="N174">
            <v>0</v>
          </cell>
          <cell r="O174">
            <v>858061</v>
          </cell>
          <cell r="P174">
            <v>15499</v>
          </cell>
          <cell r="Q174">
            <v>18779</v>
          </cell>
          <cell r="R174">
            <v>0</v>
          </cell>
          <cell r="S174">
            <v>204992</v>
          </cell>
          <cell r="T174">
            <v>57</v>
          </cell>
          <cell r="U174">
            <v>2020723</v>
          </cell>
          <cell r="V174" t="str">
            <v xml:space="preserve"> </v>
          </cell>
          <cell r="W174">
            <v>22782435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19449096</v>
          </cell>
          <cell r="AC174">
            <v>195926</v>
          </cell>
          <cell r="AD174">
            <v>1105689</v>
          </cell>
          <cell r="AE174">
            <v>307807</v>
          </cell>
          <cell r="AF174">
            <v>146208</v>
          </cell>
          <cell r="AG174">
            <v>0</v>
          </cell>
          <cell r="AH174">
            <v>0</v>
          </cell>
          <cell r="AI174">
            <v>48085</v>
          </cell>
          <cell r="AJ174">
            <v>0</v>
          </cell>
          <cell r="AK174">
            <v>18779</v>
          </cell>
          <cell r="AL174">
            <v>0</v>
          </cell>
          <cell r="AM174">
            <v>200881</v>
          </cell>
          <cell r="AN174">
            <v>0</v>
          </cell>
          <cell r="AO174">
            <v>4594977</v>
          </cell>
          <cell r="AP174">
            <v>25759641</v>
          </cell>
        </row>
        <row r="175">
          <cell r="E175">
            <v>590</v>
          </cell>
          <cell r="F175" t="str">
            <v xml:space="preserve"> 2015-2016</v>
          </cell>
          <cell r="G175" t="str">
            <v xml:space="preserve"> 11/15/2015</v>
          </cell>
          <cell r="H175">
            <v>975012</v>
          </cell>
          <cell r="I175">
            <v>10627</v>
          </cell>
          <cell r="J175">
            <v>59834</v>
          </cell>
          <cell r="K175">
            <v>42103</v>
          </cell>
          <cell r="L175">
            <v>19999</v>
          </cell>
          <cell r="M175">
            <v>0</v>
          </cell>
          <cell r="N175">
            <v>0</v>
          </cell>
          <cell r="O175">
            <v>248616</v>
          </cell>
          <cell r="P175">
            <v>0</v>
          </cell>
          <cell r="Q175">
            <v>1031</v>
          </cell>
          <cell r="R175">
            <v>0</v>
          </cell>
          <cell r="S175">
            <v>11116</v>
          </cell>
          <cell r="T175">
            <v>0</v>
          </cell>
          <cell r="U175">
            <v>0</v>
          </cell>
          <cell r="V175" t="str">
            <v xml:space="preserve"> </v>
          </cell>
          <cell r="W175">
            <v>1326235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1054129</v>
          </cell>
          <cell r="AC175">
            <v>10946</v>
          </cell>
          <cell r="AD175">
            <v>60844</v>
          </cell>
          <cell r="AE175">
            <v>48687</v>
          </cell>
          <cell r="AF175">
            <v>23126</v>
          </cell>
          <cell r="AG175">
            <v>0</v>
          </cell>
          <cell r="AH175">
            <v>0</v>
          </cell>
          <cell r="AI175">
            <v>51762</v>
          </cell>
          <cell r="AJ175">
            <v>0</v>
          </cell>
          <cell r="AK175">
            <v>1031</v>
          </cell>
          <cell r="AL175">
            <v>0</v>
          </cell>
          <cell r="AM175">
            <v>11048</v>
          </cell>
          <cell r="AN175">
            <v>0</v>
          </cell>
          <cell r="AO175">
            <v>0</v>
          </cell>
          <cell r="AP175">
            <v>1212886</v>
          </cell>
        </row>
        <row r="176">
          <cell r="D176" t="str">
            <v xml:space="preserve"> SAN JOAQUIN       </v>
          </cell>
          <cell r="AO176">
            <v>4594977</v>
          </cell>
          <cell r="AP176">
            <v>26972527</v>
          </cell>
        </row>
        <row r="178">
          <cell r="E178">
            <v>640</v>
          </cell>
          <cell r="F178" t="str">
            <v xml:space="preserve"> 2015-2016</v>
          </cell>
          <cell r="G178" t="str">
            <v xml:space="preserve"> 11/15/2015</v>
          </cell>
          <cell r="H178">
            <v>30410315</v>
          </cell>
          <cell r="I178">
            <v>706688</v>
          </cell>
          <cell r="J178">
            <v>736344</v>
          </cell>
          <cell r="K178">
            <v>284293</v>
          </cell>
          <cell r="L178">
            <v>135039</v>
          </cell>
          <cell r="M178">
            <v>0</v>
          </cell>
          <cell r="N178">
            <v>0</v>
          </cell>
          <cell r="O178">
            <v>211369</v>
          </cell>
          <cell r="P178">
            <v>0</v>
          </cell>
          <cell r="Q178">
            <v>-15952</v>
          </cell>
          <cell r="R178">
            <v>0</v>
          </cell>
          <cell r="S178">
            <v>231037</v>
          </cell>
          <cell r="T178">
            <v>0</v>
          </cell>
          <cell r="U178">
            <v>353740</v>
          </cell>
          <cell r="V178" t="str">
            <v xml:space="preserve"> </v>
          </cell>
          <cell r="W178">
            <v>32768580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33020021</v>
          </cell>
          <cell r="AC178">
            <v>706688</v>
          </cell>
          <cell r="AD178">
            <v>759558</v>
          </cell>
          <cell r="AE178">
            <v>128397</v>
          </cell>
          <cell r="AF178">
            <v>60989</v>
          </cell>
          <cell r="AG178">
            <v>0</v>
          </cell>
          <cell r="AH178">
            <v>0</v>
          </cell>
          <cell r="AI178">
            <v>229884</v>
          </cell>
          <cell r="AJ178">
            <v>0</v>
          </cell>
          <cell r="AK178">
            <v>-19773</v>
          </cell>
          <cell r="AL178">
            <v>0</v>
          </cell>
          <cell r="AM178">
            <v>227912</v>
          </cell>
          <cell r="AN178">
            <v>0</v>
          </cell>
          <cell r="AO178">
            <v>1228738</v>
          </cell>
          <cell r="AP178">
            <v>36214017</v>
          </cell>
        </row>
        <row r="179">
          <cell r="E179">
            <v>610</v>
          </cell>
          <cell r="F179" t="str">
            <v xml:space="preserve"> 2015-2016</v>
          </cell>
          <cell r="G179" t="str">
            <v xml:space="preserve"> 11/15/2015</v>
          </cell>
          <cell r="H179">
            <v>34485</v>
          </cell>
          <cell r="I179">
            <v>0</v>
          </cell>
          <cell r="J179">
            <v>764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-24</v>
          </cell>
          <cell r="R179">
            <v>0</v>
          </cell>
          <cell r="S179">
            <v>243</v>
          </cell>
          <cell r="T179">
            <v>0</v>
          </cell>
          <cell r="U179">
            <v>0</v>
          </cell>
          <cell r="V179" t="str">
            <v xml:space="preserve"> </v>
          </cell>
          <cell r="W179">
            <v>35468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37769</v>
          </cell>
          <cell r="AC179">
            <v>0</v>
          </cell>
          <cell r="AD179">
            <v>837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-27</v>
          </cell>
          <cell r="AL179">
            <v>0</v>
          </cell>
          <cell r="AM179">
            <v>251</v>
          </cell>
          <cell r="AN179">
            <v>0</v>
          </cell>
          <cell r="AO179">
            <v>0</v>
          </cell>
          <cell r="AP179">
            <v>38830</v>
          </cell>
        </row>
        <row r="180">
          <cell r="D180" t="str">
            <v xml:space="preserve"> SAN LUIS OBISPO   </v>
          </cell>
          <cell r="AO180">
            <v>1228738</v>
          </cell>
          <cell r="AP180">
            <v>36252847</v>
          </cell>
        </row>
        <row r="182">
          <cell r="E182">
            <v>370</v>
          </cell>
          <cell r="F182" t="str">
            <v xml:space="preserve"> 2015-2016</v>
          </cell>
          <cell r="G182" t="str">
            <v xml:space="preserve"> 11/15/2015</v>
          </cell>
          <cell r="H182">
            <v>100167215</v>
          </cell>
          <cell r="I182">
            <v>3381066</v>
          </cell>
          <cell r="J182">
            <v>5161836</v>
          </cell>
          <cell r="K182">
            <v>507640</v>
          </cell>
          <cell r="L182">
            <v>241129</v>
          </cell>
          <cell r="M182">
            <v>0</v>
          </cell>
          <cell r="N182">
            <v>0</v>
          </cell>
          <cell r="O182">
            <v>4726520</v>
          </cell>
          <cell r="P182">
            <v>340154</v>
          </cell>
          <cell r="Q182">
            <v>-22057</v>
          </cell>
          <cell r="R182">
            <v>8380</v>
          </cell>
          <cell r="S182">
            <v>619015</v>
          </cell>
          <cell r="T182">
            <v>0</v>
          </cell>
          <cell r="U182">
            <v>0</v>
          </cell>
          <cell r="V182" t="str">
            <v xml:space="preserve"> </v>
          </cell>
          <cell r="W182">
            <v>114623258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107547399</v>
          </cell>
          <cell r="AC182">
            <v>3904646</v>
          </cell>
          <cell r="AD182">
            <v>5346948</v>
          </cell>
          <cell r="AE182">
            <v>525594</v>
          </cell>
          <cell r="AF182">
            <v>249657</v>
          </cell>
          <cell r="AG182">
            <v>0</v>
          </cell>
          <cell r="AH182">
            <v>0</v>
          </cell>
          <cell r="AI182">
            <v>4703246</v>
          </cell>
          <cell r="AJ182">
            <v>0</v>
          </cell>
          <cell r="AK182">
            <v>102313</v>
          </cell>
          <cell r="AL182">
            <v>0</v>
          </cell>
          <cell r="AM182">
            <v>602326</v>
          </cell>
          <cell r="AN182">
            <v>0</v>
          </cell>
          <cell r="AO182">
            <v>0</v>
          </cell>
          <cell r="AP182">
            <v>122456535</v>
          </cell>
        </row>
        <row r="183">
          <cell r="D183" t="str">
            <v xml:space="preserve"> SAN MATEO         </v>
          </cell>
          <cell r="AO183">
            <v>0</v>
          </cell>
          <cell r="AP183">
            <v>122456535</v>
          </cell>
        </row>
        <row r="185">
          <cell r="E185">
            <v>610</v>
          </cell>
          <cell r="F185" t="str">
            <v xml:space="preserve"> 2015-2016</v>
          </cell>
          <cell r="G185" t="str">
            <v xml:space="preserve"> 11/15/2015</v>
          </cell>
          <cell r="H185">
            <v>12108195</v>
          </cell>
          <cell r="I185">
            <v>216243</v>
          </cell>
          <cell r="J185">
            <v>625417</v>
          </cell>
          <cell r="K185">
            <v>35408</v>
          </cell>
          <cell r="L185">
            <v>16819</v>
          </cell>
          <cell r="M185">
            <v>0</v>
          </cell>
          <cell r="N185">
            <v>0</v>
          </cell>
          <cell r="O185">
            <v>183805</v>
          </cell>
          <cell r="P185">
            <v>0</v>
          </cell>
          <cell r="Q185">
            <v>-98543</v>
          </cell>
          <cell r="R185">
            <v>0</v>
          </cell>
          <cell r="S185">
            <v>75843</v>
          </cell>
          <cell r="T185">
            <v>0</v>
          </cell>
          <cell r="U185">
            <v>381665</v>
          </cell>
          <cell r="V185" t="str">
            <v xml:space="preserve"> </v>
          </cell>
          <cell r="W185">
            <v>13509444</v>
          </cell>
          <cell r="X185">
            <v>178786</v>
          </cell>
          <cell r="Y185">
            <v>4006</v>
          </cell>
          <cell r="Z185">
            <v>0</v>
          </cell>
          <cell r="AA185">
            <v>0</v>
          </cell>
          <cell r="AB185">
            <v>12682375</v>
          </cell>
          <cell r="AC185">
            <v>216243</v>
          </cell>
          <cell r="AD185">
            <v>577031</v>
          </cell>
          <cell r="AE185">
            <v>37486</v>
          </cell>
          <cell r="AF185">
            <v>17806</v>
          </cell>
          <cell r="AG185">
            <v>0</v>
          </cell>
          <cell r="AH185">
            <v>0</v>
          </cell>
          <cell r="AI185">
            <v>130240</v>
          </cell>
          <cell r="AJ185">
            <v>0</v>
          </cell>
          <cell r="AK185">
            <v>-26676</v>
          </cell>
          <cell r="AL185">
            <v>0</v>
          </cell>
          <cell r="AM185">
            <v>73570</v>
          </cell>
          <cell r="AN185">
            <v>0</v>
          </cell>
          <cell r="AO185">
            <v>1711279</v>
          </cell>
          <cell r="AP185">
            <v>15381868</v>
          </cell>
        </row>
        <row r="186">
          <cell r="E186">
            <v>650</v>
          </cell>
          <cell r="F186" t="str">
            <v xml:space="preserve"> 2015-2016</v>
          </cell>
          <cell r="G186" t="str">
            <v xml:space="preserve"> 11/15/2015</v>
          </cell>
          <cell r="H186">
            <v>23244718</v>
          </cell>
          <cell r="I186">
            <v>414696</v>
          </cell>
          <cell r="J186">
            <v>1096915</v>
          </cell>
          <cell r="K186">
            <v>67244</v>
          </cell>
          <cell r="L186">
            <v>31941</v>
          </cell>
          <cell r="M186">
            <v>0</v>
          </cell>
          <cell r="N186">
            <v>0</v>
          </cell>
          <cell r="O186">
            <v>1008574</v>
          </cell>
          <cell r="P186">
            <v>0</v>
          </cell>
          <cell r="Q186">
            <v>-189127</v>
          </cell>
          <cell r="R186">
            <v>0</v>
          </cell>
          <cell r="S186">
            <v>150050</v>
          </cell>
          <cell r="T186">
            <v>0</v>
          </cell>
          <cell r="U186">
            <v>0</v>
          </cell>
          <cell r="V186" t="str">
            <v xml:space="preserve"> </v>
          </cell>
          <cell r="W186">
            <v>25757767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24312165</v>
          </cell>
          <cell r="AC186">
            <v>414696</v>
          </cell>
          <cell r="AD186">
            <v>998601</v>
          </cell>
          <cell r="AE186">
            <v>70453</v>
          </cell>
          <cell r="AF186">
            <v>33465</v>
          </cell>
          <cell r="AG186">
            <v>0</v>
          </cell>
          <cell r="AH186">
            <v>0</v>
          </cell>
          <cell r="AI186">
            <v>1054916</v>
          </cell>
          <cell r="AJ186">
            <v>0</v>
          </cell>
          <cell r="AK186">
            <v>-52524</v>
          </cell>
          <cell r="AL186">
            <v>0</v>
          </cell>
          <cell r="AM186">
            <v>148004</v>
          </cell>
          <cell r="AN186">
            <v>0</v>
          </cell>
          <cell r="AO186">
            <v>0</v>
          </cell>
          <cell r="AP186">
            <v>26909323</v>
          </cell>
        </row>
        <row r="187">
          <cell r="D187" t="str">
            <v xml:space="preserve"> SANTA BARBARA     </v>
          </cell>
          <cell r="AO187">
            <v>1711279</v>
          </cell>
          <cell r="AP187">
            <v>42291191</v>
          </cell>
        </row>
        <row r="189">
          <cell r="E189">
            <v>420</v>
          </cell>
          <cell r="F189" t="str">
            <v xml:space="preserve"> 2015-2016</v>
          </cell>
          <cell r="G189" t="str">
            <v xml:space="preserve"> 11/15/2015</v>
          </cell>
          <cell r="H189">
            <v>75725408</v>
          </cell>
          <cell r="I189">
            <v>2767955</v>
          </cell>
          <cell r="J189">
            <v>5906898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989950</v>
          </cell>
          <cell r="P189">
            <v>47663</v>
          </cell>
          <cell r="Q189">
            <v>0</v>
          </cell>
          <cell r="R189">
            <v>22</v>
          </cell>
          <cell r="S189">
            <v>461637</v>
          </cell>
          <cell r="T189">
            <v>0</v>
          </cell>
          <cell r="U189">
            <v>-4375052</v>
          </cell>
          <cell r="V189" t="str">
            <v xml:space="preserve"> </v>
          </cell>
          <cell r="W189">
            <v>81524481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84149167</v>
          </cell>
          <cell r="AC189">
            <v>1661000</v>
          </cell>
          <cell r="AD189">
            <v>6442000</v>
          </cell>
          <cell r="AE189">
            <v>15909</v>
          </cell>
          <cell r="AF189">
            <v>7557</v>
          </cell>
          <cell r="AG189">
            <v>0</v>
          </cell>
          <cell r="AH189">
            <v>0</v>
          </cell>
          <cell r="AI189">
            <v>389209</v>
          </cell>
          <cell r="AJ189">
            <v>9074</v>
          </cell>
          <cell r="AK189">
            <v>0</v>
          </cell>
          <cell r="AL189">
            <v>22</v>
          </cell>
          <cell r="AM189">
            <v>462827</v>
          </cell>
          <cell r="AN189">
            <v>0</v>
          </cell>
          <cell r="AO189">
            <v>0</v>
          </cell>
          <cell r="AP189">
            <v>93120856</v>
          </cell>
        </row>
        <row r="190">
          <cell r="E190">
            <v>440</v>
          </cell>
          <cell r="F190" t="str">
            <v xml:space="preserve"> 2015-2016</v>
          </cell>
          <cell r="G190" t="str">
            <v xml:space="preserve"> 11/15/2015</v>
          </cell>
          <cell r="H190">
            <v>9271523</v>
          </cell>
          <cell r="I190">
            <v>369482</v>
          </cell>
          <cell r="J190">
            <v>780258</v>
          </cell>
          <cell r="K190">
            <v>199310</v>
          </cell>
          <cell r="L190">
            <v>94672</v>
          </cell>
          <cell r="M190">
            <v>0</v>
          </cell>
          <cell r="N190">
            <v>0</v>
          </cell>
          <cell r="O190">
            <v>711309</v>
          </cell>
          <cell r="P190">
            <v>0</v>
          </cell>
          <cell r="Q190">
            <v>11</v>
          </cell>
          <cell r="R190">
            <v>30</v>
          </cell>
          <cell r="S190">
            <v>61061</v>
          </cell>
          <cell r="T190">
            <v>0</v>
          </cell>
          <cell r="U190">
            <v>-575553</v>
          </cell>
          <cell r="V190" t="str">
            <v xml:space="preserve"> </v>
          </cell>
          <cell r="W190">
            <v>10712793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9811205</v>
          </cell>
          <cell r="AC190">
            <v>222000</v>
          </cell>
          <cell r="AD190">
            <v>824000</v>
          </cell>
          <cell r="AE190">
            <v>213101</v>
          </cell>
          <cell r="AF190">
            <v>101223</v>
          </cell>
          <cell r="AG190">
            <v>0</v>
          </cell>
          <cell r="AH190">
            <v>0</v>
          </cell>
          <cell r="AI190">
            <v>592251</v>
          </cell>
          <cell r="AJ190">
            <v>91995</v>
          </cell>
          <cell r="AK190">
            <v>0</v>
          </cell>
          <cell r="AL190">
            <v>30</v>
          </cell>
          <cell r="AM190">
            <v>58737</v>
          </cell>
          <cell r="AN190">
            <v>0</v>
          </cell>
          <cell r="AO190">
            <v>0</v>
          </cell>
          <cell r="AP190">
            <v>11701441</v>
          </cell>
        </row>
        <row r="191">
          <cell r="E191">
            <v>470</v>
          </cell>
          <cell r="F191" t="str">
            <v xml:space="preserve"> 2015-2016</v>
          </cell>
          <cell r="G191" t="str">
            <v xml:space="preserve"> 11/15/2015</v>
          </cell>
          <cell r="H191">
            <v>67320287</v>
          </cell>
          <cell r="I191">
            <v>2782207</v>
          </cell>
          <cell r="J191">
            <v>5911482</v>
          </cell>
          <cell r="K191">
            <v>1563717</v>
          </cell>
          <cell r="L191">
            <v>742766</v>
          </cell>
          <cell r="M191">
            <v>0</v>
          </cell>
          <cell r="N191">
            <v>0</v>
          </cell>
          <cell r="O191">
            <v>1693148</v>
          </cell>
          <cell r="P191">
            <v>0</v>
          </cell>
          <cell r="Q191">
            <v>0</v>
          </cell>
          <cell r="R191">
            <v>0</v>
          </cell>
          <cell r="S191">
            <v>462037</v>
          </cell>
          <cell r="T191">
            <v>0</v>
          </cell>
          <cell r="U191">
            <v>0</v>
          </cell>
          <cell r="V191" t="str">
            <v xml:space="preserve"> </v>
          </cell>
          <cell r="W191">
            <v>78911927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71213075</v>
          </cell>
          <cell r="AC191">
            <v>1669000</v>
          </cell>
          <cell r="AD191">
            <v>6258000</v>
          </cell>
          <cell r="AE191">
            <v>1686141</v>
          </cell>
          <cell r="AF191">
            <v>800917</v>
          </cell>
          <cell r="AG191">
            <v>0</v>
          </cell>
          <cell r="AH191">
            <v>0</v>
          </cell>
          <cell r="AI191">
            <v>1646770</v>
          </cell>
          <cell r="AJ191">
            <v>0</v>
          </cell>
          <cell r="AK191">
            <v>0</v>
          </cell>
          <cell r="AL191">
            <v>0</v>
          </cell>
          <cell r="AM191">
            <v>446340</v>
          </cell>
          <cell r="AN191">
            <v>0</v>
          </cell>
          <cell r="AO191">
            <v>0</v>
          </cell>
          <cell r="AP191">
            <v>82034102</v>
          </cell>
        </row>
        <row r="192">
          <cell r="E192">
            <v>490</v>
          </cell>
          <cell r="F192" t="str">
            <v xml:space="preserve"> 2015-2016</v>
          </cell>
          <cell r="G192" t="str">
            <v xml:space="preserve"> 11/15/2015</v>
          </cell>
          <cell r="H192">
            <v>70755752</v>
          </cell>
          <cell r="I192">
            <v>3027475</v>
          </cell>
          <cell r="J192">
            <v>6452410</v>
          </cell>
          <cell r="K192">
            <v>1396386</v>
          </cell>
          <cell r="L192">
            <v>663283</v>
          </cell>
          <cell r="M192">
            <v>0</v>
          </cell>
          <cell r="N192">
            <v>0</v>
          </cell>
          <cell r="O192">
            <v>2438184</v>
          </cell>
          <cell r="P192">
            <v>2544780</v>
          </cell>
          <cell r="Q192">
            <v>0</v>
          </cell>
          <cell r="R192">
            <v>83</v>
          </cell>
          <cell r="S192">
            <v>504285</v>
          </cell>
          <cell r="T192">
            <v>0</v>
          </cell>
          <cell r="U192">
            <v>0</v>
          </cell>
          <cell r="V192" t="str">
            <v xml:space="preserve"> </v>
          </cell>
          <cell r="W192">
            <v>86386252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76096002</v>
          </cell>
          <cell r="AC192">
            <v>1816000</v>
          </cell>
          <cell r="AD192">
            <v>7051000</v>
          </cell>
          <cell r="AE192">
            <v>2160408</v>
          </cell>
          <cell r="AF192">
            <v>1026194</v>
          </cell>
          <cell r="AG192">
            <v>0</v>
          </cell>
          <cell r="AH192">
            <v>0</v>
          </cell>
          <cell r="AI192">
            <v>4608895</v>
          </cell>
          <cell r="AJ192">
            <v>0</v>
          </cell>
          <cell r="AK192">
            <v>0</v>
          </cell>
          <cell r="AL192">
            <v>83</v>
          </cell>
          <cell r="AM192">
            <v>506753</v>
          </cell>
          <cell r="AN192">
            <v>0</v>
          </cell>
          <cell r="AO192">
            <v>0</v>
          </cell>
          <cell r="AP192">
            <v>91104927</v>
          </cell>
        </row>
        <row r="193">
          <cell r="E193">
            <v>590</v>
          </cell>
          <cell r="F193" t="str">
            <v xml:space="preserve"> 2015-2016</v>
          </cell>
          <cell r="G193" t="str">
            <v xml:space="preserve"> 11/15/2015</v>
          </cell>
          <cell r="H193">
            <v>22696</v>
          </cell>
          <cell r="I193">
            <v>702</v>
          </cell>
          <cell r="J193">
            <v>1599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125</v>
          </cell>
          <cell r="T193">
            <v>0</v>
          </cell>
          <cell r="U193">
            <v>0</v>
          </cell>
          <cell r="V193" t="str">
            <v xml:space="preserve"> </v>
          </cell>
          <cell r="W193">
            <v>25122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23540</v>
          </cell>
          <cell r="AC193">
            <v>400</v>
          </cell>
          <cell r="AD193">
            <v>1700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118</v>
          </cell>
          <cell r="AN193">
            <v>0</v>
          </cell>
          <cell r="AO193">
            <v>0</v>
          </cell>
          <cell r="AP193">
            <v>25758</v>
          </cell>
        </row>
        <row r="194">
          <cell r="D194" t="str">
            <v xml:space="preserve"> SANTA CLARA       </v>
          </cell>
          <cell r="AO194">
            <v>0</v>
          </cell>
          <cell r="AP194">
            <v>277987084</v>
          </cell>
        </row>
        <row r="196">
          <cell r="E196">
            <v>490</v>
          </cell>
          <cell r="F196" t="str">
            <v xml:space="preserve"> 2015-2016</v>
          </cell>
          <cell r="G196" t="str">
            <v xml:space="preserve"> 11/15/2015</v>
          </cell>
          <cell r="H196">
            <v>963318</v>
          </cell>
          <cell r="I196">
            <v>0</v>
          </cell>
          <cell r="J196">
            <v>19858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2550</v>
          </cell>
          <cell r="R196">
            <v>0</v>
          </cell>
          <cell r="S196">
            <v>7455</v>
          </cell>
          <cell r="T196">
            <v>0</v>
          </cell>
          <cell r="U196">
            <v>0</v>
          </cell>
          <cell r="V196" t="str">
            <v xml:space="preserve"> </v>
          </cell>
          <cell r="W196">
            <v>993181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1041369</v>
          </cell>
          <cell r="AC196">
            <v>0</v>
          </cell>
          <cell r="AD196">
            <v>22944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7240</v>
          </cell>
          <cell r="AN196">
            <v>0</v>
          </cell>
          <cell r="AO196">
            <v>0</v>
          </cell>
          <cell r="AP196">
            <v>1071553</v>
          </cell>
        </row>
        <row r="197">
          <cell r="E197">
            <v>410</v>
          </cell>
          <cell r="F197" t="str">
            <v xml:space="preserve"> 2015-2016</v>
          </cell>
          <cell r="G197" t="str">
            <v xml:space="preserve"> 11/15/2015</v>
          </cell>
          <cell r="H197">
            <v>18805194</v>
          </cell>
          <cell r="I197">
            <v>235942</v>
          </cell>
          <cell r="J197">
            <v>386023</v>
          </cell>
          <cell r="K197">
            <v>291963</v>
          </cell>
          <cell r="L197">
            <v>138682</v>
          </cell>
          <cell r="M197">
            <v>0</v>
          </cell>
          <cell r="N197">
            <v>0</v>
          </cell>
          <cell r="O197">
            <v>1172958</v>
          </cell>
          <cell r="P197">
            <v>0</v>
          </cell>
          <cell r="Q197">
            <v>54663</v>
          </cell>
          <cell r="R197">
            <v>9687</v>
          </cell>
          <cell r="S197">
            <v>144905</v>
          </cell>
          <cell r="T197">
            <v>0</v>
          </cell>
          <cell r="U197">
            <v>15383</v>
          </cell>
          <cell r="V197" t="str">
            <v xml:space="preserve"> </v>
          </cell>
          <cell r="W197">
            <v>20963437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19935783</v>
          </cell>
          <cell r="AC197">
            <v>200550</v>
          </cell>
          <cell r="AD197">
            <v>437421</v>
          </cell>
          <cell r="AE197">
            <v>248169</v>
          </cell>
          <cell r="AF197">
            <v>117880</v>
          </cell>
          <cell r="AG197">
            <v>0</v>
          </cell>
          <cell r="AH197">
            <v>0</v>
          </cell>
          <cell r="AI197">
            <v>997014</v>
          </cell>
          <cell r="AJ197">
            <v>0</v>
          </cell>
          <cell r="AK197">
            <v>0</v>
          </cell>
          <cell r="AL197">
            <v>8234</v>
          </cell>
          <cell r="AM197">
            <v>138027</v>
          </cell>
          <cell r="AN197">
            <v>0</v>
          </cell>
          <cell r="AO197">
            <v>862882</v>
          </cell>
          <cell r="AP197">
            <v>22697791</v>
          </cell>
        </row>
        <row r="198">
          <cell r="D198" t="str">
            <v xml:space="preserve"> SANTA CRUZ        </v>
          </cell>
          <cell r="AO198">
            <v>862882</v>
          </cell>
          <cell r="AP198">
            <v>23769344</v>
          </cell>
        </row>
        <row r="200">
          <cell r="E200">
            <v>170</v>
          </cell>
          <cell r="F200" t="str">
            <v xml:space="preserve"> 2015-2016</v>
          </cell>
          <cell r="G200" t="str">
            <v xml:space="preserve"> 11/15/2015</v>
          </cell>
          <cell r="H200">
            <v>8794185</v>
          </cell>
          <cell r="I200">
            <v>127545</v>
          </cell>
          <cell r="J200">
            <v>447943</v>
          </cell>
          <cell r="K200">
            <v>57080</v>
          </cell>
          <cell r="L200">
            <v>27113</v>
          </cell>
          <cell r="M200">
            <v>0</v>
          </cell>
          <cell r="N200">
            <v>0</v>
          </cell>
          <cell r="O200">
            <v>627050</v>
          </cell>
          <cell r="P200">
            <v>0</v>
          </cell>
          <cell r="Q200">
            <v>4612</v>
          </cell>
          <cell r="R200">
            <v>88101</v>
          </cell>
          <cell r="S200">
            <v>154914</v>
          </cell>
          <cell r="T200">
            <v>611</v>
          </cell>
          <cell r="U200">
            <v>-1380613</v>
          </cell>
          <cell r="V200" t="str">
            <v xml:space="preserve"> </v>
          </cell>
          <cell r="W200">
            <v>8891461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8441118</v>
          </cell>
          <cell r="AC200">
            <v>110495</v>
          </cell>
          <cell r="AD200">
            <v>404467</v>
          </cell>
          <cell r="AE200">
            <v>38802</v>
          </cell>
          <cell r="AF200">
            <v>18431</v>
          </cell>
          <cell r="AG200">
            <v>0</v>
          </cell>
          <cell r="AH200">
            <v>0</v>
          </cell>
          <cell r="AI200">
            <v>525499</v>
          </cell>
          <cell r="AJ200">
            <v>0</v>
          </cell>
          <cell r="AK200">
            <v>4151</v>
          </cell>
          <cell r="AL200">
            <v>70481</v>
          </cell>
          <cell r="AM200">
            <v>154323</v>
          </cell>
          <cell r="AN200">
            <v>0</v>
          </cell>
          <cell r="AO200">
            <v>-580319</v>
          </cell>
          <cell r="AP200">
            <v>9148646</v>
          </cell>
        </row>
        <row r="201">
          <cell r="E201">
            <v>180</v>
          </cell>
          <cell r="F201" t="str">
            <v xml:space="preserve"> 2015-2016</v>
          </cell>
          <cell r="G201" t="str">
            <v xml:space="preserve"> 11/15/2015</v>
          </cell>
          <cell r="H201">
            <v>49414</v>
          </cell>
          <cell r="I201">
            <v>30059</v>
          </cell>
          <cell r="J201">
            <v>2059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21</v>
          </cell>
          <cell r="R201">
            <v>6560</v>
          </cell>
          <cell r="S201">
            <v>712</v>
          </cell>
          <cell r="T201">
            <v>0</v>
          </cell>
          <cell r="U201">
            <v>-6346</v>
          </cell>
          <cell r="V201" t="str">
            <v xml:space="preserve"> </v>
          </cell>
          <cell r="W201">
            <v>82479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47945</v>
          </cell>
          <cell r="AC201">
            <v>24082</v>
          </cell>
          <cell r="AD201">
            <v>1887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19</v>
          </cell>
          <cell r="AL201">
            <v>5248</v>
          </cell>
          <cell r="AM201">
            <v>710</v>
          </cell>
          <cell r="AN201">
            <v>0</v>
          </cell>
          <cell r="AO201">
            <v>2707</v>
          </cell>
          <cell r="AP201">
            <v>82598</v>
          </cell>
        </row>
        <row r="202">
          <cell r="D202" t="str">
            <v xml:space="preserve"> SHASTA            </v>
          </cell>
          <cell r="AO202">
            <v>-577612</v>
          </cell>
          <cell r="AP202">
            <v>9231244</v>
          </cell>
        </row>
        <row r="204">
          <cell r="E204">
            <v>180</v>
          </cell>
          <cell r="F204" t="str">
            <v xml:space="preserve"> 2015-2016</v>
          </cell>
          <cell r="G204" t="str">
            <v xml:space="preserve"> 11/15/2015</v>
          </cell>
          <cell r="H204">
            <v>3298220</v>
          </cell>
          <cell r="I204">
            <v>14646</v>
          </cell>
          <cell r="J204">
            <v>177690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6029</v>
          </cell>
          <cell r="R204">
            <v>84829</v>
          </cell>
          <cell r="S204">
            <v>56826</v>
          </cell>
          <cell r="T204">
            <v>0</v>
          </cell>
          <cell r="U204">
            <v>-197244</v>
          </cell>
          <cell r="V204" t="str">
            <v xml:space="preserve"> </v>
          </cell>
          <cell r="W204">
            <v>3440996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3400000</v>
          </cell>
          <cell r="AC204">
            <v>15000</v>
          </cell>
          <cell r="AD204">
            <v>180000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6100</v>
          </cell>
          <cell r="AL204">
            <v>85000</v>
          </cell>
          <cell r="AM204">
            <v>56164</v>
          </cell>
          <cell r="AN204">
            <v>0</v>
          </cell>
          <cell r="AO204">
            <v>-197244</v>
          </cell>
          <cell r="AP204">
            <v>3545020</v>
          </cell>
        </row>
        <row r="205">
          <cell r="D205" t="str">
            <v xml:space="preserve"> SISKIYOU          </v>
          </cell>
          <cell r="AO205">
            <v>-197244</v>
          </cell>
          <cell r="AP205">
            <v>3545020</v>
          </cell>
        </row>
        <row r="207">
          <cell r="E207">
            <v>230</v>
          </cell>
          <cell r="F207" t="str">
            <v xml:space="preserve"> 2015-2016</v>
          </cell>
          <cell r="G207" t="str">
            <v xml:space="preserve"> 11/15/2015</v>
          </cell>
          <cell r="H207">
            <v>9274</v>
          </cell>
          <cell r="I207">
            <v>150</v>
          </cell>
          <cell r="J207">
            <v>582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5</v>
          </cell>
          <cell r="R207">
            <v>0</v>
          </cell>
          <cell r="S207">
            <v>87</v>
          </cell>
          <cell r="T207">
            <v>0</v>
          </cell>
          <cell r="U207">
            <v>0</v>
          </cell>
          <cell r="V207" t="str">
            <v xml:space="preserve"> </v>
          </cell>
          <cell r="W207">
            <v>10098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11504</v>
          </cell>
          <cell r="AC207">
            <v>176</v>
          </cell>
          <cell r="AD207">
            <v>683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101</v>
          </cell>
          <cell r="AN207">
            <v>0</v>
          </cell>
          <cell r="AO207">
            <v>0</v>
          </cell>
          <cell r="AP207">
            <v>12464</v>
          </cell>
        </row>
        <row r="208">
          <cell r="E208">
            <v>550</v>
          </cell>
          <cell r="F208" t="str">
            <v xml:space="preserve"> 2015-2016</v>
          </cell>
          <cell r="G208" t="str">
            <v xml:space="preserve"> 11/15/2015</v>
          </cell>
          <cell r="H208">
            <v>1176173</v>
          </cell>
          <cell r="I208">
            <v>20473</v>
          </cell>
          <cell r="J208">
            <v>74119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55191</v>
          </cell>
          <cell r="P208">
            <v>2505</v>
          </cell>
          <cell r="Q208">
            <v>-13307</v>
          </cell>
          <cell r="R208">
            <v>0</v>
          </cell>
          <cell r="S208">
            <v>11986</v>
          </cell>
          <cell r="T208">
            <v>-8</v>
          </cell>
          <cell r="U208">
            <v>0</v>
          </cell>
          <cell r="V208" t="str">
            <v xml:space="preserve"> </v>
          </cell>
          <cell r="W208">
            <v>1327132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1175909</v>
          </cell>
          <cell r="AC208">
            <v>19279</v>
          </cell>
          <cell r="AD208">
            <v>68646</v>
          </cell>
          <cell r="AE208">
            <v>524</v>
          </cell>
          <cell r="AF208">
            <v>249</v>
          </cell>
          <cell r="AG208">
            <v>0</v>
          </cell>
          <cell r="AH208">
            <v>0</v>
          </cell>
          <cell r="AI208">
            <v>51233</v>
          </cell>
          <cell r="AJ208">
            <v>0</v>
          </cell>
          <cell r="AK208">
            <v>0</v>
          </cell>
          <cell r="AL208">
            <v>0</v>
          </cell>
          <cell r="AM208">
            <v>11150</v>
          </cell>
          <cell r="AN208">
            <v>0</v>
          </cell>
          <cell r="AO208">
            <v>0</v>
          </cell>
          <cell r="AP208">
            <v>1326466</v>
          </cell>
        </row>
        <row r="209">
          <cell r="E209">
            <v>280</v>
          </cell>
          <cell r="F209" t="str">
            <v xml:space="preserve"> 2015-2016</v>
          </cell>
          <cell r="G209" t="str">
            <v xml:space="preserve"> 11/15/2015</v>
          </cell>
          <cell r="H209">
            <v>9648202</v>
          </cell>
          <cell r="I209">
            <v>171512</v>
          </cell>
          <cell r="J209">
            <v>630616</v>
          </cell>
          <cell r="K209">
            <v>132359</v>
          </cell>
          <cell r="L209">
            <v>62871</v>
          </cell>
          <cell r="M209">
            <v>0</v>
          </cell>
          <cell r="N209">
            <v>0</v>
          </cell>
          <cell r="O209">
            <v>2372208</v>
          </cell>
          <cell r="P209">
            <v>292502</v>
          </cell>
          <cell r="Q209">
            <v>-26217</v>
          </cell>
          <cell r="R209">
            <v>0</v>
          </cell>
          <cell r="S209">
            <v>122922</v>
          </cell>
          <cell r="T209">
            <v>35</v>
          </cell>
          <cell r="U209">
            <v>-232127</v>
          </cell>
          <cell r="V209" t="str">
            <v xml:space="preserve"> </v>
          </cell>
          <cell r="W209">
            <v>13042524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10276498</v>
          </cell>
          <cell r="AC209">
            <v>210020</v>
          </cell>
          <cell r="AD209">
            <v>607811</v>
          </cell>
          <cell r="AE209">
            <v>149628</v>
          </cell>
          <cell r="AF209">
            <v>71073</v>
          </cell>
          <cell r="AG209">
            <v>0</v>
          </cell>
          <cell r="AH209">
            <v>0</v>
          </cell>
          <cell r="AI209">
            <v>2486417</v>
          </cell>
          <cell r="AJ209">
            <v>0</v>
          </cell>
          <cell r="AK209">
            <v>0</v>
          </cell>
          <cell r="AL209">
            <v>0</v>
          </cell>
          <cell r="AM209">
            <v>121464</v>
          </cell>
          <cell r="AN209">
            <v>0</v>
          </cell>
          <cell r="AO209">
            <v>790787</v>
          </cell>
          <cell r="AP209">
            <v>14564070</v>
          </cell>
        </row>
        <row r="210">
          <cell r="D210" t="str">
            <v xml:space="preserve"> SOLANO            </v>
          </cell>
          <cell r="AO210">
            <v>790787</v>
          </cell>
          <cell r="AP210">
            <v>15903000</v>
          </cell>
        </row>
        <row r="212">
          <cell r="E212">
            <v>240</v>
          </cell>
          <cell r="F212" t="str">
            <v xml:space="preserve"> 2015-2016</v>
          </cell>
          <cell r="G212" t="str">
            <v xml:space="preserve"> 11/15/2015</v>
          </cell>
          <cell r="H212">
            <v>266653</v>
          </cell>
          <cell r="I212">
            <v>2509</v>
          </cell>
          <cell r="J212">
            <v>9586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81</v>
          </cell>
          <cell r="R212">
            <v>1798</v>
          </cell>
          <cell r="S212">
            <v>0</v>
          </cell>
          <cell r="T212">
            <v>0</v>
          </cell>
          <cell r="U212">
            <v>0</v>
          </cell>
          <cell r="V212" t="str">
            <v xml:space="preserve"> </v>
          </cell>
          <cell r="W212">
            <v>280627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209979</v>
          </cell>
          <cell r="AC212">
            <v>2509</v>
          </cell>
          <cell r="AD212">
            <v>6851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1630</v>
          </cell>
          <cell r="AM212">
            <v>0</v>
          </cell>
          <cell r="AN212">
            <v>0</v>
          </cell>
          <cell r="AO212">
            <v>0</v>
          </cell>
          <cell r="AP212">
            <v>220969</v>
          </cell>
        </row>
        <row r="213">
          <cell r="E213">
            <v>260</v>
          </cell>
          <cell r="F213" t="str">
            <v xml:space="preserve"> 2015-2016</v>
          </cell>
          <cell r="G213" t="str">
            <v xml:space="preserve"> 11/15/2015</v>
          </cell>
          <cell r="H213">
            <v>40932068</v>
          </cell>
          <cell r="I213">
            <v>823429</v>
          </cell>
          <cell r="J213">
            <v>1148881</v>
          </cell>
          <cell r="K213">
            <v>678045</v>
          </cell>
          <cell r="L213">
            <v>322071</v>
          </cell>
          <cell r="M213">
            <v>0</v>
          </cell>
          <cell r="N213">
            <v>0</v>
          </cell>
          <cell r="O213">
            <v>1904849</v>
          </cell>
          <cell r="P213">
            <v>175573</v>
          </cell>
          <cell r="Q213">
            <v>18587</v>
          </cell>
          <cell r="R213">
            <v>9388</v>
          </cell>
          <cell r="S213">
            <v>373166</v>
          </cell>
          <cell r="T213">
            <v>3497</v>
          </cell>
          <cell r="U213">
            <v>591171</v>
          </cell>
          <cell r="V213" t="str">
            <v xml:space="preserve"> </v>
          </cell>
          <cell r="W213">
            <v>46302680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42881798</v>
          </cell>
          <cell r="AC213">
            <v>691680</v>
          </cell>
          <cell r="AD213">
            <v>1220801</v>
          </cell>
          <cell r="AE213">
            <v>820331</v>
          </cell>
          <cell r="AF213">
            <v>389657</v>
          </cell>
          <cell r="AG213">
            <v>0</v>
          </cell>
          <cell r="AH213">
            <v>0</v>
          </cell>
          <cell r="AI213">
            <v>952425</v>
          </cell>
          <cell r="AJ213">
            <v>0</v>
          </cell>
          <cell r="AK213">
            <v>0</v>
          </cell>
          <cell r="AL213">
            <v>9388</v>
          </cell>
          <cell r="AM213">
            <v>358464</v>
          </cell>
          <cell r="AN213">
            <v>0</v>
          </cell>
          <cell r="AO213">
            <v>2561770</v>
          </cell>
          <cell r="AP213">
            <v>49065983</v>
          </cell>
        </row>
        <row r="214">
          <cell r="D214" t="str">
            <v xml:space="preserve"> SONOMA            </v>
          </cell>
          <cell r="AO214">
            <v>2561770</v>
          </cell>
          <cell r="AP214">
            <v>49286952</v>
          </cell>
        </row>
        <row r="216">
          <cell r="E216">
            <v>590</v>
          </cell>
          <cell r="F216" t="str">
            <v xml:space="preserve"> 2015-2016</v>
          </cell>
          <cell r="G216" t="str">
            <v xml:space="preserve"> 11/15/2015</v>
          </cell>
          <cell r="H216">
            <v>26775456</v>
          </cell>
          <cell r="I216">
            <v>415695</v>
          </cell>
          <cell r="J216">
            <v>1446012</v>
          </cell>
          <cell r="K216">
            <v>176292</v>
          </cell>
          <cell r="L216">
            <v>83739</v>
          </cell>
          <cell r="M216">
            <v>0</v>
          </cell>
          <cell r="N216">
            <v>0</v>
          </cell>
          <cell r="O216">
            <v>486944</v>
          </cell>
          <cell r="P216">
            <v>0</v>
          </cell>
          <cell r="Q216">
            <v>38763</v>
          </cell>
          <cell r="R216">
            <v>0</v>
          </cell>
          <cell r="S216">
            <v>389032</v>
          </cell>
          <cell r="T216">
            <v>24298</v>
          </cell>
          <cell r="U216">
            <v>-5719213</v>
          </cell>
          <cell r="V216" t="str">
            <v xml:space="preserve"> </v>
          </cell>
          <cell r="W216">
            <v>23940726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28114229</v>
          </cell>
          <cell r="AC216">
            <v>436480</v>
          </cell>
          <cell r="AD216">
            <v>1518313</v>
          </cell>
          <cell r="AE216">
            <v>185107</v>
          </cell>
          <cell r="AF216">
            <v>87926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46851</v>
          </cell>
          <cell r="AL216">
            <v>0</v>
          </cell>
          <cell r="AM216">
            <v>408484</v>
          </cell>
          <cell r="AN216">
            <v>12149</v>
          </cell>
          <cell r="AO216">
            <v>-3759961</v>
          </cell>
          <cell r="AP216">
            <v>26864471</v>
          </cell>
        </row>
        <row r="217">
          <cell r="D217" t="str">
            <v xml:space="preserve"> STANISLAUS        </v>
          </cell>
          <cell r="AO217">
            <v>-3759961</v>
          </cell>
          <cell r="AP217">
            <v>26864471</v>
          </cell>
        </row>
        <row r="219">
          <cell r="E219">
            <v>290</v>
          </cell>
          <cell r="F219" t="str">
            <v xml:space="preserve"> 2015-2016</v>
          </cell>
          <cell r="G219" t="str">
            <v xml:space="preserve"> 11/15/2015</v>
          </cell>
          <cell r="H219">
            <v>6059875</v>
          </cell>
          <cell r="I219">
            <v>78465</v>
          </cell>
          <cell r="J219">
            <v>436136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11300</v>
          </cell>
          <cell r="R219">
            <v>0</v>
          </cell>
          <cell r="S219">
            <v>84700</v>
          </cell>
          <cell r="T219">
            <v>7130</v>
          </cell>
          <cell r="U219">
            <v>-724416</v>
          </cell>
          <cell r="V219" t="str">
            <v xml:space="preserve"> </v>
          </cell>
          <cell r="W219">
            <v>5953190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6181000</v>
          </cell>
          <cell r="AC219">
            <v>75000</v>
          </cell>
          <cell r="AD219">
            <v>440000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8500</v>
          </cell>
          <cell r="AL219">
            <v>0</v>
          </cell>
          <cell r="AM219">
            <v>83750</v>
          </cell>
          <cell r="AN219">
            <v>4500</v>
          </cell>
          <cell r="AO219">
            <v>-685000</v>
          </cell>
          <cell r="AP219">
            <v>6107750</v>
          </cell>
        </row>
        <row r="220">
          <cell r="D220" t="str">
            <v xml:space="preserve"> SUTTER            </v>
          </cell>
          <cell r="AO220">
            <v>-685000</v>
          </cell>
          <cell r="AP220">
            <v>6107750</v>
          </cell>
        </row>
        <row r="222">
          <cell r="E222">
            <v>170</v>
          </cell>
          <cell r="F222" t="str">
            <v xml:space="preserve"> 2015-2016</v>
          </cell>
          <cell r="G222" t="str">
            <v xml:space="preserve"> 11/15/2015</v>
          </cell>
          <cell r="H222">
            <v>2465625</v>
          </cell>
          <cell r="I222">
            <v>24753</v>
          </cell>
          <cell r="J222">
            <v>98207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4345</v>
          </cell>
          <cell r="R222">
            <v>22307</v>
          </cell>
          <cell r="S222">
            <v>54797</v>
          </cell>
          <cell r="T222">
            <v>1036</v>
          </cell>
          <cell r="U222">
            <v>-1020</v>
          </cell>
          <cell r="V222" t="str">
            <v xml:space="preserve"> </v>
          </cell>
          <cell r="W222">
            <v>2670050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2823137</v>
          </cell>
          <cell r="AC222">
            <v>25000</v>
          </cell>
          <cell r="AD222">
            <v>101908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5000</v>
          </cell>
          <cell r="AL222">
            <v>15000</v>
          </cell>
          <cell r="AM222">
            <v>52353</v>
          </cell>
          <cell r="AN222">
            <v>500</v>
          </cell>
          <cell r="AO222">
            <v>5166</v>
          </cell>
          <cell r="AP222">
            <v>3028064</v>
          </cell>
        </row>
        <row r="223">
          <cell r="D223" t="str">
            <v xml:space="preserve"> TEHAMA            </v>
          </cell>
          <cell r="AO223">
            <v>5166</v>
          </cell>
          <cell r="AP223">
            <v>3028064</v>
          </cell>
        </row>
        <row r="225">
          <cell r="E225">
            <v>160</v>
          </cell>
          <cell r="F225" t="str">
            <v xml:space="preserve"> 2015-2016</v>
          </cell>
          <cell r="G225" t="str">
            <v xml:space="preserve"> 11/15/2015</v>
          </cell>
          <cell r="H225">
            <v>47915</v>
          </cell>
          <cell r="I225">
            <v>1894</v>
          </cell>
          <cell r="J225">
            <v>1116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35</v>
          </cell>
          <cell r="R225">
            <v>151</v>
          </cell>
          <cell r="S225">
            <v>715</v>
          </cell>
          <cell r="T225">
            <v>0</v>
          </cell>
          <cell r="U225">
            <v>0</v>
          </cell>
          <cell r="V225" t="str">
            <v xml:space="preserve"> </v>
          </cell>
          <cell r="W225">
            <v>51826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50000</v>
          </cell>
          <cell r="AC225">
            <v>1000</v>
          </cell>
          <cell r="AD225">
            <v>1500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10</v>
          </cell>
          <cell r="AL225">
            <v>150</v>
          </cell>
          <cell r="AM225">
            <v>619</v>
          </cell>
          <cell r="AN225">
            <v>0</v>
          </cell>
          <cell r="AO225">
            <v>0</v>
          </cell>
          <cell r="AP225">
            <v>53279</v>
          </cell>
        </row>
        <row r="226">
          <cell r="E226">
            <v>170</v>
          </cell>
          <cell r="F226" t="str">
            <v xml:space="preserve"> 2015-2016</v>
          </cell>
          <cell r="G226" t="str">
            <v xml:space="preserve"> 11/15/2015</v>
          </cell>
          <cell r="H226">
            <v>1335386</v>
          </cell>
          <cell r="I226">
            <v>52916</v>
          </cell>
          <cell r="J226">
            <v>31176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984</v>
          </cell>
          <cell r="R226">
            <v>15009</v>
          </cell>
          <cell r="S226">
            <v>17916</v>
          </cell>
          <cell r="T226">
            <v>0</v>
          </cell>
          <cell r="U226">
            <v>0</v>
          </cell>
          <cell r="V226" t="str">
            <v xml:space="preserve"> </v>
          </cell>
          <cell r="W226">
            <v>1453387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1340000</v>
          </cell>
          <cell r="AC226">
            <v>40000</v>
          </cell>
          <cell r="AD226">
            <v>32000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400</v>
          </cell>
          <cell r="AL226">
            <v>15000</v>
          </cell>
          <cell r="AM226">
            <v>17102</v>
          </cell>
          <cell r="AN226">
            <v>0</v>
          </cell>
          <cell r="AO226">
            <v>0</v>
          </cell>
          <cell r="AP226">
            <v>1444502</v>
          </cell>
        </row>
        <row r="227">
          <cell r="D227" t="str">
            <v xml:space="preserve"> TRINITY           </v>
          </cell>
          <cell r="AO227">
            <v>0</v>
          </cell>
          <cell r="AP227">
            <v>1497781</v>
          </cell>
        </row>
        <row r="229">
          <cell r="E229">
            <v>570</v>
          </cell>
          <cell r="F229" t="str">
            <v xml:space="preserve"> 2015-2016</v>
          </cell>
          <cell r="G229" t="str">
            <v xml:space="preserve"> 11/15/2015</v>
          </cell>
          <cell r="H229">
            <v>695965</v>
          </cell>
          <cell r="I229">
            <v>9363</v>
          </cell>
          <cell r="J229">
            <v>40955</v>
          </cell>
          <cell r="K229">
            <v>39599</v>
          </cell>
          <cell r="L229">
            <v>18810</v>
          </cell>
          <cell r="M229">
            <v>0</v>
          </cell>
          <cell r="N229">
            <v>0</v>
          </cell>
          <cell r="O229">
            <v>42308</v>
          </cell>
          <cell r="P229">
            <v>0</v>
          </cell>
          <cell r="Q229">
            <v>29599</v>
          </cell>
          <cell r="R229">
            <v>0</v>
          </cell>
          <cell r="S229">
            <v>8236</v>
          </cell>
          <cell r="T229">
            <v>0</v>
          </cell>
          <cell r="U229">
            <v>-111669</v>
          </cell>
          <cell r="V229" t="str">
            <v xml:space="preserve"> </v>
          </cell>
          <cell r="W229">
            <v>733567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674222</v>
          </cell>
          <cell r="AC229">
            <v>6394</v>
          </cell>
          <cell r="AD229">
            <v>37736</v>
          </cell>
          <cell r="AE229">
            <v>39599</v>
          </cell>
          <cell r="AF229">
            <v>18810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7184</v>
          </cell>
          <cell r="AN229">
            <v>0</v>
          </cell>
          <cell r="AO229">
            <v>-76310</v>
          </cell>
          <cell r="AP229">
            <v>668036</v>
          </cell>
        </row>
        <row r="230">
          <cell r="E230">
            <v>520</v>
          </cell>
          <cell r="F230" t="str">
            <v xml:space="preserve"> 2015-2016</v>
          </cell>
          <cell r="G230" t="str">
            <v xml:space="preserve"> 11/15/2015</v>
          </cell>
          <cell r="H230">
            <v>4358632</v>
          </cell>
          <cell r="I230">
            <v>43934</v>
          </cell>
          <cell r="J230">
            <v>256399</v>
          </cell>
          <cell r="K230">
            <v>5920</v>
          </cell>
          <cell r="L230">
            <v>2812</v>
          </cell>
          <cell r="M230">
            <v>0</v>
          </cell>
          <cell r="N230">
            <v>0</v>
          </cell>
          <cell r="O230">
            <v>67958</v>
          </cell>
          <cell r="P230">
            <v>0</v>
          </cell>
          <cell r="Q230">
            <v>181660</v>
          </cell>
          <cell r="R230">
            <v>99</v>
          </cell>
          <cell r="S230">
            <v>51383</v>
          </cell>
          <cell r="T230">
            <v>0</v>
          </cell>
          <cell r="U230">
            <v>-699147</v>
          </cell>
          <cell r="V230" t="str">
            <v xml:space="preserve"> </v>
          </cell>
          <cell r="W230">
            <v>4263730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4572131</v>
          </cell>
          <cell r="AC230">
            <v>29438</v>
          </cell>
          <cell r="AD230">
            <v>256898</v>
          </cell>
          <cell r="AE230">
            <v>5920</v>
          </cell>
          <cell r="AF230">
            <v>2812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-519615</v>
          </cell>
          <cell r="AP230">
            <v>4341664</v>
          </cell>
        </row>
        <row r="231">
          <cell r="E231">
            <v>560</v>
          </cell>
          <cell r="F231" t="str">
            <v xml:space="preserve"> 2015-2016</v>
          </cell>
          <cell r="G231" t="str">
            <v xml:space="preserve"> 11/15/2015</v>
          </cell>
          <cell r="H231">
            <v>9705277</v>
          </cell>
          <cell r="I231">
            <v>104428</v>
          </cell>
          <cell r="J231">
            <v>574431</v>
          </cell>
          <cell r="K231">
            <v>137381</v>
          </cell>
          <cell r="L231">
            <v>65256</v>
          </cell>
          <cell r="M231">
            <v>0</v>
          </cell>
          <cell r="N231">
            <v>0</v>
          </cell>
          <cell r="O231">
            <v>520919</v>
          </cell>
          <cell r="P231">
            <v>5253</v>
          </cell>
          <cell r="Q231">
            <v>346534</v>
          </cell>
          <cell r="R231">
            <v>37</v>
          </cell>
          <cell r="S231">
            <v>115269</v>
          </cell>
          <cell r="T231">
            <v>0</v>
          </cell>
          <cell r="U231">
            <v>-1562563</v>
          </cell>
          <cell r="V231" t="str">
            <v xml:space="preserve"> </v>
          </cell>
          <cell r="W231">
            <v>9874841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10224990</v>
          </cell>
          <cell r="AC231">
            <v>29438</v>
          </cell>
          <cell r="AD231">
            <v>256898</v>
          </cell>
          <cell r="AE231">
            <v>137381</v>
          </cell>
          <cell r="AF231">
            <v>65256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109842</v>
          </cell>
          <cell r="AN231">
            <v>0</v>
          </cell>
          <cell r="AO231">
            <v>-1170553</v>
          </cell>
          <cell r="AP231">
            <v>9515871</v>
          </cell>
        </row>
        <row r="232">
          <cell r="D232" t="str">
            <v xml:space="preserve"> TULARE            </v>
          </cell>
          <cell r="AO232">
            <v>-1766478</v>
          </cell>
          <cell r="AP232">
            <v>14525571</v>
          </cell>
        </row>
        <row r="234">
          <cell r="E234">
            <v>590</v>
          </cell>
          <cell r="F234" t="str">
            <v xml:space="preserve"> 2015-2016</v>
          </cell>
          <cell r="G234" t="str">
            <v xml:space="preserve"> 11/15/2015</v>
          </cell>
          <cell r="H234">
            <v>4216403</v>
          </cell>
          <cell r="I234">
            <v>47759</v>
          </cell>
          <cell r="J234">
            <v>120570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2458</v>
          </cell>
          <cell r="R234">
            <v>26962</v>
          </cell>
          <cell r="S234">
            <v>61860</v>
          </cell>
          <cell r="T234">
            <v>0</v>
          </cell>
          <cell r="U234">
            <v>52732</v>
          </cell>
          <cell r="V234" t="str">
            <v xml:space="preserve"> </v>
          </cell>
          <cell r="W234">
            <v>4528744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4442528</v>
          </cell>
          <cell r="AC234">
            <v>17444</v>
          </cell>
          <cell r="AD234">
            <v>121208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1967</v>
          </cell>
          <cell r="AL234">
            <v>21569</v>
          </cell>
          <cell r="AM234">
            <v>61144</v>
          </cell>
          <cell r="AN234">
            <v>0</v>
          </cell>
          <cell r="AO234">
            <v>163476</v>
          </cell>
          <cell r="AP234">
            <v>4829336</v>
          </cell>
        </row>
        <row r="235">
          <cell r="D235" t="str">
            <v xml:space="preserve"> TUOLUMNE          </v>
          </cell>
          <cell r="AO235">
            <v>163476</v>
          </cell>
          <cell r="AP235">
            <v>4829336</v>
          </cell>
        </row>
        <row r="237">
          <cell r="E237">
            <v>610</v>
          </cell>
          <cell r="F237" t="str">
            <v xml:space="preserve"> 2015-2016</v>
          </cell>
          <cell r="G237" t="str">
            <v xml:space="preserve"> 11/15/2015</v>
          </cell>
          <cell r="H237">
            <v>20788</v>
          </cell>
          <cell r="I237">
            <v>301</v>
          </cell>
          <cell r="J237">
            <v>799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33</v>
          </cell>
          <cell r="R237">
            <v>0</v>
          </cell>
          <cell r="S237">
            <v>200</v>
          </cell>
          <cell r="T237">
            <v>0</v>
          </cell>
          <cell r="U237">
            <v>0</v>
          </cell>
          <cell r="V237" t="str">
            <v xml:space="preserve"> </v>
          </cell>
          <cell r="W237">
            <v>22121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20634</v>
          </cell>
          <cell r="AC237">
            <v>301</v>
          </cell>
          <cell r="AD237">
            <v>873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33</v>
          </cell>
          <cell r="AL237">
            <v>0</v>
          </cell>
          <cell r="AM237">
            <v>190</v>
          </cell>
          <cell r="AN237">
            <v>0</v>
          </cell>
          <cell r="AO237">
            <v>-2723</v>
          </cell>
          <cell r="AP237">
            <v>19308</v>
          </cell>
        </row>
        <row r="238">
          <cell r="E238">
            <v>680</v>
          </cell>
          <cell r="F238" t="str">
            <v xml:space="preserve"> 2015-2016</v>
          </cell>
          <cell r="G238" t="str">
            <v xml:space="preserve"> 11/15/2015</v>
          </cell>
          <cell r="H238">
            <v>53979751</v>
          </cell>
          <cell r="I238">
            <v>832087</v>
          </cell>
          <cell r="J238">
            <v>1506404</v>
          </cell>
          <cell r="K238">
            <v>1529800</v>
          </cell>
          <cell r="L238">
            <v>726655</v>
          </cell>
          <cell r="M238">
            <v>0</v>
          </cell>
          <cell r="N238">
            <v>0</v>
          </cell>
          <cell r="O238">
            <v>2673715</v>
          </cell>
          <cell r="P238">
            <v>97365</v>
          </cell>
          <cell r="Q238">
            <v>95819</v>
          </cell>
          <cell r="R238">
            <v>0</v>
          </cell>
          <cell r="S238">
            <v>480921</v>
          </cell>
          <cell r="T238">
            <v>2735</v>
          </cell>
          <cell r="U238">
            <v>-6947257</v>
          </cell>
          <cell r="V238" t="str">
            <v xml:space="preserve"> </v>
          </cell>
          <cell r="W238">
            <v>53448195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53858316</v>
          </cell>
          <cell r="AC238">
            <v>624065</v>
          </cell>
          <cell r="AD238">
            <v>1741438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450</v>
          </cell>
          <cell r="AJ238">
            <v>0</v>
          </cell>
          <cell r="AK238">
            <v>76655</v>
          </cell>
          <cell r="AL238">
            <v>0</v>
          </cell>
          <cell r="AM238">
            <v>456875</v>
          </cell>
          <cell r="AN238">
            <v>2461</v>
          </cell>
          <cell r="AO238">
            <v>-6944534</v>
          </cell>
          <cell r="AP238">
            <v>49815726</v>
          </cell>
        </row>
        <row r="239">
          <cell r="D239" t="str">
            <v xml:space="preserve"> VENTURA           </v>
          </cell>
          <cell r="AO239">
            <v>-6947257</v>
          </cell>
          <cell r="AP239">
            <v>49835034</v>
          </cell>
        </row>
        <row r="241">
          <cell r="E241">
            <v>230</v>
          </cell>
          <cell r="F241" t="str">
            <v xml:space="preserve"> 2015-2016</v>
          </cell>
          <cell r="G241" t="str">
            <v xml:space="preserve"> 11/15/2015</v>
          </cell>
          <cell r="H241">
            <v>4622727</v>
          </cell>
          <cell r="I241">
            <v>77496</v>
          </cell>
          <cell r="J241">
            <v>175908</v>
          </cell>
          <cell r="K241">
            <v>121659</v>
          </cell>
          <cell r="L241">
            <v>57788</v>
          </cell>
          <cell r="M241">
            <v>0</v>
          </cell>
          <cell r="N241">
            <v>0</v>
          </cell>
          <cell r="O241">
            <v>458399</v>
          </cell>
          <cell r="P241">
            <v>0</v>
          </cell>
          <cell r="Q241">
            <v>1410</v>
          </cell>
          <cell r="R241">
            <v>0</v>
          </cell>
          <cell r="S241">
            <v>48856</v>
          </cell>
          <cell r="T241">
            <v>1564</v>
          </cell>
          <cell r="U241">
            <v>-386020</v>
          </cell>
          <cell r="V241" t="str">
            <v xml:space="preserve"> </v>
          </cell>
          <cell r="W241">
            <v>5058128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4953369</v>
          </cell>
          <cell r="AC241">
            <v>75000</v>
          </cell>
          <cell r="AD241">
            <v>194888</v>
          </cell>
          <cell r="AE241">
            <v>129017</v>
          </cell>
          <cell r="AF241">
            <v>61283</v>
          </cell>
          <cell r="AG241">
            <v>0</v>
          </cell>
          <cell r="AH241">
            <v>0</v>
          </cell>
          <cell r="AI241">
            <v>231689</v>
          </cell>
          <cell r="AJ241">
            <v>0</v>
          </cell>
          <cell r="AK241">
            <v>1300</v>
          </cell>
          <cell r="AL241">
            <v>0</v>
          </cell>
          <cell r="AM241">
            <v>48475</v>
          </cell>
          <cell r="AN241">
            <v>1200</v>
          </cell>
          <cell r="AO241">
            <v>386592</v>
          </cell>
          <cell r="AP241">
            <v>5953796</v>
          </cell>
        </row>
        <row r="242">
          <cell r="E242">
            <v>280</v>
          </cell>
          <cell r="F242" t="str">
            <v xml:space="preserve"> 2015-2016</v>
          </cell>
          <cell r="G242" t="str">
            <v xml:space="preserve"> 11/15/2015</v>
          </cell>
          <cell r="H242">
            <v>209278</v>
          </cell>
          <cell r="I242">
            <v>2583</v>
          </cell>
          <cell r="J242">
            <v>9192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25520</v>
          </cell>
          <cell r="Q242">
            <v>72</v>
          </cell>
          <cell r="R242">
            <v>0</v>
          </cell>
          <cell r="S242">
            <v>2596</v>
          </cell>
          <cell r="T242">
            <v>1605</v>
          </cell>
          <cell r="U242">
            <v>0</v>
          </cell>
          <cell r="V242" t="str">
            <v xml:space="preserve"> </v>
          </cell>
          <cell r="W242">
            <v>250846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230658</v>
          </cell>
          <cell r="AC242">
            <v>2000</v>
          </cell>
          <cell r="AD242">
            <v>12042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70</v>
          </cell>
          <cell r="AL242">
            <v>0</v>
          </cell>
          <cell r="AM242">
            <v>2574</v>
          </cell>
          <cell r="AN242">
            <v>1500</v>
          </cell>
          <cell r="AO242">
            <v>0</v>
          </cell>
          <cell r="AP242">
            <v>248844</v>
          </cell>
        </row>
        <row r="243">
          <cell r="E243">
            <v>290</v>
          </cell>
          <cell r="F243" t="str">
            <v xml:space="preserve"> 2015-2016</v>
          </cell>
          <cell r="G243" t="str">
            <v xml:space="preserve"> 11/15/2015</v>
          </cell>
          <cell r="H243">
            <v>5118600</v>
          </cell>
          <cell r="I243">
            <v>88292</v>
          </cell>
          <cell r="J243">
            <v>289369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2263</v>
          </cell>
          <cell r="R243">
            <v>0</v>
          </cell>
          <cell r="S243">
            <v>49105</v>
          </cell>
          <cell r="T243">
            <v>16619</v>
          </cell>
          <cell r="U243">
            <v>0</v>
          </cell>
          <cell r="V243" t="str">
            <v xml:space="preserve"> </v>
          </cell>
          <cell r="W243">
            <v>5564248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5572176</v>
          </cell>
          <cell r="AC243">
            <v>75000</v>
          </cell>
          <cell r="AD243">
            <v>325302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2000</v>
          </cell>
          <cell r="AL243">
            <v>0</v>
          </cell>
          <cell r="AM243">
            <v>48805</v>
          </cell>
          <cell r="AN243">
            <v>16550</v>
          </cell>
          <cell r="AO243">
            <v>0</v>
          </cell>
          <cell r="AP243">
            <v>6039833</v>
          </cell>
        </row>
        <row r="244">
          <cell r="D244" t="str">
            <v xml:space="preserve"> YOLO              </v>
          </cell>
          <cell r="AO244">
            <v>386592</v>
          </cell>
          <cell r="AP244">
            <v>12242473</v>
          </cell>
        </row>
        <row r="246">
          <cell r="E246">
            <v>290</v>
          </cell>
          <cell r="F246" t="str">
            <v xml:space="preserve"> 2015-2016</v>
          </cell>
          <cell r="G246" t="str">
            <v xml:space="preserve"> 11/15/2015</v>
          </cell>
          <cell r="H246">
            <v>3298638</v>
          </cell>
          <cell r="I246">
            <v>61043</v>
          </cell>
          <cell r="J246">
            <v>276512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4801</v>
          </cell>
          <cell r="S246">
            <v>51911</v>
          </cell>
          <cell r="T246">
            <v>0</v>
          </cell>
          <cell r="U246">
            <v>340127</v>
          </cell>
          <cell r="V246" t="str">
            <v xml:space="preserve"> </v>
          </cell>
          <cell r="W246">
            <v>4033032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3252072</v>
          </cell>
          <cell r="AC246">
            <v>0</v>
          </cell>
          <cell r="AD246">
            <v>172400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4802</v>
          </cell>
          <cell r="AM246">
            <v>50700</v>
          </cell>
          <cell r="AN246">
            <v>0</v>
          </cell>
          <cell r="AO246">
            <v>3949641</v>
          </cell>
          <cell r="AP246">
            <v>7429615</v>
          </cell>
        </row>
        <row r="247">
          <cell r="D247" t="str">
            <v xml:space="preserve"> YUBA              </v>
          </cell>
          <cell r="AO247">
            <v>3949641</v>
          </cell>
          <cell r="AP247">
            <v>7429615</v>
          </cell>
        </row>
      </sheetData>
      <sheetData sheetId="5"/>
      <sheetData sheetId="6"/>
      <sheetData sheetId="7">
        <row r="2">
          <cell r="C2" t="str">
            <v xml:space="preserve"> ALLAN HANCOCK     </v>
          </cell>
          <cell r="D2" t="str">
            <v>Allan Hancock</v>
          </cell>
          <cell r="E2">
            <v>15440006</v>
          </cell>
          <cell r="F2">
            <v>9194.77</v>
          </cell>
          <cell r="G2">
            <v>1679.2161000000001</v>
          </cell>
        </row>
        <row r="3">
          <cell r="C3" t="str">
            <v xml:space="preserve"> ANTELOPE VALLEY   </v>
          </cell>
          <cell r="D3" t="str">
            <v>Antelope Valley</v>
          </cell>
          <cell r="E3">
            <v>6251284</v>
          </cell>
          <cell r="F3">
            <v>11656.66</v>
          </cell>
          <cell r="G3">
            <v>536.28430000000003</v>
          </cell>
        </row>
        <row r="4">
          <cell r="C4" t="str">
            <v xml:space="preserve"> BARSTOW           </v>
          </cell>
          <cell r="D4" t="str">
            <v>Barstow</v>
          </cell>
          <cell r="E4">
            <v>3171947</v>
          </cell>
          <cell r="F4">
            <v>2487.4</v>
          </cell>
          <cell r="G4">
            <v>1275.2058</v>
          </cell>
        </row>
        <row r="5">
          <cell r="C5" t="str">
            <v xml:space="preserve"> BUTTE             </v>
          </cell>
          <cell r="D5" t="str">
            <v>Butte-Glenn</v>
          </cell>
          <cell r="E5">
            <v>14657387</v>
          </cell>
          <cell r="F5">
            <v>10927.490000000002</v>
          </cell>
          <cell r="G5">
            <v>1341.3315</v>
          </cell>
        </row>
        <row r="6">
          <cell r="C6" t="str">
            <v xml:space="preserve"> CABRILLO          </v>
          </cell>
          <cell r="D6" t="str">
            <v>Cabrillo</v>
          </cell>
          <cell r="E6">
            <v>23652564</v>
          </cell>
          <cell r="F6">
            <v>10022.5</v>
          </cell>
          <cell r="G6">
            <v>2359.9465</v>
          </cell>
        </row>
        <row r="7">
          <cell r="C7" t="str">
            <v xml:space="preserve"> CERRITOS          </v>
          </cell>
          <cell r="D7" t="str">
            <v>Cerritos</v>
          </cell>
          <cell r="E7">
            <v>8895324</v>
          </cell>
          <cell r="F7">
            <v>18131.350000000002</v>
          </cell>
          <cell r="G7">
            <v>490.6046</v>
          </cell>
        </row>
        <row r="8">
          <cell r="C8" t="str">
            <v xml:space="preserve"> CHABOT-LAS POSITAS</v>
          </cell>
          <cell r="D8" t="str">
            <v>Chabot-Las Positas</v>
          </cell>
          <cell r="E8">
            <v>34753934</v>
          </cell>
          <cell r="F8">
            <v>17190.88</v>
          </cell>
          <cell r="G8">
            <v>2021.6495</v>
          </cell>
        </row>
        <row r="9">
          <cell r="C9" t="str">
            <v xml:space="preserve"> CHAFFEY           </v>
          </cell>
          <cell r="D9" t="str">
            <v>Chaffey</v>
          </cell>
          <cell r="E9">
            <v>20700248</v>
          </cell>
          <cell r="F9">
            <v>15844.25</v>
          </cell>
          <cell r="G9">
            <v>1306.4833000000001</v>
          </cell>
        </row>
        <row r="10">
          <cell r="C10" t="str">
            <v xml:space="preserve"> CITRUS            </v>
          </cell>
          <cell r="D10" t="str">
            <v>Citrus</v>
          </cell>
          <cell r="E10">
            <v>5025614</v>
          </cell>
          <cell r="F10">
            <v>11851.23</v>
          </cell>
          <cell r="G10">
            <v>424.05840000000001</v>
          </cell>
        </row>
        <row r="11">
          <cell r="C11" t="str">
            <v xml:space="preserve"> COAST             </v>
          </cell>
          <cell r="D11" t="str">
            <v>Coast</v>
          </cell>
          <cell r="E11">
            <v>118657075</v>
          </cell>
          <cell r="F11">
            <v>32932.199999999997</v>
          </cell>
          <cell r="G11">
            <v>3603.0716000000002</v>
          </cell>
        </row>
        <row r="12">
          <cell r="C12" t="str">
            <v xml:space="preserve"> COMPTON           </v>
          </cell>
          <cell r="D12" t="str">
            <v>Compton</v>
          </cell>
          <cell r="E12">
            <v>4464491</v>
          </cell>
          <cell r="F12">
            <v>6060</v>
          </cell>
          <cell r="G12">
            <v>736.71469999999999</v>
          </cell>
        </row>
        <row r="13">
          <cell r="C13" t="str">
            <v xml:space="preserve"> CONTRA COSTA      </v>
          </cell>
          <cell r="D13" t="str">
            <v>Contra Costa</v>
          </cell>
          <cell r="E13">
            <v>89818742</v>
          </cell>
          <cell r="F13">
            <v>28367.679999999997</v>
          </cell>
          <cell r="G13">
            <v>3166.2350000000001</v>
          </cell>
        </row>
        <row r="14">
          <cell r="C14" t="str">
            <v xml:space="preserve"> COPPER MOUNTAIN</v>
          </cell>
          <cell r="D14" t="str">
            <v>Copper Mountain</v>
          </cell>
          <cell r="E14">
            <v>1300030</v>
          </cell>
          <cell r="F14">
            <v>1481.5</v>
          </cell>
          <cell r="G14">
            <v>877.50930000000005</v>
          </cell>
        </row>
        <row r="15">
          <cell r="C15" t="str">
            <v xml:space="preserve"> DESERT            </v>
          </cell>
          <cell r="D15" t="str">
            <v>Desert</v>
          </cell>
          <cell r="E15">
            <v>23677064</v>
          </cell>
          <cell r="F15">
            <v>8178.29</v>
          </cell>
          <cell r="G15">
            <v>2895.1118000000001</v>
          </cell>
        </row>
        <row r="16">
          <cell r="C16" t="str">
            <v xml:space="preserve"> EL CAMINO         </v>
          </cell>
          <cell r="D16" t="str">
            <v>El Camino</v>
          </cell>
          <cell r="E16">
            <v>28932982</v>
          </cell>
          <cell r="F16">
            <v>19539</v>
          </cell>
          <cell r="G16">
            <v>1480.7810999999999</v>
          </cell>
        </row>
        <row r="17">
          <cell r="C17" t="str">
            <v xml:space="preserve"> FEATHER RIVER     </v>
          </cell>
          <cell r="D17" t="str">
            <v>Feather River</v>
          </cell>
          <cell r="E17">
            <v>5496277</v>
          </cell>
          <cell r="F17">
            <v>1618.57</v>
          </cell>
          <cell r="G17">
            <v>3395.7611000000002</v>
          </cell>
        </row>
        <row r="18">
          <cell r="C18" t="str">
            <v xml:space="preserve"> FOOTHILL-DEANZA   </v>
          </cell>
          <cell r="D18" t="str">
            <v>Foothill-DeAnza</v>
          </cell>
          <cell r="E18">
            <v>93120856</v>
          </cell>
          <cell r="F18">
            <v>27106.45</v>
          </cell>
          <cell r="G18">
            <v>3435.3762999999999</v>
          </cell>
        </row>
        <row r="19">
          <cell r="C19" t="str">
            <v xml:space="preserve"> GAVILAN           </v>
          </cell>
          <cell r="D19" t="str">
            <v>Gavilan</v>
          </cell>
          <cell r="E19">
            <v>17031472</v>
          </cell>
          <cell r="F19">
            <v>5440.09</v>
          </cell>
          <cell r="G19">
            <v>3130.7334999999998</v>
          </cell>
        </row>
        <row r="20">
          <cell r="C20" t="str">
            <v xml:space="preserve"> GLENDALE          </v>
          </cell>
          <cell r="D20" t="str">
            <v>Glendale</v>
          </cell>
          <cell r="E20">
            <v>10412804</v>
          </cell>
          <cell r="F20">
            <v>14397.69</v>
          </cell>
          <cell r="G20">
            <v>723.22739999999999</v>
          </cell>
        </row>
        <row r="21">
          <cell r="C21" t="str">
            <v xml:space="preserve"> GROSSMONT-CUYAMACA</v>
          </cell>
          <cell r="D21" t="str">
            <v>Grossmont-Cuyamaca</v>
          </cell>
          <cell r="E21">
            <v>34545815</v>
          </cell>
          <cell r="F21">
            <v>18743</v>
          </cell>
          <cell r="G21">
            <v>1843.1315999999999</v>
          </cell>
        </row>
        <row r="22">
          <cell r="C22" t="str">
            <v xml:space="preserve"> HARTNELL          </v>
          </cell>
          <cell r="D22" t="str">
            <v>Hartnell</v>
          </cell>
          <cell r="E22">
            <v>20830867</v>
          </cell>
          <cell r="F22">
            <v>7450.8200000000006</v>
          </cell>
          <cell r="G22">
            <v>2795.7818000000002</v>
          </cell>
        </row>
        <row r="23">
          <cell r="C23" t="str">
            <v xml:space="preserve"> IMPERIAL          </v>
          </cell>
          <cell r="D23" t="str">
            <v>Imperial</v>
          </cell>
          <cell r="E23">
            <v>6309667</v>
          </cell>
          <cell r="F23">
            <v>6942</v>
          </cell>
          <cell r="G23">
            <v>908.91200000000003</v>
          </cell>
        </row>
        <row r="24">
          <cell r="C24" t="str">
            <v xml:space="preserve"> KERN              </v>
          </cell>
          <cell r="D24" t="str">
            <v>Kern</v>
          </cell>
          <cell r="E24">
            <v>51051636</v>
          </cell>
          <cell r="F24">
            <v>20467.329999999998</v>
          </cell>
          <cell r="G24">
            <v>2494.2988</v>
          </cell>
        </row>
        <row r="25">
          <cell r="C25" t="str">
            <v xml:space="preserve"> LAKE TAHOE        </v>
          </cell>
          <cell r="D25" t="str">
            <v>Lake Tahoe</v>
          </cell>
          <cell r="E25">
            <v>3905097</v>
          </cell>
          <cell r="F25">
            <v>1861.5000000000002</v>
          </cell>
          <cell r="G25">
            <v>2097.8227000000002</v>
          </cell>
        </row>
        <row r="26">
          <cell r="C26" t="str">
            <v xml:space="preserve"> LASSEN            </v>
          </cell>
          <cell r="D26" t="str">
            <v>Lassen</v>
          </cell>
          <cell r="E26">
            <v>1694647</v>
          </cell>
          <cell r="F26">
            <v>1550.41</v>
          </cell>
          <cell r="G26">
            <v>1093.0315000000001</v>
          </cell>
        </row>
        <row r="27">
          <cell r="C27" t="str">
            <v xml:space="preserve"> LONG BEACH        </v>
          </cell>
          <cell r="D27" t="str">
            <v>Long Beach</v>
          </cell>
          <cell r="E27">
            <v>12450085</v>
          </cell>
          <cell r="F27">
            <v>20775.579999999998</v>
          </cell>
          <cell r="G27">
            <v>599.26530000000002</v>
          </cell>
        </row>
        <row r="28">
          <cell r="C28" t="str">
            <v xml:space="preserve"> LOS ANGELES       </v>
          </cell>
          <cell r="D28" t="str">
            <v>Los Angeles</v>
          </cell>
          <cell r="E28">
            <v>185437640</v>
          </cell>
          <cell r="F28">
            <v>109180.49</v>
          </cell>
          <cell r="G28">
            <v>1698.4503</v>
          </cell>
        </row>
        <row r="29">
          <cell r="C29" t="str">
            <v xml:space="preserve"> LOS RIOS          </v>
          </cell>
          <cell r="D29" t="str">
            <v>Los Rios</v>
          </cell>
          <cell r="E29">
            <v>64553559</v>
          </cell>
          <cell r="F29">
            <v>52199.23</v>
          </cell>
          <cell r="G29">
            <v>1236.6765</v>
          </cell>
        </row>
        <row r="30">
          <cell r="C30" t="str">
            <v xml:space="preserve"> MARIN             </v>
          </cell>
          <cell r="D30" t="str">
            <v>Marin</v>
          </cell>
          <cell r="E30">
            <v>48239824</v>
          </cell>
          <cell r="F30">
            <v>3653.38</v>
          </cell>
          <cell r="G30">
            <v>13204.162700000001</v>
          </cell>
        </row>
        <row r="31">
          <cell r="C31" t="str">
            <v xml:space="preserve"> MENDOCINO-LAKE    </v>
          </cell>
          <cell r="D31" t="str">
            <v>Mendocino-Lake</v>
          </cell>
          <cell r="E31">
            <v>6428714</v>
          </cell>
          <cell r="F31">
            <v>2646.5299999999997</v>
          </cell>
          <cell r="G31">
            <v>2429.1106</v>
          </cell>
        </row>
        <row r="32">
          <cell r="C32" t="str">
            <v xml:space="preserve"> MERCED            </v>
          </cell>
          <cell r="D32" t="str">
            <v>Merced</v>
          </cell>
          <cell r="E32">
            <v>9932742</v>
          </cell>
          <cell r="F32">
            <v>9754.3700000000008</v>
          </cell>
          <cell r="G32">
            <v>1018.2864</v>
          </cell>
        </row>
        <row r="33">
          <cell r="C33" t="str">
            <v xml:space="preserve"> MIRA COSTA        </v>
          </cell>
          <cell r="D33" t="str">
            <v>Mira Costa</v>
          </cell>
          <cell r="E33">
            <v>86959185</v>
          </cell>
          <cell r="F33">
            <v>10983.83</v>
          </cell>
          <cell r="G33">
            <v>7917.0185000000001</v>
          </cell>
        </row>
        <row r="34">
          <cell r="C34" t="str">
            <v xml:space="preserve"> MONTEREY PENINSULA</v>
          </cell>
          <cell r="D34" t="str">
            <v>Monterey Peninsula</v>
          </cell>
          <cell r="E34">
            <v>17388066</v>
          </cell>
          <cell r="F34">
            <v>6478.78</v>
          </cell>
          <cell r="G34">
            <v>2683.8488000000002</v>
          </cell>
        </row>
        <row r="35">
          <cell r="C35" t="str">
            <v xml:space="preserve"> MT SAN ANTONIO    </v>
          </cell>
          <cell r="D35" t="str">
            <v>Mt. San Antonio</v>
          </cell>
          <cell r="E35">
            <v>20815864</v>
          </cell>
          <cell r="F35">
            <v>30992.84</v>
          </cell>
          <cell r="G35">
            <v>671.63459999999998</v>
          </cell>
        </row>
        <row r="36">
          <cell r="C36" t="str">
            <v xml:space="preserve"> MT SAN JACINTO    </v>
          </cell>
          <cell r="D36" t="str">
            <v>Mt. San Jacinto</v>
          </cell>
          <cell r="E36">
            <v>23045512</v>
          </cell>
          <cell r="F36">
            <v>11848.1</v>
          </cell>
          <cell r="G36">
            <v>1945.0808</v>
          </cell>
        </row>
        <row r="37">
          <cell r="C37" t="str">
            <v xml:space="preserve"> NAPA VALLEY       </v>
          </cell>
          <cell r="D37" t="str">
            <v>Napa Valley</v>
          </cell>
          <cell r="E37">
            <v>23729103</v>
          </cell>
          <cell r="F37">
            <v>5651.96</v>
          </cell>
          <cell r="G37">
            <v>4198.3847999999998</v>
          </cell>
        </row>
        <row r="38">
          <cell r="C38" t="str">
            <v xml:space="preserve"> NORTH ORANGE      </v>
          </cell>
          <cell r="D38" t="str">
            <v>North Orange County</v>
          </cell>
          <cell r="E38">
            <v>75294106</v>
          </cell>
          <cell r="F38">
            <v>36398.769999999997</v>
          </cell>
          <cell r="G38">
            <v>2068.5893000000001</v>
          </cell>
        </row>
        <row r="39">
          <cell r="C39" t="str">
            <v xml:space="preserve"> OHLONE</v>
          </cell>
          <cell r="D39" t="str">
            <v>Ohlone</v>
          </cell>
          <cell r="E39">
            <v>20225643</v>
          </cell>
          <cell r="F39">
            <v>8105.56</v>
          </cell>
          <cell r="G39">
            <v>2495.2802000000001</v>
          </cell>
        </row>
        <row r="40">
          <cell r="C40" t="str">
            <v xml:space="preserve"> PALO VERDE        </v>
          </cell>
          <cell r="D40" t="str">
            <v>Palo Verde</v>
          </cell>
          <cell r="E40">
            <v>1293547</v>
          </cell>
          <cell r="F40">
            <v>1900.4099999999999</v>
          </cell>
          <cell r="G40">
            <v>680.66729999999995</v>
          </cell>
        </row>
        <row r="41">
          <cell r="C41" t="str">
            <v xml:space="preserve"> PALOMAR           </v>
          </cell>
          <cell r="D41" t="str">
            <v>Palomar</v>
          </cell>
          <cell r="E41">
            <v>61760174</v>
          </cell>
          <cell r="F41">
            <v>16622.32</v>
          </cell>
          <cell r="G41">
            <v>3715.4965999999999</v>
          </cell>
        </row>
        <row r="42">
          <cell r="C42" t="str">
            <v xml:space="preserve"> PASADENA          </v>
          </cell>
          <cell r="D42" t="str">
            <v>Pasadena Area</v>
          </cell>
          <cell r="E42">
            <v>24624337</v>
          </cell>
          <cell r="F42">
            <v>23362.17</v>
          </cell>
          <cell r="G42">
            <v>1054.0261</v>
          </cell>
        </row>
        <row r="43">
          <cell r="C43" t="str">
            <v xml:space="preserve"> PERALTA</v>
          </cell>
          <cell r="D43" t="str">
            <v>Peralta</v>
          </cell>
          <cell r="E43">
            <v>44363935</v>
          </cell>
          <cell r="F43">
            <v>20609.060000000001</v>
          </cell>
          <cell r="G43">
            <v>2152.6423</v>
          </cell>
        </row>
        <row r="44">
          <cell r="C44" t="str">
            <v xml:space="preserve"> RANCHO SANTIAGO   </v>
          </cell>
          <cell r="D44" t="str">
            <v>Rancho Santiago</v>
          </cell>
          <cell r="E44">
            <v>56137562</v>
          </cell>
          <cell r="F44">
            <v>29290.93</v>
          </cell>
          <cell r="G44">
            <v>1916.5509999999999</v>
          </cell>
        </row>
        <row r="45">
          <cell r="C45" t="str">
            <v xml:space="preserve"> REDWOODS          </v>
          </cell>
          <cell r="D45" t="str">
            <v>Redwoods</v>
          </cell>
          <cell r="E45">
            <v>10066953</v>
          </cell>
          <cell r="F45">
            <v>3420.92</v>
          </cell>
          <cell r="G45">
            <v>2942.7619</v>
          </cell>
        </row>
        <row r="46">
          <cell r="C46" t="str">
            <v xml:space="preserve"> RIO HONDO         </v>
          </cell>
          <cell r="D46" t="str">
            <v>Rio Hondo</v>
          </cell>
          <cell r="E46">
            <v>5977118</v>
          </cell>
          <cell r="F46">
            <v>12744.15</v>
          </cell>
          <cell r="G46">
            <v>469.00880000000001</v>
          </cell>
        </row>
        <row r="47">
          <cell r="C47" t="str">
            <v xml:space="preserve"> RIVERSIDE         </v>
          </cell>
          <cell r="D47" t="str">
            <v>Riverside</v>
          </cell>
          <cell r="E47">
            <v>32066797</v>
          </cell>
          <cell r="F47">
            <v>28510.850000000002</v>
          </cell>
          <cell r="G47">
            <v>1124.7226000000001</v>
          </cell>
        </row>
        <row r="48">
          <cell r="C48" t="str">
            <v xml:space="preserve"> SAN BERNARDINO    </v>
          </cell>
          <cell r="D48" t="str">
            <v>San Bernardino</v>
          </cell>
          <cell r="E48">
            <v>16546692</v>
          </cell>
          <cell r="F48">
            <v>15457.11</v>
          </cell>
          <cell r="G48">
            <v>1070.4907000000001</v>
          </cell>
        </row>
        <row r="49">
          <cell r="C49" t="str">
            <v xml:space="preserve"> SAN DIEGO         </v>
          </cell>
          <cell r="D49" t="str">
            <v>San Diego</v>
          </cell>
          <cell r="E49">
            <v>87287132</v>
          </cell>
          <cell r="F49">
            <v>43500.56</v>
          </cell>
          <cell r="G49">
            <v>2006.5749000000001</v>
          </cell>
        </row>
        <row r="50">
          <cell r="C50" t="str">
            <v xml:space="preserve"> SAN FRANCISCO     </v>
          </cell>
          <cell r="D50" t="str">
            <v>San Francisco</v>
          </cell>
          <cell r="E50">
            <v>62807187</v>
          </cell>
          <cell r="F50">
            <v>21291.48</v>
          </cell>
          <cell r="G50">
            <v>2949.8742000000002</v>
          </cell>
        </row>
        <row r="51">
          <cell r="C51" t="str">
            <v xml:space="preserve"> SAN JOAQUIN DELTA </v>
          </cell>
          <cell r="D51" t="str">
            <v>San Joaquin Delta</v>
          </cell>
          <cell r="E51">
            <v>29435717</v>
          </cell>
          <cell r="F51">
            <v>16336.12</v>
          </cell>
          <cell r="G51">
            <v>1801.8793000000001</v>
          </cell>
        </row>
        <row r="52">
          <cell r="C52" t="str">
            <v xml:space="preserve"> SAN JOSE          </v>
          </cell>
          <cell r="D52" t="str">
            <v>San Jose-Evergreen</v>
          </cell>
          <cell r="E52">
            <v>82034102</v>
          </cell>
          <cell r="F52">
            <v>12031.57</v>
          </cell>
          <cell r="G52">
            <v>6818.2375000000002</v>
          </cell>
        </row>
        <row r="53">
          <cell r="C53" t="str">
            <v xml:space="preserve"> SAN LUIS OBISPO   </v>
          </cell>
          <cell r="D53" t="str">
            <v>San Luis Obispo County</v>
          </cell>
          <cell r="E53">
            <v>36432318</v>
          </cell>
          <cell r="F53">
            <v>8270</v>
          </cell>
          <cell r="G53">
            <v>4405.3589000000002</v>
          </cell>
        </row>
        <row r="54">
          <cell r="C54" t="str">
            <v xml:space="preserve"> SAN MATEO         </v>
          </cell>
          <cell r="D54" t="str">
            <v>San Mateo County</v>
          </cell>
          <cell r="E54">
            <v>122456535</v>
          </cell>
          <cell r="F54">
            <v>17019.509999999998</v>
          </cell>
          <cell r="G54">
            <v>7195.0681999999997</v>
          </cell>
        </row>
        <row r="55">
          <cell r="C55" t="str">
            <v xml:space="preserve"> SANTA BARBARA     </v>
          </cell>
          <cell r="D55" t="str">
            <v>Santa Barbara</v>
          </cell>
          <cell r="E55">
            <v>26909323</v>
          </cell>
          <cell r="F55">
            <v>13294.9</v>
          </cell>
          <cell r="G55">
            <v>2024.0335</v>
          </cell>
        </row>
        <row r="56">
          <cell r="C56" t="str">
            <v xml:space="preserve"> SANTA CLARITA     </v>
          </cell>
          <cell r="D56" t="str">
            <v>Santa Clarita</v>
          </cell>
          <cell r="E56">
            <v>15177958</v>
          </cell>
          <cell r="F56">
            <v>15771.34</v>
          </cell>
          <cell r="G56">
            <v>962.3759</v>
          </cell>
        </row>
        <row r="57">
          <cell r="C57" t="str">
            <v xml:space="preserve"> SANTA MONICA      </v>
          </cell>
          <cell r="D57" t="str">
            <v>Santa Monica</v>
          </cell>
          <cell r="E57">
            <v>15587376</v>
          </cell>
          <cell r="F57">
            <v>21772.160000000003</v>
          </cell>
          <cell r="G57">
            <v>715.93150000000003</v>
          </cell>
        </row>
        <row r="58">
          <cell r="C58" t="str">
            <v xml:space="preserve"> SEQUOIAS          </v>
          </cell>
          <cell r="D58" t="str">
            <v>Sequoias</v>
          </cell>
          <cell r="E58">
            <v>11416116</v>
          </cell>
          <cell r="F58">
            <v>9247.4399999999987</v>
          </cell>
          <cell r="G58">
            <v>1234.5164</v>
          </cell>
        </row>
        <row r="59">
          <cell r="C59" t="str">
            <v xml:space="preserve"> SHASTA            </v>
          </cell>
          <cell r="D59" t="str">
            <v>Shasta-Tehama-Trinity</v>
          </cell>
          <cell r="E59">
            <v>13721465</v>
          </cell>
          <cell r="F59">
            <v>6774.8</v>
          </cell>
          <cell r="G59">
            <v>2025.3683000000001</v>
          </cell>
        </row>
        <row r="60">
          <cell r="C60" t="str">
            <v xml:space="preserve"> SIERRA            </v>
          </cell>
          <cell r="D60" t="str">
            <v>Sierra</v>
          </cell>
          <cell r="E60">
            <v>69943052</v>
          </cell>
          <cell r="F60">
            <v>14711.81</v>
          </cell>
          <cell r="G60">
            <v>4754.2111999999997</v>
          </cell>
        </row>
        <row r="61">
          <cell r="C61" t="str">
            <v xml:space="preserve"> SISKIYOU          </v>
          </cell>
          <cell r="D61" t="str">
            <v>Siskiyou</v>
          </cell>
          <cell r="E61">
            <v>3627618</v>
          </cell>
          <cell r="F61">
            <v>2591.7000000000003</v>
          </cell>
          <cell r="G61">
            <v>1399.7059999999999</v>
          </cell>
        </row>
        <row r="62">
          <cell r="C62" t="str">
            <v xml:space="preserve"> SOLANO            </v>
          </cell>
          <cell r="D62" t="str">
            <v>Solano County</v>
          </cell>
          <cell r="E62">
            <v>14812914</v>
          </cell>
          <cell r="F62">
            <v>8576.3499999999985</v>
          </cell>
          <cell r="G62">
            <v>1727.1815999999999</v>
          </cell>
        </row>
        <row r="63">
          <cell r="C63" t="str">
            <v xml:space="preserve"> SONOMA</v>
          </cell>
          <cell r="D63" t="str">
            <v>Sonoma County</v>
          </cell>
          <cell r="E63">
            <v>49802693</v>
          </cell>
          <cell r="F63">
            <v>18679.68</v>
          </cell>
          <cell r="G63">
            <v>2666.1426999999999</v>
          </cell>
        </row>
        <row r="64">
          <cell r="C64" t="str">
            <v xml:space="preserve"> SOUTH ORANGE CO.</v>
          </cell>
          <cell r="D64" t="str">
            <v>South Orange County</v>
          </cell>
          <cell r="E64">
            <v>201300566</v>
          </cell>
          <cell r="F64">
            <v>24415.95</v>
          </cell>
          <cell r="G64">
            <v>8244.6337999999996</v>
          </cell>
        </row>
        <row r="65">
          <cell r="C65" t="str">
            <v xml:space="preserve"> SOUTHWESTERN      </v>
          </cell>
          <cell r="D65" t="str">
            <v>Southwestern</v>
          </cell>
          <cell r="E65">
            <v>22346723</v>
          </cell>
          <cell r="F65">
            <v>15427.999999999998</v>
          </cell>
          <cell r="G65">
            <v>1448.4523999999999</v>
          </cell>
        </row>
        <row r="66">
          <cell r="C66" t="str">
            <v xml:space="preserve"> STATE CENTER      </v>
          </cell>
          <cell r="D66" t="str">
            <v>State Center</v>
          </cell>
          <cell r="E66">
            <v>39221055</v>
          </cell>
          <cell r="F66">
            <v>29225.13</v>
          </cell>
          <cell r="G66">
            <v>1342.0318</v>
          </cell>
        </row>
        <row r="67">
          <cell r="C67" t="str">
            <v xml:space="preserve"> VENTURA           </v>
          </cell>
          <cell r="D67" t="str">
            <v>Ventura County</v>
          </cell>
          <cell r="E67">
            <v>49815726</v>
          </cell>
          <cell r="F67">
            <v>26466.639999999999</v>
          </cell>
          <cell r="G67">
            <v>1882.2082</v>
          </cell>
        </row>
        <row r="68">
          <cell r="C68" t="str">
            <v xml:space="preserve"> VICTOR VALLEY     </v>
          </cell>
          <cell r="D68" t="str">
            <v>Victor Valley</v>
          </cell>
          <cell r="E68">
            <v>9129268</v>
          </cell>
          <cell r="F68">
            <v>9245.64</v>
          </cell>
          <cell r="G68">
            <v>987.41330000000005</v>
          </cell>
        </row>
        <row r="69">
          <cell r="C69" t="str">
            <v xml:space="preserve"> WEST HILLS        </v>
          </cell>
          <cell r="D69" t="str">
            <v>West Hills</v>
          </cell>
          <cell r="E69">
            <v>5696306</v>
          </cell>
          <cell r="F69">
            <v>5281.0599999999995</v>
          </cell>
          <cell r="G69">
            <v>1078.6293000000001</v>
          </cell>
        </row>
        <row r="70">
          <cell r="C70" t="str">
            <v xml:space="preserve"> WEST KERN         </v>
          </cell>
          <cell r="D70" t="str">
            <v>West Kern</v>
          </cell>
          <cell r="E70">
            <v>8402514</v>
          </cell>
          <cell r="F70">
            <v>2557.2999999999997</v>
          </cell>
          <cell r="G70">
            <v>3285.6974</v>
          </cell>
        </row>
        <row r="71">
          <cell r="C71" t="str">
            <v xml:space="preserve"> WEST VALLEY       </v>
          </cell>
          <cell r="D71" t="str">
            <v>West Valley-Mission</v>
          </cell>
          <cell r="E71">
            <v>92176480</v>
          </cell>
          <cell r="F71">
            <v>14897.029999999999</v>
          </cell>
          <cell r="G71">
            <v>6187.5743000000002</v>
          </cell>
        </row>
        <row r="72">
          <cell r="C72" t="str">
            <v xml:space="preserve"> YOSEMITE          </v>
          </cell>
          <cell r="D72" t="str">
            <v>Yosemite</v>
          </cell>
          <cell r="E72">
            <v>36665857</v>
          </cell>
          <cell r="F72">
            <v>16987.920000000002</v>
          </cell>
          <cell r="G72">
            <v>2158.3488000000002</v>
          </cell>
        </row>
        <row r="73">
          <cell r="C73" t="str">
            <v xml:space="preserve"> YUBA              </v>
          </cell>
          <cell r="D73" t="str">
            <v>Yuba</v>
          </cell>
          <cell r="E73">
            <v>26560972</v>
          </cell>
          <cell r="F73">
            <v>7626</v>
          </cell>
          <cell r="G73">
            <v>3482.9494</v>
          </cell>
        </row>
      </sheetData>
      <sheetData sheetId="8">
        <row r="8">
          <cell r="A8" t="str">
            <v>Allan Hancock</v>
          </cell>
          <cell r="B8">
            <v>8263</v>
          </cell>
          <cell r="C8">
            <v>585.9</v>
          </cell>
          <cell r="D8">
            <v>345.87</v>
          </cell>
          <cell r="E8">
            <v>9194.77</v>
          </cell>
        </row>
        <row r="9">
          <cell r="A9" t="str">
            <v>Antelope Valley</v>
          </cell>
          <cell r="B9">
            <v>11632.97</v>
          </cell>
          <cell r="C9">
            <v>23.69</v>
          </cell>
          <cell r="D9">
            <v>0</v>
          </cell>
          <cell r="E9">
            <v>11656.66</v>
          </cell>
        </row>
        <row r="10">
          <cell r="A10" t="str">
            <v>Barstow</v>
          </cell>
          <cell r="B10">
            <v>2462.83</v>
          </cell>
          <cell r="C10">
            <v>24.57</v>
          </cell>
          <cell r="D10">
            <v>0</v>
          </cell>
          <cell r="E10">
            <v>2487.4</v>
          </cell>
        </row>
        <row r="11">
          <cell r="A11" t="str">
            <v>Butte-Glenn</v>
          </cell>
          <cell r="B11">
            <v>9741.5400000000009</v>
          </cell>
          <cell r="C11">
            <v>1154.28</v>
          </cell>
          <cell r="D11">
            <v>31.67</v>
          </cell>
          <cell r="E11">
            <v>10927.490000000002</v>
          </cell>
        </row>
        <row r="12">
          <cell r="A12" t="str">
            <v>Cabrillo</v>
          </cell>
          <cell r="B12">
            <v>9836.5400000000009</v>
          </cell>
          <cell r="C12">
            <v>185.96</v>
          </cell>
          <cell r="D12">
            <v>0</v>
          </cell>
          <cell r="E12">
            <v>10022.5</v>
          </cell>
        </row>
        <row r="13">
          <cell r="A13" t="str">
            <v>Cerritos</v>
          </cell>
          <cell r="B13">
            <v>17704.490000000002</v>
          </cell>
          <cell r="C13">
            <v>254.41000000000003</v>
          </cell>
          <cell r="D13">
            <v>172.45</v>
          </cell>
          <cell r="E13">
            <v>18131.350000000002</v>
          </cell>
        </row>
        <row r="14">
          <cell r="A14" t="str">
            <v>Chabot-Las Positas</v>
          </cell>
          <cell r="B14">
            <v>17071.39</v>
          </cell>
          <cell r="C14">
            <v>119.49</v>
          </cell>
          <cell r="D14">
            <v>0</v>
          </cell>
          <cell r="E14">
            <v>17190.88</v>
          </cell>
        </row>
        <row r="15">
          <cell r="A15" t="str">
            <v>Chaffey</v>
          </cell>
          <cell r="B15">
            <v>15487.19</v>
          </cell>
          <cell r="C15">
            <v>357.06</v>
          </cell>
          <cell r="D15">
            <v>0</v>
          </cell>
          <cell r="E15">
            <v>15844.25</v>
          </cell>
        </row>
        <row r="16">
          <cell r="A16" t="str">
            <v>Citrus</v>
          </cell>
          <cell r="B16">
            <v>11423.87</v>
          </cell>
          <cell r="C16">
            <v>354.13</v>
          </cell>
          <cell r="D16">
            <v>73.23</v>
          </cell>
          <cell r="E16">
            <v>11851.23</v>
          </cell>
        </row>
        <row r="17">
          <cell r="A17" t="str">
            <v>Coast</v>
          </cell>
          <cell r="B17">
            <v>32668.34</v>
          </cell>
          <cell r="C17">
            <v>263.86</v>
          </cell>
          <cell r="D17">
            <v>0</v>
          </cell>
          <cell r="E17">
            <v>32932.199999999997</v>
          </cell>
        </row>
        <row r="18">
          <cell r="A18" t="str">
            <v>Compton</v>
          </cell>
          <cell r="B18">
            <v>5990.1</v>
          </cell>
          <cell r="C18">
            <v>69.900000000000006</v>
          </cell>
          <cell r="D18">
            <v>0</v>
          </cell>
          <cell r="E18">
            <v>6060</v>
          </cell>
        </row>
        <row r="19">
          <cell r="A19" t="str">
            <v>Contra Costa</v>
          </cell>
          <cell r="B19">
            <v>28247.919999999998</v>
          </cell>
          <cell r="C19">
            <v>119.76</v>
          </cell>
          <cell r="D19">
            <v>0</v>
          </cell>
          <cell r="E19">
            <v>28367.679999999997</v>
          </cell>
        </row>
        <row r="20">
          <cell r="A20" t="str">
            <v>Copper Mountain</v>
          </cell>
          <cell r="B20">
            <v>1404.29</v>
          </cell>
          <cell r="C20">
            <v>74.919999999999987</v>
          </cell>
          <cell r="D20">
            <v>2.29</v>
          </cell>
          <cell r="E20">
            <v>1481.5</v>
          </cell>
        </row>
        <row r="21">
          <cell r="A21" t="str">
            <v>Desert</v>
          </cell>
          <cell r="B21">
            <v>7545.45</v>
          </cell>
          <cell r="C21">
            <v>328.04</v>
          </cell>
          <cell r="D21">
            <v>304.8</v>
          </cell>
          <cell r="E21">
            <v>8178.29</v>
          </cell>
        </row>
        <row r="22">
          <cell r="A22" t="str">
            <v>El Camino</v>
          </cell>
          <cell r="B22">
            <v>19519.05</v>
          </cell>
          <cell r="C22">
            <v>19.95</v>
          </cell>
          <cell r="D22">
            <v>0</v>
          </cell>
          <cell r="E22">
            <v>19539</v>
          </cell>
        </row>
        <row r="23">
          <cell r="A23" t="str">
            <v>Feather River</v>
          </cell>
          <cell r="B23">
            <v>1572.57</v>
          </cell>
          <cell r="C23">
            <v>46</v>
          </cell>
          <cell r="D23">
            <v>0</v>
          </cell>
          <cell r="E23">
            <v>1618.57</v>
          </cell>
        </row>
        <row r="24">
          <cell r="A24" t="str">
            <v>Foothill-DeAnza</v>
          </cell>
          <cell r="B24">
            <v>26757.52</v>
          </cell>
          <cell r="C24">
            <v>177.89000000000001</v>
          </cell>
          <cell r="D24">
            <v>171.04</v>
          </cell>
          <cell r="E24">
            <v>27106.45</v>
          </cell>
        </row>
        <row r="25">
          <cell r="A25" t="str">
            <v>Gavilan</v>
          </cell>
          <cell r="B25">
            <v>4936.97</v>
          </cell>
          <cell r="C25">
            <v>414.2</v>
          </cell>
          <cell r="D25">
            <v>88.92</v>
          </cell>
          <cell r="E25">
            <v>5440.09</v>
          </cell>
        </row>
        <row r="26">
          <cell r="A26" t="str">
            <v>Glendale</v>
          </cell>
          <cell r="B26">
            <v>11633.91</v>
          </cell>
          <cell r="C26">
            <v>321.47000000000025</v>
          </cell>
          <cell r="D26">
            <v>2442.31</v>
          </cell>
          <cell r="E26">
            <v>14397.69</v>
          </cell>
        </row>
        <row r="27">
          <cell r="A27" t="str">
            <v>Grossmont-Cuyamaca</v>
          </cell>
          <cell r="B27">
            <v>18720.61</v>
          </cell>
          <cell r="C27">
            <v>22.39</v>
          </cell>
          <cell r="D27">
            <v>0</v>
          </cell>
          <cell r="E27">
            <v>18743</v>
          </cell>
        </row>
        <row r="28">
          <cell r="A28" t="str">
            <v>Hartnell</v>
          </cell>
          <cell r="B28">
            <v>7433.93</v>
          </cell>
          <cell r="C28">
            <v>16.89</v>
          </cell>
          <cell r="D28">
            <v>0</v>
          </cell>
          <cell r="E28">
            <v>7450.8200000000006</v>
          </cell>
        </row>
        <row r="29">
          <cell r="A29" t="str">
            <v>Imperial</v>
          </cell>
          <cell r="B29">
            <v>6898.75</v>
          </cell>
          <cell r="C29">
            <v>35.06</v>
          </cell>
          <cell r="D29">
            <v>8.19</v>
          </cell>
          <cell r="E29">
            <v>6942</v>
          </cell>
        </row>
        <row r="30">
          <cell r="A30" t="str">
            <v>Kern</v>
          </cell>
          <cell r="B30">
            <v>20405.05</v>
          </cell>
          <cell r="C30">
            <v>62.28</v>
          </cell>
          <cell r="D30">
            <v>0</v>
          </cell>
          <cell r="E30">
            <v>20467.329999999998</v>
          </cell>
        </row>
        <row r="31">
          <cell r="A31" t="str">
            <v>Lake Tahoe</v>
          </cell>
          <cell r="B31">
            <v>1785.14</v>
          </cell>
          <cell r="C31">
            <v>47.980000000000004</v>
          </cell>
          <cell r="D31">
            <v>28.38</v>
          </cell>
          <cell r="E31">
            <v>1861.5000000000002</v>
          </cell>
        </row>
        <row r="32">
          <cell r="A32" t="str">
            <v>Lassen</v>
          </cell>
          <cell r="B32">
            <v>1527.95</v>
          </cell>
          <cell r="C32">
            <v>22.46</v>
          </cell>
          <cell r="D32">
            <v>0</v>
          </cell>
          <cell r="E32">
            <v>1550.41</v>
          </cell>
        </row>
        <row r="33">
          <cell r="A33" t="str">
            <v>Long Beach</v>
          </cell>
          <cell r="B33">
            <v>20349.669999999998</v>
          </cell>
          <cell r="C33">
            <v>14.32000000000005</v>
          </cell>
          <cell r="D33">
            <v>411.59</v>
          </cell>
          <cell r="E33">
            <v>20775.579999999998</v>
          </cell>
        </row>
        <row r="34">
          <cell r="A34" t="str">
            <v>Los Angeles</v>
          </cell>
          <cell r="B34">
            <v>103895.88</v>
          </cell>
          <cell r="C34">
            <v>1948.2399999999998</v>
          </cell>
          <cell r="D34">
            <v>3336.37</v>
          </cell>
          <cell r="E34">
            <v>109180.49</v>
          </cell>
        </row>
        <row r="35">
          <cell r="A35" t="str">
            <v>Los Rios</v>
          </cell>
          <cell r="B35">
            <v>51958.66</v>
          </cell>
          <cell r="C35">
            <v>240.57</v>
          </cell>
          <cell r="D35">
            <v>0</v>
          </cell>
          <cell r="E35">
            <v>52199.23</v>
          </cell>
        </row>
        <row r="36">
          <cell r="A36" t="str">
            <v>Marin</v>
          </cell>
          <cell r="B36">
            <v>3432.51</v>
          </cell>
          <cell r="C36">
            <v>220.87</v>
          </cell>
          <cell r="D36">
            <v>0</v>
          </cell>
          <cell r="E36">
            <v>3653.38</v>
          </cell>
        </row>
        <row r="37">
          <cell r="A37" t="str">
            <v>Mendocino-Lake</v>
          </cell>
          <cell r="B37">
            <v>2565.9299999999998</v>
          </cell>
          <cell r="C37">
            <v>37.239999999999995</v>
          </cell>
          <cell r="D37">
            <v>43.36</v>
          </cell>
          <cell r="E37">
            <v>2646.5299999999997</v>
          </cell>
        </row>
        <row r="38">
          <cell r="A38" t="str">
            <v>Merced</v>
          </cell>
          <cell r="B38">
            <v>8684.17</v>
          </cell>
          <cell r="C38">
            <v>477.94000000000005</v>
          </cell>
          <cell r="D38">
            <v>592.26</v>
          </cell>
          <cell r="E38">
            <v>9754.3700000000008</v>
          </cell>
        </row>
        <row r="39">
          <cell r="A39" t="str">
            <v>Mira Costa</v>
          </cell>
          <cell r="B39">
            <v>10342.5</v>
          </cell>
          <cell r="C39">
            <v>641.33000000000004</v>
          </cell>
          <cell r="D39">
            <v>0</v>
          </cell>
          <cell r="E39">
            <v>10983.83</v>
          </cell>
        </row>
        <row r="40">
          <cell r="A40" t="str">
            <v>Monterey Peninsula</v>
          </cell>
          <cell r="B40">
            <v>5972.98</v>
          </cell>
          <cell r="C40">
            <v>385.56</v>
          </cell>
          <cell r="D40">
            <v>120.24</v>
          </cell>
          <cell r="E40">
            <v>6478.78</v>
          </cell>
        </row>
        <row r="41">
          <cell r="A41" t="str">
            <v>Mt. San Antonio</v>
          </cell>
          <cell r="B41">
            <v>25477.89</v>
          </cell>
          <cell r="C41">
            <v>1323.4099999999999</v>
          </cell>
          <cell r="D41">
            <v>4191.54</v>
          </cell>
          <cell r="E41">
            <v>30992.84</v>
          </cell>
        </row>
        <row r="42">
          <cell r="A42" t="str">
            <v>Mt. San Jacinto</v>
          </cell>
          <cell r="B42">
            <v>11196.28</v>
          </cell>
          <cell r="C42">
            <v>421.06000000000006</v>
          </cell>
          <cell r="D42">
            <v>230.76</v>
          </cell>
          <cell r="E42">
            <v>11848.1</v>
          </cell>
        </row>
        <row r="43">
          <cell r="A43" t="str">
            <v>Napa Valley</v>
          </cell>
          <cell r="B43">
            <v>5142.1000000000004</v>
          </cell>
          <cell r="C43">
            <v>509.86</v>
          </cell>
          <cell r="D43">
            <v>0</v>
          </cell>
          <cell r="E43">
            <v>5651.96</v>
          </cell>
        </row>
        <row r="44">
          <cell r="A44" t="str">
            <v>North Orange County</v>
          </cell>
          <cell r="B44">
            <v>30574.19</v>
          </cell>
          <cell r="C44">
            <v>2845.27</v>
          </cell>
          <cell r="D44">
            <v>2979.31</v>
          </cell>
          <cell r="E44">
            <v>36398.769999999997</v>
          </cell>
        </row>
        <row r="45">
          <cell r="A45" t="str">
            <v>Ohlone</v>
          </cell>
          <cell r="B45">
            <v>8105.56</v>
          </cell>
          <cell r="C45">
            <v>0</v>
          </cell>
          <cell r="D45">
            <v>0</v>
          </cell>
          <cell r="E45">
            <v>8105.56</v>
          </cell>
        </row>
        <row r="46">
          <cell r="A46" t="str">
            <v>Palo Verde</v>
          </cell>
          <cell r="B46">
            <v>1801.06</v>
          </cell>
          <cell r="C46">
            <v>99.35</v>
          </cell>
          <cell r="D46">
            <v>0</v>
          </cell>
          <cell r="E46">
            <v>1900.4099999999999</v>
          </cell>
        </row>
        <row r="47">
          <cell r="A47" t="str">
            <v>Palomar</v>
          </cell>
          <cell r="B47">
            <v>15842.29</v>
          </cell>
          <cell r="C47">
            <v>256.52999999999997</v>
          </cell>
          <cell r="D47">
            <v>523.5</v>
          </cell>
          <cell r="E47">
            <v>16622.32</v>
          </cell>
        </row>
        <row r="48">
          <cell r="A48" t="str">
            <v>Pasadena Area</v>
          </cell>
          <cell r="B48">
            <v>22199.93</v>
          </cell>
          <cell r="C48">
            <v>318.23</v>
          </cell>
          <cell r="D48">
            <v>844.01</v>
          </cell>
          <cell r="E48">
            <v>23362.17</v>
          </cell>
        </row>
        <row r="49">
          <cell r="A49" t="str">
            <v>Peralta</v>
          </cell>
          <cell r="B49">
            <v>20539.900000000001</v>
          </cell>
          <cell r="C49">
            <v>69.16</v>
          </cell>
          <cell r="D49">
            <v>0</v>
          </cell>
          <cell r="E49">
            <v>20609.060000000001</v>
          </cell>
        </row>
        <row r="50">
          <cell r="A50" t="str">
            <v>Rancho Santiago</v>
          </cell>
          <cell r="B50">
            <v>22579.45</v>
          </cell>
          <cell r="C50">
            <v>780.32999999999993</v>
          </cell>
          <cell r="D50">
            <v>5931.15</v>
          </cell>
          <cell r="E50">
            <v>29290.93</v>
          </cell>
        </row>
        <row r="51">
          <cell r="A51" t="str">
            <v>Redwoods</v>
          </cell>
          <cell r="B51">
            <v>3374.13</v>
          </cell>
          <cell r="C51">
            <v>19.82</v>
          </cell>
          <cell r="D51">
            <v>26.97</v>
          </cell>
          <cell r="E51">
            <v>3420.92</v>
          </cell>
        </row>
        <row r="52">
          <cell r="A52" t="str">
            <v>Rio Hondo</v>
          </cell>
          <cell r="B52">
            <v>12488.92</v>
          </cell>
          <cell r="C52">
            <v>210.01999999999998</v>
          </cell>
          <cell r="D52">
            <v>45.21</v>
          </cell>
          <cell r="E52">
            <v>12744.15</v>
          </cell>
        </row>
        <row r="53">
          <cell r="A53" t="str">
            <v>Riverside</v>
          </cell>
          <cell r="B53">
            <v>28419.02</v>
          </cell>
          <cell r="C53">
            <v>91.83</v>
          </cell>
          <cell r="D53">
            <v>0</v>
          </cell>
          <cell r="E53">
            <v>28510.850000000002</v>
          </cell>
        </row>
        <row r="54">
          <cell r="A54" t="str">
            <v>San Bernardino</v>
          </cell>
          <cell r="B54">
            <v>15455.68</v>
          </cell>
          <cell r="C54">
            <v>1.43</v>
          </cell>
          <cell r="D54">
            <v>0</v>
          </cell>
          <cell r="E54">
            <v>15457.11</v>
          </cell>
        </row>
        <row r="55">
          <cell r="A55" t="str">
            <v>San Diego</v>
          </cell>
          <cell r="B55">
            <v>35088.589999999997</v>
          </cell>
          <cell r="C55">
            <v>2198.0499999999993</v>
          </cell>
          <cell r="D55">
            <v>6213.92</v>
          </cell>
          <cell r="E55">
            <v>43500.56</v>
          </cell>
        </row>
        <row r="56">
          <cell r="A56" t="str">
            <v>San Francisco</v>
          </cell>
          <cell r="B56">
            <v>14562.38</v>
          </cell>
          <cell r="C56">
            <v>1707.2800000000007</v>
          </cell>
          <cell r="D56">
            <v>5021.82</v>
          </cell>
          <cell r="E56">
            <v>21291.48</v>
          </cell>
        </row>
        <row r="57">
          <cell r="A57" t="str">
            <v>San Joaquin Delta</v>
          </cell>
          <cell r="B57">
            <v>16156.78</v>
          </cell>
          <cell r="C57">
            <v>179.34</v>
          </cell>
          <cell r="D57">
            <v>0</v>
          </cell>
          <cell r="E57">
            <v>16336.12</v>
          </cell>
        </row>
        <row r="58">
          <cell r="A58" t="str">
            <v>San Jose-Evergreen</v>
          </cell>
          <cell r="B58">
            <v>11935.31</v>
          </cell>
          <cell r="C58">
            <v>96.26</v>
          </cell>
          <cell r="D58">
            <v>0</v>
          </cell>
          <cell r="E58">
            <v>12031.57</v>
          </cell>
        </row>
        <row r="59">
          <cell r="A59" t="str">
            <v>San Luis Obispo County</v>
          </cell>
          <cell r="B59">
            <v>8006.25</v>
          </cell>
          <cell r="C59">
            <v>94.4</v>
          </cell>
          <cell r="D59">
            <v>169.35</v>
          </cell>
          <cell r="E59">
            <v>8270</v>
          </cell>
        </row>
        <row r="60">
          <cell r="A60" t="str">
            <v>San Mateo County</v>
          </cell>
          <cell r="B60">
            <v>16944.03</v>
          </cell>
          <cell r="C60">
            <v>75.48</v>
          </cell>
          <cell r="D60">
            <v>0</v>
          </cell>
          <cell r="E60">
            <v>17019.509999999998</v>
          </cell>
        </row>
        <row r="61">
          <cell r="A61" t="str">
            <v>Santa Barbara</v>
          </cell>
          <cell r="B61">
            <v>12862.81</v>
          </cell>
          <cell r="C61">
            <v>185.23999999999998</v>
          </cell>
          <cell r="D61">
            <v>246.85</v>
          </cell>
          <cell r="E61">
            <v>13294.9</v>
          </cell>
        </row>
        <row r="62">
          <cell r="A62" t="str">
            <v>Santa Clarita</v>
          </cell>
          <cell r="B62">
            <v>15496.99</v>
          </cell>
          <cell r="C62">
            <v>226.91000000000003</v>
          </cell>
          <cell r="D62">
            <v>47.44</v>
          </cell>
          <cell r="E62">
            <v>15771.34</v>
          </cell>
        </row>
        <row r="63">
          <cell r="A63" t="str">
            <v>Santa Monica</v>
          </cell>
          <cell r="B63">
            <v>20975.58</v>
          </cell>
          <cell r="C63">
            <v>717.63</v>
          </cell>
          <cell r="D63">
            <v>78.95</v>
          </cell>
          <cell r="E63">
            <v>21772.160000000003</v>
          </cell>
        </row>
        <row r="64">
          <cell r="A64" t="str">
            <v>Sequoias</v>
          </cell>
          <cell r="B64">
            <v>8734.33</v>
          </cell>
          <cell r="C64">
            <v>341.4</v>
          </cell>
          <cell r="D64">
            <v>171.71</v>
          </cell>
          <cell r="E64">
            <v>9247.4399999999987</v>
          </cell>
        </row>
        <row r="65">
          <cell r="A65" t="str">
            <v>Shasta-Tehama-Trinity</v>
          </cell>
          <cell r="B65">
            <v>6574.56</v>
          </cell>
          <cell r="C65">
            <v>186.76000000000002</v>
          </cell>
          <cell r="D65">
            <v>13.48</v>
          </cell>
          <cell r="E65">
            <v>6774.8</v>
          </cell>
        </row>
        <row r="66">
          <cell r="A66" t="str">
            <v>Sierra</v>
          </cell>
          <cell r="B66">
            <v>14417.47</v>
          </cell>
          <cell r="C66">
            <v>294.33999999999997</v>
          </cell>
          <cell r="D66">
            <v>0</v>
          </cell>
          <cell r="E66">
            <v>14711.81</v>
          </cell>
        </row>
        <row r="67">
          <cell r="A67" t="str">
            <v>Siskiyou</v>
          </cell>
          <cell r="B67">
            <v>2186.21</v>
          </cell>
          <cell r="C67">
            <v>105.50999999999999</v>
          </cell>
          <cell r="D67">
            <v>299.98</v>
          </cell>
          <cell r="E67">
            <v>2591.7000000000003</v>
          </cell>
        </row>
        <row r="68">
          <cell r="A68" t="str">
            <v>Solano County</v>
          </cell>
          <cell r="B68">
            <v>8575.64</v>
          </cell>
          <cell r="C68">
            <v>0.71</v>
          </cell>
          <cell r="D68">
            <v>0</v>
          </cell>
          <cell r="E68">
            <v>8576.3499999999985</v>
          </cell>
        </row>
        <row r="69">
          <cell r="A69" t="str">
            <v>Sonoma County</v>
          </cell>
          <cell r="B69">
            <v>15971.02</v>
          </cell>
          <cell r="C69">
            <v>2028.9199999999998</v>
          </cell>
          <cell r="D69">
            <v>679.74</v>
          </cell>
          <cell r="E69">
            <v>18679.68</v>
          </cell>
        </row>
        <row r="70">
          <cell r="A70" t="str">
            <v>South Orange County</v>
          </cell>
          <cell r="B70">
            <v>22211.67</v>
          </cell>
          <cell r="C70">
            <v>2050.54</v>
          </cell>
          <cell r="D70">
            <v>153.74</v>
          </cell>
          <cell r="E70">
            <v>24415.95</v>
          </cell>
        </row>
        <row r="71">
          <cell r="A71" t="str">
            <v>Southwestern</v>
          </cell>
          <cell r="B71">
            <v>15193.14</v>
          </cell>
          <cell r="C71">
            <v>197.3</v>
          </cell>
          <cell r="D71">
            <v>37.56</v>
          </cell>
          <cell r="E71">
            <v>15427.999999999998</v>
          </cell>
        </row>
        <row r="72">
          <cell r="A72" t="str">
            <v>State Center</v>
          </cell>
          <cell r="B72">
            <v>28815.08</v>
          </cell>
          <cell r="C72">
            <v>205.45000000000002</v>
          </cell>
          <cell r="D72">
            <v>204.6</v>
          </cell>
          <cell r="E72">
            <v>29225.13</v>
          </cell>
        </row>
        <row r="73">
          <cell r="A73" t="str">
            <v>Ventura County</v>
          </cell>
          <cell r="B73">
            <v>26407.3</v>
          </cell>
          <cell r="C73">
            <v>59.34</v>
          </cell>
          <cell r="D73">
            <v>0</v>
          </cell>
          <cell r="E73">
            <v>26466.639999999999</v>
          </cell>
        </row>
        <row r="74">
          <cell r="A74" t="str">
            <v>Victor Valley</v>
          </cell>
          <cell r="B74">
            <v>9193.5</v>
          </cell>
          <cell r="C74">
            <v>52.14</v>
          </cell>
          <cell r="D74">
            <v>0</v>
          </cell>
          <cell r="E74">
            <v>9245.64</v>
          </cell>
        </row>
        <row r="75">
          <cell r="A75" t="str">
            <v>West Hills</v>
          </cell>
          <cell r="B75">
            <v>4948.79</v>
          </cell>
          <cell r="C75">
            <v>332.27</v>
          </cell>
          <cell r="D75">
            <v>0</v>
          </cell>
          <cell r="E75">
            <v>5281.0599999999995</v>
          </cell>
        </row>
        <row r="76">
          <cell r="A76" t="str">
            <v>West Kern</v>
          </cell>
          <cell r="B76">
            <v>2513.64</v>
          </cell>
          <cell r="C76">
            <v>43.66</v>
          </cell>
          <cell r="D76">
            <v>0</v>
          </cell>
          <cell r="E76">
            <v>2557.2999999999997</v>
          </cell>
        </row>
        <row r="77">
          <cell r="A77" t="str">
            <v>West Valley-Mission</v>
          </cell>
          <cell r="B77">
            <v>13861.56</v>
          </cell>
          <cell r="C77">
            <v>1035.47</v>
          </cell>
          <cell r="D77">
            <v>0</v>
          </cell>
          <cell r="E77">
            <v>14897.029999999999</v>
          </cell>
        </row>
        <row r="78">
          <cell r="A78" t="str">
            <v>Yosemite</v>
          </cell>
          <cell r="B78">
            <v>16827.04</v>
          </cell>
          <cell r="C78">
            <v>42.929999999999993</v>
          </cell>
          <cell r="D78">
            <v>117.95</v>
          </cell>
          <cell r="E78">
            <v>16987.920000000002</v>
          </cell>
        </row>
        <row r="79">
          <cell r="A79" t="str">
            <v>Yuba</v>
          </cell>
          <cell r="B79">
            <v>7514.24</v>
          </cell>
          <cell r="C79">
            <v>111.76</v>
          </cell>
          <cell r="D79">
            <v>0</v>
          </cell>
          <cell r="E79">
            <v>7626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s"/>
      <sheetName val="ptax11-15-2017"/>
      <sheetName val="DistrictERAF"/>
      <sheetName val="DOFrpt"/>
      <sheetName val="PivotDOF"/>
      <sheetName val="AlphaByDistrict"/>
      <sheetName val="2a.DistrictAlpha ptax11-15-2017"/>
      <sheetName val="AlphaByCounty"/>
      <sheetName val="2b.County ptax11-15-2017"/>
      <sheetName val="1e.PtaxvsERAF Analysis"/>
      <sheetName val="APPORTIONMENT REPORT_1.31.18"/>
      <sheetName val="1h.Tax_Proration"/>
      <sheetName val="7ERAFdistributioncopy"/>
      <sheetName val="DistrictPvtERAF_Ptax"/>
      <sheetName val="ERAF Formulas"/>
      <sheetName val="Report-County_Est_ERAF"/>
      <sheetName val="Report-Dist_Fall_Est_PTax&amp;ERAF"/>
      <sheetName val="2017-18 P1,revised Estimated pr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>
            <v>1</v>
          </cell>
        </row>
      </sheetData>
      <sheetData sheetId="7"/>
      <sheetData sheetId="8">
        <row r="2">
          <cell r="D2" t="str">
            <v xml:space="preserve"> COUNTY</v>
          </cell>
        </row>
      </sheetData>
      <sheetData sheetId="9"/>
      <sheetData sheetId="10">
        <row r="8">
          <cell r="A8" t="str">
            <v>Allan Hancock</v>
          </cell>
        </row>
      </sheetData>
      <sheetData sheetId="11">
        <row r="2">
          <cell r="C2" t="str">
            <v xml:space="preserve"> ALLAN HANCOCK</v>
          </cell>
        </row>
      </sheetData>
      <sheetData sheetId="12"/>
      <sheetData sheetId="13">
        <row r="4">
          <cell r="A4" t="str">
            <v xml:space="preserve"> ALLAN HANCOCK</v>
          </cell>
          <cell r="B4">
            <v>14864058</v>
          </cell>
          <cell r="C4">
            <v>2730211</v>
          </cell>
        </row>
        <row r="5">
          <cell r="A5" t="str">
            <v xml:space="preserve"> ANTELOPE VALLEY</v>
          </cell>
          <cell r="B5">
            <v>7797653</v>
          </cell>
          <cell r="C5">
            <v>0</v>
          </cell>
        </row>
        <row r="6">
          <cell r="A6" t="str">
            <v xml:space="preserve"> BARSTOW</v>
          </cell>
          <cell r="B6">
            <v>3501138</v>
          </cell>
          <cell r="C6">
            <v>-562717</v>
          </cell>
        </row>
        <row r="7">
          <cell r="A7" t="str">
            <v xml:space="preserve"> BUTTE</v>
          </cell>
          <cell r="B7">
            <v>17768913</v>
          </cell>
          <cell r="C7">
            <v>-2477700</v>
          </cell>
        </row>
        <row r="8">
          <cell r="A8" t="str">
            <v xml:space="preserve"> CABRILLO</v>
          </cell>
          <cell r="B8">
            <v>25605406</v>
          </cell>
          <cell r="C8">
            <v>2894883</v>
          </cell>
        </row>
        <row r="9">
          <cell r="A9" t="str">
            <v xml:space="preserve"> CERRITOS</v>
          </cell>
          <cell r="B9">
            <v>10235452</v>
          </cell>
          <cell r="C9">
            <v>11535363</v>
          </cell>
        </row>
        <row r="10">
          <cell r="A10" t="str">
            <v xml:space="preserve"> CHABOT-LAS POSITAS</v>
          </cell>
          <cell r="B10">
            <v>32528098</v>
          </cell>
          <cell r="C10">
            <v>22233014</v>
          </cell>
        </row>
        <row r="11">
          <cell r="A11" t="str">
            <v xml:space="preserve"> CHAFFEY</v>
          </cell>
          <cell r="B11">
            <v>31620628</v>
          </cell>
          <cell r="C11">
            <v>-6714104</v>
          </cell>
        </row>
        <row r="12">
          <cell r="A12" t="str">
            <v xml:space="preserve"> CITRUS</v>
          </cell>
          <cell r="B12">
            <v>6254476</v>
          </cell>
          <cell r="C12">
            <v>0</v>
          </cell>
        </row>
        <row r="13">
          <cell r="A13" t="str">
            <v xml:space="preserve"> COAST</v>
          </cell>
          <cell r="B13">
            <v>128283511</v>
          </cell>
          <cell r="C13">
            <v>0</v>
          </cell>
        </row>
        <row r="14">
          <cell r="A14" t="str">
            <v xml:space="preserve"> COMPTON</v>
          </cell>
          <cell r="B14">
            <v>5200312</v>
          </cell>
          <cell r="C14">
            <v>0</v>
          </cell>
        </row>
        <row r="15">
          <cell r="A15" t="str">
            <v xml:space="preserve"> CONTRA COSTA</v>
          </cell>
          <cell r="B15">
            <v>87204713</v>
          </cell>
          <cell r="C15">
            <v>10323020</v>
          </cell>
        </row>
        <row r="16">
          <cell r="A16" t="str">
            <v xml:space="preserve"> COPPER MOUNTAIN</v>
          </cell>
          <cell r="B16">
            <v>1890261</v>
          </cell>
          <cell r="C16">
            <v>-402257</v>
          </cell>
        </row>
        <row r="17">
          <cell r="A17" t="str">
            <v xml:space="preserve"> DESERT</v>
          </cell>
          <cell r="B17">
            <v>29575190</v>
          </cell>
          <cell r="C17">
            <v>-3352326</v>
          </cell>
        </row>
        <row r="18">
          <cell r="A18" t="str">
            <v xml:space="preserve"> EL CAMINO</v>
          </cell>
          <cell r="B18">
            <v>31618281</v>
          </cell>
          <cell r="C18">
            <v>0</v>
          </cell>
        </row>
        <row r="19">
          <cell r="A19" t="str">
            <v xml:space="preserve"> FEATHER RIVER</v>
          </cell>
          <cell r="B19">
            <v>4802581</v>
          </cell>
          <cell r="C19">
            <v>1253784</v>
          </cell>
        </row>
        <row r="20">
          <cell r="A20" t="str">
            <v xml:space="preserve"> FOOTHILL-DEANZA</v>
          </cell>
          <cell r="B20">
            <v>109329041</v>
          </cell>
          <cell r="C20">
            <v>5085494</v>
          </cell>
        </row>
        <row r="21">
          <cell r="A21" t="str">
            <v xml:space="preserve"> GAVILAN</v>
          </cell>
          <cell r="B21">
            <v>19643476</v>
          </cell>
          <cell r="C21">
            <v>5880890</v>
          </cell>
        </row>
        <row r="22">
          <cell r="A22" t="str">
            <v xml:space="preserve"> GLENDALE</v>
          </cell>
          <cell r="B22">
            <v>11937911</v>
          </cell>
          <cell r="C22">
            <v>6820218</v>
          </cell>
        </row>
        <row r="23">
          <cell r="A23" t="str">
            <v xml:space="preserve"> GROSSMONT-CUYAMACA</v>
          </cell>
          <cell r="B23">
            <v>40914698</v>
          </cell>
          <cell r="C23">
            <v>-480021</v>
          </cell>
        </row>
        <row r="24">
          <cell r="A24" t="str">
            <v xml:space="preserve"> HARTNELL</v>
          </cell>
          <cell r="B24">
            <v>22805604</v>
          </cell>
          <cell r="C24">
            <v>0</v>
          </cell>
        </row>
        <row r="25">
          <cell r="A25" t="str">
            <v xml:space="preserve"> IMPERIAL</v>
          </cell>
          <cell r="B25">
            <v>8831900</v>
          </cell>
          <cell r="C25">
            <v>-2009764</v>
          </cell>
        </row>
        <row r="26">
          <cell r="A26" t="str">
            <v xml:space="preserve"> KERN</v>
          </cell>
          <cell r="B26">
            <v>67844047</v>
          </cell>
          <cell r="C26">
            <v>-5146162</v>
          </cell>
        </row>
        <row r="27">
          <cell r="A27" t="str">
            <v xml:space="preserve"> LAKE TAHOE</v>
          </cell>
          <cell r="B27">
            <v>4379977</v>
          </cell>
          <cell r="C27">
            <v>0</v>
          </cell>
        </row>
        <row r="28">
          <cell r="A28" t="str">
            <v xml:space="preserve"> LASSEN</v>
          </cell>
          <cell r="B28">
            <v>2105707</v>
          </cell>
          <cell r="C28">
            <v>-301612</v>
          </cell>
        </row>
        <row r="29">
          <cell r="A29" t="str">
            <v xml:space="preserve"> LONG BEACH</v>
          </cell>
          <cell r="B29">
            <v>14956717</v>
          </cell>
          <cell r="C29">
            <v>10449492</v>
          </cell>
        </row>
        <row r="30">
          <cell r="A30" t="str">
            <v xml:space="preserve"> LOS ANGELES</v>
          </cell>
          <cell r="B30">
            <v>212669767</v>
          </cell>
          <cell r="C30">
            <v>0</v>
          </cell>
        </row>
        <row r="31">
          <cell r="A31" t="str">
            <v xml:space="preserve"> LOS RIOS</v>
          </cell>
          <cell r="B31">
            <v>63574842</v>
          </cell>
          <cell r="C31">
            <v>16859929</v>
          </cell>
        </row>
        <row r="32">
          <cell r="A32" t="str">
            <v xml:space="preserve"> MARIN</v>
          </cell>
          <cell r="B32">
            <v>53984995</v>
          </cell>
          <cell r="C32">
            <v>0</v>
          </cell>
        </row>
        <row r="33">
          <cell r="A33" t="str">
            <v xml:space="preserve"> MENDOCINO-LAKE</v>
          </cell>
          <cell r="B33">
            <v>6887581</v>
          </cell>
          <cell r="C33">
            <v>801594</v>
          </cell>
        </row>
        <row r="34">
          <cell r="A34" t="str">
            <v xml:space="preserve"> MERCED</v>
          </cell>
          <cell r="B34">
            <v>12355454</v>
          </cell>
          <cell r="C34">
            <v>-248140</v>
          </cell>
        </row>
        <row r="35">
          <cell r="A35" t="str">
            <v xml:space="preserve"> MIRA COSTA</v>
          </cell>
          <cell r="B35">
            <v>98720342</v>
          </cell>
          <cell r="C35">
            <v>0</v>
          </cell>
        </row>
        <row r="36">
          <cell r="A36" t="str">
            <v xml:space="preserve"> MONTEREY PENINSULA</v>
          </cell>
          <cell r="B36">
            <v>18866522</v>
          </cell>
          <cell r="C36">
            <v>0</v>
          </cell>
        </row>
        <row r="37">
          <cell r="A37" t="str">
            <v xml:space="preserve"> MT SAN ANTONIO</v>
          </cell>
          <cell r="B37">
            <v>22827202</v>
          </cell>
          <cell r="C37">
            <v>20238790</v>
          </cell>
        </row>
        <row r="38">
          <cell r="A38" t="str">
            <v xml:space="preserve"> MT SAN JACINTO</v>
          </cell>
          <cell r="B38">
            <v>29642361</v>
          </cell>
          <cell r="C38">
            <v>-3397791</v>
          </cell>
        </row>
        <row r="39">
          <cell r="A39" t="str">
            <v xml:space="preserve"> NAPA VALLEY</v>
          </cell>
          <cell r="B39">
            <v>29921923</v>
          </cell>
          <cell r="C39">
            <v>-1500848</v>
          </cell>
        </row>
        <row r="40">
          <cell r="A40" t="str">
            <v xml:space="preserve"> NORTH ORANGE</v>
          </cell>
          <cell r="B40">
            <v>78866508</v>
          </cell>
          <cell r="C40">
            <v>13566746</v>
          </cell>
        </row>
        <row r="41">
          <cell r="A41" t="str">
            <v xml:space="preserve"> OHLONE</v>
          </cell>
          <cell r="B41">
            <v>20923360</v>
          </cell>
          <cell r="C41">
            <v>0</v>
          </cell>
        </row>
        <row r="42">
          <cell r="A42" t="str">
            <v xml:space="preserve"> PALO VERDE</v>
          </cell>
          <cell r="B42">
            <v>1540851</v>
          </cell>
          <cell r="C42">
            <v>-119712</v>
          </cell>
        </row>
        <row r="43">
          <cell r="A43" t="str">
            <v xml:space="preserve"> PALOMAR</v>
          </cell>
          <cell r="B43">
            <v>73381748</v>
          </cell>
          <cell r="C43">
            <v>-826802</v>
          </cell>
        </row>
        <row r="44">
          <cell r="A44" t="str">
            <v xml:space="preserve"> PASADENA</v>
          </cell>
          <cell r="B44">
            <v>28347254</v>
          </cell>
          <cell r="C44">
            <v>3025279</v>
          </cell>
        </row>
        <row r="45">
          <cell r="A45" t="str">
            <v xml:space="preserve"> PERALTA</v>
          </cell>
          <cell r="B45">
            <v>23706222</v>
          </cell>
          <cell r="C45">
            <v>20502439</v>
          </cell>
        </row>
        <row r="46">
          <cell r="A46" t="str">
            <v xml:space="preserve"> RANCHO SANTIAGO</v>
          </cell>
          <cell r="B46">
            <v>56270301</v>
          </cell>
          <cell r="C46">
            <v>21397189</v>
          </cell>
        </row>
        <row r="47">
          <cell r="A47" t="str">
            <v xml:space="preserve"> REDWOODS</v>
          </cell>
          <cell r="B47">
            <v>10836739</v>
          </cell>
          <cell r="C47">
            <v>335688</v>
          </cell>
        </row>
        <row r="48">
          <cell r="A48" t="str">
            <v xml:space="preserve"> RIO HONDO</v>
          </cell>
          <cell r="B48">
            <v>7012782</v>
          </cell>
          <cell r="C48">
            <v>0</v>
          </cell>
        </row>
        <row r="49">
          <cell r="A49" t="str">
            <v xml:space="preserve"> RIVERSIDE</v>
          </cell>
          <cell r="B49">
            <v>40950807</v>
          </cell>
          <cell r="C49">
            <v>-4599277</v>
          </cell>
        </row>
        <row r="50">
          <cell r="A50" t="str">
            <v xml:space="preserve"> SAN BERNARDINO</v>
          </cell>
          <cell r="B50">
            <v>25131620</v>
          </cell>
          <cell r="C50">
            <v>-5312035</v>
          </cell>
        </row>
        <row r="51">
          <cell r="A51" t="str">
            <v xml:space="preserve"> SAN DIEGO</v>
          </cell>
          <cell r="B51">
            <v>104733726</v>
          </cell>
          <cell r="C51">
            <v>-1225544</v>
          </cell>
        </row>
        <row r="52">
          <cell r="A52" t="str">
            <v xml:space="preserve"> SAN FRANCISCO</v>
          </cell>
          <cell r="B52">
            <v>31262992</v>
          </cell>
          <cell r="C52">
            <v>48526074</v>
          </cell>
        </row>
        <row r="53">
          <cell r="A53" t="str">
            <v xml:space="preserve"> SAN JOAQUIN DELTA</v>
          </cell>
          <cell r="B53">
            <v>28558586</v>
          </cell>
          <cell r="C53">
            <v>7536816</v>
          </cell>
        </row>
        <row r="54">
          <cell r="A54" t="str">
            <v xml:space="preserve"> SAN JOSE</v>
          </cell>
          <cell r="B54">
            <v>93706642</v>
          </cell>
          <cell r="C54">
            <v>0</v>
          </cell>
        </row>
        <row r="55">
          <cell r="A55" t="str">
            <v xml:space="preserve"> SAN LUIS OBISPO</v>
          </cell>
          <cell r="B55">
            <v>37375283</v>
          </cell>
          <cell r="C55">
            <v>1928797</v>
          </cell>
        </row>
        <row r="56">
          <cell r="A56" t="str">
            <v xml:space="preserve"> SAN MATEO</v>
          </cell>
          <cell r="B56">
            <v>143219308</v>
          </cell>
          <cell r="C56">
            <v>0</v>
          </cell>
        </row>
        <row r="57">
          <cell r="A57" t="str">
            <v xml:space="preserve"> SANTA BARBARA</v>
          </cell>
          <cell r="B57">
            <v>30477994</v>
          </cell>
          <cell r="C57">
            <v>0</v>
          </cell>
        </row>
        <row r="58">
          <cell r="A58" t="str">
            <v xml:space="preserve"> SANTA CLARITA</v>
          </cell>
          <cell r="B58">
            <v>16158298</v>
          </cell>
          <cell r="C58">
            <v>5454684</v>
          </cell>
        </row>
        <row r="59">
          <cell r="A59" t="str">
            <v xml:space="preserve"> SANTA MONICA</v>
          </cell>
          <cell r="B59">
            <v>20047115</v>
          </cell>
          <cell r="C59">
            <v>4107501</v>
          </cell>
        </row>
        <row r="60">
          <cell r="A60" t="str">
            <v xml:space="preserve"> SEQUOIAS</v>
          </cell>
          <cell r="B60">
            <v>16152052</v>
          </cell>
          <cell r="C60">
            <v>-1687577</v>
          </cell>
        </row>
        <row r="61">
          <cell r="A61" t="str">
            <v xml:space="preserve"> SHASTA</v>
          </cell>
          <cell r="B61">
            <v>15086164</v>
          </cell>
          <cell r="C61">
            <v>-341405</v>
          </cell>
        </row>
        <row r="62">
          <cell r="A62" t="str">
            <v xml:space="preserve"> SIERRA</v>
          </cell>
          <cell r="B62">
            <v>72786607</v>
          </cell>
          <cell r="C62">
            <v>1358864</v>
          </cell>
        </row>
        <row r="63">
          <cell r="A63" t="str">
            <v xml:space="preserve"> SISKIYOU</v>
          </cell>
          <cell r="B63">
            <v>4082223</v>
          </cell>
          <cell r="C63">
            <v>29992</v>
          </cell>
        </row>
        <row r="64">
          <cell r="A64" t="str">
            <v xml:space="preserve"> SOLANO</v>
          </cell>
          <cell r="B64">
            <v>16249710</v>
          </cell>
          <cell r="C64">
            <v>262968</v>
          </cell>
        </row>
        <row r="65">
          <cell r="A65" t="str">
            <v xml:space="preserve"> SONOMA</v>
          </cell>
          <cell r="B65">
            <v>51465245</v>
          </cell>
          <cell r="C65">
            <v>3548928</v>
          </cell>
        </row>
        <row r="66">
          <cell r="A66" t="str">
            <v xml:space="preserve"> SOUTH ORANGE CO.</v>
          </cell>
          <cell r="B66">
            <v>217515802</v>
          </cell>
          <cell r="C66">
            <v>0</v>
          </cell>
        </row>
        <row r="67">
          <cell r="A67" t="str">
            <v xml:space="preserve"> SOUTHWESTERN</v>
          </cell>
          <cell r="B67">
            <v>26564032</v>
          </cell>
          <cell r="C67">
            <v>-314721</v>
          </cell>
        </row>
        <row r="68">
          <cell r="A68" t="str">
            <v xml:space="preserve"> STATE CENTER</v>
          </cell>
          <cell r="B68">
            <v>45769662</v>
          </cell>
          <cell r="C68">
            <v>-901044</v>
          </cell>
        </row>
        <row r="69">
          <cell r="A69" t="str">
            <v xml:space="preserve"> VENTURA</v>
          </cell>
          <cell r="B69">
            <v>62907591</v>
          </cell>
          <cell r="C69">
            <v>-37690</v>
          </cell>
        </row>
        <row r="70">
          <cell r="A70" t="str">
            <v xml:space="preserve"> VICTOR VALLEY</v>
          </cell>
          <cell r="B70">
            <v>13502706</v>
          </cell>
          <cell r="C70">
            <v>-2891638</v>
          </cell>
        </row>
        <row r="71">
          <cell r="A71" t="str">
            <v xml:space="preserve"> WEST HILLS</v>
          </cell>
          <cell r="B71">
            <v>6598247</v>
          </cell>
          <cell r="C71">
            <v>-506933</v>
          </cell>
        </row>
        <row r="72">
          <cell r="A72" t="str">
            <v xml:space="preserve"> WEST KERN</v>
          </cell>
          <cell r="B72">
            <v>9483366</v>
          </cell>
          <cell r="C72">
            <v>-616407</v>
          </cell>
        </row>
        <row r="73">
          <cell r="A73" t="str">
            <v xml:space="preserve"> WEST VALLEY</v>
          </cell>
          <cell r="B73">
            <v>113841992</v>
          </cell>
          <cell r="C73">
            <v>0</v>
          </cell>
        </row>
        <row r="74">
          <cell r="A74" t="str">
            <v xml:space="preserve"> YOSEMITE</v>
          </cell>
          <cell r="B74">
            <v>45209703</v>
          </cell>
          <cell r="C74">
            <v>-2739916</v>
          </cell>
        </row>
        <row r="75">
          <cell r="A75" t="str">
            <v xml:space="preserve"> YUBA</v>
          </cell>
          <cell r="B75">
            <v>25938643</v>
          </cell>
          <cell r="C75">
            <v>447311</v>
          </cell>
        </row>
      </sheetData>
      <sheetData sheetId="14"/>
      <sheetData sheetId="15"/>
      <sheetData sheetId="16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ax11-15-2016"/>
      <sheetName val="1a.ModifiedforDistrict"/>
      <sheetName val="1b.ModifiedforCounty"/>
      <sheetName val="1c.DistrictAlpha ptax04-15-2016"/>
      <sheetName val="1d.County ptax04-15-2016"/>
      <sheetName val="1e.PtaxvsERAF Analysis"/>
      <sheetName val="APPORTIONMENT REPORT_5.3.16"/>
      <sheetName val="1h.Tax_Proration"/>
      <sheetName val="1i.ERAFptaxDistr4-15-2016"/>
      <sheetName val="1j.Los Angles ERAF Calculations"/>
      <sheetName val="1k.CCDPivotTableERAF&amp;PropTAX2"/>
      <sheetName val="Report-County_Spring_Est_ERAF"/>
      <sheetName val="Report-Dist_Sprin_Est_PTax&amp;ERAF"/>
      <sheetName val="AUDIT Request PTax15-16P2"/>
      <sheetName val="FinalLAOreport"/>
      <sheetName val="EstPivotDOFprep"/>
    </sheetNames>
    <sheetDataSet>
      <sheetData sheetId="0" refreshError="1"/>
      <sheetData sheetId="1" refreshError="1"/>
      <sheetData sheetId="2" refreshError="1"/>
      <sheetData sheetId="3">
        <row r="3">
          <cell r="C3" t="str">
            <v xml:space="preserve"> ALLAN HANCOCK     </v>
          </cell>
          <cell r="D3" t="str">
            <v xml:space="preserve"> SAN LUIS OBISPO   </v>
          </cell>
          <cell r="E3">
            <v>610</v>
          </cell>
          <cell r="F3" t="str">
            <v xml:space="preserve"> 2015-2016</v>
          </cell>
          <cell r="G3" t="str">
            <v xml:space="preserve"> 04/15/2016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 t="str">
            <v xml:space="preserve"> 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37818</v>
          </cell>
          <cell r="AC3">
            <v>0</v>
          </cell>
          <cell r="AD3">
            <v>795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-10</v>
          </cell>
          <cell r="AL3">
            <v>0</v>
          </cell>
          <cell r="AM3">
            <v>252</v>
          </cell>
          <cell r="AN3">
            <v>0</v>
          </cell>
          <cell r="AO3">
            <v>0</v>
          </cell>
          <cell r="AP3">
            <v>38855</v>
          </cell>
        </row>
        <row r="4">
          <cell r="C4" t="str">
            <v xml:space="preserve"> ALLAN HANCOCK     </v>
          </cell>
          <cell r="D4" t="str">
            <v xml:space="preserve"> SANTA BARBARA     </v>
          </cell>
          <cell r="E4">
            <v>610</v>
          </cell>
          <cell r="F4" t="str">
            <v xml:space="preserve"> 2015-2016</v>
          </cell>
          <cell r="G4" t="str">
            <v xml:space="preserve"> 04/15/2016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 t="str">
            <v xml:space="preserve"> 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12378229</v>
          </cell>
          <cell r="AC4">
            <v>307489</v>
          </cell>
          <cell r="AD4">
            <v>576878</v>
          </cell>
          <cell r="AE4">
            <v>40129</v>
          </cell>
          <cell r="AF4">
            <v>19061</v>
          </cell>
          <cell r="AG4">
            <v>0</v>
          </cell>
          <cell r="AH4">
            <v>0</v>
          </cell>
          <cell r="AI4">
            <v>152828</v>
          </cell>
          <cell r="AJ4">
            <v>286030</v>
          </cell>
          <cell r="AK4">
            <v>-26676</v>
          </cell>
          <cell r="AL4">
            <v>0</v>
          </cell>
          <cell r="AM4">
            <v>73570</v>
          </cell>
          <cell r="AN4">
            <v>0</v>
          </cell>
          <cell r="AO4">
            <v>1789718</v>
          </cell>
          <cell r="AP4">
            <v>15557127</v>
          </cell>
        </row>
        <row r="5">
          <cell r="C5" t="str">
            <v xml:space="preserve"> ALLAN HANCOCK     </v>
          </cell>
          <cell r="D5" t="str">
            <v xml:space="preserve"> VENTURA           </v>
          </cell>
          <cell r="E5">
            <v>610</v>
          </cell>
          <cell r="F5" t="str">
            <v xml:space="preserve"> 2015-2016</v>
          </cell>
          <cell r="G5" t="str">
            <v xml:space="preserve"> 04/15/2016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19813</v>
          </cell>
          <cell r="AC5">
            <v>260</v>
          </cell>
          <cell r="AD5">
            <v>692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32</v>
          </cell>
          <cell r="AL5">
            <v>0</v>
          </cell>
          <cell r="AM5">
            <v>167</v>
          </cell>
          <cell r="AN5">
            <v>0</v>
          </cell>
          <cell r="AO5">
            <v>0</v>
          </cell>
          <cell r="AP5">
            <v>20964</v>
          </cell>
        </row>
        <row r="6">
          <cell r="C6" t="str">
            <v>ALLAN HANCOCK Subtotal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12435860</v>
          </cell>
          <cell r="AC6">
            <v>307749</v>
          </cell>
          <cell r="AD6">
            <v>578365</v>
          </cell>
          <cell r="AE6">
            <v>40129</v>
          </cell>
          <cell r="AF6">
            <v>19061</v>
          </cell>
          <cell r="AG6">
            <v>0</v>
          </cell>
          <cell r="AH6">
            <v>0</v>
          </cell>
          <cell r="AI6">
            <v>152828</v>
          </cell>
          <cell r="AJ6">
            <v>286030</v>
          </cell>
          <cell r="AK6">
            <v>-26654</v>
          </cell>
          <cell r="AL6">
            <v>0</v>
          </cell>
          <cell r="AM6">
            <v>73989</v>
          </cell>
          <cell r="AN6">
            <v>0</v>
          </cell>
          <cell r="AO6">
            <v>1789718</v>
          </cell>
          <cell r="AP6">
            <v>15616946</v>
          </cell>
        </row>
        <row r="8">
          <cell r="C8" t="str">
            <v xml:space="preserve"> ANTELOPE VALLEY   </v>
          </cell>
          <cell r="D8" t="str">
            <v xml:space="preserve"> KERN              </v>
          </cell>
          <cell r="E8">
            <v>620</v>
          </cell>
          <cell r="F8" t="str">
            <v xml:space="preserve"> 2015-2016</v>
          </cell>
          <cell r="G8" t="str">
            <v xml:space="preserve"> 04/15/2016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790431</v>
          </cell>
          <cell r="AC8">
            <v>0</v>
          </cell>
          <cell r="AD8">
            <v>81576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7154</v>
          </cell>
          <cell r="AN8">
            <v>0</v>
          </cell>
          <cell r="AO8">
            <v>0</v>
          </cell>
          <cell r="AP8">
            <v>879161</v>
          </cell>
        </row>
        <row r="9">
          <cell r="C9" t="str">
            <v xml:space="preserve"> ANTELOPE VALLEY   </v>
          </cell>
          <cell r="D9" t="str">
            <v xml:space="preserve"> LOS ANGELES       </v>
          </cell>
          <cell r="E9">
            <v>620</v>
          </cell>
          <cell r="F9" t="str">
            <v xml:space="preserve"> 2015-2016</v>
          </cell>
          <cell r="G9" t="str">
            <v xml:space="preserve"> 04/15/2016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 xml:space="preserve"> 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4720093</v>
          </cell>
          <cell r="AC9">
            <v>145163</v>
          </cell>
          <cell r="AD9">
            <v>179810</v>
          </cell>
          <cell r="AE9">
            <v>13066</v>
          </cell>
          <cell r="AF9">
            <v>6206</v>
          </cell>
          <cell r="AG9">
            <v>0</v>
          </cell>
          <cell r="AH9">
            <v>0</v>
          </cell>
          <cell r="AI9">
            <v>21442</v>
          </cell>
          <cell r="AJ9">
            <v>0</v>
          </cell>
          <cell r="AK9">
            <v>117099</v>
          </cell>
          <cell r="AL9">
            <v>0</v>
          </cell>
          <cell r="AM9">
            <v>33051</v>
          </cell>
          <cell r="AN9">
            <v>0</v>
          </cell>
          <cell r="AO9">
            <v>0</v>
          </cell>
          <cell r="AP9">
            <v>5222864</v>
          </cell>
        </row>
        <row r="10">
          <cell r="C10" t="str">
            <v>ANTELOPE VALLEY Subtotal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5510524</v>
          </cell>
          <cell r="AC10">
            <v>145163</v>
          </cell>
          <cell r="AD10">
            <v>261386</v>
          </cell>
          <cell r="AE10">
            <v>13066</v>
          </cell>
          <cell r="AF10">
            <v>6206</v>
          </cell>
          <cell r="AG10">
            <v>0</v>
          </cell>
          <cell r="AH10">
            <v>0</v>
          </cell>
          <cell r="AI10">
            <v>21442</v>
          </cell>
          <cell r="AJ10">
            <v>0</v>
          </cell>
          <cell r="AK10">
            <v>117099</v>
          </cell>
          <cell r="AL10">
            <v>0</v>
          </cell>
          <cell r="AM10">
            <v>40205</v>
          </cell>
          <cell r="AN10">
            <v>0</v>
          </cell>
          <cell r="AO10">
            <v>0</v>
          </cell>
          <cell r="AP10">
            <v>6102025</v>
          </cell>
        </row>
        <row r="12">
          <cell r="C12" t="str">
            <v xml:space="preserve"> BARSTOW           </v>
          </cell>
          <cell r="D12" t="str">
            <v xml:space="preserve"> SAN BERNARDINO    </v>
          </cell>
          <cell r="E12">
            <v>910</v>
          </cell>
          <cell r="F12" t="str">
            <v xml:space="preserve"> 2015-2016</v>
          </cell>
          <cell r="G12" t="str">
            <v xml:space="preserve"> 04/15/2016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3840074</v>
          </cell>
          <cell r="AC12">
            <v>60892</v>
          </cell>
          <cell r="AD12">
            <v>117002</v>
          </cell>
          <cell r="AE12">
            <v>61650</v>
          </cell>
          <cell r="AF12">
            <v>29284</v>
          </cell>
          <cell r="AG12">
            <v>0</v>
          </cell>
          <cell r="AH12">
            <v>0</v>
          </cell>
          <cell r="AI12">
            <v>184730</v>
          </cell>
          <cell r="AJ12">
            <v>0</v>
          </cell>
          <cell r="AK12">
            <v>4255</v>
          </cell>
          <cell r="AL12">
            <v>0</v>
          </cell>
          <cell r="AM12">
            <v>32624</v>
          </cell>
          <cell r="AN12">
            <v>0</v>
          </cell>
          <cell r="AO12">
            <v>-867458</v>
          </cell>
          <cell r="AP12">
            <v>3401403</v>
          </cell>
        </row>
        <row r="13">
          <cell r="C13" t="str">
            <v xml:space="preserve">BARSTOW Subtotal       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3840074</v>
          </cell>
          <cell r="AC13">
            <v>60892</v>
          </cell>
          <cell r="AD13">
            <v>117002</v>
          </cell>
          <cell r="AE13">
            <v>61650</v>
          </cell>
          <cell r="AF13">
            <v>29284</v>
          </cell>
          <cell r="AG13">
            <v>0</v>
          </cell>
          <cell r="AH13">
            <v>0</v>
          </cell>
          <cell r="AI13">
            <v>184730</v>
          </cell>
          <cell r="AJ13">
            <v>0</v>
          </cell>
          <cell r="AK13">
            <v>4255</v>
          </cell>
          <cell r="AL13">
            <v>0</v>
          </cell>
          <cell r="AM13">
            <v>32624</v>
          </cell>
          <cell r="AN13">
            <v>0</v>
          </cell>
          <cell r="AO13">
            <v>-867458</v>
          </cell>
          <cell r="AP13">
            <v>3401403</v>
          </cell>
        </row>
        <row r="15">
          <cell r="C15" t="str">
            <v xml:space="preserve"> BUTTE             </v>
          </cell>
          <cell r="D15" t="str">
            <v xml:space="preserve"> BUTTE             </v>
          </cell>
          <cell r="E15">
            <v>110</v>
          </cell>
          <cell r="F15" t="str">
            <v xml:space="preserve"> 2015-2016</v>
          </cell>
          <cell r="G15" t="str">
            <v xml:space="preserve"> 04/15/2016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12484400</v>
          </cell>
          <cell r="AC15">
            <v>111000</v>
          </cell>
          <cell r="AD15">
            <v>758000</v>
          </cell>
          <cell r="AE15">
            <v>16186</v>
          </cell>
          <cell r="AF15">
            <v>7688</v>
          </cell>
          <cell r="AG15">
            <v>0</v>
          </cell>
          <cell r="AH15">
            <v>0</v>
          </cell>
          <cell r="AI15">
            <v>541571</v>
          </cell>
          <cell r="AJ15">
            <v>12940</v>
          </cell>
          <cell r="AK15">
            <v>15000</v>
          </cell>
          <cell r="AL15">
            <v>23200</v>
          </cell>
          <cell r="AM15">
            <v>213000</v>
          </cell>
          <cell r="AN15">
            <v>5400</v>
          </cell>
          <cell r="AO15">
            <v>-2568479</v>
          </cell>
          <cell r="AP15">
            <v>11603720</v>
          </cell>
        </row>
        <row r="16">
          <cell r="C16" t="str">
            <v xml:space="preserve"> BUTTE             </v>
          </cell>
          <cell r="D16" t="str">
            <v xml:space="preserve"> GLENN             </v>
          </cell>
          <cell r="E16">
            <v>110</v>
          </cell>
          <cell r="F16" t="str">
            <v xml:space="preserve"> 2015-2016</v>
          </cell>
          <cell r="G16" t="str">
            <v xml:space="preserve"> 04/15/2016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 xml:space="preserve"> 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2403427</v>
          </cell>
          <cell r="AC16">
            <v>0</v>
          </cell>
          <cell r="AD16">
            <v>122632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27675</v>
          </cell>
          <cell r="AN16">
            <v>0</v>
          </cell>
          <cell r="AO16">
            <v>-74334</v>
          </cell>
          <cell r="AP16">
            <v>2479400</v>
          </cell>
        </row>
        <row r="17">
          <cell r="C17" t="str">
            <v xml:space="preserve">BUTTE Subtotal            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14887827</v>
          </cell>
          <cell r="AC17">
            <v>111000</v>
          </cell>
          <cell r="AD17">
            <v>880632</v>
          </cell>
          <cell r="AE17">
            <v>16186</v>
          </cell>
          <cell r="AF17">
            <v>7688</v>
          </cell>
          <cell r="AG17">
            <v>0</v>
          </cell>
          <cell r="AH17">
            <v>0</v>
          </cell>
          <cell r="AI17">
            <v>541571</v>
          </cell>
          <cell r="AJ17">
            <v>12940</v>
          </cell>
          <cell r="AK17">
            <v>15000</v>
          </cell>
          <cell r="AL17">
            <v>23200</v>
          </cell>
          <cell r="AM17">
            <v>240675</v>
          </cell>
          <cell r="AN17">
            <v>5400</v>
          </cell>
          <cell r="AO17">
            <v>-2642813</v>
          </cell>
          <cell r="AP17">
            <v>14083120</v>
          </cell>
        </row>
        <row r="19">
          <cell r="C19" t="str">
            <v xml:space="preserve"> CABRILLO          </v>
          </cell>
          <cell r="D19" t="str">
            <v xml:space="preserve"> MONTEREY          </v>
          </cell>
          <cell r="E19">
            <v>410</v>
          </cell>
          <cell r="F19" t="str">
            <v xml:space="preserve"> 2015-2016</v>
          </cell>
          <cell r="G19" t="str">
            <v xml:space="preserve"> 04/15/2016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 xml:space="preserve"> 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728824</v>
          </cell>
          <cell r="AC19">
            <v>8173</v>
          </cell>
          <cell r="AD19">
            <v>29497</v>
          </cell>
          <cell r="AE19">
            <v>1573</v>
          </cell>
          <cell r="AF19">
            <v>747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6418</v>
          </cell>
          <cell r="AL19">
            <v>0</v>
          </cell>
          <cell r="AM19">
            <v>4221</v>
          </cell>
          <cell r="AN19">
            <v>0</v>
          </cell>
          <cell r="AO19">
            <v>0</v>
          </cell>
          <cell r="AP19">
            <v>777880</v>
          </cell>
        </row>
        <row r="20">
          <cell r="C20" t="str">
            <v xml:space="preserve"> CABRILLO          </v>
          </cell>
          <cell r="D20" t="str">
            <v xml:space="preserve"> SAN BENITO        </v>
          </cell>
          <cell r="E20">
            <v>410</v>
          </cell>
          <cell r="F20" t="str">
            <v xml:space="preserve"> 2015-2016</v>
          </cell>
          <cell r="G20" t="str">
            <v xml:space="preserve"> 04/15/2016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169296</v>
          </cell>
          <cell r="AC20">
            <v>1886</v>
          </cell>
          <cell r="AD20">
            <v>8349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1621</v>
          </cell>
          <cell r="AN20">
            <v>0</v>
          </cell>
          <cell r="AO20">
            <v>-47</v>
          </cell>
          <cell r="AP20">
            <v>181105</v>
          </cell>
        </row>
        <row r="21">
          <cell r="C21" t="str">
            <v xml:space="preserve"> CABRILLO          </v>
          </cell>
          <cell r="D21" t="str">
            <v xml:space="preserve"> SANTA CRUZ        </v>
          </cell>
          <cell r="E21">
            <v>410</v>
          </cell>
          <cell r="F21" t="str">
            <v xml:space="preserve"> 2015-2016</v>
          </cell>
          <cell r="G21" t="str">
            <v xml:space="preserve"> 04/15/2016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 xml:space="preserve"> 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19924732</v>
          </cell>
          <cell r="AC21">
            <v>293549</v>
          </cell>
          <cell r="AD21">
            <v>395429</v>
          </cell>
          <cell r="AE21">
            <v>201945</v>
          </cell>
          <cell r="AF21">
            <v>95924</v>
          </cell>
          <cell r="AG21">
            <v>0</v>
          </cell>
          <cell r="AH21">
            <v>0</v>
          </cell>
          <cell r="AI21">
            <v>672083</v>
          </cell>
          <cell r="AJ21">
            <v>0</v>
          </cell>
          <cell r="AK21">
            <v>74568</v>
          </cell>
          <cell r="AL21">
            <v>7412</v>
          </cell>
          <cell r="AM21">
            <v>144142</v>
          </cell>
          <cell r="AN21">
            <v>6473</v>
          </cell>
          <cell r="AO21">
            <v>885112</v>
          </cell>
          <cell r="AP21">
            <v>22499424</v>
          </cell>
        </row>
        <row r="22">
          <cell r="C22" t="str">
            <v xml:space="preserve">CABRILLO Subtotal          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20822852</v>
          </cell>
          <cell r="AC22">
            <v>303608</v>
          </cell>
          <cell r="AD22">
            <v>433275</v>
          </cell>
          <cell r="AE22">
            <v>203518</v>
          </cell>
          <cell r="AF22">
            <v>96671</v>
          </cell>
          <cell r="AG22">
            <v>0</v>
          </cell>
          <cell r="AH22">
            <v>0</v>
          </cell>
          <cell r="AI22">
            <v>672083</v>
          </cell>
          <cell r="AJ22">
            <v>0</v>
          </cell>
          <cell r="AK22">
            <v>80986</v>
          </cell>
          <cell r="AL22">
            <v>7412</v>
          </cell>
          <cell r="AM22">
            <v>149984</v>
          </cell>
          <cell r="AN22">
            <v>6473</v>
          </cell>
          <cell r="AO22">
            <v>885065</v>
          </cell>
          <cell r="AP22">
            <v>23458409</v>
          </cell>
        </row>
        <row r="24">
          <cell r="C24" t="str">
            <v xml:space="preserve"> CERRITOS          </v>
          </cell>
          <cell r="D24" t="str">
            <v xml:space="preserve"> LOS ANGELES       </v>
          </cell>
          <cell r="E24">
            <v>810</v>
          </cell>
          <cell r="F24" t="str">
            <v xml:space="preserve"> 2015-2016</v>
          </cell>
          <cell r="G24" t="str">
            <v xml:space="preserve"> 04/15/2016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7764334</v>
          </cell>
          <cell r="AC24">
            <v>241562</v>
          </cell>
          <cell r="AD24">
            <v>221338</v>
          </cell>
          <cell r="AE24">
            <v>82194</v>
          </cell>
          <cell r="AF24">
            <v>39042</v>
          </cell>
          <cell r="AG24">
            <v>0</v>
          </cell>
          <cell r="AH24">
            <v>0</v>
          </cell>
          <cell r="AI24">
            <v>375409</v>
          </cell>
          <cell r="AJ24">
            <v>318108</v>
          </cell>
          <cell r="AK24">
            <v>189123</v>
          </cell>
          <cell r="AL24">
            <v>0</v>
          </cell>
          <cell r="AM24">
            <v>54514</v>
          </cell>
          <cell r="AN24">
            <v>292</v>
          </cell>
          <cell r="AO24">
            <v>0</v>
          </cell>
          <cell r="AP24">
            <v>9203722</v>
          </cell>
        </row>
        <row r="25">
          <cell r="C25" t="str">
            <v xml:space="preserve">CERRITOS Subtotal     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7764334</v>
          </cell>
          <cell r="AC25">
            <v>241562</v>
          </cell>
          <cell r="AD25">
            <v>221338</v>
          </cell>
          <cell r="AE25">
            <v>82194</v>
          </cell>
          <cell r="AF25">
            <v>39042</v>
          </cell>
          <cell r="AG25">
            <v>0</v>
          </cell>
          <cell r="AH25">
            <v>0</v>
          </cell>
          <cell r="AI25">
            <v>375409</v>
          </cell>
          <cell r="AJ25">
            <v>318108</v>
          </cell>
          <cell r="AK25">
            <v>189123</v>
          </cell>
          <cell r="AL25">
            <v>0</v>
          </cell>
          <cell r="AM25">
            <v>54514</v>
          </cell>
          <cell r="AN25">
            <v>292</v>
          </cell>
          <cell r="AO25">
            <v>0</v>
          </cell>
          <cell r="AP25">
            <v>9203722</v>
          </cell>
        </row>
        <row r="27">
          <cell r="C27" t="str">
            <v xml:space="preserve"> CHABOT-LAS POSITAS</v>
          </cell>
          <cell r="D27" t="str">
            <v xml:space="preserve"> ALAMEDA           </v>
          </cell>
          <cell r="E27">
            <v>480</v>
          </cell>
          <cell r="F27" t="str">
            <v xml:space="preserve"> 2015-2016</v>
          </cell>
          <cell r="G27" t="str">
            <v xml:space="preserve"> 04/15/2016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24579083</v>
          </cell>
          <cell r="AC27">
            <v>625418</v>
          </cell>
          <cell r="AD27">
            <v>1761412</v>
          </cell>
          <cell r="AE27">
            <v>682709</v>
          </cell>
          <cell r="AF27">
            <v>324287</v>
          </cell>
          <cell r="AG27">
            <v>0</v>
          </cell>
          <cell r="AH27">
            <v>0</v>
          </cell>
          <cell r="AI27">
            <v>1005411</v>
          </cell>
          <cell r="AJ27">
            <v>84347</v>
          </cell>
          <cell r="AK27">
            <v>-602799</v>
          </cell>
          <cell r="AL27">
            <v>0</v>
          </cell>
          <cell r="AM27">
            <v>210588</v>
          </cell>
          <cell r="AN27">
            <v>842</v>
          </cell>
          <cell r="AO27">
            <v>6451121</v>
          </cell>
          <cell r="AP27">
            <v>34439710</v>
          </cell>
        </row>
        <row r="28">
          <cell r="C28" t="str">
            <v xml:space="preserve"> CHABOT-LAS POSITAS</v>
          </cell>
          <cell r="D28" t="str">
            <v xml:space="preserve"> CONTRA COSTA      </v>
          </cell>
          <cell r="E28">
            <v>480</v>
          </cell>
          <cell r="F28" t="str">
            <v xml:space="preserve"> 2015-2016</v>
          </cell>
          <cell r="G28" t="str">
            <v xml:space="preserve"> 04/15/2016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 xml:space="preserve"> 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290960</v>
          </cell>
          <cell r="AC28">
            <v>5400</v>
          </cell>
          <cell r="AD28">
            <v>9630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2263</v>
          </cell>
          <cell r="AN28">
            <v>0</v>
          </cell>
          <cell r="AO28">
            <v>0</v>
          </cell>
          <cell r="AP28">
            <v>308253</v>
          </cell>
        </row>
        <row r="29">
          <cell r="C29" t="str">
            <v>CHABOT-LAS POSITAS Subtotal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24870043</v>
          </cell>
          <cell r="AC29">
            <v>630818</v>
          </cell>
          <cell r="AD29">
            <v>1771042</v>
          </cell>
          <cell r="AE29">
            <v>682709</v>
          </cell>
          <cell r="AF29">
            <v>324287</v>
          </cell>
          <cell r="AG29">
            <v>0</v>
          </cell>
          <cell r="AH29">
            <v>0</v>
          </cell>
          <cell r="AI29">
            <v>1005411</v>
          </cell>
          <cell r="AJ29">
            <v>84347</v>
          </cell>
          <cell r="AK29">
            <v>-602799</v>
          </cell>
          <cell r="AL29">
            <v>0</v>
          </cell>
          <cell r="AM29">
            <v>212851</v>
          </cell>
          <cell r="AN29">
            <v>842</v>
          </cell>
          <cell r="AO29">
            <v>6451121</v>
          </cell>
          <cell r="AP29">
            <v>34747963</v>
          </cell>
        </row>
        <row r="31">
          <cell r="C31" t="str">
            <v xml:space="preserve"> CHAFFEY           </v>
          </cell>
          <cell r="D31" t="str">
            <v xml:space="preserve"> SAN BERNARDINO    </v>
          </cell>
          <cell r="E31">
            <v>920</v>
          </cell>
          <cell r="F31" t="str">
            <v xml:space="preserve"> 2015-2016</v>
          </cell>
          <cell r="G31" t="str">
            <v xml:space="preserve"> 04/15/2016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 xml:space="preserve"> 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25657012</v>
          </cell>
          <cell r="AC31">
            <v>481045</v>
          </cell>
          <cell r="AD31">
            <v>1003783</v>
          </cell>
          <cell r="AE31">
            <v>1895429</v>
          </cell>
          <cell r="AF31">
            <v>900329</v>
          </cell>
          <cell r="AG31">
            <v>0</v>
          </cell>
          <cell r="AH31">
            <v>0</v>
          </cell>
          <cell r="AI31">
            <v>6177517</v>
          </cell>
          <cell r="AJ31">
            <v>4416732</v>
          </cell>
          <cell r="AK31">
            <v>31277</v>
          </cell>
          <cell r="AL31">
            <v>0</v>
          </cell>
          <cell r="AM31">
            <v>279886</v>
          </cell>
          <cell r="AN31">
            <v>0</v>
          </cell>
          <cell r="AO31">
            <v>-7442093</v>
          </cell>
          <cell r="AP31">
            <v>31505488</v>
          </cell>
        </row>
        <row r="32">
          <cell r="C32" t="str">
            <v xml:space="preserve">CHAFFEY Subtotal     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25657012</v>
          </cell>
          <cell r="AC32">
            <v>481045</v>
          </cell>
          <cell r="AD32">
            <v>1003783</v>
          </cell>
          <cell r="AE32">
            <v>1895429</v>
          </cell>
          <cell r="AF32">
            <v>900329</v>
          </cell>
          <cell r="AG32">
            <v>0</v>
          </cell>
          <cell r="AH32">
            <v>0</v>
          </cell>
          <cell r="AI32">
            <v>6177517</v>
          </cell>
          <cell r="AJ32">
            <v>4416732</v>
          </cell>
          <cell r="AK32">
            <v>31277</v>
          </cell>
          <cell r="AL32">
            <v>0</v>
          </cell>
          <cell r="AM32">
            <v>279886</v>
          </cell>
          <cell r="AN32">
            <v>0</v>
          </cell>
          <cell r="AO32">
            <v>-7442093</v>
          </cell>
          <cell r="AP32">
            <v>31505488</v>
          </cell>
        </row>
        <row r="34">
          <cell r="C34" t="str">
            <v xml:space="preserve"> CITRUS            </v>
          </cell>
          <cell r="D34" t="str">
            <v xml:space="preserve"> LOS ANGELES       </v>
          </cell>
          <cell r="E34">
            <v>820</v>
          </cell>
          <cell r="F34" t="str">
            <v xml:space="preserve"> 2015-2016</v>
          </cell>
          <cell r="G34" t="str">
            <v xml:space="preserve"> 04/15/2016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 xml:space="preserve"> 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4373214</v>
          </cell>
          <cell r="AC34">
            <v>120255</v>
          </cell>
          <cell r="AD34">
            <v>99571</v>
          </cell>
          <cell r="AE34">
            <v>40076</v>
          </cell>
          <cell r="AF34">
            <v>19036</v>
          </cell>
          <cell r="AG34">
            <v>0</v>
          </cell>
          <cell r="AH34">
            <v>0</v>
          </cell>
          <cell r="AI34">
            <v>95068</v>
          </cell>
          <cell r="AJ34">
            <v>0</v>
          </cell>
          <cell r="AK34">
            <v>253774</v>
          </cell>
          <cell r="AL34">
            <v>0</v>
          </cell>
          <cell r="AM34">
            <v>31261</v>
          </cell>
          <cell r="AN34">
            <v>1</v>
          </cell>
          <cell r="AO34">
            <v>0</v>
          </cell>
          <cell r="AP34">
            <v>4992180</v>
          </cell>
        </row>
        <row r="35">
          <cell r="C35" t="str">
            <v xml:space="preserve">CITRUS Subtotal       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4373214</v>
          </cell>
          <cell r="AC35">
            <v>120255</v>
          </cell>
          <cell r="AD35">
            <v>99571</v>
          </cell>
          <cell r="AE35">
            <v>40076</v>
          </cell>
          <cell r="AF35">
            <v>19036</v>
          </cell>
          <cell r="AG35">
            <v>0</v>
          </cell>
          <cell r="AH35">
            <v>0</v>
          </cell>
          <cell r="AI35">
            <v>95068</v>
          </cell>
          <cell r="AJ35">
            <v>0</v>
          </cell>
          <cell r="AK35">
            <v>253774</v>
          </cell>
          <cell r="AL35">
            <v>0</v>
          </cell>
          <cell r="AM35">
            <v>31261</v>
          </cell>
          <cell r="AN35">
            <v>1</v>
          </cell>
          <cell r="AO35">
            <v>0</v>
          </cell>
          <cell r="AP35">
            <v>4992180</v>
          </cell>
        </row>
        <row r="37">
          <cell r="C37" t="str">
            <v xml:space="preserve"> COAST             </v>
          </cell>
          <cell r="D37" t="str">
            <v xml:space="preserve"> ORANGE            </v>
          </cell>
          <cell r="E37">
            <v>830</v>
          </cell>
          <cell r="F37" t="str">
            <v xml:space="preserve"> 2015-2016</v>
          </cell>
          <cell r="G37" t="str">
            <v xml:space="preserve"> 04/15/2016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 xml:space="preserve"> 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99089799</v>
          </cell>
          <cell r="AC37">
            <v>2367247</v>
          </cell>
          <cell r="AD37">
            <v>3233811</v>
          </cell>
          <cell r="AE37">
            <v>1690546</v>
          </cell>
          <cell r="AF37">
            <v>803009</v>
          </cell>
          <cell r="AG37">
            <v>0</v>
          </cell>
          <cell r="AH37">
            <v>0</v>
          </cell>
          <cell r="AI37">
            <v>6130890</v>
          </cell>
          <cell r="AJ37">
            <v>663331</v>
          </cell>
          <cell r="AK37">
            <v>1467926</v>
          </cell>
          <cell r="AL37">
            <v>14</v>
          </cell>
          <cell r="AM37">
            <v>687158</v>
          </cell>
          <cell r="AN37">
            <v>0</v>
          </cell>
          <cell r="AO37">
            <v>6659864</v>
          </cell>
          <cell r="AP37">
            <v>121103049</v>
          </cell>
        </row>
        <row r="38">
          <cell r="C38" t="str">
            <v xml:space="preserve">COAST Subtotal         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99089799</v>
          </cell>
          <cell r="AC38">
            <v>2367247</v>
          </cell>
          <cell r="AD38">
            <v>3233811</v>
          </cell>
          <cell r="AE38">
            <v>1690546</v>
          </cell>
          <cell r="AF38">
            <v>803009</v>
          </cell>
          <cell r="AG38">
            <v>0</v>
          </cell>
          <cell r="AH38">
            <v>0</v>
          </cell>
          <cell r="AI38">
            <v>6130890</v>
          </cell>
          <cell r="AJ38">
            <v>663331</v>
          </cell>
          <cell r="AK38">
            <v>1467926</v>
          </cell>
          <cell r="AL38">
            <v>14</v>
          </cell>
          <cell r="AM38">
            <v>687158</v>
          </cell>
          <cell r="AN38">
            <v>0</v>
          </cell>
          <cell r="AO38">
            <v>6659864</v>
          </cell>
          <cell r="AP38">
            <v>121103049</v>
          </cell>
        </row>
        <row r="40">
          <cell r="C40" t="str">
            <v xml:space="preserve"> COMPTON           </v>
          </cell>
          <cell r="D40" t="str">
            <v xml:space="preserve"> LOS ANGELES       </v>
          </cell>
          <cell r="E40">
            <v>710</v>
          </cell>
          <cell r="F40" t="str">
            <v xml:space="preserve"> 2015-2016</v>
          </cell>
          <cell r="G40" t="str">
            <v xml:space="preserve"> 04/15/2016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 t="str">
            <v xml:space="preserve"> 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3911937</v>
          </cell>
          <cell r="AC40">
            <v>114816</v>
          </cell>
          <cell r="AD40">
            <v>60501</v>
          </cell>
          <cell r="AE40">
            <v>74278</v>
          </cell>
          <cell r="AF40">
            <v>35282</v>
          </cell>
          <cell r="AG40">
            <v>0</v>
          </cell>
          <cell r="AH40">
            <v>0</v>
          </cell>
          <cell r="AI40">
            <v>170464</v>
          </cell>
          <cell r="AJ40">
            <v>72529</v>
          </cell>
          <cell r="AK40">
            <v>74925</v>
          </cell>
          <cell r="AL40">
            <v>0</v>
          </cell>
          <cell r="AM40">
            <v>26988</v>
          </cell>
          <cell r="AN40">
            <v>119</v>
          </cell>
          <cell r="AO40">
            <v>0</v>
          </cell>
          <cell r="AP40">
            <v>4467561</v>
          </cell>
        </row>
        <row r="41">
          <cell r="C41" t="str">
            <v xml:space="preserve">COMPTON Subtotal           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3911937</v>
          </cell>
          <cell r="AC41">
            <v>114816</v>
          </cell>
          <cell r="AD41">
            <v>60501</v>
          </cell>
          <cell r="AE41">
            <v>74278</v>
          </cell>
          <cell r="AF41">
            <v>35282</v>
          </cell>
          <cell r="AG41">
            <v>0</v>
          </cell>
          <cell r="AH41">
            <v>0</v>
          </cell>
          <cell r="AI41">
            <v>170464</v>
          </cell>
          <cell r="AJ41">
            <v>72529</v>
          </cell>
          <cell r="AK41">
            <v>74925</v>
          </cell>
          <cell r="AL41">
            <v>0</v>
          </cell>
          <cell r="AM41">
            <v>26988</v>
          </cell>
          <cell r="AN41">
            <v>119</v>
          </cell>
          <cell r="AO41">
            <v>0</v>
          </cell>
          <cell r="AP41">
            <v>4467561</v>
          </cell>
        </row>
        <row r="43">
          <cell r="C43" t="str">
            <v xml:space="preserve"> CONTRA COSTA      </v>
          </cell>
          <cell r="D43" t="str">
            <v xml:space="preserve"> CONTRA COSTA      </v>
          </cell>
          <cell r="E43">
            <v>310</v>
          </cell>
          <cell r="F43" t="str">
            <v xml:space="preserve"> 2015-2016</v>
          </cell>
          <cell r="G43" t="str">
            <v xml:space="preserve"> 04/15/2016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 t="str">
            <v xml:space="preserve"> 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74598215</v>
          </cell>
          <cell r="AC43">
            <v>871300</v>
          </cell>
          <cell r="AD43">
            <v>2783796</v>
          </cell>
          <cell r="AE43">
            <v>131500</v>
          </cell>
          <cell r="AF43">
            <v>62463</v>
          </cell>
          <cell r="AG43">
            <v>0</v>
          </cell>
          <cell r="AH43">
            <v>0</v>
          </cell>
          <cell r="AI43">
            <v>1689500</v>
          </cell>
          <cell r="AJ43">
            <v>556800</v>
          </cell>
          <cell r="AK43">
            <v>0</v>
          </cell>
          <cell r="AL43">
            <v>0</v>
          </cell>
          <cell r="AM43">
            <v>654255</v>
          </cell>
          <cell r="AN43">
            <v>7536</v>
          </cell>
          <cell r="AO43">
            <v>8244428</v>
          </cell>
          <cell r="AP43">
            <v>89468293</v>
          </cell>
        </row>
        <row r="44">
          <cell r="C44" t="str">
            <v xml:space="preserve">CONTRA COSTA Subtotal   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74598215</v>
          </cell>
          <cell r="AC44">
            <v>871300</v>
          </cell>
          <cell r="AD44">
            <v>2783796</v>
          </cell>
          <cell r="AE44">
            <v>131500</v>
          </cell>
          <cell r="AF44">
            <v>62463</v>
          </cell>
          <cell r="AG44">
            <v>0</v>
          </cell>
          <cell r="AH44">
            <v>0</v>
          </cell>
          <cell r="AI44">
            <v>1689500</v>
          </cell>
          <cell r="AJ44">
            <v>556800</v>
          </cell>
          <cell r="AK44">
            <v>0</v>
          </cell>
          <cell r="AL44">
            <v>0</v>
          </cell>
          <cell r="AM44">
            <v>654255</v>
          </cell>
          <cell r="AN44">
            <v>7536</v>
          </cell>
          <cell r="AO44">
            <v>8244428</v>
          </cell>
          <cell r="AP44">
            <v>89468293</v>
          </cell>
        </row>
        <row r="46">
          <cell r="C46" t="str">
            <v xml:space="preserve"> COPPER MOUNTAIN</v>
          </cell>
          <cell r="D46" t="str">
            <v xml:space="preserve"> SAN BERNARDINO    </v>
          </cell>
          <cell r="E46">
            <v>970</v>
          </cell>
          <cell r="F46" t="str">
            <v xml:space="preserve"> 2015-2016</v>
          </cell>
          <cell r="G46" t="str">
            <v xml:space="preserve"> 04/15/2016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 t="str">
            <v xml:space="preserve"> 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1671268</v>
          </cell>
          <cell r="AC46">
            <v>31703</v>
          </cell>
          <cell r="AD46">
            <v>63094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23718</v>
          </cell>
          <cell r="AJ46">
            <v>0</v>
          </cell>
          <cell r="AK46">
            <v>2065</v>
          </cell>
          <cell r="AL46">
            <v>0</v>
          </cell>
          <cell r="AM46">
            <v>17593</v>
          </cell>
          <cell r="AN46">
            <v>0</v>
          </cell>
          <cell r="AO46">
            <v>-467781</v>
          </cell>
          <cell r="AP46">
            <v>1341660</v>
          </cell>
        </row>
        <row r="47">
          <cell r="C47" t="str">
            <v>COPPER MOUNTAIN Subtotal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1671268</v>
          </cell>
          <cell r="AC47">
            <v>31703</v>
          </cell>
          <cell r="AD47">
            <v>63094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23718</v>
          </cell>
          <cell r="AJ47">
            <v>0</v>
          </cell>
          <cell r="AK47">
            <v>2065</v>
          </cell>
          <cell r="AL47">
            <v>0</v>
          </cell>
          <cell r="AM47">
            <v>17593</v>
          </cell>
          <cell r="AN47">
            <v>0</v>
          </cell>
          <cell r="AO47">
            <v>-467781</v>
          </cell>
          <cell r="AP47">
            <v>1341660</v>
          </cell>
        </row>
        <row r="49">
          <cell r="C49" t="str">
            <v xml:space="preserve"> DESERT            </v>
          </cell>
          <cell r="D49" t="str">
            <v xml:space="preserve"> IMPERIAL          </v>
          </cell>
          <cell r="E49">
            <v>930</v>
          </cell>
          <cell r="F49" t="str">
            <v xml:space="preserve"> 2015-2016</v>
          </cell>
          <cell r="G49" t="str">
            <v xml:space="preserve"> 04/15/2016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 t="str">
            <v xml:space="preserve"> 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172555</v>
          </cell>
          <cell r="AC49">
            <v>1189</v>
          </cell>
          <cell r="AD49">
            <v>19029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1790</v>
          </cell>
          <cell r="AN49">
            <v>0</v>
          </cell>
          <cell r="AO49">
            <v>0</v>
          </cell>
          <cell r="AP49">
            <v>194563</v>
          </cell>
        </row>
        <row r="50">
          <cell r="C50" t="str">
            <v xml:space="preserve"> DESERT            </v>
          </cell>
          <cell r="D50" t="str">
            <v xml:space="preserve"> RIVERSIDE         </v>
          </cell>
          <cell r="E50">
            <v>930</v>
          </cell>
          <cell r="F50" t="str">
            <v xml:space="preserve"> 2015-2016</v>
          </cell>
          <cell r="G50" t="str">
            <v xml:space="preserve"> 04/15/2016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 xml:space="preserve"> 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24408280</v>
          </cell>
          <cell r="AC50">
            <v>577350</v>
          </cell>
          <cell r="AD50">
            <v>1049554</v>
          </cell>
          <cell r="AE50">
            <v>575838</v>
          </cell>
          <cell r="AF50">
            <v>273523</v>
          </cell>
          <cell r="AG50">
            <v>0</v>
          </cell>
          <cell r="AH50">
            <v>0</v>
          </cell>
          <cell r="AI50">
            <v>4432377</v>
          </cell>
          <cell r="AJ50">
            <v>268892</v>
          </cell>
          <cell r="AK50">
            <v>725289</v>
          </cell>
          <cell r="AL50">
            <v>0</v>
          </cell>
          <cell r="AM50">
            <v>322038</v>
          </cell>
          <cell r="AN50">
            <v>0</v>
          </cell>
          <cell r="AO50">
            <v>-3016971</v>
          </cell>
          <cell r="AP50">
            <v>29040332</v>
          </cell>
        </row>
        <row r="51">
          <cell r="C51" t="str">
            <v xml:space="preserve">DESERT Subtotal          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24580835</v>
          </cell>
          <cell r="AC51">
            <v>578539</v>
          </cell>
          <cell r="AD51">
            <v>1068583</v>
          </cell>
          <cell r="AE51">
            <v>575838</v>
          </cell>
          <cell r="AF51">
            <v>273523</v>
          </cell>
          <cell r="AG51">
            <v>0</v>
          </cell>
          <cell r="AH51">
            <v>0</v>
          </cell>
          <cell r="AI51">
            <v>4432377</v>
          </cell>
          <cell r="AJ51">
            <v>268892</v>
          </cell>
          <cell r="AK51">
            <v>725289</v>
          </cell>
          <cell r="AL51">
            <v>0</v>
          </cell>
          <cell r="AM51">
            <v>323828</v>
          </cell>
          <cell r="AN51">
            <v>0</v>
          </cell>
          <cell r="AO51">
            <v>-3016971</v>
          </cell>
          <cell r="AP51">
            <v>29234895</v>
          </cell>
        </row>
        <row r="53">
          <cell r="C53" t="str">
            <v xml:space="preserve"> EL CAMINO         </v>
          </cell>
          <cell r="D53" t="str">
            <v xml:space="preserve"> LOS ANGELES       </v>
          </cell>
          <cell r="E53">
            <v>720</v>
          </cell>
          <cell r="F53" t="str">
            <v xml:space="preserve"> 2015-2016</v>
          </cell>
          <cell r="G53" t="str">
            <v xml:space="preserve"> 04/15/2016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 t="str">
            <v xml:space="preserve"> 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25848787</v>
          </cell>
          <cell r="AC53">
            <v>698132</v>
          </cell>
          <cell r="AD53">
            <v>1011810</v>
          </cell>
          <cell r="AE53">
            <v>47890</v>
          </cell>
          <cell r="AF53">
            <v>22748</v>
          </cell>
          <cell r="AG53">
            <v>0</v>
          </cell>
          <cell r="AH53">
            <v>0</v>
          </cell>
          <cell r="AI53">
            <v>111348</v>
          </cell>
          <cell r="AJ53">
            <v>0</v>
          </cell>
          <cell r="AK53">
            <v>585379</v>
          </cell>
          <cell r="AL53">
            <v>0</v>
          </cell>
          <cell r="AM53">
            <v>183288</v>
          </cell>
          <cell r="AN53">
            <v>12</v>
          </cell>
          <cell r="AO53">
            <v>0</v>
          </cell>
          <cell r="AP53">
            <v>28461504</v>
          </cell>
        </row>
        <row r="54">
          <cell r="C54" t="str">
            <v xml:space="preserve">EL CAMINO Subtotal     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25848787</v>
          </cell>
          <cell r="AC54">
            <v>698132</v>
          </cell>
          <cell r="AD54">
            <v>1011810</v>
          </cell>
          <cell r="AE54">
            <v>47890</v>
          </cell>
          <cell r="AF54">
            <v>22748</v>
          </cell>
          <cell r="AG54">
            <v>0</v>
          </cell>
          <cell r="AH54">
            <v>0</v>
          </cell>
          <cell r="AI54">
            <v>111348</v>
          </cell>
          <cell r="AJ54">
            <v>0</v>
          </cell>
          <cell r="AK54">
            <v>585379</v>
          </cell>
          <cell r="AL54">
            <v>0</v>
          </cell>
          <cell r="AM54">
            <v>183288</v>
          </cell>
          <cell r="AN54">
            <v>12</v>
          </cell>
          <cell r="AO54">
            <v>0</v>
          </cell>
          <cell r="AP54">
            <v>28461504</v>
          </cell>
        </row>
        <row r="56">
          <cell r="C56" t="str">
            <v xml:space="preserve"> FEATHER RIVER     </v>
          </cell>
          <cell r="D56" t="str">
            <v xml:space="preserve"> PLUMAS            </v>
          </cell>
          <cell r="E56">
            <v>120</v>
          </cell>
          <cell r="F56" t="str">
            <v xml:space="preserve"> 2015-2016</v>
          </cell>
          <cell r="G56" t="str">
            <v xml:space="preserve"> 04/15/2016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 t="str">
            <v xml:space="preserve"> 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4402088</v>
          </cell>
          <cell r="AC56">
            <v>622890</v>
          </cell>
          <cell r="AD56">
            <v>101926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2938</v>
          </cell>
          <cell r="AL56">
            <v>42753</v>
          </cell>
          <cell r="AM56">
            <v>37854</v>
          </cell>
          <cell r="AN56">
            <v>0</v>
          </cell>
          <cell r="AO56">
            <v>1249906</v>
          </cell>
          <cell r="AP56">
            <v>6460355</v>
          </cell>
        </row>
        <row r="57">
          <cell r="C57" t="str">
            <v xml:space="preserve">FEATHER RIVER Subtotal     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4402088</v>
          </cell>
          <cell r="AC57">
            <v>622890</v>
          </cell>
          <cell r="AD57">
            <v>101926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2938</v>
          </cell>
          <cell r="AL57">
            <v>42753</v>
          </cell>
          <cell r="AM57">
            <v>37854</v>
          </cell>
          <cell r="AN57">
            <v>0</v>
          </cell>
          <cell r="AO57">
            <v>1249906</v>
          </cell>
          <cell r="AP57">
            <v>6460355</v>
          </cell>
        </row>
        <row r="59">
          <cell r="C59" t="str">
            <v xml:space="preserve"> FOOTHILL-DEANZA   </v>
          </cell>
          <cell r="D59" t="str">
            <v xml:space="preserve"> SANTA CLARA       </v>
          </cell>
          <cell r="E59">
            <v>420</v>
          </cell>
          <cell r="F59" t="str">
            <v xml:space="preserve"> 2015-2016</v>
          </cell>
          <cell r="G59" t="str">
            <v xml:space="preserve"> 04/15/2016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 t="str">
            <v xml:space="preserve"> 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84509724</v>
          </cell>
          <cell r="AC59">
            <v>2384000</v>
          </cell>
          <cell r="AD59">
            <v>6401655</v>
          </cell>
          <cell r="AE59">
            <v>20436</v>
          </cell>
          <cell r="AF59">
            <v>9707</v>
          </cell>
          <cell r="AG59">
            <v>0</v>
          </cell>
          <cell r="AH59">
            <v>0</v>
          </cell>
          <cell r="AI59">
            <v>661347</v>
          </cell>
          <cell r="AJ59">
            <v>977526</v>
          </cell>
          <cell r="AK59">
            <v>0</v>
          </cell>
          <cell r="AL59">
            <v>19</v>
          </cell>
          <cell r="AM59">
            <v>460786</v>
          </cell>
          <cell r="AN59">
            <v>0</v>
          </cell>
          <cell r="AO59">
            <v>-3017000</v>
          </cell>
          <cell r="AP59">
            <v>92387764</v>
          </cell>
        </row>
        <row r="60">
          <cell r="C60" t="str">
            <v xml:space="preserve">FOOTHILL-DEANZA Subtotal  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84509724</v>
          </cell>
          <cell r="AC60">
            <v>2384000</v>
          </cell>
          <cell r="AD60">
            <v>6401655</v>
          </cell>
          <cell r="AE60">
            <v>20436</v>
          </cell>
          <cell r="AF60">
            <v>9707</v>
          </cell>
          <cell r="AG60">
            <v>0</v>
          </cell>
          <cell r="AH60">
            <v>0</v>
          </cell>
          <cell r="AI60">
            <v>661347</v>
          </cell>
          <cell r="AJ60">
            <v>977526</v>
          </cell>
          <cell r="AK60">
            <v>0</v>
          </cell>
          <cell r="AL60">
            <v>19</v>
          </cell>
          <cell r="AM60">
            <v>460786</v>
          </cell>
          <cell r="AN60">
            <v>0</v>
          </cell>
          <cell r="AO60">
            <v>-3017000</v>
          </cell>
          <cell r="AP60">
            <v>92387764</v>
          </cell>
        </row>
        <row r="62">
          <cell r="C62" t="str">
            <v xml:space="preserve"> GAVILAN           </v>
          </cell>
          <cell r="D62" t="str">
            <v xml:space="preserve"> SAN BENITO        </v>
          </cell>
          <cell r="E62">
            <v>440</v>
          </cell>
          <cell r="F62" t="str">
            <v xml:space="preserve"> 2015-2016</v>
          </cell>
          <cell r="G62" t="str">
            <v xml:space="preserve"> 04/15/2016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 t="str">
            <v xml:space="preserve"> 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4664852</v>
          </cell>
          <cell r="AC62">
            <v>62251</v>
          </cell>
          <cell r="AD62">
            <v>229441</v>
          </cell>
          <cell r="AE62">
            <v>39592</v>
          </cell>
          <cell r="AF62">
            <v>18806</v>
          </cell>
          <cell r="AG62">
            <v>0</v>
          </cell>
          <cell r="AH62">
            <v>0</v>
          </cell>
          <cell r="AI62">
            <v>552635</v>
          </cell>
          <cell r="AJ62">
            <v>0</v>
          </cell>
          <cell r="AK62">
            <v>0</v>
          </cell>
          <cell r="AL62">
            <v>0</v>
          </cell>
          <cell r="AM62">
            <v>44556</v>
          </cell>
          <cell r="AN62">
            <v>0</v>
          </cell>
          <cell r="AO62">
            <v>-1278</v>
          </cell>
          <cell r="AP62">
            <v>5571263</v>
          </cell>
        </row>
        <row r="63">
          <cell r="C63" t="str">
            <v xml:space="preserve"> GAVILAN           </v>
          </cell>
          <cell r="D63" t="str">
            <v xml:space="preserve"> SANTA CLARA       </v>
          </cell>
          <cell r="E63">
            <v>440</v>
          </cell>
          <cell r="F63" t="str">
            <v xml:space="preserve"> 2015-2016</v>
          </cell>
          <cell r="G63" t="str">
            <v xml:space="preserve"> 04/15/2016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 xml:space="preserve"> 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9856963</v>
          </cell>
          <cell r="AC63">
            <v>312000</v>
          </cell>
          <cell r="AD63">
            <v>815660</v>
          </cell>
          <cell r="AE63">
            <v>272246</v>
          </cell>
          <cell r="AF63">
            <v>129317</v>
          </cell>
          <cell r="AG63">
            <v>0</v>
          </cell>
          <cell r="AH63">
            <v>0</v>
          </cell>
          <cell r="AI63">
            <v>623408</v>
          </cell>
          <cell r="AJ63">
            <v>135466</v>
          </cell>
          <cell r="AK63">
            <v>0</v>
          </cell>
          <cell r="AL63">
            <v>26</v>
          </cell>
          <cell r="AM63">
            <v>58478</v>
          </cell>
          <cell r="AN63">
            <v>0</v>
          </cell>
          <cell r="AO63">
            <v>-383000</v>
          </cell>
          <cell r="AP63">
            <v>11548318</v>
          </cell>
        </row>
        <row r="64">
          <cell r="C64" t="str">
            <v xml:space="preserve">GAVILAN Subtotal          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14521815</v>
          </cell>
          <cell r="AC64">
            <v>374251</v>
          </cell>
          <cell r="AD64">
            <v>1045101</v>
          </cell>
          <cell r="AE64">
            <v>311838</v>
          </cell>
          <cell r="AF64">
            <v>148123</v>
          </cell>
          <cell r="AG64">
            <v>0</v>
          </cell>
          <cell r="AH64">
            <v>0</v>
          </cell>
          <cell r="AI64">
            <v>1176043</v>
          </cell>
          <cell r="AJ64">
            <v>135466</v>
          </cell>
          <cell r="AK64">
            <v>0</v>
          </cell>
          <cell r="AL64">
            <v>26</v>
          </cell>
          <cell r="AM64">
            <v>103034</v>
          </cell>
          <cell r="AN64">
            <v>0</v>
          </cell>
          <cell r="AO64">
            <v>-384278</v>
          </cell>
          <cell r="AP64">
            <v>17119581</v>
          </cell>
        </row>
        <row r="66">
          <cell r="C66" t="str">
            <v xml:space="preserve"> GLENDALE          </v>
          </cell>
          <cell r="D66" t="str">
            <v xml:space="preserve"> LOS ANGELES       </v>
          </cell>
          <cell r="E66">
            <v>730</v>
          </cell>
          <cell r="F66" t="str">
            <v xml:space="preserve"> 2015-2016</v>
          </cell>
          <cell r="G66" t="str">
            <v xml:space="preserve"> 04/15/2016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 t="str">
            <v xml:space="preserve"> 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9127989</v>
          </cell>
          <cell r="AC66">
            <v>256171</v>
          </cell>
          <cell r="AD66">
            <v>216843</v>
          </cell>
          <cell r="AE66">
            <v>76525</v>
          </cell>
          <cell r="AF66">
            <v>36349</v>
          </cell>
          <cell r="AG66">
            <v>0</v>
          </cell>
          <cell r="AH66">
            <v>0</v>
          </cell>
          <cell r="AI66">
            <v>420253</v>
          </cell>
          <cell r="AJ66">
            <v>0</v>
          </cell>
          <cell r="AK66">
            <v>215854</v>
          </cell>
          <cell r="AL66">
            <v>0</v>
          </cell>
          <cell r="AM66">
            <v>64826</v>
          </cell>
          <cell r="AN66">
            <v>0</v>
          </cell>
          <cell r="AO66">
            <v>0</v>
          </cell>
          <cell r="AP66">
            <v>10338285</v>
          </cell>
        </row>
        <row r="67">
          <cell r="C67" t="str">
            <v>GLENDALE Subtotal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9127989</v>
          </cell>
          <cell r="AC67">
            <v>256171</v>
          </cell>
          <cell r="AD67">
            <v>216843</v>
          </cell>
          <cell r="AE67">
            <v>76525</v>
          </cell>
          <cell r="AF67">
            <v>36349</v>
          </cell>
          <cell r="AG67">
            <v>0</v>
          </cell>
          <cell r="AH67">
            <v>0</v>
          </cell>
          <cell r="AI67">
            <v>420253</v>
          </cell>
          <cell r="AJ67">
            <v>0</v>
          </cell>
          <cell r="AK67">
            <v>215854</v>
          </cell>
          <cell r="AL67">
            <v>0</v>
          </cell>
          <cell r="AM67">
            <v>64826</v>
          </cell>
          <cell r="AN67">
            <v>0</v>
          </cell>
          <cell r="AO67">
            <v>0</v>
          </cell>
          <cell r="AP67">
            <v>10338285</v>
          </cell>
        </row>
        <row r="69">
          <cell r="C69" t="str">
            <v xml:space="preserve"> GROSSMONT-CUYAMACA</v>
          </cell>
          <cell r="D69" t="str">
            <v xml:space="preserve"> SAN DIEGO         </v>
          </cell>
          <cell r="E69">
            <v>20</v>
          </cell>
          <cell r="F69" t="str">
            <v xml:space="preserve"> 2015-2016</v>
          </cell>
          <cell r="G69" t="str">
            <v xml:space="preserve"> 04/15/2016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 t="str">
            <v xml:space="preserve"> 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33988992</v>
          </cell>
          <cell r="AC69">
            <v>704498</v>
          </cell>
          <cell r="AD69">
            <v>1091913</v>
          </cell>
          <cell r="AE69">
            <v>208095</v>
          </cell>
          <cell r="AF69">
            <v>98845</v>
          </cell>
          <cell r="AG69">
            <v>0</v>
          </cell>
          <cell r="AH69">
            <v>0</v>
          </cell>
          <cell r="AI69">
            <v>1255605</v>
          </cell>
          <cell r="AJ69">
            <v>153110</v>
          </cell>
          <cell r="AK69">
            <v>-18503</v>
          </cell>
          <cell r="AL69">
            <v>0</v>
          </cell>
          <cell r="AM69">
            <v>271008</v>
          </cell>
          <cell r="AN69">
            <v>0</v>
          </cell>
          <cell r="AO69">
            <v>-1335323</v>
          </cell>
          <cell r="AP69">
            <v>36210145</v>
          </cell>
        </row>
        <row r="70">
          <cell r="C70" t="str">
            <v>GROSSMONT-CUYAMACA Subtotal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33988992</v>
          </cell>
          <cell r="AC70">
            <v>704498</v>
          </cell>
          <cell r="AD70">
            <v>1091913</v>
          </cell>
          <cell r="AE70">
            <v>208095</v>
          </cell>
          <cell r="AF70">
            <v>98845</v>
          </cell>
          <cell r="AG70">
            <v>0</v>
          </cell>
          <cell r="AH70">
            <v>0</v>
          </cell>
          <cell r="AI70">
            <v>1255605</v>
          </cell>
          <cell r="AJ70">
            <v>153110</v>
          </cell>
          <cell r="AK70">
            <v>-18503</v>
          </cell>
          <cell r="AL70">
            <v>0</v>
          </cell>
          <cell r="AM70">
            <v>271008</v>
          </cell>
          <cell r="AN70">
            <v>0</v>
          </cell>
          <cell r="AO70">
            <v>-1335323</v>
          </cell>
          <cell r="AP70">
            <v>36210145</v>
          </cell>
        </row>
        <row r="72">
          <cell r="C72" t="str">
            <v xml:space="preserve"> HARTNELL          </v>
          </cell>
          <cell r="D72" t="str">
            <v xml:space="preserve"> MONTEREY          </v>
          </cell>
          <cell r="E72">
            <v>450</v>
          </cell>
          <cell r="F72" t="str">
            <v xml:space="preserve"> 2015-2016</v>
          </cell>
          <cell r="G72" t="str">
            <v xml:space="preserve"> 04/15/2016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 t="str">
            <v xml:space="preserve"> 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18654252</v>
          </cell>
          <cell r="AC72">
            <v>222761</v>
          </cell>
          <cell r="AD72">
            <v>756359</v>
          </cell>
          <cell r="AE72">
            <v>82600</v>
          </cell>
          <cell r="AF72">
            <v>39235</v>
          </cell>
          <cell r="AG72">
            <v>0</v>
          </cell>
          <cell r="AH72">
            <v>0</v>
          </cell>
          <cell r="AI72">
            <v>795166</v>
          </cell>
          <cell r="AJ72">
            <v>0</v>
          </cell>
          <cell r="AK72">
            <v>179849</v>
          </cell>
          <cell r="AL72">
            <v>0</v>
          </cell>
          <cell r="AM72">
            <v>108238</v>
          </cell>
          <cell r="AN72">
            <v>0</v>
          </cell>
          <cell r="AO72">
            <v>0</v>
          </cell>
          <cell r="AP72">
            <v>20755860</v>
          </cell>
        </row>
        <row r="73">
          <cell r="C73" t="str">
            <v xml:space="preserve"> HARTNELL          </v>
          </cell>
          <cell r="D73" t="str">
            <v xml:space="preserve"> SAN BENITO        </v>
          </cell>
          <cell r="E73">
            <v>450</v>
          </cell>
          <cell r="F73" t="str">
            <v xml:space="preserve"> 2015-2016</v>
          </cell>
          <cell r="G73" t="str">
            <v xml:space="preserve"> 04/15/2016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 xml:space="preserve"> 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71835</v>
          </cell>
          <cell r="AC73">
            <v>772</v>
          </cell>
          <cell r="AD73">
            <v>3419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664</v>
          </cell>
          <cell r="AN73">
            <v>0</v>
          </cell>
          <cell r="AO73">
            <v>-19</v>
          </cell>
          <cell r="AP73">
            <v>76671</v>
          </cell>
        </row>
        <row r="74">
          <cell r="C74" t="str">
            <v xml:space="preserve">HARTNELL Subtotal         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18726087</v>
          </cell>
          <cell r="AC74">
            <v>223533</v>
          </cell>
          <cell r="AD74">
            <v>759778</v>
          </cell>
          <cell r="AE74">
            <v>82600</v>
          </cell>
          <cell r="AF74">
            <v>39235</v>
          </cell>
          <cell r="AG74">
            <v>0</v>
          </cell>
          <cell r="AH74">
            <v>0</v>
          </cell>
          <cell r="AI74">
            <v>795166</v>
          </cell>
          <cell r="AJ74">
            <v>0</v>
          </cell>
          <cell r="AK74">
            <v>179849</v>
          </cell>
          <cell r="AL74">
            <v>0</v>
          </cell>
          <cell r="AM74">
            <v>108902</v>
          </cell>
          <cell r="AN74">
            <v>0</v>
          </cell>
          <cell r="AO74">
            <v>-19</v>
          </cell>
          <cell r="AP74">
            <v>20832531</v>
          </cell>
        </row>
        <row r="76">
          <cell r="C76" t="str">
            <v xml:space="preserve"> IMPERIAL          </v>
          </cell>
          <cell r="D76" t="str">
            <v xml:space="preserve"> IMPERIAL          </v>
          </cell>
          <cell r="E76">
            <v>30</v>
          </cell>
          <cell r="F76" t="str">
            <v xml:space="preserve"> 2015-2016</v>
          </cell>
          <cell r="G76" t="str">
            <v xml:space="preserve"> 04/15/2016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 t="str">
            <v xml:space="preserve"> 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7540129</v>
          </cell>
          <cell r="AC76">
            <v>50020</v>
          </cell>
          <cell r="AD76">
            <v>859596</v>
          </cell>
          <cell r="AE76">
            <v>162009</v>
          </cell>
          <cell r="AF76">
            <v>76954</v>
          </cell>
          <cell r="AG76">
            <v>0</v>
          </cell>
          <cell r="AH76">
            <v>0</v>
          </cell>
          <cell r="AI76">
            <v>321212</v>
          </cell>
          <cell r="AJ76">
            <v>0</v>
          </cell>
          <cell r="AK76">
            <v>0</v>
          </cell>
          <cell r="AL76">
            <v>0</v>
          </cell>
          <cell r="AM76">
            <v>80876</v>
          </cell>
          <cell r="AN76">
            <v>0</v>
          </cell>
          <cell r="AO76">
            <v>-2247889</v>
          </cell>
          <cell r="AP76">
            <v>6680898</v>
          </cell>
        </row>
        <row r="77">
          <cell r="C77" t="str">
            <v xml:space="preserve">IMPERIAL Subtotal         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7540129</v>
          </cell>
          <cell r="AC77">
            <v>50020</v>
          </cell>
          <cell r="AD77">
            <v>859596</v>
          </cell>
          <cell r="AE77">
            <v>162009</v>
          </cell>
          <cell r="AF77">
            <v>76954</v>
          </cell>
          <cell r="AG77">
            <v>0</v>
          </cell>
          <cell r="AH77">
            <v>0</v>
          </cell>
          <cell r="AI77">
            <v>321212</v>
          </cell>
          <cell r="AJ77">
            <v>0</v>
          </cell>
          <cell r="AK77">
            <v>0</v>
          </cell>
          <cell r="AL77">
            <v>0</v>
          </cell>
          <cell r="AM77">
            <v>80876</v>
          </cell>
          <cell r="AN77">
            <v>0</v>
          </cell>
          <cell r="AO77">
            <v>-2247889</v>
          </cell>
          <cell r="AP77">
            <v>6680898</v>
          </cell>
        </row>
        <row r="79">
          <cell r="C79" t="str">
            <v xml:space="preserve"> KERN              </v>
          </cell>
          <cell r="D79" t="str">
            <v xml:space="preserve"> INYO              </v>
          </cell>
          <cell r="E79">
            <v>520</v>
          </cell>
          <cell r="F79" t="str">
            <v xml:space="preserve"> 2015-2016</v>
          </cell>
          <cell r="G79" t="str">
            <v xml:space="preserve"> 04/15/2016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 t="str">
            <v xml:space="preserve"> 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280396</v>
          </cell>
          <cell r="AC79">
            <v>407</v>
          </cell>
          <cell r="AD79">
            <v>37600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5096</v>
          </cell>
          <cell r="AL79">
            <v>0</v>
          </cell>
          <cell r="AM79">
            <v>1590</v>
          </cell>
          <cell r="AN79">
            <v>0</v>
          </cell>
          <cell r="AO79">
            <v>0</v>
          </cell>
          <cell r="AP79">
            <v>325089</v>
          </cell>
        </row>
        <row r="80">
          <cell r="C80" t="str">
            <v xml:space="preserve"> KERN              </v>
          </cell>
          <cell r="D80" t="str">
            <v xml:space="preserve"> KERN              </v>
          </cell>
          <cell r="E80">
            <v>520</v>
          </cell>
          <cell r="F80" t="str">
            <v xml:space="preserve"> 2015-2016</v>
          </cell>
          <cell r="G80" t="str">
            <v xml:space="preserve"> 04/15/2016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 xml:space="preserve"> 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45633051</v>
          </cell>
          <cell r="AC80">
            <v>715003</v>
          </cell>
          <cell r="AD80">
            <v>4680452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132441</v>
          </cell>
          <cell r="AJ80">
            <v>0</v>
          </cell>
          <cell r="AK80">
            <v>2626837</v>
          </cell>
          <cell r="AL80">
            <v>0</v>
          </cell>
          <cell r="AM80">
            <v>410465</v>
          </cell>
          <cell r="AN80">
            <v>0</v>
          </cell>
          <cell r="AO80">
            <v>-5272823</v>
          </cell>
          <cell r="AP80">
            <v>48925426</v>
          </cell>
        </row>
        <row r="81">
          <cell r="C81" t="str">
            <v xml:space="preserve"> KERN              </v>
          </cell>
          <cell r="D81" t="str">
            <v xml:space="preserve"> SAN BERNARDINO    </v>
          </cell>
          <cell r="E81">
            <v>520</v>
          </cell>
          <cell r="F81" t="str">
            <v xml:space="preserve"> 2015-2016</v>
          </cell>
          <cell r="G81" t="str">
            <v xml:space="preserve"> 04/15/2016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 xml:space="preserve"> 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49872</v>
          </cell>
          <cell r="AC81">
            <v>913</v>
          </cell>
          <cell r="AD81">
            <v>1521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965</v>
          </cell>
          <cell r="AL81">
            <v>0</v>
          </cell>
          <cell r="AM81">
            <v>424</v>
          </cell>
          <cell r="AN81">
            <v>0</v>
          </cell>
          <cell r="AO81">
            <v>0</v>
          </cell>
          <cell r="AP81">
            <v>53695</v>
          </cell>
        </row>
        <row r="82">
          <cell r="C82" t="str">
            <v xml:space="preserve"> KERN              </v>
          </cell>
          <cell r="D82" t="str">
            <v xml:space="preserve"> TULARE            </v>
          </cell>
          <cell r="E82">
            <v>520</v>
          </cell>
          <cell r="F82" t="str">
            <v xml:space="preserve"> 2015-2016</v>
          </cell>
          <cell r="G82" t="str">
            <v xml:space="preserve"> 04/15/2016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 xml:space="preserve"> 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4578256</v>
          </cell>
          <cell r="AC82">
            <v>34973</v>
          </cell>
          <cell r="AD82">
            <v>256988</v>
          </cell>
          <cell r="AE82">
            <v>12598</v>
          </cell>
          <cell r="AF82">
            <v>5984</v>
          </cell>
          <cell r="AG82">
            <v>0</v>
          </cell>
          <cell r="AH82">
            <v>0</v>
          </cell>
          <cell r="AI82">
            <v>65561</v>
          </cell>
          <cell r="AJ82">
            <v>0</v>
          </cell>
          <cell r="AK82">
            <v>0</v>
          </cell>
          <cell r="AL82">
            <v>0</v>
          </cell>
          <cell r="AM82">
            <v>48717</v>
          </cell>
          <cell r="AN82">
            <v>0</v>
          </cell>
          <cell r="AO82">
            <v>-511513</v>
          </cell>
          <cell r="AP82">
            <v>4478966</v>
          </cell>
        </row>
        <row r="83">
          <cell r="C83" t="str">
            <v>KERN Subtotal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50541575</v>
          </cell>
          <cell r="AC83">
            <v>751296</v>
          </cell>
          <cell r="AD83">
            <v>4976561</v>
          </cell>
          <cell r="AE83">
            <v>12598</v>
          </cell>
          <cell r="AF83">
            <v>5984</v>
          </cell>
          <cell r="AG83">
            <v>0</v>
          </cell>
          <cell r="AH83">
            <v>0</v>
          </cell>
          <cell r="AI83">
            <v>198002</v>
          </cell>
          <cell r="AJ83">
            <v>0</v>
          </cell>
          <cell r="AK83">
            <v>2632898</v>
          </cell>
          <cell r="AL83">
            <v>0</v>
          </cell>
          <cell r="AM83">
            <v>461196</v>
          </cell>
          <cell r="AN83">
            <v>0</v>
          </cell>
          <cell r="AO83">
            <v>-5784336</v>
          </cell>
          <cell r="AP83">
            <v>53783176</v>
          </cell>
        </row>
        <row r="85">
          <cell r="C85" t="str">
            <v xml:space="preserve"> LAKE TAHOE        </v>
          </cell>
          <cell r="D85" t="str">
            <v xml:space="preserve"> EL DORADO         </v>
          </cell>
          <cell r="E85">
            <v>220</v>
          </cell>
          <cell r="F85" t="str">
            <v xml:space="preserve"> 2015-2016</v>
          </cell>
          <cell r="G85" t="str">
            <v xml:space="preserve"> 04/15/2016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 t="str">
            <v xml:space="preserve"> 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3722324</v>
          </cell>
          <cell r="AC85">
            <v>33485</v>
          </cell>
          <cell r="AD85">
            <v>77206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1173</v>
          </cell>
          <cell r="AL85">
            <v>150</v>
          </cell>
          <cell r="AM85">
            <v>39318</v>
          </cell>
          <cell r="AN85">
            <v>0</v>
          </cell>
          <cell r="AO85">
            <v>0</v>
          </cell>
          <cell r="AP85">
            <v>3873656</v>
          </cell>
        </row>
        <row r="86">
          <cell r="C86" t="str">
            <v xml:space="preserve">LAKE TAHOE Subtotal        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3722324</v>
          </cell>
          <cell r="AC86">
            <v>33485</v>
          </cell>
          <cell r="AD86">
            <v>77206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1173</v>
          </cell>
          <cell r="AL86">
            <v>150</v>
          </cell>
          <cell r="AM86">
            <v>39318</v>
          </cell>
          <cell r="AN86">
            <v>0</v>
          </cell>
          <cell r="AO86">
            <v>0</v>
          </cell>
          <cell r="AP86">
            <v>3873656</v>
          </cell>
        </row>
        <row r="88">
          <cell r="C88" t="str">
            <v xml:space="preserve"> LASSEN            </v>
          </cell>
          <cell r="D88" t="str">
            <v xml:space="preserve"> LASSEN            </v>
          </cell>
          <cell r="E88">
            <v>130</v>
          </cell>
          <cell r="F88" t="str">
            <v xml:space="preserve"> 2015-2016</v>
          </cell>
          <cell r="G88" t="str">
            <v xml:space="preserve"> 04/15/2016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 t="str">
            <v xml:space="preserve"> 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1706279</v>
          </cell>
          <cell r="AC88">
            <v>7700</v>
          </cell>
          <cell r="AD88">
            <v>88687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934</v>
          </cell>
          <cell r="AL88">
            <v>9192</v>
          </cell>
          <cell r="AM88">
            <v>30478</v>
          </cell>
          <cell r="AN88">
            <v>0</v>
          </cell>
          <cell r="AO88">
            <v>-340476</v>
          </cell>
          <cell r="AP88">
            <v>1502794</v>
          </cell>
        </row>
        <row r="89">
          <cell r="C89" t="str">
            <v xml:space="preserve"> LASSEN            </v>
          </cell>
          <cell r="D89" t="str">
            <v xml:space="preserve"> MODOC             </v>
          </cell>
          <cell r="E89">
            <v>130</v>
          </cell>
          <cell r="F89" t="str">
            <v xml:space="preserve"> 2015-2016</v>
          </cell>
          <cell r="G89" t="str">
            <v xml:space="preserve"> 04/15/2016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 xml:space="preserve"> 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95282</v>
          </cell>
          <cell r="AC89">
            <v>400</v>
          </cell>
          <cell r="AD89">
            <v>3700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4000</v>
          </cell>
          <cell r="AL89">
            <v>150</v>
          </cell>
          <cell r="AM89">
            <v>1450</v>
          </cell>
          <cell r="AN89">
            <v>0</v>
          </cell>
          <cell r="AO89">
            <v>-8217</v>
          </cell>
          <cell r="AP89">
            <v>96765</v>
          </cell>
        </row>
        <row r="90">
          <cell r="C90" t="str">
            <v xml:space="preserve">LASSEN Subtotal           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1801561</v>
          </cell>
          <cell r="AC90">
            <v>8100</v>
          </cell>
          <cell r="AD90">
            <v>92387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4934</v>
          </cell>
          <cell r="AL90">
            <v>9342</v>
          </cell>
          <cell r="AM90">
            <v>31928</v>
          </cell>
          <cell r="AN90">
            <v>0</v>
          </cell>
          <cell r="AO90">
            <v>-348693</v>
          </cell>
          <cell r="AP90">
            <v>1599559</v>
          </cell>
        </row>
        <row r="92">
          <cell r="C92" t="str">
            <v xml:space="preserve"> LONG BEACH        </v>
          </cell>
          <cell r="D92" t="str">
            <v xml:space="preserve"> LOS ANGELES       </v>
          </cell>
          <cell r="E92">
            <v>840</v>
          </cell>
          <cell r="F92" t="str">
            <v xml:space="preserve"> 2015-2016</v>
          </cell>
          <cell r="G92" t="str">
            <v xml:space="preserve"> 04/15/2016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 t="str">
            <v xml:space="preserve"> 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10770400</v>
          </cell>
          <cell r="AC92">
            <v>327778</v>
          </cell>
          <cell r="AD92">
            <v>95816</v>
          </cell>
          <cell r="AE92">
            <v>299016</v>
          </cell>
          <cell r="AF92">
            <v>142033</v>
          </cell>
          <cell r="AG92">
            <v>0</v>
          </cell>
          <cell r="AH92">
            <v>0</v>
          </cell>
          <cell r="AI92">
            <v>507971</v>
          </cell>
          <cell r="AJ92">
            <v>267610</v>
          </cell>
          <cell r="AK92">
            <v>328269</v>
          </cell>
          <cell r="AL92">
            <v>0</v>
          </cell>
          <cell r="AM92">
            <v>74554</v>
          </cell>
          <cell r="AN92">
            <v>0</v>
          </cell>
          <cell r="AO92">
            <v>0</v>
          </cell>
          <cell r="AP92">
            <v>12514431</v>
          </cell>
        </row>
        <row r="93">
          <cell r="C93" t="str">
            <v xml:space="preserve">LONG BEACH Subtotal     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10770400</v>
          </cell>
          <cell r="AC93">
            <v>327778</v>
          </cell>
          <cell r="AD93">
            <v>95816</v>
          </cell>
          <cell r="AE93">
            <v>299016</v>
          </cell>
          <cell r="AF93">
            <v>142033</v>
          </cell>
          <cell r="AG93">
            <v>0</v>
          </cell>
          <cell r="AH93">
            <v>0</v>
          </cell>
          <cell r="AI93">
            <v>507971</v>
          </cell>
          <cell r="AJ93">
            <v>267610</v>
          </cell>
          <cell r="AK93">
            <v>328269</v>
          </cell>
          <cell r="AL93">
            <v>0</v>
          </cell>
          <cell r="AM93">
            <v>74554</v>
          </cell>
          <cell r="AN93">
            <v>0</v>
          </cell>
          <cell r="AO93">
            <v>0</v>
          </cell>
          <cell r="AP93">
            <v>12514431</v>
          </cell>
        </row>
        <row r="95">
          <cell r="C95" t="str">
            <v xml:space="preserve"> LOS ANGELES       </v>
          </cell>
          <cell r="D95" t="str">
            <v xml:space="preserve"> LOS ANGELES       </v>
          </cell>
          <cell r="E95">
            <v>740</v>
          </cell>
          <cell r="F95" t="str">
            <v xml:space="preserve"> 2015-2016</v>
          </cell>
          <cell r="G95" t="str">
            <v xml:space="preserve"> 04/15/2016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 t="str">
            <v xml:space="preserve"> 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165222847</v>
          </cell>
          <cell r="AC95">
            <v>4245540</v>
          </cell>
          <cell r="AD95">
            <v>6017697</v>
          </cell>
          <cell r="AE95">
            <v>1019602</v>
          </cell>
          <cell r="AF95">
            <v>484311</v>
          </cell>
          <cell r="AG95">
            <v>0</v>
          </cell>
          <cell r="AH95">
            <v>0</v>
          </cell>
          <cell r="AI95">
            <v>1729006</v>
          </cell>
          <cell r="AJ95">
            <v>73116</v>
          </cell>
          <cell r="AK95">
            <v>3694255</v>
          </cell>
          <cell r="AL95">
            <v>0</v>
          </cell>
          <cell r="AM95">
            <v>1167541</v>
          </cell>
          <cell r="AN95">
            <v>11741</v>
          </cell>
          <cell r="AO95">
            <v>0</v>
          </cell>
          <cell r="AP95">
            <v>182646054</v>
          </cell>
        </row>
        <row r="96">
          <cell r="C96" t="str">
            <v xml:space="preserve">LOS ANGELES Subtotal     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165222847</v>
          </cell>
          <cell r="AC96">
            <v>4245540</v>
          </cell>
          <cell r="AD96">
            <v>6017697</v>
          </cell>
          <cell r="AE96">
            <v>1019602</v>
          </cell>
          <cell r="AF96">
            <v>484311</v>
          </cell>
          <cell r="AG96">
            <v>0</v>
          </cell>
          <cell r="AH96">
            <v>0</v>
          </cell>
          <cell r="AI96">
            <v>1729006</v>
          </cell>
          <cell r="AJ96">
            <v>73116</v>
          </cell>
          <cell r="AK96">
            <v>3694255</v>
          </cell>
          <cell r="AL96">
            <v>0</v>
          </cell>
          <cell r="AM96">
            <v>1167541</v>
          </cell>
          <cell r="AN96">
            <v>11741</v>
          </cell>
          <cell r="AO96">
            <v>0</v>
          </cell>
          <cell r="AP96">
            <v>182646054</v>
          </cell>
        </row>
        <row r="98">
          <cell r="C98" t="str">
            <v xml:space="preserve"> LOS RIOS          </v>
          </cell>
          <cell r="D98" t="str">
            <v xml:space="preserve"> EL DORADO         </v>
          </cell>
          <cell r="E98">
            <v>230</v>
          </cell>
          <cell r="F98" t="str">
            <v xml:space="preserve"> 2015-2016</v>
          </cell>
          <cell r="G98" t="str">
            <v xml:space="preserve"> 04/15/2016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 t="str">
            <v xml:space="preserve"> 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10090779</v>
          </cell>
          <cell r="AC98">
            <v>85249</v>
          </cell>
          <cell r="AD98">
            <v>196575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2991</v>
          </cell>
          <cell r="AL98">
            <v>14304</v>
          </cell>
          <cell r="AM98">
            <v>100107</v>
          </cell>
          <cell r="AN98">
            <v>0</v>
          </cell>
          <cell r="AO98">
            <v>1413330</v>
          </cell>
          <cell r="AP98">
            <v>11903335</v>
          </cell>
        </row>
        <row r="99">
          <cell r="C99" t="str">
            <v xml:space="preserve"> LOS RIOS          </v>
          </cell>
          <cell r="D99" t="str">
            <v xml:space="preserve"> PLACER            </v>
          </cell>
          <cell r="E99">
            <v>230</v>
          </cell>
          <cell r="F99" t="str">
            <v xml:space="preserve"> 2015-2016</v>
          </cell>
          <cell r="G99" t="str">
            <v xml:space="preserve"> 04/15/2016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 t="str">
            <v xml:space="preserve"> 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42815</v>
          </cell>
          <cell r="AC99">
            <v>411</v>
          </cell>
          <cell r="AD99">
            <v>959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12</v>
          </cell>
          <cell r="AL99">
            <v>0</v>
          </cell>
          <cell r="AM99">
            <v>362</v>
          </cell>
          <cell r="AN99">
            <v>0</v>
          </cell>
          <cell r="AO99">
            <v>0</v>
          </cell>
          <cell r="AP99">
            <v>44559</v>
          </cell>
        </row>
        <row r="100">
          <cell r="C100" t="str">
            <v xml:space="preserve"> LOS RIOS          </v>
          </cell>
          <cell r="D100" t="str">
            <v xml:space="preserve"> SACRAMENTO        </v>
          </cell>
          <cell r="E100">
            <v>230</v>
          </cell>
          <cell r="F100" t="str">
            <v xml:space="preserve"> 2015-2016</v>
          </cell>
          <cell r="G100" t="str">
            <v xml:space="preserve"> 04/15/2016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str">
            <v xml:space="preserve"> 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36291317</v>
          </cell>
          <cell r="AC100">
            <v>840184</v>
          </cell>
          <cell r="AD100">
            <v>1150819</v>
          </cell>
          <cell r="AE100">
            <v>326126</v>
          </cell>
          <cell r="AF100">
            <v>154910</v>
          </cell>
          <cell r="AG100">
            <v>0</v>
          </cell>
          <cell r="AH100">
            <v>0</v>
          </cell>
          <cell r="AI100">
            <v>504047</v>
          </cell>
          <cell r="AJ100">
            <v>11618</v>
          </cell>
          <cell r="AK100">
            <v>0</v>
          </cell>
          <cell r="AL100">
            <v>17</v>
          </cell>
          <cell r="AM100">
            <v>455029</v>
          </cell>
          <cell r="AN100">
            <v>1683</v>
          </cell>
          <cell r="AO100">
            <v>6756146</v>
          </cell>
          <cell r="AP100">
            <v>46165770</v>
          </cell>
        </row>
        <row r="101">
          <cell r="C101" t="str">
            <v xml:space="preserve"> LOS RIOS          </v>
          </cell>
          <cell r="D101" t="str">
            <v xml:space="preserve"> SOLANO            </v>
          </cell>
          <cell r="E101">
            <v>230</v>
          </cell>
          <cell r="F101" t="str">
            <v xml:space="preserve"> 2015-2016</v>
          </cell>
          <cell r="G101" t="str">
            <v xml:space="preserve"> 04/15/2016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 xml:space="preserve"> 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11504</v>
          </cell>
          <cell r="AC101">
            <v>176</v>
          </cell>
          <cell r="AD101">
            <v>683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101</v>
          </cell>
          <cell r="AN101">
            <v>0</v>
          </cell>
          <cell r="AO101">
            <v>0</v>
          </cell>
          <cell r="AP101">
            <v>12464</v>
          </cell>
        </row>
        <row r="102">
          <cell r="C102" t="str">
            <v xml:space="preserve"> LOS RIOS          </v>
          </cell>
          <cell r="D102" t="str">
            <v xml:space="preserve"> YOLO              </v>
          </cell>
          <cell r="E102">
            <v>230</v>
          </cell>
          <cell r="F102" t="str">
            <v xml:space="preserve"> 2015-2016</v>
          </cell>
          <cell r="G102" t="str">
            <v xml:space="preserve"> 04/15/2016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 t="str">
            <v xml:space="preserve"> 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4903624</v>
          </cell>
          <cell r="AC102">
            <v>121500</v>
          </cell>
          <cell r="AD102">
            <v>190000</v>
          </cell>
          <cell r="AE102">
            <v>130000</v>
          </cell>
          <cell r="AF102">
            <v>61750</v>
          </cell>
          <cell r="AG102">
            <v>0</v>
          </cell>
          <cell r="AH102">
            <v>0</v>
          </cell>
          <cell r="AI102">
            <v>744895</v>
          </cell>
          <cell r="AJ102">
            <v>0</v>
          </cell>
          <cell r="AK102">
            <v>3000</v>
          </cell>
          <cell r="AL102">
            <v>0</v>
          </cell>
          <cell r="AM102">
            <v>48972</v>
          </cell>
          <cell r="AN102">
            <v>1632</v>
          </cell>
          <cell r="AO102">
            <v>574022</v>
          </cell>
          <cell r="AP102">
            <v>6649395</v>
          </cell>
        </row>
        <row r="103">
          <cell r="C103" t="str">
            <v xml:space="preserve">LOS RIOS Subtotal          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51340039</v>
          </cell>
          <cell r="AC103">
            <v>1047520</v>
          </cell>
          <cell r="AD103">
            <v>1539036</v>
          </cell>
          <cell r="AE103">
            <v>456126</v>
          </cell>
          <cell r="AF103">
            <v>216660</v>
          </cell>
          <cell r="AG103">
            <v>0</v>
          </cell>
          <cell r="AH103">
            <v>0</v>
          </cell>
          <cell r="AI103">
            <v>1248942</v>
          </cell>
          <cell r="AJ103">
            <v>11618</v>
          </cell>
          <cell r="AK103">
            <v>6003</v>
          </cell>
          <cell r="AL103">
            <v>14321</v>
          </cell>
          <cell r="AM103">
            <v>604571</v>
          </cell>
          <cell r="AN103">
            <v>3315</v>
          </cell>
          <cell r="AO103">
            <v>8743498</v>
          </cell>
          <cell r="AP103">
            <v>64775523</v>
          </cell>
        </row>
        <row r="105">
          <cell r="C105" t="str">
            <v xml:space="preserve"> MARIN             </v>
          </cell>
          <cell r="D105" t="str">
            <v xml:space="preserve"> MARIN             </v>
          </cell>
          <cell r="E105">
            <v>330</v>
          </cell>
          <cell r="F105" t="str">
            <v xml:space="preserve"> 2015-2016</v>
          </cell>
          <cell r="G105" t="str">
            <v xml:space="preserve"> 04/15/2016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 t="str">
            <v xml:space="preserve"> 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45350350</v>
          </cell>
          <cell r="AC105">
            <v>1157331</v>
          </cell>
          <cell r="AD105">
            <v>929563</v>
          </cell>
          <cell r="AE105">
            <v>114346</v>
          </cell>
          <cell r="AF105">
            <v>54314</v>
          </cell>
          <cell r="AG105">
            <v>0</v>
          </cell>
          <cell r="AH105">
            <v>0</v>
          </cell>
          <cell r="AI105">
            <v>422073</v>
          </cell>
          <cell r="AJ105">
            <v>0</v>
          </cell>
          <cell r="AK105">
            <v>57410</v>
          </cell>
          <cell r="AL105">
            <v>0</v>
          </cell>
          <cell r="AM105">
            <v>259462</v>
          </cell>
          <cell r="AN105">
            <v>2015</v>
          </cell>
          <cell r="AO105">
            <v>0</v>
          </cell>
          <cell r="AP105">
            <v>48232518</v>
          </cell>
        </row>
        <row r="106">
          <cell r="C106" t="str">
            <v xml:space="preserve">MARIN Subtotal          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45350350</v>
          </cell>
          <cell r="AC106">
            <v>1157331</v>
          </cell>
          <cell r="AD106">
            <v>929563</v>
          </cell>
          <cell r="AE106">
            <v>114346</v>
          </cell>
          <cell r="AF106">
            <v>54314</v>
          </cell>
          <cell r="AG106">
            <v>0</v>
          </cell>
          <cell r="AH106">
            <v>0</v>
          </cell>
          <cell r="AI106">
            <v>422073</v>
          </cell>
          <cell r="AJ106">
            <v>0</v>
          </cell>
          <cell r="AK106">
            <v>57410</v>
          </cell>
          <cell r="AL106">
            <v>0</v>
          </cell>
          <cell r="AM106">
            <v>259462</v>
          </cell>
          <cell r="AN106">
            <v>2015</v>
          </cell>
          <cell r="AO106">
            <v>0</v>
          </cell>
          <cell r="AP106">
            <v>48232518</v>
          </cell>
        </row>
        <row r="108">
          <cell r="C108" t="str">
            <v xml:space="preserve"> MENDOCINO-LAKE    </v>
          </cell>
          <cell r="D108" t="str">
            <v xml:space="preserve"> LAKE              </v>
          </cell>
          <cell r="E108">
            <v>140</v>
          </cell>
          <cell r="F108" t="str">
            <v xml:space="preserve"> 2015-2016</v>
          </cell>
          <cell r="G108" t="str">
            <v xml:space="preserve"> 04/15/2016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 t="str">
            <v xml:space="preserve"> 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2075484</v>
          </cell>
          <cell r="AC108">
            <v>8203</v>
          </cell>
          <cell r="AD108">
            <v>49438</v>
          </cell>
          <cell r="AE108">
            <v>34860</v>
          </cell>
          <cell r="AF108">
            <v>16559</v>
          </cell>
          <cell r="AG108">
            <v>0</v>
          </cell>
          <cell r="AH108">
            <v>0</v>
          </cell>
          <cell r="AI108">
            <v>99826</v>
          </cell>
          <cell r="AJ108">
            <v>21801</v>
          </cell>
          <cell r="AK108">
            <v>1285</v>
          </cell>
          <cell r="AL108">
            <v>39</v>
          </cell>
          <cell r="AM108">
            <v>27770</v>
          </cell>
          <cell r="AN108">
            <v>0</v>
          </cell>
          <cell r="AO108">
            <v>133606</v>
          </cell>
          <cell r="AP108">
            <v>2434011</v>
          </cell>
        </row>
        <row r="109">
          <cell r="C109" t="str">
            <v xml:space="preserve"> MENDOCINO-LAKE    </v>
          </cell>
          <cell r="D109" t="str">
            <v xml:space="preserve"> MENDOCINO         </v>
          </cell>
          <cell r="E109">
            <v>140</v>
          </cell>
          <cell r="F109" t="str">
            <v xml:space="preserve"> 2015-2016</v>
          </cell>
          <cell r="G109" t="str">
            <v xml:space="preserve"> 04/15/2016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 xml:space="preserve"> 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3788307</v>
          </cell>
          <cell r="AC109">
            <v>41326</v>
          </cell>
          <cell r="AD109">
            <v>137581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74971</v>
          </cell>
          <cell r="AJ109">
            <v>0</v>
          </cell>
          <cell r="AK109">
            <v>1755</v>
          </cell>
          <cell r="AL109">
            <v>16930</v>
          </cell>
          <cell r="AM109">
            <v>40898</v>
          </cell>
          <cell r="AN109">
            <v>0</v>
          </cell>
          <cell r="AO109">
            <v>0</v>
          </cell>
          <cell r="AP109">
            <v>4101768</v>
          </cell>
        </row>
        <row r="110">
          <cell r="C110" t="str">
            <v>MENDOCINO-LAKE Subtotal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5863791</v>
          </cell>
          <cell r="AC110">
            <v>49529</v>
          </cell>
          <cell r="AD110">
            <v>187019</v>
          </cell>
          <cell r="AE110">
            <v>34860</v>
          </cell>
          <cell r="AF110">
            <v>16559</v>
          </cell>
          <cell r="AG110">
            <v>0</v>
          </cell>
          <cell r="AH110">
            <v>0</v>
          </cell>
          <cell r="AI110">
            <v>174797</v>
          </cell>
          <cell r="AJ110">
            <v>21801</v>
          </cell>
          <cell r="AK110">
            <v>3040</v>
          </cell>
          <cell r="AL110">
            <v>16969</v>
          </cell>
          <cell r="AM110">
            <v>68668</v>
          </cell>
          <cell r="AN110">
            <v>0</v>
          </cell>
          <cell r="AO110">
            <v>133606</v>
          </cell>
          <cell r="AP110">
            <v>6535779</v>
          </cell>
        </row>
        <row r="112">
          <cell r="C112" t="str">
            <v xml:space="preserve"> MERCED            </v>
          </cell>
          <cell r="D112" t="str">
            <v xml:space="preserve"> FRESNO            </v>
          </cell>
          <cell r="E112">
            <v>530</v>
          </cell>
          <cell r="F112" t="str">
            <v xml:space="preserve"> 2015-2016</v>
          </cell>
          <cell r="G112" t="str">
            <v xml:space="preserve"> 04/15/2016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 t="str">
            <v xml:space="preserve"> 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70284</v>
          </cell>
          <cell r="AC112">
            <v>675</v>
          </cell>
          <cell r="AD112">
            <v>2893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976</v>
          </cell>
          <cell r="AL112">
            <v>0</v>
          </cell>
          <cell r="AM112">
            <v>656</v>
          </cell>
          <cell r="AN112">
            <v>0</v>
          </cell>
          <cell r="AO112">
            <v>-5077</v>
          </cell>
          <cell r="AP112">
            <v>70407</v>
          </cell>
        </row>
        <row r="113">
          <cell r="C113" t="str">
            <v xml:space="preserve"> MERCED            </v>
          </cell>
          <cell r="D113" t="str">
            <v xml:space="preserve"> MADERA            </v>
          </cell>
          <cell r="E113">
            <v>530</v>
          </cell>
          <cell r="F113" t="str">
            <v xml:space="preserve"> 2015-2016</v>
          </cell>
          <cell r="G113" t="str">
            <v xml:space="preserve"> 04/15/2016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 xml:space="preserve"> 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1284154</v>
          </cell>
          <cell r="AC113">
            <v>0</v>
          </cell>
          <cell r="AD113">
            <v>32680</v>
          </cell>
          <cell r="AE113">
            <v>23926</v>
          </cell>
          <cell r="AF113">
            <v>11365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-34328</v>
          </cell>
          <cell r="AL113">
            <v>0</v>
          </cell>
          <cell r="AM113">
            <v>14409</v>
          </cell>
          <cell r="AN113">
            <v>0</v>
          </cell>
          <cell r="AO113">
            <v>-172884</v>
          </cell>
          <cell r="AP113">
            <v>1135396</v>
          </cell>
        </row>
        <row r="114">
          <cell r="C114" t="str">
            <v xml:space="preserve"> MERCED            </v>
          </cell>
          <cell r="D114" t="str">
            <v xml:space="preserve"> MERCED            </v>
          </cell>
          <cell r="E114">
            <v>530</v>
          </cell>
          <cell r="F114" t="str">
            <v xml:space="preserve"> 2015-2016</v>
          </cell>
          <cell r="G114" t="str">
            <v xml:space="preserve"> 04/15/2016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 xml:space="preserve"> 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8220850</v>
          </cell>
          <cell r="AC114">
            <v>167541</v>
          </cell>
          <cell r="AD114">
            <v>636592</v>
          </cell>
          <cell r="AE114">
            <v>142445</v>
          </cell>
          <cell r="AF114">
            <v>67661</v>
          </cell>
          <cell r="AG114">
            <v>0</v>
          </cell>
          <cell r="AH114">
            <v>0</v>
          </cell>
          <cell r="AI114">
            <v>177052</v>
          </cell>
          <cell r="AJ114">
            <v>0</v>
          </cell>
          <cell r="AK114">
            <v>22667</v>
          </cell>
          <cell r="AL114">
            <v>9</v>
          </cell>
          <cell r="AM114">
            <v>98884</v>
          </cell>
          <cell r="AN114">
            <v>7375</v>
          </cell>
          <cell r="AO114">
            <v>-662269</v>
          </cell>
          <cell r="AP114">
            <v>8736362</v>
          </cell>
        </row>
        <row r="115">
          <cell r="C115" t="str">
            <v xml:space="preserve">MERCED Subtotal            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9575288</v>
          </cell>
          <cell r="AC115">
            <v>168216</v>
          </cell>
          <cell r="AD115">
            <v>672165</v>
          </cell>
          <cell r="AE115">
            <v>166371</v>
          </cell>
          <cell r="AF115">
            <v>79026</v>
          </cell>
          <cell r="AG115">
            <v>0</v>
          </cell>
          <cell r="AH115">
            <v>0</v>
          </cell>
          <cell r="AI115">
            <v>177052</v>
          </cell>
          <cell r="AJ115">
            <v>0</v>
          </cell>
          <cell r="AK115">
            <v>-10685</v>
          </cell>
          <cell r="AL115">
            <v>9</v>
          </cell>
          <cell r="AM115">
            <v>113949</v>
          </cell>
          <cell r="AN115">
            <v>7375</v>
          </cell>
          <cell r="AO115">
            <v>-840230</v>
          </cell>
          <cell r="AP115">
            <v>9942165</v>
          </cell>
        </row>
        <row r="117">
          <cell r="C117" t="str">
            <v xml:space="preserve"> MIRA COSTA        </v>
          </cell>
          <cell r="D117" t="str">
            <v xml:space="preserve"> SAN DIEGO         </v>
          </cell>
          <cell r="E117">
            <v>50</v>
          </cell>
          <cell r="F117" t="str">
            <v xml:space="preserve"> 2015-2016</v>
          </cell>
          <cell r="G117" t="str">
            <v xml:space="preserve"> 04/15/2016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 t="str">
            <v xml:space="preserve"> 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82729419</v>
          </cell>
          <cell r="AC117">
            <v>1600590</v>
          </cell>
          <cell r="AD117">
            <v>2677057</v>
          </cell>
          <cell r="AE117">
            <v>223512</v>
          </cell>
          <cell r="AF117">
            <v>106168</v>
          </cell>
          <cell r="AG117">
            <v>0</v>
          </cell>
          <cell r="AH117">
            <v>0</v>
          </cell>
          <cell r="AI117">
            <v>654973</v>
          </cell>
          <cell r="AJ117">
            <v>0</v>
          </cell>
          <cell r="AK117">
            <v>-44331</v>
          </cell>
          <cell r="AL117">
            <v>0</v>
          </cell>
          <cell r="AM117">
            <v>664486</v>
          </cell>
          <cell r="AN117">
            <v>0</v>
          </cell>
          <cell r="AO117">
            <v>0</v>
          </cell>
          <cell r="AP117">
            <v>88388362</v>
          </cell>
        </row>
        <row r="118">
          <cell r="C118" t="str">
            <v>MIRA COSTA Subtotal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82729419</v>
          </cell>
          <cell r="AC118">
            <v>1600590</v>
          </cell>
          <cell r="AD118">
            <v>2677057</v>
          </cell>
          <cell r="AE118">
            <v>223512</v>
          </cell>
          <cell r="AF118">
            <v>106168</v>
          </cell>
          <cell r="AG118">
            <v>0</v>
          </cell>
          <cell r="AH118">
            <v>0</v>
          </cell>
          <cell r="AI118">
            <v>654973</v>
          </cell>
          <cell r="AJ118">
            <v>0</v>
          </cell>
          <cell r="AK118">
            <v>-44331</v>
          </cell>
          <cell r="AL118">
            <v>0</v>
          </cell>
          <cell r="AM118">
            <v>664486</v>
          </cell>
          <cell r="AN118">
            <v>0</v>
          </cell>
          <cell r="AO118">
            <v>0</v>
          </cell>
          <cell r="AP118">
            <v>88388362</v>
          </cell>
        </row>
        <row r="120">
          <cell r="C120" t="str">
            <v xml:space="preserve"> MONTEREY PENINSULA</v>
          </cell>
          <cell r="D120" t="str">
            <v xml:space="preserve"> MONTEREY          </v>
          </cell>
          <cell r="E120">
            <v>460</v>
          </cell>
          <cell r="F120" t="str">
            <v xml:space="preserve"> 2015-2016</v>
          </cell>
          <cell r="G120" t="str">
            <v xml:space="preserve"> 04/15/2016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 t="str">
            <v xml:space="preserve"> 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14934101</v>
          </cell>
          <cell r="AC120">
            <v>176023</v>
          </cell>
          <cell r="AD120">
            <v>607391</v>
          </cell>
          <cell r="AE120">
            <v>87121</v>
          </cell>
          <cell r="AF120">
            <v>41382</v>
          </cell>
          <cell r="AG120">
            <v>0</v>
          </cell>
          <cell r="AH120">
            <v>0</v>
          </cell>
          <cell r="AI120">
            <v>630780</v>
          </cell>
          <cell r="AJ120">
            <v>0</v>
          </cell>
          <cell r="AK120">
            <v>142754</v>
          </cell>
          <cell r="AL120">
            <v>0</v>
          </cell>
          <cell r="AM120">
            <v>86904</v>
          </cell>
          <cell r="AN120">
            <v>0</v>
          </cell>
          <cell r="AO120">
            <v>768731</v>
          </cell>
          <cell r="AP120">
            <v>17388066</v>
          </cell>
        </row>
        <row r="121">
          <cell r="C121" t="str">
            <v>MONTEREY PENINSULA Subtotal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14934101</v>
          </cell>
          <cell r="AC121">
            <v>176023</v>
          </cell>
          <cell r="AD121">
            <v>607391</v>
          </cell>
          <cell r="AE121">
            <v>87121</v>
          </cell>
          <cell r="AF121">
            <v>41382</v>
          </cell>
          <cell r="AG121">
            <v>0</v>
          </cell>
          <cell r="AH121">
            <v>0</v>
          </cell>
          <cell r="AI121">
            <v>630780</v>
          </cell>
          <cell r="AJ121">
            <v>0</v>
          </cell>
          <cell r="AK121">
            <v>142754</v>
          </cell>
          <cell r="AL121">
            <v>0</v>
          </cell>
          <cell r="AM121">
            <v>86904</v>
          </cell>
          <cell r="AN121">
            <v>0</v>
          </cell>
          <cell r="AO121">
            <v>768731</v>
          </cell>
          <cell r="AP121">
            <v>17388066</v>
          </cell>
        </row>
        <row r="123">
          <cell r="C123" t="str">
            <v xml:space="preserve"> MT SAN ANTONIO    </v>
          </cell>
          <cell r="D123" t="str">
            <v xml:space="preserve"> LOS ANGELES       </v>
          </cell>
          <cell r="E123">
            <v>850</v>
          </cell>
          <cell r="F123" t="str">
            <v xml:space="preserve"> 2015-2016</v>
          </cell>
          <cell r="G123" t="str">
            <v xml:space="preserve"> 04/15/2016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 t="str">
            <v xml:space="preserve"> 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17035940</v>
          </cell>
          <cell r="AC123">
            <v>516172</v>
          </cell>
          <cell r="AD123">
            <v>424953</v>
          </cell>
          <cell r="AE123">
            <v>202127</v>
          </cell>
          <cell r="AF123">
            <v>96010</v>
          </cell>
          <cell r="AG123">
            <v>0</v>
          </cell>
          <cell r="AH123">
            <v>0</v>
          </cell>
          <cell r="AI123">
            <v>273085</v>
          </cell>
          <cell r="AJ123">
            <v>37446</v>
          </cell>
          <cell r="AK123">
            <v>391920</v>
          </cell>
          <cell r="AL123">
            <v>0</v>
          </cell>
          <cell r="AM123">
            <v>119429</v>
          </cell>
          <cell r="AN123">
            <v>58</v>
          </cell>
          <cell r="AO123">
            <v>0</v>
          </cell>
          <cell r="AP123">
            <v>18895013</v>
          </cell>
        </row>
        <row r="124">
          <cell r="C124" t="str">
            <v xml:space="preserve">MT SAN ANTONIO Subtotal    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17035940</v>
          </cell>
          <cell r="AC124">
            <v>516172</v>
          </cell>
          <cell r="AD124">
            <v>424953</v>
          </cell>
          <cell r="AE124">
            <v>202127</v>
          </cell>
          <cell r="AF124">
            <v>96010</v>
          </cell>
          <cell r="AG124">
            <v>0</v>
          </cell>
          <cell r="AH124">
            <v>0</v>
          </cell>
          <cell r="AI124">
            <v>273085</v>
          </cell>
          <cell r="AJ124">
            <v>37446</v>
          </cell>
          <cell r="AK124">
            <v>391920</v>
          </cell>
          <cell r="AL124">
            <v>0</v>
          </cell>
          <cell r="AM124">
            <v>119429</v>
          </cell>
          <cell r="AN124">
            <v>58</v>
          </cell>
          <cell r="AO124">
            <v>0</v>
          </cell>
          <cell r="AP124">
            <v>18895013</v>
          </cell>
        </row>
        <row r="126">
          <cell r="C126" t="str">
            <v xml:space="preserve"> MT SAN JACINTO    </v>
          </cell>
          <cell r="D126" t="str">
            <v xml:space="preserve"> RIVERSIDE         </v>
          </cell>
          <cell r="E126">
            <v>940</v>
          </cell>
          <cell r="F126" t="str">
            <v xml:space="preserve"> 2015-2016</v>
          </cell>
          <cell r="G126" t="str">
            <v xml:space="preserve"> 04/15/2016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 t="str">
            <v xml:space="preserve"> 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24021117</v>
          </cell>
          <cell r="AC126">
            <v>568845</v>
          </cell>
          <cell r="AD126">
            <v>1041802</v>
          </cell>
          <cell r="AE126">
            <v>476472</v>
          </cell>
          <cell r="AF126">
            <v>226324</v>
          </cell>
          <cell r="AG126">
            <v>0</v>
          </cell>
          <cell r="AH126">
            <v>0</v>
          </cell>
          <cell r="AI126">
            <v>674993</v>
          </cell>
          <cell r="AJ126">
            <v>287972</v>
          </cell>
          <cell r="AK126">
            <v>702645</v>
          </cell>
          <cell r="AL126">
            <v>0</v>
          </cell>
          <cell r="AM126">
            <v>319968</v>
          </cell>
          <cell r="AN126">
            <v>0</v>
          </cell>
          <cell r="AO126">
            <v>-2997579</v>
          </cell>
          <cell r="AP126">
            <v>24846087</v>
          </cell>
        </row>
        <row r="127">
          <cell r="C127" t="str">
            <v>MT SAN JACINTO Subtotal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24021117</v>
          </cell>
          <cell r="AC127">
            <v>568845</v>
          </cell>
          <cell r="AD127">
            <v>1041802</v>
          </cell>
          <cell r="AE127">
            <v>476472</v>
          </cell>
          <cell r="AF127">
            <v>226324</v>
          </cell>
          <cell r="AG127">
            <v>0</v>
          </cell>
          <cell r="AH127">
            <v>0</v>
          </cell>
          <cell r="AI127">
            <v>674993</v>
          </cell>
          <cell r="AJ127">
            <v>287972</v>
          </cell>
          <cell r="AK127">
            <v>702645</v>
          </cell>
          <cell r="AL127">
            <v>0</v>
          </cell>
          <cell r="AM127">
            <v>319968</v>
          </cell>
          <cell r="AN127">
            <v>0</v>
          </cell>
          <cell r="AO127">
            <v>-2997579</v>
          </cell>
          <cell r="AP127">
            <v>24846087</v>
          </cell>
        </row>
        <row r="129">
          <cell r="C129" t="str">
            <v xml:space="preserve"> NAPA VALLEY       </v>
          </cell>
          <cell r="D129" t="str">
            <v xml:space="preserve"> NAPA              </v>
          </cell>
          <cell r="E129">
            <v>240</v>
          </cell>
          <cell r="F129" t="str">
            <v xml:space="preserve"> 2015-2016</v>
          </cell>
          <cell r="G129" t="str">
            <v xml:space="preserve"> 04/15/2016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 t="str">
            <v xml:space="preserve"> 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25068700</v>
          </cell>
          <cell r="AC129">
            <v>484000</v>
          </cell>
          <cell r="AD129">
            <v>950000</v>
          </cell>
          <cell r="AE129">
            <v>93641</v>
          </cell>
          <cell r="AF129">
            <v>44479</v>
          </cell>
          <cell r="AG129">
            <v>0</v>
          </cell>
          <cell r="AH129">
            <v>0</v>
          </cell>
          <cell r="AI129">
            <v>228300</v>
          </cell>
          <cell r="AJ129">
            <v>0</v>
          </cell>
          <cell r="AK129">
            <v>8986</v>
          </cell>
          <cell r="AL129">
            <v>0</v>
          </cell>
          <cell r="AM129">
            <v>124194</v>
          </cell>
          <cell r="AN129">
            <v>120</v>
          </cell>
          <cell r="AO129">
            <v>-613297</v>
          </cell>
          <cell r="AP129">
            <v>26295482</v>
          </cell>
        </row>
        <row r="130">
          <cell r="C130" t="str">
            <v xml:space="preserve"> NAPA VALLEY       </v>
          </cell>
          <cell r="D130" t="str">
            <v xml:space="preserve"> SONOMA            </v>
          </cell>
          <cell r="E130">
            <v>240</v>
          </cell>
          <cell r="F130" t="str">
            <v xml:space="preserve"> 2015-2016</v>
          </cell>
          <cell r="G130" t="str">
            <v xml:space="preserve"> 04/15/2016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 xml:space="preserve"> 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210551</v>
          </cell>
          <cell r="AC130">
            <v>2860</v>
          </cell>
          <cell r="AD130">
            <v>6851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1630</v>
          </cell>
          <cell r="AN130">
            <v>0</v>
          </cell>
          <cell r="AO130">
            <v>0</v>
          </cell>
          <cell r="AP130">
            <v>221892</v>
          </cell>
        </row>
        <row r="131">
          <cell r="C131" t="str">
            <v xml:space="preserve">NAPA VALLEY Subtotal       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25279251</v>
          </cell>
          <cell r="AC131">
            <v>486860</v>
          </cell>
          <cell r="AD131">
            <v>956851</v>
          </cell>
          <cell r="AE131">
            <v>93641</v>
          </cell>
          <cell r="AF131">
            <v>44479</v>
          </cell>
          <cell r="AG131">
            <v>0</v>
          </cell>
          <cell r="AH131">
            <v>0</v>
          </cell>
          <cell r="AI131">
            <v>228300</v>
          </cell>
          <cell r="AJ131">
            <v>0</v>
          </cell>
          <cell r="AK131">
            <v>8986</v>
          </cell>
          <cell r="AL131">
            <v>0</v>
          </cell>
          <cell r="AM131">
            <v>125824</v>
          </cell>
          <cell r="AN131">
            <v>120</v>
          </cell>
          <cell r="AO131">
            <v>-613297</v>
          </cell>
          <cell r="AP131">
            <v>26517374</v>
          </cell>
        </row>
        <row r="133">
          <cell r="C133" t="str">
            <v xml:space="preserve"> NORTH ORANGE      </v>
          </cell>
          <cell r="D133" t="str">
            <v xml:space="preserve"> LOS ANGELES       </v>
          </cell>
          <cell r="E133">
            <v>860</v>
          </cell>
          <cell r="F133" t="str">
            <v xml:space="preserve"> 2015-2016</v>
          </cell>
          <cell r="G133" t="str">
            <v xml:space="preserve"> 04/15/2016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 t="str">
            <v xml:space="preserve"> 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661667</v>
          </cell>
          <cell r="AC133">
            <v>17518</v>
          </cell>
          <cell r="AD133">
            <v>25698</v>
          </cell>
          <cell r="AE133">
            <v>525</v>
          </cell>
          <cell r="AF133">
            <v>249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16086</v>
          </cell>
          <cell r="AL133">
            <v>0</v>
          </cell>
          <cell r="AM133">
            <v>4706</v>
          </cell>
          <cell r="AN133">
            <v>0</v>
          </cell>
          <cell r="AO133">
            <v>0</v>
          </cell>
          <cell r="AP133">
            <v>725924</v>
          </cell>
        </row>
        <row r="134">
          <cell r="C134" t="str">
            <v xml:space="preserve"> NORTH ORANGE      </v>
          </cell>
          <cell r="D134" t="str">
            <v xml:space="preserve"> ORANGE            </v>
          </cell>
          <cell r="E134">
            <v>860</v>
          </cell>
          <cell r="F134" t="str">
            <v xml:space="preserve"> 2015-2016</v>
          </cell>
          <cell r="G134" t="str">
            <v xml:space="preserve"> 04/15/2016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 t="str">
            <v xml:space="preserve"> 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59200317</v>
          </cell>
          <cell r="AC134">
            <v>1412458</v>
          </cell>
          <cell r="AD134">
            <v>1928146</v>
          </cell>
          <cell r="AE134">
            <v>1566963</v>
          </cell>
          <cell r="AF134">
            <v>744307</v>
          </cell>
          <cell r="AG134">
            <v>0</v>
          </cell>
          <cell r="AH134">
            <v>0</v>
          </cell>
          <cell r="AI134">
            <v>3422571</v>
          </cell>
          <cell r="AJ134">
            <v>166577</v>
          </cell>
          <cell r="AK134">
            <v>2046942</v>
          </cell>
          <cell r="AL134">
            <v>9</v>
          </cell>
          <cell r="AM134">
            <v>409715</v>
          </cell>
          <cell r="AN134">
            <v>0</v>
          </cell>
          <cell r="AO134">
            <v>3970916</v>
          </cell>
          <cell r="AP134">
            <v>73301958</v>
          </cell>
        </row>
        <row r="135">
          <cell r="C135" t="str">
            <v xml:space="preserve">NORTH ORANGE Subtotal     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59861984</v>
          </cell>
          <cell r="AC135">
            <v>1429976</v>
          </cell>
          <cell r="AD135">
            <v>1953844</v>
          </cell>
          <cell r="AE135">
            <v>1567488</v>
          </cell>
          <cell r="AF135">
            <v>744556</v>
          </cell>
          <cell r="AG135">
            <v>0</v>
          </cell>
          <cell r="AH135">
            <v>0</v>
          </cell>
          <cell r="AI135">
            <v>3422571</v>
          </cell>
          <cell r="AJ135">
            <v>166577</v>
          </cell>
          <cell r="AK135">
            <v>2063028</v>
          </cell>
          <cell r="AL135">
            <v>9</v>
          </cell>
          <cell r="AM135">
            <v>414421</v>
          </cell>
          <cell r="AN135">
            <v>0</v>
          </cell>
          <cell r="AO135">
            <v>3970916</v>
          </cell>
          <cell r="AP135">
            <v>74027882</v>
          </cell>
        </row>
        <row r="137">
          <cell r="C137" t="str">
            <v xml:space="preserve"> OHLONE</v>
          </cell>
          <cell r="D137" t="str">
            <v xml:space="preserve"> ALAMEDA           </v>
          </cell>
          <cell r="E137">
            <v>430</v>
          </cell>
          <cell r="F137" t="str">
            <v xml:space="preserve"> 2015-2016</v>
          </cell>
          <cell r="G137" t="str">
            <v xml:space="preserve"> 04/15/2016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 t="str">
            <v xml:space="preserve"> 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16272583</v>
          </cell>
          <cell r="AC137">
            <v>461106</v>
          </cell>
          <cell r="AD137">
            <v>1055359</v>
          </cell>
          <cell r="AE137">
            <v>72876</v>
          </cell>
          <cell r="AF137">
            <v>34616</v>
          </cell>
          <cell r="AG137">
            <v>0</v>
          </cell>
          <cell r="AH137">
            <v>0</v>
          </cell>
          <cell r="AI137">
            <v>1403</v>
          </cell>
          <cell r="AJ137">
            <v>0</v>
          </cell>
          <cell r="AK137">
            <v>-357649</v>
          </cell>
          <cell r="AL137">
            <v>0</v>
          </cell>
          <cell r="AM137">
            <v>126175</v>
          </cell>
          <cell r="AN137">
            <v>5314</v>
          </cell>
          <cell r="AO137">
            <v>2626736</v>
          </cell>
          <cell r="AP137">
            <v>20225643</v>
          </cell>
        </row>
        <row r="138">
          <cell r="C138" t="str">
            <v>OHLONE Subtotal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16272583</v>
          </cell>
          <cell r="AC138">
            <v>461106</v>
          </cell>
          <cell r="AD138">
            <v>1055359</v>
          </cell>
          <cell r="AE138">
            <v>72876</v>
          </cell>
          <cell r="AF138">
            <v>34616</v>
          </cell>
          <cell r="AG138">
            <v>0</v>
          </cell>
          <cell r="AH138">
            <v>0</v>
          </cell>
          <cell r="AI138">
            <v>1403</v>
          </cell>
          <cell r="AJ138">
            <v>0</v>
          </cell>
          <cell r="AK138">
            <v>-357649</v>
          </cell>
          <cell r="AL138">
            <v>0</v>
          </cell>
          <cell r="AM138">
            <v>126175</v>
          </cell>
          <cell r="AN138">
            <v>5314</v>
          </cell>
          <cell r="AO138">
            <v>2626736</v>
          </cell>
          <cell r="AP138">
            <v>20225643</v>
          </cell>
        </row>
        <row r="140">
          <cell r="C140" t="str">
            <v xml:space="preserve"> PALO VERDE        </v>
          </cell>
          <cell r="D140" t="str">
            <v xml:space="preserve"> RIVERSIDE         </v>
          </cell>
          <cell r="E140">
            <v>950</v>
          </cell>
          <cell r="F140" t="str">
            <v xml:space="preserve"> 2015-2016</v>
          </cell>
          <cell r="G140" t="str">
            <v xml:space="preserve"> 04/15/2016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 t="str">
            <v xml:space="preserve"> 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904116</v>
          </cell>
          <cell r="AC140">
            <v>20323</v>
          </cell>
          <cell r="AD140">
            <v>36337</v>
          </cell>
          <cell r="AE140">
            <v>88349</v>
          </cell>
          <cell r="AF140">
            <v>41966</v>
          </cell>
          <cell r="AG140">
            <v>0</v>
          </cell>
          <cell r="AH140">
            <v>0</v>
          </cell>
          <cell r="AI140">
            <v>5338</v>
          </cell>
          <cell r="AJ140">
            <v>0</v>
          </cell>
          <cell r="AK140">
            <v>25696</v>
          </cell>
          <cell r="AL140">
            <v>0</v>
          </cell>
          <cell r="AM140">
            <v>11145</v>
          </cell>
          <cell r="AN140">
            <v>0</v>
          </cell>
          <cell r="AO140">
            <v>-104413</v>
          </cell>
          <cell r="AP140">
            <v>940508</v>
          </cell>
        </row>
        <row r="141">
          <cell r="C141" t="str">
            <v xml:space="preserve"> PALO VERDE        </v>
          </cell>
          <cell r="D141" t="str">
            <v xml:space="preserve"> SAN BERNARDINO    </v>
          </cell>
          <cell r="E141">
            <v>950</v>
          </cell>
          <cell r="F141" t="str">
            <v xml:space="preserve"> 2015-2016</v>
          </cell>
          <cell r="G141" t="str">
            <v xml:space="preserve"> 04/15/2016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 xml:space="preserve"> 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373865</v>
          </cell>
          <cell r="AC141">
            <v>5527</v>
          </cell>
          <cell r="AD141">
            <v>10550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6663</v>
          </cell>
          <cell r="AL141">
            <v>0</v>
          </cell>
          <cell r="AM141">
            <v>2942</v>
          </cell>
          <cell r="AN141">
            <v>0</v>
          </cell>
          <cell r="AO141">
            <v>0</v>
          </cell>
          <cell r="AP141">
            <v>399547</v>
          </cell>
        </row>
        <row r="142">
          <cell r="C142" t="str">
            <v>PALO VERDE Subtotal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1277981</v>
          </cell>
          <cell r="AC142">
            <v>25850</v>
          </cell>
          <cell r="AD142">
            <v>46887</v>
          </cell>
          <cell r="AE142">
            <v>88349</v>
          </cell>
          <cell r="AF142">
            <v>41966</v>
          </cell>
          <cell r="AG142">
            <v>0</v>
          </cell>
          <cell r="AH142">
            <v>0</v>
          </cell>
          <cell r="AI142">
            <v>5338</v>
          </cell>
          <cell r="AJ142">
            <v>0</v>
          </cell>
          <cell r="AK142">
            <v>32359</v>
          </cell>
          <cell r="AL142">
            <v>0</v>
          </cell>
          <cell r="AM142">
            <v>14087</v>
          </cell>
          <cell r="AN142">
            <v>0</v>
          </cell>
          <cell r="AO142">
            <v>-104413</v>
          </cell>
          <cell r="AP142">
            <v>1340055</v>
          </cell>
        </row>
        <row r="144">
          <cell r="C144" t="str">
            <v xml:space="preserve"> PALOMAR           </v>
          </cell>
          <cell r="D144" t="str">
            <v xml:space="preserve"> SAN DIEGO         </v>
          </cell>
          <cell r="E144">
            <v>60</v>
          </cell>
          <cell r="F144" t="str">
            <v xml:space="preserve"> 2015-2016</v>
          </cell>
          <cell r="G144" t="str">
            <v xml:space="preserve"> 04/15/2016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 t="str">
            <v xml:space="preserve"> 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60623065</v>
          </cell>
          <cell r="AC144">
            <v>1305127</v>
          </cell>
          <cell r="AD144">
            <v>1886386</v>
          </cell>
          <cell r="AE144">
            <v>5492</v>
          </cell>
          <cell r="AF144">
            <v>2609</v>
          </cell>
          <cell r="AG144">
            <v>0</v>
          </cell>
          <cell r="AH144">
            <v>0</v>
          </cell>
          <cell r="AI144">
            <v>3370756</v>
          </cell>
          <cell r="AJ144">
            <v>0</v>
          </cell>
          <cell r="AK144">
            <v>-34929</v>
          </cell>
          <cell r="AL144">
            <v>0</v>
          </cell>
          <cell r="AM144">
            <v>468139</v>
          </cell>
          <cell r="AN144">
            <v>0</v>
          </cell>
          <cell r="AO144">
            <v>-2306654</v>
          </cell>
          <cell r="AP144">
            <v>65314499</v>
          </cell>
        </row>
        <row r="145">
          <cell r="C145" t="str">
            <v xml:space="preserve">PALOMAR Subtotal         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60623065</v>
          </cell>
          <cell r="AC145">
            <v>1305127</v>
          </cell>
          <cell r="AD145">
            <v>1886386</v>
          </cell>
          <cell r="AE145">
            <v>5492</v>
          </cell>
          <cell r="AF145">
            <v>2609</v>
          </cell>
          <cell r="AG145">
            <v>0</v>
          </cell>
          <cell r="AH145">
            <v>0</v>
          </cell>
          <cell r="AI145">
            <v>3370756</v>
          </cell>
          <cell r="AJ145">
            <v>0</v>
          </cell>
          <cell r="AK145">
            <v>-34929</v>
          </cell>
          <cell r="AL145">
            <v>0</v>
          </cell>
          <cell r="AM145">
            <v>468139</v>
          </cell>
          <cell r="AN145">
            <v>0</v>
          </cell>
          <cell r="AO145">
            <v>-2306654</v>
          </cell>
          <cell r="AP145">
            <v>65314499</v>
          </cell>
        </row>
        <row r="147">
          <cell r="C147" t="str">
            <v xml:space="preserve"> PASADENA          </v>
          </cell>
          <cell r="D147" t="str">
            <v xml:space="preserve"> LOS ANGELES       </v>
          </cell>
          <cell r="E147">
            <v>770</v>
          </cell>
          <cell r="F147" t="str">
            <v xml:space="preserve"> 2015-2016</v>
          </cell>
          <cell r="G147" t="str">
            <v xml:space="preserve"> 04/15/2016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 t="str">
            <v xml:space="preserve"> 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22362325</v>
          </cell>
          <cell r="AC147">
            <v>550882</v>
          </cell>
          <cell r="AD147">
            <v>863795</v>
          </cell>
          <cell r="AE147">
            <v>28088</v>
          </cell>
          <cell r="AF147">
            <v>13342</v>
          </cell>
          <cell r="AG147">
            <v>0</v>
          </cell>
          <cell r="AH147">
            <v>0</v>
          </cell>
          <cell r="AI147">
            <v>437155</v>
          </cell>
          <cell r="AJ147">
            <v>369979</v>
          </cell>
          <cell r="AK147">
            <v>558163</v>
          </cell>
          <cell r="AL147">
            <v>0</v>
          </cell>
          <cell r="AM147">
            <v>160007</v>
          </cell>
          <cell r="AN147">
            <v>14449</v>
          </cell>
          <cell r="AO147">
            <v>0</v>
          </cell>
          <cell r="AP147">
            <v>25330097</v>
          </cell>
        </row>
        <row r="148">
          <cell r="C148" t="str">
            <v xml:space="preserve">PASADENA Subtotal         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22362325</v>
          </cell>
          <cell r="AC148">
            <v>550882</v>
          </cell>
          <cell r="AD148">
            <v>863795</v>
          </cell>
          <cell r="AE148">
            <v>28088</v>
          </cell>
          <cell r="AF148">
            <v>13342</v>
          </cell>
          <cell r="AG148">
            <v>0</v>
          </cell>
          <cell r="AH148">
            <v>0</v>
          </cell>
          <cell r="AI148">
            <v>437155</v>
          </cell>
          <cell r="AJ148">
            <v>369979</v>
          </cell>
          <cell r="AK148">
            <v>558163</v>
          </cell>
          <cell r="AL148">
            <v>0</v>
          </cell>
          <cell r="AM148">
            <v>160007</v>
          </cell>
          <cell r="AN148">
            <v>14449</v>
          </cell>
          <cell r="AO148">
            <v>0</v>
          </cell>
          <cell r="AP148">
            <v>25330097</v>
          </cell>
        </row>
        <row r="150">
          <cell r="C150" t="str">
            <v xml:space="preserve"> PERALTA</v>
          </cell>
          <cell r="D150" t="str">
            <v xml:space="preserve"> ALAMEDA           </v>
          </cell>
          <cell r="E150">
            <v>340</v>
          </cell>
          <cell r="F150" t="str">
            <v xml:space="preserve"> 2015-2016</v>
          </cell>
          <cell r="G150" t="str">
            <v xml:space="preserve"> 04/15/2016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 t="str">
            <v xml:space="preserve"> 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16564210</v>
          </cell>
          <cell r="AC150">
            <v>336905</v>
          </cell>
          <cell r="AD150">
            <v>1408719</v>
          </cell>
          <cell r="AE150">
            <v>1262592</v>
          </cell>
          <cell r="AF150">
            <v>599731</v>
          </cell>
          <cell r="AG150">
            <v>0</v>
          </cell>
          <cell r="AH150">
            <v>0</v>
          </cell>
          <cell r="AI150">
            <v>1964144</v>
          </cell>
          <cell r="AJ150">
            <v>0</v>
          </cell>
          <cell r="AK150">
            <v>-477813</v>
          </cell>
          <cell r="AL150">
            <v>0</v>
          </cell>
          <cell r="AM150">
            <v>168422</v>
          </cell>
          <cell r="AN150">
            <v>0</v>
          </cell>
          <cell r="AO150">
            <v>23799617</v>
          </cell>
          <cell r="AP150">
            <v>44363935</v>
          </cell>
        </row>
        <row r="151">
          <cell r="C151" t="str">
            <v>PERALTA Subtotal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16564210</v>
          </cell>
          <cell r="AC151">
            <v>336905</v>
          </cell>
          <cell r="AD151">
            <v>1408719</v>
          </cell>
          <cell r="AE151">
            <v>1262592</v>
          </cell>
          <cell r="AF151">
            <v>599731</v>
          </cell>
          <cell r="AG151">
            <v>0</v>
          </cell>
          <cell r="AH151">
            <v>0</v>
          </cell>
          <cell r="AI151">
            <v>1964144</v>
          </cell>
          <cell r="AJ151">
            <v>0</v>
          </cell>
          <cell r="AK151">
            <v>-477813</v>
          </cell>
          <cell r="AL151">
            <v>0</v>
          </cell>
          <cell r="AM151">
            <v>168422</v>
          </cell>
          <cell r="AN151">
            <v>0</v>
          </cell>
          <cell r="AO151">
            <v>23799617</v>
          </cell>
          <cell r="AP151">
            <v>44363935</v>
          </cell>
        </row>
        <row r="153">
          <cell r="C153" t="str">
            <v xml:space="preserve"> RANCHO SANTIAGO   </v>
          </cell>
          <cell r="D153" t="str">
            <v xml:space="preserve"> ORANGE            </v>
          </cell>
          <cell r="E153">
            <v>870</v>
          </cell>
          <cell r="F153" t="str">
            <v xml:space="preserve"> 2015-2016</v>
          </cell>
          <cell r="G153" t="str">
            <v xml:space="preserve"> 04/15/2016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 t="str">
            <v xml:space="preserve"> 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42304125</v>
          </cell>
          <cell r="AC153">
            <v>1007883</v>
          </cell>
          <cell r="AD153">
            <v>1376106</v>
          </cell>
          <cell r="AE153">
            <v>483156</v>
          </cell>
          <cell r="AF153">
            <v>229499</v>
          </cell>
          <cell r="AG153">
            <v>0</v>
          </cell>
          <cell r="AH153">
            <v>0</v>
          </cell>
          <cell r="AI153">
            <v>4685907</v>
          </cell>
          <cell r="AJ153">
            <v>95692</v>
          </cell>
          <cell r="AK153">
            <v>628048</v>
          </cell>
          <cell r="AL153">
            <v>6</v>
          </cell>
          <cell r="AM153">
            <v>292411</v>
          </cell>
          <cell r="AN153">
            <v>0</v>
          </cell>
          <cell r="AO153">
            <v>7180295</v>
          </cell>
          <cell r="AP153">
            <v>57799972</v>
          </cell>
        </row>
        <row r="154">
          <cell r="C154" t="str">
            <v xml:space="preserve">RANCHO SANTIAGO Subtotal   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42304125</v>
          </cell>
          <cell r="AC154">
            <v>1007883</v>
          </cell>
          <cell r="AD154">
            <v>1376106</v>
          </cell>
          <cell r="AE154">
            <v>483156</v>
          </cell>
          <cell r="AF154">
            <v>229499</v>
          </cell>
          <cell r="AG154">
            <v>0</v>
          </cell>
          <cell r="AH154">
            <v>0</v>
          </cell>
          <cell r="AI154">
            <v>4685907</v>
          </cell>
          <cell r="AJ154">
            <v>95692</v>
          </cell>
          <cell r="AK154">
            <v>628048</v>
          </cell>
          <cell r="AL154">
            <v>6</v>
          </cell>
          <cell r="AM154">
            <v>292411</v>
          </cell>
          <cell r="AN154">
            <v>0</v>
          </cell>
          <cell r="AO154">
            <v>7180295</v>
          </cell>
          <cell r="AP154">
            <v>57799972</v>
          </cell>
        </row>
        <row r="156">
          <cell r="C156" t="str">
            <v xml:space="preserve"> REDWOODS          </v>
          </cell>
          <cell r="D156" t="str">
            <v xml:space="preserve"> DEL NORTE         </v>
          </cell>
          <cell r="E156">
            <v>160</v>
          </cell>
          <cell r="F156" t="str">
            <v xml:space="preserve"> 2015-2016</v>
          </cell>
          <cell r="G156" t="str">
            <v xml:space="preserve"> 04/15/2016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 t="str">
            <v xml:space="preserve"> 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30000</v>
          </cell>
          <cell r="AM156">
            <v>0</v>
          </cell>
          <cell r="AN156">
            <v>0</v>
          </cell>
          <cell r="AO156">
            <v>0</v>
          </cell>
          <cell r="AP156">
            <v>30000</v>
          </cell>
        </row>
        <row r="157">
          <cell r="C157" t="str">
            <v xml:space="preserve"> REDWOODS          </v>
          </cell>
          <cell r="D157" t="str">
            <v xml:space="preserve"> HUMBOLDT          </v>
          </cell>
          <cell r="E157">
            <v>160</v>
          </cell>
          <cell r="F157" t="str">
            <v xml:space="preserve"> 2015-2016</v>
          </cell>
          <cell r="G157" t="str">
            <v xml:space="preserve"> 04/15/2016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 xml:space="preserve"> 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6932712</v>
          </cell>
          <cell r="AC157">
            <v>59000</v>
          </cell>
          <cell r="AD157">
            <v>290000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312352</v>
          </cell>
          <cell r="AJ157">
            <v>140447</v>
          </cell>
          <cell r="AK157">
            <v>8658</v>
          </cell>
          <cell r="AL157">
            <v>150000</v>
          </cell>
          <cell r="AM157">
            <v>108873</v>
          </cell>
          <cell r="AN157">
            <v>0</v>
          </cell>
          <cell r="AO157">
            <v>169532</v>
          </cell>
          <cell r="AP157">
            <v>8171574</v>
          </cell>
        </row>
        <row r="158">
          <cell r="C158" t="str">
            <v xml:space="preserve"> REDWOODS          </v>
          </cell>
          <cell r="D158" t="str">
            <v xml:space="preserve"> MENDOCINO         </v>
          </cell>
          <cell r="E158">
            <v>160</v>
          </cell>
          <cell r="F158" t="str">
            <v xml:space="preserve"> 2015-2016</v>
          </cell>
          <cell r="G158" t="str">
            <v xml:space="preserve"> 04/15/2016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 xml:space="preserve"> 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1926053</v>
          </cell>
          <cell r="AC158">
            <v>13233</v>
          </cell>
          <cell r="AD158">
            <v>64909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32038</v>
          </cell>
          <cell r="AJ158">
            <v>0</v>
          </cell>
          <cell r="AK158">
            <v>816</v>
          </cell>
          <cell r="AL158">
            <v>52532</v>
          </cell>
          <cell r="AM158">
            <v>19234</v>
          </cell>
          <cell r="AN158">
            <v>0</v>
          </cell>
          <cell r="AO158">
            <v>511605</v>
          </cell>
          <cell r="AP158">
            <v>2620420</v>
          </cell>
        </row>
        <row r="159">
          <cell r="C159" t="str">
            <v xml:space="preserve"> REDWOODS          </v>
          </cell>
          <cell r="D159" t="str">
            <v xml:space="preserve"> TRINITY           </v>
          </cell>
          <cell r="E159">
            <v>160</v>
          </cell>
          <cell r="F159" t="str">
            <v xml:space="preserve"> 2015-2016</v>
          </cell>
          <cell r="G159" t="str">
            <v xml:space="preserve"> 04/15/2016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 xml:space="preserve"> 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48150</v>
          </cell>
          <cell r="AC159">
            <v>1000</v>
          </cell>
          <cell r="AD159">
            <v>1260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27</v>
          </cell>
          <cell r="AL159">
            <v>150</v>
          </cell>
          <cell r="AM159">
            <v>682</v>
          </cell>
          <cell r="AN159">
            <v>0</v>
          </cell>
          <cell r="AO159">
            <v>0</v>
          </cell>
          <cell r="AP159">
            <v>51269</v>
          </cell>
        </row>
        <row r="160">
          <cell r="C160" t="str">
            <v xml:space="preserve">REDWOODS Subtotal         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8906915</v>
          </cell>
          <cell r="AC160">
            <v>73233</v>
          </cell>
          <cell r="AD160">
            <v>356169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344390</v>
          </cell>
          <cell r="AJ160">
            <v>140447</v>
          </cell>
          <cell r="AK160">
            <v>9501</v>
          </cell>
          <cell r="AL160">
            <v>232682</v>
          </cell>
          <cell r="AM160">
            <v>128789</v>
          </cell>
          <cell r="AN160">
            <v>0</v>
          </cell>
          <cell r="AO160">
            <v>681137</v>
          </cell>
          <cell r="AP160">
            <v>10873263</v>
          </cell>
        </row>
        <row r="162">
          <cell r="C162" t="str">
            <v xml:space="preserve"> RIO HONDO         </v>
          </cell>
          <cell r="D162" t="str">
            <v xml:space="preserve"> LOS ANGELES       </v>
          </cell>
          <cell r="E162">
            <v>880</v>
          </cell>
          <cell r="F162" t="str">
            <v xml:space="preserve"> 2015-2016</v>
          </cell>
          <cell r="G162" t="str">
            <v xml:space="preserve"> 04/15/2016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 t="str">
            <v xml:space="preserve"> 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5377253</v>
          </cell>
          <cell r="AC162">
            <v>148141</v>
          </cell>
          <cell r="AD162">
            <v>125805</v>
          </cell>
          <cell r="AE162">
            <v>65651</v>
          </cell>
          <cell r="AF162">
            <v>31184</v>
          </cell>
          <cell r="AG162">
            <v>0</v>
          </cell>
          <cell r="AH162">
            <v>0</v>
          </cell>
          <cell r="AI162">
            <v>41903</v>
          </cell>
          <cell r="AJ162">
            <v>20281</v>
          </cell>
          <cell r="AK162">
            <v>125427</v>
          </cell>
          <cell r="AL162">
            <v>0</v>
          </cell>
          <cell r="AM162">
            <v>37597</v>
          </cell>
          <cell r="AN162">
            <v>180</v>
          </cell>
          <cell r="AO162">
            <v>0</v>
          </cell>
          <cell r="AP162">
            <v>5907771</v>
          </cell>
        </row>
        <row r="163">
          <cell r="C163" t="str">
            <v xml:space="preserve">RIO HONDO Subtotal        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5377253</v>
          </cell>
          <cell r="AC163">
            <v>148141</v>
          </cell>
          <cell r="AD163">
            <v>125805</v>
          </cell>
          <cell r="AE163">
            <v>65651</v>
          </cell>
          <cell r="AF163">
            <v>31184</v>
          </cell>
          <cell r="AG163">
            <v>0</v>
          </cell>
          <cell r="AH163">
            <v>0</v>
          </cell>
          <cell r="AI163">
            <v>41903</v>
          </cell>
          <cell r="AJ163">
            <v>20281</v>
          </cell>
          <cell r="AK163">
            <v>125427</v>
          </cell>
          <cell r="AL163">
            <v>0</v>
          </cell>
          <cell r="AM163">
            <v>37597</v>
          </cell>
          <cell r="AN163">
            <v>180</v>
          </cell>
          <cell r="AO163">
            <v>0</v>
          </cell>
          <cell r="AP163">
            <v>5907771</v>
          </cell>
        </row>
        <row r="165">
          <cell r="C165" t="str">
            <v xml:space="preserve"> RIVERSIDE         </v>
          </cell>
          <cell r="D165" t="str">
            <v xml:space="preserve"> RIVERSIDE         </v>
          </cell>
          <cell r="E165">
            <v>960</v>
          </cell>
          <cell r="F165" t="str">
            <v xml:space="preserve"> 2015-2016</v>
          </cell>
          <cell r="G165" t="str">
            <v xml:space="preserve"> 04/15/2016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 t="str">
            <v xml:space="preserve"> 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33048635</v>
          </cell>
          <cell r="AC165">
            <v>786776</v>
          </cell>
          <cell r="AD165">
            <v>1432326</v>
          </cell>
          <cell r="AE165">
            <v>1542358</v>
          </cell>
          <cell r="AF165">
            <v>732620</v>
          </cell>
          <cell r="AG165">
            <v>0</v>
          </cell>
          <cell r="AH165">
            <v>0</v>
          </cell>
          <cell r="AI165">
            <v>1666659</v>
          </cell>
          <cell r="AJ165">
            <v>102079</v>
          </cell>
          <cell r="AK165">
            <v>982128</v>
          </cell>
          <cell r="AL165">
            <v>0</v>
          </cell>
          <cell r="AM165">
            <v>439651</v>
          </cell>
          <cell r="AN165">
            <v>0</v>
          </cell>
          <cell r="AO165">
            <v>-4118807</v>
          </cell>
          <cell r="AP165">
            <v>35072067</v>
          </cell>
        </row>
        <row r="166">
          <cell r="C166" t="str">
            <v xml:space="preserve">RIVERSIDE Subtotal         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33048635</v>
          </cell>
          <cell r="AC166">
            <v>786776</v>
          </cell>
          <cell r="AD166">
            <v>1432326</v>
          </cell>
          <cell r="AE166">
            <v>1542358</v>
          </cell>
          <cell r="AF166">
            <v>732620</v>
          </cell>
          <cell r="AG166">
            <v>0</v>
          </cell>
          <cell r="AH166">
            <v>0</v>
          </cell>
          <cell r="AI166">
            <v>1666659</v>
          </cell>
          <cell r="AJ166">
            <v>102079</v>
          </cell>
          <cell r="AK166">
            <v>982128</v>
          </cell>
          <cell r="AL166">
            <v>0</v>
          </cell>
          <cell r="AM166">
            <v>439651</v>
          </cell>
          <cell r="AN166">
            <v>0</v>
          </cell>
          <cell r="AO166">
            <v>-4118807</v>
          </cell>
          <cell r="AP166">
            <v>35072067</v>
          </cell>
        </row>
        <row r="168">
          <cell r="C168" t="str">
            <v xml:space="preserve"> SAN BERNARDINO    </v>
          </cell>
          <cell r="D168" t="str">
            <v xml:space="preserve"> RIVERSIDE         </v>
          </cell>
          <cell r="E168">
            <v>980</v>
          </cell>
          <cell r="F168" t="str">
            <v xml:space="preserve"> 2015-2016</v>
          </cell>
          <cell r="G168" t="str">
            <v xml:space="preserve"> 04/15/2016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 t="str">
            <v xml:space="preserve"> 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308590</v>
          </cell>
          <cell r="AC168">
            <v>7277</v>
          </cell>
          <cell r="AD168">
            <v>13254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2310</v>
          </cell>
          <cell r="AJ168">
            <v>0</v>
          </cell>
          <cell r="AK168">
            <v>9108</v>
          </cell>
          <cell r="AL168">
            <v>0</v>
          </cell>
          <cell r="AM168">
            <v>4068</v>
          </cell>
          <cell r="AN168">
            <v>0</v>
          </cell>
          <cell r="AO168">
            <v>-38113</v>
          </cell>
          <cell r="AP168">
            <v>306494</v>
          </cell>
        </row>
        <row r="169">
          <cell r="C169" t="str">
            <v xml:space="preserve"> SAN BERNARDINO    </v>
          </cell>
          <cell r="D169" t="str">
            <v xml:space="preserve"> SAN BERNARDINO    </v>
          </cell>
          <cell r="E169">
            <v>980</v>
          </cell>
          <cell r="F169" t="str">
            <v xml:space="preserve"> 2015-2016</v>
          </cell>
          <cell r="G169" t="str">
            <v xml:space="preserve"> 04/15/2016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 xml:space="preserve"> 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20476799</v>
          </cell>
          <cell r="AC169">
            <v>387457</v>
          </cell>
          <cell r="AD169">
            <v>792033</v>
          </cell>
          <cell r="AE169">
            <v>858714</v>
          </cell>
          <cell r="AF169">
            <v>407889</v>
          </cell>
          <cell r="AG169">
            <v>0</v>
          </cell>
          <cell r="AH169">
            <v>0</v>
          </cell>
          <cell r="AI169">
            <v>1940068</v>
          </cell>
          <cell r="AJ169">
            <v>242528</v>
          </cell>
          <cell r="AK169">
            <v>25099</v>
          </cell>
          <cell r="AL169">
            <v>0</v>
          </cell>
          <cell r="AM169">
            <v>220843</v>
          </cell>
          <cell r="AN169">
            <v>0</v>
          </cell>
          <cell r="AO169">
            <v>-5872162</v>
          </cell>
          <cell r="AP169">
            <v>18620554</v>
          </cell>
        </row>
        <row r="170">
          <cell r="C170" t="str">
            <v xml:space="preserve">SAN BERNARDINO Subtotal    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20785389</v>
          </cell>
          <cell r="AC170">
            <v>394734</v>
          </cell>
          <cell r="AD170">
            <v>805287</v>
          </cell>
          <cell r="AE170">
            <v>858714</v>
          </cell>
          <cell r="AF170">
            <v>407889</v>
          </cell>
          <cell r="AG170">
            <v>0</v>
          </cell>
          <cell r="AH170">
            <v>0</v>
          </cell>
          <cell r="AI170">
            <v>1942378</v>
          </cell>
          <cell r="AJ170">
            <v>242528</v>
          </cell>
          <cell r="AK170">
            <v>34207</v>
          </cell>
          <cell r="AL170">
            <v>0</v>
          </cell>
          <cell r="AM170">
            <v>224911</v>
          </cell>
          <cell r="AN170">
            <v>0</v>
          </cell>
          <cell r="AO170">
            <v>-5910275</v>
          </cell>
          <cell r="AP170">
            <v>18927048</v>
          </cell>
        </row>
        <row r="172">
          <cell r="C172" t="str">
            <v xml:space="preserve"> SAN DIEGO         </v>
          </cell>
          <cell r="D172" t="str">
            <v xml:space="preserve"> SAN DIEGO         </v>
          </cell>
          <cell r="E172">
            <v>70</v>
          </cell>
          <cell r="F172" t="str">
            <v xml:space="preserve"> 2015-2016</v>
          </cell>
          <cell r="G172" t="str">
            <v xml:space="preserve"> 04/15/2016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 t="str">
            <v xml:space="preserve"> 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86170179</v>
          </cell>
          <cell r="AC172">
            <v>1860098</v>
          </cell>
          <cell r="AD172">
            <v>2775898</v>
          </cell>
          <cell r="AE172">
            <v>666880</v>
          </cell>
          <cell r="AF172">
            <v>316768</v>
          </cell>
          <cell r="AG172">
            <v>0</v>
          </cell>
          <cell r="AH172">
            <v>0</v>
          </cell>
          <cell r="AI172">
            <v>2486646</v>
          </cell>
          <cell r="AJ172">
            <v>0</v>
          </cell>
          <cell r="AK172">
            <v>-46497</v>
          </cell>
          <cell r="AL172">
            <v>0</v>
          </cell>
          <cell r="AM172">
            <v>689105</v>
          </cell>
          <cell r="AN172">
            <v>0</v>
          </cell>
          <cell r="AO172">
            <v>-3395357</v>
          </cell>
          <cell r="AP172">
            <v>90856840</v>
          </cell>
        </row>
        <row r="173">
          <cell r="C173" t="str">
            <v xml:space="preserve">SAN DIEGO Subtotal        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86170179</v>
          </cell>
          <cell r="AC173">
            <v>1860098</v>
          </cell>
          <cell r="AD173">
            <v>2775898</v>
          </cell>
          <cell r="AE173">
            <v>666880</v>
          </cell>
          <cell r="AF173">
            <v>316768</v>
          </cell>
          <cell r="AG173">
            <v>0</v>
          </cell>
          <cell r="AH173">
            <v>0</v>
          </cell>
          <cell r="AI173">
            <v>2486646</v>
          </cell>
          <cell r="AJ173">
            <v>0</v>
          </cell>
          <cell r="AK173">
            <v>-46497</v>
          </cell>
          <cell r="AL173">
            <v>0</v>
          </cell>
          <cell r="AM173">
            <v>689105</v>
          </cell>
          <cell r="AN173">
            <v>0</v>
          </cell>
          <cell r="AO173">
            <v>-3395357</v>
          </cell>
          <cell r="AP173">
            <v>90856840</v>
          </cell>
        </row>
        <row r="175">
          <cell r="C175" t="str">
            <v xml:space="preserve"> SAN FRANCISCO     </v>
          </cell>
          <cell r="D175" t="str">
            <v xml:space="preserve"> SAN FRANCISCO     </v>
          </cell>
          <cell r="E175">
            <v>360</v>
          </cell>
          <cell r="F175" t="str">
            <v xml:space="preserve"> 2015-2016</v>
          </cell>
          <cell r="G175" t="str">
            <v xml:space="preserve"> 04/15/2016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 t="str">
            <v xml:space="preserve"> 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24944865</v>
          </cell>
          <cell r="AC175">
            <v>870396</v>
          </cell>
          <cell r="AD175">
            <v>1496383</v>
          </cell>
          <cell r="AE175">
            <v>356114</v>
          </cell>
          <cell r="AF175">
            <v>169154</v>
          </cell>
          <cell r="AG175">
            <v>0</v>
          </cell>
          <cell r="AH175">
            <v>0</v>
          </cell>
          <cell r="AI175">
            <v>138428</v>
          </cell>
          <cell r="AJ175">
            <v>0</v>
          </cell>
          <cell r="AK175">
            <v>0</v>
          </cell>
          <cell r="AL175">
            <v>0</v>
          </cell>
          <cell r="AM175">
            <v>93315</v>
          </cell>
          <cell r="AN175">
            <v>0</v>
          </cell>
          <cell r="AO175">
            <v>41492297</v>
          </cell>
          <cell r="AP175">
            <v>69204838</v>
          </cell>
        </row>
        <row r="176">
          <cell r="C176" t="str">
            <v xml:space="preserve">SAN FRANCISCO Subtotal     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24944865</v>
          </cell>
          <cell r="AC176">
            <v>870396</v>
          </cell>
          <cell r="AD176">
            <v>1496383</v>
          </cell>
          <cell r="AE176">
            <v>356114</v>
          </cell>
          <cell r="AF176">
            <v>169154</v>
          </cell>
          <cell r="AG176">
            <v>0</v>
          </cell>
          <cell r="AH176">
            <v>0</v>
          </cell>
          <cell r="AI176">
            <v>138428</v>
          </cell>
          <cell r="AJ176">
            <v>0</v>
          </cell>
          <cell r="AK176">
            <v>0</v>
          </cell>
          <cell r="AL176">
            <v>0</v>
          </cell>
          <cell r="AM176">
            <v>93315</v>
          </cell>
          <cell r="AN176">
            <v>0</v>
          </cell>
          <cell r="AO176">
            <v>41492297</v>
          </cell>
          <cell r="AP176">
            <v>69204838</v>
          </cell>
        </row>
        <row r="178">
          <cell r="C178" t="str">
            <v xml:space="preserve"> SAN JOAQUIN DELTA </v>
          </cell>
          <cell r="D178" t="str">
            <v xml:space="preserve"> ALAMEDA           </v>
          </cell>
          <cell r="E178">
            <v>550</v>
          </cell>
          <cell r="F178" t="str">
            <v xml:space="preserve"> 2015-2016</v>
          </cell>
          <cell r="G178" t="str">
            <v xml:space="preserve"> 04/15/2016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 t="str">
            <v xml:space="preserve"> 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76113</v>
          </cell>
          <cell r="AC178">
            <v>1846</v>
          </cell>
          <cell r="AD178">
            <v>4060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-1760</v>
          </cell>
          <cell r="AL178">
            <v>0</v>
          </cell>
          <cell r="AM178">
            <v>485</v>
          </cell>
          <cell r="AN178">
            <v>0</v>
          </cell>
          <cell r="AO178">
            <v>0</v>
          </cell>
          <cell r="AP178">
            <v>80744</v>
          </cell>
        </row>
        <row r="179">
          <cell r="C179" t="str">
            <v xml:space="preserve"> SAN JOAQUIN DELTA </v>
          </cell>
          <cell r="D179" t="str">
            <v xml:space="preserve"> CALAVERAS         </v>
          </cell>
          <cell r="E179">
            <v>550</v>
          </cell>
          <cell r="F179" t="str">
            <v xml:space="preserve"> 2015-2016</v>
          </cell>
          <cell r="G179" t="str">
            <v xml:space="preserve"> 04/15/2016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 t="str">
            <v xml:space="preserve"> 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1038529</v>
          </cell>
          <cell r="AC179">
            <v>5153</v>
          </cell>
          <cell r="AD179">
            <v>16600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297</v>
          </cell>
          <cell r="AL179">
            <v>141</v>
          </cell>
          <cell r="AM179">
            <v>13332</v>
          </cell>
          <cell r="AN179">
            <v>0</v>
          </cell>
          <cell r="AO179">
            <v>226011</v>
          </cell>
          <cell r="AP179">
            <v>1300063</v>
          </cell>
        </row>
        <row r="180">
          <cell r="C180" t="str">
            <v xml:space="preserve"> SAN JOAQUIN DELTA </v>
          </cell>
          <cell r="D180" t="str">
            <v xml:space="preserve"> SACRAMENTO        </v>
          </cell>
          <cell r="E180">
            <v>550</v>
          </cell>
          <cell r="F180" t="str">
            <v xml:space="preserve"> 2015-2016</v>
          </cell>
          <cell r="G180" t="str">
            <v xml:space="preserve"> 04/15/2016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 t="str">
            <v xml:space="preserve"> 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844800</v>
          </cell>
          <cell r="AC180">
            <v>19558</v>
          </cell>
          <cell r="AD180">
            <v>26789</v>
          </cell>
          <cell r="AE180">
            <v>6819</v>
          </cell>
          <cell r="AF180">
            <v>3239</v>
          </cell>
          <cell r="AG180">
            <v>0</v>
          </cell>
          <cell r="AH180">
            <v>0</v>
          </cell>
          <cell r="AI180">
            <v>21098</v>
          </cell>
          <cell r="AJ180">
            <v>0</v>
          </cell>
          <cell r="AK180">
            <v>0</v>
          </cell>
          <cell r="AL180">
            <v>0</v>
          </cell>
          <cell r="AM180">
            <v>10592</v>
          </cell>
          <cell r="AN180">
            <v>0</v>
          </cell>
          <cell r="AO180">
            <v>0</v>
          </cell>
          <cell r="AP180">
            <v>926076</v>
          </cell>
        </row>
        <row r="181">
          <cell r="C181" t="str">
            <v xml:space="preserve"> SAN JOAQUIN DELTA </v>
          </cell>
          <cell r="D181" t="str">
            <v xml:space="preserve"> SAN JOAQUIN       </v>
          </cell>
          <cell r="E181">
            <v>550</v>
          </cell>
          <cell r="F181" t="str">
            <v xml:space="preserve"> 2015-2016</v>
          </cell>
          <cell r="G181" t="str">
            <v xml:space="preserve"> 04/15/2016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 t="str">
            <v xml:space="preserve"> 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19445441</v>
          </cell>
          <cell r="AC181">
            <v>279423</v>
          </cell>
          <cell r="AD181">
            <v>1218182</v>
          </cell>
          <cell r="AE181">
            <v>308465</v>
          </cell>
          <cell r="AF181">
            <v>146521</v>
          </cell>
          <cell r="AG181">
            <v>0</v>
          </cell>
          <cell r="AH181">
            <v>0</v>
          </cell>
          <cell r="AI181">
            <v>616680</v>
          </cell>
          <cell r="AJ181">
            <v>250345</v>
          </cell>
          <cell r="AK181">
            <v>15459</v>
          </cell>
          <cell r="AL181">
            <v>0</v>
          </cell>
          <cell r="AM181">
            <v>201579</v>
          </cell>
          <cell r="AN181">
            <v>57</v>
          </cell>
          <cell r="AO181">
            <v>5044882</v>
          </cell>
          <cell r="AP181">
            <v>27218569</v>
          </cell>
        </row>
        <row r="182">
          <cell r="C182" t="str">
            <v xml:space="preserve"> SAN JOAQUIN DELTA </v>
          </cell>
          <cell r="D182" t="str">
            <v xml:space="preserve"> SOLANO            </v>
          </cell>
          <cell r="E182">
            <v>550</v>
          </cell>
          <cell r="F182" t="str">
            <v xml:space="preserve"> 2015-2016</v>
          </cell>
          <cell r="G182" t="str">
            <v xml:space="preserve"> 04/15/2016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 xml:space="preserve"> 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1175909</v>
          </cell>
          <cell r="AC182">
            <v>19279</v>
          </cell>
          <cell r="AD182">
            <v>68646</v>
          </cell>
          <cell r="AE182">
            <v>230</v>
          </cell>
          <cell r="AF182">
            <v>109</v>
          </cell>
          <cell r="AG182">
            <v>0</v>
          </cell>
          <cell r="AH182">
            <v>0</v>
          </cell>
          <cell r="AI182">
            <v>44625</v>
          </cell>
          <cell r="AJ182">
            <v>0</v>
          </cell>
          <cell r="AK182">
            <v>0</v>
          </cell>
          <cell r="AL182">
            <v>0</v>
          </cell>
          <cell r="AM182">
            <v>11150</v>
          </cell>
          <cell r="AN182">
            <v>0</v>
          </cell>
          <cell r="AO182">
            <v>0</v>
          </cell>
          <cell r="AP182">
            <v>1319718</v>
          </cell>
        </row>
        <row r="183">
          <cell r="C183" t="str">
            <v>SAN JOAQUIN DELTA Subtotal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22580792</v>
          </cell>
          <cell r="AC183">
            <v>325259</v>
          </cell>
          <cell r="AD183">
            <v>1334277</v>
          </cell>
          <cell r="AE183">
            <v>315514</v>
          </cell>
          <cell r="AF183">
            <v>149869</v>
          </cell>
          <cell r="AG183">
            <v>0</v>
          </cell>
          <cell r="AH183">
            <v>0</v>
          </cell>
          <cell r="AI183">
            <v>682403</v>
          </cell>
          <cell r="AJ183">
            <v>250345</v>
          </cell>
          <cell r="AK183">
            <v>13996</v>
          </cell>
          <cell r="AL183">
            <v>141</v>
          </cell>
          <cell r="AM183">
            <v>237138</v>
          </cell>
          <cell r="AN183">
            <v>57</v>
          </cell>
          <cell r="AO183">
            <v>5270893</v>
          </cell>
          <cell r="AP183">
            <v>30845170</v>
          </cell>
        </row>
        <row r="185">
          <cell r="C185" t="str">
            <v xml:space="preserve"> SAN JOSE          </v>
          </cell>
          <cell r="D185" t="str">
            <v xml:space="preserve"> SANTA CLARA       </v>
          </cell>
          <cell r="E185">
            <v>470</v>
          </cell>
          <cell r="F185" t="str">
            <v xml:space="preserve"> 2015-2016</v>
          </cell>
          <cell r="G185" t="str">
            <v xml:space="preserve"> 04/15/2016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 t="str">
            <v xml:space="preserve"> 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71560788</v>
          </cell>
          <cell r="AC185">
            <v>2365000</v>
          </cell>
          <cell r="AD185">
            <v>6192370</v>
          </cell>
          <cell r="AE185">
            <v>1924750</v>
          </cell>
          <cell r="AF185">
            <v>914256</v>
          </cell>
          <cell r="AG185">
            <v>0</v>
          </cell>
          <cell r="AH185">
            <v>0</v>
          </cell>
          <cell r="AI185">
            <v>2046183</v>
          </cell>
          <cell r="AJ185">
            <v>0</v>
          </cell>
          <cell r="AK185">
            <v>0</v>
          </cell>
          <cell r="AL185">
            <v>0</v>
          </cell>
          <cell r="AM185">
            <v>444371</v>
          </cell>
          <cell r="AN185">
            <v>0</v>
          </cell>
          <cell r="AO185">
            <v>0</v>
          </cell>
          <cell r="AP185">
            <v>83522968</v>
          </cell>
        </row>
        <row r="186">
          <cell r="C186" t="str">
            <v xml:space="preserve">SAN JOSE Subtotal    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71560788</v>
          </cell>
          <cell r="AC186">
            <v>2365000</v>
          </cell>
          <cell r="AD186">
            <v>6192370</v>
          </cell>
          <cell r="AE186">
            <v>1924750</v>
          </cell>
          <cell r="AF186">
            <v>914256</v>
          </cell>
          <cell r="AG186">
            <v>0</v>
          </cell>
          <cell r="AH186">
            <v>0</v>
          </cell>
          <cell r="AI186">
            <v>2046183</v>
          </cell>
          <cell r="AJ186">
            <v>0</v>
          </cell>
          <cell r="AK186">
            <v>0</v>
          </cell>
          <cell r="AL186">
            <v>0</v>
          </cell>
          <cell r="AM186">
            <v>444371</v>
          </cell>
          <cell r="AN186">
            <v>0</v>
          </cell>
          <cell r="AO186">
            <v>0</v>
          </cell>
          <cell r="AP186">
            <v>83522968</v>
          </cell>
        </row>
        <row r="188">
          <cell r="C188" t="str">
            <v xml:space="preserve"> SAN LUIS OBISPO   </v>
          </cell>
          <cell r="D188" t="str">
            <v xml:space="preserve"> MONTEREY          </v>
          </cell>
          <cell r="E188">
            <v>640</v>
          </cell>
          <cell r="F188" t="str">
            <v xml:space="preserve"> 2015-2016</v>
          </cell>
          <cell r="G188" t="str">
            <v xml:space="preserve"> 04/15/2016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 t="str">
            <v xml:space="preserve"> 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205047</v>
          </cell>
          <cell r="AC188">
            <v>2110</v>
          </cell>
          <cell r="AD188">
            <v>8340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1612</v>
          </cell>
          <cell r="AL188">
            <v>0</v>
          </cell>
          <cell r="AM188">
            <v>1192</v>
          </cell>
          <cell r="AN188">
            <v>0</v>
          </cell>
          <cell r="AO188">
            <v>0</v>
          </cell>
          <cell r="AP188">
            <v>218301</v>
          </cell>
        </row>
        <row r="189">
          <cell r="C189" t="str">
            <v xml:space="preserve"> SAN LUIS OBISPO   </v>
          </cell>
          <cell r="D189" t="str">
            <v xml:space="preserve"> SAN LUIS OBISPO   </v>
          </cell>
          <cell r="E189">
            <v>640</v>
          </cell>
          <cell r="F189" t="str">
            <v xml:space="preserve"> 2015-2016</v>
          </cell>
          <cell r="G189" t="str">
            <v xml:space="preserve"> 04/15/2016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 xml:space="preserve"> 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33069610</v>
          </cell>
          <cell r="AC189">
            <v>710615</v>
          </cell>
          <cell r="AD189">
            <v>721939</v>
          </cell>
          <cell r="AE189">
            <v>128397</v>
          </cell>
          <cell r="AF189">
            <v>60989</v>
          </cell>
          <cell r="AG189">
            <v>0</v>
          </cell>
          <cell r="AH189">
            <v>0</v>
          </cell>
          <cell r="AI189">
            <v>194223</v>
          </cell>
          <cell r="AJ189">
            <v>0</v>
          </cell>
          <cell r="AK189">
            <v>-2775</v>
          </cell>
          <cell r="AL189">
            <v>0</v>
          </cell>
          <cell r="AM189">
            <v>234055</v>
          </cell>
          <cell r="AN189">
            <v>0</v>
          </cell>
          <cell r="AO189">
            <v>1235578</v>
          </cell>
          <cell r="AP189">
            <v>36224234</v>
          </cell>
        </row>
        <row r="190">
          <cell r="C190" t="str">
            <v>SAN LUIS OBISPO Subtotal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33274657</v>
          </cell>
          <cell r="AC190">
            <v>712725</v>
          </cell>
          <cell r="AD190">
            <v>730279</v>
          </cell>
          <cell r="AE190">
            <v>128397</v>
          </cell>
          <cell r="AF190">
            <v>60989</v>
          </cell>
          <cell r="AG190">
            <v>0</v>
          </cell>
          <cell r="AH190">
            <v>0</v>
          </cell>
          <cell r="AI190">
            <v>194223</v>
          </cell>
          <cell r="AJ190">
            <v>0</v>
          </cell>
          <cell r="AK190">
            <v>-1163</v>
          </cell>
          <cell r="AL190">
            <v>0</v>
          </cell>
          <cell r="AM190">
            <v>235247</v>
          </cell>
          <cell r="AN190">
            <v>0</v>
          </cell>
          <cell r="AO190">
            <v>1235578</v>
          </cell>
          <cell r="AP190">
            <v>36442535</v>
          </cell>
        </row>
        <row r="192">
          <cell r="C192" t="str">
            <v xml:space="preserve"> SAN MATEO         </v>
          </cell>
          <cell r="D192" t="str">
            <v xml:space="preserve"> SAN MATEO         </v>
          </cell>
          <cell r="E192">
            <v>370</v>
          </cell>
          <cell r="F192" t="str">
            <v xml:space="preserve"> 2015-2016</v>
          </cell>
          <cell r="G192" t="str">
            <v xml:space="preserve"> 04/15/2016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 t="str">
            <v xml:space="preserve"> 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107547399</v>
          </cell>
          <cell r="AC192">
            <v>4188236</v>
          </cell>
          <cell r="AD192">
            <v>5265173</v>
          </cell>
          <cell r="AE192">
            <v>539692</v>
          </cell>
          <cell r="AF192">
            <v>256354</v>
          </cell>
          <cell r="AG192">
            <v>0</v>
          </cell>
          <cell r="AH192">
            <v>0</v>
          </cell>
          <cell r="AI192">
            <v>5169439</v>
          </cell>
          <cell r="AJ192">
            <v>676189</v>
          </cell>
          <cell r="AK192">
            <v>102668</v>
          </cell>
          <cell r="AL192">
            <v>0</v>
          </cell>
          <cell r="AM192">
            <v>612136</v>
          </cell>
          <cell r="AN192">
            <v>0</v>
          </cell>
          <cell r="AO192">
            <v>0</v>
          </cell>
          <cell r="AP192">
            <v>123817594</v>
          </cell>
        </row>
        <row r="193">
          <cell r="C193" t="str">
            <v xml:space="preserve">SAN MATEO Subtotal         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107547399</v>
          </cell>
          <cell r="AC193">
            <v>4188236</v>
          </cell>
          <cell r="AD193">
            <v>5265173</v>
          </cell>
          <cell r="AE193">
            <v>539692</v>
          </cell>
          <cell r="AF193">
            <v>256354</v>
          </cell>
          <cell r="AG193">
            <v>0</v>
          </cell>
          <cell r="AH193">
            <v>0</v>
          </cell>
          <cell r="AI193">
            <v>5169439</v>
          </cell>
          <cell r="AJ193">
            <v>676189</v>
          </cell>
          <cell r="AK193">
            <v>102668</v>
          </cell>
          <cell r="AL193">
            <v>0</v>
          </cell>
          <cell r="AM193">
            <v>612136</v>
          </cell>
          <cell r="AN193">
            <v>0</v>
          </cell>
          <cell r="AO193">
            <v>0</v>
          </cell>
          <cell r="AP193">
            <v>123817594</v>
          </cell>
        </row>
        <row r="195">
          <cell r="C195" t="str">
            <v xml:space="preserve"> SANTA BARBARA     </v>
          </cell>
          <cell r="D195" t="str">
            <v xml:space="preserve"> SANTA BARBARA     </v>
          </cell>
          <cell r="E195">
            <v>650</v>
          </cell>
          <cell r="F195" t="str">
            <v xml:space="preserve"> 2015-2016</v>
          </cell>
          <cell r="G195" t="str">
            <v xml:space="preserve"> 04/15/2016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 t="str">
            <v xml:space="preserve"> 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24279894</v>
          </cell>
          <cell r="AC195">
            <v>592856</v>
          </cell>
          <cell r="AD195">
            <v>998294</v>
          </cell>
          <cell r="AE195">
            <v>80241</v>
          </cell>
          <cell r="AF195">
            <v>38114</v>
          </cell>
          <cell r="AG195">
            <v>0</v>
          </cell>
          <cell r="AH195">
            <v>0</v>
          </cell>
          <cell r="AI195">
            <v>1119307</v>
          </cell>
          <cell r="AJ195">
            <v>0</v>
          </cell>
          <cell r="AK195">
            <v>-52524</v>
          </cell>
          <cell r="AL195">
            <v>0</v>
          </cell>
          <cell r="AM195">
            <v>148004</v>
          </cell>
          <cell r="AN195">
            <v>0</v>
          </cell>
          <cell r="AO195">
            <v>0</v>
          </cell>
          <cell r="AP195">
            <v>27123945</v>
          </cell>
        </row>
        <row r="196">
          <cell r="C196" t="str">
            <v xml:space="preserve">SANTA BARBARA Subtotal   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24279894</v>
          </cell>
          <cell r="AC196">
            <v>592856</v>
          </cell>
          <cell r="AD196">
            <v>998294</v>
          </cell>
          <cell r="AE196">
            <v>80241</v>
          </cell>
          <cell r="AF196">
            <v>38114</v>
          </cell>
          <cell r="AG196">
            <v>0</v>
          </cell>
          <cell r="AH196">
            <v>0</v>
          </cell>
          <cell r="AI196">
            <v>1119307</v>
          </cell>
          <cell r="AJ196">
            <v>0</v>
          </cell>
          <cell r="AK196">
            <v>-52524</v>
          </cell>
          <cell r="AL196">
            <v>0</v>
          </cell>
          <cell r="AM196">
            <v>148004</v>
          </cell>
          <cell r="AN196">
            <v>0</v>
          </cell>
          <cell r="AO196">
            <v>0</v>
          </cell>
          <cell r="AP196">
            <v>27123945</v>
          </cell>
        </row>
        <row r="198">
          <cell r="C198" t="str">
            <v xml:space="preserve"> SANTA CLARITA     </v>
          </cell>
          <cell r="D198" t="str">
            <v xml:space="preserve"> LOS ANGELES       </v>
          </cell>
          <cell r="E198">
            <v>660</v>
          </cell>
          <cell r="F198" t="str">
            <v xml:space="preserve"> 2015-2016</v>
          </cell>
          <cell r="G198" t="str">
            <v xml:space="preserve"> 04/15/2016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 t="str">
            <v xml:space="preserve"> 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13764106</v>
          </cell>
          <cell r="AC198">
            <v>356276</v>
          </cell>
          <cell r="AD198">
            <v>523973</v>
          </cell>
          <cell r="AE198">
            <v>10489</v>
          </cell>
          <cell r="AF198">
            <v>4982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303559</v>
          </cell>
          <cell r="AL198">
            <v>0</v>
          </cell>
          <cell r="AM198">
            <v>98127</v>
          </cell>
          <cell r="AN198">
            <v>0</v>
          </cell>
          <cell r="AO198">
            <v>0</v>
          </cell>
          <cell r="AP198">
            <v>15051023</v>
          </cell>
        </row>
        <row r="199">
          <cell r="C199" t="str">
            <v xml:space="preserve">SANTA CLARITA Subtotal  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13764106</v>
          </cell>
          <cell r="AC199">
            <v>356276</v>
          </cell>
          <cell r="AD199">
            <v>523973</v>
          </cell>
          <cell r="AE199">
            <v>10489</v>
          </cell>
          <cell r="AF199">
            <v>4982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303559</v>
          </cell>
          <cell r="AL199">
            <v>0</v>
          </cell>
          <cell r="AM199">
            <v>98127</v>
          </cell>
          <cell r="AN199">
            <v>0</v>
          </cell>
          <cell r="AO199">
            <v>0</v>
          </cell>
          <cell r="AP199">
            <v>15051023</v>
          </cell>
        </row>
        <row r="201">
          <cell r="C201" t="str">
            <v xml:space="preserve"> SANTA MONICA      </v>
          </cell>
          <cell r="D201" t="str">
            <v xml:space="preserve"> LOS ANGELES       </v>
          </cell>
          <cell r="E201">
            <v>780</v>
          </cell>
          <cell r="F201" t="str">
            <v xml:space="preserve"> 2015-2016</v>
          </cell>
          <cell r="G201" t="str">
            <v xml:space="preserve"> 04/15/2016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 t="str">
            <v xml:space="preserve"> 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12936113</v>
          </cell>
          <cell r="AC201">
            <v>347025</v>
          </cell>
          <cell r="AD201">
            <v>567993</v>
          </cell>
          <cell r="AE201">
            <v>498178</v>
          </cell>
          <cell r="AF201">
            <v>236635</v>
          </cell>
          <cell r="AG201">
            <v>0</v>
          </cell>
          <cell r="AH201">
            <v>0</v>
          </cell>
          <cell r="AI201">
            <v>630837</v>
          </cell>
          <cell r="AJ201">
            <v>0</v>
          </cell>
          <cell r="AK201">
            <v>357242</v>
          </cell>
          <cell r="AL201">
            <v>0</v>
          </cell>
          <cell r="AM201">
            <v>96476</v>
          </cell>
          <cell r="AN201">
            <v>2</v>
          </cell>
          <cell r="AO201">
            <v>0</v>
          </cell>
          <cell r="AP201">
            <v>15172323</v>
          </cell>
        </row>
        <row r="202">
          <cell r="C202" t="str">
            <v xml:space="preserve">SANTA MONICA Subtotal    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12936113</v>
          </cell>
          <cell r="AC202">
            <v>347025</v>
          </cell>
          <cell r="AD202">
            <v>567993</v>
          </cell>
          <cell r="AE202">
            <v>498178</v>
          </cell>
          <cell r="AF202">
            <v>236635</v>
          </cell>
          <cell r="AG202">
            <v>0</v>
          </cell>
          <cell r="AH202">
            <v>0</v>
          </cell>
          <cell r="AI202">
            <v>630837</v>
          </cell>
          <cell r="AJ202">
            <v>0</v>
          </cell>
          <cell r="AK202">
            <v>357242</v>
          </cell>
          <cell r="AL202">
            <v>0</v>
          </cell>
          <cell r="AM202">
            <v>96476</v>
          </cell>
          <cell r="AN202">
            <v>2</v>
          </cell>
          <cell r="AO202">
            <v>0</v>
          </cell>
          <cell r="AP202">
            <v>15172323</v>
          </cell>
        </row>
        <row r="204">
          <cell r="C204" t="str">
            <v xml:space="preserve"> SEQUOIAS          </v>
          </cell>
          <cell r="D204" t="str">
            <v xml:space="preserve"> FRESNO            </v>
          </cell>
          <cell r="E204">
            <v>560</v>
          </cell>
          <cell r="F204" t="str">
            <v xml:space="preserve"> 2015-2016</v>
          </cell>
          <cell r="G204" t="str">
            <v xml:space="preserve"> 04/15/2016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 t="str">
            <v xml:space="preserve"> 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25992</v>
          </cell>
          <cell r="AC204">
            <v>289</v>
          </cell>
          <cell r="AD204">
            <v>1238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13</v>
          </cell>
          <cell r="AL204">
            <v>0</v>
          </cell>
          <cell r="AM204">
            <v>280</v>
          </cell>
          <cell r="AN204">
            <v>0</v>
          </cell>
          <cell r="AO204">
            <v>-2047</v>
          </cell>
          <cell r="AP204">
            <v>25765</v>
          </cell>
        </row>
        <row r="205">
          <cell r="C205" t="str">
            <v xml:space="preserve"> SEQUOIAS          </v>
          </cell>
          <cell r="D205" t="str">
            <v xml:space="preserve"> KINGS             </v>
          </cell>
          <cell r="E205">
            <v>560</v>
          </cell>
          <cell r="F205" t="str">
            <v xml:space="preserve"> 2015-2016</v>
          </cell>
          <cell r="G205" t="str">
            <v xml:space="preserve"> 04/15/2016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 xml:space="preserve"> 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2485628</v>
          </cell>
          <cell r="AC205">
            <v>13554</v>
          </cell>
          <cell r="AD205">
            <v>108055</v>
          </cell>
          <cell r="AE205">
            <v>28000</v>
          </cell>
          <cell r="AF205">
            <v>13300</v>
          </cell>
          <cell r="AG205">
            <v>0</v>
          </cell>
          <cell r="AH205">
            <v>0</v>
          </cell>
          <cell r="AI205">
            <v>99500</v>
          </cell>
          <cell r="AJ205">
            <v>0</v>
          </cell>
          <cell r="AK205">
            <v>30953</v>
          </cell>
          <cell r="AL205">
            <v>0</v>
          </cell>
          <cell r="AM205">
            <v>31040</v>
          </cell>
          <cell r="AN205">
            <v>0</v>
          </cell>
          <cell r="AO205">
            <v>-1099430</v>
          </cell>
          <cell r="AP205">
            <v>1682600</v>
          </cell>
        </row>
        <row r="206">
          <cell r="C206" t="str">
            <v xml:space="preserve"> SEQUOIAS          </v>
          </cell>
          <cell r="D206" t="str">
            <v xml:space="preserve"> TULARE            </v>
          </cell>
          <cell r="E206">
            <v>560</v>
          </cell>
          <cell r="F206" t="str">
            <v xml:space="preserve"> 2015-2016</v>
          </cell>
          <cell r="G206" t="str">
            <v xml:space="preserve"> 04/15/2016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 t="str">
            <v xml:space="preserve"> 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10238631</v>
          </cell>
          <cell r="AC206">
            <v>84212</v>
          </cell>
          <cell r="AD206">
            <v>578933</v>
          </cell>
          <cell r="AE206">
            <v>139516</v>
          </cell>
          <cell r="AF206">
            <v>66270</v>
          </cell>
          <cell r="AG206">
            <v>0</v>
          </cell>
          <cell r="AH206">
            <v>0</v>
          </cell>
          <cell r="AI206">
            <v>355041</v>
          </cell>
          <cell r="AJ206">
            <v>0</v>
          </cell>
          <cell r="AK206">
            <v>0</v>
          </cell>
          <cell r="AL206">
            <v>0</v>
          </cell>
          <cell r="AM206">
            <v>109842</v>
          </cell>
          <cell r="AN206">
            <v>0</v>
          </cell>
          <cell r="AO206">
            <v>-1152301</v>
          </cell>
          <cell r="AP206">
            <v>10280628</v>
          </cell>
        </row>
        <row r="207">
          <cell r="C207" t="str">
            <v xml:space="preserve">SEQUOIAS Subtotal         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12750251</v>
          </cell>
          <cell r="AC207">
            <v>98055</v>
          </cell>
          <cell r="AD207">
            <v>688226</v>
          </cell>
          <cell r="AE207">
            <v>167516</v>
          </cell>
          <cell r="AF207">
            <v>79570</v>
          </cell>
          <cell r="AG207">
            <v>0</v>
          </cell>
          <cell r="AH207">
            <v>0</v>
          </cell>
          <cell r="AI207">
            <v>454541</v>
          </cell>
          <cell r="AJ207">
            <v>0</v>
          </cell>
          <cell r="AK207">
            <v>30966</v>
          </cell>
          <cell r="AL207">
            <v>0</v>
          </cell>
          <cell r="AM207">
            <v>141162</v>
          </cell>
          <cell r="AN207">
            <v>0</v>
          </cell>
          <cell r="AO207">
            <v>-2253778</v>
          </cell>
          <cell r="AP207">
            <v>11988993</v>
          </cell>
        </row>
        <row r="209">
          <cell r="C209" t="str">
            <v xml:space="preserve"> SHASTA            </v>
          </cell>
          <cell r="D209" t="str">
            <v xml:space="preserve"> HUMBOLDT          </v>
          </cell>
          <cell r="E209">
            <v>170</v>
          </cell>
          <cell r="F209" t="str">
            <v xml:space="preserve"> 2015-2016</v>
          </cell>
          <cell r="G209" t="str">
            <v xml:space="preserve"> 04/15/2016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 t="str">
            <v xml:space="preserve"> 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21118</v>
          </cell>
          <cell r="AC209">
            <v>150</v>
          </cell>
          <cell r="AD209">
            <v>793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22</v>
          </cell>
          <cell r="AL209">
            <v>140</v>
          </cell>
          <cell r="AM209">
            <v>293</v>
          </cell>
          <cell r="AN209">
            <v>0</v>
          </cell>
          <cell r="AO209">
            <v>456</v>
          </cell>
          <cell r="AP209">
            <v>22972</v>
          </cell>
        </row>
        <row r="210">
          <cell r="C210" t="str">
            <v xml:space="preserve"> SHASTA            </v>
          </cell>
          <cell r="D210" t="str">
            <v xml:space="preserve"> LASSEN            </v>
          </cell>
          <cell r="E210">
            <v>170</v>
          </cell>
          <cell r="F210" t="str">
            <v xml:space="preserve"> 2015-2016</v>
          </cell>
          <cell r="G210" t="str">
            <v xml:space="preserve"> 04/15/2016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 xml:space="preserve"> 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49976</v>
          </cell>
          <cell r="AC210">
            <v>365</v>
          </cell>
          <cell r="AD210">
            <v>4021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43</v>
          </cell>
          <cell r="AL210">
            <v>454</v>
          </cell>
          <cell r="AM210">
            <v>1508</v>
          </cell>
          <cell r="AN210">
            <v>0</v>
          </cell>
          <cell r="AO210">
            <v>-16849</v>
          </cell>
          <cell r="AP210">
            <v>39518</v>
          </cell>
        </row>
        <row r="211">
          <cell r="C211" t="str">
            <v xml:space="preserve"> SHASTA            </v>
          </cell>
          <cell r="D211" t="str">
            <v xml:space="preserve"> MODOC             </v>
          </cell>
          <cell r="E211">
            <v>170</v>
          </cell>
          <cell r="F211" t="str">
            <v xml:space="preserve"> 2015-2016</v>
          </cell>
          <cell r="G211" t="str">
            <v xml:space="preserve"> 04/15/2016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 xml:space="preserve"> 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13760</v>
          </cell>
          <cell r="AC211">
            <v>60</v>
          </cell>
          <cell r="AD211">
            <v>600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675</v>
          </cell>
          <cell r="AL211">
            <v>20</v>
          </cell>
          <cell r="AM211">
            <v>200</v>
          </cell>
          <cell r="AN211">
            <v>0</v>
          </cell>
          <cell r="AO211">
            <v>-1106</v>
          </cell>
          <cell r="AP211">
            <v>14209</v>
          </cell>
        </row>
        <row r="212">
          <cell r="C212" t="str">
            <v xml:space="preserve"> SHASTA            </v>
          </cell>
          <cell r="D212" t="str">
            <v xml:space="preserve"> SHASTA            </v>
          </cell>
          <cell r="E212">
            <v>170</v>
          </cell>
          <cell r="F212" t="str">
            <v xml:space="preserve"> 2015-2016</v>
          </cell>
          <cell r="G212" t="str">
            <v xml:space="preserve"> 04/15/2016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 xml:space="preserve"> 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8918952</v>
          </cell>
          <cell r="AC212">
            <v>110252</v>
          </cell>
          <cell r="AD212">
            <v>449004</v>
          </cell>
          <cell r="AE212">
            <v>80734</v>
          </cell>
          <cell r="AF212">
            <v>38349</v>
          </cell>
          <cell r="AG212">
            <v>0</v>
          </cell>
          <cell r="AH212">
            <v>0</v>
          </cell>
          <cell r="AI212">
            <v>673130</v>
          </cell>
          <cell r="AJ212">
            <v>0</v>
          </cell>
          <cell r="AK212">
            <v>4927</v>
          </cell>
          <cell r="AL212">
            <v>43915</v>
          </cell>
          <cell r="AM212">
            <v>154323</v>
          </cell>
          <cell r="AN212">
            <v>0</v>
          </cell>
          <cell r="AO212">
            <v>-580319</v>
          </cell>
          <cell r="AP212">
            <v>9812533</v>
          </cell>
        </row>
        <row r="213">
          <cell r="C213" t="str">
            <v xml:space="preserve"> SHASTA            </v>
          </cell>
          <cell r="D213" t="str">
            <v xml:space="preserve"> TEHAMA            </v>
          </cell>
          <cell r="E213">
            <v>170</v>
          </cell>
          <cell r="F213" t="str">
            <v xml:space="preserve"> 2015-2016</v>
          </cell>
          <cell r="G213" t="str">
            <v xml:space="preserve"> 04/15/2016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 xml:space="preserve"> 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2823137</v>
          </cell>
          <cell r="AC213">
            <v>25000</v>
          </cell>
          <cell r="AD213">
            <v>101908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5000</v>
          </cell>
          <cell r="AL213">
            <v>15000</v>
          </cell>
          <cell r="AM213">
            <v>52353</v>
          </cell>
          <cell r="AN213">
            <v>500</v>
          </cell>
          <cell r="AO213">
            <v>5166</v>
          </cell>
          <cell r="AP213">
            <v>3028064</v>
          </cell>
        </row>
        <row r="214">
          <cell r="C214" t="str">
            <v xml:space="preserve"> SHASTA            </v>
          </cell>
          <cell r="D214" t="str">
            <v xml:space="preserve"> TRINITY           </v>
          </cell>
          <cell r="E214">
            <v>170</v>
          </cell>
          <cell r="F214" t="str">
            <v xml:space="preserve"> 2015-2016</v>
          </cell>
          <cell r="G214" t="str">
            <v xml:space="preserve"> 04/15/2016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 xml:space="preserve"> 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1327970</v>
          </cell>
          <cell r="AC214">
            <v>40000</v>
          </cell>
          <cell r="AD214">
            <v>34665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747</v>
          </cell>
          <cell r="AL214">
            <v>14092</v>
          </cell>
          <cell r="AM214">
            <v>17102</v>
          </cell>
          <cell r="AN214">
            <v>0</v>
          </cell>
          <cell r="AO214">
            <v>0</v>
          </cell>
          <cell r="AP214">
            <v>1434576</v>
          </cell>
        </row>
        <row r="215">
          <cell r="C215" t="str">
            <v xml:space="preserve">SHASTA Subtotal            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13154913</v>
          </cell>
          <cell r="AC215">
            <v>175827</v>
          </cell>
          <cell r="AD215">
            <v>590991</v>
          </cell>
          <cell r="AE215">
            <v>80734</v>
          </cell>
          <cell r="AF215">
            <v>38349</v>
          </cell>
          <cell r="AG215">
            <v>0</v>
          </cell>
          <cell r="AH215">
            <v>0</v>
          </cell>
          <cell r="AI215">
            <v>673130</v>
          </cell>
          <cell r="AJ215">
            <v>0</v>
          </cell>
          <cell r="AK215">
            <v>11414</v>
          </cell>
          <cell r="AL215">
            <v>73621</v>
          </cell>
          <cell r="AM215">
            <v>225779</v>
          </cell>
          <cell r="AN215">
            <v>500</v>
          </cell>
          <cell r="AO215">
            <v>-592652</v>
          </cell>
          <cell r="AP215">
            <v>14351872</v>
          </cell>
        </row>
        <row r="217">
          <cell r="C217" t="str">
            <v xml:space="preserve"> SIERRA            </v>
          </cell>
          <cell r="D217" t="str">
            <v xml:space="preserve"> EL DORADO         </v>
          </cell>
          <cell r="E217">
            <v>270</v>
          </cell>
          <cell r="F217" t="str">
            <v xml:space="preserve"> 2015-2016</v>
          </cell>
          <cell r="G217" t="str">
            <v xml:space="preserve"> 04/15/2016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 t="str">
            <v xml:space="preserve"> 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512455</v>
          </cell>
          <cell r="AC217">
            <v>4349</v>
          </cell>
          <cell r="AD217">
            <v>9990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155</v>
          </cell>
          <cell r="AL217">
            <v>0</v>
          </cell>
          <cell r="AM217">
            <v>5088</v>
          </cell>
          <cell r="AN217">
            <v>0</v>
          </cell>
          <cell r="AO217">
            <v>0</v>
          </cell>
          <cell r="AP217">
            <v>532037</v>
          </cell>
        </row>
        <row r="218">
          <cell r="C218" t="str">
            <v xml:space="preserve"> SIERRA            </v>
          </cell>
          <cell r="D218" t="str">
            <v xml:space="preserve"> NEVADA            </v>
          </cell>
          <cell r="E218">
            <v>270</v>
          </cell>
          <cell r="F218" t="str">
            <v xml:space="preserve"> 2015-2016</v>
          </cell>
          <cell r="G218" t="str">
            <v xml:space="preserve"> 04/15/2016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 xml:space="preserve"> 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13900000</v>
          </cell>
          <cell r="AC218">
            <v>215000</v>
          </cell>
          <cell r="AD218">
            <v>248500</v>
          </cell>
          <cell r="AE218">
            <v>33970</v>
          </cell>
          <cell r="AF218">
            <v>16136</v>
          </cell>
          <cell r="AG218">
            <v>0</v>
          </cell>
          <cell r="AH218">
            <v>0</v>
          </cell>
          <cell r="AI218">
            <v>86459</v>
          </cell>
          <cell r="AJ218">
            <v>0</v>
          </cell>
          <cell r="AK218">
            <v>2700</v>
          </cell>
          <cell r="AL218">
            <v>5009</v>
          </cell>
          <cell r="AM218">
            <v>140077</v>
          </cell>
          <cell r="AN218">
            <v>0</v>
          </cell>
          <cell r="AO218">
            <v>1099081</v>
          </cell>
          <cell r="AP218">
            <v>15712962</v>
          </cell>
        </row>
        <row r="219">
          <cell r="C219" t="str">
            <v xml:space="preserve"> SIERRA            </v>
          </cell>
          <cell r="D219" t="str">
            <v xml:space="preserve"> PLACER            </v>
          </cell>
          <cell r="E219">
            <v>270</v>
          </cell>
          <cell r="F219" t="str">
            <v xml:space="preserve"> 2015-2016</v>
          </cell>
          <cell r="G219" t="str">
            <v xml:space="preserve"> 04/15/2016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46412492</v>
          </cell>
          <cell r="AC219">
            <v>960116</v>
          </cell>
          <cell r="AD219">
            <v>1051453</v>
          </cell>
          <cell r="AE219">
            <v>253877</v>
          </cell>
          <cell r="AF219">
            <v>120592</v>
          </cell>
          <cell r="AG219">
            <v>0</v>
          </cell>
          <cell r="AH219">
            <v>0</v>
          </cell>
          <cell r="AI219">
            <v>424796</v>
          </cell>
          <cell r="AJ219">
            <v>0</v>
          </cell>
          <cell r="AK219">
            <v>13410</v>
          </cell>
          <cell r="AL219">
            <v>7312</v>
          </cell>
          <cell r="AM219">
            <v>396690</v>
          </cell>
          <cell r="AN219">
            <v>0</v>
          </cell>
          <cell r="AO219">
            <v>3471056</v>
          </cell>
          <cell r="AP219">
            <v>52857917</v>
          </cell>
        </row>
        <row r="220">
          <cell r="C220" t="str">
            <v xml:space="preserve"> SIERRA            </v>
          </cell>
          <cell r="D220" t="str">
            <v xml:space="preserve"> SACRAMENTO        </v>
          </cell>
          <cell r="E220">
            <v>270</v>
          </cell>
          <cell r="F220" t="str">
            <v xml:space="preserve"> 2015-2016</v>
          </cell>
          <cell r="G220" t="str">
            <v xml:space="preserve"> 04/15/2016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1290816</v>
          </cell>
          <cell r="AC220">
            <v>29884</v>
          </cell>
          <cell r="AD220">
            <v>40932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16185</v>
          </cell>
          <cell r="AN220">
            <v>0</v>
          </cell>
          <cell r="AO220">
            <v>0</v>
          </cell>
          <cell r="AP220">
            <v>1377817</v>
          </cell>
        </row>
        <row r="221">
          <cell r="C221" t="str">
            <v xml:space="preserve">SIERRA Subtotal         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62115763</v>
          </cell>
          <cell r="AC221">
            <v>1209349</v>
          </cell>
          <cell r="AD221">
            <v>1350875</v>
          </cell>
          <cell r="AE221">
            <v>287847</v>
          </cell>
          <cell r="AF221">
            <v>136728</v>
          </cell>
          <cell r="AG221">
            <v>0</v>
          </cell>
          <cell r="AH221">
            <v>0</v>
          </cell>
          <cell r="AI221">
            <v>511255</v>
          </cell>
          <cell r="AJ221">
            <v>0</v>
          </cell>
          <cell r="AK221">
            <v>16265</v>
          </cell>
          <cell r="AL221">
            <v>12321</v>
          </cell>
          <cell r="AM221">
            <v>558040</v>
          </cell>
          <cell r="AN221">
            <v>0</v>
          </cell>
          <cell r="AO221">
            <v>4570137</v>
          </cell>
          <cell r="AP221">
            <v>70480733</v>
          </cell>
        </row>
        <row r="223">
          <cell r="C223" t="str">
            <v xml:space="preserve"> SISKIYOU          </v>
          </cell>
          <cell r="D223" t="str">
            <v xml:space="preserve"> SHASTA            </v>
          </cell>
          <cell r="E223">
            <v>180</v>
          </cell>
          <cell r="F223" t="str">
            <v xml:space="preserve"> 2015-2016</v>
          </cell>
          <cell r="G223" t="str">
            <v xml:space="preserve"> 04/15/2016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 t="str">
            <v xml:space="preserve"> 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49957</v>
          </cell>
          <cell r="AC223">
            <v>29993</v>
          </cell>
          <cell r="AD223">
            <v>2094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22</v>
          </cell>
          <cell r="AL223">
            <v>3270</v>
          </cell>
          <cell r="AM223">
            <v>710</v>
          </cell>
          <cell r="AN223">
            <v>0</v>
          </cell>
          <cell r="AO223">
            <v>-2707</v>
          </cell>
          <cell r="AP223">
            <v>83339</v>
          </cell>
        </row>
        <row r="224">
          <cell r="C224" t="str">
            <v xml:space="preserve"> SISKIYOU          </v>
          </cell>
          <cell r="D224" t="str">
            <v xml:space="preserve"> SISKIYOU          </v>
          </cell>
          <cell r="E224">
            <v>180</v>
          </cell>
          <cell r="F224" t="str">
            <v xml:space="preserve"> 2015-2016</v>
          </cell>
          <cell r="G224" t="str">
            <v xml:space="preserve"> 04/15/2016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3392425</v>
          </cell>
          <cell r="AC224">
            <v>20000</v>
          </cell>
          <cell r="AD224">
            <v>186736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5500</v>
          </cell>
          <cell r="AL224">
            <v>99000</v>
          </cell>
          <cell r="AM224">
            <v>56196</v>
          </cell>
          <cell r="AN224">
            <v>0</v>
          </cell>
          <cell r="AO224">
            <v>-109359</v>
          </cell>
          <cell r="AP224">
            <v>3650498</v>
          </cell>
        </row>
        <row r="225">
          <cell r="C225" t="str">
            <v xml:space="preserve">SISKIYOU Subtotal       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3442382</v>
          </cell>
          <cell r="AC225">
            <v>49993</v>
          </cell>
          <cell r="AD225">
            <v>188830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5522</v>
          </cell>
          <cell r="AL225">
            <v>102270</v>
          </cell>
          <cell r="AM225">
            <v>56906</v>
          </cell>
          <cell r="AN225">
            <v>0</v>
          </cell>
          <cell r="AO225">
            <v>-112066</v>
          </cell>
          <cell r="AP225">
            <v>3733837</v>
          </cell>
        </row>
        <row r="227">
          <cell r="C227" t="str">
            <v xml:space="preserve"> SOLANO            </v>
          </cell>
          <cell r="D227" t="str">
            <v xml:space="preserve"> SOLANO            </v>
          </cell>
          <cell r="E227">
            <v>280</v>
          </cell>
          <cell r="F227" t="str">
            <v xml:space="preserve"> 2015-2016</v>
          </cell>
          <cell r="G227" t="str">
            <v xml:space="preserve"> 04/15/2016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 t="str">
            <v xml:space="preserve"> 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10276498</v>
          </cell>
          <cell r="AC227">
            <v>210020</v>
          </cell>
          <cell r="AD227">
            <v>607811</v>
          </cell>
          <cell r="AE227">
            <v>149014</v>
          </cell>
          <cell r="AF227">
            <v>70782</v>
          </cell>
          <cell r="AG227">
            <v>0</v>
          </cell>
          <cell r="AH227">
            <v>0</v>
          </cell>
          <cell r="AI227">
            <v>2604781</v>
          </cell>
          <cell r="AJ227">
            <v>0</v>
          </cell>
          <cell r="AK227">
            <v>0</v>
          </cell>
          <cell r="AL227">
            <v>0</v>
          </cell>
          <cell r="AM227">
            <v>121464</v>
          </cell>
          <cell r="AN227">
            <v>0</v>
          </cell>
          <cell r="AO227">
            <v>790787</v>
          </cell>
          <cell r="AP227">
            <v>14682143</v>
          </cell>
        </row>
        <row r="228">
          <cell r="C228" t="str">
            <v xml:space="preserve"> SOLANO            </v>
          </cell>
          <cell r="D228" t="str">
            <v xml:space="preserve"> YOLO              </v>
          </cell>
          <cell r="E228">
            <v>280</v>
          </cell>
          <cell r="F228" t="str">
            <v xml:space="preserve"> 2015-2016</v>
          </cell>
          <cell r="G228" t="str">
            <v xml:space="preserve"> 04/15/2016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 xml:space="preserve"> 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228341</v>
          </cell>
          <cell r="AC228">
            <v>5734</v>
          </cell>
          <cell r="AD228">
            <v>11700</v>
          </cell>
          <cell r="AE228">
            <v>13600</v>
          </cell>
          <cell r="AF228">
            <v>6460</v>
          </cell>
          <cell r="AG228">
            <v>0</v>
          </cell>
          <cell r="AH228">
            <v>0</v>
          </cell>
          <cell r="AI228">
            <v>15160</v>
          </cell>
          <cell r="AJ228">
            <v>0</v>
          </cell>
          <cell r="AK228">
            <v>175</v>
          </cell>
          <cell r="AL228">
            <v>0</v>
          </cell>
          <cell r="AM228">
            <v>2602</v>
          </cell>
          <cell r="AN228">
            <v>1605</v>
          </cell>
          <cell r="AO228">
            <v>0</v>
          </cell>
          <cell r="AP228">
            <v>271777</v>
          </cell>
        </row>
        <row r="229">
          <cell r="C229" t="str">
            <v xml:space="preserve">SOLANO Subtotal            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10504839</v>
          </cell>
          <cell r="AC229">
            <v>215754</v>
          </cell>
          <cell r="AD229">
            <v>619511</v>
          </cell>
          <cell r="AE229">
            <v>162614</v>
          </cell>
          <cell r="AF229">
            <v>77242</v>
          </cell>
          <cell r="AG229">
            <v>0</v>
          </cell>
          <cell r="AH229">
            <v>0</v>
          </cell>
          <cell r="AI229">
            <v>2619941</v>
          </cell>
          <cell r="AJ229">
            <v>0</v>
          </cell>
          <cell r="AK229">
            <v>175</v>
          </cell>
          <cell r="AL229">
            <v>0</v>
          </cell>
          <cell r="AM229">
            <v>124066</v>
          </cell>
          <cell r="AN229">
            <v>1605</v>
          </cell>
          <cell r="AO229">
            <v>790787</v>
          </cell>
          <cell r="AP229">
            <v>14953920</v>
          </cell>
        </row>
        <row r="231">
          <cell r="C231" t="str">
            <v xml:space="preserve"> SONOMA</v>
          </cell>
          <cell r="D231" t="str">
            <v xml:space="preserve"> SONOMA            </v>
          </cell>
          <cell r="E231">
            <v>260</v>
          </cell>
          <cell r="F231" t="str">
            <v xml:space="preserve"> 2015-2016</v>
          </cell>
          <cell r="G231" t="str">
            <v xml:space="preserve"> 04/15/2016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 t="str">
            <v xml:space="preserve"> 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42753613</v>
          </cell>
          <cell r="AC231">
            <v>938709</v>
          </cell>
          <cell r="AD231">
            <v>1220801</v>
          </cell>
          <cell r="AE231">
            <v>820331</v>
          </cell>
          <cell r="AF231">
            <v>389657</v>
          </cell>
          <cell r="AG231">
            <v>0</v>
          </cell>
          <cell r="AH231">
            <v>0</v>
          </cell>
          <cell r="AI231">
            <v>1428637</v>
          </cell>
          <cell r="AJ231">
            <v>1049980</v>
          </cell>
          <cell r="AK231">
            <v>0</v>
          </cell>
          <cell r="AL231">
            <v>9388</v>
          </cell>
          <cell r="AM231">
            <v>358464</v>
          </cell>
          <cell r="AN231">
            <v>0</v>
          </cell>
          <cell r="AO231">
            <v>2561770</v>
          </cell>
          <cell r="AP231">
            <v>50711019</v>
          </cell>
        </row>
        <row r="232">
          <cell r="C232" t="str">
            <v xml:space="preserve"> SONOMA            </v>
          </cell>
          <cell r="D232" t="str">
            <v xml:space="preserve"> MARIN             </v>
          </cell>
          <cell r="E232">
            <v>260</v>
          </cell>
          <cell r="F232" t="str">
            <v xml:space="preserve"> 2015-2016</v>
          </cell>
          <cell r="G232" t="str">
            <v xml:space="preserve"> 04/15/2016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 xml:space="preserve"> 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73373</v>
          </cell>
          <cell r="AC232">
            <v>1688</v>
          </cell>
          <cell r="AD232">
            <v>1375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86</v>
          </cell>
          <cell r="AL232">
            <v>0</v>
          </cell>
          <cell r="AM232">
            <v>384</v>
          </cell>
          <cell r="AN232">
            <v>0</v>
          </cell>
          <cell r="AO232">
            <v>0</v>
          </cell>
          <cell r="AP232">
            <v>76906</v>
          </cell>
        </row>
        <row r="233">
          <cell r="C233" t="str">
            <v xml:space="preserve"> SONOMA            </v>
          </cell>
          <cell r="D233" t="str">
            <v xml:space="preserve"> MENDOCINO         </v>
          </cell>
          <cell r="E233">
            <v>260</v>
          </cell>
          <cell r="F233" t="str">
            <v xml:space="preserve"> 2015-2016</v>
          </cell>
          <cell r="G233" t="str">
            <v xml:space="preserve"> 04/15/2016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 xml:space="preserve"> 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648083</v>
          </cell>
          <cell r="AC233">
            <v>4269</v>
          </cell>
          <cell r="AD233">
            <v>20813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253</v>
          </cell>
          <cell r="AL233">
            <v>2375</v>
          </cell>
          <cell r="AM233">
            <v>6187</v>
          </cell>
          <cell r="AN233">
            <v>0</v>
          </cell>
          <cell r="AO233">
            <v>0</v>
          </cell>
          <cell r="AP233">
            <v>681980</v>
          </cell>
        </row>
        <row r="234">
          <cell r="C234" t="str">
            <v xml:space="preserve">SONOMA Subtotal        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43475069</v>
          </cell>
          <cell r="AC234">
            <v>944666</v>
          </cell>
          <cell r="AD234">
            <v>1242989</v>
          </cell>
          <cell r="AE234">
            <v>820331</v>
          </cell>
          <cell r="AF234">
            <v>389657</v>
          </cell>
          <cell r="AG234">
            <v>0</v>
          </cell>
          <cell r="AH234">
            <v>0</v>
          </cell>
          <cell r="AI234">
            <v>1428637</v>
          </cell>
          <cell r="AJ234">
            <v>1049980</v>
          </cell>
          <cell r="AK234">
            <v>339</v>
          </cell>
          <cell r="AL234">
            <v>11763</v>
          </cell>
          <cell r="AM234">
            <v>365035</v>
          </cell>
          <cell r="AN234">
            <v>0</v>
          </cell>
          <cell r="AO234">
            <v>2561770</v>
          </cell>
          <cell r="AP234">
            <v>51469905</v>
          </cell>
        </row>
        <row r="236">
          <cell r="C236" t="str">
            <v xml:space="preserve"> SOUTH ORANGE CO.</v>
          </cell>
          <cell r="D236" t="str">
            <v xml:space="preserve"> ORANGE            </v>
          </cell>
          <cell r="E236">
            <v>890</v>
          </cell>
          <cell r="F236" t="str">
            <v xml:space="preserve"> 2015-2016</v>
          </cell>
          <cell r="G236" t="str">
            <v xml:space="preserve"> 04/15/2016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 t="str">
            <v xml:space="preserve"> 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171988558</v>
          </cell>
          <cell r="AC236">
            <v>4114678</v>
          </cell>
          <cell r="AD236">
            <v>5629887</v>
          </cell>
          <cell r="AE236">
            <v>846120</v>
          </cell>
          <cell r="AF236">
            <v>401907</v>
          </cell>
          <cell r="AG236">
            <v>0</v>
          </cell>
          <cell r="AH236">
            <v>0</v>
          </cell>
          <cell r="AI236">
            <v>3149017</v>
          </cell>
          <cell r="AJ236">
            <v>1726</v>
          </cell>
          <cell r="AK236">
            <v>2518832</v>
          </cell>
          <cell r="AL236">
            <v>25</v>
          </cell>
          <cell r="AM236">
            <v>1196303</v>
          </cell>
          <cell r="AN236">
            <v>0</v>
          </cell>
          <cell r="AO236">
            <v>11594457</v>
          </cell>
          <cell r="AP236">
            <v>200595390</v>
          </cell>
        </row>
        <row r="237">
          <cell r="C237" t="str">
            <v>SOUTH ORANGE CO. Subtotal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171988558</v>
          </cell>
          <cell r="AC237">
            <v>4114678</v>
          </cell>
          <cell r="AD237">
            <v>5629887</v>
          </cell>
          <cell r="AE237">
            <v>846120</v>
          </cell>
          <cell r="AF237">
            <v>401907</v>
          </cell>
          <cell r="AG237">
            <v>0</v>
          </cell>
          <cell r="AH237">
            <v>0</v>
          </cell>
          <cell r="AI237">
            <v>3149017</v>
          </cell>
          <cell r="AJ237">
            <v>1726</v>
          </cell>
          <cell r="AK237">
            <v>2518832</v>
          </cell>
          <cell r="AL237">
            <v>25</v>
          </cell>
          <cell r="AM237">
            <v>1196303</v>
          </cell>
          <cell r="AN237">
            <v>0</v>
          </cell>
          <cell r="AO237">
            <v>11594457</v>
          </cell>
          <cell r="AP237">
            <v>200595390</v>
          </cell>
        </row>
        <row r="239">
          <cell r="C239" t="str">
            <v xml:space="preserve"> SOUTHWESTERN      </v>
          </cell>
          <cell r="D239" t="str">
            <v xml:space="preserve"> SAN DIEGO         </v>
          </cell>
          <cell r="E239">
            <v>90</v>
          </cell>
          <cell r="F239" t="str">
            <v xml:space="preserve"> 2015-2016</v>
          </cell>
          <cell r="G239" t="str">
            <v xml:space="preserve"> 04/15/2016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 t="str">
            <v xml:space="preserve"> 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21950924</v>
          </cell>
          <cell r="AC239">
            <v>455540</v>
          </cell>
          <cell r="AD239">
            <v>710507</v>
          </cell>
          <cell r="AE239">
            <v>322793</v>
          </cell>
          <cell r="AF239">
            <v>153327</v>
          </cell>
          <cell r="AG239">
            <v>0</v>
          </cell>
          <cell r="AH239">
            <v>0</v>
          </cell>
          <cell r="AI239">
            <v>467448</v>
          </cell>
          <cell r="AJ239">
            <v>0</v>
          </cell>
          <cell r="AK239">
            <v>-11890</v>
          </cell>
          <cell r="AL239">
            <v>0</v>
          </cell>
          <cell r="AM239">
            <v>176345</v>
          </cell>
          <cell r="AN239">
            <v>0</v>
          </cell>
          <cell r="AO239">
            <v>-868897</v>
          </cell>
          <cell r="AP239">
            <v>23033304</v>
          </cell>
        </row>
        <row r="240">
          <cell r="C240" t="str">
            <v xml:space="preserve">SOUTHWESTERN Subtotal     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21950924</v>
          </cell>
          <cell r="AC240">
            <v>455540</v>
          </cell>
          <cell r="AD240">
            <v>710507</v>
          </cell>
          <cell r="AE240">
            <v>322793</v>
          </cell>
          <cell r="AF240">
            <v>153327</v>
          </cell>
          <cell r="AG240">
            <v>0</v>
          </cell>
          <cell r="AH240">
            <v>0</v>
          </cell>
          <cell r="AI240">
            <v>467448</v>
          </cell>
          <cell r="AJ240">
            <v>0</v>
          </cell>
          <cell r="AK240">
            <v>-11890</v>
          </cell>
          <cell r="AL240">
            <v>0</v>
          </cell>
          <cell r="AM240">
            <v>176345</v>
          </cell>
          <cell r="AN240">
            <v>0</v>
          </cell>
          <cell r="AO240">
            <v>-868897</v>
          </cell>
          <cell r="AP240">
            <v>23033304</v>
          </cell>
        </row>
        <row r="242">
          <cell r="C242" t="str">
            <v xml:space="preserve"> STATE CENTER      </v>
          </cell>
          <cell r="D242" t="str">
            <v xml:space="preserve"> FRESNO            </v>
          </cell>
          <cell r="E242">
            <v>570</v>
          </cell>
          <cell r="F242" t="str">
            <v xml:space="preserve"> 2015-2016</v>
          </cell>
          <cell r="G242" t="str">
            <v xml:space="preserve"> 04/15/2016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 t="str">
            <v xml:space="preserve"> 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29791584</v>
          </cell>
          <cell r="AC242">
            <v>340604</v>
          </cell>
          <cell r="AD242">
            <v>1466025</v>
          </cell>
          <cell r="AE242">
            <v>174741</v>
          </cell>
          <cell r="AF242">
            <v>83002</v>
          </cell>
          <cell r="AG242">
            <v>0</v>
          </cell>
          <cell r="AH242">
            <v>0</v>
          </cell>
          <cell r="AI242">
            <v>1674980</v>
          </cell>
          <cell r="AJ242">
            <v>0</v>
          </cell>
          <cell r="AK242">
            <v>15125</v>
          </cell>
          <cell r="AL242">
            <v>1555</v>
          </cell>
          <cell r="AM242">
            <v>332934</v>
          </cell>
          <cell r="AN242">
            <v>0</v>
          </cell>
          <cell r="AO242">
            <v>-2369869</v>
          </cell>
          <cell r="AP242">
            <v>31335940</v>
          </cell>
        </row>
        <row r="243">
          <cell r="C243" t="str">
            <v xml:space="preserve"> STATE CENTER      </v>
          </cell>
          <cell r="D243" t="str">
            <v xml:space="preserve"> KINGS             </v>
          </cell>
          <cell r="E243">
            <v>570</v>
          </cell>
          <cell r="F243" t="str">
            <v xml:space="preserve"> 2015-2016</v>
          </cell>
          <cell r="G243" t="str">
            <v xml:space="preserve"> 04/15/2016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 xml:space="preserve"> 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52861</v>
          </cell>
          <cell r="AC243">
            <v>288</v>
          </cell>
          <cell r="AD243">
            <v>2354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674</v>
          </cell>
          <cell r="AL243">
            <v>0</v>
          </cell>
          <cell r="AM243">
            <v>660</v>
          </cell>
          <cell r="AN243">
            <v>0</v>
          </cell>
          <cell r="AO243">
            <v>-23508</v>
          </cell>
          <cell r="AP243">
            <v>33329</v>
          </cell>
        </row>
        <row r="244">
          <cell r="C244" t="str">
            <v xml:space="preserve"> STATE CENTER      </v>
          </cell>
          <cell r="D244" t="str">
            <v xml:space="preserve"> MADERA            </v>
          </cell>
          <cell r="E244">
            <v>570</v>
          </cell>
          <cell r="F244" t="str">
            <v xml:space="preserve"> 2015-2016</v>
          </cell>
          <cell r="G244" t="str">
            <v xml:space="preserve"> 04/15/2016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 xml:space="preserve"> 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7416997</v>
          </cell>
          <cell r="AC244">
            <v>0</v>
          </cell>
          <cell r="AD244">
            <v>274628</v>
          </cell>
          <cell r="AE244">
            <v>42685</v>
          </cell>
          <cell r="AF244">
            <v>20275</v>
          </cell>
          <cell r="AG244">
            <v>0</v>
          </cell>
          <cell r="AH244">
            <v>0</v>
          </cell>
          <cell r="AI244">
            <v>76595</v>
          </cell>
          <cell r="AJ244">
            <v>0</v>
          </cell>
          <cell r="AK244">
            <v>0</v>
          </cell>
          <cell r="AL244">
            <v>0</v>
          </cell>
          <cell r="AM244">
            <v>79836</v>
          </cell>
          <cell r="AN244">
            <v>0</v>
          </cell>
          <cell r="AO244">
            <v>0</v>
          </cell>
          <cell r="AP244">
            <v>7868331</v>
          </cell>
        </row>
        <row r="245">
          <cell r="C245" t="str">
            <v xml:space="preserve"> STATE CENTER      </v>
          </cell>
          <cell r="D245" t="str">
            <v xml:space="preserve"> TULARE            </v>
          </cell>
          <cell r="E245">
            <v>570</v>
          </cell>
          <cell r="F245" t="str">
            <v xml:space="preserve"> 2015-2016</v>
          </cell>
          <cell r="G245" t="str">
            <v xml:space="preserve"> 04/15/2016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 xml:space="preserve"> 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675105</v>
          </cell>
          <cell r="AC245">
            <v>7597</v>
          </cell>
          <cell r="AD245">
            <v>37750</v>
          </cell>
          <cell r="AE245">
            <v>46914</v>
          </cell>
          <cell r="AF245">
            <v>22284</v>
          </cell>
          <cell r="AG245">
            <v>0</v>
          </cell>
          <cell r="AH245">
            <v>0</v>
          </cell>
          <cell r="AI245">
            <v>10998</v>
          </cell>
          <cell r="AJ245">
            <v>0</v>
          </cell>
          <cell r="AK245">
            <v>0</v>
          </cell>
          <cell r="AL245">
            <v>0</v>
          </cell>
          <cell r="AM245">
            <v>7184</v>
          </cell>
          <cell r="AN245">
            <v>0</v>
          </cell>
          <cell r="AO245">
            <v>-75120</v>
          </cell>
          <cell r="AP245">
            <v>685798</v>
          </cell>
        </row>
        <row r="246">
          <cell r="C246" t="str">
            <v xml:space="preserve">STATE CENTER Subtotal     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37936547</v>
          </cell>
          <cell r="AC246">
            <v>348489</v>
          </cell>
          <cell r="AD246">
            <v>1780757</v>
          </cell>
          <cell r="AE246">
            <v>264340</v>
          </cell>
          <cell r="AF246">
            <v>125561</v>
          </cell>
          <cell r="AG246">
            <v>0</v>
          </cell>
          <cell r="AH246">
            <v>0</v>
          </cell>
          <cell r="AI246">
            <v>1762573</v>
          </cell>
          <cell r="AJ246">
            <v>0</v>
          </cell>
          <cell r="AK246">
            <v>15799</v>
          </cell>
          <cell r="AL246">
            <v>1555</v>
          </cell>
          <cell r="AM246">
            <v>420614</v>
          </cell>
          <cell r="AN246">
            <v>0</v>
          </cell>
          <cell r="AO246">
            <v>-2468497</v>
          </cell>
          <cell r="AP246">
            <v>39923398</v>
          </cell>
        </row>
        <row r="248">
          <cell r="C248" t="str">
            <v xml:space="preserve"> VENTURA           </v>
          </cell>
          <cell r="D248" t="str">
            <v xml:space="preserve"> VENTURA           </v>
          </cell>
          <cell r="E248">
            <v>680</v>
          </cell>
          <cell r="F248" t="str">
            <v xml:space="preserve"> 2015-2016</v>
          </cell>
          <cell r="G248" t="str">
            <v xml:space="preserve"> 04/15/2016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 t="str">
            <v xml:space="preserve"> 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52862946</v>
          </cell>
          <cell r="AC248">
            <v>693583</v>
          </cell>
          <cell r="AD248">
            <v>1511935</v>
          </cell>
          <cell r="AE248">
            <v>1688274</v>
          </cell>
          <cell r="AF248">
            <v>801930</v>
          </cell>
          <cell r="AG248">
            <v>0</v>
          </cell>
          <cell r="AH248">
            <v>0</v>
          </cell>
          <cell r="AI248">
            <v>1739226</v>
          </cell>
          <cell r="AJ248">
            <v>1675</v>
          </cell>
          <cell r="AK248">
            <v>93320</v>
          </cell>
          <cell r="AL248">
            <v>38</v>
          </cell>
          <cell r="AM248">
            <v>457011</v>
          </cell>
          <cell r="AN248">
            <v>2692</v>
          </cell>
          <cell r="AO248">
            <v>1463797</v>
          </cell>
          <cell r="AP248">
            <v>59628153</v>
          </cell>
        </row>
        <row r="249">
          <cell r="C249" t="str">
            <v xml:space="preserve">VENTURA Subtotal           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52862946</v>
          </cell>
          <cell r="AC249">
            <v>693583</v>
          </cell>
          <cell r="AD249">
            <v>1511935</v>
          </cell>
          <cell r="AE249">
            <v>1688274</v>
          </cell>
          <cell r="AF249">
            <v>801930</v>
          </cell>
          <cell r="AG249">
            <v>0</v>
          </cell>
          <cell r="AH249">
            <v>0</v>
          </cell>
          <cell r="AI249">
            <v>1739226</v>
          </cell>
          <cell r="AJ249">
            <v>1675</v>
          </cell>
          <cell r="AK249">
            <v>93320</v>
          </cell>
          <cell r="AL249">
            <v>38</v>
          </cell>
          <cell r="AM249">
            <v>457011</v>
          </cell>
          <cell r="AN249">
            <v>2692</v>
          </cell>
          <cell r="AO249">
            <v>1463797</v>
          </cell>
          <cell r="AP249">
            <v>59628153</v>
          </cell>
        </row>
        <row r="251">
          <cell r="C251" t="str">
            <v xml:space="preserve"> VICTOR VALLEY     </v>
          </cell>
          <cell r="D251" t="str">
            <v xml:space="preserve"> LOS ANGELES       </v>
          </cell>
          <cell r="E251">
            <v>990</v>
          </cell>
          <cell r="F251" t="str">
            <v xml:space="preserve"> 2015-2016</v>
          </cell>
          <cell r="G251" t="str">
            <v xml:space="preserve"> 04/15/2016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 t="str">
            <v xml:space="preserve"> 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19296</v>
          </cell>
          <cell r="AC251">
            <v>459</v>
          </cell>
          <cell r="AD251">
            <v>662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597</v>
          </cell>
          <cell r="AL251">
            <v>0</v>
          </cell>
          <cell r="AM251">
            <v>121</v>
          </cell>
          <cell r="AN251">
            <v>0</v>
          </cell>
          <cell r="AO251">
            <v>0</v>
          </cell>
          <cell r="AP251">
            <v>21135</v>
          </cell>
        </row>
        <row r="252">
          <cell r="C252" t="str">
            <v xml:space="preserve"> VICTOR VALLEY     </v>
          </cell>
          <cell r="D252" t="str">
            <v xml:space="preserve"> SAN BERNARDINO    </v>
          </cell>
          <cell r="E252">
            <v>990</v>
          </cell>
          <cell r="F252" t="str">
            <v xml:space="preserve"> 2015-2016</v>
          </cell>
          <cell r="G252" t="str">
            <v xml:space="preserve"> 04/15/2016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 xml:space="preserve"> 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11591537</v>
          </cell>
          <cell r="AC252">
            <v>222756</v>
          </cell>
          <cell r="AD252">
            <v>447052</v>
          </cell>
          <cell r="AE252">
            <v>213099</v>
          </cell>
          <cell r="AF252">
            <v>101222</v>
          </cell>
          <cell r="AG252">
            <v>0</v>
          </cell>
          <cell r="AH252">
            <v>0</v>
          </cell>
          <cell r="AI252">
            <v>410762</v>
          </cell>
          <cell r="AJ252">
            <v>0</v>
          </cell>
          <cell r="AK252">
            <v>14330</v>
          </cell>
          <cell r="AL252">
            <v>0</v>
          </cell>
          <cell r="AM252">
            <v>124652</v>
          </cell>
          <cell r="AN252">
            <v>0</v>
          </cell>
          <cell r="AO252">
            <v>-3314459</v>
          </cell>
          <cell r="AP252">
            <v>9597852</v>
          </cell>
        </row>
        <row r="253">
          <cell r="C253" t="str">
            <v>VICTOR VALLEY Subtotal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11610833</v>
          </cell>
          <cell r="AC253">
            <v>223215</v>
          </cell>
          <cell r="AD253">
            <v>447714</v>
          </cell>
          <cell r="AE253">
            <v>213099</v>
          </cell>
          <cell r="AF253">
            <v>101222</v>
          </cell>
          <cell r="AG253">
            <v>0</v>
          </cell>
          <cell r="AH253">
            <v>0</v>
          </cell>
          <cell r="AI253">
            <v>410762</v>
          </cell>
          <cell r="AJ253">
            <v>0</v>
          </cell>
          <cell r="AK253">
            <v>14927</v>
          </cell>
          <cell r="AL253">
            <v>0</v>
          </cell>
          <cell r="AM253">
            <v>124773</v>
          </cell>
          <cell r="AN253">
            <v>0</v>
          </cell>
          <cell r="AO253">
            <v>-3314459</v>
          </cell>
          <cell r="AP253">
            <v>9618987</v>
          </cell>
        </row>
        <row r="255">
          <cell r="C255" t="str">
            <v xml:space="preserve"> WEST HILLS        </v>
          </cell>
          <cell r="D255" t="str">
            <v xml:space="preserve"> FRESNO            </v>
          </cell>
          <cell r="E255">
            <v>580</v>
          </cell>
          <cell r="F255" t="str">
            <v xml:space="preserve"> 2015-2016</v>
          </cell>
          <cell r="G255" t="str">
            <v xml:space="preserve"> 04/15/2016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 t="str">
            <v xml:space="preserve"> 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3818886</v>
          </cell>
          <cell r="AC255">
            <v>48694</v>
          </cell>
          <cell r="AD255">
            <v>213441</v>
          </cell>
          <cell r="AE255">
            <v>19839</v>
          </cell>
          <cell r="AF255">
            <v>9424</v>
          </cell>
          <cell r="AG255">
            <v>0</v>
          </cell>
          <cell r="AH255">
            <v>0</v>
          </cell>
          <cell r="AI255">
            <v>206083</v>
          </cell>
          <cell r="AJ255">
            <v>0</v>
          </cell>
          <cell r="AK255">
            <v>2194</v>
          </cell>
          <cell r="AL255">
            <v>0</v>
          </cell>
          <cell r="AM255">
            <v>48360</v>
          </cell>
          <cell r="AN255">
            <v>0</v>
          </cell>
          <cell r="AO255">
            <v>-303519</v>
          </cell>
          <cell r="AP255">
            <v>4043563</v>
          </cell>
        </row>
        <row r="256">
          <cell r="C256" t="str">
            <v xml:space="preserve"> WEST HILLS        </v>
          </cell>
          <cell r="D256" t="str">
            <v xml:space="preserve"> KINGS             </v>
          </cell>
          <cell r="E256">
            <v>580</v>
          </cell>
          <cell r="F256" t="str">
            <v xml:space="preserve"> 2015-2016</v>
          </cell>
          <cell r="G256" t="str">
            <v xml:space="preserve"> 04/15/2016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 xml:space="preserve"> 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997999</v>
          </cell>
          <cell r="AC256">
            <v>5442</v>
          </cell>
          <cell r="AD256">
            <v>44495</v>
          </cell>
          <cell r="AE256">
            <v>58000</v>
          </cell>
          <cell r="AF256">
            <v>27550</v>
          </cell>
          <cell r="AG256">
            <v>0</v>
          </cell>
          <cell r="AH256">
            <v>0</v>
          </cell>
          <cell r="AI256">
            <v>259229</v>
          </cell>
          <cell r="AJ256">
            <v>0</v>
          </cell>
          <cell r="AK256">
            <v>12745</v>
          </cell>
          <cell r="AL256">
            <v>0</v>
          </cell>
          <cell r="AM256">
            <v>12462</v>
          </cell>
          <cell r="AN256">
            <v>0</v>
          </cell>
          <cell r="AO256">
            <v>-444400</v>
          </cell>
          <cell r="AP256">
            <v>915522</v>
          </cell>
        </row>
        <row r="257">
          <cell r="C257" t="str">
            <v xml:space="preserve"> WEST HILLS        </v>
          </cell>
          <cell r="D257" t="str">
            <v xml:space="preserve"> MADERA            </v>
          </cell>
          <cell r="E257">
            <v>580</v>
          </cell>
          <cell r="F257" t="str">
            <v xml:space="preserve"> 2015-2016</v>
          </cell>
          <cell r="G257" t="str">
            <v xml:space="preserve"> 04/15/2016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 xml:space="preserve"> 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373639</v>
          </cell>
          <cell r="AC257">
            <v>0</v>
          </cell>
          <cell r="AD257">
            <v>15933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3900</v>
          </cell>
          <cell r="AN257">
            <v>0</v>
          </cell>
          <cell r="AO257">
            <v>0</v>
          </cell>
          <cell r="AP257">
            <v>393472</v>
          </cell>
        </row>
        <row r="258">
          <cell r="C258" t="str">
            <v xml:space="preserve"> WEST HILLS        </v>
          </cell>
          <cell r="D258" t="str">
            <v xml:space="preserve"> MONTEREY          </v>
          </cell>
          <cell r="E258">
            <v>580</v>
          </cell>
          <cell r="F258" t="str">
            <v xml:space="preserve"> 2015-2016</v>
          </cell>
          <cell r="G258" t="str">
            <v xml:space="preserve"> 04/15/2016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 xml:space="preserve"> 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7892</v>
          </cell>
          <cell r="AC258">
            <v>87</v>
          </cell>
          <cell r="AD258">
            <v>319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72</v>
          </cell>
          <cell r="AL258">
            <v>0</v>
          </cell>
          <cell r="AM258">
            <v>46</v>
          </cell>
          <cell r="AN258">
            <v>0</v>
          </cell>
          <cell r="AO258">
            <v>0</v>
          </cell>
          <cell r="AP258">
            <v>8416</v>
          </cell>
        </row>
        <row r="259">
          <cell r="C259" t="str">
            <v xml:space="preserve"> WEST HILLS        </v>
          </cell>
          <cell r="D259" t="str">
            <v xml:space="preserve"> SAN BENITO        </v>
          </cell>
          <cell r="E259">
            <v>580</v>
          </cell>
          <cell r="F259" t="str">
            <v xml:space="preserve"> 2015-2016</v>
          </cell>
          <cell r="G259" t="str">
            <v xml:space="preserve"> 04/15/2016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 xml:space="preserve"> 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1411</v>
          </cell>
          <cell r="AC259">
            <v>15</v>
          </cell>
          <cell r="AD259">
            <v>66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13</v>
          </cell>
          <cell r="AN259">
            <v>0</v>
          </cell>
          <cell r="AO259">
            <v>0</v>
          </cell>
          <cell r="AP259">
            <v>1505</v>
          </cell>
        </row>
        <row r="260">
          <cell r="C260" t="str">
            <v>WEST HILLS Subtotal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5199827</v>
          </cell>
          <cell r="AC260">
            <v>54238</v>
          </cell>
          <cell r="AD260">
            <v>274254</v>
          </cell>
          <cell r="AE260">
            <v>77839</v>
          </cell>
          <cell r="AF260">
            <v>36974</v>
          </cell>
          <cell r="AG260">
            <v>0</v>
          </cell>
          <cell r="AH260">
            <v>0</v>
          </cell>
          <cell r="AI260">
            <v>465312</v>
          </cell>
          <cell r="AJ260">
            <v>0</v>
          </cell>
          <cell r="AK260">
            <v>15011</v>
          </cell>
          <cell r="AL260">
            <v>0</v>
          </cell>
          <cell r="AM260">
            <v>64781</v>
          </cell>
          <cell r="AN260">
            <v>0</v>
          </cell>
          <cell r="AO260">
            <v>-747919</v>
          </cell>
          <cell r="AP260">
            <v>5362478</v>
          </cell>
        </row>
        <row r="262">
          <cell r="C262" t="str">
            <v xml:space="preserve"> WEST KERN         </v>
          </cell>
          <cell r="D262" t="str">
            <v xml:space="preserve"> KERN              </v>
          </cell>
          <cell r="E262">
            <v>690</v>
          </cell>
          <cell r="F262" t="str">
            <v xml:space="preserve"> 2015-2016</v>
          </cell>
          <cell r="G262" t="str">
            <v xml:space="preserve"> 04/15/2016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 t="str">
            <v xml:space="preserve"> 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7372423</v>
          </cell>
          <cell r="AC262">
            <v>122590</v>
          </cell>
          <cell r="AD262">
            <v>754462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2770826</v>
          </cell>
          <cell r="AL262">
            <v>0</v>
          </cell>
          <cell r="AM262">
            <v>66165</v>
          </cell>
          <cell r="AN262">
            <v>0</v>
          </cell>
          <cell r="AO262">
            <v>0</v>
          </cell>
          <cell r="AP262">
            <v>11086466</v>
          </cell>
        </row>
        <row r="263">
          <cell r="C263" t="str">
            <v xml:space="preserve">WEST KERN Subtotal       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7372423</v>
          </cell>
          <cell r="AC263">
            <v>122590</v>
          </cell>
          <cell r="AD263">
            <v>754462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2770826</v>
          </cell>
          <cell r="AL263">
            <v>0</v>
          </cell>
          <cell r="AM263">
            <v>66165</v>
          </cell>
          <cell r="AN263">
            <v>0</v>
          </cell>
          <cell r="AO263">
            <v>0</v>
          </cell>
          <cell r="AP263">
            <v>11086466</v>
          </cell>
        </row>
        <row r="265">
          <cell r="C265" t="str">
            <v xml:space="preserve"> WEST VALLEY       </v>
          </cell>
          <cell r="D265" t="str">
            <v xml:space="preserve"> SANTA CLARA       </v>
          </cell>
          <cell r="E265">
            <v>490</v>
          </cell>
          <cell r="F265" t="str">
            <v xml:space="preserve"> 2015-2016</v>
          </cell>
          <cell r="G265" t="str">
            <v xml:space="preserve"> 04/15/2016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 t="str">
            <v xml:space="preserve"> 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76490779</v>
          </cell>
          <cell r="AC265">
            <v>2605000</v>
          </cell>
          <cell r="AD265">
            <v>7007936</v>
          </cell>
          <cell r="AE265">
            <v>2395800</v>
          </cell>
          <cell r="AF265">
            <v>1138005</v>
          </cell>
          <cell r="AG265">
            <v>0</v>
          </cell>
          <cell r="AH265">
            <v>0</v>
          </cell>
          <cell r="AI265">
            <v>6114461</v>
          </cell>
          <cell r="AJ265">
            <v>877576</v>
          </cell>
          <cell r="AK265">
            <v>0</v>
          </cell>
          <cell r="AL265">
            <v>71</v>
          </cell>
          <cell r="AM265">
            <v>504522</v>
          </cell>
          <cell r="AN265">
            <v>0</v>
          </cell>
          <cell r="AO265">
            <v>0</v>
          </cell>
          <cell r="AP265">
            <v>94738350</v>
          </cell>
        </row>
        <row r="266">
          <cell r="C266" t="str">
            <v xml:space="preserve"> WEST VALLEY       </v>
          </cell>
          <cell r="D266" t="str">
            <v xml:space="preserve"> SANTA CRUZ        </v>
          </cell>
          <cell r="E266">
            <v>490</v>
          </cell>
          <cell r="F266" t="str">
            <v xml:space="preserve"> 2015-2016</v>
          </cell>
          <cell r="G266" t="str">
            <v xml:space="preserve"> 04/15/2016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 xml:space="preserve"> 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1040789</v>
          </cell>
          <cell r="AC266">
            <v>0</v>
          </cell>
          <cell r="AD266">
            <v>20740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3472</v>
          </cell>
          <cell r="AL266">
            <v>0</v>
          </cell>
          <cell r="AM266">
            <v>7554</v>
          </cell>
          <cell r="AN266">
            <v>0</v>
          </cell>
          <cell r="AO266">
            <v>0</v>
          </cell>
          <cell r="AP266">
            <v>1072555</v>
          </cell>
        </row>
        <row r="267">
          <cell r="C267" t="str">
            <v xml:space="preserve">WEST VALLEY Subtotal       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77531568</v>
          </cell>
          <cell r="AC267">
            <v>2605000</v>
          </cell>
          <cell r="AD267">
            <v>7028676</v>
          </cell>
          <cell r="AE267">
            <v>2395800</v>
          </cell>
          <cell r="AF267">
            <v>1138005</v>
          </cell>
          <cell r="AG267">
            <v>0</v>
          </cell>
          <cell r="AH267">
            <v>0</v>
          </cell>
          <cell r="AI267">
            <v>6114461</v>
          </cell>
          <cell r="AJ267">
            <v>877576</v>
          </cell>
          <cell r="AK267">
            <v>3472</v>
          </cell>
          <cell r="AL267">
            <v>71</v>
          </cell>
          <cell r="AM267">
            <v>512076</v>
          </cell>
          <cell r="AN267">
            <v>0</v>
          </cell>
          <cell r="AO267">
            <v>0</v>
          </cell>
          <cell r="AP267">
            <v>95810905</v>
          </cell>
        </row>
        <row r="269">
          <cell r="C269" t="str">
            <v xml:space="preserve"> YOSEMITE          </v>
          </cell>
          <cell r="D269" t="str">
            <v xml:space="preserve"> CALAVERAS         </v>
          </cell>
          <cell r="E269">
            <v>590</v>
          </cell>
          <cell r="F269" t="str">
            <v xml:space="preserve"> 2015-2016</v>
          </cell>
          <cell r="G269" t="str">
            <v xml:space="preserve"> 04/15/2016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 t="str">
            <v xml:space="preserve"> 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1997947</v>
          </cell>
          <cell r="AC269">
            <v>9953</v>
          </cell>
          <cell r="AD269">
            <v>32062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576</v>
          </cell>
          <cell r="AL269">
            <v>237</v>
          </cell>
          <cell r="AM269">
            <v>25750</v>
          </cell>
          <cell r="AN269">
            <v>0</v>
          </cell>
          <cell r="AO269">
            <v>0</v>
          </cell>
          <cell r="AP269">
            <v>2066525</v>
          </cell>
        </row>
        <row r="270">
          <cell r="C270" t="str">
            <v xml:space="preserve"> YOSEMITE          </v>
          </cell>
          <cell r="D270" t="str">
            <v xml:space="preserve"> MERCED            </v>
          </cell>
          <cell r="E270">
            <v>590</v>
          </cell>
          <cell r="F270" t="str">
            <v xml:space="preserve"> 2015-2016</v>
          </cell>
          <cell r="G270" t="str">
            <v xml:space="preserve"> 04/15/2016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 xml:space="preserve"> 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1585036</v>
          </cell>
          <cell r="AC270">
            <v>35525</v>
          </cell>
          <cell r="AD270">
            <v>123120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4450</v>
          </cell>
          <cell r="AL270">
            <v>2</v>
          </cell>
          <cell r="AM270">
            <v>19120</v>
          </cell>
          <cell r="AN270">
            <v>1961</v>
          </cell>
          <cell r="AO270">
            <v>-128097</v>
          </cell>
          <cell r="AP270">
            <v>1641117</v>
          </cell>
        </row>
        <row r="271">
          <cell r="C271" t="str">
            <v xml:space="preserve"> YOSEMITE          </v>
          </cell>
          <cell r="D271" t="str">
            <v xml:space="preserve"> SAN JOAQUIN       </v>
          </cell>
          <cell r="E271">
            <v>590</v>
          </cell>
          <cell r="F271" t="str">
            <v xml:space="preserve"> 2015-2016</v>
          </cell>
          <cell r="G271" t="str">
            <v xml:space="preserve"> 04/15/2016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 xml:space="preserve"> 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1054032</v>
          </cell>
          <cell r="AC271">
            <v>15269</v>
          </cell>
          <cell r="AD271">
            <v>66970</v>
          </cell>
          <cell r="AE271">
            <v>48701</v>
          </cell>
          <cell r="AF271">
            <v>23133</v>
          </cell>
          <cell r="AG271">
            <v>0</v>
          </cell>
          <cell r="AH271">
            <v>0</v>
          </cell>
          <cell r="AI271">
            <v>129597</v>
          </cell>
          <cell r="AJ271">
            <v>0</v>
          </cell>
          <cell r="AK271">
            <v>838</v>
          </cell>
          <cell r="AL271">
            <v>0</v>
          </cell>
          <cell r="AM271">
            <v>11086</v>
          </cell>
          <cell r="AN271">
            <v>0</v>
          </cell>
          <cell r="AO271">
            <v>0</v>
          </cell>
          <cell r="AP271">
            <v>1300925</v>
          </cell>
        </row>
        <row r="272">
          <cell r="C272" t="str">
            <v xml:space="preserve"> YOSEMITE          </v>
          </cell>
          <cell r="D272" t="str">
            <v xml:space="preserve"> SANTA CLARA       </v>
          </cell>
          <cell r="E272">
            <v>590</v>
          </cell>
          <cell r="F272" t="str">
            <v xml:space="preserve"> 2015-2016</v>
          </cell>
          <cell r="G272" t="str">
            <v xml:space="preserve"> 04/15/2016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 xml:space="preserve"> 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23632</v>
          </cell>
          <cell r="AC272">
            <v>1000</v>
          </cell>
          <cell r="AD272">
            <v>1642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118</v>
          </cell>
          <cell r="AN272">
            <v>0</v>
          </cell>
          <cell r="AO272">
            <v>0</v>
          </cell>
          <cell r="AP272">
            <v>26392</v>
          </cell>
        </row>
        <row r="273">
          <cell r="C273" t="str">
            <v xml:space="preserve"> YOSEMITE          </v>
          </cell>
          <cell r="D273" t="str">
            <v xml:space="preserve"> STANISLAUS        </v>
          </cell>
          <cell r="E273">
            <v>590</v>
          </cell>
          <cell r="F273" t="str">
            <v xml:space="preserve"> 2015-2016</v>
          </cell>
          <cell r="G273" t="str">
            <v xml:space="preserve"> 04/15/2016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 xml:space="preserve"> 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28303588</v>
          </cell>
          <cell r="AC273">
            <v>471579</v>
          </cell>
          <cell r="AD273">
            <v>1515872</v>
          </cell>
          <cell r="AE273">
            <v>159421</v>
          </cell>
          <cell r="AF273">
            <v>75725</v>
          </cell>
          <cell r="AG273">
            <v>0</v>
          </cell>
          <cell r="AH273">
            <v>0</v>
          </cell>
          <cell r="AI273">
            <v>341111</v>
          </cell>
          <cell r="AJ273">
            <v>9295</v>
          </cell>
          <cell r="AK273">
            <v>46851</v>
          </cell>
          <cell r="AL273">
            <v>0</v>
          </cell>
          <cell r="AM273">
            <v>363611</v>
          </cell>
          <cell r="AN273">
            <v>12149</v>
          </cell>
          <cell r="AO273">
            <v>-3330275</v>
          </cell>
          <cell r="AP273">
            <v>27809506</v>
          </cell>
        </row>
        <row r="274">
          <cell r="C274" t="str">
            <v xml:space="preserve"> YOSEMITE          </v>
          </cell>
          <cell r="D274" t="str">
            <v xml:space="preserve"> TUOLUMNE          </v>
          </cell>
          <cell r="E274">
            <v>590</v>
          </cell>
          <cell r="F274" t="str">
            <v xml:space="preserve"> 2015-2016</v>
          </cell>
          <cell r="G274" t="str">
            <v xml:space="preserve"> 04/15/2016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 xml:space="preserve"> 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4452337</v>
          </cell>
          <cell r="AC274">
            <v>43772</v>
          </cell>
          <cell r="AD274">
            <v>116139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41067</v>
          </cell>
          <cell r="AJ274">
            <v>0</v>
          </cell>
          <cell r="AK274">
            <v>1565</v>
          </cell>
          <cell r="AL274">
            <v>9626</v>
          </cell>
          <cell r="AM274">
            <v>61138</v>
          </cell>
          <cell r="AN274">
            <v>0</v>
          </cell>
          <cell r="AO274">
            <v>165699</v>
          </cell>
          <cell r="AP274">
            <v>4891343</v>
          </cell>
        </row>
        <row r="275">
          <cell r="C275" t="str">
            <v xml:space="preserve">YOSEMITE Subtotal          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37416572</v>
          </cell>
          <cell r="AC275">
            <v>577098</v>
          </cell>
          <cell r="AD275">
            <v>1855805</v>
          </cell>
          <cell r="AE275">
            <v>208122</v>
          </cell>
          <cell r="AF275">
            <v>98858</v>
          </cell>
          <cell r="AG275">
            <v>0</v>
          </cell>
          <cell r="AH275">
            <v>0</v>
          </cell>
          <cell r="AI275">
            <v>511775</v>
          </cell>
          <cell r="AJ275">
            <v>9295</v>
          </cell>
          <cell r="AK275">
            <v>54280</v>
          </cell>
          <cell r="AL275">
            <v>9865</v>
          </cell>
          <cell r="AM275">
            <v>480823</v>
          </cell>
          <cell r="AN275">
            <v>14110</v>
          </cell>
          <cell r="AO275">
            <v>-3292673</v>
          </cell>
          <cell r="AP275">
            <v>37735808</v>
          </cell>
        </row>
        <row r="277">
          <cell r="C277" t="str">
            <v xml:space="preserve"> YUBA              </v>
          </cell>
          <cell r="D277" t="str">
            <v xml:space="preserve"> BUTTE             </v>
          </cell>
          <cell r="E277">
            <v>290</v>
          </cell>
          <cell r="F277" t="str">
            <v xml:space="preserve"> 2015-2016</v>
          </cell>
          <cell r="G277" t="str">
            <v xml:space="preserve"> 04/15/2016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 t="str">
            <v xml:space="preserve"> 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39300</v>
          </cell>
          <cell r="AC277">
            <v>300</v>
          </cell>
          <cell r="AD277">
            <v>2000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100</v>
          </cell>
          <cell r="AL277">
            <v>900</v>
          </cell>
          <cell r="AM277">
            <v>600</v>
          </cell>
          <cell r="AN277">
            <v>0</v>
          </cell>
          <cell r="AO277">
            <v>-6772</v>
          </cell>
          <cell r="AP277">
            <v>36428</v>
          </cell>
        </row>
        <row r="278">
          <cell r="C278" t="str">
            <v xml:space="preserve"> YUBA              </v>
          </cell>
          <cell r="D278" t="str">
            <v xml:space="preserve"> COLUSA            </v>
          </cell>
          <cell r="E278">
            <v>290</v>
          </cell>
          <cell r="F278" t="str">
            <v xml:space="preserve"> 2015-2016</v>
          </cell>
          <cell r="G278" t="str">
            <v xml:space="preserve"> 04/15/2016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 xml:space="preserve"> 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4188000</v>
          </cell>
          <cell r="AC278">
            <v>42900</v>
          </cell>
          <cell r="AD278">
            <v>287300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3870</v>
          </cell>
          <cell r="AL278">
            <v>0</v>
          </cell>
          <cell r="AM278">
            <v>29380</v>
          </cell>
          <cell r="AN278">
            <v>12000</v>
          </cell>
          <cell r="AO278">
            <v>-118900</v>
          </cell>
          <cell r="AP278">
            <v>4444550</v>
          </cell>
        </row>
        <row r="279">
          <cell r="C279" t="str">
            <v xml:space="preserve"> YUBA              </v>
          </cell>
          <cell r="D279" t="str">
            <v xml:space="preserve"> GLENN             </v>
          </cell>
          <cell r="E279">
            <v>290</v>
          </cell>
          <cell r="F279" t="str">
            <v xml:space="preserve"> 2015-2016</v>
          </cell>
          <cell r="G279" t="str">
            <v xml:space="preserve"> 04/15/2016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 t="str">
            <v xml:space="preserve"> 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69585</v>
          </cell>
          <cell r="AC279">
            <v>0</v>
          </cell>
          <cell r="AD279">
            <v>3461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739</v>
          </cell>
          <cell r="AN279">
            <v>0</v>
          </cell>
          <cell r="AO279">
            <v>-2142</v>
          </cell>
          <cell r="AP279">
            <v>71643</v>
          </cell>
        </row>
        <row r="280">
          <cell r="C280" t="str">
            <v xml:space="preserve"> YUBA              </v>
          </cell>
          <cell r="D280" t="str">
            <v xml:space="preserve"> LAKE              </v>
          </cell>
          <cell r="E280">
            <v>290</v>
          </cell>
          <cell r="F280" t="str">
            <v xml:space="preserve"> 2015-2016</v>
          </cell>
          <cell r="G280" t="str">
            <v xml:space="preserve"> 04/15/2016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 xml:space="preserve"> 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2305560</v>
          </cell>
          <cell r="AC280">
            <v>9031</v>
          </cell>
          <cell r="AD280">
            <v>54087</v>
          </cell>
          <cell r="AE280">
            <v>5643</v>
          </cell>
          <cell r="AF280">
            <v>2680</v>
          </cell>
          <cell r="AG280">
            <v>0</v>
          </cell>
          <cell r="AH280">
            <v>0</v>
          </cell>
          <cell r="AI280">
            <v>20844</v>
          </cell>
          <cell r="AJ280">
            <v>5142</v>
          </cell>
          <cell r="AK280">
            <v>1407</v>
          </cell>
          <cell r="AL280">
            <v>0</v>
          </cell>
          <cell r="AM280">
            <v>30382</v>
          </cell>
          <cell r="AN280">
            <v>0</v>
          </cell>
          <cell r="AO280">
            <v>0</v>
          </cell>
          <cell r="AP280">
            <v>2429133</v>
          </cell>
        </row>
        <row r="281">
          <cell r="C281" t="str">
            <v xml:space="preserve"> YUBA              </v>
          </cell>
          <cell r="D281" t="str">
            <v xml:space="preserve"> PLACER            </v>
          </cell>
          <cell r="E281">
            <v>290</v>
          </cell>
          <cell r="F281" t="str">
            <v xml:space="preserve"> 2015-2016</v>
          </cell>
          <cell r="G281" t="str">
            <v xml:space="preserve"> 04/15/2016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 xml:space="preserve"> 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34467</v>
          </cell>
          <cell r="AC281">
            <v>658</v>
          </cell>
          <cell r="AD281">
            <v>759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10</v>
          </cell>
          <cell r="AL281">
            <v>0</v>
          </cell>
          <cell r="AM281">
            <v>286</v>
          </cell>
          <cell r="AN281">
            <v>0</v>
          </cell>
          <cell r="AO281">
            <v>0</v>
          </cell>
          <cell r="AP281">
            <v>36180</v>
          </cell>
        </row>
        <row r="282">
          <cell r="C282" t="str">
            <v xml:space="preserve"> YUBA              </v>
          </cell>
          <cell r="D282" t="str">
            <v xml:space="preserve"> SUTTER            </v>
          </cell>
          <cell r="E282">
            <v>290</v>
          </cell>
          <cell r="F282" t="str">
            <v xml:space="preserve"> 2015-2016</v>
          </cell>
          <cell r="G282" t="str">
            <v xml:space="preserve"> 04/15/2016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 xml:space="preserve"> 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6458973</v>
          </cell>
          <cell r="AC282">
            <v>87531</v>
          </cell>
          <cell r="AD282">
            <v>424951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702</v>
          </cell>
          <cell r="AJ282">
            <v>0</v>
          </cell>
          <cell r="AK282">
            <v>0</v>
          </cell>
          <cell r="AL282">
            <v>0</v>
          </cell>
          <cell r="AM282">
            <v>83889</v>
          </cell>
          <cell r="AN282">
            <v>4430</v>
          </cell>
          <cell r="AO282">
            <v>-318270</v>
          </cell>
          <cell r="AP282">
            <v>6742206</v>
          </cell>
        </row>
        <row r="283">
          <cell r="C283" t="str">
            <v xml:space="preserve"> YUBA              </v>
          </cell>
          <cell r="D283" t="str">
            <v xml:space="preserve"> YOLO              </v>
          </cell>
          <cell r="E283">
            <v>290</v>
          </cell>
          <cell r="F283" t="str">
            <v xml:space="preserve"> 2015-2016</v>
          </cell>
          <cell r="G283" t="str">
            <v xml:space="preserve"> 04/15/2016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 xml:space="preserve"> 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5516215</v>
          </cell>
          <cell r="AC283">
            <v>94500</v>
          </cell>
          <cell r="AD283">
            <v>314800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4800</v>
          </cell>
          <cell r="AL283">
            <v>0</v>
          </cell>
          <cell r="AM283">
            <v>49222</v>
          </cell>
          <cell r="AN283">
            <v>3392</v>
          </cell>
          <cell r="AO283">
            <v>0</v>
          </cell>
          <cell r="AP283">
            <v>5982929</v>
          </cell>
        </row>
        <row r="284">
          <cell r="C284" t="str">
            <v xml:space="preserve"> YUBA              </v>
          </cell>
          <cell r="D284" t="str">
            <v xml:space="preserve"> YUBA              </v>
          </cell>
          <cell r="E284">
            <v>290</v>
          </cell>
          <cell r="F284" t="str">
            <v xml:space="preserve"> 2015-2016</v>
          </cell>
          <cell r="G284" t="str">
            <v xml:space="preserve"> 04/15/2016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 xml:space="preserve"> 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3449337</v>
          </cell>
          <cell r="AC284">
            <v>0</v>
          </cell>
          <cell r="AD284">
            <v>172475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7910</v>
          </cell>
          <cell r="AJ284">
            <v>0</v>
          </cell>
          <cell r="AK284">
            <v>0</v>
          </cell>
          <cell r="AL284">
            <v>2728</v>
          </cell>
          <cell r="AM284">
            <v>50714</v>
          </cell>
          <cell r="AN284">
            <v>0</v>
          </cell>
          <cell r="AO284">
            <v>386716</v>
          </cell>
          <cell r="AP284">
            <v>4069880</v>
          </cell>
        </row>
        <row r="285">
          <cell r="C285" t="str">
            <v xml:space="preserve">YUBA Subtotal            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22061437</v>
          </cell>
          <cell r="AC285">
            <v>234920</v>
          </cell>
          <cell r="AD285">
            <v>1259833</v>
          </cell>
          <cell r="AE285">
            <v>5643</v>
          </cell>
          <cell r="AF285">
            <v>2680</v>
          </cell>
          <cell r="AG285">
            <v>0</v>
          </cell>
          <cell r="AH285">
            <v>0</v>
          </cell>
          <cell r="AI285">
            <v>29456</v>
          </cell>
          <cell r="AJ285">
            <v>5142</v>
          </cell>
          <cell r="AK285">
            <v>10187</v>
          </cell>
          <cell r="AL285">
            <v>3628</v>
          </cell>
          <cell r="AM285">
            <v>245212</v>
          </cell>
          <cell r="AN285">
            <v>19822</v>
          </cell>
          <cell r="AO285">
            <v>-59368</v>
          </cell>
          <cell r="AP285">
            <v>23812949</v>
          </cell>
        </row>
      </sheetData>
      <sheetData sheetId="4">
        <row r="2">
          <cell r="D2" t="str">
            <v xml:space="preserve"> COUNTY</v>
          </cell>
        </row>
      </sheetData>
      <sheetData sheetId="5" refreshError="1"/>
      <sheetData sheetId="6">
        <row r="8">
          <cell r="A8" t="str">
            <v>Allan Hancock</v>
          </cell>
        </row>
      </sheetData>
      <sheetData sheetId="7">
        <row r="2">
          <cell r="C2" t="str">
            <v xml:space="preserve"> ALLAN HANCOCK     </v>
          </cell>
        </row>
      </sheetData>
      <sheetData sheetId="8" refreshError="1"/>
      <sheetData sheetId="9" refreshError="1"/>
      <sheetData sheetId="10">
        <row r="4">
          <cell r="A4" t="str">
            <v xml:space="preserve"> ALLAN HANCOCK     </v>
          </cell>
          <cell r="B4">
            <v>13827228</v>
          </cell>
          <cell r="C4">
            <v>1789718</v>
          </cell>
        </row>
        <row r="5">
          <cell r="A5" t="str">
            <v xml:space="preserve"> ANTELOPE VALLEY   </v>
          </cell>
          <cell r="B5">
            <v>6102025</v>
          </cell>
          <cell r="C5">
            <v>0</v>
          </cell>
        </row>
        <row r="6">
          <cell r="A6" t="str">
            <v xml:space="preserve"> BARSTOW           </v>
          </cell>
          <cell r="B6">
            <v>4268861</v>
          </cell>
          <cell r="C6">
            <v>-867458</v>
          </cell>
        </row>
        <row r="7">
          <cell r="A7" t="str">
            <v xml:space="preserve"> BUTTE             </v>
          </cell>
          <cell r="B7">
            <v>16725933</v>
          </cell>
          <cell r="C7">
            <v>-2642813</v>
          </cell>
        </row>
        <row r="8">
          <cell r="A8" t="str">
            <v xml:space="preserve"> CABRILLO          </v>
          </cell>
          <cell r="B8">
            <v>22573344</v>
          </cell>
          <cell r="C8">
            <v>1653796</v>
          </cell>
        </row>
        <row r="9">
          <cell r="A9" t="str">
            <v xml:space="preserve"> CERRITOS          </v>
          </cell>
          <cell r="B9">
            <v>9203722</v>
          </cell>
          <cell r="C9">
            <v>8777977</v>
          </cell>
        </row>
        <row r="10">
          <cell r="A10" t="str">
            <v xml:space="preserve"> CHABOT-LAS POSITAS</v>
          </cell>
          <cell r="B10">
            <v>28296842</v>
          </cell>
          <cell r="C10">
            <v>13954531</v>
          </cell>
        </row>
        <row r="11">
          <cell r="A11" t="str">
            <v xml:space="preserve"> CHAFFEY           </v>
          </cell>
          <cell r="B11">
            <v>38947581</v>
          </cell>
          <cell r="C11">
            <v>-7442093</v>
          </cell>
        </row>
        <row r="12">
          <cell r="A12" t="str">
            <v xml:space="preserve"> CITRUS            </v>
          </cell>
          <cell r="B12">
            <v>4992180</v>
          </cell>
          <cell r="C12">
            <v>0</v>
          </cell>
        </row>
        <row r="13">
          <cell r="A13" t="str">
            <v xml:space="preserve"> COAST             </v>
          </cell>
          <cell r="B13">
            <v>114443185</v>
          </cell>
          <cell r="C13">
            <v>0</v>
          </cell>
        </row>
        <row r="14">
          <cell r="A14" t="str">
            <v xml:space="preserve"> COMPTON           </v>
          </cell>
          <cell r="B14">
            <v>4467561</v>
          </cell>
          <cell r="C14">
            <v>0</v>
          </cell>
        </row>
        <row r="15">
          <cell r="A15" t="str">
            <v xml:space="preserve"> CONTRA COSTA      </v>
          </cell>
          <cell r="B15">
            <v>81223865</v>
          </cell>
          <cell r="C15">
            <v>8244428</v>
          </cell>
        </row>
        <row r="16">
          <cell r="A16" t="str">
            <v xml:space="preserve"> COPPER MOUNTAIN</v>
          </cell>
          <cell r="B16">
            <v>1809441</v>
          </cell>
          <cell r="C16">
            <v>-467781</v>
          </cell>
        </row>
        <row r="17">
          <cell r="A17" t="str">
            <v xml:space="preserve"> DESERT            </v>
          </cell>
          <cell r="B17">
            <v>32251866</v>
          </cell>
          <cell r="C17">
            <v>-3016971</v>
          </cell>
        </row>
        <row r="18">
          <cell r="A18" t="str">
            <v xml:space="preserve"> EL CAMINO         </v>
          </cell>
          <cell r="B18">
            <v>28461504</v>
          </cell>
          <cell r="C18">
            <v>1389548</v>
          </cell>
        </row>
        <row r="19">
          <cell r="A19" t="str">
            <v xml:space="preserve"> FEATHER RIVER     </v>
          </cell>
          <cell r="B19">
            <v>5210449</v>
          </cell>
          <cell r="C19">
            <v>1249906</v>
          </cell>
        </row>
        <row r="20">
          <cell r="A20" t="str">
            <v xml:space="preserve"> FOOTHILL-DEANZA   </v>
          </cell>
          <cell r="B20">
            <v>95404764</v>
          </cell>
          <cell r="C20">
            <v>-3017000</v>
          </cell>
        </row>
        <row r="21">
          <cell r="A21" t="str">
            <v xml:space="preserve"> GAVILAN           </v>
          </cell>
          <cell r="B21">
            <v>17503859</v>
          </cell>
          <cell r="C21">
            <v>-384278</v>
          </cell>
        </row>
        <row r="22">
          <cell r="A22" t="str">
            <v xml:space="preserve"> GLENDALE          </v>
          </cell>
          <cell r="B22">
            <v>10338285</v>
          </cell>
          <cell r="C22">
            <v>3852537</v>
          </cell>
        </row>
        <row r="23">
          <cell r="A23" t="str">
            <v xml:space="preserve"> GROSSMONT-CUYAMACA</v>
          </cell>
          <cell r="B23">
            <v>37545468</v>
          </cell>
          <cell r="C23">
            <v>-1335323</v>
          </cell>
        </row>
        <row r="24">
          <cell r="A24" t="str">
            <v xml:space="preserve"> HARTNELL          </v>
          </cell>
          <cell r="B24">
            <v>20832550</v>
          </cell>
          <cell r="C24">
            <v>-19</v>
          </cell>
        </row>
        <row r="25">
          <cell r="A25" t="str">
            <v xml:space="preserve"> IMPERIAL          </v>
          </cell>
          <cell r="B25">
            <v>8928787</v>
          </cell>
          <cell r="C25">
            <v>-2247889</v>
          </cell>
        </row>
        <row r="26">
          <cell r="A26" t="str">
            <v xml:space="preserve"> KERN              </v>
          </cell>
          <cell r="B26">
            <v>59567512</v>
          </cell>
          <cell r="C26">
            <v>-5784336</v>
          </cell>
        </row>
        <row r="27">
          <cell r="A27" t="str">
            <v xml:space="preserve"> LAKE TAHOE        </v>
          </cell>
          <cell r="B27">
            <v>3873656</v>
          </cell>
          <cell r="C27">
            <v>0</v>
          </cell>
        </row>
        <row r="28">
          <cell r="A28" t="str">
            <v xml:space="preserve"> LASSEN            </v>
          </cell>
          <cell r="B28">
            <v>1948252</v>
          </cell>
          <cell r="C28">
            <v>-348693</v>
          </cell>
        </row>
        <row r="29">
          <cell r="A29" t="str">
            <v xml:space="preserve"> LONG BEACH        </v>
          </cell>
          <cell r="B29">
            <v>12514431</v>
          </cell>
          <cell r="C29">
            <v>8688139</v>
          </cell>
        </row>
        <row r="30">
          <cell r="A30" t="str">
            <v xml:space="preserve"> LOS ANGELES       </v>
          </cell>
          <cell r="B30">
            <v>182646054</v>
          </cell>
          <cell r="C30">
            <v>7637993</v>
          </cell>
        </row>
        <row r="31">
          <cell r="A31" t="str">
            <v xml:space="preserve"> LOS RIOS          </v>
          </cell>
          <cell r="B31">
            <v>56032025</v>
          </cell>
          <cell r="C31">
            <v>8743498</v>
          </cell>
        </row>
        <row r="32">
          <cell r="A32" t="str">
            <v xml:space="preserve"> MARIN             </v>
          </cell>
          <cell r="B32">
            <v>48232518</v>
          </cell>
          <cell r="C32">
            <v>0</v>
          </cell>
        </row>
        <row r="33">
          <cell r="A33" t="str">
            <v xml:space="preserve"> MENDOCINO-LAKE    </v>
          </cell>
          <cell r="B33">
            <v>6402173</v>
          </cell>
          <cell r="C33">
            <v>399315</v>
          </cell>
        </row>
        <row r="34">
          <cell r="A34" t="str">
            <v xml:space="preserve"> MERCED            </v>
          </cell>
          <cell r="B34">
            <v>10782395</v>
          </cell>
          <cell r="C34">
            <v>-840230</v>
          </cell>
        </row>
        <row r="35">
          <cell r="A35" t="str">
            <v xml:space="preserve"> MIRA COSTA        </v>
          </cell>
          <cell r="B35">
            <v>88388362</v>
          </cell>
          <cell r="C35">
            <v>0</v>
          </cell>
        </row>
        <row r="36">
          <cell r="A36" t="str">
            <v xml:space="preserve"> MONTEREY PENINSULA</v>
          </cell>
          <cell r="B36">
            <v>16619335</v>
          </cell>
          <cell r="C36">
            <v>0</v>
          </cell>
        </row>
        <row r="37">
          <cell r="A37" t="str">
            <v xml:space="preserve"> MT SAN ANTONIO    </v>
          </cell>
          <cell r="B37">
            <v>18895013</v>
          </cell>
          <cell r="C37">
            <v>12811511</v>
          </cell>
        </row>
        <row r="38">
          <cell r="A38" t="str">
            <v xml:space="preserve"> MT SAN JACINTO    </v>
          </cell>
          <cell r="B38">
            <v>27843666</v>
          </cell>
          <cell r="C38">
            <v>-2997579</v>
          </cell>
        </row>
        <row r="39">
          <cell r="A39" t="str">
            <v xml:space="preserve"> NAPA VALLEY       </v>
          </cell>
          <cell r="B39">
            <v>27130671</v>
          </cell>
          <cell r="C39">
            <v>-613297</v>
          </cell>
        </row>
        <row r="40">
          <cell r="A40" t="str">
            <v xml:space="preserve"> NORTH ORANGE      </v>
          </cell>
          <cell r="B40">
            <v>70056966</v>
          </cell>
          <cell r="C40">
            <v>15558402</v>
          </cell>
        </row>
        <row r="41">
          <cell r="A41" t="str">
            <v xml:space="preserve"> OHLONE</v>
          </cell>
          <cell r="B41">
            <v>17598907</v>
          </cell>
          <cell r="C41">
            <v>3900182</v>
          </cell>
        </row>
        <row r="42">
          <cell r="A42" t="str">
            <v xml:space="preserve"> PALO VERDE        </v>
          </cell>
          <cell r="B42">
            <v>1444468</v>
          </cell>
          <cell r="C42">
            <v>-104413</v>
          </cell>
        </row>
        <row r="43">
          <cell r="A43" t="str">
            <v xml:space="preserve"> PALOMAR           </v>
          </cell>
          <cell r="B43">
            <v>67621153</v>
          </cell>
          <cell r="C43">
            <v>-2306654</v>
          </cell>
        </row>
        <row r="44">
          <cell r="A44" t="str">
            <v xml:space="preserve"> PASADENA          </v>
          </cell>
          <cell r="B44">
            <v>25330097</v>
          </cell>
          <cell r="C44">
            <v>1653176</v>
          </cell>
        </row>
        <row r="45">
          <cell r="A45" t="str">
            <v xml:space="preserve"> PERALTA</v>
          </cell>
          <cell r="B45">
            <v>20564318</v>
          </cell>
          <cell r="C45">
            <v>15022761</v>
          </cell>
        </row>
        <row r="46">
          <cell r="A46" t="str">
            <v xml:space="preserve"> RANCHO SANTIAGO   </v>
          </cell>
          <cell r="B46">
            <v>50619677</v>
          </cell>
          <cell r="C46">
            <v>13847130</v>
          </cell>
        </row>
        <row r="47">
          <cell r="A47" t="str">
            <v xml:space="preserve"> REDWOODS          </v>
          </cell>
          <cell r="B47">
            <v>10192126</v>
          </cell>
          <cell r="C47">
            <v>169988</v>
          </cell>
        </row>
        <row r="48">
          <cell r="A48" t="str">
            <v xml:space="preserve"> RIO HONDO         </v>
          </cell>
          <cell r="B48">
            <v>5907771</v>
          </cell>
          <cell r="C48">
            <v>0</v>
          </cell>
        </row>
        <row r="49">
          <cell r="A49" t="str">
            <v xml:space="preserve"> RIVERSIDE         </v>
          </cell>
          <cell r="B49">
            <v>39190874</v>
          </cell>
          <cell r="C49">
            <v>-4118807</v>
          </cell>
        </row>
        <row r="50">
          <cell r="A50" t="str">
            <v xml:space="preserve"> SAN BERNARDINO    </v>
          </cell>
          <cell r="B50">
            <v>24837323</v>
          </cell>
          <cell r="C50">
            <v>-5910275</v>
          </cell>
        </row>
        <row r="51">
          <cell r="A51" t="str">
            <v xml:space="preserve"> SAN DIEGO         </v>
          </cell>
          <cell r="B51">
            <v>94252197</v>
          </cell>
          <cell r="C51">
            <v>-3395357</v>
          </cell>
        </row>
        <row r="52">
          <cell r="A52" t="str">
            <v xml:space="preserve"> SAN FRANCISCO     </v>
          </cell>
          <cell r="B52">
            <v>27712541</v>
          </cell>
          <cell r="C52">
            <v>41492297</v>
          </cell>
        </row>
        <row r="53">
          <cell r="A53" t="str">
            <v xml:space="preserve"> SAN JOAQUIN DELTA </v>
          </cell>
          <cell r="B53">
            <v>25574277</v>
          </cell>
          <cell r="C53">
            <v>5308503</v>
          </cell>
        </row>
        <row r="54">
          <cell r="A54" t="str">
            <v xml:space="preserve"> SAN JOSE          </v>
          </cell>
          <cell r="B54">
            <v>83522968</v>
          </cell>
          <cell r="C54">
            <v>0</v>
          </cell>
        </row>
        <row r="55">
          <cell r="A55" t="str">
            <v xml:space="preserve"> SAN LUIS OBISPO   </v>
          </cell>
          <cell r="B55">
            <v>35206957</v>
          </cell>
          <cell r="C55">
            <v>1235578</v>
          </cell>
        </row>
        <row r="56">
          <cell r="A56" t="str">
            <v xml:space="preserve"> SAN MATEO         </v>
          </cell>
          <cell r="B56">
            <v>123817594</v>
          </cell>
          <cell r="C56">
            <v>0</v>
          </cell>
        </row>
        <row r="57">
          <cell r="A57" t="str">
            <v xml:space="preserve"> SANTA BARBARA     </v>
          </cell>
          <cell r="B57">
            <v>27123945</v>
          </cell>
          <cell r="C57">
            <v>0</v>
          </cell>
        </row>
        <row r="58">
          <cell r="A58" t="str">
            <v xml:space="preserve"> SANTA CLARITA     </v>
          </cell>
          <cell r="B58">
            <v>15051023</v>
          </cell>
          <cell r="C58">
            <v>1127349</v>
          </cell>
        </row>
        <row r="59">
          <cell r="A59" t="str">
            <v xml:space="preserve"> SANTA MONICA      </v>
          </cell>
          <cell r="B59">
            <v>15172323</v>
          </cell>
          <cell r="C59">
            <v>7017609</v>
          </cell>
        </row>
        <row r="60">
          <cell r="A60" t="str">
            <v xml:space="preserve"> SEQUOIAS          </v>
          </cell>
          <cell r="B60">
            <v>14242771</v>
          </cell>
          <cell r="C60">
            <v>-2253778</v>
          </cell>
        </row>
        <row r="61">
          <cell r="A61" t="str">
            <v xml:space="preserve"> SHASTA            </v>
          </cell>
          <cell r="B61">
            <v>14944524</v>
          </cell>
          <cell r="C61">
            <v>-593108</v>
          </cell>
        </row>
        <row r="62">
          <cell r="A62" t="str">
            <v xml:space="preserve"> SIERRA            </v>
          </cell>
          <cell r="B62">
            <v>65910596</v>
          </cell>
          <cell r="C62">
            <v>4570137</v>
          </cell>
        </row>
        <row r="63">
          <cell r="A63" t="str">
            <v xml:space="preserve"> SISKIYOU          </v>
          </cell>
          <cell r="B63">
            <v>3845903</v>
          </cell>
          <cell r="C63">
            <v>-112066</v>
          </cell>
        </row>
        <row r="64">
          <cell r="A64" t="str">
            <v xml:space="preserve"> SOLANO            </v>
          </cell>
          <cell r="B64">
            <v>14163133</v>
          </cell>
          <cell r="C64">
            <v>753177</v>
          </cell>
        </row>
        <row r="65">
          <cell r="A65" t="str">
            <v xml:space="preserve"> SONOMA</v>
          </cell>
          <cell r="B65">
            <v>48908135</v>
          </cell>
          <cell r="C65">
            <v>2807666</v>
          </cell>
        </row>
        <row r="66">
          <cell r="A66" t="str">
            <v xml:space="preserve"> SOUTH ORANGE CO.</v>
          </cell>
          <cell r="B66">
            <v>189000933</v>
          </cell>
          <cell r="C66">
            <v>0</v>
          </cell>
        </row>
        <row r="67">
          <cell r="A67" t="str">
            <v xml:space="preserve"> SOUTHWESTERN      </v>
          </cell>
          <cell r="B67">
            <v>23902201</v>
          </cell>
          <cell r="C67">
            <v>-868897</v>
          </cell>
        </row>
        <row r="68">
          <cell r="A68" t="str">
            <v xml:space="preserve"> STATE CENTER      </v>
          </cell>
          <cell r="B68">
            <v>42391895</v>
          </cell>
          <cell r="C68">
            <v>-2468497</v>
          </cell>
        </row>
        <row r="69">
          <cell r="A69" t="str">
            <v xml:space="preserve"> VENTURA           </v>
          </cell>
          <cell r="B69">
            <v>58164356</v>
          </cell>
          <cell r="C69">
            <v>1463797</v>
          </cell>
        </row>
        <row r="70">
          <cell r="A70" t="str">
            <v xml:space="preserve"> VICTOR VALLEY     </v>
          </cell>
          <cell r="B70">
            <v>12933446</v>
          </cell>
          <cell r="C70">
            <v>-3314459</v>
          </cell>
        </row>
        <row r="71">
          <cell r="A71" t="str">
            <v xml:space="preserve"> WEST HILLS        </v>
          </cell>
          <cell r="B71">
            <v>6110397</v>
          </cell>
          <cell r="C71">
            <v>-747919</v>
          </cell>
        </row>
        <row r="72">
          <cell r="A72" t="str">
            <v xml:space="preserve"> WEST KERN         </v>
          </cell>
          <cell r="B72">
            <v>11086466</v>
          </cell>
          <cell r="C72">
            <v>0</v>
          </cell>
        </row>
        <row r="73">
          <cell r="A73" t="str">
            <v xml:space="preserve"> WEST VALLEY       </v>
          </cell>
          <cell r="B73">
            <v>95810905</v>
          </cell>
          <cell r="C73">
            <v>0</v>
          </cell>
        </row>
        <row r="74">
          <cell r="A74" t="str">
            <v xml:space="preserve"> YOSEMITE          </v>
          </cell>
          <cell r="B74">
            <v>41028481</v>
          </cell>
          <cell r="C74">
            <v>-3292673</v>
          </cell>
        </row>
        <row r="75">
          <cell r="A75" t="str">
            <v xml:space="preserve"> YUBA              </v>
          </cell>
          <cell r="B75">
            <v>23872317</v>
          </cell>
          <cell r="C75">
            <v>-59368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Frpt"/>
      <sheetName val="PivotDOF"/>
      <sheetName val="ptax04-15-2017 as of April 25"/>
      <sheetName val="1a.ModifedforDistrict"/>
      <sheetName val="2a.DistrictAlpha ptax"/>
      <sheetName val="1b.ModifiedbyCounty"/>
      <sheetName val="2b.County ptax"/>
      <sheetName val="Eraf04-15-2017 as of April 25"/>
      <sheetName val="1e.PtaxvsERAF Analysis"/>
      <sheetName val="APPORTIONMENT REPORT_1.26.17"/>
      <sheetName val="1h.Tax_Proration"/>
      <sheetName val="1i.ERAF_Distribution"/>
      <sheetName val="ERAF Formulas"/>
      <sheetName val="1j.LA ERAF Calculations"/>
      <sheetName val="1k.CCDPivotTableERAF&amp;PropTAX2"/>
      <sheetName val="Report-County_Fall_Est_ERAF"/>
      <sheetName val="Report-Dist_Fall_Est_PTax&amp;ERAF"/>
      <sheetName val="Not current Audit Request PTax"/>
    </sheetNames>
    <sheetDataSet>
      <sheetData sheetId="0"/>
      <sheetData sheetId="1"/>
      <sheetData sheetId="2"/>
      <sheetData sheetId="3"/>
      <sheetData sheetId="4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  <cell r="V1">
            <v>20</v>
          </cell>
          <cell r="W1">
            <v>21</v>
          </cell>
          <cell r="X1">
            <v>22</v>
          </cell>
          <cell r="Y1">
            <v>23</v>
          </cell>
          <cell r="Z1">
            <v>24</v>
          </cell>
          <cell r="AA1">
            <v>25</v>
          </cell>
          <cell r="AB1">
            <v>26</v>
          </cell>
          <cell r="AC1">
            <v>27</v>
          </cell>
          <cell r="AD1">
            <v>28</v>
          </cell>
          <cell r="AE1">
            <v>29</v>
          </cell>
          <cell r="AF1">
            <v>30</v>
          </cell>
          <cell r="AG1">
            <v>31</v>
          </cell>
          <cell r="AH1">
            <v>32</v>
          </cell>
          <cell r="AI1">
            <v>33</v>
          </cell>
          <cell r="AJ1">
            <v>34</v>
          </cell>
          <cell r="AK1">
            <v>35</v>
          </cell>
          <cell r="AL1">
            <v>36</v>
          </cell>
          <cell r="AM1">
            <v>37</v>
          </cell>
          <cell r="AN1">
            <v>38</v>
          </cell>
          <cell r="AO1">
            <v>39</v>
          </cell>
          <cell r="AP1">
            <v>40</v>
          </cell>
          <cell r="AQ1">
            <v>41</v>
          </cell>
          <cell r="AR1">
            <v>42</v>
          </cell>
          <cell r="AS1">
            <v>43</v>
          </cell>
          <cell r="AT1">
            <v>44</v>
          </cell>
          <cell r="AU1">
            <v>45</v>
          </cell>
          <cell r="AV1">
            <v>46</v>
          </cell>
          <cell r="AW1">
            <v>47</v>
          </cell>
        </row>
        <row r="2">
          <cell r="C2" t="str">
            <v xml:space="preserve"> DISTRICT</v>
          </cell>
          <cell r="D2" t="str">
            <v xml:space="preserve"> COUNTY</v>
          </cell>
          <cell r="E2" t="str">
            <v xml:space="preserve"> DISTCODE</v>
          </cell>
          <cell r="F2" t="str">
            <v xml:space="preserve"> FYear</v>
          </cell>
          <cell r="G2" t="str">
            <v xml:space="preserve"> Period</v>
          </cell>
          <cell r="H2" t="str">
            <v xml:space="preserve"> Sec_Roll_A</v>
          </cell>
          <cell r="I2" t="str">
            <v xml:space="preserve"> Sup_Roll_A</v>
          </cell>
          <cell r="J2" t="str">
            <v>Unsec_Roll_A</v>
          </cell>
          <cell r="K2" t="str">
            <v xml:space="preserve"> AB1290_A</v>
          </cell>
          <cell r="L2" t="str">
            <v xml:space="preserve"> ptax475_A</v>
          </cell>
          <cell r="M2" t="str">
            <v xml:space="preserve"> preAB1290_A</v>
          </cell>
          <cell r="N2" t="str">
            <v xml:space="preserve"> portionptax475_A</v>
          </cell>
          <cell r="O2" t="str">
            <v xml:space="preserve">  RDA_dev_1_A</v>
          </cell>
          <cell r="P2" t="str">
            <v xml:space="preserve"> RDA_dev_2_A</v>
          </cell>
          <cell r="Q2" t="str">
            <v xml:space="preserve"> Prior_Year_A</v>
          </cell>
          <cell r="R2" t="str">
            <v>Timber_Yield_A</v>
          </cell>
          <cell r="S2" t="str">
            <v xml:space="preserve"> Homeowner_PTR_A</v>
          </cell>
          <cell r="T2" t="str">
            <v xml:space="preserve"> Other_A</v>
          </cell>
          <cell r="U2" t="str">
            <v xml:space="preserve"> ERAF_A </v>
          </cell>
          <cell r="V2" t="str">
            <v xml:space="preserve"> Redevelop_A</v>
          </cell>
          <cell r="W2" t="str">
            <v xml:space="preserve"> TOT_PTR_A</v>
          </cell>
          <cell r="X2" t="str">
            <v xml:space="preserve"> Impd_Rev_A</v>
          </cell>
          <cell r="Y2" t="str">
            <v>FY1_A</v>
          </cell>
          <cell r="Z2" t="str">
            <v xml:space="preserve"> FY2_A</v>
          </cell>
          <cell r="AA2" t="str">
            <v xml:space="preserve"> FY3_A</v>
          </cell>
          <cell r="AB2" t="str">
            <v xml:space="preserve"> Sec_Roll_E</v>
          </cell>
          <cell r="AC2" t="str">
            <v xml:space="preserve"> Sup_Roll_E</v>
          </cell>
          <cell r="AD2" t="str">
            <v xml:space="preserve"> Unsec_Roll_E</v>
          </cell>
          <cell r="AE2" t="str">
            <v xml:space="preserve"> AB1290_E</v>
          </cell>
          <cell r="AF2" t="str">
            <v xml:space="preserve"> ptax475_E</v>
          </cell>
          <cell r="AG2" t="str">
            <v xml:space="preserve"> preAB1290_E</v>
          </cell>
          <cell r="AH2" t="str">
            <v>portionptax475_E</v>
          </cell>
          <cell r="AI2" t="str">
            <v xml:space="preserve"> RDA_dev_1_E</v>
          </cell>
          <cell r="AJ2" t="str">
            <v xml:space="preserve"> RDA_dev_2_E</v>
          </cell>
          <cell r="AK2" t="str">
            <v xml:space="preserve"> Prior_Year_E</v>
          </cell>
          <cell r="AL2" t="str">
            <v xml:space="preserve"> Timber_Yield_E</v>
          </cell>
          <cell r="AM2" t="str">
            <v xml:space="preserve"> Homeowner_PTR_E</v>
          </cell>
          <cell r="AN2" t="str">
            <v xml:space="preserve"> Other_E</v>
          </cell>
          <cell r="AO2" t="str">
            <v xml:space="preserve"> ERAF_E</v>
          </cell>
          <cell r="AP2" t="str">
            <v xml:space="preserve"> TOT_PTR_E</v>
          </cell>
          <cell r="AQ2" t="str">
            <v xml:space="preserve"> Impd_Rev_E</v>
          </cell>
          <cell r="AR2" t="str">
            <v xml:space="preserve"> FY1_E</v>
          </cell>
          <cell r="AS2" t="str">
            <v xml:space="preserve"> FY2_E</v>
          </cell>
          <cell r="AT2" t="str">
            <v xml:space="preserve"> FY3_E</v>
          </cell>
          <cell r="AU2" t="str">
            <v xml:space="preserve"> FY1</v>
          </cell>
          <cell r="AV2" t="str">
            <v xml:space="preserve"> FY2</v>
          </cell>
          <cell r="AW2" t="str">
            <v xml:space="preserve"> FY3</v>
          </cell>
        </row>
        <row r="3">
          <cell r="C3" t="str">
            <v xml:space="preserve"> ALLAN HANCOCK</v>
          </cell>
          <cell r="D3" t="str">
            <v xml:space="preserve"> SAN LUIS OBISPO</v>
          </cell>
          <cell r="E3">
            <v>610</v>
          </cell>
          <cell r="F3" t="str">
            <v xml:space="preserve"> 2016-2017</v>
          </cell>
          <cell r="G3" t="str">
            <v xml:space="preserve"> 04/15/2017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 t="str">
            <v xml:space="preserve"> 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37634</v>
          </cell>
          <cell r="AC3">
            <v>0</v>
          </cell>
          <cell r="AD3">
            <v>746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-31</v>
          </cell>
          <cell r="AL3">
            <v>0</v>
          </cell>
          <cell r="AM3">
            <v>239</v>
          </cell>
          <cell r="AN3">
            <v>0</v>
          </cell>
          <cell r="AO3">
            <v>0</v>
          </cell>
          <cell r="AP3">
            <v>38588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 t="str">
            <v xml:space="preserve"> </v>
          </cell>
          <cell r="AV3" t="str">
            <v xml:space="preserve"> </v>
          </cell>
          <cell r="AW3" t="str">
            <v xml:space="preserve"> </v>
          </cell>
        </row>
        <row r="4">
          <cell r="C4" t="str">
            <v xml:space="preserve"> ALLAN HANCOCK</v>
          </cell>
          <cell r="D4" t="str">
            <v xml:space="preserve"> SANTA BARBARA</v>
          </cell>
          <cell r="E4">
            <v>610</v>
          </cell>
          <cell r="F4" t="str">
            <v xml:space="preserve"> 2016-2017</v>
          </cell>
          <cell r="G4" t="str">
            <v xml:space="preserve"> 04/15/2017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 t="str">
            <v xml:space="preserve"> 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13036628</v>
          </cell>
          <cell r="AC4">
            <v>266241</v>
          </cell>
          <cell r="AD4">
            <v>542703</v>
          </cell>
          <cell r="AE4">
            <v>50189</v>
          </cell>
          <cell r="AF4">
            <v>23840</v>
          </cell>
          <cell r="AG4">
            <v>0</v>
          </cell>
          <cell r="AH4">
            <v>0</v>
          </cell>
          <cell r="AI4">
            <v>190371</v>
          </cell>
          <cell r="AJ4">
            <v>0</v>
          </cell>
          <cell r="AK4">
            <v>112030</v>
          </cell>
          <cell r="AL4">
            <v>0</v>
          </cell>
          <cell r="AM4">
            <v>71467</v>
          </cell>
          <cell r="AN4">
            <v>0</v>
          </cell>
          <cell r="AO4">
            <v>2585011</v>
          </cell>
          <cell r="AP4">
            <v>16828291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 t="str">
            <v xml:space="preserve"> </v>
          </cell>
          <cell r="AV4" t="str">
            <v xml:space="preserve"> </v>
          </cell>
          <cell r="AW4" t="str">
            <v xml:space="preserve"> </v>
          </cell>
        </row>
        <row r="5">
          <cell r="C5" t="str">
            <v xml:space="preserve"> ALLAN HANCOCK</v>
          </cell>
          <cell r="D5" t="str">
            <v xml:space="preserve"> VENTURA</v>
          </cell>
          <cell r="E5">
            <v>610</v>
          </cell>
          <cell r="F5" t="str">
            <v xml:space="preserve"> 2016-2017</v>
          </cell>
          <cell r="G5" t="str">
            <v xml:space="preserve"> 04/15/2017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19851</v>
          </cell>
          <cell r="AC5">
            <v>214</v>
          </cell>
          <cell r="AD5">
            <v>623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30</v>
          </cell>
          <cell r="AL5">
            <v>0</v>
          </cell>
          <cell r="AM5">
            <v>160</v>
          </cell>
          <cell r="AN5">
            <v>0</v>
          </cell>
          <cell r="AO5">
            <v>0</v>
          </cell>
          <cell r="AP5">
            <v>20878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 t="str">
            <v xml:space="preserve"> </v>
          </cell>
          <cell r="AV5" t="str">
            <v xml:space="preserve"> </v>
          </cell>
          <cell r="AW5" t="str">
            <v xml:space="preserve"> </v>
          </cell>
        </row>
        <row r="6">
          <cell r="C6" t="str">
            <v>ALLAN HANCOCK Subtotal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13094113</v>
          </cell>
          <cell r="AC6">
            <v>266455</v>
          </cell>
          <cell r="AD6">
            <v>544072</v>
          </cell>
          <cell r="AE6">
            <v>50189</v>
          </cell>
          <cell r="AF6">
            <v>23840</v>
          </cell>
          <cell r="AG6">
            <v>0</v>
          </cell>
          <cell r="AH6">
            <v>0</v>
          </cell>
          <cell r="AI6">
            <v>190371</v>
          </cell>
          <cell r="AJ6">
            <v>0</v>
          </cell>
          <cell r="AK6">
            <v>112029</v>
          </cell>
          <cell r="AL6">
            <v>0</v>
          </cell>
          <cell r="AM6">
            <v>71866</v>
          </cell>
          <cell r="AN6">
            <v>0</v>
          </cell>
          <cell r="AO6">
            <v>2585011</v>
          </cell>
          <cell r="AP6">
            <v>16887757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</row>
        <row r="8">
          <cell r="C8" t="str">
            <v xml:space="preserve"> ANTELOPE VALLEY</v>
          </cell>
          <cell r="D8" t="str">
            <v xml:space="preserve"> KERN</v>
          </cell>
          <cell r="E8">
            <v>620</v>
          </cell>
          <cell r="F8" t="str">
            <v xml:space="preserve"> 2016-2017</v>
          </cell>
          <cell r="G8" t="str">
            <v xml:space="preserve"> 04/15/2017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853363</v>
          </cell>
          <cell r="AC8">
            <v>0</v>
          </cell>
          <cell r="AD8">
            <v>83763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7948</v>
          </cell>
          <cell r="AN8">
            <v>0</v>
          </cell>
          <cell r="AO8">
            <v>0</v>
          </cell>
          <cell r="AP8">
            <v>945074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 t="str">
            <v xml:space="preserve"> </v>
          </cell>
          <cell r="AV8" t="str">
            <v xml:space="preserve"> </v>
          </cell>
          <cell r="AW8" t="str">
            <v xml:space="preserve"> </v>
          </cell>
        </row>
        <row r="9">
          <cell r="C9" t="str">
            <v xml:space="preserve"> ANTELOPE VALLEY</v>
          </cell>
          <cell r="D9" t="str">
            <v xml:space="preserve"> LOS ANGELES</v>
          </cell>
          <cell r="E9">
            <v>620</v>
          </cell>
          <cell r="F9" t="str">
            <v xml:space="preserve"> 2016-2017</v>
          </cell>
          <cell r="G9" t="str">
            <v xml:space="preserve"> 04/15/2017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 t="str">
            <v xml:space="preserve"> 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4873473</v>
          </cell>
          <cell r="AC9">
            <v>180521</v>
          </cell>
          <cell r="AD9">
            <v>173343</v>
          </cell>
          <cell r="AE9">
            <v>38275</v>
          </cell>
          <cell r="AF9">
            <v>18181</v>
          </cell>
          <cell r="AG9">
            <v>0</v>
          </cell>
          <cell r="AH9">
            <v>0</v>
          </cell>
          <cell r="AI9">
            <v>59666</v>
          </cell>
          <cell r="AJ9">
            <v>51389</v>
          </cell>
          <cell r="AK9">
            <v>39004</v>
          </cell>
          <cell r="AL9">
            <v>0</v>
          </cell>
          <cell r="AM9">
            <v>32254</v>
          </cell>
          <cell r="AN9">
            <v>0</v>
          </cell>
          <cell r="AO9">
            <v>0</v>
          </cell>
          <cell r="AP9">
            <v>5427831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 t="str">
            <v xml:space="preserve"> </v>
          </cell>
          <cell r="AV9" t="str">
            <v xml:space="preserve"> </v>
          </cell>
          <cell r="AW9" t="str">
            <v xml:space="preserve"> </v>
          </cell>
        </row>
        <row r="10">
          <cell r="C10" t="str">
            <v>ANTELOPE VALLEY Subtotal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5726836</v>
          </cell>
          <cell r="AC10">
            <v>180521</v>
          </cell>
          <cell r="AD10">
            <v>257106</v>
          </cell>
          <cell r="AE10">
            <v>38275</v>
          </cell>
          <cell r="AF10">
            <v>18181</v>
          </cell>
          <cell r="AG10">
            <v>0</v>
          </cell>
          <cell r="AH10">
            <v>0</v>
          </cell>
          <cell r="AI10">
            <v>59666</v>
          </cell>
          <cell r="AJ10">
            <v>51389</v>
          </cell>
          <cell r="AK10">
            <v>39004</v>
          </cell>
          <cell r="AL10">
            <v>0</v>
          </cell>
          <cell r="AM10">
            <v>40202</v>
          </cell>
          <cell r="AN10">
            <v>0</v>
          </cell>
          <cell r="AO10">
            <v>0</v>
          </cell>
          <cell r="AP10">
            <v>6372905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</row>
        <row r="12">
          <cell r="C12" t="str">
            <v xml:space="preserve"> BARSTOW</v>
          </cell>
          <cell r="D12" t="str">
            <v xml:space="preserve"> SAN BERNARDINO</v>
          </cell>
          <cell r="E12">
            <v>910</v>
          </cell>
          <cell r="F12" t="str">
            <v xml:space="preserve"> 2016-2017</v>
          </cell>
          <cell r="G12" t="str">
            <v xml:space="preserve"> 04/15/2017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3225715</v>
          </cell>
          <cell r="AC12">
            <v>59131</v>
          </cell>
          <cell r="AD12">
            <v>84809</v>
          </cell>
          <cell r="AE12">
            <v>52835</v>
          </cell>
          <cell r="AF12">
            <v>25097</v>
          </cell>
          <cell r="AG12">
            <v>0</v>
          </cell>
          <cell r="AH12">
            <v>0</v>
          </cell>
          <cell r="AI12">
            <v>191504</v>
          </cell>
          <cell r="AJ12">
            <v>17151</v>
          </cell>
          <cell r="AK12">
            <v>4996</v>
          </cell>
          <cell r="AL12">
            <v>0</v>
          </cell>
          <cell r="AM12">
            <v>26261</v>
          </cell>
          <cell r="AN12">
            <v>0</v>
          </cell>
          <cell r="AO12">
            <v>-545674</v>
          </cell>
          <cell r="AP12">
            <v>3088990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 t="str">
            <v xml:space="preserve"> </v>
          </cell>
          <cell r="AV12" t="str">
            <v xml:space="preserve"> </v>
          </cell>
          <cell r="AW12" t="str">
            <v xml:space="preserve"> </v>
          </cell>
        </row>
        <row r="13">
          <cell r="C13" t="str">
            <v xml:space="preserve">BARSTOW Subtotal       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3225715</v>
          </cell>
          <cell r="AC13">
            <v>59131</v>
          </cell>
          <cell r="AD13">
            <v>84809</v>
          </cell>
          <cell r="AE13">
            <v>52835</v>
          </cell>
          <cell r="AF13">
            <v>25097</v>
          </cell>
          <cell r="AG13">
            <v>0</v>
          </cell>
          <cell r="AH13">
            <v>0</v>
          </cell>
          <cell r="AI13">
            <v>191504</v>
          </cell>
          <cell r="AJ13">
            <v>17151</v>
          </cell>
          <cell r="AK13">
            <v>4996</v>
          </cell>
          <cell r="AL13">
            <v>0</v>
          </cell>
          <cell r="AM13">
            <v>26261</v>
          </cell>
          <cell r="AN13">
            <v>0</v>
          </cell>
          <cell r="AO13">
            <v>-545674</v>
          </cell>
          <cell r="AP13">
            <v>3088990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</row>
        <row r="15">
          <cell r="C15" t="str">
            <v xml:space="preserve"> BUTTE</v>
          </cell>
          <cell r="D15" t="str">
            <v xml:space="preserve"> BUTTE</v>
          </cell>
          <cell r="E15">
            <v>110</v>
          </cell>
          <cell r="F15" t="str">
            <v xml:space="preserve"> 2016-2017</v>
          </cell>
          <cell r="G15" t="str">
            <v xml:space="preserve"> 04/15/2017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13064600</v>
          </cell>
          <cell r="AC15">
            <v>115100</v>
          </cell>
          <cell r="AD15">
            <v>788500</v>
          </cell>
          <cell r="AE15">
            <v>18886</v>
          </cell>
          <cell r="AF15">
            <v>8971</v>
          </cell>
          <cell r="AG15">
            <v>0</v>
          </cell>
          <cell r="AH15">
            <v>0</v>
          </cell>
          <cell r="AI15">
            <v>551663</v>
          </cell>
          <cell r="AJ15">
            <v>0</v>
          </cell>
          <cell r="AK15">
            <v>23300</v>
          </cell>
          <cell r="AL15">
            <v>30000</v>
          </cell>
          <cell r="AM15">
            <v>214400</v>
          </cell>
          <cell r="AN15">
            <v>4100</v>
          </cell>
          <cell r="AO15">
            <v>-2386849</v>
          </cell>
          <cell r="AP15">
            <v>12413785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 t="str">
            <v xml:space="preserve"> </v>
          </cell>
          <cell r="AV15" t="str">
            <v xml:space="preserve"> </v>
          </cell>
          <cell r="AW15" t="str">
            <v xml:space="preserve"> </v>
          </cell>
        </row>
        <row r="16">
          <cell r="C16" t="str">
            <v xml:space="preserve"> BUTTE</v>
          </cell>
          <cell r="D16" t="str">
            <v xml:space="preserve"> GLENN</v>
          </cell>
          <cell r="E16">
            <v>110</v>
          </cell>
          <cell r="F16" t="str">
            <v xml:space="preserve"> 2016-2017</v>
          </cell>
          <cell r="G16" t="str">
            <v xml:space="preserve"> 04/15/2017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 t="str">
            <v xml:space="preserve"> 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2388359</v>
          </cell>
          <cell r="AC16">
            <v>27765</v>
          </cell>
          <cell r="AD16">
            <v>117386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26738</v>
          </cell>
          <cell r="AN16">
            <v>0</v>
          </cell>
          <cell r="AO16">
            <v>-81884</v>
          </cell>
          <cell r="AP16">
            <v>2478364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 t="str">
            <v xml:space="preserve"> </v>
          </cell>
          <cell r="AV16" t="str">
            <v xml:space="preserve"> </v>
          </cell>
          <cell r="AW16" t="str">
            <v xml:space="preserve"> </v>
          </cell>
        </row>
        <row r="17">
          <cell r="C17" t="str">
            <v xml:space="preserve">BUTTE Subtotal            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15452959</v>
          </cell>
          <cell r="AC17">
            <v>142865</v>
          </cell>
          <cell r="AD17">
            <v>905886</v>
          </cell>
          <cell r="AE17">
            <v>18886</v>
          </cell>
          <cell r="AF17">
            <v>8971</v>
          </cell>
          <cell r="AG17">
            <v>0</v>
          </cell>
          <cell r="AH17">
            <v>0</v>
          </cell>
          <cell r="AI17">
            <v>551663</v>
          </cell>
          <cell r="AJ17">
            <v>0</v>
          </cell>
          <cell r="AK17">
            <v>23300</v>
          </cell>
          <cell r="AL17">
            <v>30000</v>
          </cell>
          <cell r="AM17">
            <v>241138</v>
          </cell>
          <cell r="AN17">
            <v>4100</v>
          </cell>
          <cell r="AO17">
            <v>-2468733</v>
          </cell>
          <cell r="AP17">
            <v>14892149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</row>
        <row r="19">
          <cell r="C19" t="str">
            <v xml:space="preserve"> CABRILLO</v>
          </cell>
          <cell r="D19" t="str">
            <v xml:space="preserve"> MONTEREY</v>
          </cell>
          <cell r="E19">
            <v>410</v>
          </cell>
          <cell r="F19" t="str">
            <v xml:space="preserve"> 2016-2017</v>
          </cell>
          <cell r="G19" t="str">
            <v xml:space="preserve"> 04/15/2017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 t="str">
            <v xml:space="preserve"> 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842974</v>
          </cell>
          <cell r="AC19">
            <v>10703</v>
          </cell>
          <cell r="AD19">
            <v>32052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7593</v>
          </cell>
          <cell r="AL19">
            <v>0</v>
          </cell>
          <cell r="AM19">
            <v>4539</v>
          </cell>
          <cell r="AN19">
            <v>0</v>
          </cell>
          <cell r="AO19">
            <v>0</v>
          </cell>
          <cell r="AP19">
            <v>897861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 t="str">
            <v xml:space="preserve"> </v>
          </cell>
          <cell r="AV19" t="str">
            <v xml:space="preserve"> </v>
          </cell>
          <cell r="AW19" t="str">
            <v xml:space="preserve"> </v>
          </cell>
        </row>
        <row r="20">
          <cell r="C20" t="str">
            <v xml:space="preserve"> CABRILLO</v>
          </cell>
          <cell r="D20" t="str">
            <v xml:space="preserve"> SAN BENITO</v>
          </cell>
          <cell r="E20">
            <v>410</v>
          </cell>
          <cell r="F20" t="str">
            <v xml:space="preserve"> 2016-2017</v>
          </cell>
          <cell r="G20" t="str">
            <v xml:space="preserve"> 04/15/2017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174392</v>
          </cell>
          <cell r="AC20">
            <v>5013</v>
          </cell>
          <cell r="AD20">
            <v>10337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1423</v>
          </cell>
          <cell r="AN20">
            <v>0</v>
          </cell>
          <cell r="AO20">
            <v>2748</v>
          </cell>
          <cell r="AP20">
            <v>193913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 t="str">
            <v xml:space="preserve"> </v>
          </cell>
          <cell r="AV20" t="str">
            <v xml:space="preserve"> </v>
          </cell>
          <cell r="AW20" t="str">
            <v xml:space="preserve"> </v>
          </cell>
        </row>
        <row r="21">
          <cell r="C21" t="str">
            <v xml:space="preserve"> CABRILLO</v>
          </cell>
          <cell r="D21" t="str">
            <v xml:space="preserve"> SANTA CRUZ</v>
          </cell>
          <cell r="E21">
            <v>410</v>
          </cell>
          <cell r="F21" t="str">
            <v xml:space="preserve"> 2016-2017</v>
          </cell>
          <cell r="G21" t="str">
            <v xml:space="preserve"> 04/15/2017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 t="str">
            <v xml:space="preserve"> 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20841499</v>
          </cell>
          <cell r="AC21">
            <v>372952</v>
          </cell>
          <cell r="AD21">
            <v>423699</v>
          </cell>
          <cell r="AE21">
            <v>441603</v>
          </cell>
          <cell r="AF21">
            <v>209761</v>
          </cell>
          <cell r="AG21">
            <v>0</v>
          </cell>
          <cell r="AH21">
            <v>0</v>
          </cell>
          <cell r="AI21">
            <v>1550474</v>
          </cell>
          <cell r="AJ21">
            <v>0</v>
          </cell>
          <cell r="AK21">
            <v>41605</v>
          </cell>
          <cell r="AL21">
            <v>7748</v>
          </cell>
          <cell r="AM21">
            <v>142701</v>
          </cell>
          <cell r="AN21">
            <v>1195</v>
          </cell>
          <cell r="AO21">
            <v>987475</v>
          </cell>
          <cell r="AP21">
            <v>24579109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 t="str">
            <v xml:space="preserve"> </v>
          </cell>
          <cell r="AV21" t="str">
            <v xml:space="preserve"> </v>
          </cell>
          <cell r="AW21" t="str">
            <v xml:space="preserve"> </v>
          </cell>
        </row>
        <row r="22">
          <cell r="C22" t="str">
            <v xml:space="preserve">CABRILLO Subtotal          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21858865</v>
          </cell>
          <cell r="AC22">
            <v>388668</v>
          </cell>
          <cell r="AD22">
            <v>466088</v>
          </cell>
          <cell r="AE22">
            <v>441603</v>
          </cell>
          <cell r="AF22">
            <v>209761</v>
          </cell>
          <cell r="AG22">
            <v>0</v>
          </cell>
          <cell r="AH22">
            <v>0</v>
          </cell>
          <cell r="AI22">
            <v>1550474</v>
          </cell>
          <cell r="AJ22">
            <v>0</v>
          </cell>
          <cell r="AK22">
            <v>49198</v>
          </cell>
          <cell r="AL22">
            <v>7748</v>
          </cell>
          <cell r="AM22">
            <v>148663</v>
          </cell>
          <cell r="AN22">
            <v>1195</v>
          </cell>
          <cell r="AO22">
            <v>990223</v>
          </cell>
          <cell r="AP22">
            <v>25670883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</row>
        <row r="24">
          <cell r="C24" t="str">
            <v xml:space="preserve"> CERRITOS</v>
          </cell>
          <cell r="D24" t="str">
            <v xml:space="preserve"> LOS ANGELES</v>
          </cell>
          <cell r="E24">
            <v>810</v>
          </cell>
          <cell r="F24" t="str">
            <v xml:space="preserve"> 2016-2017</v>
          </cell>
          <cell r="G24" t="str">
            <v xml:space="preserve"> 04/15/2017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8126088</v>
          </cell>
          <cell r="AC24">
            <v>257748</v>
          </cell>
          <cell r="AD24">
            <v>210396</v>
          </cell>
          <cell r="AE24">
            <v>228268</v>
          </cell>
          <cell r="AF24">
            <v>108427</v>
          </cell>
          <cell r="AG24">
            <v>0</v>
          </cell>
          <cell r="AH24">
            <v>0</v>
          </cell>
          <cell r="AI24">
            <v>368129</v>
          </cell>
          <cell r="AJ24">
            <v>10747</v>
          </cell>
          <cell r="AK24">
            <v>166806</v>
          </cell>
          <cell r="AL24">
            <v>0</v>
          </cell>
          <cell r="AM24">
            <v>53824</v>
          </cell>
          <cell r="AN24">
            <v>267</v>
          </cell>
          <cell r="AO24">
            <v>0</v>
          </cell>
          <cell r="AP24">
            <v>9302432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 t="str">
            <v xml:space="preserve"> </v>
          </cell>
          <cell r="AV24" t="str">
            <v xml:space="preserve"> </v>
          </cell>
          <cell r="AW24" t="str">
            <v xml:space="preserve"> </v>
          </cell>
        </row>
        <row r="25">
          <cell r="C25" t="str">
            <v xml:space="preserve">CERRITOS Subtotal     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8126088</v>
          </cell>
          <cell r="AC25">
            <v>257748</v>
          </cell>
          <cell r="AD25">
            <v>210396</v>
          </cell>
          <cell r="AE25">
            <v>228268</v>
          </cell>
          <cell r="AF25">
            <v>108427</v>
          </cell>
          <cell r="AG25">
            <v>0</v>
          </cell>
          <cell r="AH25">
            <v>0</v>
          </cell>
          <cell r="AI25">
            <v>368129</v>
          </cell>
          <cell r="AJ25">
            <v>10747</v>
          </cell>
          <cell r="AK25">
            <v>166806</v>
          </cell>
          <cell r="AL25">
            <v>0</v>
          </cell>
          <cell r="AM25">
            <v>53824</v>
          </cell>
          <cell r="AN25">
            <v>267</v>
          </cell>
          <cell r="AO25">
            <v>0</v>
          </cell>
          <cell r="AP25">
            <v>9302432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</row>
        <row r="27">
          <cell r="C27" t="str">
            <v xml:space="preserve"> CHABOT-LAS POSITAS</v>
          </cell>
          <cell r="D27" t="str">
            <v xml:space="preserve"> ALAMEDA</v>
          </cell>
          <cell r="E27">
            <v>480</v>
          </cell>
          <cell r="F27" t="str">
            <v xml:space="preserve"> 2016-2017</v>
          </cell>
          <cell r="G27" t="str">
            <v xml:space="preserve"> 04/15/2017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26065415</v>
          </cell>
          <cell r="AC27">
            <v>902342</v>
          </cell>
          <cell r="AD27">
            <v>1881866</v>
          </cell>
          <cell r="AE27">
            <v>812865</v>
          </cell>
          <cell r="AF27">
            <v>386111</v>
          </cell>
          <cell r="AG27">
            <v>0</v>
          </cell>
          <cell r="AH27">
            <v>0</v>
          </cell>
          <cell r="AI27">
            <v>938775</v>
          </cell>
          <cell r="AJ27">
            <v>0</v>
          </cell>
          <cell r="AK27">
            <v>-325023</v>
          </cell>
          <cell r="AL27">
            <v>0</v>
          </cell>
          <cell r="AM27">
            <v>209429</v>
          </cell>
          <cell r="AN27">
            <v>13</v>
          </cell>
          <cell r="AO27">
            <v>16789283</v>
          </cell>
          <cell r="AP27">
            <v>46848211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 t="str">
            <v xml:space="preserve"> </v>
          </cell>
          <cell r="AV27" t="str">
            <v xml:space="preserve"> </v>
          </cell>
          <cell r="AW27" t="str">
            <v xml:space="preserve"> </v>
          </cell>
        </row>
        <row r="28">
          <cell r="C28" t="str">
            <v xml:space="preserve"> CHABOT-LAS POSITAS</v>
          </cell>
          <cell r="D28" t="str">
            <v xml:space="preserve"> CONTRA COSTA</v>
          </cell>
          <cell r="E28">
            <v>480</v>
          </cell>
          <cell r="F28" t="str">
            <v xml:space="preserve"> 2016-2017</v>
          </cell>
          <cell r="G28" t="str">
            <v xml:space="preserve"> 04/15/2017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 t="str">
            <v xml:space="preserve"> 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300303</v>
          </cell>
          <cell r="AC28">
            <v>6500</v>
          </cell>
          <cell r="AD28">
            <v>8755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2165</v>
          </cell>
          <cell r="AN28">
            <v>0</v>
          </cell>
          <cell r="AO28">
            <v>0</v>
          </cell>
          <cell r="AP28">
            <v>317723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 t="str">
            <v xml:space="preserve"> </v>
          </cell>
          <cell r="AV28" t="str">
            <v xml:space="preserve"> </v>
          </cell>
          <cell r="AW28" t="str">
            <v xml:space="preserve"> </v>
          </cell>
        </row>
        <row r="29">
          <cell r="C29" t="str">
            <v>CHABOT-LAS POSITAS Subtotal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26365718</v>
          </cell>
          <cell r="AC29">
            <v>908842</v>
          </cell>
          <cell r="AD29">
            <v>1890621</v>
          </cell>
          <cell r="AE29">
            <v>812865</v>
          </cell>
          <cell r="AF29">
            <v>386111</v>
          </cell>
          <cell r="AG29">
            <v>0</v>
          </cell>
          <cell r="AH29">
            <v>0</v>
          </cell>
          <cell r="AI29">
            <v>938775</v>
          </cell>
          <cell r="AJ29">
            <v>0</v>
          </cell>
          <cell r="AK29">
            <v>-325023</v>
          </cell>
          <cell r="AL29">
            <v>0</v>
          </cell>
          <cell r="AM29">
            <v>211594</v>
          </cell>
          <cell r="AN29">
            <v>13</v>
          </cell>
          <cell r="AO29">
            <v>16789283</v>
          </cell>
          <cell r="AP29">
            <v>47165934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</row>
        <row r="31">
          <cell r="C31" t="str">
            <v xml:space="preserve"> CHAFFEY</v>
          </cell>
          <cell r="D31" t="str">
            <v xml:space="preserve"> SAN BERNARDINO</v>
          </cell>
          <cell r="E31">
            <v>920</v>
          </cell>
          <cell r="F31" t="str">
            <v xml:space="preserve"> 2016-2017</v>
          </cell>
          <cell r="G31" t="str">
            <v xml:space="preserve"> 04/15/2017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 t="str">
            <v xml:space="preserve"> 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27028281</v>
          </cell>
          <cell r="AC31">
            <v>479150</v>
          </cell>
          <cell r="AD31">
            <v>973812</v>
          </cell>
          <cell r="AE31">
            <v>2089047</v>
          </cell>
          <cell r="AF31">
            <v>992297</v>
          </cell>
          <cell r="AG31">
            <v>0</v>
          </cell>
          <cell r="AH31">
            <v>0</v>
          </cell>
          <cell r="AI31">
            <v>6284487</v>
          </cell>
          <cell r="AJ31">
            <v>14452</v>
          </cell>
          <cell r="AK31">
            <v>37584</v>
          </cell>
          <cell r="AL31">
            <v>0</v>
          </cell>
          <cell r="AM31">
            <v>301538</v>
          </cell>
          <cell r="AN31">
            <v>0</v>
          </cell>
          <cell r="AO31">
            <v>-6265626</v>
          </cell>
          <cell r="AP31">
            <v>29845975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 t="str">
            <v xml:space="preserve"> </v>
          </cell>
          <cell r="AV31" t="str">
            <v xml:space="preserve"> </v>
          </cell>
          <cell r="AW31" t="str">
            <v xml:space="preserve"> </v>
          </cell>
        </row>
        <row r="32">
          <cell r="C32" t="str">
            <v xml:space="preserve">CHAFFEY Subtotal     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27028281</v>
          </cell>
          <cell r="AC32">
            <v>479150</v>
          </cell>
          <cell r="AD32">
            <v>973812</v>
          </cell>
          <cell r="AE32">
            <v>2089047</v>
          </cell>
          <cell r="AF32">
            <v>992297</v>
          </cell>
          <cell r="AG32">
            <v>0</v>
          </cell>
          <cell r="AH32">
            <v>0</v>
          </cell>
          <cell r="AI32">
            <v>6284487</v>
          </cell>
          <cell r="AJ32">
            <v>14452</v>
          </cell>
          <cell r="AK32">
            <v>37584</v>
          </cell>
          <cell r="AL32">
            <v>0</v>
          </cell>
          <cell r="AM32">
            <v>301538</v>
          </cell>
          <cell r="AN32">
            <v>0</v>
          </cell>
          <cell r="AO32">
            <v>-6265626</v>
          </cell>
          <cell r="AP32">
            <v>29845975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</row>
        <row r="34">
          <cell r="C34" t="str">
            <v xml:space="preserve"> CITRUS</v>
          </cell>
          <cell r="D34" t="str">
            <v xml:space="preserve"> LOS ANGELES</v>
          </cell>
          <cell r="E34">
            <v>820</v>
          </cell>
          <cell r="F34" t="str">
            <v xml:space="preserve"> 2016-2017</v>
          </cell>
          <cell r="G34" t="str">
            <v xml:space="preserve"> 04/15/2017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 t="str">
            <v xml:space="preserve"> 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4696807</v>
          </cell>
          <cell r="AC34">
            <v>136730</v>
          </cell>
          <cell r="AD34">
            <v>103787</v>
          </cell>
          <cell r="AE34">
            <v>102929</v>
          </cell>
          <cell r="AF34">
            <v>48891</v>
          </cell>
          <cell r="AG34">
            <v>0</v>
          </cell>
          <cell r="AH34">
            <v>0</v>
          </cell>
          <cell r="AI34">
            <v>88342</v>
          </cell>
          <cell r="AJ34">
            <v>21813</v>
          </cell>
          <cell r="AK34">
            <v>688637</v>
          </cell>
          <cell r="AL34">
            <v>0</v>
          </cell>
          <cell r="AM34">
            <v>31040</v>
          </cell>
          <cell r="AN34">
            <v>1</v>
          </cell>
          <cell r="AO34">
            <v>0</v>
          </cell>
          <cell r="AP34">
            <v>5816048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 t="str">
            <v xml:space="preserve"> </v>
          </cell>
          <cell r="AV34" t="str">
            <v xml:space="preserve"> </v>
          </cell>
          <cell r="AW34" t="str">
            <v xml:space="preserve"> </v>
          </cell>
        </row>
        <row r="35">
          <cell r="C35" t="str">
            <v xml:space="preserve">CITRUS Subtotal       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4696807</v>
          </cell>
          <cell r="AC35">
            <v>136730</v>
          </cell>
          <cell r="AD35">
            <v>103787</v>
          </cell>
          <cell r="AE35">
            <v>102929</v>
          </cell>
          <cell r="AF35">
            <v>48891</v>
          </cell>
          <cell r="AG35">
            <v>0</v>
          </cell>
          <cell r="AH35">
            <v>0</v>
          </cell>
          <cell r="AI35">
            <v>88342</v>
          </cell>
          <cell r="AJ35">
            <v>21813</v>
          </cell>
          <cell r="AK35">
            <v>688637</v>
          </cell>
          <cell r="AL35">
            <v>0</v>
          </cell>
          <cell r="AM35">
            <v>31040</v>
          </cell>
          <cell r="AN35">
            <v>1</v>
          </cell>
          <cell r="AO35">
            <v>0</v>
          </cell>
          <cell r="AP35">
            <v>5816048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</row>
        <row r="37">
          <cell r="C37" t="str">
            <v xml:space="preserve"> COAST</v>
          </cell>
          <cell r="D37" t="str">
            <v xml:space="preserve"> LOS ANGELES</v>
          </cell>
          <cell r="E37">
            <v>830</v>
          </cell>
          <cell r="F37" t="str">
            <v xml:space="preserve"> 2016-2017</v>
          </cell>
          <cell r="G37" t="str">
            <v xml:space="preserve"> 04/15/2017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 t="str">
            <v xml:space="preserve"> 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275</v>
          </cell>
          <cell r="AC37">
            <v>0</v>
          </cell>
          <cell r="AD37">
            <v>10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6</v>
          </cell>
          <cell r="AL37">
            <v>0</v>
          </cell>
          <cell r="AM37">
            <v>2</v>
          </cell>
          <cell r="AN37">
            <v>0</v>
          </cell>
          <cell r="AO37">
            <v>0</v>
          </cell>
          <cell r="AP37">
            <v>293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 t="str">
            <v xml:space="preserve"> </v>
          </cell>
          <cell r="AV37" t="str">
            <v xml:space="preserve"> </v>
          </cell>
          <cell r="AW37" t="str">
            <v xml:space="preserve"> </v>
          </cell>
        </row>
        <row r="38">
          <cell r="C38" t="str">
            <v xml:space="preserve"> COAST</v>
          </cell>
          <cell r="D38" t="str">
            <v xml:space="preserve"> ORANGE</v>
          </cell>
          <cell r="E38">
            <v>830</v>
          </cell>
          <cell r="F38" t="str">
            <v xml:space="preserve"> 2016-2017</v>
          </cell>
          <cell r="G38" t="str">
            <v xml:space="preserve"> 04/15/2017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 t="str">
            <v xml:space="preserve"> 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105318412</v>
          </cell>
          <cell r="AC38">
            <v>2711626</v>
          </cell>
          <cell r="AD38">
            <v>3335163</v>
          </cell>
          <cell r="AE38">
            <v>1959789</v>
          </cell>
          <cell r="AF38">
            <v>930900</v>
          </cell>
          <cell r="AG38">
            <v>0</v>
          </cell>
          <cell r="AH38">
            <v>0</v>
          </cell>
          <cell r="AI38">
            <v>5418965</v>
          </cell>
          <cell r="AJ38">
            <v>145753</v>
          </cell>
          <cell r="AK38">
            <v>1176227</v>
          </cell>
          <cell r="AL38">
            <v>13</v>
          </cell>
          <cell r="AM38">
            <v>668886</v>
          </cell>
          <cell r="AN38">
            <v>0</v>
          </cell>
          <cell r="AO38">
            <v>0</v>
          </cell>
          <cell r="AP38">
            <v>119705945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 t="str">
            <v xml:space="preserve"> </v>
          </cell>
          <cell r="AV38" t="str">
            <v xml:space="preserve"> </v>
          </cell>
          <cell r="AW38" t="str">
            <v xml:space="preserve"> </v>
          </cell>
        </row>
        <row r="39">
          <cell r="C39" t="str">
            <v xml:space="preserve">COAST Subtotal         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105318687</v>
          </cell>
          <cell r="AC39">
            <v>2711626</v>
          </cell>
          <cell r="AD39">
            <v>3335173</v>
          </cell>
          <cell r="AE39">
            <v>1959789</v>
          </cell>
          <cell r="AF39">
            <v>930900</v>
          </cell>
          <cell r="AG39">
            <v>0</v>
          </cell>
          <cell r="AH39">
            <v>0</v>
          </cell>
          <cell r="AI39">
            <v>5418965</v>
          </cell>
          <cell r="AJ39">
            <v>145753</v>
          </cell>
          <cell r="AK39">
            <v>1176233</v>
          </cell>
          <cell r="AL39">
            <v>13</v>
          </cell>
          <cell r="AM39">
            <v>668888</v>
          </cell>
          <cell r="AN39">
            <v>0</v>
          </cell>
          <cell r="AO39">
            <v>0</v>
          </cell>
          <cell r="AP39">
            <v>119706238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</row>
        <row r="41">
          <cell r="C41" t="str">
            <v xml:space="preserve"> COMPTON</v>
          </cell>
          <cell r="D41" t="str">
            <v xml:space="preserve"> LOS ANGELES</v>
          </cell>
          <cell r="E41">
            <v>710</v>
          </cell>
          <cell r="F41" t="str">
            <v xml:space="preserve"> 2016-2017</v>
          </cell>
          <cell r="G41" t="str">
            <v xml:space="preserve"> 04/15/2017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 t="str">
            <v xml:space="preserve"> 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4141662</v>
          </cell>
          <cell r="AC41">
            <v>122665</v>
          </cell>
          <cell r="AD41">
            <v>51703</v>
          </cell>
          <cell r="AE41">
            <v>179422</v>
          </cell>
          <cell r="AF41">
            <v>85225</v>
          </cell>
          <cell r="AG41">
            <v>0</v>
          </cell>
          <cell r="AH41">
            <v>0</v>
          </cell>
          <cell r="AI41">
            <v>37006</v>
          </cell>
          <cell r="AJ41">
            <v>35203</v>
          </cell>
          <cell r="AK41">
            <v>96946</v>
          </cell>
          <cell r="AL41">
            <v>0</v>
          </cell>
          <cell r="AM41">
            <v>26572</v>
          </cell>
          <cell r="AN41">
            <v>245</v>
          </cell>
          <cell r="AO41">
            <v>0</v>
          </cell>
          <cell r="AP41">
            <v>4597227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 t="str">
            <v xml:space="preserve"> </v>
          </cell>
          <cell r="AV41" t="str">
            <v xml:space="preserve"> </v>
          </cell>
          <cell r="AW41" t="str">
            <v xml:space="preserve"> </v>
          </cell>
        </row>
        <row r="42">
          <cell r="C42" t="str">
            <v xml:space="preserve">COMPTON Subtotal           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4141662</v>
          </cell>
          <cell r="AC42">
            <v>122665</v>
          </cell>
          <cell r="AD42">
            <v>51703</v>
          </cell>
          <cell r="AE42">
            <v>179422</v>
          </cell>
          <cell r="AF42">
            <v>85225</v>
          </cell>
          <cell r="AG42">
            <v>0</v>
          </cell>
          <cell r="AH42">
            <v>0</v>
          </cell>
          <cell r="AI42">
            <v>37006</v>
          </cell>
          <cell r="AJ42">
            <v>35203</v>
          </cell>
          <cell r="AK42">
            <v>96946</v>
          </cell>
          <cell r="AL42">
            <v>0</v>
          </cell>
          <cell r="AM42">
            <v>26572</v>
          </cell>
          <cell r="AN42">
            <v>245</v>
          </cell>
          <cell r="AO42">
            <v>0</v>
          </cell>
          <cell r="AP42">
            <v>4597227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</row>
        <row r="44">
          <cell r="C44" t="str">
            <v xml:space="preserve"> CONTRA COSTA</v>
          </cell>
          <cell r="D44" t="str">
            <v xml:space="preserve"> CONTRA COSTA</v>
          </cell>
          <cell r="E44">
            <v>310</v>
          </cell>
          <cell r="F44" t="str">
            <v xml:space="preserve"> 2016-2017</v>
          </cell>
          <cell r="G44" t="str">
            <v xml:space="preserve"> 04/15/2017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 t="str">
            <v xml:space="preserve"> 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79099205</v>
          </cell>
          <cell r="AC44">
            <v>1824500</v>
          </cell>
          <cell r="AD44">
            <v>2603220</v>
          </cell>
          <cell r="AE44">
            <v>163100</v>
          </cell>
          <cell r="AF44">
            <v>77473</v>
          </cell>
          <cell r="AG44">
            <v>0</v>
          </cell>
          <cell r="AH44">
            <v>0</v>
          </cell>
          <cell r="AI44">
            <v>1705100</v>
          </cell>
          <cell r="AJ44">
            <v>398200</v>
          </cell>
          <cell r="AK44">
            <v>0</v>
          </cell>
          <cell r="AL44">
            <v>0</v>
          </cell>
          <cell r="AM44">
            <v>643733</v>
          </cell>
          <cell r="AN44">
            <v>4408</v>
          </cell>
          <cell r="AO44">
            <v>10284085</v>
          </cell>
          <cell r="AP44">
            <v>96639924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 t="str">
            <v xml:space="preserve"> </v>
          </cell>
          <cell r="AV44" t="str">
            <v xml:space="preserve"> </v>
          </cell>
          <cell r="AW44" t="str">
            <v xml:space="preserve"> </v>
          </cell>
        </row>
        <row r="45">
          <cell r="C45" t="str">
            <v xml:space="preserve">CONTRA COSTA Subtotal   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79099205</v>
          </cell>
          <cell r="AC45">
            <v>1824500</v>
          </cell>
          <cell r="AD45">
            <v>2603220</v>
          </cell>
          <cell r="AE45">
            <v>163100</v>
          </cell>
          <cell r="AF45">
            <v>77473</v>
          </cell>
          <cell r="AG45">
            <v>0</v>
          </cell>
          <cell r="AH45">
            <v>0</v>
          </cell>
          <cell r="AI45">
            <v>1705100</v>
          </cell>
          <cell r="AJ45">
            <v>398200</v>
          </cell>
          <cell r="AK45">
            <v>0</v>
          </cell>
          <cell r="AL45">
            <v>0</v>
          </cell>
          <cell r="AM45">
            <v>643733</v>
          </cell>
          <cell r="AN45">
            <v>4408</v>
          </cell>
          <cell r="AO45">
            <v>10284085</v>
          </cell>
          <cell r="AP45">
            <v>96639924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</row>
        <row r="47">
          <cell r="C47" t="str">
            <v xml:space="preserve"> COPPER MOUNTAIN</v>
          </cell>
          <cell r="D47" t="str">
            <v xml:space="preserve"> SAN BERNARDINO</v>
          </cell>
          <cell r="E47">
            <v>970</v>
          </cell>
          <cell r="F47" t="str">
            <v xml:space="preserve"> 2016-2017</v>
          </cell>
          <cell r="G47" t="str">
            <v xml:space="preserve"> 04/15/2017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 t="str">
            <v xml:space="preserve"> 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1718360</v>
          </cell>
          <cell r="AC47">
            <v>30752</v>
          </cell>
          <cell r="AD47">
            <v>59743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41941</v>
          </cell>
          <cell r="AJ47">
            <v>0</v>
          </cell>
          <cell r="AK47">
            <v>2402</v>
          </cell>
          <cell r="AL47">
            <v>0</v>
          </cell>
          <cell r="AM47">
            <v>18499</v>
          </cell>
          <cell r="AN47">
            <v>0</v>
          </cell>
          <cell r="AO47">
            <v>-384398</v>
          </cell>
          <cell r="AP47">
            <v>1487299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 t="str">
            <v xml:space="preserve"> </v>
          </cell>
          <cell r="AV47" t="str">
            <v xml:space="preserve"> </v>
          </cell>
          <cell r="AW47" t="str">
            <v xml:space="preserve"> </v>
          </cell>
        </row>
        <row r="48">
          <cell r="C48" t="str">
            <v>COPPER MOUNTAIN Subtotal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1718360</v>
          </cell>
          <cell r="AC48">
            <v>30752</v>
          </cell>
          <cell r="AD48">
            <v>59743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41941</v>
          </cell>
          <cell r="AJ48">
            <v>0</v>
          </cell>
          <cell r="AK48">
            <v>2402</v>
          </cell>
          <cell r="AL48">
            <v>0</v>
          </cell>
          <cell r="AM48">
            <v>18499</v>
          </cell>
          <cell r="AN48">
            <v>0</v>
          </cell>
          <cell r="AO48">
            <v>-384398</v>
          </cell>
          <cell r="AP48">
            <v>1487299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</row>
        <row r="50">
          <cell r="C50" t="str">
            <v xml:space="preserve"> DESERT</v>
          </cell>
          <cell r="D50" t="str">
            <v xml:space="preserve"> IMPERIAL</v>
          </cell>
          <cell r="E50">
            <v>930</v>
          </cell>
          <cell r="F50" t="str">
            <v xml:space="preserve"> 2016-2017</v>
          </cell>
          <cell r="G50" t="str">
            <v xml:space="preserve"> 04/15/2017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 t="str">
            <v xml:space="preserve"> 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168227</v>
          </cell>
          <cell r="AC50">
            <v>740</v>
          </cell>
          <cell r="AD50">
            <v>19763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1830</v>
          </cell>
          <cell r="AN50">
            <v>0</v>
          </cell>
          <cell r="AO50">
            <v>0</v>
          </cell>
          <cell r="AP50">
            <v>190560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 t="str">
            <v xml:space="preserve"> </v>
          </cell>
          <cell r="AV50" t="str">
            <v xml:space="preserve"> </v>
          </cell>
          <cell r="AW50" t="str">
            <v xml:space="preserve"> </v>
          </cell>
        </row>
        <row r="51">
          <cell r="C51" t="str">
            <v xml:space="preserve"> DESERT</v>
          </cell>
          <cell r="D51" t="str">
            <v xml:space="preserve"> RIVERSIDE</v>
          </cell>
          <cell r="E51">
            <v>930</v>
          </cell>
          <cell r="F51" t="str">
            <v xml:space="preserve"> 2016-2017</v>
          </cell>
          <cell r="G51" t="str">
            <v xml:space="preserve"> 04/15/2017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 t="str">
            <v xml:space="preserve"> 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25460308</v>
          </cell>
          <cell r="AC51">
            <v>603562</v>
          </cell>
          <cell r="AD51">
            <v>1166522</v>
          </cell>
          <cell r="AE51">
            <v>676916</v>
          </cell>
          <cell r="AF51">
            <v>321535</v>
          </cell>
          <cell r="AG51">
            <v>0</v>
          </cell>
          <cell r="AH51">
            <v>0</v>
          </cell>
          <cell r="AI51">
            <v>4573048</v>
          </cell>
          <cell r="AJ51">
            <v>87281</v>
          </cell>
          <cell r="AK51">
            <v>704650</v>
          </cell>
          <cell r="AL51">
            <v>0</v>
          </cell>
          <cell r="AM51">
            <v>318363</v>
          </cell>
          <cell r="AN51">
            <v>0</v>
          </cell>
          <cell r="AO51">
            <v>-2221519</v>
          </cell>
          <cell r="AP51">
            <v>31013750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 t="str">
            <v xml:space="preserve"> </v>
          </cell>
          <cell r="AV51" t="str">
            <v xml:space="preserve"> </v>
          </cell>
          <cell r="AW51" t="str">
            <v xml:space="preserve"> </v>
          </cell>
        </row>
        <row r="52">
          <cell r="C52" t="str">
            <v xml:space="preserve">DESERT Subtotal          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25628535</v>
          </cell>
          <cell r="AC52">
            <v>604302</v>
          </cell>
          <cell r="AD52">
            <v>1186285</v>
          </cell>
          <cell r="AE52">
            <v>676916</v>
          </cell>
          <cell r="AF52">
            <v>321535</v>
          </cell>
          <cell r="AG52">
            <v>0</v>
          </cell>
          <cell r="AH52">
            <v>0</v>
          </cell>
          <cell r="AI52">
            <v>4573048</v>
          </cell>
          <cell r="AJ52">
            <v>87281</v>
          </cell>
          <cell r="AK52">
            <v>704650</v>
          </cell>
          <cell r="AL52">
            <v>0</v>
          </cell>
          <cell r="AM52">
            <v>320193</v>
          </cell>
          <cell r="AN52">
            <v>0</v>
          </cell>
          <cell r="AO52">
            <v>-2221519</v>
          </cell>
          <cell r="AP52">
            <v>31204310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</row>
        <row r="54">
          <cell r="C54" t="str">
            <v xml:space="preserve"> EL CAMINO</v>
          </cell>
          <cell r="D54" t="str">
            <v xml:space="preserve"> LOS ANGELES</v>
          </cell>
          <cell r="E54">
            <v>720</v>
          </cell>
          <cell r="F54" t="str">
            <v xml:space="preserve"> 2016-2017</v>
          </cell>
          <cell r="G54" t="str">
            <v xml:space="preserve"> 04/15/2017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 t="str">
            <v xml:space="preserve"> 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27071748</v>
          </cell>
          <cell r="AC54">
            <v>766680</v>
          </cell>
          <cell r="AD54">
            <v>969816</v>
          </cell>
          <cell r="AE54">
            <v>130986</v>
          </cell>
          <cell r="AF54">
            <v>62218</v>
          </cell>
          <cell r="AG54">
            <v>0</v>
          </cell>
          <cell r="AH54">
            <v>0</v>
          </cell>
          <cell r="AI54">
            <v>96781</v>
          </cell>
          <cell r="AJ54">
            <v>21905</v>
          </cell>
          <cell r="AK54">
            <v>525762</v>
          </cell>
          <cell r="AL54">
            <v>0</v>
          </cell>
          <cell r="AM54">
            <v>179994</v>
          </cell>
          <cell r="AN54">
            <v>12</v>
          </cell>
          <cell r="AO54">
            <v>0</v>
          </cell>
          <cell r="AP54">
            <v>29694916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 t="str">
            <v xml:space="preserve"> </v>
          </cell>
          <cell r="AV54" t="str">
            <v xml:space="preserve"> </v>
          </cell>
          <cell r="AW54" t="str">
            <v xml:space="preserve"> </v>
          </cell>
        </row>
        <row r="55">
          <cell r="C55" t="str">
            <v xml:space="preserve">EL CAMINO Subtotal     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27071748</v>
          </cell>
          <cell r="AC55">
            <v>766680</v>
          </cell>
          <cell r="AD55">
            <v>969816</v>
          </cell>
          <cell r="AE55">
            <v>130986</v>
          </cell>
          <cell r="AF55">
            <v>62218</v>
          </cell>
          <cell r="AG55">
            <v>0</v>
          </cell>
          <cell r="AH55">
            <v>0</v>
          </cell>
          <cell r="AI55">
            <v>96781</v>
          </cell>
          <cell r="AJ55">
            <v>21905</v>
          </cell>
          <cell r="AK55">
            <v>525762</v>
          </cell>
          <cell r="AL55">
            <v>0</v>
          </cell>
          <cell r="AM55">
            <v>179994</v>
          </cell>
          <cell r="AN55">
            <v>12</v>
          </cell>
          <cell r="AO55">
            <v>0</v>
          </cell>
          <cell r="AP55">
            <v>29694916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</row>
        <row r="57">
          <cell r="C57" t="str">
            <v xml:space="preserve"> FEATHER RIVER</v>
          </cell>
          <cell r="D57" t="str">
            <v xml:space="preserve"> PLUMAS</v>
          </cell>
          <cell r="E57">
            <v>120</v>
          </cell>
          <cell r="F57" t="str">
            <v xml:space="preserve"> 2016-2017</v>
          </cell>
          <cell r="G57" t="str">
            <v xml:space="preserve"> 04/15/2017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 t="str">
            <v xml:space="preserve"> 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4459722</v>
          </cell>
          <cell r="AC57">
            <v>72529</v>
          </cell>
          <cell r="AD57">
            <v>110000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2500</v>
          </cell>
          <cell r="AL57">
            <v>53969</v>
          </cell>
          <cell r="AM57">
            <v>36552</v>
          </cell>
          <cell r="AN57">
            <v>0</v>
          </cell>
          <cell r="AO57">
            <v>1181202</v>
          </cell>
          <cell r="AP57">
            <v>5916474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 t="str">
            <v xml:space="preserve"> </v>
          </cell>
          <cell r="AV57" t="str">
            <v xml:space="preserve"> </v>
          </cell>
          <cell r="AW57" t="str">
            <v xml:space="preserve"> </v>
          </cell>
        </row>
        <row r="58">
          <cell r="C58" t="str">
            <v xml:space="preserve">FEATHER RIVER Subtotal     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4459722</v>
          </cell>
          <cell r="AC58">
            <v>72529</v>
          </cell>
          <cell r="AD58">
            <v>110000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2500</v>
          </cell>
          <cell r="AL58">
            <v>53969</v>
          </cell>
          <cell r="AM58">
            <v>36552</v>
          </cell>
          <cell r="AN58">
            <v>0</v>
          </cell>
          <cell r="AO58">
            <v>1181202</v>
          </cell>
          <cell r="AP58">
            <v>5916474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</row>
        <row r="60">
          <cell r="C60" t="str">
            <v xml:space="preserve"> FOOTHILL-DEANZA</v>
          </cell>
          <cell r="D60" t="str">
            <v xml:space="preserve"> SANTA CLARA</v>
          </cell>
          <cell r="E60">
            <v>420</v>
          </cell>
          <cell r="F60" t="str">
            <v xml:space="preserve"> 2016-2017</v>
          </cell>
          <cell r="G60" t="str">
            <v xml:space="preserve"> 04/15/2017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 t="str">
            <v xml:space="preserve"> 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91314374</v>
          </cell>
          <cell r="AC60">
            <v>3100000</v>
          </cell>
          <cell r="AD60">
            <v>6235263</v>
          </cell>
          <cell r="AE60">
            <v>90887</v>
          </cell>
          <cell r="AF60">
            <v>43171</v>
          </cell>
          <cell r="AG60">
            <v>0</v>
          </cell>
          <cell r="AH60">
            <v>0</v>
          </cell>
          <cell r="AI60">
            <v>772818</v>
          </cell>
          <cell r="AJ60">
            <v>9074</v>
          </cell>
          <cell r="AK60">
            <v>0</v>
          </cell>
          <cell r="AL60">
            <v>15</v>
          </cell>
          <cell r="AM60">
            <v>452502</v>
          </cell>
          <cell r="AN60">
            <v>0</v>
          </cell>
          <cell r="AO60">
            <v>11088000</v>
          </cell>
          <cell r="AP60">
            <v>113015217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 t="str">
            <v xml:space="preserve"> </v>
          </cell>
          <cell r="AV60" t="str">
            <v xml:space="preserve"> </v>
          </cell>
          <cell r="AW60" t="str">
            <v xml:space="preserve"> </v>
          </cell>
        </row>
        <row r="61">
          <cell r="C61" t="str">
            <v xml:space="preserve">FOOTHILL-DEANZA Subtotal  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91314374</v>
          </cell>
          <cell r="AC61">
            <v>3100000</v>
          </cell>
          <cell r="AD61">
            <v>6235263</v>
          </cell>
          <cell r="AE61">
            <v>90887</v>
          </cell>
          <cell r="AF61">
            <v>43171</v>
          </cell>
          <cell r="AG61">
            <v>0</v>
          </cell>
          <cell r="AH61">
            <v>0</v>
          </cell>
          <cell r="AI61">
            <v>772818</v>
          </cell>
          <cell r="AJ61">
            <v>9074</v>
          </cell>
          <cell r="AK61">
            <v>0</v>
          </cell>
          <cell r="AL61">
            <v>15</v>
          </cell>
          <cell r="AM61">
            <v>452502</v>
          </cell>
          <cell r="AN61">
            <v>0</v>
          </cell>
          <cell r="AO61">
            <v>11088000</v>
          </cell>
          <cell r="AP61">
            <v>113015217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</row>
        <row r="63">
          <cell r="C63" t="str">
            <v xml:space="preserve"> GAVILAN</v>
          </cell>
          <cell r="D63" t="str">
            <v xml:space="preserve"> SAN BENITO</v>
          </cell>
          <cell r="E63">
            <v>440</v>
          </cell>
          <cell r="F63" t="str">
            <v xml:space="preserve"> 2016-2017</v>
          </cell>
          <cell r="G63" t="str">
            <v xml:space="preserve"> 04/15/2017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 t="str">
            <v xml:space="preserve"> 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4893201</v>
          </cell>
          <cell r="AC63">
            <v>168150</v>
          </cell>
          <cell r="AD63">
            <v>289392</v>
          </cell>
          <cell r="AE63">
            <v>73160</v>
          </cell>
          <cell r="AF63">
            <v>34751</v>
          </cell>
          <cell r="AG63">
            <v>0</v>
          </cell>
          <cell r="AH63">
            <v>0</v>
          </cell>
          <cell r="AI63">
            <v>562083</v>
          </cell>
          <cell r="AJ63">
            <v>0</v>
          </cell>
          <cell r="AK63">
            <v>0</v>
          </cell>
          <cell r="AL63">
            <v>0</v>
          </cell>
          <cell r="AM63">
            <v>39829</v>
          </cell>
          <cell r="AN63">
            <v>0</v>
          </cell>
          <cell r="AO63">
            <v>76945</v>
          </cell>
          <cell r="AP63">
            <v>6064351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 t="str">
            <v xml:space="preserve"> </v>
          </cell>
          <cell r="AV63" t="str">
            <v xml:space="preserve"> </v>
          </cell>
          <cell r="AW63" t="str">
            <v xml:space="preserve"> </v>
          </cell>
        </row>
        <row r="64">
          <cell r="C64" t="str">
            <v xml:space="preserve"> GAVILAN</v>
          </cell>
          <cell r="D64" t="str">
            <v xml:space="preserve"> SANTA CLARA</v>
          </cell>
          <cell r="E64">
            <v>440</v>
          </cell>
          <cell r="F64" t="str">
            <v xml:space="preserve"> 2016-2017</v>
          </cell>
          <cell r="G64" t="str">
            <v xml:space="preserve"> 04/15/2017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 t="str">
            <v xml:space="preserve"> 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10555977</v>
          </cell>
          <cell r="AC64">
            <v>400000</v>
          </cell>
          <cell r="AD64">
            <v>785386</v>
          </cell>
          <cell r="AE64">
            <v>318834</v>
          </cell>
          <cell r="AF64">
            <v>151446</v>
          </cell>
          <cell r="AG64">
            <v>0</v>
          </cell>
          <cell r="AH64">
            <v>0</v>
          </cell>
          <cell r="AI64">
            <v>767879</v>
          </cell>
          <cell r="AJ64">
            <v>62252</v>
          </cell>
          <cell r="AK64">
            <v>0</v>
          </cell>
          <cell r="AL64">
            <v>21</v>
          </cell>
          <cell r="AM64">
            <v>56931</v>
          </cell>
          <cell r="AN64">
            <v>0</v>
          </cell>
          <cell r="AO64">
            <v>5554000</v>
          </cell>
          <cell r="AP64">
            <v>18333892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 t="str">
            <v xml:space="preserve"> </v>
          </cell>
          <cell r="AV64" t="str">
            <v xml:space="preserve"> </v>
          </cell>
          <cell r="AW64" t="str">
            <v xml:space="preserve"> </v>
          </cell>
        </row>
        <row r="65">
          <cell r="C65" t="str">
            <v xml:space="preserve">GAVILAN Subtotal          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15449178</v>
          </cell>
          <cell r="AC65">
            <v>568150</v>
          </cell>
          <cell r="AD65">
            <v>1074778</v>
          </cell>
          <cell r="AE65">
            <v>391994</v>
          </cell>
          <cell r="AF65">
            <v>186197</v>
          </cell>
          <cell r="AG65">
            <v>0</v>
          </cell>
          <cell r="AH65">
            <v>0</v>
          </cell>
          <cell r="AI65">
            <v>1329962</v>
          </cell>
          <cell r="AJ65">
            <v>62252</v>
          </cell>
          <cell r="AK65">
            <v>0</v>
          </cell>
          <cell r="AL65">
            <v>21</v>
          </cell>
          <cell r="AM65">
            <v>96760</v>
          </cell>
          <cell r="AN65">
            <v>0</v>
          </cell>
          <cell r="AO65">
            <v>5630945</v>
          </cell>
          <cell r="AP65">
            <v>24398243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</row>
        <row r="67">
          <cell r="C67" t="str">
            <v xml:space="preserve"> GLENDALE</v>
          </cell>
          <cell r="D67" t="str">
            <v xml:space="preserve"> LOS ANGELES</v>
          </cell>
          <cell r="E67">
            <v>730</v>
          </cell>
          <cell r="F67" t="str">
            <v xml:space="preserve"> 2016-2017</v>
          </cell>
          <cell r="G67" t="str">
            <v xml:space="preserve"> 04/15/2017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 t="str">
            <v xml:space="preserve"> 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9609458</v>
          </cell>
          <cell r="AC67">
            <v>279030</v>
          </cell>
          <cell r="AD67">
            <v>253307</v>
          </cell>
          <cell r="AE67">
            <v>196153</v>
          </cell>
          <cell r="AF67">
            <v>93173</v>
          </cell>
          <cell r="AG67">
            <v>0</v>
          </cell>
          <cell r="AH67">
            <v>0</v>
          </cell>
          <cell r="AI67">
            <v>179134</v>
          </cell>
          <cell r="AJ67">
            <v>0</v>
          </cell>
          <cell r="AK67">
            <v>177533</v>
          </cell>
          <cell r="AL67">
            <v>0</v>
          </cell>
          <cell r="AM67">
            <v>64359</v>
          </cell>
          <cell r="AN67">
            <v>0</v>
          </cell>
          <cell r="AO67">
            <v>0</v>
          </cell>
          <cell r="AP67">
            <v>10655994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 t="str">
            <v xml:space="preserve"> </v>
          </cell>
          <cell r="AV67" t="str">
            <v xml:space="preserve"> </v>
          </cell>
          <cell r="AW67" t="str">
            <v xml:space="preserve"> </v>
          </cell>
        </row>
        <row r="68">
          <cell r="C68" t="str">
            <v>GLENDALE Subtotal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9609458</v>
          </cell>
          <cell r="AC68">
            <v>279030</v>
          </cell>
          <cell r="AD68">
            <v>253307</v>
          </cell>
          <cell r="AE68">
            <v>196153</v>
          </cell>
          <cell r="AF68">
            <v>93173</v>
          </cell>
          <cell r="AG68">
            <v>0</v>
          </cell>
          <cell r="AH68">
            <v>0</v>
          </cell>
          <cell r="AI68">
            <v>179134</v>
          </cell>
          <cell r="AJ68">
            <v>0</v>
          </cell>
          <cell r="AK68">
            <v>177533</v>
          </cell>
          <cell r="AL68">
            <v>0</v>
          </cell>
          <cell r="AM68">
            <v>64359</v>
          </cell>
          <cell r="AN68">
            <v>0</v>
          </cell>
          <cell r="AO68">
            <v>0</v>
          </cell>
          <cell r="AP68">
            <v>10655994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</row>
        <row r="70">
          <cell r="C70" t="str">
            <v xml:space="preserve"> GROSSMONT-CUYAMACA</v>
          </cell>
          <cell r="D70" t="str">
            <v xml:space="preserve"> SAN DIEGO</v>
          </cell>
          <cell r="E70">
            <v>20</v>
          </cell>
          <cell r="F70" t="str">
            <v xml:space="preserve"> 2016-2017</v>
          </cell>
          <cell r="G70" t="str">
            <v xml:space="preserve"> 04/15/2017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 t="str">
            <v xml:space="preserve"> 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35730885</v>
          </cell>
          <cell r="AC70">
            <v>890770</v>
          </cell>
          <cell r="AD70">
            <v>1159978</v>
          </cell>
          <cell r="AE70">
            <v>257256</v>
          </cell>
          <cell r="AF70">
            <v>122197</v>
          </cell>
          <cell r="AG70">
            <v>0</v>
          </cell>
          <cell r="AH70">
            <v>0</v>
          </cell>
          <cell r="AI70">
            <v>1629796</v>
          </cell>
          <cell r="AJ70">
            <v>468</v>
          </cell>
          <cell r="AK70">
            <v>-15032</v>
          </cell>
          <cell r="AL70">
            <v>0</v>
          </cell>
          <cell r="AM70">
            <v>268144</v>
          </cell>
          <cell r="AN70">
            <v>0</v>
          </cell>
          <cell r="AO70">
            <v>-434070</v>
          </cell>
          <cell r="AP70">
            <v>39353136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 t="str">
            <v xml:space="preserve"> </v>
          </cell>
          <cell r="AV70" t="str">
            <v xml:space="preserve"> </v>
          </cell>
          <cell r="AW70" t="str">
            <v xml:space="preserve"> </v>
          </cell>
        </row>
        <row r="71">
          <cell r="C71" t="str">
            <v>GROSSMONT-CUYAMACA Subtotal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35730885</v>
          </cell>
          <cell r="AC71">
            <v>890770</v>
          </cell>
          <cell r="AD71">
            <v>1159978</v>
          </cell>
          <cell r="AE71">
            <v>257256</v>
          </cell>
          <cell r="AF71">
            <v>122197</v>
          </cell>
          <cell r="AG71">
            <v>0</v>
          </cell>
          <cell r="AH71">
            <v>0</v>
          </cell>
          <cell r="AI71">
            <v>1629796</v>
          </cell>
          <cell r="AJ71">
            <v>468</v>
          </cell>
          <cell r="AK71">
            <v>-15032</v>
          </cell>
          <cell r="AL71">
            <v>0</v>
          </cell>
          <cell r="AM71">
            <v>268144</v>
          </cell>
          <cell r="AN71">
            <v>0</v>
          </cell>
          <cell r="AO71">
            <v>-434070</v>
          </cell>
          <cell r="AP71">
            <v>39353136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</row>
        <row r="73">
          <cell r="C73" t="str">
            <v xml:space="preserve"> HARTNELL</v>
          </cell>
          <cell r="D73" t="str">
            <v xml:space="preserve"> MONTEREY</v>
          </cell>
          <cell r="E73">
            <v>450</v>
          </cell>
          <cell r="F73" t="str">
            <v xml:space="preserve"> 2016-2017</v>
          </cell>
          <cell r="G73" t="str">
            <v xml:space="preserve"> 04/15/2017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 t="str">
            <v xml:space="preserve"> 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19906440</v>
          </cell>
          <cell r="AC73">
            <v>255611</v>
          </cell>
          <cell r="AD73">
            <v>757043</v>
          </cell>
          <cell r="AE73">
            <v>185227</v>
          </cell>
          <cell r="AF73">
            <v>87983</v>
          </cell>
          <cell r="AG73">
            <v>0</v>
          </cell>
          <cell r="AH73">
            <v>0</v>
          </cell>
          <cell r="AI73">
            <v>729131</v>
          </cell>
          <cell r="AJ73">
            <v>0</v>
          </cell>
          <cell r="AK73">
            <v>189896</v>
          </cell>
          <cell r="AL73">
            <v>0</v>
          </cell>
          <cell r="AM73">
            <v>107362</v>
          </cell>
          <cell r="AN73">
            <v>0</v>
          </cell>
          <cell r="AO73">
            <v>0</v>
          </cell>
          <cell r="AP73">
            <v>22033466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 t="str">
            <v xml:space="preserve"> </v>
          </cell>
          <cell r="AV73" t="str">
            <v xml:space="preserve"> </v>
          </cell>
          <cell r="AW73" t="str">
            <v xml:space="preserve"> </v>
          </cell>
        </row>
        <row r="74">
          <cell r="C74" t="str">
            <v xml:space="preserve"> HARTNELL</v>
          </cell>
          <cell r="D74" t="str">
            <v xml:space="preserve"> SAN BENITO</v>
          </cell>
          <cell r="E74">
            <v>450</v>
          </cell>
          <cell r="F74" t="str">
            <v xml:space="preserve"> 2016-2017</v>
          </cell>
          <cell r="G74" t="str">
            <v xml:space="preserve"> 04/15/2017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 t="str">
            <v xml:space="preserve"> 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72810</v>
          </cell>
          <cell r="AC74">
            <v>2019</v>
          </cell>
          <cell r="AD74">
            <v>4163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573</v>
          </cell>
          <cell r="AN74">
            <v>0</v>
          </cell>
          <cell r="AO74">
            <v>1107</v>
          </cell>
          <cell r="AP74">
            <v>80672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 t="str">
            <v xml:space="preserve"> </v>
          </cell>
          <cell r="AV74" t="str">
            <v xml:space="preserve"> </v>
          </cell>
          <cell r="AW74" t="str">
            <v xml:space="preserve"> </v>
          </cell>
        </row>
        <row r="75">
          <cell r="C75" t="str">
            <v xml:space="preserve">HARTNELL Subtotal         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19979250</v>
          </cell>
          <cell r="AC75">
            <v>257630</v>
          </cell>
          <cell r="AD75">
            <v>761206</v>
          </cell>
          <cell r="AE75">
            <v>185227</v>
          </cell>
          <cell r="AF75">
            <v>87983</v>
          </cell>
          <cell r="AG75">
            <v>0</v>
          </cell>
          <cell r="AH75">
            <v>0</v>
          </cell>
          <cell r="AI75">
            <v>729131</v>
          </cell>
          <cell r="AJ75">
            <v>0</v>
          </cell>
          <cell r="AK75">
            <v>189896</v>
          </cell>
          <cell r="AL75">
            <v>0</v>
          </cell>
          <cell r="AM75">
            <v>107935</v>
          </cell>
          <cell r="AN75">
            <v>0</v>
          </cell>
          <cell r="AO75">
            <v>1107</v>
          </cell>
          <cell r="AP75">
            <v>22114138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</row>
        <row r="77">
          <cell r="C77" t="str">
            <v xml:space="preserve"> IMPERIAL</v>
          </cell>
          <cell r="D77" t="str">
            <v xml:space="preserve"> IMPERIAL</v>
          </cell>
          <cell r="E77">
            <v>30</v>
          </cell>
          <cell r="F77" t="str">
            <v xml:space="preserve"> 2016-2017</v>
          </cell>
          <cell r="G77" t="str">
            <v xml:space="preserve"> 04/15/2017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 t="str">
            <v xml:space="preserve"> 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7412398</v>
          </cell>
          <cell r="AC77">
            <v>29990</v>
          </cell>
          <cell r="AD77">
            <v>856365</v>
          </cell>
          <cell r="AE77">
            <v>179342</v>
          </cell>
          <cell r="AF77">
            <v>85187</v>
          </cell>
          <cell r="AG77">
            <v>0</v>
          </cell>
          <cell r="AH77">
            <v>0</v>
          </cell>
          <cell r="AI77">
            <v>312933</v>
          </cell>
          <cell r="AJ77">
            <v>0</v>
          </cell>
          <cell r="AK77">
            <v>0</v>
          </cell>
          <cell r="AL77">
            <v>0</v>
          </cell>
          <cell r="AM77">
            <v>79287</v>
          </cell>
          <cell r="AN77">
            <v>0</v>
          </cell>
          <cell r="AO77">
            <v>-2330856</v>
          </cell>
          <cell r="AP77">
            <v>6445304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 t="str">
            <v xml:space="preserve"> </v>
          </cell>
          <cell r="AV77" t="str">
            <v xml:space="preserve"> </v>
          </cell>
          <cell r="AW77" t="str">
            <v xml:space="preserve"> </v>
          </cell>
        </row>
        <row r="78">
          <cell r="C78" t="str">
            <v xml:space="preserve">IMPERIAL Subtotal         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7412398</v>
          </cell>
          <cell r="AC78">
            <v>29990</v>
          </cell>
          <cell r="AD78">
            <v>856365</v>
          </cell>
          <cell r="AE78">
            <v>179342</v>
          </cell>
          <cell r="AF78">
            <v>85187</v>
          </cell>
          <cell r="AG78">
            <v>0</v>
          </cell>
          <cell r="AH78">
            <v>0</v>
          </cell>
          <cell r="AI78">
            <v>312933</v>
          </cell>
          <cell r="AJ78">
            <v>0</v>
          </cell>
          <cell r="AK78">
            <v>0</v>
          </cell>
          <cell r="AL78">
            <v>0</v>
          </cell>
          <cell r="AM78">
            <v>79287</v>
          </cell>
          <cell r="AN78">
            <v>0</v>
          </cell>
          <cell r="AO78">
            <v>-2330856</v>
          </cell>
          <cell r="AP78">
            <v>6445304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</row>
        <row r="80">
          <cell r="C80" t="str">
            <v xml:space="preserve"> KERN</v>
          </cell>
          <cell r="D80" t="str">
            <v xml:space="preserve"> INYO</v>
          </cell>
          <cell r="E80">
            <v>520</v>
          </cell>
          <cell r="F80" t="str">
            <v xml:space="preserve"> 2016-2017</v>
          </cell>
          <cell r="G80" t="str">
            <v xml:space="preserve"> 04/15/2017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 t="str">
            <v xml:space="preserve"> 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210762</v>
          </cell>
          <cell r="AC80">
            <v>1057</v>
          </cell>
          <cell r="AD80">
            <v>22246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4758</v>
          </cell>
          <cell r="AL80">
            <v>0</v>
          </cell>
          <cell r="AM80">
            <v>1385</v>
          </cell>
          <cell r="AN80">
            <v>0</v>
          </cell>
          <cell r="AO80">
            <v>0</v>
          </cell>
          <cell r="AP80">
            <v>240208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 t="str">
            <v xml:space="preserve"> </v>
          </cell>
          <cell r="AV80" t="str">
            <v xml:space="preserve"> </v>
          </cell>
          <cell r="AW80" t="str">
            <v xml:space="preserve"> </v>
          </cell>
        </row>
        <row r="81">
          <cell r="C81" t="str">
            <v xml:space="preserve"> KERN</v>
          </cell>
          <cell r="D81" t="str">
            <v xml:space="preserve"> KERN</v>
          </cell>
          <cell r="E81">
            <v>520</v>
          </cell>
          <cell r="F81" t="str">
            <v xml:space="preserve"> 2016-2017</v>
          </cell>
          <cell r="G81" t="str">
            <v xml:space="preserve"> 04/15/2017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 t="str">
            <v xml:space="preserve"> 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37694869</v>
          </cell>
          <cell r="AC81">
            <v>2216992</v>
          </cell>
          <cell r="AD81">
            <v>4362462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416853</v>
          </cell>
          <cell r="AJ81">
            <v>0</v>
          </cell>
          <cell r="AK81">
            <v>0</v>
          </cell>
          <cell r="AL81">
            <v>133</v>
          </cell>
          <cell r="AM81">
            <v>413926</v>
          </cell>
          <cell r="AN81">
            <v>0</v>
          </cell>
          <cell r="AO81">
            <v>0</v>
          </cell>
          <cell r="AP81">
            <v>45105235</v>
          </cell>
          <cell r="AQ81">
            <v>3589857</v>
          </cell>
          <cell r="AR81">
            <v>0</v>
          </cell>
          <cell r="AS81">
            <v>0</v>
          </cell>
          <cell r="AT81">
            <v>0</v>
          </cell>
          <cell r="AU81" t="str">
            <v xml:space="preserve"> </v>
          </cell>
          <cell r="AV81" t="str">
            <v xml:space="preserve"> </v>
          </cell>
          <cell r="AW81" t="str">
            <v xml:space="preserve"> </v>
          </cell>
        </row>
        <row r="82">
          <cell r="C82" t="str">
            <v xml:space="preserve"> KERN</v>
          </cell>
          <cell r="D82" t="str">
            <v xml:space="preserve"> SAN BERNARDINO</v>
          </cell>
          <cell r="E82">
            <v>520</v>
          </cell>
          <cell r="F82" t="str">
            <v xml:space="preserve"> 2016-2017</v>
          </cell>
          <cell r="G82" t="str">
            <v xml:space="preserve"> 04/15/2017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 t="str">
            <v xml:space="preserve"> 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81954</v>
          </cell>
          <cell r="AC82">
            <v>834</v>
          </cell>
          <cell r="AD82">
            <v>2602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942</v>
          </cell>
          <cell r="AL82">
            <v>0</v>
          </cell>
          <cell r="AM82">
            <v>806</v>
          </cell>
          <cell r="AN82">
            <v>0</v>
          </cell>
          <cell r="AO82">
            <v>0</v>
          </cell>
          <cell r="AP82">
            <v>87138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 t="str">
            <v xml:space="preserve"> </v>
          </cell>
          <cell r="AV82" t="str">
            <v xml:space="preserve"> </v>
          </cell>
          <cell r="AW82" t="str">
            <v xml:space="preserve"> </v>
          </cell>
        </row>
        <row r="83">
          <cell r="C83" t="str">
            <v xml:space="preserve"> KERN</v>
          </cell>
          <cell r="D83" t="str">
            <v xml:space="preserve"> TULARE</v>
          </cell>
          <cell r="E83">
            <v>520</v>
          </cell>
          <cell r="F83" t="str">
            <v xml:space="preserve"> 2016-2017</v>
          </cell>
          <cell r="G83" t="str">
            <v xml:space="preserve"> 04/15/2017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 t="str">
            <v xml:space="preserve"> 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4707868</v>
          </cell>
          <cell r="AC83">
            <v>45152</v>
          </cell>
          <cell r="AD83">
            <v>269561</v>
          </cell>
          <cell r="AE83">
            <v>14794</v>
          </cell>
          <cell r="AF83">
            <v>7027</v>
          </cell>
          <cell r="AG83">
            <v>0</v>
          </cell>
          <cell r="AH83">
            <v>0</v>
          </cell>
          <cell r="AI83">
            <v>111595</v>
          </cell>
          <cell r="AJ83">
            <v>0</v>
          </cell>
          <cell r="AK83">
            <v>0</v>
          </cell>
          <cell r="AL83">
            <v>0</v>
          </cell>
          <cell r="AM83">
            <v>47847</v>
          </cell>
          <cell r="AN83">
            <v>0</v>
          </cell>
          <cell r="AO83">
            <v>-334190</v>
          </cell>
          <cell r="AP83">
            <v>4854860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 t="str">
            <v xml:space="preserve"> </v>
          </cell>
          <cell r="AV83" t="str">
            <v xml:space="preserve"> </v>
          </cell>
          <cell r="AW83" t="str">
            <v xml:space="preserve"> </v>
          </cell>
        </row>
        <row r="84">
          <cell r="C84" t="str">
            <v>KERN Subtotal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42695453</v>
          </cell>
          <cell r="AC84">
            <v>2264035</v>
          </cell>
          <cell r="AD84">
            <v>4656871</v>
          </cell>
          <cell r="AE84">
            <v>14794</v>
          </cell>
          <cell r="AF84">
            <v>7027</v>
          </cell>
          <cell r="AG84">
            <v>0</v>
          </cell>
          <cell r="AH84">
            <v>0</v>
          </cell>
          <cell r="AI84">
            <v>528448</v>
          </cell>
          <cell r="AJ84">
            <v>0</v>
          </cell>
          <cell r="AK84">
            <v>5700</v>
          </cell>
          <cell r="AL84">
            <v>133</v>
          </cell>
          <cell r="AM84">
            <v>463964</v>
          </cell>
          <cell r="AN84">
            <v>0</v>
          </cell>
          <cell r="AO84">
            <v>-334190</v>
          </cell>
          <cell r="AP84">
            <v>50287441</v>
          </cell>
          <cell r="AQ84">
            <v>3589857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</row>
        <row r="86">
          <cell r="C86" t="str">
            <v xml:space="preserve"> LAKE TAHOE</v>
          </cell>
          <cell r="D86" t="str">
            <v xml:space="preserve"> EL DORADO</v>
          </cell>
          <cell r="E86">
            <v>220</v>
          </cell>
          <cell r="F86" t="str">
            <v xml:space="preserve"> 2016-2017</v>
          </cell>
          <cell r="G86" t="str">
            <v xml:space="preserve"> 04/15/2017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 t="str">
            <v xml:space="preserve"> 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3912662</v>
          </cell>
          <cell r="AC86">
            <v>54155</v>
          </cell>
          <cell r="AD86">
            <v>78185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-1522</v>
          </cell>
          <cell r="AL86">
            <v>79</v>
          </cell>
          <cell r="AM86">
            <v>39437</v>
          </cell>
          <cell r="AN86">
            <v>0</v>
          </cell>
          <cell r="AO86">
            <v>0</v>
          </cell>
          <cell r="AP86">
            <v>4082996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 t="str">
            <v xml:space="preserve"> </v>
          </cell>
          <cell r="AV86" t="str">
            <v xml:space="preserve"> </v>
          </cell>
          <cell r="AW86" t="str">
            <v xml:space="preserve"> </v>
          </cell>
        </row>
        <row r="87">
          <cell r="C87" t="str">
            <v xml:space="preserve">LAKE TAHOE Subtotal        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3912662</v>
          </cell>
          <cell r="AC87">
            <v>54155</v>
          </cell>
          <cell r="AD87">
            <v>78185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-1522</v>
          </cell>
          <cell r="AL87">
            <v>79</v>
          </cell>
          <cell r="AM87">
            <v>39437</v>
          </cell>
          <cell r="AN87">
            <v>0</v>
          </cell>
          <cell r="AO87">
            <v>0</v>
          </cell>
          <cell r="AP87">
            <v>4082996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</row>
        <row r="89">
          <cell r="C89" t="str">
            <v xml:space="preserve"> LASSEN</v>
          </cell>
          <cell r="D89" t="str">
            <v xml:space="preserve"> LASSEN</v>
          </cell>
          <cell r="E89">
            <v>130</v>
          </cell>
          <cell r="F89" t="str">
            <v xml:space="preserve"> 2016-2017</v>
          </cell>
          <cell r="G89" t="str">
            <v xml:space="preserve"> 04/15/2017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 t="str">
            <v xml:space="preserve"> 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1748437</v>
          </cell>
          <cell r="AC89">
            <v>7592</v>
          </cell>
          <cell r="AD89">
            <v>91181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1260</v>
          </cell>
          <cell r="AL89">
            <v>22056</v>
          </cell>
          <cell r="AM89">
            <v>30648</v>
          </cell>
          <cell r="AN89">
            <v>0</v>
          </cell>
          <cell r="AO89">
            <v>-303073</v>
          </cell>
          <cell r="AP89">
            <v>1598101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 t="str">
            <v xml:space="preserve"> </v>
          </cell>
          <cell r="AV89" t="str">
            <v xml:space="preserve"> </v>
          </cell>
          <cell r="AW89" t="str">
            <v xml:space="preserve"> </v>
          </cell>
        </row>
        <row r="90">
          <cell r="C90" t="str">
            <v xml:space="preserve"> LASSEN</v>
          </cell>
          <cell r="D90" t="str">
            <v xml:space="preserve"> MODOC</v>
          </cell>
          <cell r="E90">
            <v>130</v>
          </cell>
          <cell r="F90" t="str">
            <v xml:space="preserve"> 2016-2017</v>
          </cell>
          <cell r="G90" t="str">
            <v xml:space="preserve"> 04/15/2017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 t="str">
            <v xml:space="preserve"> 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95000</v>
          </cell>
          <cell r="AC90">
            <v>300</v>
          </cell>
          <cell r="AD90">
            <v>3500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4100</v>
          </cell>
          <cell r="AL90">
            <v>90</v>
          </cell>
          <cell r="AM90">
            <v>1400</v>
          </cell>
          <cell r="AN90">
            <v>0</v>
          </cell>
          <cell r="AO90">
            <v>-4655</v>
          </cell>
          <cell r="AP90">
            <v>99735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 t="str">
            <v xml:space="preserve"> </v>
          </cell>
          <cell r="AV90" t="str">
            <v xml:space="preserve"> </v>
          </cell>
          <cell r="AW90" t="str">
            <v xml:space="preserve"> </v>
          </cell>
        </row>
        <row r="91">
          <cell r="C91" t="str">
            <v xml:space="preserve">LASSEN Subtotal           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1843437</v>
          </cell>
          <cell r="AC91">
            <v>7892</v>
          </cell>
          <cell r="AD91">
            <v>94681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5360</v>
          </cell>
          <cell r="AL91">
            <v>22146</v>
          </cell>
          <cell r="AM91">
            <v>32048</v>
          </cell>
          <cell r="AN91">
            <v>0</v>
          </cell>
          <cell r="AO91">
            <v>-307728</v>
          </cell>
          <cell r="AP91">
            <v>1697836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</row>
        <row r="93">
          <cell r="C93" t="str">
            <v xml:space="preserve"> LONG BEACH</v>
          </cell>
          <cell r="D93" t="str">
            <v xml:space="preserve"> LOS ANGELES</v>
          </cell>
          <cell r="E93">
            <v>840</v>
          </cell>
          <cell r="F93" t="str">
            <v xml:space="preserve"> 2016-2017</v>
          </cell>
          <cell r="G93" t="str">
            <v xml:space="preserve"> 04/15/2017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 t="str">
            <v xml:space="preserve"> 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10986641</v>
          </cell>
          <cell r="AC93">
            <v>363550</v>
          </cell>
          <cell r="AD93">
            <v>174771</v>
          </cell>
          <cell r="AE93">
            <v>674030</v>
          </cell>
          <cell r="AF93">
            <v>320164</v>
          </cell>
          <cell r="AG93">
            <v>0</v>
          </cell>
          <cell r="AH93">
            <v>0</v>
          </cell>
          <cell r="AI93">
            <v>272148</v>
          </cell>
          <cell r="AJ93">
            <v>49920</v>
          </cell>
          <cell r="AK93">
            <v>706486</v>
          </cell>
          <cell r="AL93">
            <v>0</v>
          </cell>
          <cell r="AM93">
            <v>72184</v>
          </cell>
          <cell r="AN93">
            <v>0</v>
          </cell>
          <cell r="AO93">
            <v>0</v>
          </cell>
          <cell r="AP93">
            <v>12945864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 t="str">
            <v xml:space="preserve"> </v>
          </cell>
          <cell r="AV93" t="str">
            <v xml:space="preserve"> </v>
          </cell>
          <cell r="AW93" t="str">
            <v xml:space="preserve"> </v>
          </cell>
        </row>
        <row r="94">
          <cell r="C94" t="str">
            <v xml:space="preserve">LONG BEACH Subtotal     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10986641</v>
          </cell>
          <cell r="AC94">
            <v>363550</v>
          </cell>
          <cell r="AD94">
            <v>174771</v>
          </cell>
          <cell r="AE94">
            <v>674030</v>
          </cell>
          <cell r="AF94">
            <v>320164</v>
          </cell>
          <cell r="AG94">
            <v>0</v>
          </cell>
          <cell r="AH94">
            <v>0</v>
          </cell>
          <cell r="AI94">
            <v>272148</v>
          </cell>
          <cell r="AJ94">
            <v>49920</v>
          </cell>
          <cell r="AK94">
            <v>706486</v>
          </cell>
          <cell r="AL94">
            <v>0</v>
          </cell>
          <cell r="AM94">
            <v>72184</v>
          </cell>
          <cell r="AN94">
            <v>0</v>
          </cell>
          <cell r="AO94">
            <v>0</v>
          </cell>
          <cell r="AP94">
            <v>12945864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</row>
        <row r="96">
          <cell r="C96" t="str">
            <v xml:space="preserve"> LOS ANGELES</v>
          </cell>
          <cell r="D96" t="str">
            <v xml:space="preserve"> LOS ANGELES</v>
          </cell>
          <cell r="E96">
            <v>740</v>
          </cell>
          <cell r="F96" t="str">
            <v xml:space="preserve"> 2016-2017</v>
          </cell>
          <cell r="G96" t="str">
            <v xml:space="preserve"> 04/15/2017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 t="str">
            <v xml:space="preserve"> 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174646899</v>
          </cell>
          <cell r="AC96">
            <v>4820321</v>
          </cell>
          <cell r="AD96">
            <v>6149845</v>
          </cell>
          <cell r="AE96">
            <v>3041887</v>
          </cell>
          <cell r="AF96">
            <v>1444896</v>
          </cell>
          <cell r="AG96">
            <v>0</v>
          </cell>
          <cell r="AH96">
            <v>0</v>
          </cell>
          <cell r="AI96">
            <v>2596573</v>
          </cell>
          <cell r="AJ96">
            <v>2929943</v>
          </cell>
          <cell r="AK96">
            <v>3252688</v>
          </cell>
          <cell r="AL96">
            <v>0</v>
          </cell>
          <cell r="AM96">
            <v>1156686</v>
          </cell>
          <cell r="AN96">
            <v>11257</v>
          </cell>
          <cell r="AO96">
            <v>0</v>
          </cell>
          <cell r="AP96">
            <v>197009108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 t="str">
            <v xml:space="preserve"> </v>
          </cell>
          <cell r="AV96" t="str">
            <v xml:space="preserve"> </v>
          </cell>
          <cell r="AW96" t="str">
            <v xml:space="preserve"> </v>
          </cell>
        </row>
        <row r="97">
          <cell r="C97" t="str">
            <v xml:space="preserve">LOS ANGELES Subtotal     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174646899</v>
          </cell>
          <cell r="AC97">
            <v>4820321</v>
          </cell>
          <cell r="AD97">
            <v>6149845</v>
          </cell>
          <cell r="AE97">
            <v>3041887</v>
          </cell>
          <cell r="AF97">
            <v>1444896</v>
          </cell>
          <cell r="AG97">
            <v>0</v>
          </cell>
          <cell r="AH97">
            <v>0</v>
          </cell>
          <cell r="AI97">
            <v>2596573</v>
          </cell>
          <cell r="AJ97">
            <v>2929943</v>
          </cell>
          <cell r="AK97">
            <v>3252688</v>
          </cell>
          <cell r="AL97">
            <v>0</v>
          </cell>
          <cell r="AM97">
            <v>1156686</v>
          </cell>
          <cell r="AN97">
            <v>11257</v>
          </cell>
          <cell r="AO97">
            <v>0</v>
          </cell>
          <cell r="AP97">
            <v>197009108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</row>
        <row r="99">
          <cell r="C99" t="str">
            <v xml:space="preserve"> LOS RIOS</v>
          </cell>
          <cell r="D99" t="str">
            <v xml:space="preserve"> EL DORADO</v>
          </cell>
          <cell r="E99">
            <v>230</v>
          </cell>
          <cell r="F99" t="str">
            <v xml:space="preserve"> 2016-2017</v>
          </cell>
          <cell r="G99" t="str">
            <v xml:space="preserve"> 04/15/2017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 t="str">
            <v xml:space="preserve"> 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10669495</v>
          </cell>
          <cell r="AC99">
            <v>138570</v>
          </cell>
          <cell r="AD99">
            <v>200820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-3875</v>
          </cell>
          <cell r="AL99">
            <v>7518</v>
          </cell>
          <cell r="AM99">
            <v>101294</v>
          </cell>
          <cell r="AN99">
            <v>0</v>
          </cell>
          <cell r="AO99">
            <v>1671177</v>
          </cell>
          <cell r="AP99">
            <v>12784999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 t="str">
            <v xml:space="preserve"> </v>
          </cell>
          <cell r="AV99" t="str">
            <v xml:space="preserve"> </v>
          </cell>
          <cell r="AW99" t="str">
            <v xml:space="preserve"> </v>
          </cell>
        </row>
        <row r="100">
          <cell r="C100" t="str">
            <v xml:space="preserve"> LOS RIOS</v>
          </cell>
          <cell r="D100" t="str">
            <v xml:space="preserve"> PLACER</v>
          </cell>
          <cell r="E100">
            <v>230</v>
          </cell>
          <cell r="F100" t="str">
            <v xml:space="preserve"> 2016-2017</v>
          </cell>
          <cell r="G100" t="str">
            <v xml:space="preserve"> 04/15/2017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str">
            <v xml:space="preserve"> 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43924</v>
          </cell>
          <cell r="AC100">
            <v>853</v>
          </cell>
          <cell r="AD100">
            <v>1107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12</v>
          </cell>
          <cell r="AL100">
            <v>0</v>
          </cell>
          <cell r="AM100">
            <v>353</v>
          </cell>
          <cell r="AN100">
            <v>0</v>
          </cell>
          <cell r="AO100">
            <v>0</v>
          </cell>
          <cell r="AP100">
            <v>46249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 t="str">
            <v xml:space="preserve"> </v>
          </cell>
          <cell r="AV100" t="str">
            <v xml:space="preserve"> </v>
          </cell>
          <cell r="AW100" t="str">
            <v xml:space="preserve"> </v>
          </cell>
        </row>
        <row r="101">
          <cell r="C101" t="str">
            <v xml:space="preserve"> LOS RIOS</v>
          </cell>
          <cell r="D101" t="str">
            <v xml:space="preserve"> SACRAMENTO</v>
          </cell>
          <cell r="E101">
            <v>230</v>
          </cell>
          <cell r="F101" t="str">
            <v xml:space="preserve"> 2016-2017</v>
          </cell>
          <cell r="G101" t="str">
            <v xml:space="preserve"> 04/15/2017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 t="str">
            <v xml:space="preserve"> 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38796683</v>
          </cell>
          <cell r="AC101">
            <v>1048555</v>
          </cell>
          <cell r="AD101">
            <v>1219068</v>
          </cell>
          <cell r="AE101">
            <v>396213</v>
          </cell>
          <cell r="AF101">
            <v>188201</v>
          </cell>
          <cell r="AG101">
            <v>0</v>
          </cell>
          <cell r="AH101">
            <v>0</v>
          </cell>
          <cell r="AI101">
            <v>655277</v>
          </cell>
          <cell r="AJ101">
            <v>147281</v>
          </cell>
          <cell r="AK101">
            <v>0</v>
          </cell>
          <cell r="AL101">
            <v>15</v>
          </cell>
          <cell r="AM101">
            <v>453396</v>
          </cell>
          <cell r="AN101">
            <v>67</v>
          </cell>
          <cell r="AO101">
            <v>9320490</v>
          </cell>
          <cell r="AP101">
            <v>51829033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 t="str">
            <v xml:space="preserve"> </v>
          </cell>
          <cell r="AV101" t="str">
            <v xml:space="preserve"> </v>
          </cell>
          <cell r="AW101" t="str">
            <v xml:space="preserve"> </v>
          </cell>
        </row>
        <row r="102">
          <cell r="C102" t="str">
            <v xml:space="preserve"> LOS RIOS</v>
          </cell>
          <cell r="D102" t="str">
            <v xml:space="preserve"> SOLANO</v>
          </cell>
          <cell r="E102">
            <v>230</v>
          </cell>
          <cell r="F102" t="str">
            <v xml:space="preserve"> 2016-2017</v>
          </cell>
          <cell r="G102" t="str">
            <v xml:space="preserve"> 04/15/2017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 t="str">
            <v xml:space="preserve"> 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12366</v>
          </cell>
          <cell r="AC102">
            <v>189</v>
          </cell>
          <cell r="AD102">
            <v>700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102</v>
          </cell>
          <cell r="AN102">
            <v>0</v>
          </cell>
          <cell r="AO102">
            <v>0</v>
          </cell>
          <cell r="AP102">
            <v>13357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 t="str">
            <v xml:space="preserve"> </v>
          </cell>
          <cell r="AV102" t="str">
            <v xml:space="preserve"> </v>
          </cell>
          <cell r="AW102" t="str">
            <v xml:space="preserve"> </v>
          </cell>
        </row>
        <row r="103">
          <cell r="C103" t="str">
            <v xml:space="preserve"> LOS RIOS</v>
          </cell>
          <cell r="D103" t="str">
            <v xml:space="preserve"> YOLO</v>
          </cell>
          <cell r="E103">
            <v>230</v>
          </cell>
          <cell r="F103" t="str">
            <v xml:space="preserve"> 2016-2017</v>
          </cell>
          <cell r="G103" t="str">
            <v xml:space="preserve"> 04/15/2017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 t="str">
            <v xml:space="preserve"> 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5221357</v>
          </cell>
          <cell r="AC103">
            <v>77058</v>
          </cell>
          <cell r="AD103">
            <v>199059</v>
          </cell>
          <cell r="AE103">
            <v>67734</v>
          </cell>
          <cell r="AF103">
            <v>32174</v>
          </cell>
          <cell r="AG103">
            <v>0</v>
          </cell>
          <cell r="AH103">
            <v>0</v>
          </cell>
          <cell r="AI103">
            <v>712350</v>
          </cell>
          <cell r="AJ103">
            <v>0</v>
          </cell>
          <cell r="AK103">
            <v>4025</v>
          </cell>
          <cell r="AL103">
            <v>0</v>
          </cell>
          <cell r="AM103">
            <v>48720</v>
          </cell>
          <cell r="AN103">
            <v>1452</v>
          </cell>
          <cell r="AO103">
            <v>372342</v>
          </cell>
          <cell r="AP103">
            <v>6668537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 t="str">
            <v xml:space="preserve"> </v>
          </cell>
          <cell r="AV103" t="str">
            <v xml:space="preserve"> </v>
          </cell>
          <cell r="AW103" t="str">
            <v xml:space="preserve"> </v>
          </cell>
        </row>
        <row r="104">
          <cell r="C104" t="str">
            <v xml:space="preserve">LOS RIOS Subtotal          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54743825</v>
          </cell>
          <cell r="AC104">
            <v>1265225</v>
          </cell>
          <cell r="AD104">
            <v>1620754</v>
          </cell>
          <cell r="AE104">
            <v>463947</v>
          </cell>
          <cell r="AF104">
            <v>220375</v>
          </cell>
          <cell r="AG104">
            <v>0</v>
          </cell>
          <cell r="AH104">
            <v>0</v>
          </cell>
          <cell r="AI104">
            <v>1367627</v>
          </cell>
          <cell r="AJ104">
            <v>147281</v>
          </cell>
          <cell r="AK104">
            <v>162</v>
          </cell>
          <cell r="AL104">
            <v>7533</v>
          </cell>
          <cell r="AM104">
            <v>603865</v>
          </cell>
          <cell r="AN104">
            <v>1519</v>
          </cell>
          <cell r="AO104">
            <v>11364009</v>
          </cell>
          <cell r="AP104">
            <v>71342175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</row>
        <row r="106">
          <cell r="C106" t="str">
            <v xml:space="preserve"> MARIN</v>
          </cell>
          <cell r="D106" t="str">
            <v xml:space="preserve"> MARIN</v>
          </cell>
          <cell r="E106">
            <v>330</v>
          </cell>
          <cell r="F106" t="str">
            <v xml:space="preserve"> 2016-2017</v>
          </cell>
          <cell r="G106" t="str">
            <v xml:space="preserve"> 04/15/2017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 t="str">
            <v xml:space="preserve"> 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48363569</v>
          </cell>
          <cell r="AC106">
            <v>1041873</v>
          </cell>
          <cell r="AD106">
            <v>970516</v>
          </cell>
          <cell r="AE106">
            <v>127928</v>
          </cell>
          <cell r="AF106">
            <v>60766</v>
          </cell>
          <cell r="AG106">
            <v>0</v>
          </cell>
          <cell r="AH106">
            <v>0</v>
          </cell>
          <cell r="AI106">
            <v>419038</v>
          </cell>
          <cell r="AJ106">
            <v>0</v>
          </cell>
          <cell r="AK106">
            <v>76851</v>
          </cell>
          <cell r="AL106">
            <v>0</v>
          </cell>
          <cell r="AM106">
            <v>257006</v>
          </cell>
          <cell r="AN106">
            <v>2451</v>
          </cell>
          <cell r="AO106">
            <v>0</v>
          </cell>
          <cell r="AP106">
            <v>51192070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 t="str">
            <v xml:space="preserve"> </v>
          </cell>
          <cell r="AV106" t="str">
            <v xml:space="preserve"> </v>
          </cell>
          <cell r="AW106" t="str">
            <v xml:space="preserve"> </v>
          </cell>
        </row>
        <row r="107">
          <cell r="C107" t="str">
            <v xml:space="preserve">MARIN Subtotal          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48363569</v>
          </cell>
          <cell r="AC107">
            <v>1041873</v>
          </cell>
          <cell r="AD107">
            <v>970516</v>
          </cell>
          <cell r="AE107">
            <v>127928</v>
          </cell>
          <cell r="AF107">
            <v>60766</v>
          </cell>
          <cell r="AG107">
            <v>0</v>
          </cell>
          <cell r="AH107">
            <v>0</v>
          </cell>
          <cell r="AI107">
            <v>419038</v>
          </cell>
          <cell r="AJ107">
            <v>0</v>
          </cell>
          <cell r="AK107">
            <v>76851</v>
          </cell>
          <cell r="AL107">
            <v>0</v>
          </cell>
          <cell r="AM107">
            <v>257006</v>
          </cell>
          <cell r="AN107">
            <v>2451</v>
          </cell>
          <cell r="AO107">
            <v>0</v>
          </cell>
          <cell r="AP107">
            <v>51192070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</row>
        <row r="109">
          <cell r="C109" t="str">
            <v xml:space="preserve"> MENDOCINO-LAKE</v>
          </cell>
          <cell r="D109" t="str">
            <v xml:space="preserve"> LAKE</v>
          </cell>
          <cell r="E109">
            <v>140</v>
          </cell>
          <cell r="F109" t="str">
            <v xml:space="preserve"> 2016-2017</v>
          </cell>
          <cell r="G109" t="str">
            <v xml:space="preserve"> 04/15/2017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 t="str">
            <v xml:space="preserve"> 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2105422</v>
          </cell>
          <cell r="AC109">
            <v>6859</v>
          </cell>
          <cell r="AD109">
            <v>52640</v>
          </cell>
          <cell r="AE109">
            <v>36365</v>
          </cell>
          <cell r="AF109">
            <v>17273</v>
          </cell>
          <cell r="AG109">
            <v>0</v>
          </cell>
          <cell r="AH109">
            <v>0</v>
          </cell>
          <cell r="AI109">
            <v>88615</v>
          </cell>
          <cell r="AJ109">
            <v>0</v>
          </cell>
          <cell r="AK109">
            <v>1650</v>
          </cell>
          <cell r="AL109">
            <v>7967</v>
          </cell>
          <cell r="AM109">
            <v>28101</v>
          </cell>
          <cell r="AN109">
            <v>0</v>
          </cell>
          <cell r="AO109">
            <v>160122</v>
          </cell>
          <cell r="AP109">
            <v>2468649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 t="str">
            <v xml:space="preserve"> </v>
          </cell>
          <cell r="AV109" t="str">
            <v xml:space="preserve"> </v>
          </cell>
          <cell r="AW109" t="str">
            <v xml:space="preserve"> </v>
          </cell>
        </row>
        <row r="110">
          <cell r="C110" t="str">
            <v xml:space="preserve"> MENDOCINO-LAKE</v>
          </cell>
          <cell r="D110" t="str">
            <v xml:space="preserve"> MENDOCINO</v>
          </cell>
          <cell r="E110">
            <v>140</v>
          </cell>
          <cell r="F110" t="str">
            <v xml:space="preserve"> 2016-2017</v>
          </cell>
          <cell r="G110" t="str">
            <v xml:space="preserve"> 04/15/2017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 t="str">
            <v xml:space="preserve"> 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3918367</v>
          </cell>
          <cell r="AC110">
            <v>42607</v>
          </cell>
          <cell r="AD110">
            <v>141127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103068</v>
          </cell>
          <cell r="AJ110">
            <v>0</v>
          </cell>
          <cell r="AK110">
            <v>7411</v>
          </cell>
          <cell r="AL110">
            <v>18724</v>
          </cell>
          <cell r="AM110">
            <v>39855</v>
          </cell>
          <cell r="AN110">
            <v>0</v>
          </cell>
          <cell r="AO110">
            <v>0</v>
          </cell>
          <cell r="AP110">
            <v>4271159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 t="str">
            <v xml:space="preserve"> </v>
          </cell>
          <cell r="AV110" t="str">
            <v xml:space="preserve"> </v>
          </cell>
          <cell r="AW110" t="str">
            <v xml:space="preserve"> </v>
          </cell>
        </row>
        <row r="111">
          <cell r="C111" t="str">
            <v>MENDOCINO-LAKE Subtotal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6023789</v>
          </cell>
          <cell r="AC111">
            <v>49466</v>
          </cell>
          <cell r="AD111">
            <v>193767</v>
          </cell>
          <cell r="AE111">
            <v>36365</v>
          </cell>
          <cell r="AF111">
            <v>17273</v>
          </cell>
          <cell r="AG111">
            <v>0</v>
          </cell>
          <cell r="AH111">
            <v>0</v>
          </cell>
          <cell r="AI111">
            <v>191683</v>
          </cell>
          <cell r="AJ111">
            <v>0</v>
          </cell>
          <cell r="AK111">
            <v>9061</v>
          </cell>
          <cell r="AL111">
            <v>26691</v>
          </cell>
          <cell r="AM111">
            <v>67956</v>
          </cell>
          <cell r="AN111">
            <v>0</v>
          </cell>
          <cell r="AO111">
            <v>160122</v>
          </cell>
          <cell r="AP111">
            <v>6739808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</row>
        <row r="113">
          <cell r="C113" t="str">
            <v xml:space="preserve"> MERCED</v>
          </cell>
          <cell r="D113" t="str">
            <v xml:space="preserve"> FRESNO</v>
          </cell>
          <cell r="E113">
            <v>530</v>
          </cell>
          <cell r="F113" t="str">
            <v xml:space="preserve"> 2016-2017</v>
          </cell>
          <cell r="G113" t="str">
            <v xml:space="preserve"> 04/15/2017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 t="str">
            <v xml:space="preserve"> 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78123</v>
          </cell>
          <cell r="AC113">
            <v>807</v>
          </cell>
          <cell r="AD113">
            <v>3073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740</v>
          </cell>
          <cell r="AL113">
            <v>0</v>
          </cell>
          <cell r="AM113">
            <v>663</v>
          </cell>
          <cell r="AN113">
            <v>0</v>
          </cell>
          <cell r="AO113">
            <v>-2827</v>
          </cell>
          <cell r="AP113">
            <v>80579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 t="str">
            <v xml:space="preserve"> </v>
          </cell>
          <cell r="AV113" t="str">
            <v xml:space="preserve"> </v>
          </cell>
          <cell r="AW113" t="str">
            <v xml:space="preserve"> </v>
          </cell>
        </row>
        <row r="114">
          <cell r="C114" t="str">
            <v xml:space="preserve"> MERCED</v>
          </cell>
          <cell r="D114" t="str">
            <v xml:space="preserve"> MADERA</v>
          </cell>
          <cell r="E114">
            <v>530</v>
          </cell>
          <cell r="F114" t="str">
            <v xml:space="preserve"> 2016-2017</v>
          </cell>
          <cell r="G114" t="str">
            <v xml:space="preserve"> 04/15/2017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 t="str">
            <v xml:space="preserve"> 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1392767</v>
          </cell>
          <cell r="AC114">
            <v>0</v>
          </cell>
          <cell r="AD114">
            <v>39289</v>
          </cell>
          <cell r="AE114">
            <v>26955</v>
          </cell>
          <cell r="AF114">
            <v>12804</v>
          </cell>
          <cell r="AG114">
            <v>0</v>
          </cell>
          <cell r="AH114">
            <v>0</v>
          </cell>
          <cell r="AI114">
            <v>20757</v>
          </cell>
          <cell r="AJ114">
            <v>0</v>
          </cell>
          <cell r="AK114">
            <v>0</v>
          </cell>
          <cell r="AL114">
            <v>0</v>
          </cell>
          <cell r="AM114">
            <v>14910</v>
          </cell>
          <cell r="AN114">
            <v>0</v>
          </cell>
          <cell r="AO114">
            <v>-158971</v>
          </cell>
          <cell r="AP114">
            <v>1321556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 t="str">
            <v xml:space="preserve"> </v>
          </cell>
          <cell r="AV114" t="str">
            <v xml:space="preserve"> </v>
          </cell>
          <cell r="AW114" t="str">
            <v xml:space="preserve"> </v>
          </cell>
        </row>
        <row r="115">
          <cell r="C115" t="str">
            <v xml:space="preserve"> MERCED</v>
          </cell>
          <cell r="D115" t="str">
            <v xml:space="preserve"> MERCED</v>
          </cell>
          <cell r="E115">
            <v>530</v>
          </cell>
          <cell r="F115" t="str">
            <v xml:space="preserve"> 2016-2017</v>
          </cell>
          <cell r="G115" t="str">
            <v xml:space="preserve"> 04/15/2017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 t="str">
            <v xml:space="preserve"> 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8889609</v>
          </cell>
          <cell r="AC115">
            <v>249166</v>
          </cell>
          <cell r="AD115">
            <v>730470</v>
          </cell>
          <cell r="AE115">
            <v>108876</v>
          </cell>
          <cell r="AF115">
            <v>51716</v>
          </cell>
          <cell r="AG115">
            <v>0</v>
          </cell>
          <cell r="AH115">
            <v>0</v>
          </cell>
          <cell r="AI115">
            <v>440455</v>
          </cell>
          <cell r="AJ115">
            <v>0</v>
          </cell>
          <cell r="AK115">
            <v>16964</v>
          </cell>
          <cell r="AL115">
            <v>9</v>
          </cell>
          <cell r="AM115">
            <v>61793</v>
          </cell>
          <cell r="AN115">
            <v>3739</v>
          </cell>
          <cell r="AO115">
            <v>-16608</v>
          </cell>
          <cell r="AP115">
            <v>10427313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 t="str">
            <v xml:space="preserve"> </v>
          </cell>
          <cell r="AV115" t="str">
            <v xml:space="preserve"> </v>
          </cell>
          <cell r="AW115" t="str">
            <v xml:space="preserve"> </v>
          </cell>
        </row>
        <row r="116">
          <cell r="C116" t="str">
            <v xml:space="preserve">MERCED Subtotal            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10360499</v>
          </cell>
          <cell r="AC116">
            <v>249973</v>
          </cell>
          <cell r="AD116">
            <v>772832</v>
          </cell>
          <cell r="AE116">
            <v>135831</v>
          </cell>
          <cell r="AF116">
            <v>64520</v>
          </cell>
          <cell r="AG116">
            <v>0</v>
          </cell>
          <cell r="AH116">
            <v>0</v>
          </cell>
          <cell r="AI116">
            <v>461212</v>
          </cell>
          <cell r="AJ116">
            <v>0</v>
          </cell>
          <cell r="AK116">
            <v>17704</v>
          </cell>
          <cell r="AL116">
            <v>9</v>
          </cell>
          <cell r="AM116">
            <v>77366</v>
          </cell>
          <cell r="AN116">
            <v>3739</v>
          </cell>
          <cell r="AO116">
            <v>-178406</v>
          </cell>
          <cell r="AP116">
            <v>11829448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</row>
        <row r="118">
          <cell r="C118" t="str">
            <v xml:space="preserve"> MIRA COSTA</v>
          </cell>
          <cell r="D118" t="str">
            <v xml:space="preserve"> SAN DIEGO</v>
          </cell>
          <cell r="E118">
            <v>50</v>
          </cell>
          <cell r="F118" t="str">
            <v xml:space="preserve"> 2016-2017</v>
          </cell>
          <cell r="G118" t="str">
            <v xml:space="preserve"> 04/15/2017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 t="str">
            <v xml:space="preserve"> 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87769635</v>
          </cell>
          <cell r="AC118">
            <v>2035385</v>
          </cell>
          <cell r="AD118">
            <v>2862032</v>
          </cell>
          <cell r="AE118">
            <v>371490</v>
          </cell>
          <cell r="AF118">
            <v>176458</v>
          </cell>
          <cell r="AG118">
            <v>0</v>
          </cell>
          <cell r="AH118">
            <v>0</v>
          </cell>
          <cell r="AI118">
            <v>1321647</v>
          </cell>
          <cell r="AJ118">
            <v>0</v>
          </cell>
          <cell r="AK118">
            <v>-36867</v>
          </cell>
          <cell r="AL118">
            <v>0</v>
          </cell>
          <cell r="AM118">
            <v>661926</v>
          </cell>
          <cell r="AN118">
            <v>0</v>
          </cell>
          <cell r="AO118">
            <v>0</v>
          </cell>
          <cell r="AP118">
            <v>94790216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 t="str">
            <v xml:space="preserve"> </v>
          </cell>
          <cell r="AV118" t="str">
            <v xml:space="preserve"> </v>
          </cell>
          <cell r="AW118" t="str">
            <v xml:space="preserve"> </v>
          </cell>
        </row>
        <row r="119">
          <cell r="C119" t="str">
            <v>MIRA COSTA Subtotal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87769635</v>
          </cell>
          <cell r="AC119">
            <v>2035385</v>
          </cell>
          <cell r="AD119">
            <v>2862032</v>
          </cell>
          <cell r="AE119">
            <v>371490</v>
          </cell>
          <cell r="AF119">
            <v>176458</v>
          </cell>
          <cell r="AG119">
            <v>0</v>
          </cell>
          <cell r="AH119">
            <v>0</v>
          </cell>
          <cell r="AI119">
            <v>1321647</v>
          </cell>
          <cell r="AJ119">
            <v>0</v>
          </cell>
          <cell r="AK119">
            <v>-36867</v>
          </cell>
          <cell r="AL119">
            <v>0</v>
          </cell>
          <cell r="AM119">
            <v>661926</v>
          </cell>
          <cell r="AN119">
            <v>0</v>
          </cell>
          <cell r="AO119">
            <v>0</v>
          </cell>
          <cell r="AP119">
            <v>94790216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</row>
        <row r="121">
          <cell r="C121" t="str">
            <v xml:space="preserve"> MONTEREY PENINSULA</v>
          </cell>
          <cell r="D121" t="str">
            <v xml:space="preserve"> MONTEREY</v>
          </cell>
          <cell r="E121">
            <v>460</v>
          </cell>
          <cell r="F121" t="str">
            <v xml:space="preserve"> 2016-2017</v>
          </cell>
          <cell r="G121" t="str">
            <v xml:space="preserve"> 04/15/2017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 t="str">
            <v xml:space="preserve"> 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16269401</v>
          </cell>
          <cell r="AC121">
            <v>203130</v>
          </cell>
          <cell r="AD121">
            <v>620821</v>
          </cell>
          <cell r="AE121">
            <v>107081</v>
          </cell>
          <cell r="AF121">
            <v>50863</v>
          </cell>
          <cell r="AG121">
            <v>0</v>
          </cell>
          <cell r="AH121">
            <v>0</v>
          </cell>
          <cell r="AI121">
            <v>683219</v>
          </cell>
          <cell r="AJ121">
            <v>0</v>
          </cell>
          <cell r="AK121">
            <v>150399</v>
          </cell>
          <cell r="AL121">
            <v>0</v>
          </cell>
          <cell r="AM121">
            <v>88007</v>
          </cell>
          <cell r="AN121">
            <v>0</v>
          </cell>
          <cell r="AO121">
            <v>1480011</v>
          </cell>
          <cell r="AP121">
            <v>19545851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 t="str">
            <v xml:space="preserve"> </v>
          </cell>
          <cell r="AV121" t="str">
            <v xml:space="preserve"> </v>
          </cell>
          <cell r="AW121" t="str">
            <v xml:space="preserve"> </v>
          </cell>
        </row>
        <row r="122">
          <cell r="C122" t="str">
            <v>MONTEREY PENINSULA Subtotal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16269401</v>
          </cell>
          <cell r="AC122">
            <v>203130</v>
          </cell>
          <cell r="AD122">
            <v>620821</v>
          </cell>
          <cell r="AE122">
            <v>107081</v>
          </cell>
          <cell r="AF122">
            <v>50863</v>
          </cell>
          <cell r="AG122">
            <v>0</v>
          </cell>
          <cell r="AH122">
            <v>0</v>
          </cell>
          <cell r="AI122">
            <v>683219</v>
          </cell>
          <cell r="AJ122">
            <v>0</v>
          </cell>
          <cell r="AK122">
            <v>150399</v>
          </cell>
          <cell r="AL122">
            <v>0</v>
          </cell>
          <cell r="AM122">
            <v>88007</v>
          </cell>
          <cell r="AN122">
            <v>0</v>
          </cell>
          <cell r="AO122">
            <v>1480011</v>
          </cell>
          <cell r="AP122">
            <v>19545851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</row>
        <row r="124">
          <cell r="C124" t="str">
            <v xml:space="preserve"> MT SAN ANTONIO</v>
          </cell>
          <cell r="D124" t="str">
            <v xml:space="preserve"> LOS ANGELES</v>
          </cell>
          <cell r="E124">
            <v>850</v>
          </cell>
          <cell r="F124" t="str">
            <v xml:space="preserve"> 2016-2017</v>
          </cell>
          <cell r="G124" t="str">
            <v xml:space="preserve"> 04/15/2017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 t="str">
            <v xml:space="preserve"> 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18359283</v>
          </cell>
          <cell r="AC124">
            <v>553622</v>
          </cell>
          <cell r="AD124">
            <v>453560</v>
          </cell>
          <cell r="AE124">
            <v>601582</v>
          </cell>
          <cell r="AF124">
            <v>285751</v>
          </cell>
          <cell r="AG124">
            <v>0</v>
          </cell>
          <cell r="AH124">
            <v>0</v>
          </cell>
          <cell r="AI124">
            <v>168034</v>
          </cell>
          <cell r="AJ124">
            <v>149424</v>
          </cell>
          <cell r="AK124">
            <v>370248</v>
          </cell>
          <cell r="AL124">
            <v>0</v>
          </cell>
          <cell r="AM124">
            <v>117563</v>
          </cell>
          <cell r="AN124">
            <v>19</v>
          </cell>
          <cell r="AO124">
            <v>0</v>
          </cell>
          <cell r="AP124">
            <v>20457504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 t="str">
            <v xml:space="preserve"> </v>
          </cell>
          <cell r="AV124" t="str">
            <v xml:space="preserve"> </v>
          </cell>
          <cell r="AW124" t="str">
            <v xml:space="preserve"> </v>
          </cell>
        </row>
        <row r="125">
          <cell r="C125" t="str">
            <v xml:space="preserve">MT SAN ANTONIO Subtotal    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18359283</v>
          </cell>
          <cell r="AC125">
            <v>553622</v>
          </cell>
          <cell r="AD125">
            <v>453560</v>
          </cell>
          <cell r="AE125">
            <v>601582</v>
          </cell>
          <cell r="AF125">
            <v>285751</v>
          </cell>
          <cell r="AG125">
            <v>0</v>
          </cell>
          <cell r="AH125">
            <v>0</v>
          </cell>
          <cell r="AI125">
            <v>168034</v>
          </cell>
          <cell r="AJ125">
            <v>149424</v>
          </cell>
          <cell r="AK125">
            <v>370248</v>
          </cell>
          <cell r="AL125">
            <v>0</v>
          </cell>
          <cell r="AM125">
            <v>117563</v>
          </cell>
          <cell r="AN125">
            <v>19</v>
          </cell>
          <cell r="AO125">
            <v>0</v>
          </cell>
          <cell r="AP125">
            <v>20457504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</row>
        <row r="127">
          <cell r="C127" t="str">
            <v xml:space="preserve"> MT SAN JACINTO</v>
          </cell>
          <cell r="D127" t="str">
            <v xml:space="preserve"> RIVERSIDE</v>
          </cell>
          <cell r="E127">
            <v>940</v>
          </cell>
          <cell r="F127" t="str">
            <v xml:space="preserve"> 2016-2017</v>
          </cell>
          <cell r="G127" t="str">
            <v xml:space="preserve"> 04/15/2017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 t="str">
            <v xml:space="preserve"> 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25407366</v>
          </cell>
          <cell r="AC127">
            <v>604358</v>
          </cell>
          <cell r="AD127">
            <v>1174707</v>
          </cell>
          <cell r="AE127">
            <v>503669</v>
          </cell>
          <cell r="AF127">
            <v>239243</v>
          </cell>
          <cell r="AG127">
            <v>0</v>
          </cell>
          <cell r="AH127">
            <v>0</v>
          </cell>
          <cell r="AI127">
            <v>639189</v>
          </cell>
          <cell r="AJ127">
            <v>17648</v>
          </cell>
          <cell r="AK127">
            <v>694739</v>
          </cell>
          <cell r="AL127">
            <v>0</v>
          </cell>
          <cell r="AM127">
            <v>320845</v>
          </cell>
          <cell r="AN127">
            <v>0</v>
          </cell>
          <cell r="AO127">
            <v>-2238840</v>
          </cell>
          <cell r="AP127">
            <v>26859255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 t="str">
            <v xml:space="preserve"> </v>
          </cell>
          <cell r="AV127" t="str">
            <v xml:space="preserve"> </v>
          </cell>
          <cell r="AW127" t="str">
            <v xml:space="preserve"> </v>
          </cell>
        </row>
        <row r="128">
          <cell r="C128" t="str">
            <v>MT SAN JACINTO Subtotal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25407366</v>
          </cell>
          <cell r="AC128">
            <v>604358</v>
          </cell>
          <cell r="AD128">
            <v>1174707</v>
          </cell>
          <cell r="AE128">
            <v>503669</v>
          </cell>
          <cell r="AF128">
            <v>239243</v>
          </cell>
          <cell r="AG128">
            <v>0</v>
          </cell>
          <cell r="AH128">
            <v>0</v>
          </cell>
          <cell r="AI128">
            <v>639189</v>
          </cell>
          <cell r="AJ128">
            <v>17648</v>
          </cell>
          <cell r="AK128">
            <v>694739</v>
          </cell>
          <cell r="AL128">
            <v>0</v>
          </cell>
          <cell r="AM128">
            <v>320845</v>
          </cell>
          <cell r="AN128">
            <v>0</v>
          </cell>
          <cell r="AO128">
            <v>-2238840</v>
          </cell>
          <cell r="AP128">
            <v>26859255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</row>
        <row r="130">
          <cell r="C130" t="str">
            <v xml:space="preserve"> NAPA VALLEY</v>
          </cell>
          <cell r="D130" t="str">
            <v xml:space="preserve"> NAPA</v>
          </cell>
          <cell r="E130">
            <v>240</v>
          </cell>
          <cell r="F130" t="str">
            <v xml:space="preserve"> 2016-2017</v>
          </cell>
          <cell r="G130" t="str">
            <v xml:space="preserve"> 04/15/2017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 t="str">
            <v xml:space="preserve"> 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26114880</v>
          </cell>
          <cell r="AC130">
            <v>459065</v>
          </cell>
          <cell r="AD130">
            <v>974960</v>
          </cell>
          <cell r="AE130">
            <v>112373</v>
          </cell>
          <cell r="AF130">
            <v>53377</v>
          </cell>
          <cell r="AG130">
            <v>0</v>
          </cell>
          <cell r="AH130">
            <v>0</v>
          </cell>
          <cell r="AI130">
            <v>282916</v>
          </cell>
          <cell r="AJ130">
            <v>0</v>
          </cell>
          <cell r="AK130">
            <v>22451</v>
          </cell>
          <cell r="AL130">
            <v>0</v>
          </cell>
          <cell r="AM130">
            <v>124617</v>
          </cell>
          <cell r="AN130">
            <v>155</v>
          </cell>
          <cell r="AO130">
            <v>189147</v>
          </cell>
          <cell r="AP130">
            <v>28221568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 t="str">
            <v xml:space="preserve"> </v>
          </cell>
          <cell r="AV130" t="str">
            <v xml:space="preserve"> </v>
          </cell>
          <cell r="AW130" t="str">
            <v xml:space="preserve"> </v>
          </cell>
        </row>
        <row r="131">
          <cell r="C131" t="str">
            <v xml:space="preserve"> NAPA VALLEY</v>
          </cell>
          <cell r="D131" t="str">
            <v xml:space="preserve"> SONOMA</v>
          </cell>
          <cell r="E131">
            <v>240</v>
          </cell>
          <cell r="F131" t="str">
            <v xml:space="preserve"> 2016-2017</v>
          </cell>
          <cell r="G131" t="str">
            <v xml:space="preserve"> 04/15/2017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 t="str">
            <v xml:space="preserve"> 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229196</v>
          </cell>
          <cell r="AC131">
            <v>2051</v>
          </cell>
          <cell r="AD131">
            <v>6880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1670</v>
          </cell>
          <cell r="AN131">
            <v>0</v>
          </cell>
          <cell r="AO131">
            <v>0</v>
          </cell>
          <cell r="AP131">
            <v>239797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 t="str">
            <v xml:space="preserve"> </v>
          </cell>
          <cell r="AV131" t="str">
            <v xml:space="preserve"> </v>
          </cell>
          <cell r="AW131" t="str">
            <v xml:space="preserve"> </v>
          </cell>
        </row>
        <row r="132">
          <cell r="C132" t="str">
            <v xml:space="preserve">NAPA VALLEY Subtotal       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26344076</v>
          </cell>
          <cell r="AC132">
            <v>461116</v>
          </cell>
          <cell r="AD132">
            <v>981840</v>
          </cell>
          <cell r="AE132">
            <v>112373</v>
          </cell>
          <cell r="AF132">
            <v>53377</v>
          </cell>
          <cell r="AG132">
            <v>0</v>
          </cell>
          <cell r="AH132">
            <v>0</v>
          </cell>
          <cell r="AI132">
            <v>282916</v>
          </cell>
          <cell r="AJ132">
            <v>0</v>
          </cell>
          <cell r="AK132">
            <v>22451</v>
          </cell>
          <cell r="AL132">
            <v>0</v>
          </cell>
          <cell r="AM132">
            <v>126287</v>
          </cell>
          <cell r="AN132">
            <v>155</v>
          </cell>
          <cell r="AO132">
            <v>189147</v>
          </cell>
          <cell r="AP132">
            <v>28461365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</row>
        <row r="134">
          <cell r="C134" t="str">
            <v xml:space="preserve"> NORTH ORANGE</v>
          </cell>
          <cell r="D134" t="str">
            <v xml:space="preserve"> LOS ANGELES</v>
          </cell>
          <cell r="E134">
            <v>860</v>
          </cell>
          <cell r="F134" t="str">
            <v xml:space="preserve"> 2016-2017</v>
          </cell>
          <cell r="G134" t="str">
            <v xml:space="preserve"> 04/15/2017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 t="str">
            <v xml:space="preserve"> 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690624</v>
          </cell>
          <cell r="AC134">
            <v>19920</v>
          </cell>
          <cell r="AD134">
            <v>25585</v>
          </cell>
          <cell r="AE134">
            <v>658</v>
          </cell>
          <cell r="AF134">
            <v>313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13341</v>
          </cell>
          <cell r="AL134">
            <v>0</v>
          </cell>
          <cell r="AM134">
            <v>4617</v>
          </cell>
          <cell r="AN134">
            <v>0</v>
          </cell>
          <cell r="AO134">
            <v>0</v>
          </cell>
          <cell r="AP134">
            <v>754400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 t="str">
            <v xml:space="preserve"> </v>
          </cell>
          <cell r="AV134" t="str">
            <v xml:space="preserve"> </v>
          </cell>
          <cell r="AW134" t="str">
            <v xml:space="preserve"> </v>
          </cell>
        </row>
        <row r="135">
          <cell r="C135" t="str">
            <v xml:space="preserve"> NORTH ORANGE</v>
          </cell>
          <cell r="D135" t="str">
            <v xml:space="preserve"> ORANGE</v>
          </cell>
          <cell r="E135">
            <v>860</v>
          </cell>
          <cell r="F135" t="str">
            <v xml:space="preserve"> 2016-2017</v>
          </cell>
          <cell r="G135" t="str">
            <v xml:space="preserve"> 04/15/2017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 t="str">
            <v xml:space="preserve"> 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62396140</v>
          </cell>
          <cell r="AC135">
            <v>1605681</v>
          </cell>
          <cell r="AD135">
            <v>1971935</v>
          </cell>
          <cell r="AE135">
            <v>1810616</v>
          </cell>
          <cell r="AF135">
            <v>860043</v>
          </cell>
          <cell r="AG135">
            <v>0</v>
          </cell>
          <cell r="AH135">
            <v>0</v>
          </cell>
          <cell r="AI135">
            <v>3743964</v>
          </cell>
          <cell r="AJ135">
            <v>414558</v>
          </cell>
          <cell r="AK135">
            <v>1854461</v>
          </cell>
          <cell r="AL135">
            <v>8</v>
          </cell>
          <cell r="AM135">
            <v>395483</v>
          </cell>
          <cell r="AN135">
            <v>0</v>
          </cell>
          <cell r="AO135">
            <v>14716543</v>
          </cell>
          <cell r="AP135">
            <v>87958816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 t="str">
            <v xml:space="preserve"> </v>
          </cell>
          <cell r="AV135" t="str">
            <v xml:space="preserve"> </v>
          </cell>
          <cell r="AW135" t="str">
            <v xml:space="preserve"> </v>
          </cell>
        </row>
        <row r="136">
          <cell r="C136" t="str">
            <v xml:space="preserve">NORTH ORANGE Subtotal     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63086764</v>
          </cell>
          <cell r="AC136">
            <v>1625601</v>
          </cell>
          <cell r="AD136">
            <v>1997520</v>
          </cell>
          <cell r="AE136">
            <v>1811274</v>
          </cell>
          <cell r="AF136">
            <v>860356</v>
          </cell>
          <cell r="AG136">
            <v>0</v>
          </cell>
          <cell r="AH136">
            <v>0</v>
          </cell>
          <cell r="AI136">
            <v>3743964</v>
          </cell>
          <cell r="AJ136">
            <v>414558</v>
          </cell>
          <cell r="AK136">
            <v>1867802</v>
          </cell>
          <cell r="AL136">
            <v>8</v>
          </cell>
          <cell r="AM136">
            <v>400100</v>
          </cell>
          <cell r="AN136">
            <v>0</v>
          </cell>
          <cell r="AO136">
            <v>14716543</v>
          </cell>
          <cell r="AP136">
            <v>88713216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</row>
        <row r="138">
          <cell r="C138" t="str">
            <v xml:space="preserve"> OHLONE</v>
          </cell>
          <cell r="D138" t="str">
            <v xml:space="preserve"> ALAMEDA</v>
          </cell>
          <cell r="E138">
            <v>430</v>
          </cell>
          <cell r="F138" t="str">
            <v xml:space="preserve"> 2016-2017</v>
          </cell>
          <cell r="G138" t="str">
            <v xml:space="preserve"> 04/15/2017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 t="str">
            <v xml:space="preserve"> 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17718095</v>
          </cell>
          <cell r="AC138">
            <v>616421</v>
          </cell>
          <cell r="AD138">
            <v>1155797</v>
          </cell>
          <cell r="AE138">
            <v>7427</v>
          </cell>
          <cell r="AF138">
            <v>3528</v>
          </cell>
          <cell r="AG138">
            <v>0</v>
          </cell>
          <cell r="AH138">
            <v>0</v>
          </cell>
          <cell r="AI138">
            <v>4122</v>
          </cell>
          <cell r="AJ138">
            <v>0</v>
          </cell>
          <cell r="AK138">
            <v>-193815</v>
          </cell>
          <cell r="AL138">
            <v>0</v>
          </cell>
          <cell r="AM138">
            <v>128626</v>
          </cell>
          <cell r="AN138">
            <v>4974</v>
          </cell>
          <cell r="AO138">
            <v>4692473</v>
          </cell>
          <cell r="AP138">
            <v>24130221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 t="str">
            <v xml:space="preserve"> </v>
          </cell>
          <cell r="AV138" t="str">
            <v xml:space="preserve"> </v>
          </cell>
          <cell r="AW138" t="str">
            <v xml:space="preserve"> </v>
          </cell>
        </row>
        <row r="139">
          <cell r="C139" t="str">
            <v>OHLONE Subtotal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17718095</v>
          </cell>
          <cell r="AC139">
            <v>616421</v>
          </cell>
          <cell r="AD139">
            <v>1155797</v>
          </cell>
          <cell r="AE139">
            <v>7427</v>
          </cell>
          <cell r="AF139">
            <v>3528</v>
          </cell>
          <cell r="AG139">
            <v>0</v>
          </cell>
          <cell r="AH139">
            <v>0</v>
          </cell>
          <cell r="AI139">
            <v>4122</v>
          </cell>
          <cell r="AJ139">
            <v>0</v>
          </cell>
          <cell r="AK139">
            <v>-193815</v>
          </cell>
          <cell r="AL139">
            <v>0</v>
          </cell>
          <cell r="AM139">
            <v>128626</v>
          </cell>
          <cell r="AN139">
            <v>4974</v>
          </cell>
          <cell r="AO139">
            <v>4692473</v>
          </cell>
          <cell r="AP139">
            <v>24130221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</row>
        <row r="141">
          <cell r="C141" t="str">
            <v xml:space="preserve"> PALO VERDE</v>
          </cell>
          <cell r="D141" t="str">
            <v xml:space="preserve"> RIVERSIDE</v>
          </cell>
          <cell r="E141">
            <v>950</v>
          </cell>
          <cell r="F141" t="str">
            <v xml:space="preserve"> 2016-2017</v>
          </cell>
          <cell r="G141" t="str">
            <v xml:space="preserve"> 04/15/2017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 t="str">
            <v xml:space="preserve"> 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947990</v>
          </cell>
          <cell r="AC141">
            <v>21009</v>
          </cell>
          <cell r="AD141">
            <v>40702</v>
          </cell>
          <cell r="AE141">
            <v>104867</v>
          </cell>
          <cell r="AF141">
            <v>49812</v>
          </cell>
          <cell r="AG141">
            <v>0</v>
          </cell>
          <cell r="AH141">
            <v>0</v>
          </cell>
          <cell r="AI141">
            <v>5612</v>
          </cell>
          <cell r="AJ141">
            <v>224</v>
          </cell>
          <cell r="AK141">
            <v>24404</v>
          </cell>
          <cell r="AL141">
            <v>0</v>
          </cell>
          <cell r="AM141">
            <v>11113</v>
          </cell>
          <cell r="AN141">
            <v>0</v>
          </cell>
          <cell r="AO141">
            <v>-77549</v>
          </cell>
          <cell r="AP141">
            <v>1023317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 t="str">
            <v xml:space="preserve"> </v>
          </cell>
          <cell r="AV141" t="str">
            <v xml:space="preserve"> </v>
          </cell>
          <cell r="AW141" t="str">
            <v xml:space="preserve"> </v>
          </cell>
        </row>
        <row r="142">
          <cell r="C142" t="str">
            <v xml:space="preserve"> PALO VERDE</v>
          </cell>
          <cell r="D142" t="str">
            <v xml:space="preserve"> SAN BERNARDINO</v>
          </cell>
          <cell r="E142">
            <v>950</v>
          </cell>
          <cell r="F142" t="str">
            <v xml:space="preserve"> 2016-2017</v>
          </cell>
          <cell r="G142" t="str">
            <v xml:space="preserve"> 04/15/2017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 t="str">
            <v xml:space="preserve"> 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375439</v>
          </cell>
          <cell r="AC142">
            <v>5233</v>
          </cell>
          <cell r="AD142">
            <v>9792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6056</v>
          </cell>
          <cell r="AL142">
            <v>0</v>
          </cell>
          <cell r="AM142">
            <v>3032</v>
          </cell>
          <cell r="AN142">
            <v>0</v>
          </cell>
          <cell r="AO142">
            <v>0</v>
          </cell>
          <cell r="AP142">
            <v>399552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 t="str">
            <v xml:space="preserve"> </v>
          </cell>
          <cell r="AV142" t="str">
            <v xml:space="preserve"> </v>
          </cell>
          <cell r="AW142" t="str">
            <v xml:space="preserve"> </v>
          </cell>
        </row>
        <row r="143">
          <cell r="C143" t="str">
            <v>PALO VERDE Subtotal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1323429</v>
          </cell>
          <cell r="AC143">
            <v>26242</v>
          </cell>
          <cell r="AD143">
            <v>50494</v>
          </cell>
          <cell r="AE143">
            <v>104867</v>
          </cell>
          <cell r="AF143">
            <v>49812</v>
          </cell>
          <cell r="AG143">
            <v>0</v>
          </cell>
          <cell r="AH143">
            <v>0</v>
          </cell>
          <cell r="AI143">
            <v>5612</v>
          </cell>
          <cell r="AJ143">
            <v>224</v>
          </cell>
          <cell r="AK143">
            <v>30460</v>
          </cell>
          <cell r="AL143">
            <v>0</v>
          </cell>
          <cell r="AM143">
            <v>14145</v>
          </cell>
          <cell r="AN143">
            <v>0</v>
          </cell>
          <cell r="AO143">
            <v>-77549</v>
          </cell>
          <cell r="AP143">
            <v>1422869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</row>
        <row r="145">
          <cell r="C145" t="str">
            <v xml:space="preserve"> PALOMAR</v>
          </cell>
          <cell r="D145" t="str">
            <v xml:space="preserve"> SAN DIEGO</v>
          </cell>
          <cell r="E145">
            <v>60</v>
          </cell>
          <cell r="F145" t="str">
            <v xml:space="preserve"> 2016-2017</v>
          </cell>
          <cell r="G145" t="str">
            <v xml:space="preserve"> 04/15/2017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 t="str">
            <v xml:space="preserve"> 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63869698</v>
          </cell>
          <cell r="AC145">
            <v>1649353</v>
          </cell>
          <cell r="AD145">
            <v>1998471</v>
          </cell>
          <cell r="AE145">
            <v>25573</v>
          </cell>
          <cell r="AF145">
            <v>12147</v>
          </cell>
          <cell r="AG145">
            <v>0</v>
          </cell>
          <cell r="AH145">
            <v>0</v>
          </cell>
          <cell r="AI145">
            <v>3873698</v>
          </cell>
          <cell r="AJ145">
            <v>259542</v>
          </cell>
          <cell r="AK145">
            <v>-25934</v>
          </cell>
          <cell r="AL145">
            <v>0</v>
          </cell>
          <cell r="AM145">
            <v>461875</v>
          </cell>
          <cell r="AN145">
            <v>0</v>
          </cell>
          <cell r="AO145">
            <v>-747681</v>
          </cell>
          <cell r="AP145">
            <v>71351169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 t="str">
            <v xml:space="preserve"> </v>
          </cell>
          <cell r="AV145" t="str">
            <v xml:space="preserve"> </v>
          </cell>
          <cell r="AW145" t="str">
            <v xml:space="preserve"> </v>
          </cell>
        </row>
        <row r="146">
          <cell r="C146" t="str">
            <v xml:space="preserve">PALOMAR Subtotal         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63869698</v>
          </cell>
          <cell r="AC146">
            <v>1649353</v>
          </cell>
          <cell r="AD146">
            <v>1998471</v>
          </cell>
          <cell r="AE146">
            <v>25573</v>
          </cell>
          <cell r="AF146">
            <v>12147</v>
          </cell>
          <cell r="AG146">
            <v>0</v>
          </cell>
          <cell r="AH146">
            <v>0</v>
          </cell>
          <cell r="AI146">
            <v>3873698</v>
          </cell>
          <cell r="AJ146">
            <v>259542</v>
          </cell>
          <cell r="AK146">
            <v>-25934</v>
          </cell>
          <cell r="AL146">
            <v>0</v>
          </cell>
          <cell r="AM146">
            <v>461875</v>
          </cell>
          <cell r="AN146">
            <v>0</v>
          </cell>
          <cell r="AO146">
            <v>-747681</v>
          </cell>
          <cell r="AP146">
            <v>71351169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</row>
        <row r="148">
          <cell r="C148" t="str">
            <v xml:space="preserve"> PASADENA</v>
          </cell>
          <cell r="D148" t="str">
            <v xml:space="preserve"> LOS ANGELES</v>
          </cell>
          <cell r="E148">
            <v>770</v>
          </cell>
          <cell r="F148" t="str">
            <v xml:space="preserve"> 2016-2017</v>
          </cell>
          <cell r="G148" t="str">
            <v xml:space="preserve"> 04/15/2017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 t="str">
            <v xml:space="preserve"> 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23567838</v>
          </cell>
          <cell r="AC148">
            <v>643657</v>
          </cell>
          <cell r="AD148">
            <v>865660</v>
          </cell>
          <cell r="AE148">
            <v>82112</v>
          </cell>
          <cell r="AF148">
            <v>39003</v>
          </cell>
          <cell r="AG148">
            <v>0</v>
          </cell>
          <cell r="AH148">
            <v>0</v>
          </cell>
          <cell r="AI148">
            <v>1855702</v>
          </cell>
          <cell r="AJ148">
            <v>0</v>
          </cell>
          <cell r="AK148">
            <v>420515</v>
          </cell>
          <cell r="AL148">
            <v>0</v>
          </cell>
          <cell r="AM148">
            <v>158497</v>
          </cell>
          <cell r="AN148">
            <v>14428</v>
          </cell>
          <cell r="AO148">
            <v>0</v>
          </cell>
          <cell r="AP148">
            <v>27565300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 t="str">
            <v xml:space="preserve"> </v>
          </cell>
          <cell r="AV148" t="str">
            <v xml:space="preserve"> </v>
          </cell>
          <cell r="AW148" t="str">
            <v xml:space="preserve"> </v>
          </cell>
        </row>
        <row r="149">
          <cell r="C149" t="str">
            <v xml:space="preserve">PASADENA Subtotal         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23567838</v>
          </cell>
          <cell r="AC149">
            <v>643657</v>
          </cell>
          <cell r="AD149">
            <v>865660</v>
          </cell>
          <cell r="AE149">
            <v>82112</v>
          </cell>
          <cell r="AF149">
            <v>39003</v>
          </cell>
          <cell r="AG149">
            <v>0</v>
          </cell>
          <cell r="AH149">
            <v>0</v>
          </cell>
          <cell r="AI149">
            <v>1855702</v>
          </cell>
          <cell r="AJ149">
            <v>0</v>
          </cell>
          <cell r="AK149">
            <v>420515</v>
          </cell>
          <cell r="AL149">
            <v>0</v>
          </cell>
          <cell r="AM149">
            <v>158497</v>
          </cell>
          <cell r="AN149">
            <v>14428</v>
          </cell>
          <cell r="AO149">
            <v>0</v>
          </cell>
          <cell r="AP149">
            <v>27565300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</row>
        <row r="151">
          <cell r="C151" t="str">
            <v xml:space="preserve"> PERALTA</v>
          </cell>
          <cell r="D151" t="str">
            <v xml:space="preserve"> ALAMEDA</v>
          </cell>
          <cell r="E151">
            <v>340</v>
          </cell>
          <cell r="F151" t="str">
            <v xml:space="preserve"> 2016-2017</v>
          </cell>
          <cell r="G151" t="str">
            <v xml:space="preserve"> 04/15/2017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 t="str">
            <v xml:space="preserve"> 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17485574</v>
          </cell>
          <cell r="AC151">
            <v>590861</v>
          </cell>
          <cell r="AD151">
            <v>1508703</v>
          </cell>
          <cell r="AE151">
            <v>1756200</v>
          </cell>
          <cell r="AF151">
            <v>834195</v>
          </cell>
          <cell r="AG151">
            <v>0</v>
          </cell>
          <cell r="AH151">
            <v>0</v>
          </cell>
          <cell r="AI151">
            <v>2337436</v>
          </cell>
          <cell r="AJ151">
            <v>0</v>
          </cell>
          <cell r="AK151">
            <v>-255754</v>
          </cell>
          <cell r="AL151">
            <v>0</v>
          </cell>
          <cell r="AM151">
            <v>167901</v>
          </cell>
          <cell r="AN151">
            <v>0</v>
          </cell>
          <cell r="AO151">
            <v>18074515</v>
          </cell>
          <cell r="AP151">
            <v>40743431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 t="str">
            <v xml:space="preserve"> </v>
          </cell>
          <cell r="AV151" t="str">
            <v xml:space="preserve"> </v>
          </cell>
          <cell r="AW151" t="str">
            <v xml:space="preserve"> </v>
          </cell>
        </row>
        <row r="152">
          <cell r="C152" t="str">
            <v>PERALTA Subtotal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17485574</v>
          </cell>
          <cell r="AC152">
            <v>590861</v>
          </cell>
          <cell r="AD152">
            <v>1508703</v>
          </cell>
          <cell r="AE152">
            <v>1756200</v>
          </cell>
          <cell r="AF152">
            <v>834195</v>
          </cell>
          <cell r="AG152">
            <v>0</v>
          </cell>
          <cell r="AH152">
            <v>0</v>
          </cell>
          <cell r="AI152">
            <v>2337436</v>
          </cell>
          <cell r="AJ152">
            <v>0</v>
          </cell>
          <cell r="AK152">
            <v>-255754</v>
          </cell>
          <cell r="AL152">
            <v>0</v>
          </cell>
          <cell r="AM152">
            <v>167901</v>
          </cell>
          <cell r="AN152">
            <v>0</v>
          </cell>
          <cell r="AO152">
            <v>18074515</v>
          </cell>
          <cell r="AP152">
            <v>40743431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</row>
        <row r="154">
          <cell r="C154" t="str">
            <v xml:space="preserve"> RANCHO SANTIAGO</v>
          </cell>
          <cell r="D154" t="str">
            <v xml:space="preserve"> ORANGE</v>
          </cell>
          <cell r="E154">
            <v>870</v>
          </cell>
          <cell r="F154" t="str">
            <v xml:space="preserve"> 2016-2017</v>
          </cell>
          <cell r="G154" t="str">
            <v xml:space="preserve"> 04/15/2017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 t="str">
            <v xml:space="preserve"> 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44568221</v>
          </cell>
          <cell r="AC154">
            <v>1145413</v>
          </cell>
          <cell r="AD154">
            <v>1406775</v>
          </cell>
          <cell r="AE154">
            <v>612034</v>
          </cell>
          <cell r="AF154">
            <v>290716</v>
          </cell>
          <cell r="AG154">
            <v>0</v>
          </cell>
          <cell r="AH154">
            <v>0</v>
          </cell>
          <cell r="AI154">
            <v>5008231</v>
          </cell>
          <cell r="AJ154">
            <v>70563</v>
          </cell>
          <cell r="AK154">
            <v>500672</v>
          </cell>
          <cell r="AL154">
            <v>6</v>
          </cell>
          <cell r="AM154">
            <v>282137</v>
          </cell>
          <cell r="AN154">
            <v>0</v>
          </cell>
          <cell r="AO154">
            <v>16642902</v>
          </cell>
          <cell r="AP154">
            <v>69915636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 t="str">
            <v xml:space="preserve"> </v>
          </cell>
          <cell r="AV154" t="str">
            <v xml:space="preserve"> </v>
          </cell>
          <cell r="AW154" t="str">
            <v xml:space="preserve"> </v>
          </cell>
        </row>
        <row r="155">
          <cell r="C155" t="str">
            <v xml:space="preserve">RANCHO SANTIAGO Subtotal   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44568221</v>
          </cell>
          <cell r="AC155">
            <v>1145413</v>
          </cell>
          <cell r="AD155">
            <v>1406775</v>
          </cell>
          <cell r="AE155">
            <v>612034</v>
          </cell>
          <cell r="AF155">
            <v>290716</v>
          </cell>
          <cell r="AG155">
            <v>0</v>
          </cell>
          <cell r="AH155">
            <v>0</v>
          </cell>
          <cell r="AI155">
            <v>5008231</v>
          </cell>
          <cell r="AJ155">
            <v>70563</v>
          </cell>
          <cell r="AK155">
            <v>500672</v>
          </cell>
          <cell r="AL155">
            <v>6</v>
          </cell>
          <cell r="AM155">
            <v>282137</v>
          </cell>
          <cell r="AN155">
            <v>0</v>
          </cell>
          <cell r="AO155">
            <v>16642902</v>
          </cell>
          <cell r="AP155">
            <v>69915636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</row>
        <row r="157">
          <cell r="C157" t="str">
            <v xml:space="preserve"> REDWOODS</v>
          </cell>
          <cell r="D157" t="str">
            <v xml:space="preserve"> DEL NORTE</v>
          </cell>
          <cell r="E157">
            <v>160</v>
          </cell>
          <cell r="F157" t="str">
            <v xml:space="preserve"> 2016-2017</v>
          </cell>
          <cell r="G157" t="str">
            <v xml:space="preserve"> 04/15/2017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 t="str">
            <v xml:space="preserve"> 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31500</v>
          </cell>
          <cell r="AM157">
            <v>0</v>
          </cell>
          <cell r="AN157">
            <v>0</v>
          </cell>
          <cell r="AO157">
            <v>0</v>
          </cell>
          <cell r="AP157">
            <v>31500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 t="str">
            <v xml:space="preserve"> </v>
          </cell>
          <cell r="AV157" t="str">
            <v xml:space="preserve"> </v>
          </cell>
          <cell r="AW157" t="str">
            <v xml:space="preserve"> </v>
          </cell>
        </row>
        <row r="158">
          <cell r="C158" t="str">
            <v xml:space="preserve"> REDWOODS</v>
          </cell>
          <cell r="D158" t="str">
            <v xml:space="preserve"> HUMBOLDT</v>
          </cell>
          <cell r="E158">
            <v>160</v>
          </cell>
          <cell r="F158" t="str">
            <v xml:space="preserve"> 2016-2017</v>
          </cell>
          <cell r="G158" t="str">
            <v xml:space="preserve"> 04/15/2017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 t="str">
            <v xml:space="preserve"> 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7129261</v>
          </cell>
          <cell r="AC158">
            <v>100000</v>
          </cell>
          <cell r="AD158">
            <v>311936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320000</v>
          </cell>
          <cell r="AJ158">
            <v>0</v>
          </cell>
          <cell r="AK158">
            <v>3704</v>
          </cell>
          <cell r="AL158">
            <v>155490</v>
          </cell>
          <cell r="AM158">
            <v>103960</v>
          </cell>
          <cell r="AN158">
            <v>0</v>
          </cell>
          <cell r="AO158">
            <v>240000</v>
          </cell>
          <cell r="AP158">
            <v>8364351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 t="str">
            <v xml:space="preserve"> </v>
          </cell>
          <cell r="AV158" t="str">
            <v xml:space="preserve"> </v>
          </cell>
          <cell r="AW158" t="str">
            <v xml:space="preserve"> </v>
          </cell>
        </row>
        <row r="159">
          <cell r="C159" t="str">
            <v xml:space="preserve"> REDWOODS</v>
          </cell>
          <cell r="D159" t="str">
            <v xml:space="preserve"> MENDOCINO</v>
          </cell>
          <cell r="E159">
            <v>160</v>
          </cell>
          <cell r="F159" t="str">
            <v xml:space="preserve"> 2016-2017</v>
          </cell>
          <cell r="G159" t="str">
            <v xml:space="preserve"> 04/15/2017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 t="str">
            <v xml:space="preserve"> 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1932696</v>
          </cell>
          <cell r="AC159">
            <v>20024</v>
          </cell>
          <cell r="AD159">
            <v>65660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54566</v>
          </cell>
          <cell r="AJ159">
            <v>0</v>
          </cell>
          <cell r="AK159">
            <v>3469</v>
          </cell>
          <cell r="AL159">
            <v>58098</v>
          </cell>
          <cell r="AM159">
            <v>18539</v>
          </cell>
          <cell r="AN159">
            <v>0</v>
          </cell>
          <cell r="AO159">
            <v>695141</v>
          </cell>
          <cell r="AP159">
            <v>2848193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 t="str">
            <v xml:space="preserve"> </v>
          </cell>
          <cell r="AV159" t="str">
            <v xml:space="preserve"> </v>
          </cell>
          <cell r="AW159" t="str">
            <v xml:space="preserve"> </v>
          </cell>
        </row>
        <row r="160">
          <cell r="C160" t="str">
            <v xml:space="preserve"> REDWOODS</v>
          </cell>
          <cell r="D160" t="str">
            <v xml:space="preserve"> TRINITY</v>
          </cell>
          <cell r="E160">
            <v>160</v>
          </cell>
          <cell r="F160" t="str">
            <v xml:space="preserve"> </v>
          </cell>
          <cell r="G160" t="str">
            <v xml:space="preserve"> </v>
          </cell>
          <cell r="H160">
            <v>0</v>
          </cell>
          <cell r="I160" t="str">
            <v xml:space="preserve"> </v>
          </cell>
          <cell r="J160" t="str">
            <v xml:space="preserve"> </v>
          </cell>
          <cell r="K160" t="str">
            <v xml:space="preserve"> </v>
          </cell>
          <cell r="L160" t="str">
            <v xml:space="preserve"> </v>
          </cell>
          <cell r="M160" t="str">
            <v xml:space="preserve"> 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 xml:space="preserve"> </v>
          </cell>
          <cell r="U160" t="str">
            <v xml:space="preserve"> </v>
          </cell>
          <cell r="V160" t="str">
            <v xml:space="preserve"> </v>
          </cell>
          <cell r="W160">
            <v>0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  <cell r="AB160" t="str">
            <v xml:space="preserve"> </v>
          </cell>
          <cell r="AC160" t="str">
            <v xml:space="preserve"> </v>
          </cell>
          <cell r="AD160" t="str">
            <v xml:space="preserve"> </v>
          </cell>
          <cell r="AE160" t="str">
            <v xml:space="preserve"> </v>
          </cell>
          <cell r="AF160" t="str">
            <v xml:space="preserve"> </v>
          </cell>
          <cell r="AG160" t="str">
            <v xml:space="preserve"> </v>
          </cell>
          <cell r="AH160" t="str">
            <v xml:space="preserve"> </v>
          </cell>
          <cell r="AI160" t="str">
            <v xml:space="preserve"> </v>
          </cell>
          <cell r="AJ160" t="str">
            <v xml:space="preserve"> </v>
          </cell>
          <cell r="AK160" t="str">
            <v xml:space="preserve">  </v>
          </cell>
          <cell r="AL160">
            <v>0</v>
          </cell>
          <cell r="AM160" t="str">
            <v xml:space="preserve"> </v>
          </cell>
          <cell r="AN160" t="str">
            <v xml:space="preserve"> </v>
          </cell>
          <cell r="AO160" t="str">
            <v xml:space="preserve"> </v>
          </cell>
          <cell r="AP160" t="str">
            <v xml:space="preserve"> </v>
          </cell>
          <cell r="AQ160" t="str">
            <v xml:space="preserve"> </v>
          </cell>
          <cell r="AR160">
            <v>0</v>
          </cell>
          <cell r="AS160" t="str">
            <v xml:space="preserve"> </v>
          </cell>
          <cell r="AT160" t="str">
            <v xml:space="preserve"> </v>
          </cell>
          <cell r="AU160" t="str">
            <v xml:space="preserve"> </v>
          </cell>
          <cell r="AV160" t="str">
            <v xml:space="preserve"> </v>
          </cell>
          <cell r="AW160" t="str">
            <v xml:space="preserve"> </v>
          </cell>
        </row>
        <row r="161">
          <cell r="C161" t="str">
            <v xml:space="preserve">REDWOODS Subtotal         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9061957</v>
          </cell>
          <cell r="AC161">
            <v>120024</v>
          </cell>
          <cell r="AD161">
            <v>377596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374566</v>
          </cell>
          <cell r="AJ161">
            <v>0</v>
          </cell>
          <cell r="AK161">
            <v>7173</v>
          </cell>
          <cell r="AL161">
            <v>245088</v>
          </cell>
          <cell r="AM161">
            <v>122499</v>
          </cell>
          <cell r="AN161">
            <v>0</v>
          </cell>
          <cell r="AO161">
            <v>935141</v>
          </cell>
          <cell r="AP161">
            <v>11244044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</row>
        <row r="163">
          <cell r="C163" t="str">
            <v xml:space="preserve"> RIO HONDO</v>
          </cell>
          <cell r="D163" t="str">
            <v xml:space="preserve"> LOS ANGELES</v>
          </cell>
          <cell r="E163">
            <v>880</v>
          </cell>
          <cell r="F163" t="str">
            <v xml:space="preserve"> 2016-2017</v>
          </cell>
          <cell r="G163" t="str">
            <v xml:space="preserve"> 04/15/2017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 t="str">
            <v xml:space="preserve"> 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5648936</v>
          </cell>
          <cell r="AC163">
            <v>168244</v>
          </cell>
          <cell r="AD163">
            <v>120323</v>
          </cell>
          <cell r="AE163">
            <v>168992</v>
          </cell>
          <cell r="AF163">
            <v>80271</v>
          </cell>
          <cell r="AG163">
            <v>0</v>
          </cell>
          <cell r="AH163">
            <v>0</v>
          </cell>
          <cell r="AI163">
            <v>212229</v>
          </cell>
          <cell r="AJ163">
            <v>0</v>
          </cell>
          <cell r="AK163">
            <v>102080</v>
          </cell>
          <cell r="AL163">
            <v>0</v>
          </cell>
          <cell r="AM163">
            <v>37214</v>
          </cell>
          <cell r="AN163">
            <v>0</v>
          </cell>
          <cell r="AO163">
            <v>0</v>
          </cell>
          <cell r="AP163">
            <v>6369297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 t="str">
            <v xml:space="preserve"> </v>
          </cell>
          <cell r="AV163" t="str">
            <v xml:space="preserve"> </v>
          </cell>
          <cell r="AW163" t="str">
            <v xml:space="preserve"> </v>
          </cell>
        </row>
        <row r="164">
          <cell r="C164" t="str">
            <v xml:space="preserve">RIO HONDO Subtotal        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5648936</v>
          </cell>
          <cell r="AC164">
            <v>168244</v>
          </cell>
          <cell r="AD164">
            <v>120323</v>
          </cell>
          <cell r="AE164">
            <v>168992</v>
          </cell>
          <cell r="AF164">
            <v>80271</v>
          </cell>
          <cell r="AG164">
            <v>0</v>
          </cell>
          <cell r="AH164">
            <v>0</v>
          </cell>
          <cell r="AI164">
            <v>212229</v>
          </cell>
          <cell r="AJ164">
            <v>0</v>
          </cell>
          <cell r="AK164">
            <v>102080</v>
          </cell>
          <cell r="AL164">
            <v>0</v>
          </cell>
          <cell r="AM164">
            <v>37214</v>
          </cell>
          <cell r="AN164">
            <v>0</v>
          </cell>
          <cell r="AO164">
            <v>0</v>
          </cell>
          <cell r="AP164">
            <v>6369297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</row>
        <row r="166">
          <cell r="C166" t="str">
            <v xml:space="preserve"> RIVERSIDE</v>
          </cell>
          <cell r="D166" t="str">
            <v xml:space="preserve"> RIVERSIDE</v>
          </cell>
          <cell r="E166">
            <v>960</v>
          </cell>
          <cell r="F166" t="str">
            <v xml:space="preserve"> 2016-2017</v>
          </cell>
          <cell r="G166" t="str">
            <v xml:space="preserve"> 04/15/2017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 t="str">
            <v xml:space="preserve"> 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34736409</v>
          </cell>
          <cell r="AC166">
            <v>827566</v>
          </cell>
          <cell r="AD166">
            <v>1604180</v>
          </cell>
          <cell r="AE166">
            <v>1997692</v>
          </cell>
          <cell r="AF166">
            <v>948904</v>
          </cell>
          <cell r="AG166">
            <v>0</v>
          </cell>
          <cell r="AH166">
            <v>0</v>
          </cell>
          <cell r="AI166">
            <v>1829345</v>
          </cell>
          <cell r="AJ166">
            <v>19018</v>
          </cell>
          <cell r="AK166">
            <v>959011</v>
          </cell>
          <cell r="AL166">
            <v>0</v>
          </cell>
          <cell r="AM166">
            <v>437991</v>
          </cell>
          <cell r="AN166">
            <v>0</v>
          </cell>
          <cell r="AO166">
            <v>-3056279</v>
          </cell>
          <cell r="AP166">
            <v>38306145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 t="str">
            <v xml:space="preserve"> </v>
          </cell>
          <cell r="AV166" t="str">
            <v xml:space="preserve"> </v>
          </cell>
          <cell r="AW166" t="str">
            <v xml:space="preserve"> </v>
          </cell>
        </row>
        <row r="167">
          <cell r="C167" t="str">
            <v xml:space="preserve">RIVERSIDE Subtotal         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34736409</v>
          </cell>
          <cell r="AC167">
            <v>827566</v>
          </cell>
          <cell r="AD167">
            <v>1604180</v>
          </cell>
          <cell r="AE167">
            <v>1997692</v>
          </cell>
          <cell r="AF167">
            <v>948904</v>
          </cell>
          <cell r="AG167">
            <v>0</v>
          </cell>
          <cell r="AH167">
            <v>0</v>
          </cell>
          <cell r="AI167">
            <v>1829345</v>
          </cell>
          <cell r="AJ167">
            <v>19018</v>
          </cell>
          <cell r="AK167">
            <v>959011</v>
          </cell>
          <cell r="AL167">
            <v>0</v>
          </cell>
          <cell r="AM167">
            <v>437991</v>
          </cell>
          <cell r="AN167">
            <v>0</v>
          </cell>
          <cell r="AO167">
            <v>-3056279</v>
          </cell>
          <cell r="AP167">
            <v>38306145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</row>
        <row r="169">
          <cell r="C169" t="str">
            <v xml:space="preserve"> SAN BERNARDINO</v>
          </cell>
          <cell r="D169" t="str">
            <v xml:space="preserve"> RIVERSIDE</v>
          </cell>
          <cell r="E169">
            <v>980</v>
          </cell>
          <cell r="F169" t="str">
            <v xml:space="preserve"> 2016-2017</v>
          </cell>
          <cell r="G169" t="str">
            <v xml:space="preserve"> 04/15/2017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 t="str">
            <v xml:space="preserve"> 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320905</v>
          </cell>
          <cell r="AC169">
            <v>7610</v>
          </cell>
          <cell r="AD169">
            <v>14692</v>
          </cell>
          <cell r="AE169">
            <v>3637</v>
          </cell>
          <cell r="AF169">
            <v>1728</v>
          </cell>
          <cell r="AG169">
            <v>0</v>
          </cell>
          <cell r="AH169">
            <v>0</v>
          </cell>
          <cell r="AI169">
            <v>15499</v>
          </cell>
          <cell r="AJ169">
            <v>15</v>
          </cell>
          <cell r="AK169">
            <v>8900</v>
          </cell>
          <cell r="AL169">
            <v>0</v>
          </cell>
          <cell r="AM169">
            <v>4009</v>
          </cell>
          <cell r="AN169">
            <v>0</v>
          </cell>
          <cell r="AO169">
            <v>-27974</v>
          </cell>
          <cell r="AP169">
            <v>345384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 t="str">
            <v xml:space="preserve"> </v>
          </cell>
          <cell r="AV169" t="str">
            <v xml:space="preserve"> </v>
          </cell>
          <cell r="AW169" t="str">
            <v xml:space="preserve"> </v>
          </cell>
        </row>
        <row r="170">
          <cell r="C170" t="str">
            <v xml:space="preserve"> SAN BERNARDINO</v>
          </cell>
          <cell r="D170" t="str">
            <v xml:space="preserve"> SAN BERNARDINO</v>
          </cell>
          <cell r="E170">
            <v>980</v>
          </cell>
          <cell r="F170" t="str">
            <v xml:space="preserve"> 2016-2017</v>
          </cell>
          <cell r="G170" t="str">
            <v xml:space="preserve"> 04/15/2017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 t="str">
            <v xml:space="preserve"> 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21582721</v>
          </cell>
          <cell r="AC170">
            <v>381535</v>
          </cell>
          <cell r="AD170">
            <v>769307</v>
          </cell>
          <cell r="AE170">
            <v>997026</v>
          </cell>
          <cell r="AF170">
            <v>473587</v>
          </cell>
          <cell r="AG170">
            <v>0</v>
          </cell>
          <cell r="AH170">
            <v>0</v>
          </cell>
          <cell r="AI170">
            <v>4189977</v>
          </cell>
          <cell r="AJ170">
            <v>202065</v>
          </cell>
          <cell r="AK170">
            <v>29803</v>
          </cell>
          <cell r="AL170">
            <v>0</v>
          </cell>
          <cell r="AM170">
            <v>238214</v>
          </cell>
          <cell r="AN170">
            <v>0</v>
          </cell>
          <cell r="AO170">
            <v>-4949818</v>
          </cell>
          <cell r="AP170">
            <v>22917391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 t="str">
            <v xml:space="preserve"> </v>
          </cell>
          <cell r="AV170" t="str">
            <v xml:space="preserve"> </v>
          </cell>
          <cell r="AW170" t="str">
            <v xml:space="preserve"> </v>
          </cell>
        </row>
        <row r="171">
          <cell r="C171" t="str">
            <v xml:space="preserve">SAN BERNARDINO Subtotal    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21903626</v>
          </cell>
          <cell r="AC171">
            <v>389145</v>
          </cell>
          <cell r="AD171">
            <v>783999</v>
          </cell>
          <cell r="AE171">
            <v>1000663</v>
          </cell>
          <cell r="AF171">
            <v>475315</v>
          </cell>
          <cell r="AG171">
            <v>0</v>
          </cell>
          <cell r="AH171">
            <v>0</v>
          </cell>
          <cell r="AI171">
            <v>4205476</v>
          </cell>
          <cell r="AJ171">
            <v>202080</v>
          </cell>
          <cell r="AK171">
            <v>38703</v>
          </cell>
          <cell r="AL171">
            <v>0</v>
          </cell>
          <cell r="AM171">
            <v>242223</v>
          </cell>
          <cell r="AN171">
            <v>0</v>
          </cell>
          <cell r="AO171">
            <v>-4977792</v>
          </cell>
          <cell r="AP171">
            <v>23262775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</row>
        <row r="173">
          <cell r="C173" t="str">
            <v xml:space="preserve"> SAN DIEGO</v>
          </cell>
          <cell r="D173" t="str">
            <v xml:space="preserve"> SAN DIEGO</v>
          </cell>
          <cell r="E173">
            <v>70</v>
          </cell>
          <cell r="F173" t="str">
            <v xml:space="preserve"> 2016-2017</v>
          </cell>
          <cell r="G173" t="str">
            <v xml:space="preserve"> 04/15/2017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 t="str">
            <v xml:space="preserve"> 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91182123</v>
          </cell>
          <cell r="AC173">
            <v>2370966</v>
          </cell>
          <cell r="AD173">
            <v>2960657</v>
          </cell>
          <cell r="AE173">
            <v>817332</v>
          </cell>
          <cell r="AF173">
            <v>388233</v>
          </cell>
          <cell r="AG173">
            <v>0</v>
          </cell>
          <cell r="AH173">
            <v>0</v>
          </cell>
          <cell r="AI173">
            <v>5340891</v>
          </cell>
          <cell r="AJ173">
            <v>63962</v>
          </cell>
          <cell r="AK173">
            <v>-38233</v>
          </cell>
          <cell r="AL173">
            <v>0</v>
          </cell>
          <cell r="AM173">
            <v>684602</v>
          </cell>
          <cell r="AN173">
            <v>0</v>
          </cell>
          <cell r="AO173">
            <v>-1108227</v>
          </cell>
          <cell r="AP173">
            <v>101844974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 t="str">
            <v xml:space="preserve"> </v>
          </cell>
          <cell r="AV173" t="str">
            <v xml:space="preserve"> </v>
          </cell>
          <cell r="AW173" t="str">
            <v xml:space="preserve"> </v>
          </cell>
        </row>
        <row r="174">
          <cell r="C174" t="str">
            <v xml:space="preserve">SAN DIEGO Subtotal        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91182123</v>
          </cell>
          <cell r="AC174">
            <v>2370966</v>
          </cell>
          <cell r="AD174">
            <v>2960657</v>
          </cell>
          <cell r="AE174">
            <v>817332</v>
          </cell>
          <cell r="AF174">
            <v>388233</v>
          </cell>
          <cell r="AG174">
            <v>0</v>
          </cell>
          <cell r="AH174">
            <v>0</v>
          </cell>
          <cell r="AI174">
            <v>5340891</v>
          </cell>
          <cell r="AJ174">
            <v>63962</v>
          </cell>
          <cell r="AK174">
            <v>-38233</v>
          </cell>
          <cell r="AL174">
            <v>0</v>
          </cell>
          <cell r="AM174">
            <v>684602</v>
          </cell>
          <cell r="AN174">
            <v>0</v>
          </cell>
          <cell r="AO174">
            <v>-1108227</v>
          </cell>
          <cell r="AP174">
            <v>101844974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</row>
        <row r="176">
          <cell r="C176" t="str">
            <v xml:space="preserve"> SAN FRANCISCO</v>
          </cell>
          <cell r="D176" t="str">
            <v xml:space="preserve"> SAN FRANCISCO</v>
          </cell>
          <cell r="E176">
            <v>360</v>
          </cell>
          <cell r="F176" t="str">
            <v xml:space="preserve"> 2016-2017</v>
          </cell>
          <cell r="G176" t="str">
            <v xml:space="preserve"> 04/15/2017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 t="str">
            <v xml:space="preserve"> 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25610439</v>
          </cell>
          <cell r="AC176">
            <v>971304</v>
          </cell>
          <cell r="AD176">
            <v>1980469</v>
          </cell>
          <cell r="AE176">
            <v>657370</v>
          </cell>
          <cell r="AF176">
            <v>312251</v>
          </cell>
          <cell r="AG176">
            <v>0</v>
          </cell>
          <cell r="AH176">
            <v>0</v>
          </cell>
          <cell r="AI176">
            <v>332199</v>
          </cell>
          <cell r="AJ176">
            <v>0</v>
          </cell>
          <cell r="AK176">
            <v>0</v>
          </cell>
          <cell r="AL176">
            <v>0</v>
          </cell>
          <cell r="AM176">
            <v>93315</v>
          </cell>
          <cell r="AN176">
            <v>0</v>
          </cell>
          <cell r="AO176">
            <v>44028204</v>
          </cell>
          <cell r="AP176">
            <v>73328181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 t="str">
            <v xml:space="preserve"> </v>
          </cell>
          <cell r="AV176" t="str">
            <v xml:space="preserve"> </v>
          </cell>
          <cell r="AW176" t="str">
            <v xml:space="preserve"> </v>
          </cell>
        </row>
        <row r="177">
          <cell r="C177" t="str">
            <v xml:space="preserve">SAN FRANCISCO Subtotal     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25610439</v>
          </cell>
          <cell r="AC177">
            <v>971304</v>
          </cell>
          <cell r="AD177">
            <v>1980469</v>
          </cell>
          <cell r="AE177">
            <v>657370</v>
          </cell>
          <cell r="AF177">
            <v>312251</v>
          </cell>
          <cell r="AG177">
            <v>0</v>
          </cell>
          <cell r="AH177">
            <v>0</v>
          </cell>
          <cell r="AI177">
            <v>332199</v>
          </cell>
          <cell r="AJ177">
            <v>0</v>
          </cell>
          <cell r="AK177">
            <v>0</v>
          </cell>
          <cell r="AL177">
            <v>0</v>
          </cell>
          <cell r="AM177">
            <v>93315</v>
          </cell>
          <cell r="AN177">
            <v>0</v>
          </cell>
          <cell r="AO177">
            <v>44028204</v>
          </cell>
          <cell r="AP177">
            <v>73328181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</row>
        <row r="179">
          <cell r="C179" t="str">
            <v xml:space="preserve"> SAN JOAQUIN DELTA</v>
          </cell>
          <cell r="D179" t="str">
            <v xml:space="preserve"> ALAMEDA</v>
          </cell>
          <cell r="E179">
            <v>550</v>
          </cell>
          <cell r="F179" t="str">
            <v xml:space="preserve"> 2016-2017</v>
          </cell>
          <cell r="G179" t="str">
            <v xml:space="preserve"> 04/15/2017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 t="str">
            <v xml:space="preserve"> 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110296</v>
          </cell>
          <cell r="AC179">
            <v>3335</v>
          </cell>
          <cell r="AD179">
            <v>6261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-797</v>
          </cell>
          <cell r="AL179">
            <v>0</v>
          </cell>
          <cell r="AM179">
            <v>697</v>
          </cell>
          <cell r="AN179">
            <v>0</v>
          </cell>
          <cell r="AO179">
            <v>0</v>
          </cell>
          <cell r="AP179">
            <v>119792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 t="str">
            <v xml:space="preserve"> </v>
          </cell>
          <cell r="AV179" t="str">
            <v xml:space="preserve"> </v>
          </cell>
          <cell r="AW179" t="str">
            <v xml:space="preserve"> </v>
          </cell>
        </row>
        <row r="180">
          <cell r="C180" t="str">
            <v xml:space="preserve"> SAN JOAQUIN DELTA</v>
          </cell>
          <cell r="D180" t="str">
            <v xml:space="preserve"> CALAVERAS</v>
          </cell>
          <cell r="E180">
            <v>550</v>
          </cell>
          <cell r="F180" t="str">
            <v xml:space="preserve"> 2016-2017</v>
          </cell>
          <cell r="G180" t="str">
            <v xml:space="preserve"> 04/15/2017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 t="str">
            <v xml:space="preserve"> 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1053306</v>
          </cell>
          <cell r="AC180">
            <v>8536</v>
          </cell>
          <cell r="AD180">
            <v>14686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166</v>
          </cell>
          <cell r="AL180">
            <v>0</v>
          </cell>
          <cell r="AM180">
            <v>13313</v>
          </cell>
          <cell r="AN180">
            <v>0</v>
          </cell>
          <cell r="AO180">
            <v>259105</v>
          </cell>
          <cell r="AP180">
            <v>1349112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 t="str">
            <v xml:space="preserve"> </v>
          </cell>
          <cell r="AV180" t="str">
            <v xml:space="preserve"> </v>
          </cell>
          <cell r="AW180" t="str">
            <v xml:space="preserve"> </v>
          </cell>
        </row>
        <row r="181">
          <cell r="C181" t="str">
            <v xml:space="preserve"> SAN JOAQUIN DELTA</v>
          </cell>
          <cell r="D181" t="str">
            <v xml:space="preserve"> SACRAMENTO</v>
          </cell>
          <cell r="E181">
            <v>550</v>
          </cell>
          <cell r="F181" t="str">
            <v xml:space="preserve"> 2016-2017</v>
          </cell>
          <cell r="G181" t="str">
            <v xml:space="preserve"> 04/15/2017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 t="str">
            <v xml:space="preserve"> 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883715</v>
          </cell>
          <cell r="AC181">
            <v>23884</v>
          </cell>
          <cell r="AD181">
            <v>27769</v>
          </cell>
          <cell r="AE181">
            <v>11013</v>
          </cell>
          <cell r="AF181">
            <v>5231</v>
          </cell>
          <cell r="AG181">
            <v>0</v>
          </cell>
          <cell r="AH181">
            <v>0</v>
          </cell>
          <cell r="AI181">
            <v>4884</v>
          </cell>
          <cell r="AJ181">
            <v>0</v>
          </cell>
          <cell r="AK181">
            <v>0</v>
          </cell>
          <cell r="AL181">
            <v>0</v>
          </cell>
          <cell r="AM181">
            <v>10328</v>
          </cell>
          <cell r="AN181">
            <v>0</v>
          </cell>
          <cell r="AO181">
            <v>0</v>
          </cell>
          <cell r="AP181">
            <v>955811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 t="str">
            <v xml:space="preserve"> </v>
          </cell>
          <cell r="AV181" t="str">
            <v xml:space="preserve"> </v>
          </cell>
          <cell r="AW181" t="str">
            <v xml:space="preserve"> </v>
          </cell>
        </row>
        <row r="182">
          <cell r="C182" t="str">
            <v xml:space="preserve"> SAN JOAQUIN DELTA</v>
          </cell>
          <cell r="D182" t="str">
            <v xml:space="preserve"> SAN JOAQUIN</v>
          </cell>
          <cell r="E182">
            <v>550</v>
          </cell>
          <cell r="F182" t="str">
            <v xml:space="preserve"> 2016-2017</v>
          </cell>
          <cell r="G182" t="str">
            <v xml:space="preserve"> 04/15/2017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 t="str">
            <v xml:space="preserve"> 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20611887</v>
          </cell>
          <cell r="AC182">
            <v>414078</v>
          </cell>
          <cell r="AD182">
            <v>1252387</v>
          </cell>
          <cell r="AE182">
            <v>346776</v>
          </cell>
          <cell r="AF182">
            <v>164719</v>
          </cell>
          <cell r="AG182">
            <v>0</v>
          </cell>
          <cell r="AH182">
            <v>0</v>
          </cell>
          <cell r="AI182">
            <v>1033214</v>
          </cell>
          <cell r="AJ182">
            <v>16228</v>
          </cell>
          <cell r="AK182">
            <v>44092</v>
          </cell>
          <cell r="AL182">
            <v>0</v>
          </cell>
          <cell r="AM182">
            <v>205485</v>
          </cell>
          <cell r="AN182">
            <v>57</v>
          </cell>
          <cell r="AO182">
            <v>6560360</v>
          </cell>
          <cell r="AP182">
            <v>30302507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 t="str">
            <v xml:space="preserve"> </v>
          </cell>
          <cell r="AV182" t="str">
            <v xml:space="preserve"> </v>
          </cell>
          <cell r="AW182" t="str">
            <v xml:space="preserve"> </v>
          </cell>
        </row>
        <row r="183">
          <cell r="C183" t="str">
            <v xml:space="preserve"> SAN JOAQUIN DELTA</v>
          </cell>
          <cell r="D183" t="str">
            <v xml:space="preserve"> SOLANO</v>
          </cell>
          <cell r="E183">
            <v>550</v>
          </cell>
          <cell r="F183" t="str">
            <v xml:space="preserve"> 2016-2017</v>
          </cell>
          <cell r="G183" t="str">
            <v xml:space="preserve"> 04/15/2017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 t="str">
            <v xml:space="preserve"> 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1209853</v>
          </cell>
          <cell r="AC183">
            <v>19819</v>
          </cell>
          <cell r="AD183">
            <v>70809</v>
          </cell>
          <cell r="AE183">
            <v>340</v>
          </cell>
          <cell r="AF183">
            <v>162</v>
          </cell>
          <cell r="AG183">
            <v>0</v>
          </cell>
          <cell r="AH183">
            <v>0</v>
          </cell>
          <cell r="AI183">
            <v>30191</v>
          </cell>
          <cell r="AJ183">
            <v>0</v>
          </cell>
          <cell r="AK183">
            <v>0</v>
          </cell>
          <cell r="AL183">
            <v>0</v>
          </cell>
          <cell r="AM183">
            <v>10722</v>
          </cell>
          <cell r="AN183">
            <v>0</v>
          </cell>
          <cell r="AO183">
            <v>0</v>
          </cell>
          <cell r="AP183">
            <v>1341556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 t="str">
            <v xml:space="preserve"> </v>
          </cell>
          <cell r="AV183" t="str">
            <v xml:space="preserve"> </v>
          </cell>
          <cell r="AW183" t="str">
            <v xml:space="preserve"> </v>
          </cell>
        </row>
        <row r="184">
          <cell r="C184" t="str">
            <v>SAN JOAQUIN DELTA Subtotal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23869057</v>
          </cell>
          <cell r="AC184">
            <v>469652</v>
          </cell>
          <cell r="AD184">
            <v>1371912</v>
          </cell>
          <cell r="AE184">
            <v>358129</v>
          </cell>
          <cell r="AF184">
            <v>170112</v>
          </cell>
          <cell r="AG184">
            <v>0</v>
          </cell>
          <cell r="AH184">
            <v>0</v>
          </cell>
          <cell r="AI184">
            <v>1068289</v>
          </cell>
          <cell r="AJ184">
            <v>16228</v>
          </cell>
          <cell r="AK184">
            <v>43461</v>
          </cell>
          <cell r="AL184">
            <v>0</v>
          </cell>
          <cell r="AM184">
            <v>240545</v>
          </cell>
          <cell r="AN184">
            <v>57</v>
          </cell>
          <cell r="AO184">
            <v>6819465</v>
          </cell>
          <cell r="AP184">
            <v>34068778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</row>
        <row r="186">
          <cell r="C186" t="str">
            <v xml:space="preserve"> SAN JOSE</v>
          </cell>
          <cell r="D186" t="str">
            <v xml:space="preserve"> SANTA CLARA</v>
          </cell>
          <cell r="E186">
            <v>470</v>
          </cell>
          <cell r="F186" t="str">
            <v xml:space="preserve"> 2016-2017</v>
          </cell>
          <cell r="G186" t="str">
            <v xml:space="preserve"> 04/15/2017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 t="str">
            <v xml:space="preserve"> 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76143666</v>
          </cell>
          <cell r="AC186">
            <v>3037000</v>
          </cell>
          <cell r="AD186">
            <v>5956211</v>
          </cell>
          <cell r="AE186">
            <v>2894564</v>
          </cell>
          <cell r="AF186">
            <v>1374918</v>
          </cell>
          <cell r="AG186">
            <v>0</v>
          </cell>
          <cell r="AH186">
            <v>0</v>
          </cell>
          <cell r="AI186">
            <v>2211958</v>
          </cell>
          <cell r="AJ186">
            <v>446160</v>
          </cell>
          <cell r="AK186">
            <v>0</v>
          </cell>
          <cell r="AL186">
            <v>0</v>
          </cell>
          <cell r="AM186">
            <v>432133</v>
          </cell>
          <cell r="AN186">
            <v>0</v>
          </cell>
          <cell r="AO186">
            <v>0</v>
          </cell>
          <cell r="AP186">
            <v>89602046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 t="str">
            <v xml:space="preserve"> </v>
          </cell>
          <cell r="AV186" t="str">
            <v xml:space="preserve"> </v>
          </cell>
          <cell r="AW186" t="str">
            <v xml:space="preserve"> </v>
          </cell>
        </row>
        <row r="187">
          <cell r="C187" t="str">
            <v xml:space="preserve">SAN JOSE Subtotal    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76143666</v>
          </cell>
          <cell r="AC187">
            <v>3037000</v>
          </cell>
          <cell r="AD187">
            <v>5956211</v>
          </cell>
          <cell r="AE187">
            <v>2894564</v>
          </cell>
          <cell r="AF187">
            <v>1374918</v>
          </cell>
          <cell r="AG187">
            <v>0</v>
          </cell>
          <cell r="AH187">
            <v>0</v>
          </cell>
          <cell r="AI187">
            <v>2211958</v>
          </cell>
          <cell r="AJ187">
            <v>446160</v>
          </cell>
          <cell r="AK187">
            <v>0</v>
          </cell>
          <cell r="AL187">
            <v>0</v>
          </cell>
          <cell r="AM187">
            <v>432133</v>
          </cell>
          <cell r="AN187">
            <v>0</v>
          </cell>
          <cell r="AO187">
            <v>0</v>
          </cell>
          <cell r="AP187">
            <v>89602046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</row>
        <row r="189">
          <cell r="C189" t="str">
            <v xml:space="preserve"> SAN LUIS OBISPO</v>
          </cell>
          <cell r="D189" t="str">
            <v xml:space="preserve"> MONTEREY</v>
          </cell>
          <cell r="E189">
            <v>640</v>
          </cell>
          <cell r="F189" t="str">
            <v xml:space="preserve"> 2016-2017</v>
          </cell>
          <cell r="G189" t="str">
            <v xml:space="preserve"> 04/15/2017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 t="str">
            <v xml:space="preserve"> 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208709</v>
          </cell>
          <cell r="AC189">
            <v>2834</v>
          </cell>
          <cell r="AD189">
            <v>7957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1960</v>
          </cell>
          <cell r="AL189">
            <v>0</v>
          </cell>
          <cell r="AM189">
            <v>1129</v>
          </cell>
          <cell r="AN189">
            <v>0</v>
          </cell>
          <cell r="AO189">
            <v>0</v>
          </cell>
          <cell r="AP189">
            <v>222589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 t="str">
            <v xml:space="preserve"> </v>
          </cell>
          <cell r="AV189" t="str">
            <v xml:space="preserve"> </v>
          </cell>
          <cell r="AW189" t="str">
            <v xml:space="preserve"> </v>
          </cell>
        </row>
        <row r="190">
          <cell r="C190" t="str">
            <v xml:space="preserve"> SAN LUIS OBISPO</v>
          </cell>
          <cell r="D190" t="str">
            <v xml:space="preserve"> SAN LUIS OBISPO</v>
          </cell>
          <cell r="E190">
            <v>640</v>
          </cell>
          <cell r="F190" t="str">
            <v xml:space="preserve"> 2016-2017</v>
          </cell>
          <cell r="G190" t="str">
            <v xml:space="preserve"> 04/15/2017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 t="str">
            <v xml:space="preserve"> 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33353126</v>
          </cell>
          <cell r="AC190">
            <v>1175440</v>
          </cell>
          <cell r="AD190">
            <v>715661</v>
          </cell>
          <cell r="AE190">
            <v>150738</v>
          </cell>
          <cell r="AF190">
            <v>71601</v>
          </cell>
          <cell r="AG190">
            <v>0</v>
          </cell>
          <cell r="AH190">
            <v>0</v>
          </cell>
          <cell r="AI190">
            <v>297853</v>
          </cell>
          <cell r="AJ190">
            <v>0</v>
          </cell>
          <cell r="AK190">
            <v>-16005</v>
          </cell>
          <cell r="AL190">
            <v>0</v>
          </cell>
          <cell r="AM190">
            <v>233910</v>
          </cell>
          <cell r="AN190">
            <v>0</v>
          </cell>
          <cell r="AO190">
            <v>1811518</v>
          </cell>
          <cell r="AP190">
            <v>37643104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 t="str">
            <v xml:space="preserve"> </v>
          </cell>
          <cell r="AV190" t="str">
            <v xml:space="preserve"> </v>
          </cell>
          <cell r="AW190" t="str">
            <v xml:space="preserve"> </v>
          </cell>
        </row>
        <row r="191">
          <cell r="C191" t="str">
            <v>SAN LUIS OBISPO Subtotal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33561835</v>
          </cell>
          <cell r="AC191">
            <v>1178274</v>
          </cell>
          <cell r="AD191">
            <v>723618</v>
          </cell>
          <cell r="AE191">
            <v>150738</v>
          </cell>
          <cell r="AF191">
            <v>71601</v>
          </cell>
          <cell r="AG191">
            <v>0</v>
          </cell>
          <cell r="AH191">
            <v>0</v>
          </cell>
          <cell r="AI191">
            <v>297853</v>
          </cell>
          <cell r="AJ191">
            <v>0</v>
          </cell>
          <cell r="AK191">
            <v>-14045</v>
          </cell>
          <cell r="AL191">
            <v>0</v>
          </cell>
          <cell r="AM191">
            <v>235039</v>
          </cell>
          <cell r="AN191">
            <v>0</v>
          </cell>
          <cell r="AO191">
            <v>1811518</v>
          </cell>
          <cell r="AP191">
            <v>37865693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3">
          <cell r="C193" t="str">
            <v xml:space="preserve"> SAN MATEO</v>
          </cell>
          <cell r="D193" t="str">
            <v xml:space="preserve"> SAN MATEO</v>
          </cell>
          <cell r="E193">
            <v>370</v>
          </cell>
          <cell r="F193" t="str">
            <v xml:space="preserve"> 2016-2017</v>
          </cell>
          <cell r="G193" t="str">
            <v xml:space="preserve"> 04/15/2017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 t="str">
            <v xml:space="preserve"> 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116276301</v>
          </cell>
          <cell r="AC193">
            <v>4396244</v>
          </cell>
          <cell r="AD193">
            <v>5316934</v>
          </cell>
          <cell r="AE193">
            <v>647836</v>
          </cell>
          <cell r="AF193">
            <v>307722</v>
          </cell>
          <cell r="AG193">
            <v>0</v>
          </cell>
          <cell r="AH193">
            <v>0</v>
          </cell>
          <cell r="AI193">
            <v>6522141</v>
          </cell>
          <cell r="AJ193">
            <v>312119</v>
          </cell>
          <cell r="AK193">
            <v>-46571</v>
          </cell>
          <cell r="AL193">
            <v>8671</v>
          </cell>
          <cell r="AM193">
            <v>600689</v>
          </cell>
          <cell r="AN193">
            <v>0</v>
          </cell>
          <cell r="AO193">
            <v>0</v>
          </cell>
          <cell r="AP193">
            <v>133694250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 t="str">
            <v xml:space="preserve"> </v>
          </cell>
          <cell r="AV193" t="str">
            <v xml:space="preserve"> </v>
          </cell>
          <cell r="AW193" t="str">
            <v xml:space="preserve"> </v>
          </cell>
        </row>
        <row r="194">
          <cell r="C194" t="str">
            <v xml:space="preserve">SAN MATEO Subtotal         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116276301</v>
          </cell>
          <cell r="AC194">
            <v>4396244</v>
          </cell>
          <cell r="AD194">
            <v>5316934</v>
          </cell>
          <cell r="AE194">
            <v>647836</v>
          </cell>
          <cell r="AF194">
            <v>307722</v>
          </cell>
          <cell r="AG194">
            <v>0</v>
          </cell>
          <cell r="AH194">
            <v>0</v>
          </cell>
          <cell r="AI194">
            <v>6522141</v>
          </cell>
          <cell r="AJ194">
            <v>312119</v>
          </cell>
          <cell r="AK194">
            <v>-46571</v>
          </cell>
          <cell r="AL194">
            <v>8671</v>
          </cell>
          <cell r="AM194">
            <v>600689</v>
          </cell>
          <cell r="AN194">
            <v>0</v>
          </cell>
          <cell r="AO194">
            <v>0</v>
          </cell>
          <cell r="AP194">
            <v>133694250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6">
          <cell r="C196" t="str">
            <v xml:space="preserve"> SANTA BARBARA</v>
          </cell>
          <cell r="D196" t="str">
            <v xml:space="preserve"> SANTA BARBARA</v>
          </cell>
          <cell r="E196">
            <v>650</v>
          </cell>
          <cell r="F196" t="str">
            <v xml:space="preserve"> 2016-2017</v>
          </cell>
          <cell r="G196" t="str">
            <v xml:space="preserve"> 04/15/2017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 t="str">
            <v xml:space="preserve"> 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25537107</v>
          </cell>
          <cell r="AC196">
            <v>518338</v>
          </cell>
          <cell r="AD196">
            <v>947029</v>
          </cell>
          <cell r="AE196">
            <v>99650</v>
          </cell>
          <cell r="AF196">
            <v>47334</v>
          </cell>
          <cell r="AG196">
            <v>0</v>
          </cell>
          <cell r="AH196">
            <v>0</v>
          </cell>
          <cell r="AI196">
            <v>1366644</v>
          </cell>
          <cell r="AJ196">
            <v>0</v>
          </cell>
          <cell r="AK196">
            <v>231573</v>
          </cell>
          <cell r="AL196">
            <v>0</v>
          </cell>
          <cell r="AM196">
            <v>147726</v>
          </cell>
          <cell r="AN196">
            <v>0</v>
          </cell>
          <cell r="AO196">
            <v>0</v>
          </cell>
          <cell r="AP196">
            <v>28795751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 t="str">
            <v xml:space="preserve"> </v>
          </cell>
          <cell r="AV196" t="str">
            <v xml:space="preserve"> </v>
          </cell>
          <cell r="AW196" t="str">
            <v xml:space="preserve"> </v>
          </cell>
        </row>
        <row r="197">
          <cell r="C197" t="str">
            <v xml:space="preserve">SANTA BARBARA Subtotal   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25537107</v>
          </cell>
          <cell r="AC197">
            <v>518338</v>
          </cell>
          <cell r="AD197">
            <v>947029</v>
          </cell>
          <cell r="AE197">
            <v>99650</v>
          </cell>
          <cell r="AF197">
            <v>47334</v>
          </cell>
          <cell r="AG197">
            <v>0</v>
          </cell>
          <cell r="AH197">
            <v>0</v>
          </cell>
          <cell r="AI197">
            <v>1366644</v>
          </cell>
          <cell r="AJ197">
            <v>0</v>
          </cell>
          <cell r="AK197">
            <v>231573</v>
          </cell>
          <cell r="AL197">
            <v>0</v>
          </cell>
          <cell r="AM197">
            <v>147726</v>
          </cell>
          <cell r="AN197">
            <v>0</v>
          </cell>
          <cell r="AO197">
            <v>0</v>
          </cell>
          <cell r="AP197">
            <v>28795751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9">
          <cell r="C199" t="str">
            <v xml:space="preserve"> SANTA CLARITA</v>
          </cell>
          <cell r="D199" t="str">
            <v xml:space="preserve"> LOS ANGELES</v>
          </cell>
          <cell r="E199">
            <v>660</v>
          </cell>
          <cell r="F199" t="str">
            <v xml:space="preserve"> 2016-2017</v>
          </cell>
          <cell r="G199" t="str">
            <v xml:space="preserve"> 04/15/2017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 t="str">
            <v xml:space="preserve"> 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14380789</v>
          </cell>
          <cell r="AC199">
            <v>416856</v>
          </cell>
          <cell r="AD199">
            <v>516955</v>
          </cell>
          <cell r="AE199">
            <v>22979</v>
          </cell>
          <cell r="AF199">
            <v>10915</v>
          </cell>
          <cell r="AG199">
            <v>0</v>
          </cell>
          <cell r="AH199">
            <v>0</v>
          </cell>
          <cell r="AI199">
            <v>6621</v>
          </cell>
          <cell r="AJ199">
            <v>0</v>
          </cell>
          <cell r="AK199">
            <v>278936</v>
          </cell>
          <cell r="AL199">
            <v>0</v>
          </cell>
          <cell r="AM199">
            <v>96382</v>
          </cell>
          <cell r="AN199">
            <v>0</v>
          </cell>
          <cell r="AO199">
            <v>0</v>
          </cell>
          <cell r="AP199">
            <v>15707454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 t="str">
            <v xml:space="preserve"> </v>
          </cell>
          <cell r="AV199" t="str">
            <v xml:space="preserve"> </v>
          </cell>
          <cell r="AW199" t="str">
            <v xml:space="preserve"> </v>
          </cell>
        </row>
        <row r="200">
          <cell r="C200" t="str">
            <v xml:space="preserve">SANTA CLARITA Subtotal  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14380789</v>
          </cell>
          <cell r="AC200">
            <v>416856</v>
          </cell>
          <cell r="AD200">
            <v>516955</v>
          </cell>
          <cell r="AE200">
            <v>22979</v>
          </cell>
          <cell r="AF200">
            <v>10915</v>
          </cell>
          <cell r="AG200">
            <v>0</v>
          </cell>
          <cell r="AH200">
            <v>0</v>
          </cell>
          <cell r="AI200">
            <v>6621</v>
          </cell>
          <cell r="AJ200">
            <v>0</v>
          </cell>
          <cell r="AK200">
            <v>278936</v>
          </cell>
          <cell r="AL200">
            <v>0</v>
          </cell>
          <cell r="AM200">
            <v>96382</v>
          </cell>
          <cell r="AN200">
            <v>0</v>
          </cell>
          <cell r="AO200">
            <v>0</v>
          </cell>
          <cell r="AP200">
            <v>15707454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2">
          <cell r="C202" t="str">
            <v xml:space="preserve"> SANTA MONICA</v>
          </cell>
          <cell r="D202" t="str">
            <v xml:space="preserve"> LOS ANGELES</v>
          </cell>
          <cell r="E202">
            <v>780</v>
          </cell>
          <cell r="F202" t="str">
            <v xml:space="preserve"> 2016-2017</v>
          </cell>
          <cell r="G202" t="str">
            <v xml:space="preserve"> 04/15/2017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 t="str">
            <v xml:space="preserve"> 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14639012</v>
          </cell>
          <cell r="AC202">
            <v>388567</v>
          </cell>
          <cell r="AD202">
            <v>573351</v>
          </cell>
          <cell r="AE202">
            <v>1397946</v>
          </cell>
          <cell r="AF202">
            <v>664024</v>
          </cell>
          <cell r="AG202">
            <v>0</v>
          </cell>
          <cell r="AH202">
            <v>0</v>
          </cell>
          <cell r="AI202">
            <v>986402</v>
          </cell>
          <cell r="AJ202">
            <v>0</v>
          </cell>
          <cell r="AK202">
            <v>134030</v>
          </cell>
          <cell r="AL202">
            <v>0</v>
          </cell>
          <cell r="AM202">
            <v>95784</v>
          </cell>
          <cell r="AN202">
            <v>4</v>
          </cell>
          <cell r="AO202">
            <v>0</v>
          </cell>
          <cell r="AP202">
            <v>17481174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 t="str">
            <v xml:space="preserve"> </v>
          </cell>
          <cell r="AV202" t="str">
            <v xml:space="preserve"> </v>
          </cell>
          <cell r="AW202" t="str">
            <v xml:space="preserve"> </v>
          </cell>
        </row>
        <row r="203">
          <cell r="C203" t="str">
            <v xml:space="preserve">SANTA MONICA Subtotal    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14639012</v>
          </cell>
          <cell r="AC203">
            <v>388567</v>
          </cell>
          <cell r="AD203">
            <v>573351</v>
          </cell>
          <cell r="AE203">
            <v>1397946</v>
          </cell>
          <cell r="AF203">
            <v>664024</v>
          </cell>
          <cell r="AG203">
            <v>0</v>
          </cell>
          <cell r="AH203">
            <v>0</v>
          </cell>
          <cell r="AI203">
            <v>986402</v>
          </cell>
          <cell r="AJ203">
            <v>0</v>
          </cell>
          <cell r="AK203">
            <v>134030</v>
          </cell>
          <cell r="AL203">
            <v>0</v>
          </cell>
          <cell r="AM203">
            <v>95784</v>
          </cell>
          <cell r="AN203">
            <v>4</v>
          </cell>
          <cell r="AO203">
            <v>0</v>
          </cell>
          <cell r="AP203">
            <v>17481174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5">
          <cell r="C205" t="str">
            <v xml:space="preserve"> SEQUOIAS</v>
          </cell>
          <cell r="D205" t="str">
            <v xml:space="preserve"> FRESNO</v>
          </cell>
          <cell r="E205">
            <v>560</v>
          </cell>
          <cell r="F205" t="str">
            <v xml:space="preserve"> 2016-2017</v>
          </cell>
          <cell r="G205" t="str">
            <v xml:space="preserve"> 04/15/2017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 t="str">
            <v xml:space="preserve"> 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26465</v>
          </cell>
          <cell r="AC205">
            <v>333</v>
          </cell>
          <cell r="AD205">
            <v>1261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21</v>
          </cell>
          <cell r="AL205">
            <v>0</v>
          </cell>
          <cell r="AM205">
            <v>272</v>
          </cell>
          <cell r="AN205">
            <v>0</v>
          </cell>
          <cell r="AO205">
            <v>-1060</v>
          </cell>
          <cell r="AP205">
            <v>27292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 t="str">
            <v xml:space="preserve"> </v>
          </cell>
          <cell r="AV205" t="str">
            <v xml:space="preserve"> </v>
          </cell>
          <cell r="AW205" t="str">
            <v xml:space="preserve"> </v>
          </cell>
        </row>
        <row r="206">
          <cell r="C206" t="str">
            <v xml:space="preserve"> SEQUOIAS</v>
          </cell>
          <cell r="D206" t="str">
            <v xml:space="preserve"> KINGS</v>
          </cell>
          <cell r="E206">
            <v>560</v>
          </cell>
          <cell r="F206" t="str">
            <v xml:space="preserve"> 2016-2017</v>
          </cell>
          <cell r="G206" t="str">
            <v xml:space="preserve"> 04/15/2017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 t="str">
            <v xml:space="preserve"> 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2581384</v>
          </cell>
          <cell r="AC206">
            <v>39331</v>
          </cell>
          <cell r="AD206">
            <v>123682</v>
          </cell>
          <cell r="AE206">
            <v>11000</v>
          </cell>
          <cell r="AF206">
            <v>5225</v>
          </cell>
          <cell r="AG206">
            <v>0</v>
          </cell>
          <cell r="AH206">
            <v>0</v>
          </cell>
          <cell r="AI206">
            <v>94000</v>
          </cell>
          <cell r="AJ206">
            <v>0</v>
          </cell>
          <cell r="AK206">
            <v>50381</v>
          </cell>
          <cell r="AL206">
            <v>0</v>
          </cell>
          <cell r="AM206">
            <v>30449</v>
          </cell>
          <cell r="AN206">
            <v>0</v>
          </cell>
          <cell r="AO206">
            <v>-980236</v>
          </cell>
          <cell r="AP206">
            <v>1944216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 t="str">
            <v xml:space="preserve"> </v>
          </cell>
          <cell r="AV206" t="str">
            <v xml:space="preserve"> </v>
          </cell>
          <cell r="AW206" t="str">
            <v xml:space="preserve"> </v>
          </cell>
        </row>
        <row r="207">
          <cell r="C207" t="str">
            <v xml:space="preserve"> SEQUOIAS</v>
          </cell>
          <cell r="D207" t="str">
            <v xml:space="preserve"> TULARE</v>
          </cell>
          <cell r="E207">
            <v>560</v>
          </cell>
          <cell r="F207" t="str">
            <v xml:space="preserve"> 2016-2017</v>
          </cell>
          <cell r="G207" t="str">
            <v xml:space="preserve"> 04/15/2017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 t="str">
            <v xml:space="preserve"> 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10656891</v>
          </cell>
          <cell r="AC207">
            <v>109887</v>
          </cell>
          <cell r="AD207">
            <v>614847</v>
          </cell>
          <cell r="AE207">
            <v>160424</v>
          </cell>
          <cell r="AF207">
            <v>76201</v>
          </cell>
          <cell r="AG207">
            <v>0</v>
          </cell>
          <cell r="AH207">
            <v>0</v>
          </cell>
          <cell r="AI207">
            <v>591687</v>
          </cell>
          <cell r="AJ207">
            <v>0</v>
          </cell>
          <cell r="AK207">
            <v>0</v>
          </cell>
          <cell r="AL207">
            <v>0</v>
          </cell>
          <cell r="AM207">
            <v>109196</v>
          </cell>
          <cell r="AN207">
            <v>0</v>
          </cell>
          <cell r="AO207">
            <v>-762273</v>
          </cell>
          <cell r="AP207">
            <v>11396436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 t="str">
            <v xml:space="preserve"> </v>
          </cell>
          <cell r="AV207" t="str">
            <v xml:space="preserve"> </v>
          </cell>
          <cell r="AW207" t="str">
            <v xml:space="preserve"> </v>
          </cell>
        </row>
        <row r="208">
          <cell r="C208" t="str">
            <v xml:space="preserve">SEQUOIAS Subtotal         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13264740</v>
          </cell>
          <cell r="AC208">
            <v>149551</v>
          </cell>
          <cell r="AD208">
            <v>739790</v>
          </cell>
          <cell r="AE208">
            <v>171424</v>
          </cell>
          <cell r="AF208">
            <v>81426</v>
          </cell>
          <cell r="AG208">
            <v>0</v>
          </cell>
          <cell r="AH208">
            <v>0</v>
          </cell>
          <cell r="AI208">
            <v>685687</v>
          </cell>
          <cell r="AJ208">
            <v>0</v>
          </cell>
          <cell r="AK208">
            <v>50402</v>
          </cell>
          <cell r="AL208">
            <v>0</v>
          </cell>
          <cell r="AM208">
            <v>139917</v>
          </cell>
          <cell r="AN208">
            <v>0</v>
          </cell>
          <cell r="AO208">
            <v>-1743569</v>
          </cell>
          <cell r="AP208">
            <v>13367944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10">
          <cell r="C210" t="str">
            <v xml:space="preserve"> SHASTA</v>
          </cell>
          <cell r="D210" t="str">
            <v xml:space="preserve"> HUMBOLDT</v>
          </cell>
          <cell r="E210">
            <v>170</v>
          </cell>
          <cell r="F210" t="str">
            <v xml:space="preserve"> 2016-2017</v>
          </cell>
          <cell r="G210" t="str">
            <v xml:space="preserve"> 04/15/2017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 t="str">
            <v xml:space="preserve"> 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23488</v>
          </cell>
          <cell r="AC210">
            <v>350</v>
          </cell>
          <cell r="AD210">
            <v>911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10</v>
          </cell>
          <cell r="AL210">
            <v>117</v>
          </cell>
          <cell r="AM210">
            <v>304</v>
          </cell>
          <cell r="AN210">
            <v>0</v>
          </cell>
          <cell r="AO210">
            <v>280</v>
          </cell>
          <cell r="AP210">
            <v>25460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 t="str">
            <v xml:space="preserve"> </v>
          </cell>
          <cell r="AV210" t="str">
            <v xml:space="preserve"> </v>
          </cell>
          <cell r="AW210" t="str">
            <v xml:space="preserve"> </v>
          </cell>
        </row>
        <row r="211">
          <cell r="C211" t="str">
            <v xml:space="preserve"> SHASTA</v>
          </cell>
          <cell r="D211" t="str">
            <v xml:space="preserve"> LASSEN</v>
          </cell>
          <cell r="E211">
            <v>170</v>
          </cell>
          <cell r="F211" t="str">
            <v xml:space="preserve"> 2016-2017</v>
          </cell>
          <cell r="G211" t="str">
            <v xml:space="preserve"> 04/15/2017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 t="str">
            <v xml:space="preserve"> 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52903</v>
          </cell>
          <cell r="AC211">
            <v>361</v>
          </cell>
          <cell r="AD211">
            <v>4134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57</v>
          </cell>
          <cell r="AL211">
            <v>1091</v>
          </cell>
          <cell r="AM211">
            <v>1452</v>
          </cell>
          <cell r="AN211">
            <v>0</v>
          </cell>
          <cell r="AO211">
            <v>-14836</v>
          </cell>
          <cell r="AP211">
            <v>45162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 t="str">
            <v xml:space="preserve"> </v>
          </cell>
          <cell r="AV211" t="str">
            <v xml:space="preserve"> </v>
          </cell>
          <cell r="AW211" t="str">
            <v xml:space="preserve"> </v>
          </cell>
        </row>
        <row r="212">
          <cell r="C212" t="str">
            <v xml:space="preserve"> SHASTA</v>
          </cell>
          <cell r="D212" t="str">
            <v xml:space="preserve"> MODOC</v>
          </cell>
          <cell r="E212">
            <v>170</v>
          </cell>
          <cell r="F212" t="str">
            <v xml:space="preserve"> 2016-2017</v>
          </cell>
          <cell r="G212" t="str">
            <v xml:space="preserve"> 04/15/2017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 t="str">
            <v xml:space="preserve"> 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12750</v>
          </cell>
          <cell r="AC212">
            <v>50</v>
          </cell>
          <cell r="AD212">
            <v>550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575</v>
          </cell>
          <cell r="AL212">
            <v>10</v>
          </cell>
          <cell r="AM212">
            <v>200</v>
          </cell>
          <cell r="AN212">
            <v>0</v>
          </cell>
          <cell r="AO212">
            <v>-635</v>
          </cell>
          <cell r="AP212">
            <v>13500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 t="str">
            <v xml:space="preserve"> </v>
          </cell>
          <cell r="AV212" t="str">
            <v xml:space="preserve"> </v>
          </cell>
          <cell r="AW212" t="str">
            <v xml:space="preserve"> </v>
          </cell>
        </row>
        <row r="213">
          <cell r="C213" t="str">
            <v xml:space="preserve"> SHASTA</v>
          </cell>
          <cell r="D213" t="str">
            <v xml:space="preserve"> SHASTA</v>
          </cell>
          <cell r="E213">
            <v>170</v>
          </cell>
          <cell r="F213" t="str">
            <v xml:space="preserve"> 2016-2017</v>
          </cell>
          <cell r="G213" t="str">
            <v xml:space="preserve"> 04/15/2017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 t="str">
            <v xml:space="preserve"> 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10773077</v>
          </cell>
          <cell r="AC213">
            <v>70498</v>
          </cell>
          <cell r="AD213">
            <v>443758</v>
          </cell>
          <cell r="AE213">
            <v>77705</v>
          </cell>
          <cell r="AF213">
            <v>36910</v>
          </cell>
          <cell r="AG213">
            <v>0</v>
          </cell>
          <cell r="AH213">
            <v>0</v>
          </cell>
          <cell r="AI213">
            <v>899267</v>
          </cell>
          <cell r="AJ213">
            <v>0</v>
          </cell>
          <cell r="AK213">
            <v>3214</v>
          </cell>
          <cell r="AL213">
            <v>60745</v>
          </cell>
          <cell r="AM213">
            <v>152775</v>
          </cell>
          <cell r="AN213">
            <v>0</v>
          </cell>
          <cell r="AO213">
            <v>-378655</v>
          </cell>
          <cell r="AP213">
            <v>12061589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 t="str">
            <v xml:space="preserve"> </v>
          </cell>
          <cell r="AV213" t="str">
            <v xml:space="preserve"> </v>
          </cell>
          <cell r="AW213" t="str">
            <v xml:space="preserve"> </v>
          </cell>
        </row>
        <row r="214">
          <cell r="C214" t="str">
            <v xml:space="preserve"> SHASTA</v>
          </cell>
          <cell r="D214" t="str">
            <v xml:space="preserve"> TEHAMA</v>
          </cell>
          <cell r="E214">
            <v>170</v>
          </cell>
          <cell r="F214" t="str">
            <v xml:space="preserve"> 2016-2017</v>
          </cell>
          <cell r="G214" t="str">
            <v xml:space="preserve"> 04/15/2017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 t="str">
            <v xml:space="preserve"> 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2885109</v>
          </cell>
          <cell r="AC214">
            <v>5000</v>
          </cell>
          <cell r="AD214">
            <v>118364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3000</v>
          </cell>
          <cell r="AL214">
            <v>3000</v>
          </cell>
          <cell r="AM214">
            <v>50670</v>
          </cell>
          <cell r="AN214">
            <v>300</v>
          </cell>
          <cell r="AO214">
            <v>56196</v>
          </cell>
          <cell r="AP214">
            <v>3121639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 t="str">
            <v xml:space="preserve"> </v>
          </cell>
          <cell r="AV214" t="str">
            <v xml:space="preserve"> </v>
          </cell>
          <cell r="AW214" t="str">
            <v xml:space="preserve"> </v>
          </cell>
        </row>
        <row r="215">
          <cell r="C215" t="str">
            <v xml:space="preserve"> SHASTA</v>
          </cell>
          <cell r="D215" t="str">
            <v xml:space="preserve"> TRINITY</v>
          </cell>
          <cell r="E215">
            <v>170</v>
          </cell>
          <cell r="F215" t="str">
            <v xml:space="preserve"> </v>
          </cell>
          <cell r="G215" t="str">
            <v xml:space="preserve"> </v>
          </cell>
          <cell r="H215">
            <v>0</v>
          </cell>
          <cell r="I215" t="str">
            <v xml:space="preserve"> </v>
          </cell>
          <cell r="J215" t="str">
            <v xml:space="preserve"> </v>
          </cell>
          <cell r="K215" t="str">
            <v xml:space="preserve"> </v>
          </cell>
          <cell r="L215" t="str">
            <v xml:space="preserve"> </v>
          </cell>
          <cell r="M215" t="str">
            <v xml:space="preserve"> </v>
          </cell>
          <cell r="N215" t="str">
            <v xml:space="preserve"> </v>
          </cell>
          <cell r="O215" t="str">
            <v xml:space="preserve"> </v>
          </cell>
          <cell r="P215" t="str">
            <v xml:space="preserve"> </v>
          </cell>
          <cell r="Q215" t="str">
            <v xml:space="preserve"> </v>
          </cell>
          <cell r="R215" t="str">
            <v xml:space="preserve"> </v>
          </cell>
          <cell r="S215" t="str">
            <v xml:space="preserve"> 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>
            <v>0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 t="str">
            <v xml:space="preserve"> </v>
          </cell>
          <cell r="AB215" t="str">
            <v xml:space="preserve"> </v>
          </cell>
          <cell r="AC215" t="str">
            <v xml:space="preserve"> </v>
          </cell>
          <cell r="AD215" t="str">
            <v xml:space="preserve"> </v>
          </cell>
          <cell r="AE215" t="str">
            <v xml:space="preserve"> </v>
          </cell>
          <cell r="AF215" t="str">
            <v xml:space="preserve"> </v>
          </cell>
          <cell r="AG215" t="str">
            <v xml:space="preserve"> </v>
          </cell>
          <cell r="AH215" t="str">
            <v xml:space="preserve"> </v>
          </cell>
          <cell r="AI215" t="str">
            <v xml:space="preserve"> </v>
          </cell>
          <cell r="AJ215" t="str">
            <v xml:space="preserve"> </v>
          </cell>
          <cell r="AK215" t="str">
            <v xml:space="preserve">  </v>
          </cell>
          <cell r="AL215">
            <v>0</v>
          </cell>
          <cell r="AM215" t="str">
            <v xml:space="preserve"> </v>
          </cell>
          <cell r="AN215" t="str">
            <v xml:space="preserve"> </v>
          </cell>
          <cell r="AO215" t="str">
            <v xml:space="preserve"> </v>
          </cell>
          <cell r="AP215" t="str">
            <v xml:space="preserve"> </v>
          </cell>
          <cell r="AQ215" t="str">
            <v xml:space="preserve"> </v>
          </cell>
          <cell r="AR215">
            <v>0</v>
          </cell>
          <cell r="AS215" t="str">
            <v xml:space="preserve"> </v>
          </cell>
          <cell r="AT215" t="str">
            <v xml:space="preserve"> </v>
          </cell>
          <cell r="AU215" t="str">
            <v xml:space="preserve"> </v>
          </cell>
          <cell r="AV215" t="str">
            <v xml:space="preserve"> </v>
          </cell>
          <cell r="AW215" t="str">
            <v xml:space="preserve"> </v>
          </cell>
        </row>
        <row r="216">
          <cell r="C216" t="str">
            <v xml:space="preserve">SHASTA Subtotal            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13747327</v>
          </cell>
          <cell r="AC216">
            <v>76259</v>
          </cell>
          <cell r="AD216">
            <v>567717</v>
          </cell>
          <cell r="AE216">
            <v>77705</v>
          </cell>
          <cell r="AF216">
            <v>36910</v>
          </cell>
          <cell r="AG216">
            <v>0</v>
          </cell>
          <cell r="AH216">
            <v>0</v>
          </cell>
          <cell r="AI216">
            <v>899267</v>
          </cell>
          <cell r="AJ216">
            <v>0</v>
          </cell>
          <cell r="AK216">
            <v>6856</v>
          </cell>
          <cell r="AL216">
            <v>64963</v>
          </cell>
          <cell r="AM216">
            <v>205401</v>
          </cell>
          <cell r="AN216">
            <v>300</v>
          </cell>
          <cell r="AO216">
            <v>-337650</v>
          </cell>
          <cell r="AP216">
            <v>15267350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8">
          <cell r="C218" t="str">
            <v xml:space="preserve"> SIERRA</v>
          </cell>
          <cell r="D218" t="str">
            <v xml:space="preserve"> EL DORADO</v>
          </cell>
          <cell r="E218">
            <v>270</v>
          </cell>
          <cell r="F218" t="str">
            <v xml:space="preserve"> 2016-2017</v>
          </cell>
          <cell r="G218" t="str">
            <v xml:space="preserve"> 04/15/2017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 t="str">
            <v xml:space="preserve"> 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546082</v>
          </cell>
          <cell r="AC218">
            <v>7074</v>
          </cell>
          <cell r="AD218">
            <v>10286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-197</v>
          </cell>
          <cell r="AL218">
            <v>0</v>
          </cell>
          <cell r="AM218">
            <v>5189</v>
          </cell>
          <cell r="AN218">
            <v>0</v>
          </cell>
          <cell r="AO218">
            <v>0</v>
          </cell>
          <cell r="AP218">
            <v>568434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 t="str">
            <v xml:space="preserve"> </v>
          </cell>
          <cell r="AV218" t="str">
            <v xml:space="preserve"> </v>
          </cell>
          <cell r="AW218" t="str">
            <v xml:space="preserve"> </v>
          </cell>
        </row>
        <row r="219">
          <cell r="C219" t="str">
            <v xml:space="preserve"> SIERRA</v>
          </cell>
          <cell r="D219" t="str">
            <v xml:space="preserve"> NEVADA</v>
          </cell>
          <cell r="E219">
            <v>270</v>
          </cell>
          <cell r="F219" t="str">
            <v xml:space="preserve"> 2016-2017</v>
          </cell>
          <cell r="G219" t="str">
            <v xml:space="preserve"> 04/15/2017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14600092</v>
          </cell>
          <cell r="AC219">
            <v>250000</v>
          </cell>
          <cell r="AD219">
            <v>244735</v>
          </cell>
          <cell r="AE219">
            <v>36478</v>
          </cell>
          <cell r="AF219">
            <v>17327</v>
          </cell>
          <cell r="AG219">
            <v>0</v>
          </cell>
          <cell r="AH219">
            <v>0</v>
          </cell>
          <cell r="AI219">
            <v>114029</v>
          </cell>
          <cell r="AJ219">
            <v>0</v>
          </cell>
          <cell r="AK219">
            <v>1393</v>
          </cell>
          <cell r="AL219">
            <v>4705</v>
          </cell>
          <cell r="AM219">
            <v>141627</v>
          </cell>
          <cell r="AN219">
            <v>0</v>
          </cell>
          <cell r="AO219">
            <v>1302562</v>
          </cell>
          <cell r="AP219">
            <v>16676470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 t="str">
            <v xml:space="preserve"> </v>
          </cell>
          <cell r="AV219" t="str">
            <v xml:space="preserve"> </v>
          </cell>
          <cell r="AW219" t="str">
            <v xml:space="preserve"> </v>
          </cell>
        </row>
        <row r="220">
          <cell r="C220" t="str">
            <v xml:space="preserve"> SIERRA</v>
          </cell>
          <cell r="D220" t="str">
            <v xml:space="preserve"> PLACER</v>
          </cell>
          <cell r="E220">
            <v>270</v>
          </cell>
          <cell r="F220" t="str">
            <v xml:space="preserve"> 2016-2017</v>
          </cell>
          <cell r="G220" t="str">
            <v xml:space="preserve"> 04/15/2017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48780823</v>
          </cell>
          <cell r="AC220">
            <v>981996</v>
          </cell>
          <cell r="AD220">
            <v>1242969</v>
          </cell>
          <cell r="AE220">
            <v>503073</v>
          </cell>
          <cell r="AF220">
            <v>238960</v>
          </cell>
          <cell r="AG220">
            <v>0</v>
          </cell>
          <cell r="AH220">
            <v>0</v>
          </cell>
          <cell r="AI220">
            <v>695746</v>
          </cell>
          <cell r="AJ220">
            <v>0</v>
          </cell>
          <cell r="AK220">
            <v>13010</v>
          </cell>
          <cell r="AL220">
            <v>7910</v>
          </cell>
          <cell r="AM220">
            <v>396564</v>
          </cell>
          <cell r="AN220">
            <v>0</v>
          </cell>
          <cell r="AO220">
            <v>4519066</v>
          </cell>
          <cell r="AP220">
            <v>56877044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 t="str">
            <v xml:space="preserve"> </v>
          </cell>
          <cell r="AV220" t="str">
            <v xml:space="preserve"> </v>
          </cell>
          <cell r="AW220" t="str">
            <v xml:space="preserve"> </v>
          </cell>
        </row>
        <row r="221">
          <cell r="C221" t="str">
            <v xml:space="preserve"> SIERRA</v>
          </cell>
          <cell r="D221" t="str">
            <v xml:space="preserve"> SACRAMENTO</v>
          </cell>
          <cell r="E221">
            <v>270</v>
          </cell>
          <cell r="F221" t="str">
            <v xml:space="preserve"> 2016-2017</v>
          </cell>
          <cell r="G221" t="str">
            <v xml:space="preserve"> 04/15/2017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 t="str">
            <v xml:space="preserve"> 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1371504</v>
          </cell>
          <cell r="AC221">
            <v>37068</v>
          </cell>
          <cell r="AD221">
            <v>43096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16028</v>
          </cell>
          <cell r="AN221">
            <v>0</v>
          </cell>
          <cell r="AO221">
            <v>0</v>
          </cell>
          <cell r="AP221">
            <v>1467696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 t="str">
            <v xml:space="preserve"> </v>
          </cell>
          <cell r="AV221" t="str">
            <v xml:space="preserve"> </v>
          </cell>
          <cell r="AW221" t="str">
            <v xml:space="preserve"> </v>
          </cell>
        </row>
        <row r="222">
          <cell r="C222" t="str">
            <v xml:space="preserve">SIERRA Subtotal         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65298501</v>
          </cell>
          <cell r="AC222">
            <v>1276138</v>
          </cell>
          <cell r="AD222">
            <v>1541086</v>
          </cell>
          <cell r="AE222">
            <v>539551</v>
          </cell>
          <cell r="AF222">
            <v>256287</v>
          </cell>
          <cell r="AG222">
            <v>0</v>
          </cell>
          <cell r="AH222">
            <v>0</v>
          </cell>
          <cell r="AI222">
            <v>809775</v>
          </cell>
          <cell r="AJ222">
            <v>0</v>
          </cell>
          <cell r="AK222">
            <v>14206</v>
          </cell>
          <cell r="AL222">
            <v>12615</v>
          </cell>
          <cell r="AM222">
            <v>559408</v>
          </cell>
          <cell r="AN222">
            <v>0</v>
          </cell>
          <cell r="AO222">
            <v>5821628</v>
          </cell>
          <cell r="AP222">
            <v>75589644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4">
          <cell r="C224" t="str">
            <v xml:space="preserve"> SISKIYOU</v>
          </cell>
          <cell r="D224" t="str">
            <v xml:space="preserve"> SHASTA</v>
          </cell>
          <cell r="E224">
            <v>180</v>
          </cell>
          <cell r="F224" t="str">
            <v xml:space="preserve"> 2016-2017</v>
          </cell>
          <cell r="G224" t="str">
            <v xml:space="preserve"> 04/15/2017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56262</v>
          </cell>
          <cell r="AC224">
            <v>285</v>
          </cell>
          <cell r="AD224">
            <v>2036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15</v>
          </cell>
          <cell r="AL224">
            <v>4523</v>
          </cell>
          <cell r="AM224">
            <v>701</v>
          </cell>
          <cell r="AN224">
            <v>0</v>
          </cell>
          <cell r="AO224">
            <v>-1737</v>
          </cell>
          <cell r="AP224">
            <v>62085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 t="str">
            <v xml:space="preserve"> </v>
          </cell>
          <cell r="AV224" t="str">
            <v xml:space="preserve"> </v>
          </cell>
          <cell r="AW224" t="str">
            <v xml:space="preserve"> </v>
          </cell>
        </row>
        <row r="225">
          <cell r="C225" t="str">
            <v xml:space="preserve"> SISKIYOU</v>
          </cell>
          <cell r="D225" t="str">
            <v xml:space="preserve"> SISKIYOU</v>
          </cell>
          <cell r="E225">
            <v>180</v>
          </cell>
          <cell r="F225" t="str">
            <v xml:space="preserve"> 2016-2017</v>
          </cell>
          <cell r="G225" t="str">
            <v xml:space="preserve"> 04/15/2017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 t="str">
            <v xml:space="preserve"> 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3540549</v>
          </cell>
          <cell r="AC225">
            <v>27000</v>
          </cell>
          <cell r="AD225">
            <v>195000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5000</v>
          </cell>
          <cell r="AL225">
            <v>60000</v>
          </cell>
          <cell r="AM225">
            <v>56206</v>
          </cell>
          <cell r="AN225">
            <v>0</v>
          </cell>
          <cell r="AO225">
            <v>43036</v>
          </cell>
          <cell r="AP225">
            <v>3926791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 t="str">
            <v xml:space="preserve"> </v>
          </cell>
          <cell r="AV225" t="str">
            <v xml:space="preserve"> </v>
          </cell>
          <cell r="AW225" t="str">
            <v xml:space="preserve"> </v>
          </cell>
        </row>
        <row r="226">
          <cell r="C226" t="str">
            <v xml:space="preserve">SISKIYOU Subtotal       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3596811</v>
          </cell>
          <cell r="AC226">
            <v>27285</v>
          </cell>
          <cell r="AD226">
            <v>197036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5015</v>
          </cell>
          <cell r="AL226">
            <v>64523</v>
          </cell>
          <cell r="AM226">
            <v>56907</v>
          </cell>
          <cell r="AN226">
            <v>0</v>
          </cell>
          <cell r="AO226">
            <v>41299</v>
          </cell>
          <cell r="AP226">
            <v>3988876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8">
          <cell r="C228" t="str">
            <v xml:space="preserve"> SOLANO</v>
          </cell>
          <cell r="D228" t="str">
            <v xml:space="preserve"> SOLANO</v>
          </cell>
          <cell r="E228">
            <v>280</v>
          </cell>
          <cell r="F228" t="str">
            <v xml:space="preserve"> 2016-2017</v>
          </cell>
          <cell r="G228" t="str">
            <v xml:space="preserve"> 04/15/2017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 t="str">
            <v xml:space="preserve"> 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10957857</v>
          </cell>
          <cell r="AC228">
            <v>223484</v>
          </cell>
          <cell r="AD228">
            <v>613003</v>
          </cell>
          <cell r="AE228">
            <v>172626</v>
          </cell>
          <cell r="AF228">
            <v>81997</v>
          </cell>
          <cell r="AG228">
            <v>0</v>
          </cell>
          <cell r="AH228">
            <v>0</v>
          </cell>
          <cell r="AI228">
            <v>2709881</v>
          </cell>
          <cell r="AJ228">
            <v>0</v>
          </cell>
          <cell r="AK228">
            <v>0</v>
          </cell>
          <cell r="AL228">
            <v>0</v>
          </cell>
          <cell r="AM228">
            <v>120903</v>
          </cell>
          <cell r="AN228">
            <v>0</v>
          </cell>
          <cell r="AO228">
            <v>1577391</v>
          </cell>
          <cell r="AP228">
            <v>16284516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 t="str">
            <v xml:space="preserve"> </v>
          </cell>
          <cell r="AV228" t="str">
            <v xml:space="preserve"> </v>
          </cell>
          <cell r="AW228" t="str">
            <v xml:space="preserve"> </v>
          </cell>
        </row>
        <row r="229">
          <cell r="C229" t="str">
            <v xml:space="preserve"> SOLANO</v>
          </cell>
          <cell r="D229" t="str">
            <v xml:space="preserve"> YOLO</v>
          </cell>
          <cell r="E229">
            <v>280</v>
          </cell>
          <cell r="F229" t="str">
            <v xml:space="preserve"> 2016-2017</v>
          </cell>
          <cell r="G229" t="str">
            <v xml:space="preserve"> 04/15/2017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 t="str">
            <v xml:space="preserve"> 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242484</v>
          </cell>
          <cell r="AC229">
            <v>2500</v>
          </cell>
          <cell r="AD229">
            <v>14050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10351</v>
          </cell>
          <cell r="AK229">
            <v>250</v>
          </cell>
          <cell r="AL229">
            <v>0</v>
          </cell>
          <cell r="AM229">
            <v>2601</v>
          </cell>
          <cell r="AN229">
            <v>1677</v>
          </cell>
          <cell r="AO229">
            <v>0</v>
          </cell>
          <cell r="AP229">
            <v>273913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 t="str">
            <v xml:space="preserve"> </v>
          </cell>
          <cell r="AV229" t="str">
            <v xml:space="preserve"> </v>
          </cell>
          <cell r="AW229" t="str">
            <v xml:space="preserve"> </v>
          </cell>
        </row>
        <row r="230">
          <cell r="C230" t="str">
            <v xml:space="preserve">SOLANO Subtotal            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11200341</v>
          </cell>
          <cell r="AC230">
            <v>225984</v>
          </cell>
          <cell r="AD230">
            <v>627053</v>
          </cell>
          <cell r="AE230">
            <v>172626</v>
          </cell>
          <cell r="AF230">
            <v>81997</v>
          </cell>
          <cell r="AG230">
            <v>0</v>
          </cell>
          <cell r="AH230">
            <v>0</v>
          </cell>
          <cell r="AI230">
            <v>2709881</v>
          </cell>
          <cell r="AJ230">
            <v>10351</v>
          </cell>
          <cell r="AK230">
            <v>250</v>
          </cell>
          <cell r="AL230">
            <v>0</v>
          </cell>
          <cell r="AM230">
            <v>123504</v>
          </cell>
          <cell r="AN230">
            <v>1677</v>
          </cell>
          <cell r="AO230">
            <v>1577391</v>
          </cell>
          <cell r="AP230">
            <v>16558429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2">
          <cell r="C232" t="str">
            <v xml:space="preserve"> SONOMA</v>
          </cell>
          <cell r="D232" t="str">
            <v xml:space="preserve"> MARIN</v>
          </cell>
          <cell r="E232">
            <v>260</v>
          </cell>
          <cell r="F232" t="str">
            <v xml:space="preserve"> 2016-2017</v>
          </cell>
          <cell r="G232" t="str">
            <v xml:space="preserve"> 04/15/2017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 t="str">
            <v xml:space="preserve"> 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71510</v>
          </cell>
          <cell r="AC232">
            <v>1405</v>
          </cell>
          <cell r="AD232">
            <v>1308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107</v>
          </cell>
          <cell r="AL232">
            <v>0</v>
          </cell>
          <cell r="AM232">
            <v>346</v>
          </cell>
          <cell r="AN232">
            <v>0</v>
          </cell>
          <cell r="AO232">
            <v>0</v>
          </cell>
          <cell r="AP232">
            <v>74676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 t="str">
            <v xml:space="preserve"> </v>
          </cell>
          <cell r="AV232" t="str">
            <v xml:space="preserve"> </v>
          </cell>
          <cell r="AW232" t="str">
            <v xml:space="preserve"> </v>
          </cell>
        </row>
        <row r="233">
          <cell r="C233" t="str">
            <v xml:space="preserve"> SONOMA</v>
          </cell>
          <cell r="D233" t="str">
            <v xml:space="preserve"> MENDOCINO</v>
          </cell>
          <cell r="E233">
            <v>260</v>
          </cell>
          <cell r="F233" t="str">
            <v xml:space="preserve"> 2016-2017</v>
          </cell>
          <cell r="G233" t="str">
            <v xml:space="preserve"> 04/15/2017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 t="str">
            <v xml:space="preserve"> 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668970</v>
          </cell>
          <cell r="AC233">
            <v>6510</v>
          </cell>
          <cell r="AD233">
            <v>21086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1115</v>
          </cell>
          <cell r="AL233">
            <v>2627</v>
          </cell>
          <cell r="AM233">
            <v>5954</v>
          </cell>
          <cell r="AN233">
            <v>0</v>
          </cell>
          <cell r="AO233">
            <v>0</v>
          </cell>
          <cell r="AP233">
            <v>706262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 t="str">
            <v xml:space="preserve"> </v>
          </cell>
          <cell r="AV233" t="str">
            <v xml:space="preserve"> </v>
          </cell>
          <cell r="AW233" t="str">
            <v xml:space="preserve"> </v>
          </cell>
        </row>
        <row r="234">
          <cell r="C234" t="str">
            <v xml:space="preserve"> SONOMA</v>
          </cell>
          <cell r="D234" t="str">
            <v xml:space="preserve"> SONOMA</v>
          </cell>
          <cell r="E234">
            <v>260</v>
          </cell>
          <cell r="F234" t="str">
            <v xml:space="preserve"> 2016-2017</v>
          </cell>
          <cell r="G234" t="str">
            <v xml:space="preserve"> 04/15/2017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 t="str">
            <v xml:space="preserve"> 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45188385</v>
          </cell>
          <cell r="AC234">
            <v>991295</v>
          </cell>
          <cell r="AD234">
            <v>1160700</v>
          </cell>
          <cell r="AE234">
            <v>920207</v>
          </cell>
          <cell r="AF234">
            <v>437098</v>
          </cell>
          <cell r="AG234">
            <v>0</v>
          </cell>
          <cell r="AH234">
            <v>0</v>
          </cell>
          <cell r="AI234">
            <v>1117431</v>
          </cell>
          <cell r="AJ234">
            <v>34511</v>
          </cell>
          <cell r="AK234">
            <v>0</v>
          </cell>
          <cell r="AL234">
            <v>7645</v>
          </cell>
          <cell r="AM234">
            <v>356169</v>
          </cell>
          <cell r="AN234">
            <v>0</v>
          </cell>
          <cell r="AO234">
            <v>3502213</v>
          </cell>
          <cell r="AP234">
            <v>52795447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 t="str">
            <v xml:space="preserve"> </v>
          </cell>
          <cell r="AV234" t="str">
            <v xml:space="preserve"> </v>
          </cell>
          <cell r="AW234" t="str">
            <v xml:space="preserve"> </v>
          </cell>
        </row>
        <row r="235">
          <cell r="C235" t="str">
            <v xml:space="preserve">SONOMA Subtotal        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45928865</v>
          </cell>
          <cell r="AC235">
            <v>999210</v>
          </cell>
          <cell r="AD235">
            <v>1183094</v>
          </cell>
          <cell r="AE235">
            <v>920207</v>
          </cell>
          <cell r="AF235">
            <v>437098</v>
          </cell>
          <cell r="AG235">
            <v>0</v>
          </cell>
          <cell r="AH235">
            <v>0</v>
          </cell>
          <cell r="AI235">
            <v>1117431</v>
          </cell>
          <cell r="AJ235">
            <v>34511</v>
          </cell>
          <cell r="AK235">
            <v>1222</v>
          </cell>
          <cell r="AL235">
            <v>10272</v>
          </cell>
          <cell r="AM235">
            <v>362469</v>
          </cell>
          <cell r="AN235">
            <v>0</v>
          </cell>
          <cell r="AO235">
            <v>3502213</v>
          </cell>
          <cell r="AP235">
            <v>53576385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7">
          <cell r="C237" t="str">
            <v xml:space="preserve"> SOUTH ORANGE CO.</v>
          </cell>
          <cell r="D237" t="str">
            <v xml:space="preserve"> ORANGE</v>
          </cell>
          <cell r="E237">
            <v>890</v>
          </cell>
          <cell r="F237" t="str">
            <v xml:space="preserve"> 2016-2017</v>
          </cell>
          <cell r="G237" t="str">
            <v xml:space="preserve"> 04/15/2017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 t="str">
            <v xml:space="preserve"> 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184411696</v>
          </cell>
          <cell r="AC237">
            <v>4754046</v>
          </cell>
          <cell r="AD237">
            <v>5857394</v>
          </cell>
          <cell r="AE237">
            <v>917155</v>
          </cell>
          <cell r="AF237">
            <v>435649</v>
          </cell>
          <cell r="AG237">
            <v>0</v>
          </cell>
          <cell r="AH237">
            <v>0</v>
          </cell>
          <cell r="AI237">
            <v>3347621</v>
          </cell>
          <cell r="AJ237">
            <v>0</v>
          </cell>
          <cell r="AK237">
            <v>2046207</v>
          </cell>
          <cell r="AL237">
            <v>23</v>
          </cell>
          <cell r="AM237">
            <v>1174733</v>
          </cell>
          <cell r="AN237">
            <v>0</v>
          </cell>
          <cell r="AO237">
            <v>0</v>
          </cell>
          <cell r="AP237">
            <v>202027369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 t="str">
            <v xml:space="preserve"> </v>
          </cell>
          <cell r="AV237" t="str">
            <v xml:space="preserve"> </v>
          </cell>
          <cell r="AW237" t="str">
            <v xml:space="preserve"> </v>
          </cell>
        </row>
        <row r="238">
          <cell r="C238" t="str">
            <v>SOUTH ORANGE CO. Subtotal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184411696</v>
          </cell>
          <cell r="AC238">
            <v>4754046</v>
          </cell>
          <cell r="AD238">
            <v>5857394</v>
          </cell>
          <cell r="AE238">
            <v>917155</v>
          </cell>
          <cell r="AF238">
            <v>435649</v>
          </cell>
          <cell r="AG238">
            <v>0</v>
          </cell>
          <cell r="AH238">
            <v>0</v>
          </cell>
          <cell r="AI238">
            <v>3347621</v>
          </cell>
          <cell r="AJ238">
            <v>0</v>
          </cell>
          <cell r="AK238">
            <v>2046207</v>
          </cell>
          <cell r="AL238">
            <v>23</v>
          </cell>
          <cell r="AM238">
            <v>1174733</v>
          </cell>
          <cell r="AN238">
            <v>0</v>
          </cell>
          <cell r="AO238">
            <v>0</v>
          </cell>
          <cell r="AP238">
            <v>202027369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40">
          <cell r="C240" t="str">
            <v xml:space="preserve"> SOUTHWESTERN</v>
          </cell>
          <cell r="D240" t="str">
            <v xml:space="preserve"> SAN DIEGO</v>
          </cell>
          <cell r="E240">
            <v>90</v>
          </cell>
          <cell r="F240" t="str">
            <v xml:space="preserve"> 2016-2017</v>
          </cell>
          <cell r="G240" t="str">
            <v xml:space="preserve"> 04/15/2017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 t="str">
            <v xml:space="preserve"> 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23305454</v>
          </cell>
          <cell r="AC240">
            <v>578707</v>
          </cell>
          <cell r="AD240">
            <v>760109</v>
          </cell>
          <cell r="AE240">
            <v>378774</v>
          </cell>
          <cell r="AF240">
            <v>179918</v>
          </cell>
          <cell r="AG240">
            <v>0</v>
          </cell>
          <cell r="AH240">
            <v>0</v>
          </cell>
          <cell r="AI240">
            <v>984199</v>
          </cell>
          <cell r="AJ240">
            <v>33994</v>
          </cell>
          <cell r="AK240">
            <v>-9783</v>
          </cell>
          <cell r="AL240">
            <v>0</v>
          </cell>
          <cell r="AM240">
            <v>175807</v>
          </cell>
          <cell r="AN240">
            <v>0</v>
          </cell>
          <cell r="AO240">
            <v>-284594</v>
          </cell>
          <cell r="AP240">
            <v>25723811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 t="str">
            <v xml:space="preserve"> </v>
          </cell>
          <cell r="AV240" t="str">
            <v xml:space="preserve"> </v>
          </cell>
          <cell r="AW240" t="str">
            <v xml:space="preserve"> </v>
          </cell>
        </row>
        <row r="241">
          <cell r="C241" t="str">
            <v xml:space="preserve">SOUTHWESTERN Subtotal     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23305454</v>
          </cell>
          <cell r="AC241">
            <v>578707</v>
          </cell>
          <cell r="AD241">
            <v>760109</v>
          </cell>
          <cell r="AE241">
            <v>378774</v>
          </cell>
          <cell r="AF241">
            <v>179918</v>
          </cell>
          <cell r="AG241">
            <v>0</v>
          </cell>
          <cell r="AH241">
            <v>0</v>
          </cell>
          <cell r="AI241">
            <v>984199</v>
          </cell>
          <cell r="AJ241">
            <v>33994</v>
          </cell>
          <cell r="AK241">
            <v>-9783</v>
          </cell>
          <cell r="AL241">
            <v>0</v>
          </cell>
          <cell r="AM241">
            <v>175807</v>
          </cell>
          <cell r="AN241">
            <v>0</v>
          </cell>
          <cell r="AO241">
            <v>-284594</v>
          </cell>
          <cell r="AP241">
            <v>25723811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3">
          <cell r="C243" t="str">
            <v xml:space="preserve"> STATE CENTER</v>
          </cell>
          <cell r="D243" t="str">
            <v xml:space="preserve"> FRESNO</v>
          </cell>
          <cell r="E243">
            <v>570</v>
          </cell>
          <cell r="F243" t="str">
            <v xml:space="preserve"> 2016-2017</v>
          </cell>
          <cell r="G243" t="str">
            <v xml:space="preserve"> 04/15/2017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 t="str">
            <v xml:space="preserve"> 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31172379</v>
          </cell>
          <cell r="AC243">
            <v>397783</v>
          </cell>
          <cell r="AD243">
            <v>1510470</v>
          </cell>
          <cell r="AE243">
            <v>209356</v>
          </cell>
          <cell r="AF243">
            <v>99444</v>
          </cell>
          <cell r="AG243">
            <v>0</v>
          </cell>
          <cell r="AH243">
            <v>0</v>
          </cell>
          <cell r="AI243">
            <v>1104650</v>
          </cell>
          <cell r="AJ243">
            <v>192995</v>
          </cell>
          <cell r="AK243">
            <v>25714</v>
          </cell>
          <cell r="AL243">
            <v>2803</v>
          </cell>
          <cell r="AM243">
            <v>326228</v>
          </cell>
          <cell r="AN243">
            <v>0</v>
          </cell>
          <cell r="AO243">
            <v>-1328879</v>
          </cell>
          <cell r="AP243">
            <v>33503587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 t="str">
            <v xml:space="preserve"> </v>
          </cell>
          <cell r="AV243" t="str">
            <v xml:space="preserve"> </v>
          </cell>
          <cell r="AW243" t="str">
            <v xml:space="preserve"> </v>
          </cell>
        </row>
        <row r="244">
          <cell r="C244" t="str">
            <v xml:space="preserve"> STATE CENTER</v>
          </cell>
          <cell r="D244" t="str">
            <v xml:space="preserve"> KINGS</v>
          </cell>
          <cell r="E244">
            <v>570</v>
          </cell>
          <cell r="F244" t="str">
            <v xml:space="preserve"> 2016-2017</v>
          </cell>
          <cell r="G244" t="str">
            <v xml:space="preserve"> 04/15/2017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 t="str">
            <v xml:space="preserve"> 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56003</v>
          </cell>
          <cell r="AC244">
            <v>801</v>
          </cell>
          <cell r="AD244">
            <v>2630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20229</v>
          </cell>
          <cell r="AL244">
            <v>0</v>
          </cell>
          <cell r="AM244">
            <v>661</v>
          </cell>
          <cell r="AN244">
            <v>0</v>
          </cell>
          <cell r="AO244">
            <v>-21271</v>
          </cell>
          <cell r="AP244">
            <v>59053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 t="str">
            <v xml:space="preserve"> </v>
          </cell>
          <cell r="AV244" t="str">
            <v xml:space="preserve"> </v>
          </cell>
          <cell r="AW244" t="str">
            <v xml:space="preserve"> </v>
          </cell>
        </row>
        <row r="245">
          <cell r="C245" t="str">
            <v xml:space="preserve"> STATE CENTER</v>
          </cell>
          <cell r="D245" t="str">
            <v xml:space="preserve"> MADERA</v>
          </cell>
          <cell r="E245">
            <v>570</v>
          </cell>
          <cell r="F245" t="str">
            <v xml:space="preserve"> 2016-2017</v>
          </cell>
          <cell r="G245" t="str">
            <v xml:space="preserve"> 04/15/2017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 t="str">
            <v xml:space="preserve"> 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7703928</v>
          </cell>
          <cell r="AC245">
            <v>0</v>
          </cell>
          <cell r="AD245">
            <v>289863</v>
          </cell>
          <cell r="AE245">
            <v>51540</v>
          </cell>
          <cell r="AF245">
            <v>24482</v>
          </cell>
          <cell r="AG245">
            <v>0</v>
          </cell>
          <cell r="AH245">
            <v>0</v>
          </cell>
          <cell r="AI245">
            <v>108728</v>
          </cell>
          <cell r="AJ245">
            <v>0</v>
          </cell>
          <cell r="AK245">
            <v>0</v>
          </cell>
          <cell r="AL245">
            <v>0</v>
          </cell>
          <cell r="AM245">
            <v>79036</v>
          </cell>
          <cell r="AN245">
            <v>0</v>
          </cell>
          <cell r="AO245">
            <v>0</v>
          </cell>
          <cell r="AP245">
            <v>8206037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 t="str">
            <v xml:space="preserve"> </v>
          </cell>
          <cell r="AV245" t="str">
            <v xml:space="preserve"> </v>
          </cell>
          <cell r="AW245" t="str">
            <v xml:space="preserve"> </v>
          </cell>
        </row>
        <row r="246">
          <cell r="C246" t="str">
            <v xml:space="preserve"> STATE CENTER</v>
          </cell>
          <cell r="D246" t="str">
            <v xml:space="preserve"> TULARE</v>
          </cell>
          <cell r="E246">
            <v>570</v>
          </cell>
          <cell r="F246" t="str">
            <v xml:space="preserve"> 2016-2017</v>
          </cell>
          <cell r="G246" t="str">
            <v xml:space="preserve"> 04/15/2017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 t="str">
            <v xml:space="preserve"> 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696595</v>
          </cell>
          <cell r="AC246">
            <v>9974</v>
          </cell>
          <cell r="AD246">
            <v>39743</v>
          </cell>
          <cell r="AE246">
            <v>56924</v>
          </cell>
          <cell r="AF246">
            <v>27039</v>
          </cell>
          <cell r="AG246">
            <v>0</v>
          </cell>
          <cell r="AH246">
            <v>0</v>
          </cell>
          <cell r="AI246">
            <v>45547</v>
          </cell>
          <cell r="AJ246">
            <v>0</v>
          </cell>
          <cell r="AK246">
            <v>0</v>
          </cell>
          <cell r="AL246">
            <v>0</v>
          </cell>
          <cell r="AM246">
            <v>7085</v>
          </cell>
          <cell r="AN246">
            <v>0</v>
          </cell>
          <cell r="AO246">
            <v>-49275</v>
          </cell>
          <cell r="AP246">
            <v>776708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 t="str">
            <v xml:space="preserve"> </v>
          </cell>
          <cell r="AV246" t="str">
            <v xml:space="preserve"> </v>
          </cell>
          <cell r="AW246" t="str">
            <v xml:space="preserve"> </v>
          </cell>
        </row>
        <row r="247">
          <cell r="C247" t="str">
            <v xml:space="preserve">STATE CENTER Subtotal     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39628905</v>
          </cell>
          <cell r="AC247">
            <v>408558</v>
          </cell>
          <cell r="AD247">
            <v>1842706</v>
          </cell>
          <cell r="AE247">
            <v>317820</v>
          </cell>
          <cell r="AF247">
            <v>150965</v>
          </cell>
          <cell r="AG247">
            <v>0</v>
          </cell>
          <cell r="AH247">
            <v>0</v>
          </cell>
          <cell r="AI247">
            <v>1258925</v>
          </cell>
          <cell r="AJ247">
            <v>192995</v>
          </cell>
          <cell r="AK247">
            <v>45943</v>
          </cell>
          <cell r="AL247">
            <v>2803</v>
          </cell>
          <cell r="AM247">
            <v>413010</v>
          </cell>
          <cell r="AN247">
            <v>0</v>
          </cell>
          <cell r="AO247">
            <v>-1399425</v>
          </cell>
          <cell r="AP247">
            <v>42545385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9">
          <cell r="C249" t="str">
            <v xml:space="preserve"> VENTURA</v>
          </cell>
          <cell r="D249" t="str">
            <v xml:space="preserve"> VENTURA</v>
          </cell>
          <cell r="E249">
            <v>680</v>
          </cell>
          <cell r="F249" t="str">
            <v xml:space="preserve"> 2016-2017</v>
          </cell>
          <cell r="G249" t="str">
            <v xml:space="preserve"> 04/15/2017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 t="str">
            <v xml:space="preserve"> 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55768038</v>
          </cell>
          <cell r="AC249">
            <v>622054</v>
          </cell>
          <cell r="AD249">
            <v>1524451</v>
          </cell>
          <cell r="AE249">
            <v>2493198</v>
          </cell>
          <cell r="AF249">
            <v>1184269</v>
          </cell>
          <cell r="AG249">
            <v>0</v>
          </cell>
          <cell r="AH249">
            <v>0</v>
          </cell>
          <cell r="AI249">
            <v>3358501</v>
          </cell>
          <cell r="AJ249">
            <v>67544</v>
          </cell>
          <cell r="AK249">
            <v>93400</v>
          </cell>
          <cell r="AL249">
            <v>52</v>
          </cell>
          <cell r="AM249">
            <v>471909</v>
          </cell>
          <cell r="AN249">
            <v>2824</v>
          </cell>
          <cell r="AO249">
            <v>1228702</v>
          </cell>
          <cell r="AP249">
            <v>64321744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 t="str">
            <v xml:space="preserve"> </v>
          </cell>
          <cell r="AV249" t="str">
            <v xml:space="preserve"> </v>
          </cell>
          <cell r="AW249" t="str">
            <v xml:space="preserve"> </v>
          </cell>
        </row>
        <row r="250">
          <cell r="C250" t="str">
            <v xml:space="preserve">VENTURA Subtotal           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55768038</v>
          </cell>
          <cell r="AC250">
            <v>622054</v>
          </cell>
          <cell r="AD250">
            <v>1524451</v>
          </cell>
          <cell r="AE250">
            <v>2493198</v>
          </cell>
          <cell r="AF250">
            <v>1184269</v>
          </cell>
          <cell r="AG250">
            <v>0</v>
          </cell>
          <cell r="AH250">
            <v>0</v>
          </cell>
          <cell r="AI250">
            <v>3358501</v>
          </cell>
          <cell r="AJ250">
            <v>67544</v>
          </cell>
          <cell r="AK250">
            <v>93400</v>
          </cell>
          <cell r="AL250">
            <v>52</v>
          </cell>
          <cell r="AM250">
            <v>471909</v>
          </cell>
          <cell r="AN250">
            <v>2824</v>
          </cell>
          <cell r="AO250">
            <v>1228702</v>
          </cell>
          <cell r="AP250">
            <v>64321744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2">
          <cell r="C252" t="str">
            <v xml:space="preserve"> VICTOR VALLEY</v>
          </cell>
          <cell r="D252" t="str">
            <v xml:space="preserve"> LOS ANGELES</v>
          </cell>
          <cell r="E252">
            <v>990</v>
          </cell>
          <cell r="F252" t="str">
            <v xml:space="preserve"> 2016-2017</v>
          </cell>
          <cell r="G252" t="str">
            <v xml:space="preserve"> 04/15/2017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 t="str">
            <v xml:space="preserve"> 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19878</v>
          </cell>
          <cell r="AC252">
            <v>518</v>
          </cell>
          <cell r="AD252">
            <v>652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588</v>
          </cell>
          <cell r="AL252">
            <v>0</v>
          </cell>
          <cell r="AM252">
            <v>117</v>
          </cell>
          <cell r="AN252">
            <v>0</v>
          </cell>
          <cell r="AO252">
            <v>0</v>
          </cell>
          <cell r="AP252">
            <v>21753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 t="str">
            <v xml:space="preserve"> </v>
          </cell>
          <cell r="AV252" t="str">
            <v xml:space="preserve"> </v>
          </cell>
          <cell r="AW252" t="str">
            <v xml:space="preserve"> </v>
          </cell>
        </row>
        <row r="253">
          <cell r="C253" t="str">
            <v xml:space="preserve"> VICTOR VALLEY</v>
          </cell>
          <cell r="D253" t="str">
            <v xml:space="preserve"> SAN BERNARDINO</v>
          </cell>
          <cell r="E253">
            <v>990</v>
          </cell>
          <cell r="F253" t="str">
            <v xml:space="preserve"> 2016-2017</v>
          </cell>
          <cell r="G253" t="str">
            <v xml:space="preserve"> 04/15/2017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 t="str">
            <v xml:space="preserve"> 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12100751</v>
          </cell>
          <cell r="AC253">
            <v>216933</v>
          </cell>
          <cell r="AD253">
            <v>429917</v>
          </cell>
          <cell r="AE253">
            <v>242682</v>
          </cell>
          <cell r="AF253">
            <v>115274</v>
          </cell>
          <cell r="AG253">
            <v>0</v>
          </cell>
          <cell r="AH253">
            <v>0</v>
          </cell>
          <cell r="AI253">
            <v>208543</v>
          </cell>
          <cell r="AJ253">
            <v>0</v>
          </cell>
          <cell r="AK253">
            <v>16829</v>
          </cell>
          <cell r="AL253">
            <v>0</v>
          </cell>
          <cell r="AM253">
            <v>133122</v>
          </cell>
          <cell r="AN253">
            <v>0</v>
          </cell>
          <cell r="AO253">
            <v>-2766137</v>
          </cell>
          <cell r="AP253">
            <v>10455232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 t="str">
            <v xml:space="preserve"> </v>
          </cell>
          <cell r="AV253" t="str">
            <v xml:space="preserve"> </v>
          </cell>
          <cell r="AW253" t="str">
            <v xml:space="preserve"> </v>
          </cell>
        </row>
        <row r="254">
          <cell r="C254" t="str">
            <v>VICTOR VALLEY Subtotal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12120629</v>
          </cell>
          <cell r="AC254">
            <v>217451</v>
          </cell>
          <cell r="AD254">
            <v>430569</v>
          </cell>
          <cell r="AE254">
            <v>242682</v>
          </cell>
          <cell r="AF254">
            <v>115274</v>
          </cell>
          <cell r="AG254">
            <v>0</v>
          </cell>
          <cell r="AH254">
            <v>0</v>
          </cell>
          <cell r="AI254">
            <v>208543</v>
          </cell>
          <cell r="AJ254">
            <v>0</v>
          </cell>
          <cell r="AK254">
            <v>17417</v>
          </cell>
          <cell r="AL254">
            <v>0</v>
          </cell>
          <cell r="AM254">
            <v>133239</v>
          </cell>
          <cell r="AN254">
            <v>0</v>
          </cell>
          <cell r="AO254">
            <v>-2766137</v>
          </cell>
          <cell r="AP254">
            <v>10476985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6">
          <cell r="C256" t="str">
            <v xml:space="preserve"> WEST HILLS</v>
          </cell>
          <cell r="D256" t="str">
            <v xml:space="preserve"> FRESNO</v>
          </cell>
          <cell r="E256">
            <v>580</v>
          </cell>
          <cell r="F256" t="str">
            <v xml:space="preserve"> 2016-2017</v>
          </cell>
          <cell r="G256" t="str">
            <v xml:space="preserve"> 04/15/2017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 t="str">
            <v xml:space="preserve"> 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3885972</v>
          </cell>
          <cell r="AC256">
            <v>53006</v>
          </cell>
          <cell r="AD256">
            <v>198820</v>
          </cell>
          <cell r="AE256">
            <v>25919</v>
          </cell>
          <cell r="AF256">
            <v>12312</v>
          </cell>
          <cell r="AG256">
            <v>0</v>
          </cell>
          <cell r="AH256">
            <v>0</v>
          </cell>
          <cell r="AI256">
            <v>125252</v>
          </cell>
          <cell r="AJ256">
            <v>0</v>
          </cell>
          <cell r="AK256">
            <v>3453</v>
          </cell>
          <cell r="AL256">
            <v>0</v>
          </cell>
          <cell r="AM256">
            <v>42776</v>
          </cell>
          <cell r="AN256">
            <v>0</v>
          </cell>
          <cell r="AO256">
            <v>-169289</v>
          </cell>
          <cell r="AP256">
            <v>4152302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 t="str">
            <v xml:space="preserve"> </v>
          </cell>
          <cell r="AV256" t="str">
            <v xml:space="preserve"> </v>
          </cell>
          <cell r="AW256" t="str">
            <v xml:space="preserve"> </v>
          </cell>
        </row>
        <row r="257">
          <cell r="C257" t="str">
            <v xml:space="preserve"> WEST HILLS</v>
          </cell>
          <cell r="D257" t="str">
            <v xml:space="preserve"> KINGS</v>
          </cell>
          <cell r="E257">
            <v>580</v>
          </cell>
          <cell r="F257" t="str">
            <v xml:space="preserve"> 2016-2017</v>
          </cell>
          <cell r="G257" t="str">
            <v xml:space="preserve"> 04/15/2017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 t="str">
            <v xml:space="preserve"> 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1033123</v>
          </cell>
          <cell r="AC257">
            <v>22251</v>
          </cell>
          <cell r="AD257">
            <v>49659</v>
          </cell>
          <cell r="AE257">
            <v>25777</v>
          </cell>
          <cell r="AF257">
            <v>12244</v>
          </cell>
          <cell r="AG257">
            <v>0</v>
          </cell>
          <cell r="AH257">
            <v>0</v>
          </cell>
          <cell r="AI257">
            <v>241700</v>
          </cell>
          <cell r="AJ257">
            <v>0</v>
          </cell>
          <cell r="AK257">
            <v>20229</v>
          </cell>
          <cell r="AL257">
            <v>0</v>
          </cell>
          <cell r="AM257">
            <v>12187</v>
          </cell>
          <cell r="AN257">
            <v>0</v>
          </cell>
          <cell r="AO257">
            <v>-392331</v>
          </cell>
          <cell r="AP257">
            <v>999062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 t="str">
            <v xml:space="preserve"> </v>
          </cell>
          <cell r="AV257" t="str">
            <v xml:space="preserve"> </v>
          </cell>
          <cell r="AW257" t="str">
            <v xml:space="preserve"> </v>
          </cell>
        </row>
        <row r="258">
          <cell r="C258" t="str">
            <v xml:space="preserve"> WEST HILLS</v>
          </cell>
          <cell r="D258" t="str">
            <v xml:space="preserve"> MADERA</v>
          </cell>
          <cell r="E258">
            <v>580</v>
          </cell>
          <cell r="F258" t="str">
            <v xml:space="preserve"> 2016-2017</v>
          </cell>
          <cell r="G258" t="str">
            <v xml:space="preserve"> 04/15/2017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 t="str">
            <v xml:space="preserve"> 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411536</v>
          </cell>
          <cell r="AC258">
            <v>0</v>
          </cell>
          <cell r="AD258">
            <v>18127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4095</v>
          </cell>
          <cell r="AN258">
            <v>0</v>
          </cell>
          <cell r="AO258">
            <v>0</v>
          </cell>
          <cell r="AP258">
            <v>433758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 t="str">
            <v xml:space="preserve"> </v>
          </cell>
          <cell r="AV258" t="str">
            <v xml:space="preserve"> </v>
          </cell>
          <cell r="AW258" t="str">
            <v xml:space="preserve"> </v>
          </cell>
        </row>
        <row r="259">
          <cell r="C259" t="str">
            <v xml:space="preserve"> WEST HILLS</v>
          </cell>
          <cell r="D259" t="str">
            <v xml:space="preserve"> MONTEREY</v>
          </cell>
          <cell r="E259">
            <v>580</v>
          </cell>
          <cell r="F259" t="str">
            <v xml:space="preserve"> 2016-2017</v>
          </cell>
          <cell r="G259" t="str">
            <v xml:space="preserve"> 04/15/2017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 t="str">
            <v xml:space="preserve"> 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8273</v>
          </cell>
          <cell r="AC259">
            <v>110</v>
          </cell>
          <cell r="AD259">
            <v>314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81</v>
          </cell>
          <cell r="AL259">
            <v>0</v>
          </cell>
          <cell r="AM259">
            <v>44</v>
          </cell>
          <cell r="AN259">
            <v>0</v>
          </cell>
          <cell r="AO259">
            <v>0</v>
          </cell>
          <cell r="AP259">
            <v>8822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 t="str">
            <v xml:space="preserve"> </v>
          </cell>
          <cell r="AV259" t="str">
            <v xml:space="preserve"> </v>
          </cell>
          <cell r="AW259" t="str">
            <v xml:space="preserve"> </v>
          </cell>
        </row>
        <row r="260">
          <cell r="C260" t="str">
            <v xml:space="preserve"> WEST HILLS</v>
          </cell>
          <cell r="D260" t="str">
            <v xml:space="preserve"> SAN BENITO</v>
          </cell>
          <cell r="E260">
            <v>580</v>
          </cell>
          <cell r="F260" t="str">
            <v xml:space="preserve"> 2016-2017</v>
          </cell>
          <cell r="G260" t="str">
            <v xml:space="preserve"> 04/15/2017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 t="str">
            <v xml:space="preserve"> 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1395</v>
          </cell>
          <cell r="AC260">
            <v>38</v>
          </cell>
          <cell r="AD260">
            <v>78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11</v>
          </cell>
          <cell r="AN260">
            <v>0</v>
          </cell>
          <cell r="AO260">
            <v>21</v>
          </cell>
          <cell r="AP260">
            <v>1543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 t="str">
            <v xml:space="preserve"> </v>
          </cell>
          <cell r="AV260" t="str">
            <v xml:space="preserve"> </v>
          </cell>
          <cell r="AW260" t="str">
            <v xml:space="preserve"> </v>
          </cell>
        </row>
        <row r="261">
          <cell r="C261" t="str">
            <v>WEST HILLS Subtotal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5340299</v>
          </cell>
          <cell r="AC261">
            <v>75405</v>
          </cell>
          <cell r="AD261">
            <v>266998</v>
          </cell>
          <cell r="AE261">
            <v>51696</v>
          </cell>
          <cell r="AF261">
            <v>24556</v>
          </cell>
          <cell r="AG261">
            <v>0</v>
          </cell>
          <cell r="AH261">
            <v>0</v>
          </cell>
          <cell r="AI261">
            <v>366952</v>
          </cell>
          <cell r="AJ261">
            <v>0</v>
          </cell>
          <cell r="AK261">
            <v>23763</v>
          </cell>
          <cell r="AL261">
            <v>0</v>
          </cell>
          <cell r="AM261">
            <v>59113</v>
          </cell>
          <cell r="AN261">
            <v>0</v>
          </cell>
          <cell r="AO261">
            <v>-561599</v>
          </cell>
          <cell r="AP261">
            <v>5595487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3">
          <cell r="C263" t="str">
            <v xml:space="preserve"> WEST KERN</v>
          </cell>
          <cell r="D263" t="str">
            <v xml:space="preserve"> KERN</v>
          </cell>
          <cell r="E263">
            <v>690</v>
          </cell>
          <cell r="F263" t="str">
            <v xml:space="preserve"> 2016-2017</v>
          </cell>
          <cell r="G263" t="str">
            <v xml:space="preserve"> 04/15/2017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 t="str">
            <v xml:space="preserve"> 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3704505</v>
          </cell>
          <cell r="AC263">
            <v>280544</v>
          </cell>
          <cell r="AD263">
            <v>458113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43467</v>
          </cell>
          <cell r="AN263">
            <v>0</v>
          </cell>
          <cell r="AO263">
            <v>0</v>
          </cell>
          <cell r="AP263">
            <v>4486629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 t="str">
            <v xml:space="preserve"> </v>
          </cell>
          <cell r="AV263" t="str">
            <v xml:space="preserve"> </v>
          </cell>
          <cell r="AW263" t="str">
            <v xml:space="preserve"> </v>
          </cell>
        </row>
        <row r="264">
          <cell r="C264" t="str">
            <v xml:space="preserve">WEST KERN Subtotal       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3704505</v>
          </cell>
          <cell r="AC264">
            <v>280544</v>
          </cell>
          <cell r="AD264">
            <v>458113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43467</v>
          </cell>
          <cell r="AN264">
            <v>0</v>
          </cell>
          <cell r="AO264">
            <v>0</v>
          </cell>
          <cell r="AP264">
            <v>4486629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6">
          <cell r="C266" t="str">
            <v xml:space="preserve"> WEST VALLEY</v>
          </cell>
          <cell r="D266" t="str">
            <v xml:space="preserve"> SANTA CLARA</v>
          </cell>
          <cell r="E266">
            <v>490</v>
          </cell>
          <cell r="F266" t="str">
            <v xml:space="preserve"> 2016-2017</v>
          </cell>
          <cell r="G266" t="str">
            <v xml:space="preserve"> 04/15/2017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 t="str">
            <v xml:space="preserve"> 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84095096</v>
          </cell>
          <cell r="AC266">
            <v>3387000</v>
          </cell>
          <cell r="AD266">
            <v>6913111</v>
          </cell>
          <cell r="AE266">
            <v>3986066</v>
          </cell>
          <cell r="AF266">
            <v>1893381</v>
          </cell>
          <cell r="AG266">
            <v>0</v>
          </cell>
          <cell r="AH266">
            <v>0</v>
          </cell>
          <cell r="AI266">
            <v>6939549</v>
          </cell>
          <cell r="AJ266">
            <v>8070618</v>
          </cell>
          <cell r="AK266">
            <v>0</v>
          </cell>
          <cell r="AL266">
            <v>56</v>
          </cell>
          <cell r="AM266">
            <v>501871</v>
          </cell>
          <cell r="AN266">
            <v>0</v>
          </cell>
          <cell r="AO266">
            <v>0</v>
          </cell>
          <cell r="AP266">
            <v>111800682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 t="str">
            <v xml:space="preserve"> </v>
          </cell>
          <cell r="AV266" t="str">
            <v xml:space="preserve"> </v>
          </cell>
          <cell r="AW266" t="str">
            <v xml:space="preserve"> </v>
          </cell>
        </row>
        <row r="267">
          <cell r="C267" t="str">
            <v xml:space="preserve"> WEST VALLEY</v>
          </cell>
          <cell r="D267" t="str">
            <v xml:space="preserve"> SANTA CRUZ</v>
          </cell>
          <cell r="E267">
            <v>490</v>
          </cell>
          <cell r="F267" t="str">
            <v xml:space="preserve"> 2016-2017</v>
          </cell>
          <cell r="G267" t="str">
            <v xml:space="preserve"> 04/15/2017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 t="str">
            <v xml:space="preserve"> 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1103001</v>
          </cell>
          <cell r="AC267">
            <v>0</v>
          </cell>
          <cell r="AD267">
            <v>22517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1955</v>
          </cell>
          <cell r="AL267">
            <v>0</v>
          </cell>
          <cell r="AM267">
            <v>7580</v>
          </cell>
          <cell r="AN267">
            <v>0</v>
          </cell>
          <cell r="AO267">
            <v>0</v>
          </cell>
          <cell r="AP267">
            <v>1135053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 t="str">
            <v xml:space="preserve"> </v>
          </cell>
          <cell r="AV267" t="str">
            <v xml:space="preserve"> </v>
          </cell>
          <cell r="AW267" t="str">
            <v xml:space="preserve"> </v>
          </cell>
        </row>
        <row r="268">
          <cell r="C268" t="str">
            <v xml:space="preserve">WEST VALLEY Subtotal       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85198097</v>
          </cell>
          <cell r="AC268">
            <v>3387000</v>
          </cell>
          <cell r="AD268">
            <v>6935628</v>
          </cell>
          <cell r="AE268">
            <v>3986066</v>
          </cell>
          <cell r="AF268">
            <v>1893381</v>
          </cell>
          <cell r="AG268">
            <v>0</v>
          </cell>
          <cell r="AH268">
            <v>0</v>
          </cell>
          <cell r="AI268">
            <v>6939549</v>
          </cell>
          <cell r="AJ268">
            <v>8070618</v>
          </cell>
          <cell r="AK268">
            <v>1955</v>
          </cell>
          <cell r="AL268">
            <v>56</v>
          </cell>
          <cell r="AM268">
            <v>509451</v>
          </cell>
          <cell r="AN268">
            <v>0</v>
          </cell>
          <cell r="AO268">
            <v>0</v>
          </cell>
          <cell r="AP268">
            <v>112935735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70">
          <cell r="C270" t="str">
            <v xml:space="preserve"> YOSEMITE</v>
          </cell>
          <cell r="D270" t="str">
            <v xml:space="preserve"> CALAVERAS</v>
          </cell>
          <cell r="E270">
            <v>590</v>
          </cell>
          <cell r="F270" t="str">
            <v xml:space="preserve"> 2016-2017</v>
          </cell>
          <cell r="G270" t="str">
            <v xml:space="preserve"> 04/15/2017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 t="str">
            <v xml:space="preserve"> 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2051171</v>
          </cell>
          <cell r="AC270">
            <v>16694</v>
          </cell>
          <cell r="AD270">
            <v>28726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320</v>
          </cell>
          <cell r="AL270">
            <v>0</v>
          </cell>
          <cell r="AM270">
            <v>26040</v>
          </cell>
          <cell r="AN270">
            <v>0</v>
          </cell>
          <cell r="AO270">
            <v>0</v>
          </cell>
          <cell r="AP270">
            <v>2122951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 t="str">
            <v xml:space="preserve"> </v>
          </cell>
          <cell r="AV270" t="str">
            <v xml:space="preserve"> </v>
          </cell>
          <cell r="AW270" t="str">
            <v xml:space="preserve"> </v>
          </cell>
        </row>
        <row r="271">
          <cell r="C271" t="str">
            <v xml:space="preserve"> YOSEMITE</v>
          </cell>
          <cell r="D271" t="str">
            <v xml:space="preserve"> MERCED</v>
          </cell>
          <cell r="E271">
            <v>590</v>
          </cell>
          <cell r="F271" t="str">
            <v xml:space="preserve"> 2016-2017</v>
          </cell>
          <cell r="G271" t="str">
            <v xml:space="preserve"> 04/15/2017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 t="str">
            <v xml:space="preserve"> 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1682785</v>
          </cell>
          <cell r="AC271">
            <v>51510</v>
          </cell>
          <cell r="AD271">
            <v>138142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3293</v>
          </cell>
          <cell r="AL271">
            <v>1</v>
          </cell>
          <cell r="AM271">
            <v>11668</v>
          </cell>
          <cell r="AN271">
            <v>994</v>
          </cell>
          <cell r="AO271">
            <v>25</v>
          </cell>
          <cell r="AP271">
            <v>1888418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 t="str">
            <v xml:space="preserve"> </v>
          </cell>
          <cell r="AV271" t="str">
            <v xml:space="preserve"> </v>
          </cell>
          <cell r="AW271" t="str">
            <v xml:space="preserve"> </v>
          </cell>
        </row>
        <row r="272">
          <cell r="C272" t="str">
            <v xml:space="preserve"> YOSEMITE</v>
          </cell>
          <cell r="D272" t="str">
            <v xml:space="preserve"> SAN JOAQUIN</v>
          </cell>
          <cell r="E272">
            <v>590</v>
          </cell>
          <cell r="F272" t="str">
            <v xml:space="preserve"> 2016-2017</v>
          </cell>
          <cell r="G272" t="str">
            <v xml:space="preserve"> 04/15/2017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 t="str">
            <v xml:space="preserve"> 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1116422</v>
          </cell>
          <cell r="AC272">
            <v>22751</v>
          </cell>
          <cell r="AD272">
            <v>68747</v>
          </cell>
          <cell r="AE272">
            <v>56038</v>
          </cell>
          <cell r="AF272">
            <v>26618</v>
          </cell>
          <cell r="AG272">
            <v>0</v>
          </cell>
          <cell r="AH272">
            <v>0</v>
          </cell>
          <cell r="AI272">
            <v>313089</v>
          </cell>
          <cell r="AJ272">
            <v>0</v>
          </cell>
          <cell r="AK272">
            <v>2425</v>
          </cell>
          <cell r="AL272">
            <v>0</v>
          </cell>
          <cell r="AM272">
            <v>11285</v>
          </cell>
          <cell r="AN272">
            <v>0</v>
          </cell>
          <cell r="AO272">
            <v>0</v>
          </cell>
          <cell r="AP272">
            <v>1561337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 t="str">
            <v xml:space="preserve"> </v>
          </cell>
          <cell r="AV272" t="str">
            <v xml:space="preserve"> </v>
          </cell>
          <cell r="AW272" t="str">
            <v xml:space="preserve"> </v>
          </cell>
        </row>
        <row r="273">
          <cell r="C273" t="str">
            <v xml:space="preserve"> YOSEMITE</v>
          </cell>
          <cell r="D273" t="str">
            <v xml:space="preserve"> SANTA CLARA</v>
          </cell>
          <cell r="E273">
            <v>590</v>
          </cell>
          <cell r="F273" t="str">
            <v xml:space="preserve"> 2016-2017</v>
          </cell>
          <cell r="G273" t="str">
            <v xml:space="preserve"> 04/15/2017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 t="str">
            <v xml:space="preserve"> 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24659</v>
          </cell>
          <cell r="AC273">
            <v>800</v>
          </cell>
          <cell r="AD273">
            <v>1536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111</v>
          </cell>
          <cell r="AN273">
            <v>0</v>
          </cell>
          <cell r="AO273">
            <v>0</v>
          </cell>
          <cell r="AP273">
            <v>27106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 t="str">
            <v xml:space="preserve"> </v>
          </cell>
          <cell r="AV273" t="str">
            <v xml:space="preserve"> </v>
          </cell>
          <cell r="AW273" t="str">
            <v xml:space="preserve"> </v>
          </cell>
        </row>
        <row r="274">
          <cell r="C274" t="str">
            <v xml:space="preserve"> YOSEMITE</v>
          </cell>
          <cell r="D274" t="str">
            <v xml:space="preserve"> STANISLAUS</v>
          </cell>
          <cell r="E274">
            <v>590</v>
          </cell>
          <cell r="F274" t="str">
            <v xml:space="preserve"> 2016-2017</v>
          </cell>
          <cell r="G274" t="str">
            <v xml:space="preserve"> 04/15/2017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 t="str">
            <v xml:space="preserve"> 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29872005</v>
          </cell>
          <cell r="AC274">
            <v>661194</v>
          </cell>
          <cell r="AD274">
            <v>1644397</v>
          </cell>
          <cell r="AE274">
            <v>194172</v>
          </cell>
          <cell r="AF274">
            <v>92232</v>
          </cell>
          <cell r="AG274">
            <v>0</v>
          </cell>
          <cell r="AH274">
            <v>0</v>
          </cell>
          <cell r="AI274">
            <v>509839</v>
          </cell>
          <cell r="AJ274">
            <v>0</v>
          </cell>
          <cell r="AK274">
            <v>39260</v>
          </cell>
          <cell r="AL274">
            <v>0</v>
          </cell>
          <cell r="AM274">
            <v>358887</v>
          </cell>
          <cell r="AN274">
            <v>12785</v>
          </cell>
          <cell r="AO274">
            <v>-2837886</v>
          </cell>
          <cell r="AP274">
            <v>30352713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 t="str">
            <v xml:space="preserve"> </v>
          </cell>
          <cell r="AV274" t="str">
            <v xml:space="preserve"> </v>
          </cell>
          <cell r="AW274" t="str">
            <v xml:space="preserve"> </v>
          </cell>
        </row>
        <row r="275">
          <cell r="C275" t="str">
            <v xml:space="preserve"> YOSEMITE</v>
          </cell>
          <cell r="D275" t="str">
            <v xml:space="preserve"> TUOLUMNE</v>
          </cell>
          <cell r="E275">
            <v>590</v>
          </cell>
          <cell r="F275" t="str">
            <v xml:space="preserve"> 2016-2017</v>
          </cell>
          <cell r="G275" t="str">
            <v xml:space="preserve"> 04/15/2017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 t="str">
            <v xml:space="preserve"> 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4592739</v>
          </cell>
          <cell r="AC275">
            <v>33163</v>
          </cell>
          <cell r="AD275">
            <v>125858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47660</v>
          </cell>
          <cell r="AJ275">
            <v>0</v>
          </cell>
          <cell r="AK275">
            <v>1168</v>
          </cell>
          <cell r="AL275">
            <v>11503</v>
          </cell>
          <cell r="AM275">
            <v>60556</v>
          </cell>
          <cell r="AN275">
            <v>0</v>
          </cell>
          <cell r="AO275">
            <v>279734</v>
          </cell>
          <cell r="AP275">
            <v>5152381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 t="str">
            <v xml:space="preserve"> </v>
          </cell>
          <cell r="AV275" t="str">
            <v xml:space="preserve"> </v>
          </cell>
          <cell r="AW275" t="str">
            <v xml:space="preserve"> </v>
          </cell>
        </row>
        <row r="276">
          <cell r="C276" t="str">
            <v xml:space="preserve">YOSEMITE Subtotal          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39339781</v>
          </cell>
          <cell r="AC276">
            <v>786112</v>
          </cell>
          <cell r="AD276">
            <v>2007406</v>
          </cell>
          <cell r="AE276">
            <v>250210</v>
          </cell>
          <cell r="AF276">
            <v>118850</v>
          </cell>
          <cell r="AG276">
            <v>0</v>
          </cell>
          <cell r="AH276">
            <v>0</v>
          </cell>
          <cell r="AI276">
            <v>870588</v>
          </cell>
          <cell r="AJ276">
            <v>0</v>
          </cell>
          <cell r="AK276">
            <v>46466</v>
          </cell>
          <cell r="AL276">
            <v>11504</v>
          </cell>
          <cell r="AM276">
            <v>468547</v>
          </cell>
          <cell r="AN276">
            <v>13779</v>
          </cell>
          <cell r="AO276">
            <v>-2558127</v>
          </cell>
          <cell r="AP276">
            <v>41104906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8">
          <cell r="C278" t="str">
            <v xml:space="preserve"> YUBA</v>
          </cell>
          <cell r="D278" t="str">
            <v xml:space="preserve"> BUTTE</v>
          </cell>
          <cell r="E278">
            <v>290</v>
          </cell>
          <cell r="F278" t="str">
            <v xml:space="preserve"> 2016-2017</v>
          </cell>
          <cell r="G278" t="str">
            <v xml:space="preserve"> 04/15/2017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 t="str">
            <v xml:space="preserve"> 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40350</v>
          </cell>
          <cell r="AC278">
            <v>400</v>
          </cell>
          <cell r="AD278">
            <v>2040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60</v>
          </cell>
          <cell r="AL278">
            <v>1175</v>
          </cell>
          <cell r="AM278">
            <v>550</v>
          </cell>
          <cell r="AN278">
            <v>25</v>
          </cell>
          <cell r="AO278">
            <v>-6174</v>
          </cell>
          <cell r="AP278">
            <v>38426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 t="str">
            <v xml:space="preserve"> </v>
          </cell>
          <cell r="AV278" t="str">
            <v xml:space="preserve"> </v>
          </cell>
          <cell r="AW278" t="str">
            <v xml:space="preserve"> </v>
          </cell>
        </row>
        <row r="279">
          <cell r="C279" t="str">
            <v xml:space="preserve"> YUBA</v>
          </cell>
          <cell r="D279" t="str">
            <v xml:space="preserve"> COLUSA</v>
          </cell>
          <cell r="E279">
            <v>290</v>
          </cell>
          <cell r="F279" t="str">
            <v xml:space="preserve"> 2016-2017</v>
          </cell>
          <cell r="G279" t="str">
            <v xml:space="preserve"> 04/15/2017</v>
          </cell>
          <cell r="H279">
            <v>0</v>
          </cell>
          <cell r="I279" t="str">
            <v xml:space="preserve"> </v>
          </cell>
          <cell r="J279" t="str">
            <v xml:space="preserve"> </v>
          </cell>
          <cell r="K279" t="str">
            <v xml:space="preserve"> </v>
          </cell>
          <cell r="L279" t="str">
            <v xml:space="preserve"> </v>
          </cell>
          <cell r="M279" t="str">
            <v xml:space="preserve"> 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 xml:space="preserve"> </v>
          </cell>
          <cell r="U279" t="str">
            <v xml:space="preserve"> </v>
          </cell>
          <cell r="V279" t="str">
            <v xml:space="preserve"> </v>
          </cell>
          <cell r="W279">
            <v>0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  <cell r="AB279" t="str">
            <v xml:space="preserve"> </v>
          </cell>
          <cell r="AC279" t="str">
            <v xml:space="preserve"> </v>
          </cell>
          <cell r="AD279" t="str">
            <v xml:space="preserve"> </v>
          </cell>
          <cell r="AE279" t="str">
            <v xml:space="preserve"> </v>
          </cell>
          <cell r="AF279" t="str">
            <v xml:space="preserve"> </v>
          </cell>
          <cell r="AG279" t="str">
            <v xml:space="preserve"> </v>
          </cell>
          <cell r="AH279" t="str">
            <v xml:space="preserve"> </v>
          </cell>
          <cell r="AI279" t="str">
            <v xml:space="preserve"> </v>
          </cell>
          <cell r="AJ279" t="str">
            <v xml:space="preserve"> </v>
          </cell>
          <cell r="AK279" t="str">
            <v xml:space="preserve">  </v>
          </cell>
          <cell r="AL279">
            <v>0</v>
          </cell>
          <cell r="AM279" t="str">
            <v xml:space="preserve"> </v>
          </cell>
          <cell r="AN279" t="str">
            <v xml:space="preserve"> </v>
          </cell>
          <cell r="AO279" t="str">
            <v xml:space="preserve"> </v>
          </cell>
          <cell r="AP279" t="str">
            <v xml:space="preserve"> </v>
          </cell>
          <cell r="AQ279" t="str">
            <v xml:space="preserve"> </v>
          </cell>
          <cell r="AR279">
            <v>0</v>
          </cell>
          <cell r="AS279" t="str">
            <v xml:space="preserve"> </v>
          </cell>
          <cell r="AT279" t="str">
            <v xml:space="preserve"> </v>
          </cell>
          <cell r="AU279" t="str">
            <v xml:space="preserve"> </v>
          </cell>
          <cell r="AV279" t="str">
            <v xml:space="preserve"> </v>
          </cell>
          <cell r="AW279" t="str">
            <v xml:space="preserve"> </v>
          </cell>
        </row>
        <row r="280">
          <cell r="C280" t="str">
            <v xml:space="preserve"> YUBA</v>
          </cell>
          <cell r="D280" t="str">
            <v xml:space="preserve"> GLENN</v>
          </cell>
          <cell r="E280">
            <v>290</v>
          </cell>
          <cell r="F280" t="str">
            <v xml:space="preserve"> 2016-2017</v>
          </cell>
          <cell r="G280" t="str">
            <v xml:space="preserve"> 04/15/2017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 t="str">
            <v xml:space="preserve"> 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63043</v>
          </cell>
          <cell r="AC280">
            <v>916</v>
          </cell>
          <cell r="AD280">
            <v>3098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705</v>
          </cell>
          <cell r="AN280">
            <v>0</v>
          </cell>
          <cell r="AO280">
            <v>-2333</v>
          </cell>
          <cell r="AP280">
            <v>65429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 t="str">
            <v xml:space="preserve"> </v>
          </cell>
          <cell r="AV280" t="str">
            <v xml:space="preserve"> </v>
          </cell>
          <cell r="AW280" t="str">
            <v xml:space="preserve"> </v>
          </cell>
        </row>
        <row r="281">
          <cell r="C281" t="str">
            <v xml:space="preserve"> YUBA</v>
          </cell>
          <cell r="D281" t="str">
            <v xml:space="preserve"> LAKE</v>
          </cell>
          <cell r="E281">
            <v>290</v>
          </cell>
          <cell r="F281" t="str">
            <v xml:space="preserve"> 2016-2017</v>
          </cell>
          <cell r="G281" t="str">
            <v xml:space="preserve"> 04/15/2017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 t="str">
            <v xml:space="preserve"> 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2203095</v>
          </cell>
          <cell r="AC281">
            <v>7339</v>
          </cell>
          <cell r="AD281">
            <v>54246</v>
          </cell>
          <cell r="AE281">
            <v>5950</v>
          </cell>
          <cell r="AF281">
            <v>2826</v>
          </cell>
          <cell r="AG281">
            <v>0</v>
          </cell>
          <cell r="AH281">
            <v>0</v>
          </cell>
          <cell r="AI281">
            <v>19174</v>
          </cell>
          <cell r="AJ281">
            <v>0</v>
          </cell>
          <cell r="AK281">
            <v>1806</v>
          </cell>
          <cell r="AL281">
            <v>0</v>
          </cell>
          <cell r="AM281">
            <v>28958</v>
          </cell>
          <cell r="AN281">
            <v>0</v>
          </cell>
          <cell r="AO281">
            <v>0</v>
          </cell>
          <cell r="AP281">
            <v>2317444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 t="str">
            <v xml:space="preserve"> </v>
          </cell>
          <cell r="AV281" t="str">
            <v xml:space="preserve"> </v>
          </cell>
          <cell r="AW281" t="str">
            <v xml:space="preserve"> </v>
          </cell>
        </row>
        <row r="282">
          <cell r="C282" t="str">
            <v xml:space="preserve"> YUBA</v>
          </cell>
          <cell r="D282" t="str">
            <v xml:space="preserve"> PLACER</v>
          </cell>
          <cell r="E282">
            <v>290</v>
          </cell>
          <cell r="F282" t="str">
            <v xml:space="preserve"> 2016-2017</v>
          </cell>
          <cell r="G282" t="str">
            <v xml:space="preserve"> 04/15/2017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 t="str">
            <v xml:space="preserve"> 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36368</v>
          </cell>
          <cell r="AC282">
            <v>680</v>
          </cell>
          <cell r="AD282">
            <v>902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9</v>
          </cell>
          <cell r="AL282">
            <v>0</v>
          </cell>
          <cell r="AM282">
            <v>288</v>
          </cell>
          <cell r="AN282">
            <v>0</v>
          </cell>
          <cell r="AO282">
            <v>0</v>
          </cell>
          <cell r="AP282">
            <v>38247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 t="str">
            <v xml:space="preserve"> </v>
          </cell>
          <cell r="AV282" t="str">
            <v xml:space="preserve"> </v>
          </cell>
          <cell r="AW282" t="str">
            <v xml:space="preserve"> </v>
          </cell>
        </row>
        <row r="283">
          <cell r="C283" t="str">
            <v xml:space="preserve"> YUBA</v>
          </cell>
          <cell r="D283" t="str">
            <v xml:space="preserve"> SUTTER</v>
          </cell>
          <cell r="E283">
            <v>290</v>
          </cell>
          <cell r="F283" t="str">
            <v xml:space="preserve"> 2016-2017</v>
          </cell>
          <cell r="G283" t="str">
            <v xml:space="preserve"> 04/15/2017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 t="str">
            <v xml:space="preserve"> 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6468986</v>
          </cell>
          <cell r="AC283">
            <v>96478</v>
          </cell>
          <cell r="AD283">
            <v>430724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13248</v>
          </cell>
          <cell r="AJ283">
            <v>0</v>
          </cell>
          <cell r="AK283">
            <v>8317</v>
          </cell>
          <cell r="AL283">
            <v>0</v>
          </cell>
          <cell r="AM283">
            <v>82982</v>
          </cell>
          <cell r="AN283">
            <v>5603</v>
          </cell>
          <cell r="AO283">
            <v>-78937</v>
          </cell>
          <cell r="AP283">
            <v>7027401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 t="str">
            <v xml:space="preserve"> </v>
          </cell>
          <cell r="AV283" t="str">
            <v xml:space="preserve"> </v>
          </cell>
          <cell r="AW283" t="str">
            <v xml:space="preserve"> </v>
          </cell>
        </row>
        <row r="284">
          <cell r="C284" t="str">
            <v xml:space="preserve"> YUBA</v>
          </cell>
          <cell r="D284" t="str">
            <v xml:space="preserve"> YOLO</v>
          </cell>
          <cell r="E284">
            <v>290</v>
          </cell>
          <cell r="F284" t="str">
            <v xml:space="preserve"> 2016-2017</v>
          </cell>
          <cell r="G284" t="str">
            <v xml:space="preserve"> 04/15/2017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 t="str">
            <v xml:space="preserve"> 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5831470</v>
          </cell>
          <cell r="AC284">
            <v>114173</v>
          </cell>
          <cell r="AD284">
            <v>330950</v>
          </cell>
          <cell r="AE284">
            <v>1000</v>
          </cell>
          <cell r="AF284">
            <v>475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6600</v>
          </cell>
          <cell r="AL284">
            <v>0</v>
          </cell>
          <cell r="AM284">
            <v>0</v>
          </cell>
          <cell r="AN284">
            <v>16716</v>
          </cell>
          <cell r="AO284">
            <v>0</v>
          </cell>
          <cell r="AP284">
            <v>6300384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 t="str">
            <v xml:space="preserve"> </v>
          </cell>
          <cell r="AV284" t="str">
            <v xml:space="preserve"> </v>
          </cell>
          <cell r="AW284" t="str">
            <v xml:space="preserve"> </v>
          </cell>
        </row>
        <row r="285">
          <cell r="C285" t="str">
            <v xml:space="preserve"> YUBA</v>
          </cell>
          <cell r="D285" t="str">
            <v xml:space="preserve"> YUBA</v>
          </cell>
          <cell r="E285">
            <v>290</v>
          </cell>
          <cell r="F285" t="str">
            <v xml:space="preserve"> 2016-2017</v>
          </cell>
          <cell r="G285" t="str">
            <v xml:space="preserve"> 04/15/2017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 t="str">
            <v xml:space="preserve"> 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3601545</v>
          </cell>
          <cell r="AC285">
            <v>0</v>
          </cell>
          <cell r="AD285">
            <v>150397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8068</v>
          </cell>
          <cell r="AM285">
            <v>50567</v>
          </cell>
          <cell r="AN285">
            <v>0</v>
          </cell>
          <cell r="AO285">
            <v>3646241</v>
          </cell>
          <cell r="AP285">
            <v>7456818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 t="str">
            <v xml:space="preserve"> </v>
          </cell>
          <cell r="AV285" t="str">
            <v xml:space="preserve"> </v>
          </cell>
          <cell r="AW285" t="str">
            <v xml:space="preserve"> </v>
          </cell>
        </row>
        <row r="286">
          <cell r="C286" t="str">
            <v xml:space="preserve">YUBA Subtotal            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18244857</v>
          </cell>
          <cell r="AC286">
            <v>219986</v>
          </cell>
          <cell r="AD286">
            <v>972357</v>
          </cell>
          <cell r="AE286">
            <v>6950</v>
          </cell>
          <cell r="AF286">
            <v>3301</v>
          </cell>
          <cell r="AG286">
            <v>0</v>
          </cell>
          <cell r="AH286">
            <v>0</v>
          </cell>
          <cell r="AI286">
            <v>32422</v>
          </cell>
          <cell r="AJ286">
            <v>0</v>
          </cell>
          <cell r="AK286">
            <v>16792</v>
          </cell>
          <cell r="AL286">
            <v>9243</v>
          </cell>
          <cell r="AM286">
            <v>164050</v>
          </cell>
          <cell r="AN286">
            <v>22344</v>
          </cell>
          <cell r="AO286">
            <v>3558797</v>
          </cell>
          <cell r="AP286">
            <v>23244149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8">
          <cell r="C288" t="str">
            <v>DISTRICT TOTAL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2424505101</v>
          </cell>
          <cell r="AC288">
            <v>63686853</v>
          </cell>
          <cell r="AD288">
            <v>103026757</v>
          </cell>
          <cell r="AE288">
            <v>39576388</v>
          </cell>
          <cell r="AF288">
            <v>18798786</v>
          </cell>
          <cell r="AG288">
            <v>0</v>
          </cell>
          <cell r="AH288">
            <v>0</v>
          </cell>
          <cell r="AI288">
            <v>101154480</v>
          </cell>
          <cell r="AJ288">
            <v>14384371</v>
          </cell>
          <cell r="AK288">
            <v>15331056</v>
          </cell>
          <cell r="AL288">
            <v>578184</v>
          </cell>
          <cell r="AM288">
            <v>18315039</v>
          </cell>
          <cell r="AN288">
            <v>89768</v>
          </cell>
          <cell r="AO288">
            <v>147865267</v>
          </cell>
          <cell r="AP288">
            <v>2907735662</v>
          </cell>
          <cell r="AQ288">
            <v>3589857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</sheetData>
      <sheetData sheetId="5"/>
      <sheetData sheetId="6">
        <row r="2">
          <cell r="D2" t="str">
            <v xml:space="preserve"> COUNTY</v>
          </cell>
        </row>
      </sheetData>
      <sheetData sheetId="7"/>
      <sheetData sheetId="8"/>
      <sheetData sheetId="9">
        <row r="8">
          <cell r="A8" t="str">
            <v>Allan Hancock</v>
          </cell>
        </row>
      </sheetData>
      <sheetData sheetId="10">
        <row r="2">
          <cell r="C2" t="str">
            <v xml:space="preserve"> ALLAN HANCOCK</v>
          </cell>
        </row>
      </sheetData>
      <sheetData sheetId="11"/>
      <sheetData sheetId="12"/>
      <sheetData sheetId="13"/>
      <sheetData sheetId="14">
        <row r="4">
          <cell r="A4" t="str">
            <v xml:space="preserve"> ALLAN HANCOCK</v>
          </cell>
          <cell r="B4">
            <v>14302746</v>
          </cell>
          <cell r="C4">
            <v>2585011</v>
          </cell>
        </row>
        <row r="5">
          <cell r="A5" t="str">
            <v xml:space="preserve"> ANTELOPE VALLEY</v>
          </cell>
          <cell r="B5">
            <v>6372905</v>
          </cell>
          <cell r="C5">
            <v>0</v>
          </cell>
        </row>
        <row r="6">
          <cell r="A6" t="str">
            <v xml:space="preserve"> BARSTOW</v>
          </cell>
          <cell r="B6">
            <v>3634664</v>
          </cell>
          <cell r="C6">
            <v>-545674</v>
          </cell>
        </row>
        <row r="7">
          <cell r="A7" t="str">
            <v xml:space="preserve"> BUTTE</v>
          </cell>
          <cell r="B7">
            <v>17360882</v>
          </cell>
          <cell r="C7">
            <v>-2468733</v>
          </cell>
        </row>
        <row r="8">
          <cell r="A8" t="str">
            <v xml:space="preserve"> CABRILLO</v>
          </cell>
          <cell r="B8">
            <v>24680660</v>
          </cell>
          <cell r="C8">
            <v>2548307</v>
          </cell>
        </row>
        <row r="9">
          <cell r="A9" t="str">
            <v xml:space="preserve"> CERRITOS</v>
          </cell>
          <cell r="B9">
            <v>9302432</v>
          </cell>
          <cell r="C9">
            <v>12324634</v>
          </cell>
        </row>
        <row r="10">
          <cell r="A10" t="str">
            <v xml:space="preserve"> CHABOT-LAS POSITAS</v>
          </cell>
          <cell r="B10">
            <v>30376651</v>
          </cell>
          <cell r="C10">
            <v>9088373</v>
          </cell>
        </row>
        <row r="11">
          <cell r="A11" t="str">
            <v xml:space="preserve"> CHAFFEY</v>
          </cell>
          <cell r="B11">
            <v>36111601</v>
          </cell>
          <cell r="C11">
            <v>-6265626</v>
          </cell>
        </row>
        <row r="12">
          <cell r="A12" t="str">
            <v xml:space="preserve"> CITRUS</v>
          </cell>
          <cell r="B12">
            <v>5816048</v>
          </cell>
          <cell r="C12">
            <v>0</v>
          </cell>
        </row>
        <row r="13">
          <cell r="A13" t="str">
            <v xml:space="preserve"> COAST</v>
          </cell>
          <cell r="B13">
            <v>119706238</v>
          </cell>
          <cell r="C13">
            <v>0</v>
          </cell>
        </row>
        <row r="14">
          <cell r="A14" t="str">
            <v xml:space="preserve"> COMPTON</v>
          </cell>
          <cell r="B14">
            <v>4597227</v>
          </cell>
          <cell r="C14">
            <v>0</v>
          </cell>
        </row>
        <row r="15">
          <cell r="A15" t="str">
            <v xml:space="preserve"> CONTRA COSTA</v>
          </cell>
          <cell r="B15">
            <v>86355839</v>
          </cell>
          <cell r="C15">
            <v>10284085</v>
          </cell>
        </row>
        <row r="16">
          <cell r="A16" t="str">
            <v xml:space="preserve"> COPPER MOUNTAIN</v>
          </cell>
          <cell r="B16">
            <v>1871697</v>
          </cell>
          <cell r="C16">
            <v>-384398</v>
          </cell>
        </row>
        <row r="17">
          <cell r="A17" t="str">
            <v xml:space="preserve"> DESERT</v>
          </cell>
          <cell r="B17">
            <v>33425829</v>
          </cell>
          <cell r="C17">
            <v>-2221519</v>
          </cell>
        </row>
        <row r="18">
          <cell r="A18" t="str">
            <v xml:space="preserve"> EL CAMINO</v>
          </cell>
          <cell r="B18">
            <v>29694916</v>
          </cell>
          <cell r="C18">
            <v>2649478</v>
          </cell>
        </row>
        <row r="19">
          <cell r="A19" t="str">
            <v xml:space="preserve"> FEATHER RIVER</v>
          </cell>
          <cell r="B19">
            <v>4735272</v>
          </cell>
          <cell r="C19">
            <v>1181202</v>
          </cell>
        </row>
        <row r="20">
          <cell r="A20" t="str">
            <v xml:space="preserve"> FOOTHILL-DEANZA</v>
          </cell>
          <cell r="B20">
            <v>101927217</v>
          </cell>
          <cell r="C20">
            <v>14990126</v>
          </cell>
        </row>
        <row r="21">
          <cell r="A21" t="str">
            <v xml:space="preserve"> GAVILAN</v>
          </cell>
          <cell r="B21">
            <v>18767298</v>
          </cell>
          <cell r="C21">
            <v>1651874</v>
          </cell>
        </row>
        <row r="22">
          <cell r="A22" t="str">
            <v xml:space="preserve"> GLENDALE</v>
          </cell>
          <cell r="B22">
            <v>10655994</v>
          </cell>
          <cell r="C22">
            <v>9237226</v>
          </cell>
        </row>
        <row r="23">
          <cell r="A23" t="str">
            <v xml:space="preserve"> GROSSMONT-CUYAMACA</v>
          </cell>
          <cell r="B23">
            <v>39787206</v>
          </cell>
          <cell r="C23">
            <v>-434070</v>
          </cell>
        </row>
        <row r="24">
          <cell r="A24" t="str">
            <v xml:space="preserve"> HARTNELL</v>
          </cell>
          <cell r="B24">
            <v>22113031</v>
          </cell>
          <cell r="C24">
            <v>0</v>
          </cell>
        </row>
        <row r="25">
          <cell r="A25" t="str">
            <v xml:space="preserve"> IMPERIAL</v>
          </cell>
          <cell r="B25">
            <v>8776160</v>
          </cell>
          <cell r="C25">
            <v>-2330856</v>
          </cell>
        </row>
        <row r="26">
          <cell r="A26" t="str">
            <v xml:space="preserve"> KERN</v>
          </cell>
          <cell r="B26">
            <v>50621631</v>
          </cell>
          <cell r="C26">
            <v>-334190</v>
          </cell>
        </row>
        <row r="27">
          <cell r="A27" t="str">
            <v xml:space="preserve"> LAKE TAHOE</v>
          </cell>
          <cell r="B27">
            <v>4082996</v>
          </cell>
          <cell r="C27">
            <v>0</v>
          </cell>
        </row>
        <row r="28">
          <cell r="A28" t="str">
            <v xml:space="preserve"> LASSEN</v>
          </cell>
          <cell r="B28">
            <v>2005564</v>
          </cell>
          <cell r="C28">
            <v>-307728</v>
          </cell>
        </row>
        <row r="29">
          <cell r="A29" t="str">
            <v xml:space="preserve"> LONG BEACH</v>
          </cell>
          <cell r="B29">
            <v>12945864</v>
          </cell>
          <cell r="C29">
            <v>14009037</v>
          </cell>
        </row>
        <row r="30">
          <cell r="A30" t="str">
            <v xml:space="preserve"> LOS ANGELES</v>
          </cell>
          <cell r="B30">
            <v>197009108</v>
          </cell>
          <cell r="C30">
            <v>0</v>
          </cell>
        </row>
        <row r="31">
          <cell r="A31" t="str">
            <v xml:space="preserve"> LOS RIOS</v>
          </cell>
          <cell r="B31">
            <v>59978166</v>
          </cell>
          <cell r="C31">
            <v>11364009</v>
          </cell>
        </row>
        <row r="32">
          <cell r="A32" t="str">
            <v xml:space="preserve"> MARIN</v>
          </cell>
          <cell r="B32">
            <v>51192070</v>
          </cell>
          <cell r="C32">
            <v>0</v>
          </cell>
        </row>
        <row r="33">
          <cell r="A33" t="str">
            <v xml:space="preserve"> MENDOCINO-LAKE</v>
          </cell>
          <cell r="B33">
            <v>6579686</v>
          </cell>
          <cell r="C33">
            <v>855263</v>
          </cell>
        </row>
        <row r="34">
          <cell r="A34" t="str">
            <v xml:space="preserve"> MERCED</v>
          </cell>
          <cell r="B34">
            <v>12007854</v>
          </cell>
          <cell r="C34">
            <v>-178406</v>
          </cell>
        </row>
        <row r="35">
          <cell r="A35" t="str">
            <v xml:space="preserve"> MIRA COSTA</v>
          </cell>
          <cell r="B35">
            <v>94790216</v>
          </cell>
          <cell r="C35">
            <v>0</v>
          </cell>
        </row>
        <row r="36">
          <cell r="A36" t="str">
            <v xml:space="preserve"> MONTEREY PENINSULA</v>
          </cell>
          <cell r="B36">
            <v>18065840</v>
          </cell>
          <cell r="C36">
            <v>0</v>
          </cell>
        </row>
        <row r="37">
          <cell r="A37" t="str">
            <v xml:space="preserve"> MT SAN ANTONIO</v>
          </cell>
          <cell r="B37">
            <v>20457504</v>
          </cell>
          <cell r="C37">
            <v>20172033</v>
          </cell>
        </row>
        <row r="38">
          <cell r="A38" t="str">
            <v xml:space="preserve"> MT SAN JACINTO</v>
          </cell>
          <cell r="B38">
            <v>29098095</v>
          </cell>
          <cell r="C38">
            <v>-2238840</v>
          </cell>
        </row>
        <row r="39">
          <cell r="A39" t="str">
            <v xml:space="preserve"> NAPA VALLEY</v>
          </cell>
          <cell r="B39">
            <v>28272218</v>
          </cell>
          <cell r="C39">
            <v>189147</v>
          </cell>
        </row>
        <row r="40">
          <cell r="A40" t="str">
            <v xml:space="preserve"> NORTH ORANGE</v>
          </cell>
          <cell r="B40">
            <v>73996673</v>
          </cell>
          <cell r="C40">
            <v>15222787</v>
          </cell>
        </row>
        <row r="41">
          <cell r="A41" t="str">
            <v xml:space="preserve"> OHLONE</v>
          </cell>
          <cell r="B41">
            <v>19437748</v>
          </cell>
          <cell r="C41">
            <v>1673947</v>
          </cell>
        </row>
        <row r="42">
          <cell r="A42" t="str">
            <v xml:space="preserve"> PALO VERDE</v>
          </cell>
          <cell r="B42">
            <v>1500418</v>
          </cell>
          <cell r="C42">
            <v>-77549</v>
          </cell>
        </row>
        <row r="43">
          <cell r="A43" t="str">
            <v xml:space="preserve"> PALOMAR</v>
          </cell>
          <cell r="B43">
            <v>72098850</v>
          </cell>
          <cell r="C43">
            <v>-747681</v>
          </cell>
        </row>
        <row r="44">
          <cell r="A44" t="str">
            <v xml:space="preserve"> PASADENA</v>
          </cell>
          <cell r="B44">
            <v>27565300</v>
          </cell>
          <cell r="C44">
            <v>3557323</v>
          </cell>
        </row>
        <row r="45">
          <cell r="A45" t="str">
            <v xml:space="preserve"> PERALTA</v>
          </cell>
          <cell r="B45">
            <v>22668916</v>
          </cell>
          <cell r="C45">
            <v>28793951</v>
          </cell>
        </row>
        <row r="46">
          <cell r="A46" t="str">
            <v xml:space="preserve"> RANCHO SANTIAGO</v>
          </cell>
          <cell r="B46">
            <v>53272734</v>
          </cell>
          <cell r="C46">
            <v>16136658</v>
          </cell>
        </row>
        <row r="47">
          <cell r="A47" t="str">
            <v xml:space="preserve"> REDWOODS</v>
          </cell>
          <cell r="B47">
            <v>10360903</v>
          </cell>
          <cell r="C47">
            <v>240280</v>
          </cell>
        </row>
        <row r="48">
          <cell r="A48" t="str">
            <v xml:space="preserve"> RIO HONDO</v>
          </cell>
          <cell r="B48">
            <v>6369297</v>
          </cell>
          <cell r="C48">
            <v>0</v>
          </cell>
        </row>
        <row r="49">
          <cell r="A49" t="str">
            <v xml:space="preserve"> RIVERSIDE</v>
          </cell>
          <cell r="B49">
            <v>41362424</v>
          </cell>
          <cell r="C49">
            <v>-3056279</v>
          </cell>
        </row>
        <row r="50">
          <cell r="A50" t="str">
            <v xml:space="preserve"> SAN BERNARDINO</v>
          </cell>
          <cell r="B50">
            <v>28240567</v>
          </cell>
          <cell r="C50">
            <v>-4977792</v>
          </cell>
        </row>
        <row r="51">
          <cell r="A51" t="str">
            <v xml:space="preserve"> SAN DIEGO</v>
          </cell>
          <cell r="B51">
            <v>102953201</v>
          </cell>
          <cell r="C51">
            <v>-1108227</v>
          </cell>
        </row>
        <row r="52">
          <cell r="A52" t="str">
            <v xml:space="preserve"> SAN FRANCISCO</v>
          </cell>
          <cell r="B52">
            <v>29299977</v>
          </cell>
          <cell r="C52">
            <v>44028204</v>
          </cell>
        </row>
        <row r="53">
          <cell r="A53" t="str">
            <v xml:space="preserve"> SAN JOAQUIN DELTA</v>
          </cell>
          <cell r="B53">
            <v>27249313</v>
          </cell>
          <cell r="C53">
            <v>3884898</v>
          </cell>
        </row>
        <row r="54">
          <cell r="A54" t="str">
            <v xml:space="preserve"> SAN JOSE</v>
          </cell>
          <cell r="B54">
            <v>89602046</v>
          </cell>
          <cell r="C54">
            <v>0</v>
          </cell>
        </row>
        <row r="55">
          <cell r="A55" t="str">
            <v xml:space="preserve"> SAN LUIS OBISPO</v>
          </cell>
          <cell r="B55">
            <v>36054175</v>
          </cell>
          <cell r="C55">
            <v>1811518</v>
          </cell>
        </row>
        <row r="56">
          <cell r="A56" t="str">
            <v xml:space="preserve"> SAN MATEO</v>
          </cell>
          <cell r="B56">
            <v>133694250</v>
          </cell>
          <cell r="C56">
            <v>0</v>
          </cell>
        </row>
        <row r="57">
          <cell r="A57" t="str">
            <v xml:space="preserve"> SANTA BARBARA</v>
          </cell>
          <cell r="B57">
            <v>28795751</v>
          </cell>
          <cell r="C57">
            <v>0</v>
          </cell>
        </row>
        <row r="58">
          <cell r="A58" t="str">
            <v xml:space="preserve"> SANTA CLARITA</v>
          </cell>
          <cell r="B58">
            <v>15707454</v>
          </cell>
          <cell r="C58">
            <v>5608537</v>
          </cell>
        </row>
        <row r="59">
          <cell r="A59" t="str">
            <v xml:space="preserve"> SANTA MONICA</v>
          </cell>
          <cell r="B59">
            <v>17481174</v>
          </cell>
          <cell r="C59">
            <v>10031196</v>
          </cell>
        </row>
        <row r="60">
          <cell r="A60" t="str">
            <v xml:space="preserve"> SEQUOIAS</v>
          </cell>
          <cell r="B60">
            <v>15111513</v>
          </cell>
          <cell r="C60">
            <v>-1743569</v>
          </cell>
        </row>
        <row r="61">
          <cell r="A61" t="str">
            <v xml:space="preserve"> SHASTA</v>
          </cell>
          <cell r="B61">
            <v>17072800</v>
          </cell>
          <cell r="C61">
            <v>-337930</v>
          </cell>
        </row>
        <row r="62">
          <cell r="A62" t="str">
            <v xml:space="preserve"> SIERRA</v>
          </cell>
          <cell r="B62">
            <v>69768016</v>
          </cell>
          <cell r="C62">
            <v>5821628</v>
          </cell>
        </row>
        <row r="63">
          <cell r="A63" t="str">
            <v xml:space="preserve"> SISKIYOU</v>
          </cell>
          <cell r="B63">
            <v>3947577</v>
          </cell>
          <cell r="C63">
            <v>41299</v>
          </cell>
        </row>
        <row r="64">
          <cell r="A64" t="str">
            <v xml:space="preserve"> SOLANO</v>
          </cell>
          <cell r="B64">
            <v>14981038</v>
          </cell>
          <cell r="C64">
            <v>1269586</v>
          </cell>
        </row>
        <row r="65">
          <cell r="A65" t="str">
            <v xml:space="preserve"> SONOMA</v>
          </cell>
          <cell r="B65">
            <v>50074172</v>
          </cell>
          <cell r="C65">
            <v>3502213</v>
          </cell>
        </row>
        <row r="66">
          <cell r="A66" t="str">
            <v xml:space="preserve"> SOUTH ORANGE CO.</v>
          </cell>
          <cell r="B66">
            <v>202027369</v>
          </cell>
          <cell r="C66">
            <v>0</v>
          </cell>
        </row>
        <row r="67">
          <cell r="A67" t="str">
            <v xml:space="preserve"> SOUTHWESTERN</v>
          </cell>
          <cell r="B67">
            <v>26008405</v>
          </cell>
          <cell r="C67">
            <v>-284594</v>
          </cell>
        </row>
        <row r="68">
          <cell r="A68" t="str">
            <v xml:space="preserve"> STATE CENTER</v>
          </cell>
          <cell r="B68">
            <v>43944810</v>
          </cell>
          <cell r="C68">
            <v>-1399425</v>
          </cell>
        </row>
        <row r="69">
          <cell r="A69" t="str">
            <v xml:space="preserve"> VENTURA</v>
          </cell>
          <cell r="B69">
            <v>63093042</v>
          </cell>
          <cell r="C69">
            <v>1228702</v>
          </cell>
        </row>
        <row r="70">
          <cell r="A70" t="str">
            <v xml:space="preserve"> VICTOR VALLEY</v>
          </cell>
          <cell r="B70">
            <v>13243122</v>
          </cell>
          <cell r="C70">
            <v>-2766137</v>
          </cell>
        </row>
        <row r="71">
          <cell r="A71" t="str">
            <v xml:space="preserve"> WEST HILLS</v>
          </cell>
          <cell r="B71">
            <v>6157086</v>
          </cell>
          <cell r="C71">
            <v>-561620</v>
          </cell>
        </row>
        <row r="72">
          <cell r="A72" t="str">
            <v xml:space="preserve"> WEST KERN</v>
          </cell>
          <cell r="B72">
            <v>4486629</v>
          </cell>
          <cell r="C72">
            <v>0</v>
          </cell>
        </row>
        <row r="73">
          <cell r="A73" t="str">
            <v xml:space="preserve"> WEST VALLEY</v>
          </cell>
          <cell r="B73">
            <v>112935735</v>
          </cell>
          <cell r="C73">
            <v>0</v>
          </cell>
        </row>
        <row r="74">
          <cell r="A74" t="str">
            <v xml:space="preserve"> YOSEMITE</v>
          </cell>
          <cell r="B74">
            <v>43663033</v>
          </cell>
          <cell r="C74">
            <v>684245</v>
          </cell>
        </row>
        <row r="75">
          <cell r="A75" t="str">
            <v xml:space="preserve"> YUBA</v>
          </cell>
          <cell r="B75">
            <v>24557302</v>
          </cell>
          <cell r="C75">
            <v>3538427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rollment Fee P1 (Estimates)"/>
      <sheetName val="Enrollment Fee P2 (Estimates)"/>
      <sheetName val="Enrollment Fee P3 (Actuals)"/>
      <sheetName val="98% Enrollment Fee Rev"/>
      <sheetName val="Bachelor Degree Fees"/>
      <sheetName val=" Analysis for Estimates"/>
      <sheetName val="DOF report"/>
      <sheetName val=" Analysis for Actuals"/>
      <sheetName val="Use for Variances CCD "/>
      <sheetName val="Index"/>
    </sheetNames>
    <sheetDataSet>
      <sheetData sheetId="0">
        <row r="8">
          <cell r="B8" t="str">
            <v>ALLAN HANCOCK</v>
          </cell>
          <cell r="C8">
            <v>2435650</v>
          </cell>
          <cell r="D8">
            <v>97636</v>
          </cell>
          <cell r="E8">
            <v>2533286</v>
          </cell>
          <cell r="F8">
            <v>0</v>
          </cell>
          <cell r="G8">
            <v>0</v>
          </cell>
          <cell r="H8">
            <v>0</v>
          </cell>
          <cell r="I8">
            <v>2533286</v>
          </cell>
          <cell r="J8">
            <v>0</v>
          </cell>
          <cell r="K8">
            <v>0</v>
          </cell>
          <cell r="L8">
            <v>0</v>
          </cell>
          <cell r="M8">
            <v>2533286</v>
          </cell>
        </row>
        <row r="9">
          <cell r="B9" t="str">
            <v>ANTELOPE VALLEY</v>
          </cell>
          <cell r="C9">
            <v>2142748</v>
          </cell>
          <cell r="D9">
            <v>264188</v>
          </cell>
          <cell r="E9">
            <v>2406936</v>
          </cell>
          <cell r="F9">
            <v>0</v>
          </cell>
          <cell r="G9">
            <v>0</v>
          </cell>
          <cell r="H9">
            <v>0</v>
          </cell>
          <cell r="I9">
            <v>2406936</v>
          </cell>
          <cell r="J9">
            <v>19740</v>
          </cell>
          <cell r="K9">
            <v>2436</v>
          </cell>
          <cell r="L9">
            <v>22176</v>
          </cell>
          <cell r="M9">
            <v>2429112</v>
          </cell>
        </row>
        <row r="10">
          <cell r="B10" t="str">
            <v>BARSTOW</v>
          </cell>
          <cell r="C10">
            <v>154883</v>
          </cell>
          <cell r="D10">
            <v>178477</v>
          </cell>
          <cell r="E10">
            <v>333360</v>
          </cell>
          <cell r="F10">
            <v>0</v>
          </cell>
          <cell r="G10">
            <v>0</v>
          </cell>
          <cell r="H10">
            <v>0</v>
          </cell>
          <cell r="I10">
            <v>333360</v>
          </cell>
          <cell r="J10">
            <v>0</v>
          </cell>
          <cell r="K10">
            <v>0</v>
          </cell>
          <cell r="L10">
            <v>0</v>
          </cell>
          <cell r="M10">
            <v>333360</v>
          </cell>
        </row>
        <row r="11">
          <cell r="B11" t="str">
            <v>BUTTE</v>
          </cell>
          <cell r="C11">
            <v>2436596</v>
          </cell>
          <cell r="D11">
            <v>270733</v>
          </cell>
          <cell r="E11">
            <v>2707329</v>
          </cell>
          <cell r="F11">
            <v>0</v>
          </cell>
          <cell r="G11">
            <v>0</v>
          </cell>
          <cell r="H11">
            <v>0</v>
          </cell>
          <cell r="I11">
            <v>2707329</v>
          </cell>
          <cell r="J11">
            <v>0</v>
          </cell>
          <cell r="K11">
            <v>0</v>
          </cell>
          <cell r="L11">
            <v>0</v>
          </cell>
          <cell r="M11">
            <v>2707329</v>
          </cell>
        </row>
        <row r="12">
          <cell r="B12" t="str">
            <v>CABRILLO</v>
          </cell>
          <cell r="C12">
            <v>1379299</v>
          </cell>
          <cell r="D12">
            <v>2725861</v>
          </cell>
          <cell r="E12">
            <v>4105160</v>
          </cell>
          <cell r="F12">
            <v>0</v>
          </cell>
          <cell r="G12">
            <v>0</v>
          </cell>
          <cell r="H12">
            <v>0</v>
          </cell>
          <cell r="I12">
            <v>4105160</v>
          </cell>
          <cell r="J12">
            <v>0</v>
          </cell>
          <cell r="K12">
            <v>0</v>
          </cell>
          <cell r="L12">
            <v>0</v>
          </cell>
          <cell r="M12">
            <v>4105160</v>
          </cell>
        </row>
        <row r="13">
          <cell r="B13" t="str">
            <v>CERRITOS</v>
          </cell>
          <cell r="C13">
            <v>5122823</v>
          </cell>
          <cell r="D13">
            <v>0</v>
          </cell>
          <cell r="E13">
            <v>5122823</v>
          </cell>
          <cell r="F13">
            <v>0</v>
          </cell>
          <cell r="G13">
            <v>0</v>
          </cell>
          <cell r="H13">
            <v>0</v>
          </cell>
          <cell r="I13">
            <v>5122823</v>
          </cell>
          <cell r="J13">
            <v>0</v>
          </cell>
          <cell r="K13">
            <v>0</v>
          </cell>
          <cell r="L13">
            <v>0</v>
          </cell>
          <cell r="M13">
            <v>5122823</v>
          </cell>
        </row>
        <row r="14">
          <cell r="B14" t="str">
            <v>CHABOT-LAS POSITAS</v>
          </cell>
          <cell r="C14">
            <v>9856371</v>
          </cell>
          <cell r="D14">
            <v>0</v>
          </cell>
          <cell r="E14">
            <v>9856371</v>
          </cell>
          <cell r="F14">
            <v>0</v>
          </cell>
          <cell r="G14">
            <v>0</v>
          </cell>
          <cell r="H14">
            <v>0</v>
          </cell>
          <cell r="I14">
            <v>9856371</v>
          </cell>
          <cell r="J14">
            <v>0</v>
          </cell>
          <cell r="K14">
            <v>0</v>
          </cell>
          <cell r="L14">
            <v>0</v>
          </cell>
          <cell r="M14">
            <v>9856371</v>
          </cell>
        </row>
        <row r="15">
          <cell r="B15" t="str">
            <v>CHAFFEY</v>
          </cell>
          <cell r="C15">
            <v>4087008</v>
          </cell>
          <cell r="D15">
            <v>2178157</v>
          </cell>
          <cell r="E15">
            <v>6265165</v>
          </cell>
          <cell r="F15">
            <v>0</v>
          </cell>
          <cell r="G15">
            <v>0</v>
          </cell>
          <cell r="H15">
            <v>0</v>
          </cell>
          <cell r="I15">
            <v>6265165</v>
          </cell>
          <cell r="J15">
            <v>0</v>
          </cell>
          <cell r="K15">
            <v>0</v>
          </cell>
          <cell r="L15">
            <v>0</v>
          </cell>
          <cell r="M15">
            <v>6265165</v>
          </cell>
        </row>
        <row r="16">
          <cell r="B16" t="str">
            <v>CITRUS</v>
          </cell>
          <cell r="C16">
            <v>3441020</v>
          </cell>
          <cell r="D16">
            <v>1183314</v>
          </cell>
          <cell r="E16">
            <v>4624334</v>
          </cell>
          <cell r="F16">
            <v>0</v>
          </cell>
          <cell r="G16">
            <v>0</v>
          </cell>
          <cell r="H16">
            <v>0</v>
          </cell>
          <cell r="I16">
            <v>4624334</v>
          </cell>
          <cell r="J16">
            <v>0</v>
          </cell>
          <cell r="K16">
            <v>0</v>
          </cell>
          <cell r="L16">
            <v>0</v>
          </cell>
          <cell r="M16">
            <v>4624334</v>
          </cell>
        </row>
        <row r="17">
          <cell r="B17" t="str">
            <v>COAST</v>
          </cell>
          <cell r="C17">
            <v>13631664</v>
          </cell>
          <cell r="D17">
            <v>1806221</v>
          </cell>
          <cell r="E17">
            <v>15437885</v>
          </cell>
          <cell r="F17">
            <v>0</v>
          </cell>
          <cell r="G17">
            <v>0</v>
          </cell>
          <cell r="H17">
            <v>0</v>
          </cell>
          <cell r="I17">
            <v>15437885</v>
          </cell>
          <cell r="J17">
            <v>0</v>
          </cell>
          <cell r="K17">
            <v>0</v>
          </cell>
          <cell r="L17">
            <v>0</v>
          </cell>
          <cell r="M17">
            <v>15437885</v>
          </cell>
        </row>
        <row r="18">
          <cell r="B18" t="str">
            <v>COMPTON</v>
          </cell>
          <cell r="C18">
            <v>1026005</v>
          </cell>
          <cell r="D18">
            <v>321843</v>
          </cell>
          <cell r="E18">
            <v>1347848</v>
          </cell>
          <cell r="F18">
            <v>0</v>
          </cell>
          <cell r="G18">
            <v>0</v>
          </cell>
          <cell r="H18">
            <v>0</v>
          </cell>
          <cell r="I18">
            <v>1347848</v>
          </cell>
          <cell r="J18">
            <v>0</v>
          </cell>
          <cell r="K18">
            <v>0</v>
          </cell>
          <cell r="L18">
            <v>0</v>
          </cell>
          <cell r="M18">
            <v>1347848</v>
          </cell>
        </row>
        <row r="19">
          <cell r="B19" t="str">
            <v>CONTRA COSTA</v>
          </cell>
          <cell r="C19">
            <v>17992694</v>
          </cell>
          <cell r="D19">
            <v>0</v>
          </cell>
          <cell r="E19">
            <v>17992694</v>
          </cell>
          <cell r="F19">
            <v>0</v>
          </cell>
          <cell r="G19">
            <v>0</v>
          </cell>
          <cell r="H19">
            <v>0</v>
          </cell>
          <cell r="I19">
            <v>17992694</v>
          </cell>
          <cell r="J19">
            <v>0</v>
          </cell>
          <cell r="K19">
            <v>0</v>
          </cell>
          <cell r="L19">
            <v>0</v>
          </cell>
          <cell r="M19">
            <v>17992694</v>
          </cell>
        </row>
        <row r="20">
          <cell r="B20" t="str">
            <v>COPPER MOUNTAIN</v>
          </cell>
          <cell r="C20">
            <v>72375</v>
          </cell>
          <cell r="D20">
            <v>122625</v>
          </cell>
          <cell r="E20">
            <v>195000</v>
          </cell>
          <cell r="F20">
            <v>0</v>
          </cell>
          <cell r="G20">
            <v>0</v>
          </cell>
          <cell r="H20">
            <v>0</v>
          </cell>
          <cell r="I20">
            <v>195000</v>
          </cell>
          <cell r="J20">
            <v>0</v>
          </cell>
          <cell r="K20">
            <v>0</v>
          </cell>
          <cell r="L20">
            <v>0</v>
          </cell>
          <cell r="M20">
            <v>195000</v>
          </cell>
        </row>
        <row r="21">
          <cell r="B21" t="str">
            <v>DESERT</v>
          </cell>
          <cell r="C21">
            <v>2492338</v>
          </cell>
          <cell r="D21">
            <v>0</v>
          </cell>
          <cell r="E21">
            <v>2492338</v>
          </cell>
          <cell r="F21">
            <v>0</v>
          </cell>
          <cell r="G21">
            <v>0</v>
          </cell>
          <cell r="H21">
            <v>0</v>
          </cell>
          <cell r="I21">
            <v>2492338</v>
          </cell>
          <cell r="J21">
            <v>0</v>
          </cell>
          <cell r="K21">
            <v>0</v>
          </cell>
          <cell r="L21">
            <v>0</v>
          </cell>
          <cell r="M21">
            <v>2492338</v>
          </cell>
        </row>
        <row r="22">
          <cell r="B22" t="str">
            <v>EL CAMINO</v>
          </cell>
          <cell r="C22">
            <v>2355681</v>
          </cell>
          <cell r="D22">
            <v>5021840</v>
          </cell>
          <cell r="E22">
            <v>7377521</v>
          </cell>
          <cell r="F22">
            <v>0</v>
          </cell>
          <cell r="G22">
            <v>0</v>
          </cell>
          <cell r="H22">
            <v>0</v>
          </cell>
          <cell r="I22">
            <v>7377521</v>
          </cell>
          <cell r="J22">
            <v>0</v>
          </cell>
          <cell r="K22">
            <v>0</v>
          </cell>
          <cell r="L22">
            <v>0</v>
          </cell>
          <cell r="M22">
            <v>7377521</v>
          </cell>
        </row>
        <row r="23">
          <cell r="B23" t="str">
            <v>FEATHER RIVER</v>
          </cell>
          <cell r="C23">
            <v>458571</v>
          </cell>
          <cell r="D23">
            <v>154311</v>
          </cell>
          <cell r="E23">
            <v>612882</v>
          </cell>
          <cell r="F23">
            <v>0</v>
          </cell>
          <cell r="G23">
            <v>0</v>
          </cell>
          <cell r="H23">
            <v>0</v>
          </cell>
          <cell r="I23">
            <v>612882</v>
          </cell>
          <cell r="J23">
            <v>44772</v>
          </cell>
          <cell r="K23">
            <v>15540</v>
          </cell>
          <cell r="L23">
            <v>60312</v>
          </cell>
          <cell r="M23">
            <v>673194</v>
          </cell>
        </row>
        <row r="24">
          <cell r="B24" t="str">
            <v>FOOTHILL-DEANZA</v>
          </cell>
          <cell r="C24">
            <v>17973056</v>
          </cell>
          <cell r="D24">
            <v>4026944</v>
          </cell>
          <cell r="E24">
            <v>22000000</v>
          </cell>
          <cell r="F24">
            <v>0</v>
          </cell>
          <cell r="G24">
            <v>0</v>
          </cell>
          <cell r="H24">
            <v>0</v>
          </cell>
          <cell r="I24">
            <v>22000000</v>
          </cell>
          <cell r="J24">
            <v>0</v>
          </cell>
          <cell r="K24">
            <v>0</v>
          </cell>
          <cell r="L24">
            <v>0</v>
          </cell>
          <cell r="M24">
            <v>22000000</v>
          </cell>
        </row>
        <row r="25">
          <cell r="B25" t="str">
            <v>GAVILAN</v>
          </cell>
          <cell r="C25">
            <v>2131456</v>
          </cell>
          <cell r="D25">
            <v>308649</v>
          </cell>
          <cell r="E25">
            <v>2440105</v>
          </cell>
          <cell r="F25">
            <v>0</v>
          </cell>
          <cell r="G25">
            <v>0</v>
          </cell>
          <cell r="H25">
            <v>0</v>
          </cell>
          <cell r="I25">
            <v>2440105</v>
          </cell>
          <cell r="J25">
            <v>0</v>
          </cell>
          <cell r="K25">
            <v>0</v>
          </cell>
          <cell r="L25">
            <v>0</v>
          </cell>
          <cell r="M25">
            <v>2440105</v>
          </cell>
        </row>
        <row r="26">
          <cell r="B26" t="str">
            <v>GLENDALE</v>
          </cell>
          <cell r="C26">
            <v>2972552</v>
          </cell>
          <cell r="D26">
            <v>1331508</v>
          </cell>
          <cell r="E26">
            <v>4304060</v>
          </cell>
          <cell r="F26">
            <v>0</v>
          </cell>
          <cell r="G26">
            <v>0</v>
          </cell>
          <cell r="H26">
            <v>0</v>
          </cell>
          <cell r="I26">
            <v>4304060</v>
          </cell>
          <cell r="J26">
            <v>0</v>
          </cell>
          <cell r="K26">
            <v>0</v>
          </cell>
          <cell r="L26">
            <v>0</v>
          </cell>
          <cell r="M26">
            <v>4304060</v>
          </cell>
        </row>
        <row r="27">
          <cell r="B27" t="str">
            <v>GROSSMONT-CUYAMACA</v>
          </cell>
          <cell r="C27">
            <v>7472883</v>
          </cell>
          <cell r="D27">
            <v>100000</v>
          </cell>
          <cell r="E27">
            <v>7572883</v>
          </cell>
          <cell r="F27">
            <v>0</v>
          </cell>
          <cell r="G27">
            <v>0</v>
          </cell>
          <cell r="H27">
            <v>0</v>
          </cell>
          <cell r="I27">
            <v>7572883</v>
          </cell>
          <cell r="J27">
            <v>0</v>
          </cell>
          <cell r="K27">
            <v>0</v>
          </cell>
          <cell r="L27">
            <v>0</v>
          </cell>
          <cell r="M27">
            <v>7572883</v>
          </cell>
        </row>
        <row r="28">
          <cell r="B28" t="str">
            <v>HARTNELL</v>
          </cell>
          <cell r="C28">
            <v>2166183</v>
          </cell>
          <cell r="D28">
            <v>0</v>
          </cell>
          <cell r="E28">
            <v>2166183</v>
          </cell>
          <cell r="F28">
            <v>0</v>
          </cell>
          <cell r="G28">
            <v>0</v>
          </cell>
          <cell r="H28">
            <v>0</v>
          </cell>
          <cell r="I28">
            <v>2166183</v>
          </cell>
          <cell r="J28">
            <v>0</v>
          </cell>
          <cell r="K28">
            <v>0</v>
          </cell>
          <cell r="L28">
            <v>0</v>
          </cell>
          <cell r="M28">
            <v>2166183</v>
          </cell>
        </row>
        <row r="29">
          <cell r="B29" t="str">
            <v>IMPERIAL</v>
          </cell>
          <cell r="C29">
            <v>572492</v>
          </cell>
          <cell r="D29">
            <v>732100</v>
          </cell>
          <cell r="E29">
            <v>1304592</v>
          </cell>
          <cell r="F29">
            <v>0</v>
          </cell>
          <cell r="G29">
            <v>0</v>
          </cell>
          <cell r="H29">
            <v>0</v>
          </cell>
          <cell r="I29">
            <v>1304592</v>
          </cell>
          <cell r="J29">
            <v>0</v>
          </cell>
          <cell r="K29">
            <v>0</v>
          </cell>
          <cell r="L29">
            <v>0</v>
          </cell>
          <cell r="M29">
            <v>1304592</v>
          </cell>
        </row>
        <row r="30">
          <cell r="B30" t="str">
            <v>KERN</v>
          </cell>
          <cell r="C30">
            <v>4883539</v>
          </cell>
          <cell r="D30">
            <v>1977469</v>
          </cell>
          <cell r="E30">
            <v>6861008</v>
          </cell>
          <cell r="F30">
            <v>0</v>
          </cell>
          <cell r="G30">
            <v>0</v>
          </cell>
          <cell r="H30">
            <v>0</v>
          </cell>
          <cell r="I30">
            <v>6861008</v>
          </cell>
          <cell r="J30">
            <v>29684</v>
          </cell>
          <cell r="K30">
            <v>2470</v>
          </cell>
          <cell r="L30">
            <v>32154</v>
          </cell>
          <cell r="M30">
            <v>6893162</v>
          </cell>
        </row>
        <row r="31">
          <cell r="B31" t="str">
            <v>LAKE TAHOE</v>
          </cell>
          <cell r="C31">
            <v>663587</v>
          </cell>
          <cell r="D31">
            <v>61644</v>
          </cell>
          <cell r="E31">
            <v>725231</v>
          </cell>
          <cell r="F31">
            <v>39400</v>
          </cell>
          <cell r="G31">
            <v>0</v>
          </cell>
          <cell r="H31">
            <v>39400</v>
          </cell>
          <cell r="I31">
            <v>764631</v>
          </cell>
          <cell r="J31">
            <v>0</v>
          </cell>
          <cell r="K31">
            <v>0</v>
          </cell>
          <cell r="L31">
            <v>0</v>
          </cell>
          <cell r="M31">
            <v>764631</v>
          </cell>
        </row>
        <row r="32">
          <cell r="B32" t="str">
            <v>LASSEN</v>
          </cell>
          <cell r="C32">
            <v>375000</v>
          </cell>
          <cell r="D32">
            <v>0</v>
          </cell>
          <cell r="E32">
            <v>375000</v>
          </cell>
          <cell r="F32">
            <v>0</v>
          </cell>
          <cell r="G32">
            <v>0</v>
          </cell>
          <cell r="H32">
            <v>0</v>
          </cell>
          <cell r="I32">
            <v>375000</v>
          </cell>
          <cell r="J32">
            <v>0</v>
          </cell>
          <cell r="K32">
            <v>0</v>
          </cell>
          <cell r="L32">
            <v>0</v>
          </cell>
          <cell r="M32">
            <v>375000</v>
          </cell>
        </row>
        <row r="33">
          <cell r="B33" t="str">
            <v>LONG BEACH</v>
          </cell>
          <cell r="C33">
            <v>6010361</v>
          </cell>
          <cell r="D33">
            <v>918464</v>
          </cell>
          <cell r="E33">
            <v>6928825</v>
          </cell>
          <cell r="F33">
            <v>0</v>
          </cell>
          <cell r="G33">
            <v>0</v>
          </cell>
          <cell r="H33">
            <v>0</v>
          </cell>
          <cell r="I33">
            <v>6928825</v>
          </cell>
          <cell r="J33">
            <v>0</v>
          </cell>
          <cell r="K33">
            <v>0</v>
          </cell>
          <cell r="L33">
            <v>0</v>
          </cell>
          <cell r="M33">
            <v>6928825</v>
          </cell>
        </row>
        <row r="34">
          <cell r="B34" t="str">
            <v>LOS ANGELES</v>
          </cell>
          <cell r="C34">
            <v>27136267</v>
          </cell>
          <cell r="D34">
            <v>6174319</v>
          </cell>
          <cell r="E34">
            <v>33310586</v>
          </cell>
          <cell r="F34">
            <v>0</v>
          </cell>
          <cell r="G34">
            <v>0</v>
          </cell>
          <cell r="H34">
            <v>0</v>
          </cell>
          <cell r="I34">
            <v>33310586</v>
          </cell>
          <cell r="J34">
            <v>162319</v>
          </cell>
          <cell r="K34">
            <v>97732</v>
          </cell>
          <cell r="L34">
            <v>260051</v>
          </cell>
          <cell r="M34">
            <v>33570637</v>
          </cell>
        </row>
        <row r="35">
          <cell r="B35" t="str">
            <v>LOS RIOS</v>
          </cell>
          <cell r="C35">
            <v>15826459</v>
          </cell>
          <cell r="D35">
            <v>2038221</v>
          </cell>
          <cell r="E35">
            <v>17864680</v>
          </cell>
          <cell r="F35">
            <v>0</v>
          </cell>
          <cell r="G35">
            <v>0</v>
          </cell>
          <cell r="H35">
            <v>0</v>
          </cell>
          <cell r="I35">
            <v>17864680</v>
          </cell>
          <cell r="J35">
            <v>0</v>
          </cell>
          <cell r="K35">
            <v>0</v>
          </cell>
          <cell r="L35">
            <v>0</v>
          </cell>
          <cell r="M35">
            <v>17864680</v>
          </cell>
        </row>
        <row r="36">
          <cell r="B36" t="str">
            <v>MARIN</v>
          </cell>
          <cell r="C36">
            <v>1371822</v>
          </cell>
          <cell r="D36">
            <v>488074</v>
          </cell>
          <cell r="E36">
            <v>1859896</v>
          </cell>
          <cell r="F36">
            <v>0</v>
          </cell>
          <cell r="G36">
            <v>0</v>
          </cell>
          <cell r="H36">
            <v>0</v>
          </cell>
          <cell r="I36">
            <v>1859896</v>
          </cell>
          <cell r="J36">
            <v>0</v>
          </cell>
          <cell r="K36">
            <v>0</v>
          </cell>
          <cell r="L36">
            <v>0</v>
          </cell>
          <cell r="M36">
            <v>1859896</v>
          </cell>
        </row>
        <row r="37">
          <cell r="B37" t="str">
            <v>MENDOCINO-LAKE</v>
          </cell>
          <cell r="C37">
            <v>579134</v>
          </cell>
          <cell r="D37">
            <v>100000</v>
          </cell>
          <cell r="E37">
            <v>679134</v>
          </cell>
          <cell r="F37">
            <v>0</v>
          </cell>
          <cell r="G37">
            <v>0</v>
          </cell>
          <cell r="H37">
            <v>0</v>
          </cell>
          <cell r="I37">
            <v>679134</v>
          </cell>
          <cell r="J37">
            <v>0</v>
          </cell>
          <cell r="K37">
            <v>0</v>
          </cell>
          <cell r="L37">
            <v>0</v>
          </cell>
          <cell r="M37">
            <v>679134</v>
          </cell>
        </row>
        <row r="38">
          <cell r="B38" t="str">
            <v>MERCED</v>
          </cell>
          <cell r="C38">
            <v>3082161</v>
          </cell>
          <cell r="D38">
            <v>0</v>
          </cell>
          <cell r="E38">
            <v>3082161</v>
          </cell>
          <cell r="F38">
            <v>0</v>
          </cell>
          <cell r="G38">
            <v>0</v>
          </cell>
          <cell r="H38">
            <v>0</v>
          </cell>
          <cell r="I38">
            <v>3082161</v>
          </cell>
          <cell r="J38">
            <v>0</v>
          </cell>
          <cell r="K38">
            <v>0</v>
          </cell>
          <cell r="L38">
            <v>0</v>
          </cell>
          <cell r="M38">
            <v>3082161</v>
          </cell>
        </row>
        <row r="39">
          <cell r="B39" t="str">
            <v>MIRACOSTA</v>
          </cell>
          <cell r="C39">
            <v>8500000</v>
          </cell>
          <cell r="D39">
            <v>0</v>
          </cell>
          <cell r="E39">
            <v>8500000</v>
          </cell>
          <cell r="F39">
            <v>0</v>
          </cell>
          <cell r="G39">
            <v>0</v>
          </cell>
          <cell r="H39">
            <v>0</v>
          </cell>
          <cell r="I39">
            <v>8500000</v>
          </cell>
          <cell r="J39">
            <v>0</v>
          </cell>
          <cell r="K39">
            <v>0</v>
          </cell>
          <cell r="L39">
            <v>0</v>
          </cell>
          <cell r="M39">
            <v>8500000</v>
          </cell>
        </row>
        <row r="40">
          <cell r="B40" t="str">
            <v>MONTEREY</v>
          </cell>
          <cell r="C40">
            <v>2890731</v>
          </cell>
          <cell r="D40">
            <v>0</v>
          </cell>
          <cell r="E40">
            <v>2890731</v>
          </cell>
          <cell r="F40">
            <v>0</v>
          </cell>
          <cell r="G40">
            <v>0</v>
          </cell>
          <cell r="H40">
            <v>0</v>
          </cell>
          <cell r="I40">
            <v>2890731</v>
          </cell>
          <cell r="J40">
            <v>0</v>
          </cell>
          <cell r="K40">
            <v>0</v>
          </cell>
          <cell r="L40">
            <v>0</v>
          </cell>
          <cell r="M40">
            <v>2890731</v>
          </cell>
        </row>
        <row r="41">
          <cell r="B41" t="str">
            <v>MT. SAN ANTONIO</v>
          </cell>
          <cell r="C41">
            <v>9502552</v>
          </cell>
          <cell r="D41">
            <v>646336</v>
          </cell>
          <cell r="E41">
            <v>10148888</v>
          </cell>
          <cell r="F41">
            <v>0</v>
          </cell>
          <cell r="G41">
            <v>0</v>
          </cell>
          <cell r="H41">
            <v>0</v>
          </cell>
          <cell r="I41">
            <v>10148888</v>
          </cell>
          <cell r="J41">
            <v>0</v>
          </cell>
          <cell r="K41">
            <v>0</v>
          </cell>
          <cell r="L41">
            <v>0</v>
          </cell>
          <cell r="M41">
            <v>10148888</v>
          </cell>
        </row>
        <row r="42">
          <cell r="B42" t="str">
            <v>MT. SAN JACINTO</v>
          </cell>
          <cell r="C42">
            <v>3586909</v>
          </cell>
          <cell r="D42">
            <v>0</v>
          </cell>
          <cell r="E42">
            <v>3586909</v>
          </cell>
          <cell r="F42">
            <v>0</v>
          </cell>
          <cell r="G42">
            <v>0</v>
          </cell>
          <cell r="H42">
            <v>0</v>
          </cell>
          <cell r="I42">
            <v>3586909</v>
          </cell>
          <cell r="J42">
            <v>0</v>
          </cell>
          <cell r="K42">
            <v>0</v>
          </cell>
          <cell r="L42">
            <v>0</v>
          </cell>
          <cell r="M42">
            <v>3586909</v>
          </cell>
        </row>
        <row r="43">
          <cell r="B43" t="str">
            <v>NAPA</v>
          </cell>
          <cell r="C43">
            <v>1548731</v>
          </cell>
          <cell r="D43">
            <v>467598</v>
          </cell>
          <cell r="E43">
            <v>2016329</v>
          </cell>
          <cell r="F43">
            <v>239477</v>
          </cell>
          <cell r="G43">
            <v>72304</v>
          </cell>
          <cell r="H43">
            <v>311781</v>
          </cell>
          <cell r="I43">
            <v>2328110</v>
          </cell>
          <cell r="J43">
            <v>0</v>
          </cell>
          <cell r="K43">
            <v>0</v>
          </cell>
          <cell r="L43">
            <v>0</v>
          </cell>
          <cell r="M43">
            <v>2328110</v>
          </cell>
        </row>
        <row r="44">
          <cell r="B44" t="str">
            <v>NORTH ORANGE</v>
          </cell>
          <cell r="C44">
            <v>9882352</v>
          </cell>
          <cell r="D44">
            <v>1964372</v>
          </cell>
          <cell r="E44">
            <v>11846724</v>
          </cell>
          <cell r="F44">
            <v>0</v>
          </cell>
          <cell r="G44">
            <v>0</v>
          </cell>
          <cell r="H44">
            <v>0</v>
          </cell>
          <cell r="I44">
            <v>11846724</v>
          </cell>
          <cell r="J44">
            <v>13944</v>
          </cell>
          <cell r="K44">
            <v>420</v>
          </cell>
          <cell r="L44">
            <v>14364</v>
          </cell>
          <cell r="M44">
            <v>11861088</v>
          </cell>
        </row>
        <row r="45">
          <cell r="B45" t="str">
            <v>OHLONE</v>
          </cell>
          <cell r="C45">
            <v>3167066</v>
          </cell>
          <cell r="D45">
            <v>1055688</v>
          </cell>
          <cell r="E45">
            <v>4222754</v>
          </cell>
          <cell r="F45">
            <v>0</v>
          </cell>
          <cell r="G45">
            <v>0</v>
          </cell>
          <cell r="H45">
            <v>0</v>
          </cell>
          <cell r="I45">
            <v>4222754</v>
          </cell>
          <cell r="J45">
            <v>0</v>
          </cell>
          <cell r="K45">
            <v>0</v>
          </cell>
          <cell r="L45">
            <v>0</v>
          </cell>
          <cell r="M45">
            <v>4222754</v>
          </cell>
        </row>
        <row r="46">
          <cell r="B46" t="str">
            <v>PALO VERDE</v>
          </cell>
          <cell r="C46">
            <v>190334</v>
          </cell>
          <cell r="D46">
            <v>79097</v>
          </cell>
          <cell r="E46">
            <v>269431</v>
          </cell>
          <cell r="F46">
            <v>220</v>
          </cell>
          <cell r="G46">
            <v>0</v>
          </cell>
          <cell r="H46">
            <v>220</v>
          </cell>
          <cell r="I46">
            <v>269651</v>
          </cell>
          <cell r="J46">
            <v>0</v>
          </cell>
          <cell r="K46">
            <v>0</v>
          </cell>
          <cell r="L46">
            <v>0</v>
          </cell>
          <cell r="M46">
            <v>269651</v>
          </cell>
        </row>
        <row r="47">
          <cell r="B47" t="str">
            <v>PALOMAR</v>
          </cell>
          <cell r="C47">
            <v>6665905</v>
          </cell>
          <cell r="D47">
            <v>1886259</v>
          </cell>
          <cell r="E47">
            <v>8552164</v>
          </cell>
          <cell r="F47">
            <v>0</v>
          </cell>
          <cell r="G47">
            <v>0</v>
          </cell>
          <cell r="H47">
            <v>0</v>
          </cell>
          <cell r="I47">
            <v>8552164</v>
          </cell>
          <cell r="J47">
            <v>0</v>
          </cell>
          <cell r="K47">
            <v>0</v>
          </cell>
          <cell r="L47">
            <v>0</v>
          </cell>
          <cell r="M47">
            <v>8552164</v>
          </cell>
        </row>
        <row r="48">
          <cell r="B48" t="str">
            <v>PASADENA</v>
          </cell>
          <cell r="C48">
            <v>9500000</v>
          </cell>
          <cell r="D48">
            <v>1100000</v>
          </cell>
          <cell r="E48">
            <v>10600000</v>
          </cell>
          <cell r="F48">
            <v>0</v>
          </cell>
          <cell r="G48">
            <v>0</v>
          </cell>
          <cell r="H48">
            <v>0</v>
          </cell>
          <cell r="I48">
            <v>10600000</v>
          </cell>
          <cell r="J48">
            <v>0</v>
          </cell>
          <cell r="K48">
            <v>0</v>
          </cell>
          <cell r="L48">
            <v>0</v>
          </cell>
          <cell r="M48">
            <v>10600000</v>
          </cell>
        </row>
        <row r="49">
          <cell r="B49" t="str">
            <v>PERALTA</v>
          </cell>
          <cell r="C49">
            <v>2773463</v>
          </cell>
          <cell r="D49">
            <v>3632937</v>
          </cell>
          <cell r="E49">
            <v>6406400</v>
          </cell>
          <cell r="F49">
            <v>0</v>
          </cell>
          <cell r="G49">
            <v>0</v>
          </cell>
          <cell r="H49">
            <v>0</v>
          </cell>
          <cell r="I49">
            <v>6406400</v>
          </cell>
          <cell r="J49">
            <v>0</v>
          </cell>
          <cell r="K49">
            <v>0</v>
          </cell>
          <cell r="L49">
            <v>0</v>
          </cell>
          <cell r="M49">
            <v>6406400</v>
          </cell>
        </row>
        <row r="50">
          <cell r="B50" t="str">
            <v>RANCHO SANTIAGO</v>
          </cell>
          <cell r="C50">
            <v>6707368</v>
          </cell>
          <cell r="D50">
            <v>1338634</v>
          </cell>
          <cell r="E50">
            <v>8046002</v>
          </cell>
          <cell r="F50">
            <v>0</v>
          </cell>
          <cell r="G50">
            <v>0</v>
          </cell>
          <cell r="H50">
            <v>0</v>
          </cell>
          <cell r="I50">
            <v>8046002</v>
          </cell>
          <cell r="J50">
            <v>26292</v>
          </cell>
          <cell r="K50">
            <v>0</v>
          </cell>
          <cell r="L50">
            <v>26292</v>
          </cell>
          <cell r="M50">
            <v>8072294</v>
          </cell>
        </row>
        <row r="51">
          <cell r="B51" t="str">
            <v>REDWOODS</v>
          </cell>
          <cell r="C51">
            <v>98175</v>
          </cell>
          <cell r="D51">
            <v>950924</v>
          </cell>
          <cell r="E51">
            <v>1049099</v>
          </cell>
          <cell r="F51">
            <v>0</v>
          </cell>
          <cell r="G51">
            <v>0</v>
          </cell>
          <cell r="H51">
            <v>0</v>
          </cell>
          <cell r="I51">
            <v>1049099</v>
          </cell>
          <cell r="J51">
            <v>0</v>
          </cell>
          <cell r="K51">
            <v>0</v>
          </cell>
          <cell r="L51">
            <v>0</v>
          </cell>
          <cell r="M51">
            <v>1049099</v>
          </cell>
        </row>
        <row r="52">
          <cell r="B52" t="str">
            <v>RIO HONDO</v>
          </cell>
          <cell r="C52">
            <v>1791416</v>
          </cell>
          <cell r="D52">
            <v>1700000</v>
          </cell>
          <cell r="E52">
            <v>3491416</v>
          </cell>
          <cell r="F52">
            <v>0</v>
          </cell>
          <cell r="G52">
            <v>0</v>
          </cell>
          <cell r="H52">
            <v>0</v>
          </cell>
          <cell r="I52">
            <v>3491416</v>
          </cell>
          <cell r="J52">
            <v>14227</v>
          </cell>
          <cell r="K52">
            <v>12000</v>
          </cell>
          <cell r="L52">
            <v>26227</v>
          </cell>
          <cell r="M52">
            <v>3517643</v>
          </cell>
        </row>
        <row r="53">
          <cell r="B53" t="str">
            <v>RIVERSIDE</v>
          </cell>
          <cell r="C53">
            <v>6995863</v>
          </cell>
          <cell r="D53">
            <v>3627410</v>
          </cell>
          <cell r="E53">
            <v>10623273</v>
          </cell>
          <cell r="F53">
            <v>0</v>
          </cell>
          <cell r="G53">
            <v>0</v>
          </cell>
          <cell r="H53">
            <v>0</v>
          </cell>
          <cell r="I53">
            <v>10623273</v>
          </cell>
          <cell r="J53">
            <v>0</v>
          </cell>
          <cell r="K53">
            <v>0</v>
          </cell>
          <cell r="L53">
            <v>0</v>
          </cell>
          <cell r="M53">
            <v>10623273</v>
          </cell>
        </row>
        <row r="54">
          <cell r="B54" t="str">
            <v>SAN BERNARDINO</v>
          </cell>
          <cell r="C54">
            <v>4942981</v>
          </cell>
          <cell r="D54">
            <v>146166</v>
          </cell>
          <cell r="E54">
            <v>5089147</v>
          </cell>
          <cell r="F54">
            <v>0</v>
          </cell>
          <cell r="G54">
            <v>0</v>
          </cell>
          <cell r="H54">
            <v>0</v>
          </cell>
          <cell r="I54">
            <v>5089147</v>
          </cell>
          <cell r="J54">
            <v>0</v>
          </cell>
          <cell r="K54">
            <v>0</v>
          </cell>
          <cell r="L54">
            <v>0</v>
          </cell>
          <cell r="M54">
            <v>5089147</v>
          </cell>
        </row>
        <row r="55">
          <cell r="B55" t="str">
            <v>SAN DIEGO</v>
          </cell>
          <cell r="C55">
            <v>13114486</v>
          </cell>
          <cell r="D55">
            <v>0</v>
          </cell>
          <cell r="E55">
            <v>13114486</v>
          </cell>
          <cell r="F55">
            <v>0</v>
          </cell>
          <cell r="G55">
            <v>0</v>
          </cell>
          <cell r="H55">
            <v>0</v>
          </cell>
          <cell r="I55">
            <v>13114486</v>
          </cell>
          <cell r="J55">
            <v>84838</v>
          </cell>
          <cell r="K55">
            <v>0</v>
          </cell>
          <cell r="L55">
            <v>84838</v>
          </cell>
          <cell r="M55">
            <v>13199324</v>
          </cell>
        </row>
        <row r="56">
          <cell r="B56" t="str">
            <v>SAN FRANCISCO</v>
          </cell>
          <cell r="C56">
            <v>10575674</v>
          </cell>
          <cell r="D56">
            <v>2370658</v>
          </cell>
          <cell r="E56">
            <v>12946332</v>
          </cell>
          <cell r="F56">
            <v>0</v>
          </cell>
          <cell r="G56">
            <v>0</v>
          </cell>
          <cell r="H56">
            <v>0</v>
          </cell>
          <cell r="I56">
            <v>12946332</v>
          </cell>
          <cell r="J56">
            <v>0</v>
          </cell>
          <cell r="K56">
            <v>0</v>
          </cell>
          <cell r="L56">
            <v>0</v>
          </cell>
          <cell r="M56">
            <v>12946332</v>
          </cell>
        </row>
        <row r="57">
          <cell r="B57" t="str">
            <v>SAN JOAQUIN DELTA</v>
          </cell>
          <cell r="C57">
            <v>3108114</v>
          </cell>
          <cell r="D57">
            <v>2685182</v>
          </cell>
          <cell r="E57">
            <v>5793296</v>
          </cell>
          <cell r="F57">
            <v>0</v>
          </cell>
          <cell r="G57">
            <v>0</v>
          </cell>
          <cell r="H57">
            <v>0</v>
          </cell>
          <cell r="I57">
            <v>5793296</v>
          </cell>
          <cell r="J57">
            <v>0</v>
          </cell>
          <cell r="K57">
            <v>0</v>
          </cell>
          <cell r="L57">
            <v>0</v>
          </cell>
          <cell r="M57">
            <v>5793296</v>
          </cell>
        </row>
        <row r="58">
          <cell r="B58" t="str">
            <v>SAN JOSE-EVERGREEN</v>
          </cell>
          <cell r="C58">
            <v>717798</v>
          </cell>
          <cell r="D58">
            <v>4796203</v>
          </cell>
          <cell r="E58">
            <v>5514001</v>
          </cell>
          <cell r="F58">
            <v>0</v>
          </cell>
          <cell r="G58">
            <v>0</v>
          </cell>
          <cell r="H58">
            <v>0</v>
          </cell>
          <cell r="I58">
            <v>5514001</v>
          </cell>
          <cell r="J58">
            <v>0</v>
          </cell>
          <cell r="K58">
            <v>0</v>
          </cell>
          <cell r="L58">
            <v>0</v>
          </cell>
          <cell r="M58">
            <v>5514001</v>
          </cell>
        </row>
        <row r="59">
          <cell r="B59" t="str">
            <v>SAN LUIS OBISPO</v>
          </cell>
          <cell r="C59">
            <v>2565048</v>
          </cell>
          <cell r="D59">
            <v>1225352</v>
          </cell>
          <cell r="E59">
            <v>3790400</v>
          </cell>
          <cell r="F59">
            <v>0</v>
          </cell>
          <cell r="G59">
            <v>0</v>
          </cell>
          <cell r="H59">
            <v>0</v>
          </cell>
          <cell r="I59">
            <v>3790400</v>
          </cell>
          <cell r="J59">
            <v>0</v>
          </cell>
          <cell r="K59">
            <v>0</v>
          </cell>
          <cell r="L59">
            <v>0</v>
          </cell>
          <cell r="M59">
            <v>3790400</v>
          </cell>
        </row>
        <row r="60">
          <cell r="B60" t="str">
            <v>SAN MATEO</v>
          </cell>
          <cell r="C60">
            <v>10255938</v>
          </cell>
          <cell r="D60">
            <v>0</v>
          </cell>
          <cell r="E60">
            <v>10255938</v>
          </cell>
          <cell r="F60">
            <v>0</v>
          </cell>
          <cell r="G60">
            <v>0</v>
          </cell>
          <cell r="H60">
            <v>0</v>
          </cell>
          <cell r="I60">
            <v>10255938</v>
          </cell>
          <cell r="J60">
            <v>63420</v>
          </cell>
          <cell r="K60">
            <v>0</v>
          </cell>
          <cell r="L60">
            <v>63420</v>
          </cell>
          <cell r="M60">
            <v>10319358</v>
          </cell>
        </row>
        <row r="61">
          <cell r="B61" t="str">
            <v>SANTA BARBARA</v>
          </cell>
          <cell r="C61">
            <v>6798650</v>
          </cell>
          <cell r="D61">
            <v>563113</v>
          </cell>
          <cell r="E61">
            <v>7361763</v>
          </cell>
          <cell r="F61">
            <v>0</v>
          </cell>
          <cell r="G61">
            <v>0</v>
          </cell>
          <cell r="H61">
            <v>0</v>
          </cell>
          <cell r="I61">
            <v>7361763</v>
          </cell>
          <cell r="J61">
            <v>0</v>
          </cell>
          <cell r="K61">
            <v>0</v>
          </cell>
          <cell r="L61">
            <v>0</v>
          </cell>
          <cell r="M61">
            <v>7361763</v>
          </cell>
        </row>
        <row r="62">
          <cell r="B62" t="str">
            <v>SANTA CLARITA</v>
          </cell>
          <cell r="C62">
            <v>8000000</v>
          </cell>
          <cell r="D62">
            <v>0</v>
          </cell>
          <cell r="E62">
            <v>8000000</v>
          </cell>
          <cell r="F62">
            <v>0</v>
          </cell>
          <cell r="G62">
            <v>0</v>
          </cell>
          <cell r="H62">
            <v>0</v>
          </cell>
          <cell r="I62">
            <v>8000000</v>
          </cell>
          <cell r="J62">
            <v>0</v>
          </cell>
          <cell r="K62">
            <v>0</v>
          </cell>
          <cell r="L62">
            <v>0</v>
          </cell>
          <cell r="M62">
            <v>8000000</v>
          </cell>
        </row>
        <row r="63">
          <cell r="B63" t="str">
            <v>SANTA MONICA</v>
          </cell>
          <cell r="C63">
            <v>12648348</v>
          </cell>
          <cell r="D63">
            <v>737380</v>
          </cell>
          <cell r="E63">
            <v>13385728</v>
          </cell>
          <cell r="F63">
            <v>0</v>
          </cell>
          <cell r="G63">
            <v>0</v>
          </cell>
          <cell r="H63">
            <v>0</v>
          </cell>
          <cell r="I63">
            <v>13385728</v>
          </cell>
          <cell r="J63">
            <v>61841</v>
          </cell>
          <cell r="K63">
            <v>3847</v>
          </cell>
          <cell r="L63">
            <v>65688</v>
          </cell>
          <cell r="M63">
            <v>13451416</v>
          </cell>
        </row>
        <row r="64">
          <cell r="B64" t="str">
            <v>SEQUOIAS</v>
          </cell>
          <cell r="C64">
            <v>1889522</v>
          </cell>
          <cell r="D64">
            <v>1077872</v>
          </cell>
          <cell r="E64">
            <v>2967394</v>
          </cell>
          <cell r="F64">
            <v>0</v>
          </cell>
          <cell r="G64">
            <v>0</v>
          </cell>
          <cell r="H64">
            <v>0</v>
          </cell>
          <cell r="I64">
            <v>2967394</v>
          </cell>
          <cell r="J64">
            <v>0</v>
          </cell>
          <cell r="K64">
            <v>0</v>
          </cell>
          <cell r="L64">
            <v>0</v>
          </cell>
          <cell r="M64">
            <v>2967394</v>
          </cell>
        </row>
        <row r="65">
          <cell r="B65" t="str">
            <v>SHASTA-TEH-TRI</v>
          </cell>
          <cell r="C65">
            <v>1879000</v>
          </cell>
          <cell r="D65">
            <v>121000</v>
          </cell>
          <cell r="E65">
            <v>2000000</v>
          </cell>
          <cell r="F65">
            <v>0</v>
          </cell>
          <cell r="G65">
            <v>0</v>
          </cell>
          <cell r="H65">
            <v>0</v>
          </cell>
          <cell r="I65">
            <v>2000000</v>
          </cell>
          <cell r="J65">
            <v>0</v>
          </cell>
          <cell r="K65">
            <v>0</v>
          </cell>
          <cell r="L65">
            <v>0</v>
          </cell>
          <cell r="M65">
            <v>2000000</v>
          </cell>
        </row>
        <row r="66">
          <cell r="B66" t="str">
            <v>SIERRA</v>
          </cell>
          <cell r="C66">
            <v>7446572</v>
          </cell>
          <cell r="D66">
            <v>0</v>
          </cell>
          <cell r="E66">
            <v>7446572</v>
          </cell>
          <cell r="F66">
            <v>0</v>
          </cell>
          <cell r="G66">
            <v>0</v>
          </cell>
          <cell r="H66">
            <v>0</v>
          </cell>
          <cell r="I66">
            <v>7446572</v>
          </cell>
          <cell r="J66">
            <v>0</v>
          </cell>
          <cell r="K66">
            <v>0</v>
          </cell>
          <cell r="L66">
            <v>0</v>
          </cell>
          <cell r="M66">
            <v>7446572</v>
          </cell>
        </row>
        <row r="67">
          <cell r="B67" t="str">
            <v>SISKIYOU</v>
          </cell>
          <cell r="C67">
            <v>368028</v>
          </cell>
          <cell r="D67">
            <v>293157</v>
          </cell>
          <cell r="E67">
            <v>661185</v>
          </cell>
          <cell r="F67">
            <v>107156</v>
          </cell>
          <cell r="G67">
            <v>138277</v>
          </cell>
          <cell r="H67">
            <v>245433</v>
          </cell>
          <cell r="I67">
            <v>906618</v>
          </cell>
          <cell r="J67">
            <v>0</v>
          </cell>
          <cell r="K67">
            <v>0</v>
          </cell>
          <cell r="L67">
            <v>0</v>
          </cell>
          <cell r="M67">
            <v>906618</v>
          </cell>
        </row>
        <row r="68">
          <cell r="B68" t="str">
            <v>SOLANO</v>
          </cell>
          <cell r="C68">
            <v>2478167</v>
          </cell>
          <cell r="D68">
            <v>1016232</v>
          </cell>
          <cell r="E68">
            <v>3494399</v>
          </cell>
          <cell r="F68">
            <v>0</v>
          </cell>
          <cell r="G68">
            <v>0</v>
          </cell>
          <cell r="H68">
            <v>0</v>
          </cell>
          <cell r="I68">
            <v>3494399</v>
          </cell>
          <cell r="J68">
            <v>27720</v>
          </cell>
          <cell r="K68">
            <v>24024</v>
          </cell>
          <cell r="L68">
            <v>51744</v>
          </cell>
          <cell r="M68">
            <v>3546143</v>
          </cell>
        </row>
        <row r="69">
          <cell r="B69" t="str">
            <v>SONOMA</v>
          </cell>
          <cell r="C69">
            <v>4679477</v>
          </cell>
          <cell r="D69">
            <v>3951050</v>
          </cell>
          <cell r="E69">
            <v>8630527</v>
          </cell>
          <cell r="F69">
            <v>0</v>
          </cell>
          <cell r="G69">
            <v>0</v>
          </cell>
          <cell r="H69">
            <v>0</v>
          </cell>
          <cell r="I69">
            <v>8630527</v>
          </cell>
          <cell r="J69">
            <v>0</v>
          </cell>
          <cell r="K69">
            <v>0</v>
          </cell>
          <cell r="L69">
            <v>0</v>
          </cell>
          <cell r="M69">
            <v>8630527</v>
          </cell>
        </row>
        <row r="70">
          <cell r="B70" t="str">
            <v>SOUTH ORANGE</v>
          </cell>
          <cell r="C70">
            <v>17871411</v>
          </cell>
          <cell r="D70">
            <v>0</v>
          </cell>
          <cell r="E70">
            <v>17871411</v>
          </cell>
          <cell r="F70">
            <v>0</v>
          </cell>
          <cell r="G70">
            <v>0</v>
          </cell>
          <cell r="H70">
            <v>0</v>
          </cell>
          <cell r="I70">
            <v>17871411</v>
          </cell>
          <cell r="J70">
            <v>0</v>
          </cell>
          <cell r="K70">
            <v>0</v>
          </cell>
          <cell r="L70">
            <v>0</v>
          </cell>
          <cell r="M70">
            <v>17871411</v>
          </cell>
        </row>
        <row r="71">
          <cell r="B71" t="str">
            <v>SOUTHWESTERN</v>
          </cell>
          <cell r="C71">
            <v>3833195</v>
          </cell>
          <cell r="D71">
            <v>532950</v>
          </cell>
          <cell r="E71">
            <v>4366145</v>
          </cell>
          <cell r="F71">
            <v>0</v>
          </cell>
          <cell r="G71">
            <v>0</v>
          </cell>
          <cell r="H71">
            <v>0</v>
          </cell>
          <cell r="I71">
            <v>4366145</v>
          </cell>
          <cell r="J71">
            <v>0</v>
          </cell>
          <cell r="K71">
            <v>0</v>
          </cell>
          <cell r="L71">
            <v>0</v>
          </cell>
          <cell r="M71">
            <v>4366145</v>
          </cell>
        </row>
        <row r="72">
          <cell r="B72" t="str">
            <v>STATE CENTER</v>
          </cell>
          <cell r="C72">
            <v>8637022</v>
          </cell>
          <cell r="D72">
            <v>454580</v>
          </cell>
          <cell r="E72">
            <v>9091602</v>
          </cell>
          <cell r="F72">
            <v>0</v>
          </cell>
          <cell r="G72">
            <v>0</v>
          </cell>
          <cell r="H72">
            <v>0</v>
          </cell>
          <cell r="I72">
            <v>9091602</v>
          </cell>
          <cell r="J72">
            <v>0</v>
          </cell>
          <cell r="K72">
            <v>0</v>
          </cell>
          <cell r="L72">
            <v>0</v>
          </cell>
          <cell r="M72">
            <v>9091602</v>
          </cell>
        </row>
        <row r="73">
          <cell r="B73" t="str">
            <v>VENTURA</v>
          </cell>
          <cell r="C73">
            <v>20293064</v>
          </cell>
          <cell r="D73">
            <v>83036</v>
          </cell>
          <cell r="E73">
            <v>20376100</v>
          </cell>
          <cell r="F73">
            <v>0</v>
          </cell>
          <cell r="G73">
            <v>0</v>
          </cell>
          <cell r="H73">
            <v>0</v>
          </cell>
          <cell r="I73">
            <v>20376100</v>
          </cell>
          <cell r="J73">
            <v>0</v>
          </cell>
          <cell r="K73">
            <v>0</v>
          </cell>
          <cell r="L73">
            <v>0</v>
          </cell>
          <cell r="M73">
            <v>20376100</v>
          </cell>
        </row>
        <row r="74">
          <cell r="B74" t="str">
            <v>VICTOR VALLEY</v>
          </cell>
          <cell r="C74">
            <v>1451536</v>
          </cell>
          <cell r="D74">
            <v>860025</v>
          </cell>
          <cell r="E74">
            <v>2311561</v>
          </cell>
          <cell r="F74">
            <v>0</v>
          </cell>
          <cell r="G74">
            <v>0</v>
          </cell>
          <cell r="H74">
            <v>0</v>
          </cell>
          <cell r="I74">
            <v>2311561</v>
          </cell>
          <cell r="J74">
            <v>0</v>
          </cell>
          <cell r="K74">
            <v>0</v>
          </cell>
          <cell r="L74">
            <v>0</v>
          </cell>
          <cell r="M74">
            <v>2311561</v>
          </cell>
        </row>
        <row r="75">
          <cell r="B75" t="str">
            <v>WEST HILLS</v>
          </cell>
          <cell r="C75">
            <v>903968</v>
          </cell>
          <cell r="D75">
            <v>0</v>
          </cell>
          <cell r="E75">
            <v>903968</v>
          </cell>
          <cell r="F75">
            <v>0</v>
          </cell>
          <cell r="G75">
            <v>0</v>
          </cell>
          <cell r="H75">
            <v>0</v>
          </cell>
          <cell r="I75">
            <v>903968</v>
          </cell>
          <cell r="J75">
            <v>0</v>
          </cell>
          <cell r="K75">
            <v>0</v>
          </cell>
          <cell r="L75">
            <v>0</v>
          </cell>
          <cell r="M75">
            <v>903968</v>
          </cell>
        </row>
        <row r="76">
          <cell r="B76" t="str">
            <v>WEST KERN</v>
          </cell>
          <cell r="C76">
            <v>349277</v>
          </cell>
          <cell r="D76">
            <v>466015</v>
          </cell>
          <cell r="E76">
            <v>815292</v>
          </cell>
          <cell r="F76">
            <v>0</v>
          </cell>
          <cell r="G76">
            <v>0</v>
          </cell>
          <cell r="H76">
            <v>0</v>
          </cell>
          <cell r="I76">
            <v>815292</v>
          </cell>
          <cell r="J76">
            <v>0</v>
          </cell>
          <cell r="K76">
            <v>0</v>
          </cell>
          <cell r="L76">
            <v>0</v>
          </cell>
          <cell r="M76">
            <v>815292</v>
          </cell>
        </row>
        <row r="77">
          <cell r="B77" t="str">
            <v>WEST VALLEY</v>
          </cell>
          <cell r="C77">
            <v>6685590</v>
          </cell>
          <cell r="D77">
            <v>814410</v>
          </cell>
          <cell r="E77">
            <v>7500000</v>
          </cell>
          <cell r="F77">
            <v>0</v>
          </cell>
          <cell r="G77">
            <v>0</v>
          </cell>
          <cell r="H77">
            <v>0</v>
          </cell>
          <cell r="I77">
            <v>7500000</v>
          </cell>
          <cell r="J77">
            <v>0</v>
          </cell>
          <cell r="K77">
            <v>0</v>
          </cell>
          <cell r="L77">
            <v>0</v>
          </cell>
          <cell r="M77">
            <v>7500000</v>
          </cell>
        </row>
        <row r="78">
          <cell r="B78" t="str">
            <v>YOSEMITE</v>
          </cell>
          <cell r="C78">
            <v>5200000</v>
          </cell>
          <cell r="D78">
            <v>0</v>
          </cell>
          <cell r="E78">
            <v>5200000</v>
          </cell>
          <cell r="F78">
            <v>0</v>
          </cell>
          <cell r="G78">
            <v>0</v>
          </cell>
          <cell r="H78">
            <v>0</v>
          </cell>
          <cell r="I78">
            <v>5200000</v>
          </cell>
          <cell r="J78">
            <v>35000</v>
          </cell>
          <cell r="K78">
            <v>0</v>
          </cell>
          <cell r="L78">
            <v>35000</v>
          </cell>
          <cell r="M78">
            <v>5235000</v>
          </cell>
        </row>
        <row r="79">
          <cell r="B79" t="str">
            <v>YUBA</v>
          </cell>
          <cell r="C79">
            <v>1660131</v>
          </cell>
          <cell r="D79">
            <v>0</v>
          </cell>
          <cell r="E79">
            <v>1660131</v>
          </cell>
          <cell r="F79">
            <v>0</v>
          </cell>
          <cell r="G79">
            <v>0</v>
          </cell>
          <cell r="H79">
            <v>0</v>
          </cell>
          <cell r="I79">
            <v>1660131</v>
          </cell>
          <cell r="J79">
            <v>0</v>
          </cell>
          <cell r="K79">
            <v>0</v>
          </cell>
          <cell r="L79">
            <v>0</v>
          </cell>
          <cell r="M79">
            <v>1660131</v>
          </cell>
        </row>
      </sheetData>
      <sheetData sheetId="1">
        <row r="8">
          <cell r="B8" t="str">
            <v>ALLAN HANCOCK</v>
          </cell>
          <cell r="C8">
            <v>2451842</v>
          </cell>
          <cell r="D8">
            <v>40093</v>
          </cell>
          <cell r="E8">
            <v>2491935</v>
          </cell>
          <cell r="F8">
            <v>0</v>
          </cell>
          <cell r="G8">
            <v>0</v>
          </cell>
          <cell r="H8">
            <v>0</v>
          </cell>
          <cell r="I8">
            <v>2491935</v>
          </cell>
          <cell r="J8">
            <v>0</v>
          </cell>
          <cell r="K8">
            <v>0</v>
          </cell>
          <cell r="L8">
            <v>0</v>
          </cell>
          <cell r="M8">
            <v>2491935</v>
          </cell>
        </row>
        <row r="9">
          <cell r="B9" t="str">
            <v>ANTELOPE VALLEY</v>
          </cell>
          <cell r="C9">
            <v>2572985</v>
          </cell>
          <cell r="D9">
            <v>141461</v>
          </cell>
          <cell r="E9">
            <v>2714446</v>
          </cell>
          <cell r="F9">
            <v>0</v>
          </cell>
          <cell r="G9">
            <v>0</v>
          </cell>
          <cell r="H9">
            <v>0</v>
          </cell>
          <cell r="I9">
            <v>2714446</v>
          </cell>
          <cell r="J9">
            <v>37968</v>
          </cell>
          <cell r="K9">
            <v>4872</v>
          </cell>
          <cell r="L9">
            <v>42840</v>
          </cell>
          <cell r="M9">
            <v>2757286</v>
          </cell>
        </row>
        <row r="10">
          <cell r="B10" t="str">
            <v>BARSTOW</v>
          </cell>
          <cell r="C10">
            <v>282989</v>
          </cell>
          <cell r="D10">
            <v>536865</v>
          </cell>
          <cell r="E10">
            <v>819854</v>
          </cell>
          <cell r="F10">
            <v>0</v>
          </cell>
          <cell r="G10">
            <v>0</v>
          </cell>
          <cell r="H10">
            <v>0</v>
          </cell>
          <cell r="I10">
            <v>819854</v>
          </cell>
          <cell r="J10">
            <v>0</v>
          </cell>
          <cell r="K10">
            <v>0</v>
          </cell>
          <cell r="L10">
            <v>0</v>
          </cell>
          <cell r="M10">
            <v>819854</v>
          </cell>
        </row>
        <row r="11">
          <cell r="B11" t="str">
            <v>BUTTE</v>
          </cell>
          <cell r="C11">
            <v>2954900</v>
          </cell>
          <cell r="D11">
            <v>328322</v>
          </cell>
          <cell r="E11">
            <v>3283222</v>
          </cell>
          <cell r="F11">
            <v>0</v>
          </cell>
          <cell r="G11">
            <v>0</v>
          </cell>
          <cell r="H11">
            <v>0</v>
          </cell>
          <cell r="I11">
            <v>3283222</v>
          </cell>
          <cell r="J11">
            <v>0</v>
          </cell>
          <cell r="K11">
            <v>0</v>
          </cell>
          <cell r="L11">
            <v>0</v>
          </cell>
          <cell r="M11">
            <v>3283222</v>
          </cell>
        </row>
        <row r="12">
          <cell r="B12" t="str">
            <v>CABRILLO</v>
          </cell>
          <cell r="C12">
            <v>2581825</v>
          </cell>
          <cell r="D12">
            <v>1802567</v>
          </cell>
          <cell r="E12">
            <v>4384392</v>
          </cell>
          <cell r="F12">
            <v>0</v>
          </cell>
          <cell r="G12">
            <v>0</v>
          </cell>
          <cell r="H12">
            <v>0</v>
          </cell>
          <cell r="I12">
            <v>4384392</v>
          </cell>
          <cell r="J12">
            <v>0</v>
          </cell>
          <cell r="K12">
            <v>0</v>
          </cell>
          <cell r="L12">
            <v>0</v>
          </cell>
          <cell r="M12">
            <v>4384392</v>
          </cell>
        </row>
        <row r="13">
          <cell r="B13" t="str">
            <v>CERRITOS</v>
          </cell>
          <cell r="C13">
            <v>5063418</v>
          </cell>
          <cell r="D13">
            <v>0</v>
          </cell>
          <cell r="E13">
            <v>5063418</v>
          </cell>
          <cell r="F13">
            <v>0</v>
          </cell>
          <cell r="G13">
            <v>0</v>
          </cell>
          <cell r="H13">
            <v>0</v>
          </cell>
          <cell r="I13">
            <v>5063418</v>
          </cell>
          <cell r="J13">
            <v>0</v>
          </cell>
          <cell r="K13">
            <v>0</v>
          </cell>
          <cell r="L13">
            <v>0</v>
          </cell>
          <cell r="M13">
            <v>5063418</v>
          </cell>
        </row>
        <row r="14">
          <cell r="B14" t="str">
            <v>CHABOT-LAS POSITAS</v>
          </cell>
          <cell r="C14">
            <v>10019539</v>
          </cell>
          <cell r="D14">
            <v>0</v>
          </cell>
          <cell r="E14">
            <v>10019539</v>
          </cell>
          <cell r="F14">
            <v>0</v>
          </cell>
          <cell r="G14">
            <v>0</v>
          </cell>
          <cell r="H14">
            <v>0</v>
          </cell>
          <cell r="I14">
            <v>10019539</v>
          </cell>
          <cell r="J14">
            <v>0</v>
          </cell>
          <cell r="K14">
            <v>0</v>
          </cell>
          <cell r="L14">
            <v>0</v>
          </cell>
          <cell r="M14">
            <v>10019539</v>
          </cell>
        </row>
        <row r="15">
          <cell r="B15" t="str">
            <v>CHAFFEY</v>
          </cell>
          <cell r="C15">
            <v>5300994</v>
          </cell>
          <cell r="D15">
            <v>1337985</v>
          </cell>
          <cell r="E15">
            <v>6638979</v>
          </cell>
          <cell r="F15">
            <v>0</v>
          </cell>
          <cell r="G15">
            <v>0</v>
          </cell>
          <cell r="H15">
            <v>0</v>
          </cell>
          <cell r="I15">
            <v>6638979</v>
          </cell>
          <cell r="J15">
            <v>0</v>
          </cell>
          <cell r="K15">
            <v>0</v>
          </cell>
          <cell r="L15">
            <v>0</v>
          </cell>
          <cell r="M15">
            <v>6638979</v>
          </cell>
        </row>
        <row r="16">
          <cell r="B16" t="str">
            <v>CITRUS</v>
          </cell>
          <cell r="C16">
            <v>4742667</v>
          </cell>
          <cell r="D16">
            <v>248471</v>
          </cell>
          <cell r="E16">
            <v>4991138</v>
          </cell>
          <cell r="F16">
            <v>0</v>
          </cell>
          <cell r="G16">
            <v>0</v>
          </cell>
          <cell r="H16">
            <v>0</v>
          </cell>
          <cell r="I16">
            <v>4991138</v>
          </cell>
          <cell r="J16">
            <v>0</v>
          </cell>
          <cell r="K16">
            <v>0</v>
          </cell>
          <cell r="L16">
            <v>0</v>
          </cell>
          <cell r="M16">
            <v>4991138</v>
          </cell>
        </row>
        <row r="17">
          <cell r="B17" t="str">
            <v>COAST</v>
          </cell>
          <cell r="C17">
            <v>15425794</v>
          </cell>
          <cell r="D17">
            <v>824645</v>
          </cell>
          <cell r="E17">
            <v>16250439</v>
          </cell>
          <cell r="F17">
            <v>0</v>
          </cell>
          <cell r="G17">
            <v>0</v>
          </cell>
          <cell r="H17">
            <v>0</v>
          </cell>
          <cell r="I17">
            <v>16250439</v>
          </cell>
          <cell r="J17">
            <v>0</v>
          </cell>
          <cell r="K17">
            <v>0</v>
          </cell>
          <cell r="L17">
            <v>0</v>
          </cell>
          <cell r="M17">
            <v>16250439</v>
          </cell>
        </row>
        <row r="18">
          <cell r="B18" t="str">
            <v>COMPTON</v>
          </cell>
          <cell r="C18">
            <v>1136820</v>
          </cell>
          <cell r="D18">
            <v>353794</v>
          </cell>
          <cell r="E18">
            <v>1490614</v>
          </cell>
          <cell r="F18">
            <v>0</v>
          </cell>
          <cell r="G18">
            <v>0</v>
          </cell>
          <cell r="H18">
            <v>0</v>
          </cell>
          <cell r="I18">
            <v>1490614</v>
          </cell>
          <cell r="J18">
            <v>0</v>
          </cell>
          <cell r="K18">
            <v>0</v>
          </cell>
          <cell r="L18">
            <v>0</v>
          </cell>
          <cell r="M18">
            <v>1490614</v>
          </cell>
        </row>
        <row r="19">
          <cell r="B19" t="str">
            <v>CONTRA COSTA</v>
          </cell>
          <cell r="C19">
            <v>16382794</v>
          </cell>
          <cell r="D19">
            <v>0</v>
          </cell>
          <cell r="E19">
            <v>16382794</v>
          </cell>
          <cell r="F19">
            <v>0</v>
          </cell>
          <cell r="G19">
            <v>0</v>
          </cell>
          <cell r="H19">
            <v>0</v>
          </cell>
          <cell r="I19">
            <v>16382794</v>
          </cell>
          <cell r="J19">
            <v>0</v>
          </cell>
          <cell r="K19">
            <v>0</v>
          </cell>
          <cell r="L19">
            <v>0</v>
          </cell>
          <cell r="M19">
            <v>16382794</v>
          </cell>
        </row>
        <row r="20">
          <cell r="B20" t="str">
            <v>COPPER MOUNTAIN</v>
          </cell>
          <cell r="C20">
            <v>138470</v>
          </cell>
          <cell r="D20">
            <v>56530</v>
          </cell>
          <cell r="E20">
            <v>195000</v>
          </cell>
          <cell r="F20">
            <v>0</v>
          </cell>
          <cell r="G20">
            <v>0</v>
          </cell>
          <cell r="H20">
            <v>0</v>
          </cell>
          <cell r="I20">
            <v>195000</v>
          </cell>
          <cell r="J20">
            <v>0</v>
          </cell>
          <cell r="K20">
            <v>0</v>
          </cell>
          <cell r="L20">
            <v>0</v>
          </cell>
          <cell r="M20">
            <v>195000</v>
          </cell>
        </row>
        <row r="21">
          <cell r="B21" t="str">
            <v>DESERT</v>
          </cell>
          <cell r="C21">
            <v>2481260</v>
          </cell>
          <cell r="D21">
            <v>0</v>
          </cell>
          <cell r="E21">
            <v>2481260</v>
          </cell>
          <cell r="F21">
            <v>0</v>
          </cell>
          <cell r="G21">
            <v>0</v>
          </cell>
          <cell r="H21">
            <v>0</v>
          </cell>
          <cell r="I21">
            <v>2481260</v>
          </cell>
          <cell r="J21">
            <v>0</v>
          </cell>
          <cell r="K21">
            <v>0</v>
          </cell>
          <cell r="L21">
            <v>0</v>
          </cell>
          <cell r="M21">
            <v>2481260</v>
          </cell>
        </row>
        <row r="22">
          <cell r="B22" t="str">
            <v>EL CAMINO</v>
          </cell>
          <cell r="C22">
            <v>7599501</v>
          </cell>
          <cell r="D22">
            <v>877430</v>
          </cell>
          <cell r="E22">
            <v>8476931</v>
          </cell>
          <cell r="F22">
            <v>0</v>
          </cell>
          <cell r="G22">
            <v>0</v>
          </cell>
          <cell r="H22">
            <v>0</v>
          </cell>
          <cell r="I22">
            <v>8476931</v>
          </cell>
          <cell r="J22">
            <v>0</v>
          </cell>
          <cell r="K22">
            <v>0</v>
          </cell>
          <cell r="L22">
            <v>0</v>
          </cell>
          <cell r="M22">
            <v>8476931</v>
          </cell>
        </row>
        <row r="23">
          <cell r="B23" t="str">
            <v>FEATHER RIVER</v>
          </cell>
          <cell r="C23">
            <v>693414</v>
          </cell>
          <cell r="D23">
            <v>12168</v>
          </cell>
          <cell r="E23">
            <v>705582</v>
          </cell>
          <cell r="F23">
            <v>0</v>
          </cell>
          <cell r="G23">
            <v>0</v>
          </cell>
          <cell r="H23">
            <v>0</v>
          </cell>
          <cell r="I23">
            <v>705582</v>
          </cell>
          <cell r="J23">
            <v>60597</v>
          </cell>
          <cell r="K23">
            <v>2907</v>
          </cell>
          <cell r="L23">
            <v>63504</v>
          </cell>
          <cell r="M23">
            <v>769086</v>
          </cell>
        </row>
        <row r="24">
          <cell r="B24" t="str">
            <v>FOOTHILL-DEANZA</v>
          </cell>
          <cell r="C24">
            <v>19394648</v>
          </cell>
          <cell r="D24">
            <v>2005352</v>
          </cell>
          <cell r="E24">
            <v>21400000</v>
          </cell>
          <cell r="F24">
            <v>0</v>
          </cell>
          <cell r="G24">
            <v>0</v>
          </cell>
          <cell r="H24">
            <v>0</v>
          </cell>
          <cell r="I24">
            <v>21400000</v>
          </cell>
          <cell r="J24">
            <v>0</v>
          </cell>
          <cell r="K24">
            <v>0</v>
          </cell>
          <cell r="L24">
            <v>0</v>
          </cell>
          <cell r="M24">
            <v>21400000</v>
          </cell>
        </row>
        <row r="25">
          <cell r="B25" t="str">
            <v>GAVILAN</v>
          </cell>
          <cell r="C25">
            <v>2574636</v>
          </cell>
          <cell r="D25">
            <v>176980</v>
          </cell>
          <cell r="E25">
            <v>2751616</v>
          </cell>
          <cell r="F25">
            <v>0</v>
          </cell>
          <cell r="G25">
            <v>0</v>
          </cell>
          <cell r="H25">
            <v>0</v>
          </cell>
          <cell r="I25">
            <v>2751616</v>
          </cell>
          <cell r="J25">
            <v>0</v>
          </cell>
          <cell r="K25">
            <v>0</v>
          </cell>
          <cell r="L25">
            <v>0</v>
          </cell>
          <cell r="M25">
            <v>2751616</v>
          </cell>
        </row>
        <row r="26">
          <cell r="B26" t="str">
            <v>GLENDALE</v>
          </cell>
          <cell r="C26">
            <v>3412246</v>
          </cell>
          <cell r="D26">
            <v>1182858</v>
          </cell>
          <cell r="E26">
            <v>4595104</v>
          </cell>
          <cell r="F26">
            <v>0</v>
          </cell>
          <cell r="G26">
            <v>0</v>
          </cell>
          <cell r="H26">
            <v>0</v>
          </cell>
          <cell r="I26">
            <v>4595104</v>
          </cell>
          <cell r="J26">
            <v>0</v>
          </cell>
          <cell r="K26">
            <v>0</v>
          </cell>
          <cell r="L26">
            <v>0</v>
          </cell>
          <cell r="M26">
            <v>4595104</v>
          </cell>
        </row>
        <row r="27">
          <cell r="B27" t="str">
            <v>GROSSMONT-CUYAMACA</v>
          </cell>
          <cell r="C27">
            <v>6353304</v>
          </cell>
          <cell r="D27">
            <v>642244</v>
          </cell>
          <cell r="E27">
            <v>6995548</v>
          </cell>
          <cell r="F27">
            <v>0</v>
          </cell>
          <cell r="G27">
            <v>0</v>
          </cell>
          <cell r="H27">
            <v>0</v>
          </cell>
          <cell r="I27">
            <v>6995548</v>
          </cell>
          <cell r="J27">
            <v>0</v>
          </cell>
          <cell r="K27">
            <v>0</v>
          </cell>
          <cell r="L27">
            <v>0</v>
          </cell>
          <cell r="M27">
            <v>6995548</v>
          </cell>
        </row>
        <row r="28">
          <cell r="B28" t="str">
            <v>HARTNELL</v>
          </cell>
          <cell r="C28">
            <v>1919050</v>
          </cell>
          <cell r="D28">
            <v>0</v>
          </cell>
          <cell r="E28">
            <v>1919050</v>
          </cell>
          <cell r="F28">
            <v>0</v>
          </cell>
          <cell r="G28">
            <v>0</v>
          </cell>
          <cell r="H28">
            <v>0</v>
          </cell>
          <cell r="I28">
            <v>1919050</v>
          </cell>
          <cell r="J28">
            <v>0</v>
          </cell>
          <cell r="K28">
            <v>0</v>
          </cell>
          <cell r="L28">
            <v>0</v>
          </cell>
          <cell r="M28">
            <v>1919050</v>
          </cell>
        </row>
        <row r="29">
          <cell r="B29" t="str">
            <v>IMPERIAL</v>
          </cell>
          <cell r="C29">
            <v>683153</v>
          </cell>
          <cell r="D29">
            <v>625464</v>
          </cell>
          <cell r="E29">
            <v>1308617</v>
          </cell>
          <cell r="F29">
            <v>0</v>
          </cell>
          <cell r="G29">
            <v>0</v>
          </cell>
          <cell r="H29">
            <v>0</v>
          </cell>
          <cell r="I29">
            <v>1308617</v>
          </cell>
          <cell r="J29">
            <v>0</v>
          </cell>
          <cell r="K29">
            <v>0</v>
          </cell>
          <cell r="L29">
            <v>0</v>
          </cell>
          <cell r="M29">
            <v>1308617</v>
          </cell>
        </row>
        <row r="30">
          <cell r="B30" t="str">
            <v>KERN</v>
          </cell>
          <cell r="C30">
            <v>5254313</v>
          </cell>
          <cell r="D30">
            <v>1203676</v>
          </cell>
          <cell r="E30">
            <v>6457989</v>
          </cell>
          <cell r="F30">
            <v>0</v>
          </cell>
          <cell r="G30">
            <v>0</v>
          </cell>
          <cell r="H30">
            <v>0</v>
          </cell>
          <cell r="I30">
            <v>6457989</v>
          </cell>
          <cell r="J30">
            <v>50902</v>
          </cell>
          <cell r="K30">
            <v>8318</v>
          </cell>
          <cell r="L30">
            <v>59220</v>
          </cell>
          <cell r="M30">
            <v>6517209</v>
          </cell>
        </row>
        <row r="31">
          <cell r="B31" t="str">
            <v>LAKE TAHOE</v>
          </cell>
          <cell r="C31">
            <v>740306</v>
          </cell>
          <cell r="D31">
            <v>68772</v>
          </cell>
          <cell r="E31">
            <v>809078</v>
          </cell>
          <cell r="F31">
            <v>39000</v>
          </cell>
          <cell r="G31">
            <v>0</v>
          </cell>
          <cell r="H31">
            <v>39000</v>
          </cell>
          <cell r="I31">
            <v>848078</v>
          </cell>
          <cell r="J31">
            <v>0</v>
          </cell>
          <cell r="K31">
            <v>0</v>
          </cell>
          <cell r="L31">
            <v>0</v>
          </cell>
          <cell r="M31">
            <v>848078</v>
          </cell>
        </row>
        <row r="32">
          <cell r="B32" t="str">
            <v>LASSEN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LONG BEACH</v>
          </cell>
          <cell r="C33">
            <v>5464909</v>
          </cell>
          <cell r="D33">
            <v>1763956</v>
          </cell>
          <cell r="E33">
            <v>7228865</v>
          </cell>
          <cell r="F33">
            <v>0</v>
          </cell>
          <cell r="G33">
            <v>0</v>
          </cell>
          <cell r="H33">
            <v>0</v>
          </cell>
          <cell r="I33">
            <v>7228865</v>
          </cell>
          <cell r="J33">
            <v>0</v>
          </cell>
          <cell r="K33">
            <v>0</v>
          </cell>
          <cell r="L33">
            <v>0</v>
          </cell>
          <cell r="M33">
            <v>7228865</v>
          </cell>
        </row>
        <row r="34">
          <cell r="B34" t="str">
            <v>LOS ANGELES</v>
          </cell>
          <cell r="C34">
            <v>25994193</v>
          </cell>
          <cell r="D34">
            <v>6569318</v>
          </cell>
          <cell r="E34">
            <v>32563511</v>
          </cell>
          <cell r="F34">
            <v>0</v>
          </cell>
          <cell r="G34">
            <v>0</v>
          </cell>
          <cell r="H34">
            <v>0</v>
          </cell>
          <cell r="I34">
            <v>32563511</v>
          </cell>
          <cell r="J34">
            <v>120204</v>
          </cell>
          <cell r="K34">
            <v>6804</v>
          </cell>
          <cell r="L34">
            <v>127008</v>
          </cell>
          <cell r="M34">
            <v>32690519</v>
          </cell>
        </row>
        <row r="35">
          <cell r="B35" t="str">
            <v>LOS RIOS</v>
          </cell>
          <cell r="C35">
            <v>16968181</v>
          </cell>
          <cell r="D35">
            <v>1045177</v>
          </cell>
          <cell r="E35">
            <v>18013358</v>
          </cell>
          <cell r="F35">
            <v>0</v>
          </cell>
          <cell r="G35">
            <v>0</v>
          </cell>
          <cell r="H35">
            <v>0</v>
          </cell>
          <cell r="I35">
            <v>18013358</v>
          </cell>
          <cell r="J35">
            <v>0</v>
          </cell>
          <cell r="K35">
            <v>0</v>
          </cell>
          <cell r="L35">
            <v>0</v>
          </cell>
          <cell r="M35">
            <v>18013358</v>
          </cell>
        </row>
        <row r="36">
          <cell r="B36" t="str">
            <v>MARIN</v>
          </cell>
          <cell r="C36">
            <v>1881678</v>
          </cell>
          <cell r="D36">
            <v>134672</v>
          </cell>
          <cell r="E36">
            <v>2016350</v>
          </cell>
          <cell r="F36">
            <v>0</v>
          </cell>
          <cell r="G36">
            <v>0</v>
          </cell>
          <cell r="H36">
            <v>0</v>
          </cell>
          <cell r="I36">
            <v>2016350</v>
          </cell>
          <cell r="J36">
            <v>0</v>
          </cell>
          <cell r="K36">
            <v>0</v>
          </cell>
          <cell r="L36">
            <v>0</v>
          </cell>
          <cell r="M36">
            <v>2016350</v>
          </cell>
        </row>
        <row r="37">
          <cell r="B37" t="str">
            <v>MENDOCINO-LAKE</v>
          </cell>
          <cell r="C37">
            <v>662279</v>
          </cell>
          <cell r="D37">
            <v>39483</v>
          </cell>
          <cell r="E37">
            <v>701762</v>
          </cell>
          <cell r="F37">
            <v>0</v>
          </cell>
          <cell r="G37">
            <v>0</v>
          </cell>
          <cell r="H37">
            <v>0</v>
          </cell>
          <cell r="I37">
            <v>701762</v>
          </cell>
          <cell r="J37">
            <v>0</v>
          </cell>
          <cell r="K37">
            <v>0</v>
          </cell>
          <cell r="L37">
            <v>0</v>
          </cell>
          <cell r="M37">
            <v>701762</v>
          </cell>
        </row>
        <row r="38">
          <cell r="B38" t="str">
            <v>MERCED</v>
          </cell>
          <cell r="C38">
            <v>2937195</v>
          </cell>
          <cell r="D38">
            <v>0</v>
          </cell>
          <cell r="E38">
            <v>2937195</v>
          </cell>
          <cell r="F38">
            <v>0</v>
          </cell>
          <cell r="G38">
            <v>0</v>
          </cell>
          <cell r="H38">
            <v>0</v>
          </cell>
          <cell r="I38">
            <v>2937195</v>
          </cell>
          <cell r="J38">
            <v>0</v>
          </cell>
          <cell r="K38">
            <v>0</v>
          </cell>
          <cell r="L38">
            <v>0</v>
          </cell>
          <cell r="M38">
            <v>2937195</v>
          </cell>
        </row>
        <row r="39">
          <cell r="B39" t="str">
            <v>MIRACOSTA</v>
          </cell>
          <cell r="C39">
            <v>8029125</v>
          </cell>
          <cell r="D39">
            <v>270875</v>
          </cell>
          <cell r="E39">
            <v>8300000</v>
          </cell>
          <cell r="F39">
            <v>0</v>
          </cell>
          <cell r="G39">
            <v>0</v>
          </cell>
          <cell r="H39">
            <v>0</v>
          </cell>
          <cell r="I39">
            <v>8300000</v>
          </cell>
          <cell r="J39">
            <v>0</v>
          </cell>
          <cell r="K39">
            <v>0</v>
          </cell>
          <cell r="L39">
            <v>0</v>
          </cell>
          <cell r="M39">
            <v>8300000</v>
          </cell>
        </row>
        <row r="40">
          <cell r="B40" t="str">
            <v>MONTEREY</v>
          </cell>
          <cell r="C40">
            <v>2800327</v>
          </cell>
          <cell r="D40">
            <v>0</v>
          </cell>
          <cell r="E40">
            <v>2800327</v>
          </cell>
          <cell r="F40">
            <v>0</v>
          </cell>
          <cell r="G40">
            <v>0</v>
          </cell>
          <cell r="H40">
            <v>0</v>
          </cell>
          <cell r="I40">
            <v>2800327</v>
          </cell>
          <cell r="J40">
            <v>0</v>
          </cell>
          <cell r="K40">
            <v>0</v>
          </cell>
          <cell r="L40">
            <v>0</v>
          </cell>
          <cell r="M40">
            <v>2800327</v>
          </cell>
        </row>
        <row r="41">
          <cell r="B41" t="str">
            <v>MT. SAN ANTONIO</v>
          </cell>
          <cell r="C41">
            <v>9435004</v>
          </cell>
          <cell r="D41">
            <v>783252</v>
          </cell>
          <cell r="E41">
            <v>10218256</v>
          </cell>
          <cell r="F41">
            <v>0</v>
          </cell>
          <cell r="G41">
            <v>0</v>
          </cell>
          <cell r="H41">
            <v>0</v>
          </cell>
          <cell r="I41">
            <v>10218256</v>
          </cell>
          <cell r="J41">
            <v>0</v>
          </cell>
          <cell r="K41">
            <v>0</v>
          </cell>
          <cell r="L41">
            <v>0</v>
          </cell>
          <cell r="M41">
            <v>10218256</v>
          </cell>
        </row>
        <row r="42">
          <cell r="B42" t="str">
            <v>MT. SAN JACINTO</v>
          </cell>
          <cell r="C42">
            <v>3586909</v>
          </cell>
          <cell r="D42">
            <v>0</v>
          </cell>
          <cell r="E42">
            <v>3586909</v>
          </cell>
          <cell r="F42">
            <v>0</v>
          </cell>
          <cell r="G42">
            <v>0</v>
          </cell>
          <cell r="H42">
            <v>0</v>
          </cell>
          <cell r="I42">
            <v>3586909</v>
          </cell>
          <cell r="J42">
            <v>0</v>
          </cell>
          <cell r="K42">
            <v>0</v>
          </cell>
          <cell r="L42">
            <v>0</v>
          </cell>
          <cell r="M42">
            <v>3586909</v>
          </cell>
        </row>
        <row r="43">
          <cell r="B43" t="str">
            <v>NAPA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 t="str">
            <v>NORTH ORANGE</v>
          </cell>
          <cell r="C44">
            <v>11896474</v>
          </cell>
          <cell r="D44">
            <v>847527</v>
          </cell>
          <cell r="E44">
            <v>12744001</v>
          </cell>
          <cell r="F44">
            <v>0</v>
          </cell>
          <cell r="G44">
            <v>0</v>
          </cell>
          <cell r="H44">
            <v>0</v>
          </cell>
          <cell r="I44">
            <v>12744001</v>
          </cell>
          <cell r="J44">
            <v>19488</v>
          </cell>
          <cell r="K44">
            <v>1343</v>
          </cell>
          <cell r="L44">
            <v>20831</v>
          </cell>
          <cell r="M44">
            <v>12764832</v>
          </cell>
        </row>
        <row r="45">
          <cell r="B45" t="str">
            <v>OHLONE</v>
          </cell>
          <cell r="C45">
            <v>4612448</v>
          </cell>
          <cell r="D45">
            <v>62256</v>
          </cell>
          <cell r="E45">
            <v>4674704</v>
          </cell>
          <cell r="F45">
            <v>0</v>
          </cell>
          <cell r="G45">
            <v>0</v>
          </cell>
          <cell r="H45">
            <v>0</v>
          </cell>
          <cell r="I45">
            <v>4674704</v>
          </cell>
          <cell r="J45">
            <v>0</v>
          </cell>
          <cell r="K45">
            <v>0</v>
          </cell>
          <cell r="L45">
            <v>0</v>
          </cell>
          <cell r="M45">
            <v>4674704</v>
          </cell>
        </row>
        <row r="46">
          <cell r="B46" t="str">
            <v>PALO VERDE</v>
          </cell>
          <cell r="C46">
            <v>201811</v>
          </cell>
          <cell r="D46">
            <v>0</v>
          </cell>
          <cell r="E46">
            <v>201811</v>
          </cell>
          <cell r="F46">
            <v>1248</v>
          </cell>
          <cell r="G46">
            <v>0</v>
          </cell>
          <cell r="H46">
            <v>1248</v>
          </cell>
          <cell r="I46">
            <v>203059</v>
          </cell>
          <cell r="J46">
            <v>0</v>
          </cell>
          <cell r="K46">
            <v>0</v>
          </cell>
          <cell r="L46">
            <v>0</v>
          </cell>
          <cell r="M46">
            <v>203059</v>
          </cell>
        </row>
        <row r="47">
          <cell r="B47" t="str">
            <v>PALOMAR</v>
          </cell>
          <cell r="C47">
            <v>7366923</v>
          </cell>
          <cell r="D47">
            <v>1285422</v>
          </cell>
          <cell r="E47">
            <v>8652345</v>
          </cell>
          <cell r="F47">
            <v>0</v>
          </cell>
          <cell r="G47">
            <v>0</v>
          </cell>
          <cell r="H47">
            <v>0</v>
          </cell>
          <cell r="I47">
            <v>8652345</v>
          </cell>
          <cell r="J47">
            <v>0</v>
          </cell>
          <cell r="K47">
            <v>0</v>
          </cell>
          <cell r="L47">
            <v>0</v>
          </cell>
          <cell r="M47">
            <v>8652345</v>
          </cell>
        </row>
        <row r="48">
          <cell r="B48" t="str">
            <v>PASADENA</v>
          </cell>
          <cell r="C48">
            <v>9600000</v>
          </cell>
          <cell r="D48">
            <v>1500000</v>
          </cell>
          <cell r="E48">
            <v>11100000</v>
          </cell>
          <cell r="F48">
            <v>0</v>
          </cell>
          <cell r="G48">
            <v>0</v>
          </cell>
          <cell r="H48">
            <v>0</v>
          </cell>
          <cell r="I48">
            <v>11100000</v>
          </cell>
          <cell r="J48">
            <v>0</v>
          </cell>
          <cell r="K48">
            <v>0</v>
          </cell>
          <cell r="L48">
            <v>0</v>
          </cell>
          <cell r="M48">
            <v>11100000</v>
          </cell>
        </row>
        <row r="49">
          <cell r="B49" t="str">
            <v>PERALTA</v>
          </cell>
          <cell r="C49">
            <v>4399274</v>
          </cell>
          <cell r="D49">
            <v>1899164</v>
          </cell>
          <cell r="E49">
            <v>6298438</v>
          </cell>
          <cell r="F49">
            <v>0</v>
          </cell>
          <cell r="G49">
            <v>0</v>
          </cell>
          <cell r="H49">
            <v>0</v>
          </cell>
          <cell r="I49">
            <v>6298438</v>
          </cell>
          <cell r="J49">
            <v>0</v>
          </cell>
          <cell r="K49">
            <v>0</v>
          </cell>
          <cell r="L49">
            <v>0</v>
          </cell>
          <cell r="M49">
            <v>6298438</v>
          </cell>
        </row>
        <row r="50">
          <cell r="B50" t="str">
            <v>RANCHO SANTIAGO</v>
          </cell>
          <cell r="C50">
            <v>7803657</v>
          </cell>
          <cell r="D50">
            <v>1227693</v>
          </cell>
          <cell r="E50">
            <v>9031350</v>
          </cell>
          <cell r="F50">
            <v>0</v>
          </cell>
          <cell r="G50">
            <v>0</v>
          </cell>
          <cell r="H50">
            <v>0</v>
          </cell>
          <cell r="I50">
            <v>9031350</v>
          </cell>
          <cell r="J50">
            <v>64512</v>
          </cell>
          <cell r="K50">
            <v>0</v>
          </cell>
          <cell r="L50">
            <v>64512</v>
          </cell>
          <cell r="M50">
            <v>9095862</v>
          </cell>
        </row>
        <row r="51">
          <cell r="B51" t="str">
            <v>REDWOODS</v>
          </cell>
          <cell r="C51">
            <v>498579</v>
          </cell>
          <cell r="D51">
            <v>536652</v>
          </cell>
          <cell r="E51">
            <v>1035231</v>
          </cell>
          <cell r="F51">
            <v>0</v>
          </cell>
          <cell r="G51">
            <v>0</v>
          </cell>
          <cell r="H51">
            <v>0</v>
          </cell>
          <cell r="I51">
            <v>1035231</v>
          </cell>
          <cell r="J51">
            <v>0</v>
          </cell>
          <cell r="K51">
            <v>0</v>
          </cell>
          <cell r="L51">
            <v>0</v>
          </cell>
          <cell r="M51">
            <v>1035231</v>
          </cell>
        </row>
        <row r="52">
          <cell r="B52" t="str">
            <v>RIO HONDO</v>
          </cell>
          <cell r="C52">
            <v>2729436</v>
          </cell>
          <cell r="D52">
            <v>875000</v>
          </cell>
          <cell r="E52">
            <v>3604436</v>
          </cell>
          <cell r="F52">
            <v>0</v>
          </cell>
          <cell r="G52">
            <v>0</v>
          </cell>
          <cell r="H52">
            <v>0</v>
          </cell>
          <cell r="I52">
            <v>3604436</v>
          </cell>
          <cell r="J52">
            <v>22486</v>
          </cell>
          <cell r="K52">
            <v>3600</v>
          </cell>
          <cell r="L52">
            <v>26086</v>
          </cell>
          <cell r="M52">
            <v>3630522</v>
          </cell>
        </row>
        <row r="53">
          <cell r="B53" t="str">
            <v>RIVERSIDE</v>
          </cell>
          <cell r="C53">
            <v>9698004</v>
          </cell>
          <cell r="D53">
            <v>1251847</v>
          </cell>
          <cell r="E53">
            <v>10949851</v>
          </cell>
          <cell r="F53">
            <v>0</v>
          </cell>
          <cell r="G53">
            <v>0</v>
          </cell>
          <cell r="H53">
            <v>0</v>
          </cell>
          <cell r="I53">
            <v>10949851</v>
          </cell>
          <cell r="J53">
            <v>0</v>
          </cell>
          <cell r="K53">
            <v>0</v>
          </cell>
          <cell r="L53">
            <v>0</v>
          </cell>
          <cell r="M53">
            <v>10949851</v>
          </cell>
        </row>
        <row r="54">
          <cell r="B54" t="str">
            <v>SAN BERNARDINO</v>
          </cell>
          <cell r="C54">
            <v>5274348</v>
          </cell>
          <cell r="D54">
            <v>147980</v>
          </cell>
          <cell r="E54">
            <v>5422328</v>
          </cell>
          <cell r="F54">
            <v>0</v>
          </cell>
          <cell r="G54">
            <v>0</v>
          </cell>
          <cell r="H54">
            <v>0</v>
          </cell>
          <cell r="I54">
            <v>5422328</v>
          </cell>
          <cell r="J54">
            <v>0</v>
          </cell>
          <cell r="K54">
            <v>0</v>
          </cell>
          <cell r="L54">
            <v>0</v>
          </cell>
          <cell r="M54">
            <v>5422328</v>
          </cell>
        </row>
        <row r="55">
          <cell r="B55" t="str">
            <v>SAN DIEGO</v>
          </cell>
          <cell r="C55">
            <v>12925994</v>
          </cell>
          <cell r="D55">
            <v>0</v>
          </cell>
          <cell r="E55">
            <v>12925994</v>
          </cell>
          <cell r="F55">
            <v>0</v>
          </cell>
          <cell r="G55">
            <v>0</v>
          </cell>
          <cell r="H55">
            <v>0</v>
          </cell>
          <cell r="I55">
            <v>12925994</v>
          </cell>
          <cell r="J55">
            <v>92927</v>
          </cell>
          <cell r="K55">
            <v>0</v>
          </cell>
          <cell r="L55">
            <v>92927</v>
          </cell>
          <cell r="M55">
            <v>13018921</v>
          </cell>
        </row>
        <row r="56">
          <cell r="B56" t="str">
            <v>SAN FRANCISCO</v>
          </cell>
          <cell r="C56">
            <v>12158748</v>
          </cell>
          <cell r="D56">
            <v>1118045</v>
          </cell>
          <cell r="E56">
            <v>13276793</v>
          </cell>
          <cell r="F56">
            <v>0</v>
          </cell>
          <cell r="G56">
            <v>0</v>
          </cell>
          <cell r="H56">
            <v>0</v>
          </cell>
          <cell r="I56">
            <v>13276793</v>
          </cell>
          <cell r="J56">
            <v>0</v>
          </cell>
          <cell r="K56">
            <v>0</v>
          </cell>
          <cell r="L56">
            <v>0</v>
          </cell>
          <cell r="M56">
            <v>13276793</v>
          </cell>
        </row>
        <row r="57">
          <cell r="B57" t="str">
            <v>SAN JOAQUIN DELTA</v>
          </cell>
          <cell r="C57">
            <v>3856762</v>
          </cell>
          <cell r="D57">
            <v>0</v>
          </cell>
          <cell r="E57">
            <v>3856762</v>
          </cell>
          <cell r="F57">
            <v>0</v>
          </cell>
          <cell r="G57">
            <v>0</v>
          </cell>
          <cell r="H57">
            <v>0</v>
          </cell>
          <cell r="I57">
            <v>3856762</v>
          </cell>
          <cell r="J57">
            <v>0</v>
          </cell>
          <cell r="K57">
            <v>0</v>
          </cell>
          <cell r="L57">
            <v>0</v>
          </cell>
          <cell r="M57">
            <v>3856762</v>
          </cell>
        </row>
        <row r="58">
          <cell r="B58" t="str">
            <v>SAN JOSE-EVERGREEN</v>
          </cell>
          <cell r="C58">
            <v>3655639</v>
          </cell>
          <cell r="D58">
            <v>2431298</v>
          </cell>
          <cell r="E58">
            <v>6086937</v>
          </cell>
          <cell r="F58">
            <v>0</v>
          </cell>
          <cell r="G58">
            <v>0</v>
          </cell>
          <cell r="H58">
            <v>0</v>
          </cell>
          <cell r="I58">
            <v>6086937</v>
          </cell>
          <cell r="J58">
            <v>0</v>
          </cell>
          <cell r="K58">
            <v>0</v>
          </cell>
          <cell r="L58">
            <v>0</v>
          </cell>
          <cell r="M58">
            <v>6086937</v>
          </cell>
        </row>
        <row r="59">
          <cell r="B59" t="str">
            <v>SAN LUIS OBISPO</v>
          </cell>
          <cell r="C59">
            <v>3040387</v>
          </cell>
          <cell r="D59">
            <v>852110</v>
          </cell>
          <cell r="E59">
            <v>3892497</v>
          </cell>
          <cell r="F59">
            <v>0</v>
          </cell>
          <cell r="G59">
            <v>0</v>
          </cell>
          <cell r="H59">
            <v>0</v>
          </cell>
          <cell r="I59">
            <v>3892497</v>
          </cell>
          <cell r="J59">
            <v>0</v>
          </cell>
          <cell r="K59">
            <v>0</v>
          </cell>
          <cell r="L59">
            <v>0</v>
          </cell>
          <cell r="M59">
            <v>3892497</v>
          </cell>
        </row>
        <row r="60">
          <cell r="B60" t="str">
            <v>SAN MATEO</v>
          </cell>
          <cell r="C60">
            <v>10414112</v>
          </cell>
          <cell r="D60">
            <v>0</v>
          </cell>
          <cell r="E60">
            <v>10414112</v>
          </cell>
          <cell r="F60">
            <v>0</v>
          </cell>
          <cell r="G60">
            <v>0</v>
          </cell>
          <cell r="H60">
            <v>0</v>
          </cell>
          <cell r="I60">
            <v>10414112</v>
          </cell>
          <cell r="J60">
            <v>73836</v>
          </cell>
          <cell r="K60">
            <v>0</v>
          </cell>
          <cell r="L60">
            <v>73836</v>
          </cell>
          <cell r="M60">
            <v>10487948</v>
          </cell>
        </row>
        <row r="61">
          <cell r="B61" t="str">
            <v>SANTA BARBARA</v>
          </cell>
          <cell r="C61">
            <v>7444614</v>
          </cell>
          <cell r="D61">
            <v>445478</v>
          </cell>
          <cell r="E61">
            <v>7890092</v>
          </cell>
          <cell r="F61">
            <v>0</v>
          </cell>
          <cell r="G61">
            <v>0</v>
          </cell>
          <cell r="H61">
            <v>0</v>
          </cell>
          <cell r="I61">
            <v>7890092</v>
          </cell>
          <cell r="J61">
            <v>0</v>
          </cell>
          <cell r="K61">
            <v>0</v>
          </cell>
          <cell r="L61">
            <v>0</v>
          </cell>
          <cell r="M61">
            <v>7890092</v>
          </cell>
        </row>
        <row r="62">
          <cell r="B62" t="str">
            <v>SANTA CLARITA</v>
          </cell>
          <cell r="C62">
            <v>8000000</v>
          </cell>
          <cell r="D62">
            <v>0</v>
          </cell>
          <cell r="E62">
            <v>8000000</v>
          </cell>
          <cell r="F62">
            <v>0</v>
          </cell>
          <cell r="G62">
            <v>0</v>
          </cell>
          <cell r="H62">
            <v>0</v>
          </cell>
          <cell r="I62">
            <v>8000000</v>
          </cell>
          <cell r="J62">
            <v>0</v>
          </cell>
          <cell r="K62">
            <v>0</v>
          </cell>
          <cell r="L62">
            <v>0</v>
          </cell>
          <cell r="M62">
            <v>8000000</v>
          </cell>
        </row>
        <row r="63">
          <cell r="B63" t="str">
            <v>SANTA MONICA</v>
          </cell>
          <cell r="C63">
            <v>12245045</v>
          </cell>
          <cell r="D63">
            <v>1478375</v>
          </cell>
          <cell r="E63">
            <v>13723420</v>
          </cell>
          <cell r="F63">
            <v>0</v>
          </cell>
          <cell r="G63">
            <v>0</v>
          </cell>
          <cell r="H63">
            <v>0</v>
          </cell>
          <cell r="I63">
            <v>13723420</v>
          </cell>
          <cell r="J63">
            <v>50106</v>
          </cell>
          <cell r="K63">
            <v>16674</v>
          </cell>
          <cell r="L63">
            <v>66780</v>
          </cell>
          <cell r="M63">
            <v>13790200</v>
          </cell>
        </row>
        <row r="64">
          <cell r="B64" t="str">
            <v>SEQUOIAS</v>
          </cell>
          <cell r="C64">
            <v>2149253</v>
          </cell>
          <cell r="D64">
            <v>663987</v>
          </cell>
          <cell r="E64">
            <v>2813240</v>
          </cell>
          <cell r="F64">
            <v>0</v>
          </cell>
          <cell r="G64">
            <v>0</v>
          </cell>
          <cell r="H64">
            <v>0</v>
          </cell>
          <cell r="I64">
            <v>2813240</v>
          </cell>
          <cell r="J64">
            <v>0</v>
          </cell>
          <cell r="K64">
            <v>0</v>
          </cell>
          <cell r="L64">
            <v>0</v>
          </cell>
          <cell r="M64">
            <v>2813240</v>
          </cell>
        </row>
        <row r="65">
          <cell r="B65" t="str">
            <v>SHASTA-TEH-TRI</v>
          </cell>
          <cell r="C65">
            <v>1851150</v>
          </cell>
          <cell r="D65">
            <v>75850</v>
          </cell>
          <cell r="E65">
            <v>1927000</v>
          </cell>
          <cell r="F65">
            <v>0</v>
          </cell>
          <cell r="G65">
            <v>0</v>
          </cell>
          <cell r="H65">
            <v>0</v>
          </cell>
          <cell r="I65">
            <v>1927000</v>
          </cell>
          <cell r="J65">
            <v>0</v>
          </cell>
          <cell r="K65">
            <v>0</v>
          </cell>
          <cell r="L65">
            <v>0</v>
          </cell>
          <cell r="M65">
            <v>1927000</v>
          </cell>
        </row>
        <row r="66">
          <cell r="B66" t="str">
            <v>SIERRA</v>
          </cell>
          <cell r="C66">
            <v>7574337</v>
          </cell>
          <cell r="D66">
            <v>0</v>
          </cell>
          <cell r="E66">
            <v>7574337</v>
          </cell>
          <cell r="F66">
            <v>0</v>
          </cell>
          <cell r="G66">
            <v>0</v>
          </cell>
          <cell r="H66">
            <v>0</v>
          </cell>
          <cell r="I66">
            <v>7574337</v>
          </cell>
          <cell r="J66">
            <v>0</v>
          </cell>
          <cell r="K66">
            <v>0</v>
          </cell>
          <cell r="L66">
            <v>0</v>
          </cell>
          <cell r="M66">
            <v>7574337</v>
          </cell>
        </row>
        <row r="67">
          <cell r="B67" t="str">
            <v>SISKIYOU</v>
          </cell>
          <cell r="C67">
            <v>430982</v>
          </cell>
          <cell r="D67">
            <v>165852</v>
          </cell>
          <cell r="E67">
            <v>596834</v>
          </cell>
          <cell r="F67">
            <v>236548</v>
          </cell>
          <cell r="G67">
            <v>35519</v>
          </cell>
          <cell r="H67">
            <v>272067</v>
          </cell>
          <cell r="I67">
            <v>868901</v>
          </cell>
          <cell r="J67">
            <v>0</v>
          </cell>
          <cell r="K67">
            <v>0</v>
          </cell>
          <cell r="L67">
            <v>0</v>
          </cell>
          <cell r="M67">
            <v>868901</v>
          </cell>
        </row>
        <row r="68">
          <cell r="B68" t="str">
            <v>SOLANO</v>
          </cell>
          <cell r="C68">
            <v>2632576</v>
          </cell>
          <cell r="D68">
            <v>920427</v>
          </cell>
          <cell r="E68">
            <v>3553003</v>
          </cell>
          <cell r="F68">
            <v>0</v>
          </cell>
          <cell r="G68">
            <v>0</v>
          </cell>
          <cell r="H68">
            <v>0</v>
          </cell>
          <cell r="I68">
            <v>3553003</v>
          </cell>
          <cell r="J68">
            <v>32772</v>
          </cell>
          <cell r="K68">
            <v>18972</v>
          </cell>
          <cell r="L68">
            <v>51744</v>
          </cell>
          <cell r="M68">
            <v>3604747</v>
          </cell>
        </row>
        <row r="69">
          <cell r="B69" t="str">
            <v>SONOMA</v>
          </cell>
          <cell r="C69">
            <v>5768045</v>
          </cell>
          <cell r="D69">
            <v>2684664</v>
          </cell>
          <cell r="E69">
            <v>8452709</v>
          </cell>
          <cell r="F69">
            <v>0</v>
          </cell>
          <cell r="G69">
            <v>0</v>
          </cell>
          <cell r="H69">
            <v>0</v>
          </cell>
          <cell r="I69">
            <v>8452709</v>
          </cell>
          <cell r="J69">
            <v>0</v>
          </cell>
          <cell r="K69">
            <v>0</v>
          </cell>
          <cell r="L69">
            <v>0</v>
          </cell>
          <cell r="M69">
            <v>8452709</v>
          </cell>
        </row>
        <row r="70">
          <cell r="B70" t="str">
            <v>SOUTH ORANGE</v>
          </cell>
          <cell r="C70">
            <v>17712172</v>
          </cell>
          <cell r="D70">
            <v>0</v>
          </cell>
          <cell r="E70">
            <v>17712172</v>
          </cell>
          <cell r="F70">
            <v>0</v>
          </cell>
          <cell r="G70">
            <v>0</v>
          </cell>
          <cell r="H70">
            <v>0</v>
          </cell>
          <cell r="I70">
            <v>17712172</v>
          </cell>
          <cell r="J70">
            <v>0</v>
          </cell>
          <cell r="K70">
            <v>0</v>
          </cell>
          <cell r="L70">
            <v>0</v>
          </cell>
          <cell r="M70">
            <v>17712172</v>
          </cell>
        </row>
        <row r="71">
          <cell r="B71" t="str">
            <v>SOUTHWESTERN</v>
          </cell>
          <cell r="C71">
            <v>4054453</v>
          </cell>
          <cell r="D71">
            <v>719203</v>
          </cell>
          <cell r="E71">
            <v>4773656</v>
          </cell>
          <cell r="F71">
            <v>0</v>
          </cell>
          <cell r="G71">
            <v>0</v>
          </cell>
          <cell r="H71">
            <v>0</v>
          </cell>
          <cell r="I71">
            <v>4773656</v>
          </cell>
          <cell r="J71">
            <v>0</v>
          </cell>
          <cell r="K71">
            <v>0</v>
          </cell>
          <cell r="L71">
            <v>0</v>
          </cell>
          <cell r="M71">
            <v>4773656</v>
          </cell>
        </row>
        <row r="72">
          <cell r="B72" t="str">
            <v>STATE CENTER</v>
          </cell>
          <cell r="C72">
            <v>8586671</v>
          </cell>
          <cell r="D72">
            <v>175238</v>
          </cell>
          <cell r="E72">
            <v>8761909</v>
          </cell>
          <cell r="F72">
            <v>0</v>
          </cell>
          <cell r="G72">
            <v>0</v>
          </cell>
          <cell r="H72">
            <v>0</v>
          </cell>
          <cell r="I72">
            <v>8761909</v>
          </cell>
          <cell r="J72">
            <v>0</v>
          </cell>
          <cell r="K72">
            <v>0</v>
          </cell>
          <cell r="L72">
            <v>0</v>
          </cell>
          <cell r="M72">
            <v>8761909</v>
          </cell>
        </row>
        <row r="73">
          <cell r="B73" t="str">
            <v>VENTURA</v>
          </cell>
          <cell r="C73">
            <v>20631118</v>
          </cell>
          <cell r="D73">
            <v>83036</v>
          </cell>
          <cell r="E73">
            <v>20714154</v>
          </cell>
          <cell r="F73">
            <v>0</v>
          </cell>
          <cell r="G73">
            <v>0</v>
          </cell>
          <cell r="H73">
            <v>0</v>
          </cell>
          <cell r="I73">
            <v>20714154</v>
          </cell>
          <cell r="J73">
            <v>0</v>
          </cell>
          <cell r="K73">
            <v>0</v>
          </cell>
          <cell r="L73">
            <v>0</v>
          </cell>
          <cell r="M73">
            <v>20714154</v>
          </cell>
        </row>
        <row r="74">
          <cell r="B74" t="str">
            <v>VICTOR VALLEY</v>
          </cell>
          <cell r="C74">
            <v>2009905</v>
          </cell>
          <cell r="D74">
            <v>119005</v>
          </cell>
          <cell r="E74">
            <v>2128910</v>
          </cell>
          <cell r="F74">
            <v>0</v>
          </cell>
          <cell r="G74">
            <v>0</v>
          </cell>
          <cell r="H74">
            <v>0</v>
          </cell>
          <cell r="I74">
            <v>2128910</v>
          </cell>
          <cell r="J74">
            <v>0</v>
          </cell>
          <cell r="K74">
            <v>0</v>
          </cell>
          <cell r="L74">
            <v>0</v>
          </cell>
          <cell r="M74">
            <v>2128910</v>
          </cell>
        </row>
        <row r="75">
          <cell r="B75" t="str">
            <v>WEST HILLS</v>
          </cell>
          <cell r="C75">
            <v>993500</v>
          </cell>
          <cell r="D75">
            <v>0</v>
          </cell>
          <cell r="E75">
            <v>993500</v>
          </cell>
          <cell r="F75">
            <v>0</v>
          </cell>
          <cell r="G75">
            <v>0</v>
          </cell>
          <cell r="H75">
            <v>0</v>
          </cell>
          <cell r="I75">
            <v>993500</v>
          </cell>
          <cell r="J75">
            <v>0</v>
          </cell>
          <cell r="K75">
            <v>0</v>
          </cell>
          <cell r="L75">
            <v>0</v>
          </cell>
          <cell r="M75">
            <v>993500</v>
          </cell>
        </row>
        <row r="76">
          <cell r="B76" t="str">
            <v>WEST KERN</v>
          </cell>
          <cell r="C76">
            <v>633119</v>
          </cell>
          <cell r="D76">
            <v>170053</v>
          </cell>
          <cell r="E76">
            <v>803172</v>
          </cell>
          <cell r="F76">
            <v>0</v>
          </cell>
          <cell r="G76">
            <v>0</v>
          </cell>
          <cell r="H76">
            <v>0</v>
          </cell>
          <cell r="I76">
            <v>803172</v>
          </cell>
          <cell r="J76">
            <v>0</v>
          </cell>
          <cell r="K76">
            <v>0</v>
          </cell>
          <cell r="L76">
            <v>0</v>
          </cell>
          <cell r="M76">
            <v>803172</v>
          </cell>
        </row>
        <row r="77">
          <cell r="B77" t="str">
            <v>WEST VALLEY</v>
          </cell>
          <cell r="C77">
            <v>7522101</v>
          </cell>
          <cell r="D77">
            <v>479240</v>
          </cell>
          <cell r="E77">
            <v>8001341</v>
          </cell>
          <cell r="F77">
            <v>0</v>
          </cell>
          <cell r="G77">
            <v>0</v>
          </cell>
          <cell r="H77">
            <v>0</v>
          </cell>
          <cell r="I77">
            <v>8001341</v>
          </cell>
          <cell r="J77">
            <v>0</v>
          </cell>
          <cell r="K77">
            <v>0</v>
          </cell>
          <cell r="L77">
            <v>0</v>
          </cell>
          <cell r="M77">
            <v>8001341</v>
          </cell>
        </row>
        <row r="78">
          <cell r="B78" t="str">
            <v>YOSEMITE</v>
          </cell>
          <cell r="C78">
            <v>5200000</v>
          </cell>
          <cell r="D78">
            <v>0</v>
          </cell>
          <cell r="E78">
            <v>5200000</v>
          </cell>
          <cell r="F78">
            <v>0</v>
          </cell>
          <cell r="G78">
            <v>0</v>
          </cell>
          <cell r="H78">
            <v>0</v>
          </cell>
          <cell r="I78">
            <v>5200000</v>
          </cell>
          <cell r="J78">
            <v>43400</v>
          </cell>
          <cell r="K78">
            <v>0</v>
          </cell>
          <cell r="L78">
            <v>43400</v>
          </cell>
          <cell r="M78">
            <v>5243400</v>
          </cell>
        </row>
        <row r="79">
          <cell r="B79" t="str">
            <v>YUBA</v>
          </cell>
          <cell r="C79">
            <v>1663005</v>
          </cell>
          <cell r="D79">
            <v>0</v>
          </cell>
          <cell r="E79">
            <v>1663005</v>
          </cell>
          <cell r="F79">
            <v>0</v>
          </cell>
          <cell r="G79">
            <v>0</v>
          </cell>
          <cell r="H79">
            <v>0</v>
          </cell>
          <cell r="I79">
            <v>1663005</v>
          </cell>
          <cell r="J79">
            <v>0</v>
          </cell>
          <cell r="K79">
            <v>0</v>
          </cell>
          <cell r="L79">
            <v>0</v>
          </cell>
          <cell r="M79">
            <v>1663005</v>
          </cell>
        </row>
      </sheetData>
      <sheetData sheetId="2">
        <row r="8">
          <cell r="B8" t="str">
            <v>ALLAN HANCOCK</v>
          </cell>
        </row>
        <row r="9">
          <cell r="B9" t="str">
            <v>ANTELOPE VALLEY</v>
          </cell>
        </row>
        <row r="10">
          <cell r="B10" t="str">
            <v>BARSTOW</v>
          </cell>
        </row>
        <row r="11">
          <cell r="B11" t="str">
            <v>BUTTE</v>
          </cell>
        </row>
        <row r="12">
          <cell r="B12" t="str">
            <v>CABRILLO</v>
          </cell>
        </row>
        <row r="13">
          <cell r="B13" t="str">
            <v>CERRITOS</v>
          </cell>
        </row>
        <row r="14">
          <cell r="B14" t="str">
            <v>CHABOT-LAS POSITAS</v>
          </cell>
        </row>
        <row r="15">
          <cell r="B15" t="str">
            <v>CHAFFEY</v>
          </cell>
        </row>
        <row r="16">
          <cell r="B16" t="str">
            <v>CITRUS</v>
          </cell>
        </row>
        <row r="17">
          <cell r="B17" t="str">
            <v>COAST</v>
          </cell>
        </row>
        <row r="18">
          <cell r="B18" t="str">
            <v>COMPTON</v>
          </cell>
        </row>
        <row r="19">
          <cell r="B19" t="str">
            <v>CONTRA COSTA</v>
          </cell>
        </row>
        <row r="20">
          <cell r="B20" t="str">
            <v>COPPER MOUNTAIN</v>
          </cell>
        </row>
        <row r="21">
          <cell r="B21" t="str">
            <v>DESERT</v>
          </cell>
        </row>
        <row r="22">
          <cell r="B22" t="str">
            <v>EL CAMINO</v>
          </cell>
        </row>
        <row r="23">
          <cell r="B23" t="str">
            <v>FEATHER RIVER</v>
          </cell>
        </row>
        <row r="24">
          <cell r="B24" t="str">
            <v>FOOTHILL-DEANZA</v>
          </cell>
        </row>
        <row r="25">
          <cell r="B25" t="str">
            <v>GAVILAN</v>
          </cell>
        </row>
        <row r="26">
          <cell r="B26" t="str">
            <v>GLENDALE</v>
          </cell>
        </row>
        <row r="27">
          <cell r="B27" t="str">
            <v>GROSSMONT-CUYAMACA</v>
          </cell>
        </row>
        <row r="28">
          <cell r="B28" t="str">
            <v>HARTNELL</v>
          </cell>
        </row>
        <row r="29">
          <cell r="B29" t="str">
            <v>IMPERIAL</v>
          </cell>
        </row>
        <row r="30">
          <cell r="B30" t="str">
            <v>KERN</v>
          </cell>
        </row>
        <row r="31">
          <cell r="B31" t="str">
            <v>LAKE TAHOE</v>
          </cell>
        </row>
        <row r="32">
          <cell r="B32" t="str">
            <v>LASSEN</v>
          </cell>
        </row>
        <row r="33">
          <cell r="B33" t="str">
            <v>LONG BEACH</v>
          </cell>
        </row>
        <row r="34">
          <cell r="B34" t="str">
            <v>LOS ANGELES</v>
          </cell>
        </row>
        <row r="35">
          <cell r="B35" t="str">
            <v>LOS RIOS</v>
          </cell>
        </row>
        <row r="36">
          <cell r="B36" t="str">
            <v>MARIN</v>
          </cell>
        </row>
        <row r="37">
          <cell r="B37" t="str">
            <v>MENDOCINO-LAKE</v>
          </cell>
        </row>
        <row r="38">
          <cell r="B38" t="str">
            <v>MERCED</v>
          </cell>
        </row>
        <row r="39">
          <cell r="B39" t="str">
            <v>MIRACOSTA</v>
          </cell>
        </row>
        <row r="40">
          <cell r="B40" t="str">
            <v>MONTEREY</v>
          </cell>
        </row>
        <row r="41">
          <cell r="B41" t="str">
            <v>MT. SAN ANTONIO</v>
          </cell>
        </row>
        <row r="42">
          <cell r="B42" t="str">
            <v>MT. SAN JACINTO</v>
          </cell>
        </row>
        <row r="43">
          <cell r="B43" t="str">
            <v>NAPA</v>
          </cell>
        </row>
        <row r="44">
          <cell r="B44" t="str">
            <v>NORTH ORANGE</v>
          </cell>
        </row>
        <row r="45">
          <cell r="B45" t="str">
            <v>OHLONE</v>
          </cell>
        </row>
        <row r="46">
          <cell r="B46" t="str">
            <v>PALO VERDE</v>
          </cell>
        </row>
        <row r="47">
          <cell r="B47" t="str">
            <v>PALOMAR</v>
          </cell>
        </row>
        <row r="48">
          <cell r="B48" t="str">
            <v>PASADENA</v>
          </cell>
        </row>
        <row r="49">
          <cell r="B49" t="str">
            <v>PERALTA</v>
          </cell>
        </row>
        <row r="50">
          <cell r="B50" t="str">
            <v>RANCHO SANTIAGO</v>
          </cell>
        </row>
        <row r="51">
          <cell r="B51" t="str">
            <v>REDWOODS</v>
          </cell>
        </row>
        <row r="52">
          <cell r="B52" t="str">
            <v>RIO HONDO</v>
          </cell>
        </row>
        <row r="53">
          <cell r="B53" t="str">
            <v>RIVERSIDE</v>
          </cell>
        </row>
        <row r="54">
          <cell r="B54" t="str">
            <v>SAN BERNARDINO</v>
          </cell>
        </row>
        <row r="55">
          <cell r="B55" t="str">
            <v>SAN DIEGO</v>
          </cell>
        </row>
        <row r="56">
          <cell r="B56" t="str">
            <v>SAN FRANCISCO</v>
          </cell>
        </row>
        <row r="57">
          <cell r="B57" t="str">
            <v>SAN JOAQUIN DELTA</v>
          </cell>
        </row>
        <row r="58">
          <cell r="B58" t="str">
            <v>SAN JOSE-EVERGREEN</v>
          </cell>
        </row>
        <row r="59">
          <cell r="B59" t="str">
            <v>SAN LUIS OBISPO</v>
          </cell>
        </row>
        <row r="60">
          <cell r="B60" t="str">
            <v>SAN MATEO</v>
          </cell>
        </row>
        <row r="61">
          <cell r="B61" t="str">
            <v>SANTA BARBARA</v>
          </cell>
        </row>
        <row r="62">
          <cell r="B62" t="str">
            <v>SANTA CLARITA</v>
          </cell>
        </row>
        <row r="63">
          <cell r="B63" t="str">
            <v>SANTA MONICA</v>
          </cell>
        </row>
        <row r="64">
          <cell r="B64" t="str">
            <v>SEQUOIAS</v>
          </cell>
        </row>
        <row r="65">
          <cell r="B65" t="str">
            <v>SHASTA-TEH-TRI</v>
          </cell>
        </row>
        <row r="66">
          <cell r="B66" t="str">
            <v>SIERRA</v>
          </cell>
        </row>
        <row r="67">
          <cell r="B67" t="str">
            <v>SISKIYOU</v>
          </cell>
        </row>
        <row r="68">
          <cell r="B68" t="str">
            <v>SOLANO</v>
          </cell>
        </row>
        <row r="69">
          <cell r="B69" t="str">
            <v>SONOMA</v>
          </cell>
        </row>
        <row r="70">
          <cell r="B70" t="str">
            <v>SOUTH ORANGE</v>
          </cell>
        </row>
        <row r="71">
          <cell r="B71" t="str">
            <v>SOUTHWESTERN</v>
          </cell>
        </row>
        <row r="72">
          <cell r="B72" t="str">
            <v>STATE CENTER</v>
          </cell>
        </row>
        <row r="73">
          <cell r="B73" t="str">
            <v>VENTURA</v>
          </cell>
        </row>
        <row r="74">
          <cell r="B74" t="str">
            <v>VICTOR VALLEY</v>
          </cell>
        </row>
        <row r="75">
          <cell r="B75" t="str">
            <v>WEST HILLS</v>
          </cell>
        </row>
        <row r="76">
          <cell r="B76" t="str">
            <v>WEST KERN</v>
          </cell>
        </row>
        <row r="77">
          <cell r="B77" t="str">
            <v>WEST VALLEY</v>
          </cell>
        </row>
        <row r="78">
          <cell r="B78" t="str">
            <v>YOSEMITE</v>
          </cell>
        </row>
        <row r="79">
          <cell r="B79" t="str">
            <v>YUBA</v>
          </cell>
        </row>
      </sheetData>
      <sheetData sheetId="3">
        <row r="11">
          <cell r="H11">
            <v>2442096</v>
          </cell>
        </row>
      </sheetData>
      <sheetData sheetId="4"/>
      <sheetData sheetId="5"/>
      <sheetData sheetId="6"/>
      <sheetData sheetId="7">
        <row r="10">
          <cell r="B10" t="str">
            <v>ALLAN HANCOCK</v>
          </cell>
        </row>
      </sheetData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Raw Data"/>
      <sheetName val="Summary"/>
      <sheetName val="Budget Request Details"/>
      <sheetName val="Position Change Request"/>
      <sheetName val="Position Summary PY"/>
      <sheetName val="Position Summary CY"/>
      <sheetName val="Position Summary BY0-4"/>
      <sheetName val="Baseline Adjustment Type"/>
      <sheetName val="Baseline Adjustments PY"/>
      <sheetName val="Baseline Adjustments CY"/>
      <sheetName val="Baseline Adjustments BY0-4"/>
      <sheetName val="Non Add Baseline Adjs PY"/>
      <sheetName val="Non Add Baseline Adjs CY"/>
      <sheetName val="Non Add Baseline Adjs BY0-4"/>
      <sheetName val="Budgetary Exp PY"/>
      <sheetName val="Budgetary Exp CY"/>
      <sheetName val="Budgetary Exp BY"/>
      <sheetName val="Non Add Budgetary Exp PY "/>
      <sheetName val="Non Add Budgetary Exp CY"/>
      <sheetName val="Non Add Budgetary Exp BY"/>
      <sheetName val="Reimbursements PY"/>
      <sheetName val="Reimbursements CY"/>
      <sheetName val="Reimbursements BY0-4"/>
      <sheetName val="Dimension Lookup"/>
      <sheetName val="Smartlist Lookup"/>
      <sheetName val="Budget Position Transparency Sa"/>
    </sheetNames>
    <sheetDataSet>
      <sheetData sheetId="0"/>
      <sheetData sheetId="1"/>
      <sheetData sheetId="2">
        <row r="61">
          <cell r="F61">
            <v>-1582000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OPS Review Tracking"/>
      <sheetName val="Don't Change Weekly Report"/>
      <sheetName val="Don't Change Chart"/>
      <sheetName val="Don't Change Lists"/>
      <sheetName val="Sheet1"/>
    </sheetNames>
    <sheetDataSet>
      <sheetData sheetId="0"/>
      <sheetData sheetId="1"/>
      <sheetData sheetId="2"/>
      <sheetData sheetId="3">
        <row r="3">
          <cell r="A3" t="str">
            <v>Barr</v>
          </cell>
          <cell r="D3" t="str">
            <v>Yes L-Sent</v>
          </cell>
        </row>
        <row r="4">
          <cell r="A4" t="str">
            <v>Evans</v>
          </cell>
          <cell r="D4" t="str">
            <v>No L-Sent</v>
          </cell>
        </row>
        <row r="5">
          <cell r="A5" t="str">
            <v>Le</v>
          </cell>
          <cell r="D5" t="str">
            <v>N/A</v>
          </cell>
        </row>
        <row r="6">
          <cell r="A6" t="str">
            <v>Patterson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B96C7-6525-4C6D-808A-DDB0EB46574E}">
  <sheetPr>
    <tabColor theme="1" tint="0.499984740745262"/>
  </sheetPr>
  <dimension ref="A1:K118"/>
  <sheetViews>
    <sheetView tabSelected="1" view="pageLayout" topLeftCell="C35" zoomScaleNormal="100" workbookViewId="0">
      <selection activeCell="H3" sqref="H3"/>
    </sheetView>
  </sheetViews>
  <sheetFormatPr defaultColWidth="9.1328125" defaultRowHeight="14.75" outlineLevelRow="1" outlineLevelCol="1" x14ac:dyDescent="0.75"/>
  <cols>
    <col min="1" max="1" width="15.1328125" hidden="1" customWidth="1" outlineLevel="1"/>
    <col min="2" max="2" width="20" hidden="1" customWidth="1" outlineLevel="1"/>
    <col min="3" max="3" width="33.7265625" customWidth="1" collapsed="1"/>
    <col min="4" max="4" width="4.54296875" bestFit="1" customWidth="1"/>
    <col min="5" max="5" width="15.26953125" customWidth="1"/>
    <col min="6" max="6" width="3" customWidth="1"/>
    <col min="7" max="11" width="10.7265625" customWidth="1"/>
  </cols>
  <sheetData>
    <row r="1" spans="1:8" x14ac:dyDescent="0.75">
      <c r="C1" s="1" t="s">
        <v>0</v>
      </c>
      <c r="D1" s="2"/>
      <c r="E1" s="3"/>
      <c r="F1" s="4"/>
      <c r="G1" s="4"/>
      <c r="H1" s="4"/>
    </row>
    <row r="2" spans="1:8" x14ac:dyDescent="0.75">
      <c r="A2" t="s">
        <v>1</v>
      </c>
      <c r="B2" t="s">
        <v>2</v>
      </c>
      <c r="C2" s="5" t="s">
        <v>3</v>
      </c>
      <c r="D2" s="6"/>
      <c r="E2" s="7">
        <v>7430429651</v>
      </c>
    </row>
    <row r="3" spans="1:8" x14ac:dyDescent="0.75">
      <c r="C3" s="8"/>
      <c r="D3" s="9"/>
      <c r="E3" s="10"/>
    </row>
    <row r="4" spans="1:8" x14ac:dyDescent="0.75">
      <c r="A4" t="s">
        <v>4</v>
      </c>
      <c r="B4" t="s">
        <v>5</v>
      </c>
      <c r="C4" s="8" t="s">
        <v>6</v>
      </c>
      <c r="D4" s="9"/>
      <c r="E4" s="10">
        <v>24727000</v>
      </c>
    </row>
    <row r="5" spans="1:8" ht="15" customHeight="1" x14ac:dyDescent="0.75">
      <c r="A5" t="s">
        <v>1</v>
      </c>
      <c r="B5" t="s">
        <v>2</v>
      </c>
      <c r="C5" s="11" t="s">
        <v>7</v>
      </c>
      <c r="D5" s="12"/>
      <c r="E5" s="13">
        <v>122305070.2235925</v>
      </c>
    </row>
    <row r="6" spans="1:8" ht="15" customHeight="1" x14ac:dyDescent="0.75">
      <c r="A6" t="s">
        <v>1</v>
      </c>
      <c r="B6" t="s">
        <v>8</v>
      </c>
      <c r="C6" s="14" t="s">
        <v>9</v>
      </c>
      <c r="D6" s="15"/>
      <c r="E6" s="16">
        <v>216366451</v>
      </c>
      <c r="F6" s="17"/>
    </row>
    <row r="7" spans="1:8" ht="15" customHeight="1" x14ac:dyDescent="0.75">
      <c r="A7" t="s">
        <v>1</v>
      </c>
      <c r="B7" t="s">
        <v>8</v>
      </c>
      <c r="C7" s="14" t="s">
        <v>10</v>
      </c>
      <c r="D7" s="15"/>
      <c r="E7" s="16">
        <v>110682048</v>
      </c>
      <c r="H7" s="18"/>
    </row>
    <row r="8" spans="1:8" x14ac:dyDescent="0.75">
      <c r="C8" s="19" t="s">
        <v>11</v>
      </c>
      <c r="D8" s="20"/>
      <c r="E8" s="21">
        <f>SUM(E4:E7)</f>
        <v>474080569.22359252</v>
      </c>
    </row>
    <row r="9" spans="1:8" x14ac:dyDescent="0.75">
      <c r="C9" s="19"/>
      <c r="D9" s="20"/>
      <c r="E9" s="10"/>
    </row>
    <row r="10" spans="1:8" x14ac:dyDescent="0.75">
      <c r="C10" s="22" t="s">
        <v>12</v>
      </c>
      <c r="D10" s="23"/>
      <c r="E10" s="24">
        <f>E2-E8</f>
        <v>6956349081.7764072</v>
      </c>
      <c r="F10" s="25"/>
    </row>
    <row r="11" spans="1:8" x14ac:dyDescent="0.75">
      <c r="C11" s="26"/>
      <c r="D11" s="26"/>
      <c r="E11" s="27"/>
      <c r="F11" s="25"/>
    </row>
    <row r="12" spans="1:8" x14ac:dyDescent="0.75">
      <c r="A12" t="s">
        <v>1</v>
      </c>
      <c r="B12" t="s">
        <v>13</v>
      </c>
      <c r="C12" s="28" t="s">
        <v>14</v>
      </c>
      <c r="D12" s="29">
        <v>0.7</v>
      </c>
      <c r="E12" s="21">
        <f>ROUND(D12*E10,0)</f>
        <v>4869444357</v>
      </c>
      <c r="F12" s="25"/>
    </row>
    <row r="13" spans="1:8" x14ac:dyDescent="0.75">
      <c r="A13" t="s">
        <v>1</v>
      </c>
      <c r="B13" t="s">
        <v>15</v>
      </c>
      <c r="C13" s="11" t="s">
        <v>16</v>
      </c>
      <c r="D13" s="30">
        <v>0.2</v>
      </c>
      <c r="E13" s="16">
        <f>ROUND(D13*E10,0)</f>
        <v>1391269816</v>
      </c>
      <c r="F13" s="25"/>
    </row>
    <row r="14" spans="1:8" x14ac:dyDescent="0.75">
      <c r="A14" t="s">
        <v>1</v>
      </c>
      <c r="B14" t="s">
        <v>17</v>
      </c>
      <c r="C14" s="11" t="s">
        <v>18</v>
      </c>
      <c r="D14" s="30">
        <v>0.1</v>
      </c>
      <c r="E14" s="16">
        <f>ROUND(D14*E10,0)</f>
        <v>695634908</v>
      </c>
      <c r="F14" s="25"/>
    </row>
    <row r="15" spans="1:8" s="31" customFormat="1" x14ac:dyDescent="0.75">
      <c r="C15" s="32" t="str">
        <f>C10</f>
        <v>Funds Available for Distribution</v>
      </c>
      <c r="D15" s="33"/>
      <c r="E15" s="34">
        <f>SUM(E12:E14)</f>
        <v>6956349081</v>
      </c>
    </row>
    <row r="16" spans="1:8" x14ac:dyDescent="0.75">
      <c r="C16" s="35"/>
      <c r="D16" s="35"/>
      <c r="E16" s="27"/>
    </row>
    <row r="17" spans="1:11" x14ac:dyDescent="0.75">
      <c r="C17" s="36" t="str">
        <f>C12</f>
        <v>Base Allocation</v>
      </c>
      <c r="D17" s="4"/>
      <c r="E17" s="37">
        <f>E12</f>
        <v>4869444357</v>
      </c>
      <c r="F17" s="38"/>
    </row>
    <row r="18" spans="1:11" x14ac:dyDescent="0.75">
      <c r="C18" s="39"/>
      <c r="E18" s="40"/>
      <c r="F18" s="41"/>
    </row>
    <row r="19" spans="1:11" x14ac:dyDescent="0.75">
      <c r="C19" s="14" t="s">
        <v>19</v>
      </c>
      <c r="D19" s="15"/>
      <c r="E19" s="10">
        <v>620217582</v>
      </c>
      <c r="F19" s="42"/>
    </row>
    <row r="20" spans="1:11" x14ac:dyDescent="0.75">
      <c r="A20" t="s">
        <v>1</v>
      </c>
      <c r="B20" t="s">
        <v>20</v>
      </c>
      <c r="C20" s="14" t="s">
        <v>21</v>
      </c>
      <c r="D20" s="15"/>
      <c r="E20" s="16">
        <v>25634535</v>
      </c>
      <c r="F20" s="43"/>
    </row>
    <row r="21" spans="1:11" x14ac:dyDescent="0.75">
      <c r="A21" t="s">
        <v>1</v>
      </c>
      <c r="B21" t="s">
        <v>20</v>
      </c>
      <c r="C21" s="14" t="s">
        <v>22</v>
      </c>
      <c r="D21" s="15"/>
      <c r="E21" s="16">
        <v>205252980</v>
      </c>
      <c r="F21" s="43"/>
    </row>
    <row r="22" spans="1:11" x14ac:dyDescent="0.75">
      <c r="C22" s="19" t="s">
        <v>11</v>
      </c>
      <c r="D22" s="20"/>
      <c r="E22" s="21">
        <f>SUM(E19:E21)</f>
        <v>851105097</v>
      </c>
      <c r="F22" s="44"/>
    </row>
    <row r="23" spans="1:11" x14ac:dyDescent="0.75">
      <c r="C23" s="39"/>
      <c r="E23" s="40"/>
      <c r="F23" s="38"/>
    </row>
    <row r="24" spans="1:11" x14ac:dyDescent="0.75">
      <c r="C24" s="45" t="s">
        <v>23</v>
      </c>
      <c r="D24" s="46"/>
      <c r="E24" s="47">
        <f>E17-E22</f>
        <v>4018339260</v>
      </c>
      <c r="F24" s="48"/>
      <c r="G24" s="49"/>
    </row>
    <row r="25" spans="1:11" x14ac:dyDescent="0.75">
      <c r="C25" s="8" t="s">
        <v>24</v>
      </c>
      <c r="D25" s="9"/>
      <c r="E25" s="50">
        <v>1007459.5558666184</v>
      </c>
      <c r="F25" s="51"/>
      <c r="G25" s="52" t="s">
        <v>25</v>
      </c>
      <c r="H25" s="18" t="s">
        <v>26</v>
      </c>
      <c r="I25" s="53" t="s">
        <v>27</v>
      </c>
    </row>
    <row r="26" spans="1:11" x14ac:dyDescent="0.75">
      <c r="A26" t="s">
        <v>1</v>
      </c>
      <c r="B26" t="s">
        <v>28</v>
      </c>
      <c r="C26" s="54" t="s">
        <v>29</v>
      </c>
      <c r="D26" s="55"/>
      <c r="E26" s="115">
        <f>E24/E25</f>
        <v>3988.586178572119</v>
      </c>
      <c r="G26" s="56">
        <v>3727</v>
      </c>
      <c r="H26" s="57">
        <f>E26-G26</f>
        <v>261.58617857211902</v>
      </c>
      <c r="I26" s="58">
        <f>H26/G26</f>
        <v>7.0186793284711307E-2</v>
      </c>
    </row>
    <row r="27" spans="1:11" x14ac:dyDescent="0.75">
      <c r="F27" s="59"/>
      <c r="G27" s="17"/>
      <c r="H27" s="60"/>
    </row>
    <row r="28" spans="1:11" x14ac:dyDescent="0.75">
      <c r="C28" s="61" t="s">
        <v>16</v>
      </c>
      <c r="D28" s="62"/>
      <c r="E28" s="21">
        <f>E13</f>
        <v>1391269816</v>
      </c>
      <c r="F28" s="63"/>
      <c r="H28" s="60"/>
    </row>
    <row r="29" spans="1:11" x14ac:dyDescent="0.75">
      <c r="A29" s="31" t="s">
        <v>1</v>
      </c>
      <c r="B29" s="31" t="s">
        <v>30</v>
      </c>
      <c r="C29" s="39" t="s">
        <v>31</v>
      </c>
      <c r="E29" s="16">
        <f>G53</f>
        <v>1496683</v>
      </c>
      <c r="F29" s="63"/>
      <c r="H29" s="60"/>
    </row>
    <row r="30" spans="1:11" x14ac:dyDescent="0.75">
      <c r="C30" s="54" t="s">
        <v>32</v>
      </c>
      <c r="D30" s="55"/>
      <c r="E30" s="64">
        <f>E28/E29</f>
        <v>929.56879713339436</v>
      </c>
      <c r="F30" s="63"/>
      <c r="G30" s="56">
        <v>919</v>
      </c>
      <c r="H30" s="57">
        <f>E30-G30</f>
        <v>10.568797133394355</v>
      </c>
      <c r="I30" s="58">
        <f>H30/G30</f>
        <v>1.150032332251834E-2</v>
      </c>
    </row>
    <row r="31" spans="1:11" x14ac:dyDescent="0.75">
      <c r="H31" s="60"/>
    </row>
    <row r="32" spans="1:11" s="31" customFormat="1" x14ac:dyDescent="0.75">
      <c r="A32"/>
      <c r="B32"/>
      <c r="C32" s="65" t="str">
        <f>C14</f>
        <v>Student Success Allocation</v>
      </c>
      <c r="D32" s="66"/>
      <c r="E32" s="67">
        <f>E14</f>
        <v>695634908</v>
      </c>
      <c r="H32" s="68"/>
      <c r="K32" s="69"/>
    </row>
    <row r="33" spans="3:11" x14ac:dyDescent="0.75">
      <c r="C33" s="39"/>
      <c r="E33" s="70"/>
      <c r="G33" s="71"/>
      <c r="H33" s="60"/>
      <c r="I33" s="52"/>
    </row>
    <row r="34" spans="3:11" x14ac:dyDescent="0.75">
      <c r="C34" s="72" t="s">
        <v>33</v>
      </c>
      <c r="D34" s="73">
        <v>0.75</v>
      </c>
      <c r="E34" s="74">
        <f>ROUND(D34*E32,0)</f>
        <v>521726181</v>
      </c>
      <c r="G34" s="75"/>
      <c r="H34" s="60"/>
      <c r="I34" s="56"/>
    </row>
    <row r="35" spans="3:11" x14ac:dyDescent="0.75">
      <c r="C35" s="39" t="s">
        <v>34</v>
      </c>
      <c r="D35" s="30">
        <v>0.25</v>
      </c>
      <c r="E35" s="70">
        <f>ROUND(D35*E32,0)</f>
        <v>173908727</v>
      </c>
      <c r="G35" s="75"/>
      <c r="H35" s="60"/>
      <c r="I35" s="76"/>
    </row>
    <row r="36" spans="3:11" x14ac:dyDescent="0.75">
      <c r="C36" s="77"/>
      <c r="D36" s="78"/>
      <c r="E36" s="79">
        <f>SUM(E34:E35)</f>
        <v>695634908</v>
      </c>
      <c r="H36" s="60"/>
    </row>
    <row r="37" spans="3:11" x14ac:dyDescent="0.75">
      <c r="E37" s="10"/>
      <c r="H37" s="60"/>
    </row>
    <row r="38" spans="3:11" x14ac:dyDescent="0.75">
      <c r="C38" s="61" t="s">
        <v>33</v>
      </c>
      <c r="D38" s="62"/>
      <c r="E38" s="80">
        <f>E34</f>
        <v>521726181</v>
      </c>
      <c r="G38" s="12"/>
      <c r="H38" s="60"/>
      <c r="J38" s="18"/>
      <c r="K38" s="18"/>
    </row>
    <row r="39" spans="3:11" x14ac:dyDescent="0.75">
      <c r="C39" s="39" t="s">
        <v>35</v>
      </c>
      <c r="E39" s="81">
        <f>G72</f>
        <v>910614.16666666674</v>
      </c>
      <c r="G39" s="12"/>
      <c r="H39" s="60"/>
      <c r="I39" s="82"/>
      <c r="J39" s="18"/>
      <c r="K39" s="18"/>
    </row>
    <row r="40" spans="3:11" x14ac:dyDescent="0.75">
      <c r="C40" s="83" t="s">
        <v>36</v>
      </c>
      <c r="D40" s="84"/>
      <c r="E40" s="85">
        <f>IF(E39&gt;0,(E38/E39),0)</f>
        <v>572.93879240842023</v>
      </c>
      <c r="G40" s="56">
        <v>440</v>
      </c>
      <c r="H40" s="57">
        <f>E40-G40</f>
        <v>132.93879240842023</v>
      </c>
      <c r="I40" s="58">
        <f>H40/G40</f>
        <v>0.30213361911004599</v>
      </c>
      <c r="J40" s="18"/>
      <c r="K40" s="18"/>
    </row>
    <row r="41" spans="3:11" x14ac:dyDescent="0.75">
      <c r="C41" s="39"/>
      <c r="E41" s="40"/>
      <c r="G41" s="86"/>
      <c r="H41" s="60"/>
      <c r="I41" s="76"/>
    </row>
    <row r="42" spans="3:11" x14ac:dyDescent="0.75">
      <c r="C42" s="14" t="s">
        <v>34</v>
      </c>
      <c r="D42" s="15"/>
      <c r="E42" s="70">
        <f>E35</f>
        <v>173908727</v>
      </c>
      <c r="G42" s="86"/>
      <c r="H42" s="60"/>
      <c r="I42" s="76"/>
    </row>
    <row r="43" spans="3:11" x14ac:dyDescent="0.75">
      <c r="C43" s="39" t="s">
        <v>37</v>
      </c>
      <c r="E43" s="81">
        <f>G89+G100</f>
        <v>1204471.2500000002</v>
      </c>
      <c r="G43" s="87"/>
      <c r="H43" s="88"/>
      <c r="I43" s="89"/>
      <c r="J43" s="90"/>
      <c r="K43" s="91"/>
    </row>
    <row r="44" spans="3:11" x14ac:dyDescent="0.75">
      <c r="C44" s="54" t="s">
        <v>38</v>
      </c>
      <c r="D44" s="55"/>
      <c r="E44" s="64">
        <f>IF(E43&gt;0,(E42/E43),0)</f>
        <v>144.38595109679866</v>
      </c>
      <c r="G44" s="56">
        <v>111</v>
      </c>
      <c r="H44" s="57">
        <f>E44-G44</f>
        <v>33.385951096798664</v>
      </c>
      <c r="I44" s="58">
        <f>H44/G44</f>
        <v>0.30077433420539335</v>
      </c>
      <c r="J44" s="90"/>
      <c r="K44" s="91"/>
    </row>
    <row r="46" spans="3:11" hidden="1" outlineLevel="1" x14ac:dyDescent="0.75">
      <c r="C46" s="92" t="s">
        <v>39</v>
      </c>
      <c r="D46" s="93"/>
      <c r="E46" s="93"/>
      <c r="F46" s="93"/>
      <c r="G46" s="93"/>
      <c r="H46" s="94"/>
    </row>
    <row r="47" spans="3:11" hidden="1" outlineLevel="1" x14ac:dyDescent="0.75">
      <c r="C47" s="95"/>
      <c r="D47" s="95"/>
      <c r="E47" s="95"/>
      <c r="F47" s="95"/>
      <c r="G47" s="95"/>
      <c r="H47" s="95"/>
    </row>
    <row r="48" spans="3:11" ht="105.25" hidden="1" outlineLevel="1" x14ac:dyDescent="0.75">
      <c r="C48" s="96"/>
      <c r="D48" s="96"/>
      <c r="E48" s="95" t="s">
        <v>40</v>
      </c>
      <c r="F48" s="97" t="s">
        <v>41</v>
      </c>
      <c r="G48" s="95" t="s">
        <v>42</v>
      </c>
      <c r="H48" s="95" t="s">
        <v>43</v>
      </c>
    </row>
    <row r="49" spans="3:8" ht="29.5" hidden="1" outlineLevel="1" x14ac:dyDescent="0.75">
      <c r="C49" s="98" t="s">
        <v>44</v>
      </c>
      <c r="D49" s="98"/>
      <c r="E49" s="97" t="s">
        <v>45</v>
      </c>
      <c r="F49" s="97" t="s">
        <v>46</v>
      </c>
      <c r="G49" s="97" t="s">
        <v>47</v>
      </c>
      <c r="H49" s="97" t="str">
        <f>CONCATENATE("(d) = (c) * $",TEXT(E55,"#,###"))</f>
        <v>(d) = (c) * $930</v>
      </c>
    </row>
    <row r="50" spans="3:8" hidden="1" outlineLevel="1" x14ac:dyDescent="0.75">
      <c r="C50" s="96" t="s">
        <v>48</v>
      </c>
      <c r="D50" s="96"/>
      <c r="E50" s="96">
        <v>1</v>
      </c>
      <c r="F50" s="99">
        <f>'[1]720| Supplemental Data'!B83</f>
        <v>59199</v>
      </c>
      <c r="G50" s="99">
        <f>F50*E50</f>
        <v>59199</v>
      </c>
      <c r="H50" s="100">
        <f>G50*$E$55</f>
        <v>55029543.221499816</v>
      </c>
    </row>
    <row r="51" spans="3:8" hidden="1" outlineLevel="1" x14ac:dyDescent="0.75">
      <c r="C51" s="96" t="s">
        <v>49</v>
      </c>
      <c r="D51" s="96"/>
      <c r="E51" s="96">
        <v>1</v>
      </c>
      <c r="F51" s="99">
        <f>'[1]720| Supplemental Data'!C83</f>
        <v>448958</v>
      </c>
      <c r="G51" s="99">
        <f>F51*E51</f>
        <v>448958</v>
      </c>
      <c r="H51" s="101">
        <f>G51*$E$55</f>
        <v>417337348.02341449</v>
      </c>
    </row>
    <row r="52" spans="3:8" hidden="1" outlineLevel="1" x14ac:dyDescent="0.75">
      <c r="C52" s="96" t="s">
        <v>50</v>
      </c>
      <c r="D52" s="96"/>
      <c r="E52" s="96">
        <v>1</v>
      </c>
      <c r="F52" s="99">
        <f>'[1]720| Supplemental Data'!D83</f>
        <v>988526</v>
      </c>
      <c r="G52" s="99">
        <f>F52*E52</f>
        <v>988526</v>
      </c>
      <c r="H52" s="101">
        <f>G52*$E$55</f>
        <v>918902924.75508583</v>
      </c>
    </row>
    <row r="53" spans="3:8" hidden="1" outlineLevel="1" x14ac:dyDescent="0.75">
      <c r="C53" s="102" t="s">
        <v>51</v>
      </c>
      <c r="D53" s="102"/>
      <c r="E53" s="103">
        <f>SUM(E50:E52)</f>
        <v>3</v>
      </c>
      <c r="F53" s="104">
        <f>SUM(F50:F52)</f>
        <v>1496683</v>
      </c>
      <c r="G53" s="104">
        <f>SUM(G50:G52)</f>
        <v>1496683</v>
      </c>
      <c r="H53" s="105">
        <f>SUM(H50:H52)</f>
        <v>1391269816</v>
      </c>
    </row>
    <row r="54" spans="3:8" hidden="1" outlineLevel="1" x14ac:dyDescent="0.75">
      <c r="C54" s="96"/>
      <c r="D54" s="96"/>
      <c r="E54" s="96"/>
      <c r="F54" s="96"/>
      <c r="G54" s="96"/>
      <c r="H54" s="96"/>
    </row>
    <row r="55" spans="3:8" hidden="1" outlineLevel="1" x14ac:dyDescent="0.75">
      <c r="C55" s="96" t="s">
        <v>52</v>
      </c>
      <c r="D55" s="96"/>
      <c r="E55" s="106">
        <v>929.56879713339436</v>
      </c>
      <c r="F55" s="96"/>
      <c r="G55" s="96"/>
      <c r="H55" s="96"/>
    </row>
    <row r="56" spans="3:8" hidden="1" outlineLevel="1" x14ac:dyDescent="0.75">
      <c r="C56" s="96"/>
      <c r="D56" s="96"/>
      <c r="E56" s="107"/>
      <c r="F56" s="96"/>
      <c r="G56" s="96"/>
      <c r="H56" s="96"/>
    </row>
    <row r="57" spans="3:8" hidden="1" outlineLevel="1" x14ac:dyDescent="0.75">
      <c r="C57" s="63" t="str">
        <f>C28</f>
        <v>Supplemental Allocation</v>
      </c>
      <c r="D57" s="63"/>
      <c r="E57" s="41">
        <f>E28</f>
        <v>1391269816</v>
      </c>
      <c r="G57" s="96"/>
      <c r="H57" s="96"/>
    </row>
    <row r="58" spans="3:8" hidden="1" outlineLevel="1" x14ac:dyDescent="0.75">
      <c r="C58" s="102" t="s">
        <v>53</v>
      </c>
      <c r="D58" s="102"/>
      <c r="E58" s="108">
        <f>E57-H53</f>
        <v>0</v>
      </c>
      <c r="G58" s="96"/>
      <c r="H58" s="96"/>
    </row>
    <row r="59" spans="3:8" hidden="1" outlineLevel="1" x14ac:dyDescent="0.75">
      <c r="C59" s="96"/>
      <c r="D59" s="96"/>
      <c r="E59" s="96"/>
      <c r="F59" s="96"/>
      <c r="G59" s="96"/>
      <c r="H59" s="96"/>
    </row>
    <row r="60" spans="3:8" hidden="1" outlineLevel="1" x14ac:dyDescent="0.75">
      <c r="C60" s="92" t="s">
        <v>54</v>
      </c>
      <c r="D60" s="93"/>
      <c r="E60" s="93"/>
      <c r="F60" s="93"/>
      <c r="G60" s="93"/>
      <c r="H60" s="94"/>
    </row>
    <row r="61" spans="3:8" hidden="1" outlineLevel="1" x14ac:dyDescent="0.75">
      <c r="C61" s="96"/>
      <c r="D61" s="96"/>
      <c r="E61" s="96"/>
      <c r="F61" s="96"/>
      <c r="G61" s="96"/>
      <c r="H61" s="96"/>
    </row>
    <row r="62" spans="3:8" ht="105.25" hidden="1" outlineLevel="1" x14ac:dyDescent="0.75">
      <c r="C62" s="96"/>
      <c r="D62" s="96"/>
      <c r="E62" s="95" t="s">
        <v>40</v>
      </c>
      <c r="F62" s="97" t="s">
        <v>41</v>
      </c>
      <c r="G62" s="95" t="s">
        <v>42</v>
      </c>
      <c r="H62" s="95" t="s">
        <v>43</v>
      </c>
    </row>
    <row r="63" spans="3:8" ht="29.5" hidden="1" outlineLevel="1" x14ac:dyDescent="0.75">
      <c r="C63" s="98" t="s">
        <v>55</v>
      </c>
      <c r="D63" s="98"/>
      <c r="E63" s="97" t="s">
        <v>45</v>
      </c>
      <c r="F63" s="97" t="s">
        <v>46</v>
      </c>
      <c r="G63" s="97" t="s">
        <v>47</v>
      </c>
      <c r="H63" s="97" t="str">
        <f>CONCATENATE("(d) = (c) * $",TEXT(E74,"#,###"))</f>
        <v>(d) = (c) * $573</v>
      </c>
    </row>
    <row r="64" spans="3:8" hidden="1" outlineLevel="1" x14ac:dyDescent="0.75">
      <c r="C64" t="s">
        <v>56</v>
      </c>
      <c r="E64">
        <v>4</v>
      </c>
      <c r="F64" s="99">
        <v>41335.333333333343</v>
      </c>
      <c r="G64" s="99">
        <f t="shared" ref="G64:G71" si="0">F64*E64</f>
        <v>165341.33333333337</v>
      </c>
      <c r="H64" s="107">
        <f t="shared" ref="H64:H71" si="1">$E$74*G64</f>
        <v>94730463.8551981</v>
      </c>
    </row>
    <row r="65" spans="3:8" hidden="1" outlineLevel="1" x14ac:dyDescent="0.75">
      <c r="C65" t="s">
        <v>57</v>
      </c>
      <c r="E65">
        <v>3</v>
      </c>
      <c r="F65" s="99">
        <v>61562.666666666657</v>
      </c>
      <c r="G65" s="99">
        <f t="shared" si="0"/>
        <v>184687.99999999997</v>
      </c>
      <c r="H65" s="101">
        <f t="shared" si="1"/>
        <v>105814919.69232629</v>
      </c>
    </row>
    <row r="66" spans="3:8" hidden="1" outlineLevel="1" x14ac:dyDescent="0.75">
      <c r="C66" t="s">
        <v>58</v>
      </c>
      <c r="E66">
        <v>3</v>
      </c>
      <c r="F66" s="99">
        <v>70.666666666666657</v>
      </c>
      <c r="G66" s="99">
        <f t="shared" si="0"/>
        <v>211.99999999999997</v>
      </c>
      <c r="H66" s="101">
        <f t="shared" si="1"/>
        <v>121463.02399058508</v>
      </c>
    </row>
    <row r="67" spans="3:8" hidden="1" outlineLevel="1" x14ac:dyDescent="0.75">
      <c r="C67" t="s">
        <v>59</v>
      </c>
      <c r="E67">
        <v>2</v>
      </c>
      <c r="F67" s="99">
        <v>20245.666666666679</v>
      </c>
      <c r="G67" s="99">
        <f t="shared" si="0"/>
        <v>40491.333333333358</v>
      </c>
      <c r="H67" s="101">
        <f t="shared" si="1"/>
        <v>23199055.623006828</v>
      </c>
    </row>
    <row r="68" spans="3:8" hidden="1" outlineLevel="1" x14ac:dyDescent="0.75">
      <c r="C68" t="s">
        <v>60</v>
      </c>
      <c r="E68">
        <v>2</v>
      </c>
      <c r="F68" s="99">
        <v>24095.666666666668</v>
      </c>
      <c r="G68" s="99">
        <f t="shared" si="0"/>
        <v>48191.333333333336</v>
      </c>
      <c r="H68" s="101">
        <f t="shared" si="1"/>
        <v>27610684.324551649</v>
      </c>
    </row>
    <row r="69" spans="3:8" hidden="1" outlineLevel="1" x14ac:dyDescent="0.75">
      <c r="C69" t="s">
        <v>61</v>
      </c>
      <c r="E69">
        <v>1.5</v>
      </c>
      <c r="F69" s="99">
        <v>68005</v>
      </c>
      <c r="G69" s="99">
        <f t="shared" si="0"/>
        <v>102007.5</v>
      </c>
      <c r="H69" s="101">
        <f t="shared" si="1"/>
        <v>58444053.866601929</v>
      </c>
    </row>
    <row r="70" spans="3:8" hidden="1" outlineLevel="1" x14ac:dyDescent="0.75">
      <c r="C70" t="s">
        <v>62</v>
      </c>
      <c r="E70">
        <v>1</v>
      </c>
      <c r="F70" s="99">
        <v>185323.33333333337</v>
      </c>
      <c r="G70" s="99">
        <f t="shared" si="0"/>
        <v>185323.33333333337</v>
      </c>
      <c r="H70" s="101">
        <f t="shared" si="1"/>
        <v>106178926.80510315</v>
      </c>
    </row>
    <row r="71" spans="3:8" hidden="1" outlineLevel="1" x14ac:dyDescent="0.75">
      <c r="C71" t="s">
        <v>63</v>
      </c>
      <c r="E71">
        <v>1</v>
      </c>
      <c r="F71" s="99">
        <v>184359.33333333334</v>
      </c>
      <c r="G71" s="99">
        <f t="shared" si="0"/>
        <v>184359.33333333334</v>
      </c>
      <c r="H71" s="101">
        <f t="shared" si="1"/>
        <v>105626613.80922142</v>
      </c>
    </row>
    <row r="72" spans="3:8" hidden="1" outlineLevel="1" x14ac:dyDescent="0.75">
      <c r="C72" s="102" t="s">
        <v>51</v>
      </c>
      <c r="D72" s="102"/>
      <c r="E72" s="103">
        <f>SUM(E64:E71)</f>
        <v>17.5</v>
      </c>
      <c r="F72" s="104">
        <f>SUM(F64:F71)</f>
        <v>584997.66666666674</v>
      </c>
      <c r="G72" s="104">
        <f>SUM(G64:G71)</f>
        <v>910614.16666666674</v>
      </c>
      <c r="H72" s="105">
        <f>SUM(H64:H71)</f>
        <v>521726180.99999988</v>
      </c>
    </row>
    <row r="73" spans="3:8" hidden="1" outlineLevel="1" x14ac:dyDescent="0.75">
      <c r="C73" s="96"/>
      <c r="D73" s="96"/>
      <c r="E73" s="96"/>
      <c r="F73" s="96"/>
      <c r="G73" s="96"/>
      <c r="H73" s="96"/>
    </row>
    <row r="74" spans="3:8" ht="29.5" hidden="1" outlineLevel="1" x14ac:dyDescent="0.75">
      <c r="C74" s="109" t="s">
        <v>64</v>
      </c>
      <c r="D74" s="109"/>
      <c r="E74" s="110">
        <v>572.93879240842023</v>
      </c>
      <c r="F74" s="96"/>
      <c r="G74" s="96"/>
      <c r="H74" s="96"/>
    </row>
    <row r="75" spans="3:8" hidden="1" outlineLevel="1" x14ac:dyDescent="0.75">
      <c r="C75" s="96"/>
      <c r="D75" s="96"/>
      <c r="E75" s="107"/>
      <c r="F75" s="96"/>
      <c r="G75" s="96"/>
      <c r="H75" s="96"/>
    </row>
    <row r="76" spans="3:8" hidden="1" outlineLevel="1" x14ac:dyDescent="0.75">
      <c r="C76" s="63" t="str">
        <f>C38</f>
        <v>Main Component</v>
      </c>
      <c r="D76" s="63"/>
      <c r="E76" s="41">
        <f>E38</f>
        <v>521726181</v>
      </c>
      <c r="G76" s="96"/>
      <c r="H76" s="96"/>
    </row>
    <row r="77" spans="3:8" hidden="1" outlineLevel="1" x14ac:dyDescent="0.75">
      <c r="C77" s="102" t="s">
        <v>53</v>
      </c>
      <c r="D77" s="102"/>
      <c r="E77" s="108">
        <f>E76-H72</f>
        <v>0</v>
      </c>
      <c r="G77" s="96"/>
      <c r="H77" s="96"/>
    </row>
    <row r="78" spans="3:8" hidden="1" outlineLevel="1" x14ac:dyDescent="0.75">
      <c r="C78" s="96"/>
      <c r="D78" s="96"/>
      <c r="E78" s="96"/>
      <c r="F78" s="96"/>
      <c r="G78" s="96"/>
      <c r="H78" s="96"/>
    </row>
    <row r="79" spans="3:8" ht="105.25" hidden="1" outlineLevel="1" x14ac:dyDescent="0.75">
      <c r="C79" s="96"/>
      <c r="D79" s="96"/>
      <c r="E79" s="95" t="s">
        <v>40</v>
      </c>
      <c r="F79" s="97" t="s">
        <v>41</v>
      </c>
      <c r="G79" s="95" t="s">
        <v>42</v>
      </c>
      <c r="H79" s="95" t="s">
        <v>43</v>
      </c>
    </row>
    <row r="80" spans="3:8" ht="29.5" hidden="1" outlineLevel="1" x14ac:dyDescent="0.75">
      <c r="C80" s="98" t="s">
        <v>49</v>
      </c>
      <c r="D80" s="98"/>
      <c r="E80" s="97" t="s">
        <v>45</v>
      </c>
      <c r="F80" s="97" t="s">
        <v>46</v>
      </c>
      <c r="G80" s="97" t="s">
        <v>47</v>
      </c>
      <c r="H80" s="97" t="str">
        <f>CONCATENATE("(d) = (c) * $",TEXT(E102,"#,###"))</f>
        <v>(d) = (c) * $144</v>
      </c>
    </row>
    <row r="81" spans="3:8" hidden="1" outlineLevel="1" x14ac:dyDescent="0.75">
      <c r="C81" t="s">
        <v>56</v>
      </c>
      <c r="E81">
        <v>6</v>
      </c>
      <c r="F81" s="99">
        <v>22725.333333333336</v>
      </c>
      <c r="G81" s="99">
        <f>F81*E81</f>
        <v>136352</v>
      </c>
      <c r="H81" s="107">
        <f t="shared" ref="H81:H88" si="2">$E$102*G81</f>
        <v>19687313.203950692</v>
      </c>
    </row>
    <row r="82" spans="3:8" hidden="1" outlineLevel="1" x14ac:dyDescent="0.75">
      <c r="C82" t="s">
        <v>57</v>
      </c>
      <c r="E82">
        <v>4.5</v>
      </c>
      <c r="F82" s="99">
        <v>33490.333333333343</v>
      </c>
      <c r="G82" s="99">
        <f t="shared" ref="G82:G88" si="3">F82*E82</f>
        <v>150706.50000000006</v>
      </c>
      <c r="H82" s="101">
        <f t="shared" si="2"/>
        <v>21759901.338969696</v>
      </c>
    </row>
    <row r="83" spans="3:8" hidden="1" outlineLevel="1" x14ac:dyDescent="0.75">
      <c r="C83" t="s">
        <v>58</v>
      </c>
      <c r="E83">
        <v>4.5</v>
      </c>
      <c r="F83" s="99">
        <v>33.333333333333336</v>
      </c>
      <c r="G83" s="99">
        <f t="shared" si="3"/>
        <v>150</v>
      </c>
      <c r="H83" s="101">
        <f t="shared" si="2"/>
        <v>21657.892664519801</v>
      </c>
    </row>
    <row r="84" spans="3:8" hidden="1" outlineLevel="1" x14ac:dyDescent="0.75">
      <c r="C84" t="s">
        <v>59</v>
      </c>
      <c r="E84">
        <v>3</v>
      </c>
      <c r="F84" s="99">
        <v>9376.6666666666679</v>
      </c>
      <c r="G84" s="99">
        <f t="shared" si="3"/>
        <v>28130.000000000004</v>
      </c>
      <c r="H84" s="101">
        <f t="shared" si="2"/>
        <v>4061576.804352947</v>
      </c>
    </row>
    <row r="85" spans="3:8" hidden="1" outlineLevel="1" x14ac:dyDescent="0.75">
      <c r="C85" t="s">
        <v>60</v>
      </c>
      <c r="E85">
        <v>3</v>
      </c>
      <c r="F85" s="99">
        <v>8522.6666666666661</v>
      </c>
      <c r="G85" s="99">
        <f t="shared" si="3"/>
        <v>25568</v>
      </c>
      <c r="H85" s="101">
        <f t="shared" si="2"/>
        <v>3691659.9976429483</v>
      </c>
    </row>
    <row r="86" spans="3:8" hidden="1" outlineLevel="1" x14ac:dyDescent="0.75">
      <c r="C86" t="s">
        <v>61</v>
      </c>
      <c r="E86">
        <v>2.25</v>
      </c>
      <c r="F86" s="99">
        <v>32186.333333333325</v>
      </c>
      <c r="G86" s="99">
        <f t="shared" si="3"/>
        <v>72419.249999999985</v>
      </c>
      <c r="H86" s="101">
        <f t="shared" si="2"/>
        <v>10456322.288966835</v>
      </c>
    </row>
    <row r="87" spans="3:8" hidden="1" outlineLevel="1" x14ac:dyDescent="0.75">
      <c r="C87" t="s">
        <v>62</v>
      </c>
      <c r="E87">
        <v>1.5</v>
      </c>
      <c r="F87" s="99">
        <v>83658.333333333358</v>
      </c>
      <c r="G87" s="99">
        <f t="shared" si="3"/>
        <v>125487.50000000003</v>
      </c>
      <c r="H87" s="101">
        <f t="shared" si="2"/>
        <v>18118632.038259525</v>
      </c>
    </row>
    <row r="88" spans="3:8" hidden="1" outlineLevel="1" x14ac:dyDescent="0.75">
      <c r="C88" t="s">
        <v>63</v>
      </c>
      <c r="E88">
        <v>1.5</v>
      </c>
      <c r="F88" s="99">
        <v>49276.000000000015</v>
      </c>
      <c r="G88" s="99">
        <f t="shared" si="3"/>
        <v>73914.000000000029</v>
      </c>
      <c r="H88" s="101">
        <f t="shared" si="2"/>
        <v>10672143.189368781</v>
      </c>
    </row>
    <row r="89" spans="3:8" hidden="1" outlineLevel="1" x14ac:dyDescent="0.75">
      <c r="C89" s="102" t="s">
        <v>51</v>
      </c>
      <c r="D89" s="102"/>
      <c r="E89" s="103">
        <f>SUM(E81:E88)</f>
        <v>26.25</v>
      </c>
      <c r="F89" s="104">
        <f>SUM(F81:F88)</f>
        <v>239269.00000000006</v>
      </c>
      <c r="G89" s="104">
        <f>SUM(G81:G88)</f>
        <v>612727.25000000012</v>
      </c>
      <c r="H89" s="105">
        <f>SUM(H81:H88)</f>
        <v>88469206.754175946</v>
      </c>
    </row>
    <row r="90" spans="3:8" hidden="1" outlineLevel="1" x14ac:dyDescent="0.75">
      <c r="C90" s="96"/>
      <c r="D90" s="96"/>
      <c r="E90" s="96"/>
      <c r="F90" s="96"/>
      <c r="G90" s="96"/>
      <c r="H90" s="96"/>
    </row>
    <row r="91" spans="3:8" hidden="1" outlineLevel="1" x14ac:dyDescent="0.75">
      <c r="C91" s="98" t="s">
        <v>50</v>
      </c>
      <c r="D91" s="98"/>
      <c r="E91" s="96"/>
      <c r="F91" s="96"/>
      <c r="G91" s="96"/>
      <c r="H91" s="96"/>
    </row>
    <row r="92" spans="3:8" hidden="1" outlineLevel="1" x14ac:dyDescent="0.75">
      <c r="C92" t="s">
        <v>56</v>
      </c>
      <c r="E92">
        <v>4</v>
      </c>
      <c r="F92" s="101">
        <v>30664.333333333339</v>
      </c>
      <c r="G92" s="101">
        <f>F92*E92</f>
        <v>122657.33333333336</v>
      </c>
      <c r="H92" s="101">
        <f t="shared" ref="H92:H99" si="4">G92*$E$102</f>
        <v>17709995.732330404</v>
      </c>
    </row>
    <row r="93" spans="3:8" hidden="1" outlineLevel="1" x14ac:dyDescent="0.75">
      <c r="C93" t="s">
        <v>57</v>
      </c>
      <c r="E93">
        <v>3</v>
      </c>
      <c r="F93" s="101">
        <v>46101.333333333321</v>
      </c>
      <c r="G93" s="101">
        <f t="shared" ref="G93:G99" si="5">F93*E93</f>
        <v>138303.99999999997</v>
      </c>
      <c r="H93" s="101">
        <f t="shared" si="4"/>
        <v>19969154.58049164</v>
      </c>
    </row>
    <row r="94" spans="3:8" hidden="1" outlineLevel="1" x14ac:dyDescent="0.75">
      <c r="C94" t="s">
        <v>58</v>
      </c>
      <c r="E94">
        <v>3</v>
      </c>
      <c r="F94" s="101">
        <v>55.999999999999993</v>
      </c>
      <c r="G94" s="101">
        <f t="shared" si="5"/>
        <v>167.99999999999997</v>
      </c>
      <c r="H94" s="101">
        <f t="shared" si="4"/>
        <v>24256.839784262171</v>
      </c>
    </row>
    <row r="95" spans="3:8" hidden="1" outlineLevel="1" x14ac:dyDescent="0.75">
      <c r="C95" t="s">
        <v>59</v>
      </c>
      <c r="E95">
        <v>2</v>
      </c>
      <c r="F95" s="101">
        <v>13667.000000000002</v>
      </c>
      <c r="G95" s="101">
        <f t="shared" si="5"/>
        <v>27334.000000000004</v>
      </c>
      <c r="H95" s="101">
        <f t="shared" si="4"/>
        <v>3946645.5872798953</v>
      </c>
    </row>
    <row r="96" spans="3:8" hidden="1" outlineLevel="1" x14ac:dyDescent="0.75">
      <c r="C96" t="s">
        <v>60</v>
      </c>
      <c r="E96">
        <v>2</v>
      </c>
      <c r="F96" s="101">
        <v>12594.999999999996</v>
      </c>
      <c r="G96" s="101">
        <f t="shared" si="5"/>
        <v>25189.999999999993</v>
      </c>
      <c r="H96" s="101">
        <f t="shared" si="4"/>
        <v>3637082.1081283572</v>
      </c>
    </row>
    <row r="97" spans="3:9" hidden="1" outlineLevel="1" x14ac:dyDescent="0.75">
      <c r="C97" t="s">
        <v>61</v>
      </c>
      <c r="E97">
        <v>1.5</v>
      </c>
      <c r="F97" s="101">
        <v>44228.000000000022</v>
      </c>
      <c r="G97" s="101">
        <f t="shared" si="5"/>
        <v>66342.000000000029</v>
      </c>
      <c r="H97" s="101">
        <f t="shared" si="4"/>
        <v>9578852.7676638216</v>
      </c>
    </row>
    <row r="98" spans="3:9" hidden="1" outlineLevel="1" x14ac:dyDescent="0.75">
      <c r="C98" t="s">
        <v>62</v>
      </c>
      <c r="E98">
        <v>1</v>
      </c>
      <c r="F98" s="101">
        <v>123803.00000000006</v>
      </c>
      <c r="G98" s="101">
        <f t="shared" si="5"/>
        <v>123803.00000000006</v>
      </c>
      <c r="H98" s="101">
        <f t="shared" si="4"/>
        <v>17875413.903636973</v>
      </c>
    </row>
    <row r="99" spans="3:9" hidden="1" outlineLevel="1" x14ac:dyDescent="0.75">
      <c r="C99" t="s">
        <v>63</v>
      </c>
      <c r="E99">
        <v>1</v>
      </c>
      <c r="F99" s="101">
        <v>87945.666666666657</v>
      </c>
      <c r="G99" s="101">
        <f t="shared" si="5"/>
        <v>87945.666666666657</v>
      </c>
      <c r="H99" s="101">
        <f t="shared" si="4"/>
        <v>12698118.726508688</v>
      </c>
    </row>
    <row r="100" spans="3:9" hidden="1" outlineLevel="1" x14ac:dyDescent="0.75">
      <c r="C100" s="102" t="s">
        <v>51</v>
      </c>
      <c r="D100" s="102"/>
      <c r="E100" s="103">
        <f>SUM(E92:E99)</f>
        <v>17.5</v>
      </c>
      <c r="F100" s="104">
        <f>SUM(F92:F99)</f>
        <v>359060.33333333337</v>
      </c>
      <c r="G100" s="104">
        <f>SUM(G92:G99)</f>
        <v>591744.00000000012</v>
      </c>
      <c r="H100" s="105">
        <f>SUM(H92:H99)</f>
        <v>85439520.245824039</v>
      </c>
    </row>
    <row r="101" spans="3:9" hidden="1" outlineLevel="1" x14ac:dyDescent="0.75">
      <c r="C101" s="96"/>
      <c r="D101" s="96"/>
      <c r="E101" s="96"/>
      <c r="F101" s="96"/>
      <c r="G101" s="96"/>
      <c r="H101" s="96"/>
    </row>
    <row r="102" spans="3:9" hidden="1" outlineLevel="1" x14ac:dyDescent="0.75">
      <c r="C102" s="109" t="s">
        <v>65</v>
      </c>
      <c r="D102" s="109"/>
      <c r="E102" s="111">
        <v>144.38595109679866</v>
      </c>
      <c r="F102" s="96"/>
      <c r="G102" s="112"/>
      <c r="H102" s="107"/>
      <c r="I102" s="25"/>
    </row>
    <row r="103" spans="3:9" hidden="1" outlineLevel="1" x14ac:dyDescent="0.75">
      <c r="C103" s="96"/>
      <c r="D103" s="96"/>
      <c r="E103" s="107"/>
      <c r="F103" s="96"/>
      <c r="G103" s="96"/>
      <c r="H103" s="96"/>
    </row>
    <row r="104" spans="3:9" hidden="1" outlineLevel="1" x14ac:dyDescent="0.75">
      <c r="C104" s="63" t="str">
        <f>C42</f>
        <v>Equity Component</v>
      </c>
      <c r="D104" s="63"/>
      <c r="E104" s="41">
        <f>E42</f>
        <v>173908727</v>
      </c>
      <c r="G104" s="96"/>
      <c r="H104" s="96"/>
    </row>
    <row r="105" spans="3:9" hidden="1" outlineLevel="1" x14ac:dyDescent="0.75">
      <c r="C105" s="102" t="s">
        <v>53</v>
      </c>
      <c r="D105" s="102"/>
      <c r="E105" s="108">
        <f>E104-H100-H89</f>
        <v>0</v>
      </c>
      <c r="G105" s="96"/>
    </row>
    <row r="106" spans="3:9" collapsed="1" x14ac:dyDescent="0.75">
      <c r="C106" s="102"/>
      <c r="D106" s="102"/>
      <c r="E106" s="107"/>
      <c r="G106" s="96"/>
      <c r="I106" s="95"/>
    </row>
    <row r="107" spans="3:9" x14ac:dyDescent="0.75">
      <c r="I107" s="113"/>
    </row>
    <row r="108" spans="3:9" x14ac:dyDescent="0.75">
      <c r="I108" s="113"/>
    </row>
    <row r="109" spans="3:9" x14ac:dyDescent="0.75">
      <c r="I109" s="114"/>
    </row>
    <row r="110" spans="3:9" x14ac:dyDescent="0.75">
      <c r="I110" s="114"/>
    </row>
    <row r="111" spans="3:9" x14ac:dyDescent="0.75">
      <c r="I111" s="114"/>
    </row>
    <row r="112" spans="3:9" x14ac:dyDescent="0.75">
      <c r="I112" s="114"/>
    </row>
    <row r="115" spans="1:2" x14ac:dyDescent="0.75">
      <c r="A115" s="31"/>
      <c r="B115" s="31"/>
    </row>
    <row r="118" spans="1:2" s="31" customFormat="1" x14ac:dyDescent="0.75">
      <c r="A118"/>
      <c r="B118"/>
    </row>
  </sheetData>
  <mergeCells count="2">
    <mergeCell ref="C46:H46"/>
    <mergeCell ref="C60:H60"/>
  </mergeCells>
  <pageMargins left="0.25" right="0.25" top="0.75" bottom="0.75" header="0.3" footer="0.3"/>
  <pageSetup orientation="portrait" r:id="rId1"/>
  <headerFooter>
    <oddHeader>&amp;LCalifornia Community College&amp;CNot for Distribution&amp;RONLY Estimates
As of October 10, 2019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801| 2019-20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Darcie Harvey</dc:creator>
  <cp:lastModifiedBy>Darcie Harvey</cp:lastModifiedBy>
  <cp:lastPrinted>2019-10-10T23:28:27Z</cp:lastPrinted>
  <dcterms:created xsi:type="dcterms:W3CDTF">2019-10-10T23:19:59Z</dcterms:created>
  <dcterms:modified xsi:type="dcterms:W3CDTF">2019-10-10T23:28:46Z</dcterms:modified>
</cp:coreProperties>
</file>