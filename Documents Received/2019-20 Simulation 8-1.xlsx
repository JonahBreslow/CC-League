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autoCompressPictures="0"/>
  <mc:AlternateContent xmlns:mc="http://schemas.openxmlformats.org/markup-compatibility/2006">
    <mc:Choice Requires="x15">
      <x15ac:absPath xmlns:x15ac="http://schemas.microsoft.com/office/spreadsheetml/2010/11/ac" url="C:\Users\10294029\Documents\GitHub\CC-League\Documents Received\"/>
    </mc:Choice>
  </mc:AlternateContent>
  <bookViews>
    <workbookView xWindow="21375" yWindow="0" windowWidth="25605" windowHeight="15600" firstSheet="1" activeTab="2"/>
  </bookViews>
  <sheets>
    <sheet name="1. Data Dictionary" sheetId="14" r:id="rId1"/>
    <sheet name="2. Weighting" sheetId="3" r:id="rId2"/>
    <sheet name="Differential Districts" sheetId="24" r:id="rId3"/>
    <sheet name="3. HH-Total" sheetId="12" r:id="rId4"/>
    <sheet name="4. Compare" sheetId="13" r:id="rId5"/>
    <sheet name="5. Base Allocation" sheetId="5" r:id="rId6"/>
    <sheet name="5a. Base Counts" sheetId="8" r:id="rId7"/>
    <sheet name="5b. Base Hist" sheetId="25" r:id="rId8"/>
    <sheet name="6. Supplemental Allocation" sheetId="6" r:id="rId9"/>
    <sheet name="6a. Supp Counts" sheetId="9" r:id="rId10"/>
    <sheet name="6a1. Supp growth" sheetId="16" r:id="rId11"/>
    <sheet name="7. Success Allocation" sheetId="7" r:id="rId12"/>
    <sheet name="7a. Success 3 yr" sheetId="22" r:id="rId13"/>
    <sheet name="7b. Success proj 1819" sheetId="10" r:id="rId14"/>
    <sheet name="7b1 Success growth" sheetId="17" r:id="rId15"/>
    <sheet name="7c. Success counts 1718" sheetId="18" r:id="rId16"/>
    <sheet name="7d Success counts 1617" sheetId="19"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CCC10">#REF!</definedName>
    <definedName name="_CCC2">#REF!</definedName>
    <definedName name="_CCC3">#REF!</definedName>
    <definedName name="_CCC4">#REF!</definedName>
    <definedName name="_CCC5">#REF!</definedName>
    <definedName name="_CCC6">#REF!</definedName>
    <definedName name="_CCC7">#REF!</definedName>
    <definedName name="_CCC8">#REF!</definedName>
    <definedName name="_CCC9">#REF!</definedName>
    <definedName name="_Dist_Bin" hidden="1">#REF!</definedName>
    <definedName name="_Dist_Values" hidden="1">#REF!</definedName>
    <definedName name="_Fill" hidden="1">#REF!</definedName>
    <definedName name="_mo12">#REF!</definedName>
    <definedName name="_MO5">#REF!</definedName>
    <definedName name="_mo7">#REF!</definedName>
    <definedName name="_NSA1">#REF!</definedName>
    <definedName name="_NSA10">#REF!</definedName>
    <definedName name="_NSA2">#REF!</definedName>
    <definedName name="_NSA3">#REF!</definedName>
    <definedName name="_NSA4">#REF!</definedName>
    <definedName name="_NSA5">#REF!</definedName>
    <definedName name="_NSA6">#REF!</definedName>
    <definedName name="_NSA7">#REF!</definedName>
    <definedName name="_NSA8">#REF!</definedName>
    <definedName name="_NSA9">#REF!</definedName>
    <definedName name="_Sort" hidden="1">#REF!</definedName>
    <definedName name="_X1">'[1]06-00'!#REF!</definedName>
    <definedName name="_X11">#REF!</definedName>
    <definedName name="a">#REF!</definedName>
    <definedName name="Actual_PtaxandERAF_Report">#REF!</definedName>
    <definedName name="Analysis_Actuals" comment="Data used for Review">'[2] Analysis for Actuals'!$B$10:$J$81</definedName>
    <definedName name="azaz">#REF!</definedName>
    <definedName name="CALGRANT_FALLSPRING">#REF!</definedName>
    <definedName name="CCC_BASE_92">#REF!</definedName>
    <definedName name="CCC_BASE_93">#REF!</definedName>
    <definedName name="CCC_BASE_94">#REF!</definedName>
    <definedName name="CO_APPORT_REV_9">#REF!</definedName>
    <definedName name="CO_NET_LR_86">#REF!</definedName>
    <definedName name="CO_NET_LR_87">#REF!</definedName>
    <definedName name="CO_NET_LR_88">#REF!</definedName>
    <definedName name="CO_NET_LR_89">#REF!</definedName>
    <definedName name="CO_NET_LR_90">#REF!</definedName>
    <definedName name="CO_P98_LR_93">#REF!</definedName>
    <definedName name="CO_P98_LR_94">#REF!</definedName>
    <definedName name="CO_SE_SHARE_92">#REF!</definedName>
    <definedName name="CO_SE_SHARE_93">#REF!</definedName>
    <definedName name="CO_SE_SHARE_94">#REF!</definedName>
    <definedName name="CO_SE_TR_91">#REF!</definedName>
    <definedName name="CO_SE_TR_92">#REF!</definedName>
    <definedName name="CO_SE_TR_93">#REF!</definedName>
    <definedName name="CO_SE_TR_94">#REF!</definedName>
    <definedName name="CO_SHIFT_92">#REF!</definedName>
    <definedName name="CO_SHIFT_93">#REF!</definedName>
    <definedName name="CO_SHIFT_94">#REF!</definedName>
    <definedName name="CO_TR_91">#REF!</definedName>
    <definedName name="CO_TR_92">#REF!</definedName>
    <definedName name="CO_TR_93">#REF!</definedName>
    <definedName name="CO_TR_94">#REF!</definedName>
    <definedName name="COUNTY_PTAX">'[3]1d.County ptax11-15-2015'!$D$2:$AP$247</definedName>
    <definedName name="COUNTYERAFREPORT" comment="use for website exhibit">[4]!NEWERAFModPtax6[[Left Blank]:[Total Positive ERAF to Distribute]]</definedName>
    <definedName name="CountyTOT_PTR_A">#REF!</definedName>
    <definedName name="d">#REF!</definedName>
    <definedName name="Data_Actuals" comment="Use for Review">'[2]EF2016-2017P3 (Actuals)'!$B$8:$M$79</definedName>
    <definedName name="_xlnm.Database">#REF!</definedName>
    <definedName name="Database_MI">#REF!</definedName>
    <definedName name="dental">#REF!</definedName>
    <definedName name="District_FTES">'[3]APPORTIONMENT REPORT_1.26.16'!$A$8:$E$79</definedName>
    <definedName name="DISTRICT_Summary">'[3]1c.DistrictAlpha ptax11-15-2015'!$C$2:$AW$287</definedName>
    <definedName name="District_Summary04_15_2016">'[5]1c.DistrictAlpha ptax04-15-2016'!$C$3:$AP$285</definedName>
    <definedName name="District311FinalTable">#REF!</definedName>
    <definedName name="DistrictAlpha" comment="Used in Tax Proration tab">'[6]2a.DistrictAlpha ptax'!$C$1:$AW$288+'[6]2a.DistrictAlpha ptax'!$C$138:$AW$286</definedName>
    <definedName name="DIstrictAlpha_2a">'[6]2a.DistrictAlpha ptax'!$C$3:$AW$286</definedName>
    <definedName name="DistrictPvtERAF_Ptax">[4]DistrictPvtERAF_Ptax!$A$4:$C$75</definedName>
    <definedName name="DLR_EXCESS_92">#REF!</definedName>
    <definedName name="DLR_EXCESS_93">#REF!</definedName>
    <definedName name="DLR_EXCESS_94">#REF!</definedName>
    <definedName name="dumb">#REF!</definedName>
    <definedName name="EstdPos501BU12_13UniformParks">#REF!</definedName>
    <definedName name="_xlnm.Extract">#REF!</definedName>
    <definedName name="Extract_MI">#REF!</definedName>
    <definedName name="f">#REF!</definedName>
    <definedName name="FinalEstimatedCCD_ERAFandonlyproptax">'[6]1k.CCDPivotTableERAF&amp;PropTAX2'!$A$4:$C$75</definedName>
    <definedName name="five">#REF!</definedName>
    <definedName name="FIXED1">#REF!</definedName>
    <definedName name="four">#REF!</definedName>
    <definedName name="III">'[1]06-00'!#REF!</definedName>
    <definedName name="IN_MIL">#REF!</definedName>
    <definedName name="IN_THOUS">#REF!</definedName>
    <definedName name="intract">#REF!</definedName>
    <definedName name="IV">'[1]06-00'!#REF!</definedName>
    <definedName name="jj">#REF!</definedName>
    <definedName name="jjj">#REF!</definedName>
    <definedName name="K12_1">#REF!</definedName>
    <definedName name="K12_10">#REF!</definedName>
    <definedName name="K12_2">#REF!</definedName>
    <definedName name="K12_3">#REF!</definedName>
    <definedName name="K12_4">#REF!</definedName>
    <definedName name="K12_5">#REF!</definedName>
    <definedName name="K12_6">#REF!</definedName>
    <definedName name="K12_7">#REF!</definedName>
    <definedName name="K12_8">#REF!</definedName>
    <definedName name="K12_9">#REF!</definedName>
    <definedName name="K12_SHIFT_92">#REF!</definedName>
    <definedName name="K12_SHIFT_93">#REF!</definedName>
    <definedName name="K12_SHIFT_94">#REF!</definedName>
    <definedName name="Lookup_RequestbyCategory">[7]!Table7[Expenditure By Category]</definedName>
    <definedName name="Med">#REF!</definedName>
    <definedName name="MedaSS">#REF!</definedName>
    <definedName name="MedOnly">#REF!</definedName>
    <definedName name="MedwSS">#REF!</definedName>
    <definedName name="MINUS1">#REF!</definedName>
    <definedName name="Misc">#REF!</definedName>
    <definedName name="MO">#REF!</definedName>
    <definedName name="new">#REF!</definedName>
    <definedName name="no">#REF!</definedName>
    <definedName name="old">#REF!</definedName>
    <definedName name="one">#REF!</definedName>
    <definedName name="P98_ADA_88_CH">#REF!</definedName>
    <definedName name="P98_ADA_88_D">#REF!</definedName>
    <definedName name="P98_ADA_89_CH">#REF!</definedName>
    <definedName name="P98_ADA_89_D">#REF!</definedName>
    <definedName name="P98_ADA_90_CH">#REF!</definedName>
    <definedName name="P98_ADA_90_D">#REF!</definedName>
    <definedName name="P98_ADA_91_CH">#REF!</definedName>
    <definedName name="P98_ADA_91_D">#REF!</definedName>
    <definedName name="P98_ADA_92_CH">#REF!</definedName>
    <definedName name="P98_ADA_92_D">#REF!</definedName>
    <definedName name="P98_ADA_92_T">#REF!</definedName>
    <definedName name="P98_ADA_93_CH">#REF!</definedName>
    <definedName name="P98_ADA_93_D">#REF!</definedName>
    <definedName name="P98_ADA_94_CH">#REF!</definedName>
    <definedName name="P98_ADA_94_D">#REF!</definedName>
    <definedName name="P98_ADA_95_CH">#REF!</definedName>
    <definedName name="P98_ADA_95_D">#REF!</definedName>
    <definedName name="P98_CLR_86">#REF!</definedName>
    <definedName name="P98_CLR_87">#REF!</definedName>
    <definedName name="P98_CLR_88">#REF!</definedName>
    <definedName name="P98_CLR_89">#REF!</definedName>
    <definedName name="P98_CLR_90">#REF!</definedName>
    <definedName name="P98_CLR_91">#REF!</definedName>
    <definedName name="P98_CLR_92">#REF!</definedName>
    <definedName name="P98_CLR_93">#REF!</definedName>
    <definedName name="P98_CLR_94">#REF!</definedName>
    <definedName name="P98_CO_TR_91">#REF!</definedName>
    <definedName name="P98_CO_TR_92">#REF!</definedName>
    <definedName name="P98_CO_TR_93">#REF!</definedName>
    <definedName name="P98_CO_TR_94">#REF!</definedName>
    <definedName name="P98_DLR_86">#REF!</definedName>
    <definedName name="P98_DLR_87">#REF!</definedName>
    <definedName name="P98_DLR_88">#REF!</definedName>
    <definedName name="P98_DLR_89">#REF!</definedName>
    <definedName name="P98_DLR_90">#REF!</definedName>
    <definedName name="P98_DLR_91">#REF!</definedName>
    <definedName name="P98_DLR_92">#REF!</definedName>
    <definedName name="P98_DLR_93">#REF!</definedName>
    <definedName name="P98_DLR_94">#REF!</definedName>
    <definedName name="P98_LR_86">#REF!</definedName>
    <definedName name="P98_LR_87">#REF!</definedName>
    <definedName name="P98_LR_88">#REF!</definedName>
    <definedName name="P98_LR_89">#REF!</definedName>
    <definedName name="P98_LR_90">#REF!</definedName>
    <definedName name="P98_LR_91">#REF!</definedName>
    <definedName name="P98_LR_92">#REF!</definedName>
    <definedName name="P98_LR_93">#REF!</definedName>
    <definedName name="P98_LR_94">#REF!</definedName>
    <definedName name="PELL_FALLSPRING">#REF!</definedName>
    <definedName name="pp">'[8]Don''t Change Lists'!$D$3:$D$5</definedName>
    <definedName name="pppppp">'[8]Don''t Change Lists'!$A$3:$A$6</definedName>
    <definedName name="_xlnm.Print_Titles" localSheetId="0">'1. Data Dictionary'!$1:$2</definedName>
    <definedName name="Qry183_501BU12_13_ParksUniform">#REF!</definedName>
    <definedName name="QryPosBen701BU12_13Uniform">#REF!</definedName>
    <definedName name="QryTbl183DepAtGIII_IV">'[1]06-00'!#REF!</definedName>
    <definedName name="QyEstPos501BU4CallCtrPay">#REF!</definedName>
    <definedName name="Redistribution">[4]!NEWERAFModPtax[[#Headers],[Redistribution of Tax Proration
(the idea is to bring all Tax proation as equal as possible, by distributing to the lowest first)2]]</definedName>
    <definedName name="s">#REF!</definedName>
    <definedName name="Safety">#REF!</definedName>
    <definedName name="SHIFT92_IN_93">#REF!</definedName>
    <definedName name="SHIFT92_IN_94">#REF!</definedName>
    <definedName name="SHIFT93_IN_93">#REF!</definedName>
    <definedName name="SHIFT93_IN_94">#REF!</definedName>
    <definedName name="solver_adj" localSheetId="1" hidden="1">'2. Weighting'!$B$3</definedName>
    <definedName name="solver_cvg" localSheetId="1" hidden="1">0.0001</definedName>
    <definedName name="solver_drv" localSheetId="1" hidden="1">2</definedName>
    <definedName name="solver_eng" localSheetId="1" hidden="1">1</definedName>
    <definedName name="solver_est" localSheetId="1" hidden="1">1</definedName>
    <definedName name="solver_itr" localSheetId="1" hidden="1">2147483647</definedName>
    <definedName name="solver_lhs1" localSheetId="1" hidden="1">'2. Weighting'!$C$6</definedName>
    <definedName name="solver_lhs2" localSheetId="1" hidden="1">'2. Weighting'!$C$7</definedName>
    <definedName name="solver_lhs3" localSheetId="1" hidden="1">'2. Weighting'!$C$8</definedName>
    <definedName name="solver_lhs4" localSheetId="1" hidden="1">'2. Weighting'!$C$8</definedName>
    <definedName name="solver_lhs5" localSheetId="1" hidden="1">'2. Weighting'!$H$4</definedName>
    <definedName name="solver_lhs6" localSheetId="1" hidden="1">'2. Weighting'!$H$4</definedName>
    <definedName name="solver_lhs7" localSheetId="1" hidden="1">'2. Weighting'!$H$4</definedName>
    <definedName name="solver_lhs8" localSheetId="1" hidden="1">'2. Weighting'!$H$4</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5</definedName>
    <definedName name="solver_nwt" localSheetId="1" hidden="1">1</definedName>
    <definedName name="solver_opt" localSheetId="1" hidden="1">'2. Weighting'!$H$3</definedName>
    <definedName name="solver_pre" localSheetId="1" hidden="1">0.000001</definedName>
    <definedName name="solver_rbv" localSheetId="1" hidden="1">2</definedName>
    <definedName name="solver_rel1" localSheetId="1" hidden="1">1</definedName>
    <definedName name="solver_rel2" localSheetId="1" hidden="1">3</definedName>
    <definedName name="solver_rel3" localSheetId="1" hidden="1">1</definedName>
    <definedName name="solver_rel4" localSheetId="1" hidden="1">3</definedName>
    <definedName name="solver_rel5" localSheetId="1" hidden="1">1</definedName>
    <definedName name="solver_rel6" localSheetId="1" hidden="1">1</definedName>
    <definedName name="solver_rel7" localSheetId="1" hidden="1">2</definedName>
    <definedName name="solver_rel8" localSheetId="1" hidden="1">2</definedName>
    <definedName name="solver_rhs1" localSheetId="1" hidden="1">0.71</definedName>
    <definedName name="solver_rhs2" localSheetId="1" hidden="1">0.19</definedName>
    <definedName name="solver_rhs3" localSheetId="1" hidden="1">0.11</definedName>
    <definedName name="solver_rhs4" localSheetId="1" hidden="1">0.9</definedName>
    <definedName name="solver_rhs5" localSheetId="1" hidden="1">0.71</definedName>
    <definedName name="solver_rhs6" localSheetId="1" hidden="1">0.71</definedName>
    <definedName name="solver_rhs7" localSheetId="1" hidden="1">'2. Weighting'!$H$6</definedName>
    <definedName name="solver_rhs8" localSheetId="1" hidden="1">'2. Weighting'!$H$6</definedName>
    <definedName name="solver_rlx" localSheetId="1" hidden="1">2</definedName>
    <definedName name="solver_rsd" localSheetId="1" hidden="1">0</definedName>
    <definedName name="solver_scl" localSheetId="1" hidden="1">2</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7324998716.22475</definedName>
    <definedName name="solver_ver" localSheetId="1" hidden="1">3</definedName>
    <definedName name="SPED_SHIFT_92">#REF!</definedName>
    <definedName name="SPED_SHIFT_93">#REF!</definedName>
    <definedName name="SPED_SHIFT_94">#REF!</definedName>
    <definedName name="Spring201516CCD_ERAFandonlyproptax">'[5]1k.CCDPivotTableERAF&amp;PropTAX2'!$A$4:$C$75</definedName>
    <definedName name="SSA">#REF!</definedName>
    <definedName name="Staffname">#REF!</definedName>
    <definedName name="SUB_DLR_92">#REF!</definedName>
    <definedName name="SUB_DLR_93">#REF!</definedName>
    <definedName name="SUB_DLR_94">#REF!</definedName>
    <definedName name="Tax_Proration">'[3]1h.Tax_Proration'!$C$2:$G$73</definedName>
    <definedName name="teamLead">#REF!</definedName>
    <definedName name="three">#REF!</definedName>
    <definedName name="TOT_CO_REV_85">#REF!</definedName>
    <definedName name="TOT_CO_REV_86">#REF!</definedName>
    <definedName name="TOT_CO_REV_87">#REF!</definedName>
    <definedName name="TOT_CO_REV_88">#REF!</definedName>
    <definedName name="TOT_CO_REV_89">#REF!</definedName>
    <definedName name="TOT_CO_REV_90">#REF!</definedName>
    <definedName name="TOT_CO_SE_85">#REF!</definedName>
    <definedName name="TOT_CO_SE_86">#REF!</definedName>
    <definedName name="TOT_CO_SE_87">#REF!</definedName>
    <definedName name="TOT_CO_SE_88">#REF!</definedName>
    <definedName name="TOT_CO_SE_89">#REF!</definedName>
    <definedName name="TOT_CO_SE_90">#REF!</definedName>
    <definedName name="TOT_DLR_86">#REF!</definedName>
    <definedName name="TOT_DLR_87">#REF!</definedName>
    <definedName name="TOT_DLR_88">#REF!</definedName>
    <definedName name="TOT_DLR_89">#REF!</definedName>
    <definedName name="TOT_DLR_90">#REF!</definedName>
    <definedName name="TOT_DLR_91">#REF!</definedName>
    <definedName name="TOT_SHIFT_92">#REF!</definedName>
    <definedName name="two">#REF!</definedName>
    <definedName name="user">#REF!</definedName>
    <definedName name="x">#REF!</definedName>
    <definedName name="y">#REF!</definedName>
    <definedName name="z">#REF!</definedName>
  </definedNames>
  <calcPr calcId="162913" iterateCount="150"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82" i="25" l="1"/>
  <c r="G82" i="25"/>
  <c r="T82" i="25"/>
  <c r="Z82" i="25"/>
  <c r="B77" i="8"/>
  <c r="N12" i="25"/>
  <c r="G12" i="25"/>
  <c r="T12" i="25"/>
  <c r="Z12" i="25"/>
  <c r="B7" i="8"/>
  <c r="N13" i="25"/>
  <c r="G13" i="25"/>
  <c r="T13" i="25"/>
  <c r="Z13" i="25"/>
  <c r="B8" i="8"/>
  <c r="N14" i="25"/>
  <c r="G14" i="25"/>
  <c r="T14" i="25"/>
  <c r="Z14" i="25"/>
  <c r="B9" i="8"/>
  <c r="N15" i="25"/>
  <c r="G15" i="25"/>
  <c r="T15" i="25"/>
  <c r="Z15" i="25"/>
  <c r="B10" i="8"/>
  <c r="N16" i="25"/>
  <c r="G16" i="25"/>
  <c r="T16" i="25"/>
  <c r="Z16" i="25"/>
  <c r="B11" i="8"/>
  <c r="N17" i="25"/>
  <c r="G17" i="25"/>
  <c r="T17" i="25"/>
  <c r="Z17" i="25"/>
  <c r="B12" i="8"/>
  <c r="N18" i="25"/>
  <c r="G18" i="25"/>
  <c r="T18" i="25"/>
  <c r="Z18" i="25"/>
  <c r="B13" i="8"/>
  <c r="N19" i="25"/>
  <c r="G19" i="25"/>
  <c r="T19" i="25"/>
  <c r="Z19" i="25"/>
  <c r="B14" i="8"/>
  <c r="N20" i="25"/>
  <c r="G20" i="25"/>
  <c r="T20" i="25"/>
  <c r="Z20" i="25"/>
  <c r="B15" i="8"/>
  <c r="N21" i="25"/>
  <c r="G21" i="25"/>
  <c r="T21" i="25"/>
  <c r="Z21" i="25"/>
  <c r="B16" i="8"/>
  <c r="N22" i="25"/>
  <c r="G22" i="25"/>
  <c r="T22" i="25"/>
  <c r="Z22" i="25"/>
  <c r="B17" i="8"/>
  <c r="N23" i="25"/>
  <c r="G23" i="25"/>
  <c r="T23" i="25"/>
  <c r="Z23" i="25"/>
  <c r="B18" i="8"/>
  <c r="N24" i="25"/>
  <c r="G24" i="25"/>
  <c r="T24" i="25"/>
  <c r="Z24" i="25"/>
  <c r="B19" i="8"/>
  <c r="N25" i="25"/>
  <c r="G25" i="25"/>
  <c r="T25" i="25"/>
  <c r="Z25" i="25"/>
  <c r="B20" i="8"/>
  <c r="N26" i="25"/>
  <c r="G26" i="25"/>
  <c r="T26" i="25"/>
  <c r="Z26" i="25"/>
  <c r="B21" i="8"/>
  <c r="N27" i="25"/>
  <c r="G27" i="25"/>
  <c r="T27" i="25"/>
  <c r="Z27" i="25"/>
  <c r="B22" i="8"/>
  <c r="N28" i="25"/>
  <c r="G28" i="25"/>
  <c r="T28" i="25"/>
  <c r="Z28" i="25"/>
  <c r="B23" i="8"/>
  <c r="N29" i="25"/>
  <c r="G29" i="25"/>
  <c r="T29" i="25"/>
  <c r="Z29" i="25"/>
  <c r="B24" i="8"/>
  <c r="N30" i="25"/>
  <c r="G30" i="25"/>
  <c r="T30" i="25"/>
  <c r="Z30" i="25"/>
  <c r="B25" i="8"/>
  <c r="N31" i="25"/>
  <c r="G31" i="25"/>
  <c r="T31" i="25"/>
  <c r="Z31" i="25"/>
  <c r="B26" i="8"/>
  <c r="N32" i="25"/>
  <c r="G32" i="25"/>
  <c r="T32" i="25"/>
  <c r="Z32" i="25"/>
  <c r="B27" i="8"/>
  <c r="N33" i="25"/>
  <c r="G33" i="25"/>
  <c r="T33" i="25"/>
  <c r="Z33" i="25"/>
  <c r="B28" i="8"/>
  <c r="N34" i="25"/>
  <c r="G34" i="25"/>
  <c r="T34" i="25"/>
  <c r="Z34" i="25"/>
  <c r="B29" i="8"/>
  <c r="N35" i="25"/>
  <c r="G35" i="25"/>
  <c r="T35" i="25"/>
  <c r="Z35" i="25"/>
  <c r="B30" i="8"/>
  <c r="N36" i="25"/>
  <c r="G36" i="25"/>
  <c r="T36" i="25"/>
  <c r="Z36" i="25"/>
  <c r="B31" i="8"/>
  <c r="N37" i="25"/>
  <c r="E37" i="25"/>
  <c r="G37" i="25"/>
  <c r="T37" i="25"/>
  <c r="Z37" i="25"/>
  <c r="B32" i="8"/>
  <c r="N38" i="25"/>
  <c r="G38" i="25"/>
  <c r="T38" i="25"/>
  <c r="Z38" i="25"/>
  <c r="B33" i="8"/>
  <c r="N39" i="25"/>
  <c r="G39" i="25"/>
  <c r="T39" i="25"/>
  <c r="Z39" i="25"/>
  <c r="B34" i="8"/>
  <c r="N40" i="25"/>
  <c r="G40" i="25"/>
  <c r="T40" i="25"/>
  <c r="Z40" i="25"/>
  <c r="B35" i="8"/>
  <c r="N41" i="25"/>
  <c r="G41" i="25"/>
  <c r="T41" i="25"/>
  <c r="Z41" i="25"/>
  <c r="B36" i="8"/>
  <c r="N42" i="25"/>
  <c r="G42" i="25"/>
  <c r="T42" i="25"/>
  <c r="Z42" i="25"/>
  <c r="B37" i="8"/>
  <c r="N43" i="25"/>
  <c r="G43" i="25"/>
  <c r="T43" i="25"/>
  <c r="Z43" i="25"/>
  <c r="B38" i="8"/>
  <c r="N44" i="25"/>
  <c r="G44" i="25"/>
  <c r="T44" i="25"/>
  <c r="Z44" i="25"/>
  <c r="B39" i="8"/>
  <c r="N45" i="25"/>
  <c r="G45" i="25"/>
  <c r="T45" i="25"/>
  <c r="Z45" i="25"/>
  <c r="B40" i="8"/>
  <c r="N46" i="25"/>
  <c r="G46" i="25"/>
  <c r="T46" i="25"/>
  <c r="Z46" i="25"/>
  <c r="B41" i="8"/>
  <c r="N47" i="25"/>
  <c r="G47" i="25"/>
  <c r="T47" i="25"/>
  <c r="Z47" i="25"/>
  <c r="B42" i="8"/>
  <c r="N48" i="25"/>
  <c r="G48" i="25"/>
  <c r="T48" i="25"/>
  <c r="Z48" i="25"/>
  <c r="B43" i="8"/>
  <c r="N49" i="25"/>
  <c r="G49" i="25"/>
  <c r="T49" i="25"/>
  <c r="Z49" i="25"/>
  <c r="B44" i="8"/>
  <c r="N50" i="25"/>
  <c r="G50" i="25"/>
  <c r="T50" i="25"/>
  <c r="Z50" i="25"/>
  <c r="B45" i="8"/>
  <c r="N51" i="25"/>
  <c r="G51" i="25"/>
  <c r="T51" i="25"/>
  <c r="Z51" i="25"/>
  <c r="B46" i="8"/>
  <c r="N52" i="25"/>
  <c r="G52" i="25"/>
  <c r="T52" i="25"/>
  <c r="Z52" i="25"/>
  <c r="B47" i="8"/>
  <c r="N53" i="25"/>
  <c r="G53" i="25"/>
  <c r="T53" i="25"/>
  <c r="Z53" i="25"/>
  <c r="B48" i="8"/>
  <c r="N54" i="25"/>
  <c r="G54" i="25"/>
  <c r="T54" i="25"/>
  <c r="Z54" i="25"/>
  <c r="B49" i="8"/>
  <c r="N55" i="25"/>
  <c r="G55" i="25"/>
  <c r="T55" i="25"/>
  <c r="Z55" i="25"/>
  <c r="B50" i="8"/>
  <c r="N56" i="25"/>
  <c r="G56" i="25"/>
  <c r="T56" i="25"/>
  <c r="Z56" i="25"/>
  <c r="B51" i="8"/>
  <c r="N57" i="25"/>
  <c r="G57" i="25"/>
  <c r="T57" i="25"/>
  <c r="Z57" i="25"/>
  <c r="B52" i="8"/>
  <c r="N58" i="25"/>
  <c r="G58" i="25"/>
  <c r="T58" i="25"/>
  <c r="Z58" i="25"/>
  <c r="B53" i="8"/>
  <c r="N59" i="25"/>
  <c r="G59" i="25"/>
  <c r="T59" i="25"/>
  <c r="Z59" i="25"/>
  <c r="B54" i="8"/>
  <c r="N60" i="25"/>
  <c r="G60" i="25"/>
  <c r="T60" i="25"/>
  <c r="Z60" i="25"/>
  <c r="B55" i="8"/>
  <c r="N61" i="25"/>
  <c r="G61" i="25"/>
  <c r="T61" i="25"/>
  <c r="Z61" i="25"/>
  <c r="B56" i="8"/>
  <c r="N62" i="25"/>
  <c r="G62" i="25"/>
  <c r="T62" i="25"/>
  <c r="Z62" i="25"/>
  <c r="B57" i="8"/>
  <c r="N63" i="25"/>
  <c r="G63" i="25"/>
  <c r="T63" i="25"/>
  <c r="Z63" i="25"/>
  <c r="B58" i="8"/>
  <c r="N64" i="25"/>
  <c r="G64" i="25"/>
  <c r="T64" i="25"/>
  <c r="Z64" i="25"/>
  <c r="B59" i="8"/>
  <c r="N65" i="25"/>
  <c r="G65" i="25"/>
  <c r="T65" i="25"/>
  <c r="Z65" i="25"/>
  <c r="B60" i="8"/>
  <c r="N66" i="25"/>
  <c r="G66" i="25"/>
  <c r="T66" i="25"/>
  <c r="Z66" i="25"/>
  <c r="B61" i="8"/>
  <c r="N67" i="25"/>
  <c r="G67" i="25"/>
  <c r="T67" i="25"/>
  <c r="Z67" i="25"/>
  <c r="B62" i="8"/>
  <c r="N68" i="25"/>
  <c r="G68" i="25"/>
  <c r="T68" i="25"/>
  <c r="Z68" i="25"/>
  <c r="B63" i="8"/>
  <c r="N69" i="25"/>
  <c r="G69" i="25"/>
  <c r="T69" i="25"/>
  <c r="Z69" i="25"/>
  <c r="B64" i="8"/>
  <c r="N70" i="25"/>
  <c r="G70" i="25"/>
  <c r="T70" i="25"/>
  <c r="Z70" i="25"/>
  <c r="B65" i="8"/>
  <c r="N71" i="25"/>
  <c r="G71" i="25"/>
  <c r="T71" i="25"/>
  <c r="Z71" i="25"/>
  <c r="B66" i="8"/>
  <c r="N72" i="25"/>
  <c r="G72" i="25"/>
  <c r="T72" i="25"/>
  <c r="Z72" i="25"/>
  <c r="B67" i="8"/>
  <c r="N73" i="25"/>
  <c r="G73" i="25"/>
  <c r="T73" i="25"/>
  <c r="Z73" i="25"/>
  <c r="B68" i="8"/>
  <c r="N74" i="25"/>
  <c r="G74" i="25"/>
  <c r="T74" i="25"/>
  <c r="Z74" i="25"/>
  <c r="B69" i="8"/>
  <c r="N75" i="25"/>
  <c r="G75" i="25"/>
  <c r="T75" i="25"/>
  <c r="Z75" i="25"/>
  <c r="B70" i="8"/>
  <c r="N76" i="25"/>
  <c r="G76" i="25"/>
  <c r="T76" i="25"/>
  <c r="Z76" i="25"/>
  <c r="B71" i="8"/>
  <c r="N77" i="25"/>
  <c r="G77" i="25"/>
  <c r="T77" i="25"/>
  <c r="Z77" i="25"/>
  <c r="B72" i="8"/>
  <c r="N78" i="25"/>
  <c r="G78" i="25"/>
  <c r="T78" i="25"/>
  <c r="Z78" i="25"/>
  <c r="B73" i="8"/>
  <c r="N79" i="25"/>
  <c r="G79" i="25"/>
  <c r="T79" i="25"/>
  <c r="Z79" i="25"/>
  <c r="B74" i="8"/>
  <c r="N80" i="25"/>
  <c r="G80" i="25"/>
  <c r="T80" i="25"/>
  <c r="Z80" i="25"/>
  <c r="B75" i="8"/>
  <c r="N81" i="25"/>
  <c r="G81" i="25"/>
  <c r="T81" i="25"/>
  <c r="Z81" i="25"/>
  <c r="B76" i="8"/>
  <c r="N11" i="25"/>
  <c r="G11" i="25"/>
  <c r="T11" i="25"/>
  <c r="Z11" i="25"/>
  <c r="B6" i="8"/>
  <c r="Z83" i="25"/>
  <c r="T83" i="25"/>
  <c r="V12" i="25"/>
  <c r="C7" i="8"/>
  <c r="W12" i="25"/>
  <c r="D7" i="8"/>
  <c r="X12" i="25"/>
  <c r="Y12" i="25"/>
  <c r="E7" i="8"/>
  <c r="V13" i="25"/>
  <c r="C8" i="8"/>
  <c r="W13" i="25"/>
  <c r="D8" i="8"/>
  <c r="X13" i="25"/>
  <c r="Y13" i="25"/>
  <c r="E8" i="8"/>
  <c r="V14" i="25"/>
  <c r="C9" i="8"/>
  <c r="W14" i="25"/>
  <c r="D9" i="8"/>
  <c r="X14" i="25"/>
  <c r="Y14" i="25"/>
  <c r="E9" i="8"/>
  <c r="V15" i="25"/>
  <c r="C10" i="8"/>
  <c r="W15" i="25"/>
  <c r="D10" i="8"/>
  <c r="X15" i="25"/>
  <c r="Y15" i="25"/>
  <c r="E10" i="8"/>
  <c r="V16" i="25"/>
  <c r="C11" i="8"/>
  <c r="W16" i="25"/>
  <c r="D11" i="8"/>
  <c r="X16" i="25"/>
  <c r="Y16" i="25"/>
  <c r="E11" i="8"/>
  <c r="V17" i="25"/>
  <c r="C12" i="8"/>
  <c r="W17" i="25"/>
  <c r="D12" i="8"/>
  <c r="X17" i="25"/>
  <c r="Y17" i="25"/>
  <c r="E12" i="8"/>
  <c r="V18" i="25"/>
  <c r="C13" i="8"/>
  <c r="W18" i="25"/>
  <c r="D13" i="8"/>
  <c r="X18" i="25"/>
  <c r="Y18" i="25"/>
  <c r="E13" i="8"/>
  <c r="V19" i="25"/>
  <c r="C14" i="8"/>
  <c r="W19" i="25"/>
  <c r="D14" i="8"/>
  <c r="X19" i="25"/>
  <c r="Y19" i="25"/>
  <c r="E14" i="8"/>
  <c r="V20" i="25"/>
  <c r="C15" i="8"/>
  <c r="W20" i="25"/>
  <c r="D15" i="8"/>
  <c r="X20" i="25"/>
  <c r="Y20" i="25"/>
  <c r="E15" i="8"/>
  <c r="V21" i="25"/>
  <c r="C16" i="8"/>
  <c r="W21" i="25"/>
  <c r="D16" i="8"/>
  <c r="X21" i="25"/>
  <c r="Y21" i="25"/>
  <c r="E16" i="8"/>
  <c r="V22" i="25"/>
  <c r="C17" i="8"/>
  <c r="W22" i="25"/>
  <c r="D17" i="8"/>
  <c r="X22" i="25"/>
  <c r="Y22" i="25"/>
  <c r="E17" i="8"/>
  <c r="V23" i="25"/>
  <c r="C18" i="8"/>
  <c r="W23" i="25"/>
  <c r="D18" i="8"/>
  <c r="X23" i="25"/>
  <c r="Y23" i="25"/>
  <c r="E18" i="8"/>
  <c r="V24" i="25"/>
  <c r="C19" i="8"/>
  <c r="W24" i="25"/>
  <c r="D19" i="8"/>
  <c r="X24" i="25"/>
  <c r="Y24" i="25"/>
  <c r="E19" i="8"/>
  <c r="V25" i="25"/>
  <c r="C20" i="8"/>
  <c r="W25" i="25"/>
  <c r="D20" i="8"/>
  <c r="X25" i="25"/>
  <c r="Y25" i="25"/>
  <c r="E20" i="8"/>
  <c r="V26" i="25"/>
  <c r="C21" i="8"/>
  <c r="W26" i="25"/>
  <c r="D21" i="8"/>
  <c r="X26" i="25"/>
  <c r="Y26" i="25"/>
  <c r="E21" i="8"/>
  <c r="V27" i="25"/>
  <c r="C22" i="8"/>
  <c r="W27" i="25"/>
  <c r="D22" i="8"/>
  <c r="X27" i="25"/>
  <c r="Y27" i="25"/>
  <c r="E22" i="8"/>
  <c r="V28" i="25"/>
  <c r="C23" i="8"/>
  <c r="W28" i="25"/>
  <c r="D23" i="8"/>
  <c r="X28" i="25"/>
  <c r="Y28" i="25"/>
  <c r="E23" i="8"/>
  <c r="V29" i="25"/>
  <c r="C24" i="8"/>
  <c r="W29" i="25"/>
  <c r="D24" i="8"/>
  <c r="X29" i="25"/>
  <c r="Y29" i="25"/>
  <c r="E24" i="8"/>
  <c r="V30" i="25"/>
  <c r="C25" i="8"/>
  <c r="W30" i="25"/>
  <c r="D25" i="8"/>
  <c r="X30" i="25"/>
  <c r="Y30" i="25"/>
  <c r="E25" i="8"/>
  <c r="V31" i="25"/>
  <c r="C26" i="8"/>
  <c r="W31" i="25"/>
  <c r="D26" i="8"/>
  <c r="X31" i="25"/>
  <c r="Y31" i="25"/>
  <c r="E26" i="8"/>
  <c r="V32" i="25"/>
  <c r="C27" i="8"/>
  <c r="W32" i="25"/>
  <c r="D27" i="8"/>
  <c r="X32" i="25"/>
  <c r="Y32" i="25"/>
  <c r="E27" i="8"/>
  <c r="V33" i="25"/>
  <c r="C28" i="8"/>
  <c r="W33" i="25"/>
  <c r="D28" i="8"/>
  <c r="X33" i="25"/>
  <c r="Y33" i="25"/>
  <c r="E28" i="8"/>
  <c r="V34" i="25"/>
  <c r="C29" i="8"/>
  <c r="W34" i="25"/>
  <c r="D29" i="8"/>
  <c r="X34" i="25"/>
  <c r="Y34" i="25"/>
  <c r="E29" i="8"/>
  <c r="V35" i="25"/>
  <c r="C30" i="8"/>
  <c r="W35" i="25"/>
  <c r="D30" i="8"/>
  <c r="X35" i="25"/>
  <c r="Y35" i="25"/>
  <c r="E30" i="8"/>
  <c r="V36" i="25"/>
  <c r="C31" i="8"/>
  <c r="W36" i="25"/>
  <c r="D31" i="8"/>
  <c r="X36" i="25"/>
  <c r="Y36" i="25"/>
  <c r="E31" i="8"/>
  <c r="V37" i="25"/>
  <c r="C32" i="8"/>
  <c r="W37" i="25"/>
  <c r="D32" i="8"/>
  <c r="X37" i="25"/>
  <c r="Y37" i="25"/>
  <c r="E32" i="8"/>
  <c r="V38" i="25"/>
  <c r="C33" i="8"/>
  <c r="W38" i="25"/>
  <c r="D33" i="8"/>
  <c r="X38" i="25"/>
  <c r="Y38" i="25"/>
  <c r="E33" i="8"/>
  <c r="V39" i="25"/>
  <c r="C34" i="8"/>
  <c r="W39" i="25"/>
  <c r="D34" i="8"/>
  <c r="X39" i="25"/>
  <c r="Y39" i="25"/>
  <c r="E34" i="8"/>
  <c r="V40" i="25"/>
  <c r="C35" i="8"/>
  <c r="W40" i="25"/>
  <c r="D35" i="8"/>
  <c r="X40" i="25"/>
  <c r="Y40" i="25"/>
  <c r="E35" i="8"/>
  <c r="V41" i="25"/>
  <c r="C36" i="8"/>
  <c r="W41" i="25"/>
  <c r="D36" i="8"/>
  <c r="X41" i="25"/>
  <c r="Y41" i="25"/>
  <c r="E36" i="8"/>
  <c r="V42" i="25"/>
  <c r="C37" i="8"/>
  <c r="W42" i="25"/>
  <c r="D37" i="8"/>
  <c r="X42" i="25"/>
  <c r="Y42" i="25"/>
  <c r="E37" i="8"/>
  <c r="V43" i="25"/>
  <c r="C38" i="8"/>
  <c r="W43" i="25"/>
  <c r="D38" i="8"/>
  <c r="X43" i="25"/>
  <c r="Y43" i="25"/>
  <c r="E38" i="8"/>
  <c r="V44" i="25"/>
  <c r="C39" i="8"/>
  <c r="W44" i="25"/>
  <c r="D39" i="8"/>
  <c r="X44" i="25"/>
  <c r="Y44" i="25"/>
  <c r="E39" i="8"/>
  <c r="V45" i="25"/>
  <c r="C40" i="8"/>
  <c r="W45" i="25"/>
  <c r="D40" i="8"/>
  <c r="X45" i="25"/>
  <c r="Y45" i="25"/>
  <c r="E40" i="8"/>
  <c r="V46" i="25"/>
  <c r="C41" i="8"/>
  <c r="W46" i="25"/>
  <c r="D41" i="8"/>
  <c r="X46" i="25"/>
  <c r="Y46" i="25"/>
  <c r="E41" i="8"/>
  <c r="V47" i="25"/>
  <c r="C42" i="8"/>
  <c r="W47" i="25"/>
  <c r="D42" i="8"/>
  <c r="X47" i="25"/>
  <c r="Y47" i="25"/>
  <c r="E42" i="8"/>
  <c r="V48" i="25"/>
  <c r="C43" i="8"/>
  <c r="W48" i="25"/>
  <c r="D43" i="8"/>
  <c r="X48" i="25"/>
  <c r="Y48" i="25"/>
  <c r="E43" i="8"/>
  <c r="V49" i="25"/>
  <c r="C44" i="8"/>
  <c r="W49" i="25"/>
  <c r="D44" i="8"/>
  <c r="X49" i="25"/>
  <c r="Y49" i="25"/>
  <c r="E44" i="8"/>
  <c r="V50" i="25"/>
  <c r="C45" i="8"/>
  <c r="W50" i="25"/>
  <c r="D45" i="8"/>
  <c r="X50" i="25"/>
  <c r="Y50" i="25"/>
  <c r="E45" i="8"/>
  <c r="V51" i="25"/>
  <c r="C46" i="8"/>
  <c r="W51" i="25"/>
  <c r="D46" i="8"/>
  <c r="X51" i="25"/>
  <c r="Y51" i="25"/>
  <c r="E46" i="8"/>
  <c r="V52" i="25"/>
  <c r="C47" i="8"/>
  <c r="W52" i="25"/>
  <c r="D47" i="8"/>
  <c r="X52" i="25"/>
  <c r="Y52" i="25"/>
  <c r="E47" i="8"/>
  <c r="V53" i="25"/>
  <c r="C48" i="8"/>
  <c r="W53" i="25"/>
  <c r="D48" i="8"/>
  <c r="X53" i="25"/>
  <c r="Y53" i="25"/>
  <c r="E48" i="8"/>
  <c r="V54" i="25"/>
  <c r="C49" i="8"/>
  <c r="W54" i="25"/>
  <c r="D49" i="8"/>
  <c r="X54" i="25"/>
  <c r="Y54" i="25"/>
  <c r="E49" i="8"/>
  <c r="V55" i="25"/>
  <c r="C50" i="8"/>
  <c r="W55" i="25"/>
  <c r="D50" i="8"/>
  <c r="X55" i="25"/>
  <c r="Y55" i="25"/>
  <c r="E50" i="8"/>
  <c r="V56" i="25"/>
  <c r="C51" i="8"/>
  <c r="W56" i="25"/>
  <c r="D51" i="8"/>
  <c r="X56" i="25"/>
  <c r="Y56" i="25"/>
  <c r="E51" i="8"/>
  <c r="V57" i="25"/>
  <c r="C52" i="8"/>
  <c r="W57" i="25"/>
  <c r="D52" i="8"/>
  <c r="X57" i="25"/>
  <c r="Y57" i="25"/>
  <c r="E52" i="8"/>
  <c r="V58" i="25"/>
  <c r="C53" i="8"/>
  <c r="W58" i="25"/>
  <c r="D53" i="8"/>
  <c r="X58" i="25"/>
  <c r="Y58" i="25"/>
  <c r="E53" i="8"/>
  <c r="V59" i="25"/>
  <c r="C54" i="8"/>
  <c r="W59" i="25"/>
  <c r="D54" i="8"/>
  <c r="X59" i="25"/>
  <c r="Y59" i="25"/>
  <c r="E54" i="8"/>
  <c r="V60" i="25"/>
  <c r="C55" i="8"/>
  <c r="W60" i="25"/>
  <c r="D55" i="8"/>
  <c r="X60" i="25"/>
  <c r="Y60" i="25"/>
  <c r="E55" i="8"/>
  <c r="V61" i="25"/>
  <c r="C56" i="8"/>
  <c r="W61" i="25"/>
  <c r="D56" i="8"/>
  <c r="X61" i="25"/>
  <c r="Y61" i="25"/>
  <c r="E56" i="8"/>
  <c r="V62" i="25"/>
  <c r="C57" i="8"/>
  <c r="W62" i="25"/>
  <c r="D57" i="8"/>
  <c r="X62" i="25"/>
  <c r="Y62" i="25"/>
  <c r="E57" i="8"/>
  <c r="V63" i="25"/>
  <c r="C58" i="8"/>
  <c r="W63" i="25"/>
  <c r="D58" i="8"/>
  <c r="X63" i="25"/>
  <c r="Y63" i="25"/>
  <c r="E58" i="8"/>
  <c r="V64" i="25"/>
  <c r="C59" i="8"/>
  <c r="W64" i="25"/>
  <c r="D59" i="8"/>
  <c r="X64" i="25"/>
  <c r="Y64" i="25"/>
  <c r="E59" i="8"/>
  <c r="V65" i="25"/>
  <c r="C60" i="8"/>
  <c r="W65" i="25"/>
  <c r="D60" i="8"/>
  <c r="X65" i="25"/>
  <c r="Y65" i="25"/>
  <c r="E60" i="8"/>
  <c r="V66" i="25"/>
  <c r="C61" i="8"/>
  <c r="W66" i="25"/>
  <c r="D61" i="8"/>
  <c r="X66" i="25"/>
  <c r="Y66" i="25"/>
  <c r="E61" i="8"/>
  <c r="V67" i="25"/>
  <c r="C62" i="8"/>
  <c r="W67" i="25"/>
  <c r="D62" i="8"/>
  <c r="X67" i="25"/>
  <c r="Y67" i="25"/>
  <c r="E62" i="8"/>
  <c r="V68" i="25"/>
  <c r="C63" i="8"/>
  <c r="W68" i="25"/>
  <c r="D63" i="8"/>
  <c r="X68" i="25"/>
  <c r="Y68" i="25"/>
  <c r="E63" i="8"/>
  <c r="V69" i="25"/>
  <c r="C64" i="8"/>
  <c r="W69" i="25"/>
  <c r="D64" i="8"/>
  <c r="X69" i="25"/>
  <c r="Y69" i="25"/>
  <c r="E64" i="8"/>
  <c r="V70" i="25"/>
  <c r="C65" i="8"/>
  <c r="W70" i="25"/>
  <c r="D65" i="8"/>
  <c r="X70" i="25"/>
  <c r="Y70" i="25"/>
  <c r="E65" i="8"/>
  <c r="V71" i="25"/>
  <c r="C66" i="8"/>
  <c r="W71" i="25"/>
  <c r="D66" i="8"/>
  <c r="X71" i="25"/>
  <c r="Y71" i="25"/>
  <c r="E66" i="8"/>
  <c r="V72" i="25"/>
  <c r="C67" i="8"/>
  <c r="W72" i="25"/>
  <c r="D67" i="8"/>
  <c r="X72" i="25"/>
  <c r="Y72" i="25"/>
  <c r="E67" i="8"/>
  <c r="V73" i="25"/>
  <c r="C68" i="8"/>
  <c r="W73" i="25"/>
  <c r="D68" i="8"/>
  <c r="X73" i="25"/>
  <c r="Y73" i="25"/>
  <c r="E68" i="8"/>
  <c r="V74" i="25"/>
  <c r="C69" i="8"/>
  <c r="W74" i="25"/>
  <c r="D69" i="8"/>
  <c r="X74" i="25"/>
  <c r="Y74" i="25"/>
  <c r="E69" i="8"/>
  <c r="V75" i="25"/>
  <c r="C70" i="8"/>
  <c r="W75" i="25"/>
  <c r="D70" i="8"/>
  <c r="X75" i="25"/>
  <c r="Y75" i="25"/>
  <c r="E70" i="8"/>
  <c r="V76" i="25"/>
  <c r="C71" i="8"/>
  <c r="W76" i="25"/>
  <c r="D71" i="8"/>
  <c r="X76" i="25"/>
  <c r="Y76" i="25"/>
  <c r="E71" i="8"/>
  <c r="V77" i="25"/>
  <c r="C72" i="8"/>
  <c r="W77" i="25"/>
  <c r="D72" i="8"/>
  <c r="X77" i="25"/>
  <c r="Y77" i="25"/>
  <c r="E72" i="8"/>
  <c r="V78" i="25"/>
  <c r="C73" i="8"/>
  <c r="W78" i="25"/>
  <c r="D73" i="8"/>
  <c r="X78" i="25"/>
  <c r="Y78" i="25"/>
  <c r="E73" i="8"/>
  <c r="V79" i="25"/>
  <c r="C74" i="8"/>
  <c r="W79" i="25"/>
  <c r="D74" i="8"/>
  <c r="X79" i="25"/>
  <c r="Y79" i="25"/>
  <c r="E74" i="8"/>
  <c r="V80" i="25"/>
  <c r="C75" i="8"/>
  <c r="W80" i="25"/>
  <c r="D75" i="8"/>
  <c r="X80" i="25"/>
  <c r="Y80" i="25"/>
  <c r="E75" i="8"/>
  <c r="V81" i="25"/>
  <c r="C76" i="8"/>
  <c r="W81" i="25"/>
  <c r="D76" i="8"/>
  <c r="X81" i="25"/>
  <c r="Y81" i="25"/>
  <c r="E76" i="8"/>
  <c r="V82" i="25"/>
  <c r="C77" i="8"/>
  <c r="W82" i="25"/>
  <c r="D77" i="8"/>
  <c r="X82" i="25"/>
  <c r="Y82" i="25"/>
  <c r="E77" i="8"/>
  <c r="X11" i="25"/>
  <c r="Y11" i="25"/>
  <c r="E6" i="8"/>
  <c r="W11" i="25"/>
  <c r="D6" i="8"/>
  <c r="V11" i="25"/>
  <c r="C6" i="8"/>
  <c r="V83" i="25"/>
  <c r="W83" i="25"/>
  <c r="X83" i="25"/>
  <c r="Y83" i="25"/>
  <c r="U12" i="25"/>
  <c r="U13" i="25"/>
  <c r="U14" i="25"/>
  <c r="U15" i="25"/>
  <c r="U16" i="25"/>
  <c r="U17" i="25"/>
  <c r="U18" i="25"/>
  <c r="U19" i="25"/>
  <c r="U20" i="25"/>
  <c r="U21" i="25"/>
  <c r="U22" i="25"/>
  <c r="U23" i="25"/>
  <c r="U24" i="25"/>
  <c r="U25" i="25"/>
  <c r="U26" i="25"/>
  <c r="U27" i="25"/>
  <c r="U28" i="25"/>
  <c r="U29" i="25"/>
  <c r="U30" i="25"/>
  <c r="U31" i="25"/>
  <c r="U32" i="25"/>
  <c r="U33" i="25"/>
  <c r="U34" i="25"/>
  <c r="U35" i="25"/>
  <c r="U36" i="25"/>
  <c r="U37" i="25"/>
  <c r="U38" i="25"/>
  <c r="U39" i="25"/>
  <c r="U40" i="25"/>
  <c r="U41" i="25"/>
  <c r="U42" i="25"/>
  <c r="U43" i="25"/>
  <c r="U44" i="25"/>
  <c r="U45" i="25"/>
  <c r="U46" i="25"/>
  <c r="U47" i="25"/>
  <c r="U48" i="25"/>
  <c r="U49" i="25"/>
  <c r="U50" i="25"/>
  <c r="U51" i="25"/>
  <c r="U52" i="25"/>
  <c r="U53" i="25"/>
  <c r="U54" i="25"/>
  <c r="U55" i="25"/>
  <c r="U56" i="25"/>
  <c r="U57" i="25"/>
  <c r="U58" i="25"/>
  <c r="U59" i="25"/>
  <c r="U60" i="25"/>
  <c r="U61" i="25"/>
  <c r="U62" i="25"/>
  <c r="U63" i="25"/>
  <c r="U64" i="25"/>
  <c r="U65" i="25"/>
  <c r="U66" i="25"/>
  <c r="U67" i="25"/>
  <c r="U68" i="25"/>
  <c r="U69" i="25"/>
  <c r="U70" i="25"/>
  <c r="U71" i="25"/>
  <c r="U72" i="25"/>
  <c r="U73" i="25"/>
  <c r="U74" i="25"/>
  <c r="U75" i="25"/>
  <c r="U76" i="25"/>
  <c r="U77" i="25"/>
  <c r="U78" i="25"/>
  <c r="U79" i="25"/>
  <c r="U80" i="25"/>
  <c r="U81" i="25"/>
  <c r="U82" i="25"/>
  <c r="U11" i="25"/>
  <c r="O83" i="25"/>
  <c r="P83" i="25"/>
  <c r="Q83" i="25"/>
  <c r="R83" i="25"/>
  <c r="S83" i="25"/>
  <c r="M83" i="25"/>
  <c r="L83" i="25"/>
  <c r="K83" i="25"/>
  <c r="J83" i="25"/>
  <c r="I83" i="25"/>
  <c r="F83" i="25"/>
  <c r="D83" i="25"/>
  <c r="C83" i="25"/>
  <c r="B83" i="25"/>
  <c r="E83" i="25"/>
  <c r="A82" i="25"/>
  <c r="A81" i="25"/>
  <c r="A80" i="25"/>
  <c r="A79" i="25"/>
  <c r="A78" i="25"/>
  <c r="A77" i="25"/>
  <c r="A76" i="25"/>
  <c r="A75" i="25"/>
  <c r="A74" i="25"/>
  <c r="A73" i="25"/>
  <c r="A72" i="25"/>
  <c r="A71" i="25"/>
  <c r="A70" i="25"/>
  <c r="A69" i="25"/>
  <c r="A68" i="25"/>
  <c r="A67" i="25"/>
  <c r="A66" i="25"/>
  <c r="A65" i="25"/>
  <c r="A64" i="25"/>
  <c r="A63" i="25"/>
  <c r="A62" i="25"/>
  <c r="A61" i="25"/>
  <c r="A60" i="25"/>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U83" i="25"/>
  <c r="G83" i="25"/>
  <c r="N83" i="25"/>
  <c r="H76" i="18"/>
  <c r="E30" i="24"/>
  <c r="E29" i="24"/>
  <c r="E28" i="24"/>
  <c r="E27" i="24"/>
  <c r="E26" i="24"/>
  <c r="E25" i="24"/>
  <c r="E24" i="24"/>
  <c r="E23" i="24"/>
  <c r="E22" i="24"/>
  <c r="E21" i="24"/>
  <c r="D2" i="24"/>
  <c r="B2" i="24"/>
  <c r="C10" i="24"/>
  <c r="E14" i="24"/>
  <c r="E13" i="24"/>
  <c r="E12" i="24"/>
  <c r="E11" i="24"/>
  <c r="E10" i="24"/>
  <c r="E9" i="24"/>
  <c r="E8" i="24"/>
  <c r="E7" i="24"/>
  <c r="E6" i="24"/>
  <c r="E5" i="24"/>
  <c r="D18" i="24"/>
  <c r="E15" i="24"/>
  <c r="B25" i="3"/>
  <c r="E31" i="24"/>
  <c r="D10" i="24"/>
  <c r="F10" i="24"/>
  <c r="C26" i="24"/>
  <c r="D26" i="24"/>
  <c r="F26" i="24"/>
  <c r="C11" i="24"/>
  <c r="D11" i="24"/>
  <c r="C9" i="24"/>
  <c r="C5" i="24"/>
  <c r="C21" i="24"/>
  <c r="D21" i="24"/>
  <c r="F21" i="24"/>
  <c r="C14" i="24"/>
  <c r="D14" i="24"/>
  <c r="C13" i="24"/>
  <c r="D13" i="24"/>
  <c r="C8" i="24"/>
  <c r="C7" i="24"/>
  <c r="C23" i="24"/>
  <c r="D23" i="24"/>
  <c r="F23" i="24"/>
  <c r="C6" i="24"/>
  <c r="C12" i="24"/>
  <c r="D12" i="24"/>
  <c r="C25" i="24"/>
  <c r="D25" i="24"/>
  <c r="F25" i="24"/>
  <c r="D7" i="24"/>
  <c r="F7" i="24"/>
  <c r="D5" i="24"/>
  <c r="F5" i="24"/>
  <c r="D8" i="24"/>
  <c r="F8" i="24"/>
  <c r="C22" i="24"/>
  <c r="D22" i="24"/>
  <c r="F22" i="24"/>
  <c r="D9" i="24"/>
  <c r="F9" i="24"/>
  <c r="D6" i="24"/>
  <c r="F6" i="24"/>
  <c r="F13" i="24"/>
  <c r="C29" i="24"/>
  <c r="D29" i="24"/>
  <c r="F29" i="24"/>
  <c r="F14" i="24"/>
  <c r="C30" i="24"/>
  <c r="D30" i="24"/>
  <c r="F30" i="24"/>
  <c r="F12" i="24"/>
  <c r="C28" i="24"/>
  <c r="D28" i="24"/>
  <c r="F28" i="24"/>
  <c r="F11" i="24"/>
  <c r="C27" i="24"/>
  <c r="D27" i="24"/>
  <c r="F27" i="24"/>
  <c r="C24" i="24"/>
  <c r="D24" i="24"/>
  <c r="F24" i="24"/>
  <c r="F31" i="24"/>
  <c r="F15" i="24"/>
  <c r="C25" i="3"/>
  <c r="I29" i="5"/>
  <c r="I34" i="5"/>
  <c r="I68" i="5"/>
  <c r="I74" i="5"/>
  <c r="I54" i="5"/>
  <c r="I56" i="5"/>
  <c r="I61" i="5"/>
  <c r="I37" i="5"/>
  <c r="I22" i="5"/>
  <c r="I30" i="5"/>
  <c r="X76" i="19"/>
  <c r="C76" i="19"/>
  <c r="D76" i="19"/>
  <c r="E76" i="19"/>
  <c r="F76" i="19"/>
  <c r="G76" i="19"/>
  <c r="H76" i="19"/>
  <c r="I76" i="19"/>
  <c r="J76" i="19"/>
  <c r="K76" i="19"/>
  <c r="L76" i="19"/>
  <c r="M76" i="19"/>
  <c r="N76" i="19"/>
  <c r="O76" i="19"/>
  <c r="P76" i="19"/>
  <c r="Q76" i="19"/>
  <c r="R76" i="19"/>
  <c r="S76" i="19"/>
  <c r="T76" i="19"/>
  <c r="U76" i="19"/>
  <c r="V76" i="19"/>
  <c r="W76" i="19"/>
  <c r="Y76" i="19"/>
  <c r="B76" i="19"/>
  <c r="F75" i="17"/>
  <c r="F75" i="10"/>
  <c r="F77" i="22"/>
  <c r="G75" i="17"/>
  <c r="G75" i="10"/>
  <c r="G77" i="22"/>
  <c r="I75" i="17"/>
  <c r="I75" i="10"/>
  <c r="I77" i="22"/>
  <c r="N75" i="17"/>
  <c r="N75" i="10"/>
  <c r="N77" i="22"/>
  <c r="O75" i="17"/>
  <c r="O75" i="10"/>
  <c r="O77" i="22"/>
  <c r="Q75" i="17"/>
  <c r="Q75" i="10"/>
  <c r="Q77" i="22"/>
  <c r="W75" i="17"/>
  <c r="W75" i="10"/>
  <c r="W77" i="22"/>
  <c r="Y75" i="17"/>
  <c r="Y75" i="10"/>
  <c r="Y77" i="22"/>
  <c r="F4" i="17"/>
  <c r="F4" i="10"/>
  <c r="F5" i="17"/>
  <c r="F5" i="10"/>
  <c r="F6" i="17"/>
  <c r="F6" i="10"/>
  <c r="F7" i="17"/>
  <c r="F7" i="10"/>
  <c r="F8" i="17"/>
  <c r="F8" i="10"/>
  <c r="F9" i="17"/>
  <c r="F9" i="10"/>
  <c r="F10" i="17"/>
  <c r="F10" i="10"/>
  <c r="F11" i="17"/>
  <c r="F11" i="10"/>
  <c r="F12" i="17"/>
  <c r="F12" i="10"/>
  <c r="F13" i="17"/>
  <c r="F13" i="10"/>
  <c r="F14" i="17"/>
  <c r="F14" i="10"/>
  <c r="F15" i="17"/>
  <c r="F15" i="10"/>
  <c r="F16" i="17"/>
  <c r="F16" i="10"/>
  <c r="F17" i="17"/>
  <c r="F17" i="10"/>
  <c r="F18" i="17"/>
  <c r="F18" i="10"/>
  <c r="F19" i="17"/>
  <c r="F19" i="10"/>
  <c r="F20" i="17"/>
  <c r="F20" i="10"/>
  <c r="F21" i="17"/>
  <c r="F21" i="10"/>
  <c r="F22" i="17"/>
  <c r="F22" i="10"/>
  <c r="F23" i="17"/>
  <c r="F23" i="10"/>
  <c r="F24" i="17"/>
  <c r="F24" i="10"/>
  <c r="F25" i="17"/>
  <c r="F25" i="10"/>
  <c r="F26" i="17"/>
  <c r="F26" i="10"/>
  <c r="F27" i="17"/>
  <c r="F27" i="10"/>
  <c r="F28" i="17"/>
  <c r="F28" i="10"/>
  <c r="F29" i="17"/>
  <c r="F29" i="10"/>
  <c r="F30" i="17"/>
  <c r="F30" i="10"/>
  <c r="F31" i="17"/>
  <c r="F31" i="10"/>
  <c r="F32" i="17"/>
  <c r="F32" i="10"/>
  <c r="F33" i="17"/>
  <c r="F33" i="10"/>
  <c r="F34" i="17"/>
  <c r="F34" i="10"/>
  <c r="F35" i="17"/>
  <c r="F35" i="10"/>
  <c r="F36" i="17"/>
  <c r="F36" i="10"/>
  <c r="F37" i="17"/>
  <c r="F37" i="10"/>
  <c r="F38" i="17"/>
  <c r="F38" i="10"/>
  <c r="F39" i="17"/>
  <c r="F39" i="10"/>
  <c r="F40" i="17"/>
  <c r="F40" i="10"/>
  <c r="F41" i="17"/>
  <c r="F41" i="10"/>
  <c r="F42" i="17"/>
  <c r="F42" i="10"/>
  <c r="F43" i="17"/>
  <c r="F43" i="10"/>
  <c r="F44" i="17"/>
  <c r="F44" i="10"/>
  <c r="F45" i="17"/>
  <c r="F45" i="10"/>
  <c r="F46" i="17"/>
  <c r="F46" i="10"/>
  <c r="F47" i="17"/>
  <c r="F47" i="10"/>
  <c r="F48" i="17"/>
  <c r="F48" i="10"/>
  <c r="F49" i="17"/>
  <c r="F49" i="10"/>
  <c r="F50" i="17"/>
  <c r="F50" i="10"/>
  <c r="F51" i="17"/>
  <c r="F51" i="10"/>
  <c r="F52" i="17"/>
  <c r="F52" i="10"/>
  <c r="F53" i="17"/>
  <c r="F53" i="10"/>
  <c r="F54" i="17"/>
  <c r="F54" i="10"/>
  <c r="F55" i="17"/>
  <c r="F55" i="10"/>
  <c r="F56" i="17"/>
  <c r="F56" i="10"/>
  <c r="F57" i="17"/>
  <c r="F57" i="10"/>
  <c r="F58" i="17"/>
  <c r="F58" i="10"/>
  <c r="F59" i="17"/>
  <c r="F59" i="10"/>
  <c r="F60" i="17"/>
  <c r="F60" i="10"/>
  <c r="F61" i="17"/>
  <c r="F61" i="10"/>
  <c r="F62" i="17"/>
  <c r="F62" i="10"/>
  <c r="F63" i="17"/>
  <c r="F63" i="10"/>
  <c r="F64" i="17"/>
  <c r="F64" i="10"/>
  <c r="F65" i="17"/>
  <c r="F65" i="10"/>
  <c r="F66" i="17"/>
  <c r="F66" i="10"/>
  <c r="F67" i="17"/>
  <c r="F67" i="10"/>
  <c r="F68" i="17"/>
  <c r="F68" i="10"/>
  <c r="F69" i="17"/>
  <c r="F69" i="10"/>
  <c r="F70" i="17"/>
  <c r="F70" i="10"/>
  <c r="F71" i="17"/>
  <c r="F71" i="10"/>
  <c r="F72" i="17"/>
  <c r="F72" i="10"/>
  <c r="F73" i="17"/>
  <c r="F73" i="10"/>
  <c r="F74" i="17"/>
  <c r="F74" i="10"/>
  <c r="F76" i="10"/>
  <c r="F76" i="18"/>
  <c r="F78" i="22"/>
  <c r="G4" i="17"/>
  <c r="G4" i="10"/>
  <c r="G5" i="17"/>
  <c r="G5" i="10"/>
  <c r="G6" i="17"/>
  <c r="G6" i="10"/>
  <c r="G7" i="17"/>
  <c r="G7" i="10"/>
  <c r="G8" i="17"/>
  <c r="G8" i="10"/>
  <c r="G9" i="17"/>
  <c r="G9" i="10"/>
  <c r="G10" i="17"/>
  <c r="G10" i="10"/>
  <c r="G11" i="17"/>
  <c r="G11" i="10"/>
  <c r="G12" i="17"/>
  <c r="G12" i="10"/>
  <c r="G13" i="17"/>
  <c r="G13" i="10"/>
  <c r="G14" i="17"/>
  <c r="G14" i="10"/>
  <c r="G15" i="17"/>
  <c r="G15" i="10"/>
  <c r="G16" i="17"/>
  <c r="G16" i="10"/>
  <c r="G17" i="17"/>
  <c r="G17" i="10"/>
  <c r="G18" i="17"/>
  <c r="G18" i="10"/>
  <c r="G19" i="17"/>
  <c r="G19" i="10"/>
  <c r="G20" i="17"/>
  <c r="G20" i="10"/>
  <c r="G21" i="17"/>
  <c r="G21" i="10"/>
  <c r="G22" i="17"/>
  <c r="G22" i="10"/>
  <c r="G23" i="17"/>
  <c r="G23" i="10"/>
  <c r="G24" i="17"/>
  <c r="G24" i="10"/>
  <c r="G25" i="17"/>
  <c r="G25" i="10"/>
  <c r="G26" i="17"/>
  <c r="G26" i="10"/>
  <c r="G27" i="17"/>
  <c r="G27" i="10"/>
  <c r="G28" i="17"/>
  <c r="G28" i="10"/>
  <c r="G29" i="17"/>
  <c r="G29" i="10"/>
  <c r="G30" i="17"/>
  <c r="G30" i="10"/>
  <c r="G31" i="17"/>
  <c r="G31" i="10"/>
  <c r="G32" i="17"/>
  <c r="G32" i="10"/>
  <c r="G33" i="17"/>
  <c r="G33" i="10"/>
  <c r="G34" i="17"/>
  <c r="G34" i="10"/>
  <c r="G35" i="17"/>
  <c r="G35" i="10"/>
  <c r="G36" i="17"/>
  <c r="G36" i="10"/>
  <c r="G37" i="17"/>
  <c r="G37" i="10"/>
  <c r="G38" i="17"/>
  <c r="G38" i="10"/>
  <c r="G39" i="17"/>
  <c r="G39" i="10"/>
  <c r="G40" i="17"/>
  <c r="G40" i="10"/>
  <c r="G41" i="17"/>
  <c r="G41" i="10"/>
  <c r="G42" i="17"/>
  <c r="G42" i="10"/>
  <c r="G43" i="17"/>
  <c r="G43" i="10"/>
  <c r="G44" i="17"/>
  <c r="G44" i="10"/>
  <c r="G45" i="17"/>
  <c r="G45" i="10"/>
  <c r="G46" i="17"/>
  <c r="G46" i="10"/>
  <c r="G47" i="17"/>
  <c r="G47" i="10"/>
  <c r="G48" i="17"/>
  <c r="G48" i="10"/>
  <c r="G49" i="17"/>
  <c r="G49" i="10"/>
  <c r="G50" i="17"/>
  <c r="G50" i="10"/>
  <c r="G51" i="17"/>
  <c r="G51" i="10"/>
  <c r="G52" i="17"/>
  <c r="G52" i="10"/>
  <c r="G53" i="17"/>
  <c r="G53" i="10"/>
  <c r="G54" i="17"/>
  <c r="G54" i="10"/>
  <c r="G55" i="17"/>
  <c r="G55" i="10"/>
  <c r="G56" i="17"/>
  <c r="G56" i="10"/>
  <c r="G57" i="17"/>
  <c r="G57" i="10"/>
  <c r="G58" i="17"/>
  <c r="G58" i="10"/>
  <c r="G59" i="17"/>
  <c r="G59" i="10"/>
  <c r="G60" i="17"/>
  <c r="G60" i="10"/>
  <c r="G61" i="17"/>
  <c r="G61" i="10"/>
  <c r="G62" i="17"/>
  <c r="G62" i="10"/>
  <c r="G63" i="17"/>
  <c r="G63" i="10"/>
  <c r="G64" i="17"/>
  <c r="G64" i="10"/>
  <c r="G65" i="17"/>
  <c r="G65" i="10"/>
  <c r="G66" i="17"/>
  <c r="G66" i="10"/>
  <c r="G67" i="17"/>
  <c r="G67" i="10"/>
  <c r="G68" i="17"/>
  <c r="G68" i="10"/>
  <c r="G69" i="17"/>
  <c r="G69" i="10"/>
  <c r="G70" i="17"/>
  <c r="G70" i="10"/>
  <c r="G71" i="17"/>
  <c r="G71" i="10"/>
  <c r="G72" i="17"/>
  <c r="G72" i="10"/>
  <c r="G73" i="17"/>
  <c r="G73" i="10"/>
  <c r="G74" i="17"/>
  <c r="G74" i="10"/>
  <c r="G76" i="10"/>
  <c r="G76" i="18"/>
  <c r="G78" i="22"/>
  <c r="I4" i="17"/>
  <c r="I4" i="10"/>
  <c r="I5" i="17"/>
  <c r="I5" i="10"/>
  <c r="I6" i="17"/>
  <c r="I6" i="10"/>
  <c r="I7" i="17"/>
  <c r="I7" i="10"/>
  <c r="I8" i="17"/>
  <c r="I8" i="10"/>
  <c r="I9" i="17"/>
  <c r="I9" i="10"/>
  <c r="I10" i="17"/>
  <c r="I10" i="10"/>
  <c r="I11" i="17"/>
  <c r="I11" i="10"/>
  <c r="I12" i="17"/>
  <c r="I12" i="10"/>
  <c r="I13" i="17"/>
  <c r="I13" i="10"/>
  <c r="I14" i="17"/>
  <c r="I14" i="10"/>
  <c r="I15" i="17"/>
  <c r="I15" i="10"/>
  <c r="I16" i="17"/>
  <c r="I16" i="10"/>
  <c r="I17" i="17"/>
  <c r="I17" i="10"/>
  <c r="I18" i="17"/>
  <c r="I18" i="10"/>
  <c r="I19" i="17"/>
  <c r="I19" i="10"/>
  <c r="I20" i="17"/>
  <c r="I20" i="10"/>
  <c r="I21" i="17"/>
  <c r="I21" i="10"/>
  <c r="I22" i="17"/>
  <c r="I22" i="10"/>
  <c r="I23" i="17"/>
  <c r="I23" i="10"/>
  <c r="I24" i="17"/>
  <c r="I24" i="10"/>
  <c r="I25" i="17"/>
  <c r="I25" i="10"/>
  <c r="I26" i="17"/>
  <c r="I26" i="10"/>
  <c r="I27" i="17"/>
  <c r="I27" i="10"/>
  <c r="I28" i="17"/>
  <c r="I28" i="10"/>
  <c r="I29" i="17"/>
  <c r="I29" i="10"/>
  <c r="I30" i="17"/>
  <c r="I30" i="10"/>
  <c r="I31" i="17"/>
  <c r="I31" i="10"/>
  <c r="I32" i="17"/>
  <c r="I32" i="10"/>
  <c r="I33" i="17"/>
  <c r="I33" i="10"/>
  <c r="I34" i="17"/>
  <c r="I34" i="10"/>
  <c r="I35" i="17"/>
  <c r="I35" i="10"/>
  <c r="I36" i="17"/>
  <c r="I36" i="10"/>
  <c r="I37" i="17"/>
  <c r="I37" i="10"/>
  <c r="I38" i="17"/>
  <c r="I38" i="10"/>
  <c r="I39" i="17"/>
  <c r="I39" i="10"/>
  <c r="I40" i="17"/>
  <c r="I40" i="10"/>
  <c r="I41" i="17"/>
  <c r="I41" i="10"/>
  <c r="I42" i="17"/>
  <c r="I42" i="10"/>
  <c r="I43" i="17"/>
  <c r="I43" i="10"/>
  <c r="I44" i="17"/>
  <c r="I44" i="10"/>
  <c r="I45" i="17"/>
  <c r="I45" i="10"/>
  <c r="I46" i="17"/>
  <c r="I46" i="10"/>
  <c r="I47" i="17"/>
  <c r="I47" i="10"/>
  <c r="I48" i="17"/>
  <c r="I48" i="10"/>
  <c r="I49" i="17"/>
  <c r="I49" i="10"/>
  <c r="I50" i="17"/>
  <c r="I50" i="10"/>
  <c r="I51" i="17"/>
  <c r="I51" i="10"/>
  <c r="I52" i="17"/>
  <c r="I52" i="10"/>
  <c r="I53" i="17"/>
  <c r="I53" i="10"/>
  <c r="I54" i="17"/>
  <c r="I54" i="10"/>
  <c r="I55" i="17"/>
  <c r="I55" i="10"/>
  <c r="I56" i="17"/>
  <c r="I56" i="10"/>
  <c r="I57" i="17"/>
  <c r="I57" i="10"/>
  <c r="I58" i="17"/>
  <c r="I58" i="10"/>
  <c r="I59" i="17"/>
  <c r="I59" i="10"/>
  <c r="I60" i="17"/>
  <c r="I60" i="10"/>
  <c r="I61" i="17"/>
  <c r="I61" i="10"/>
  <c r="I62" i="17"/>
  <c r="I62" i="10"/>
  <c r="I63" i="17"/>
  <c r="I63" i="10"/>
  <c r="I64" i="17"/>
  <c r="I64" i="10"/>
  <c r="I65" i="17"/>
  <c r="I65" i="10"/>
  <c r="I66" i="17"/>
  <c r="I66" i="10"/>
  <c r="I67" i="17"/>
  <c r="I67" i="10"/>
  <c r="I68" i="17"/>
  <c r="I68" i="10"/>
  <c r="I69" i="17"/>
  <c r="I69" i="10"/>
  <c r="I70" i="17"/>
  <c r="I70" i="10"/>
  <c r="I71" i="17"/>
  <c r="I71" i="10"/>
  <c r="I72" i="17"/>
  <c r="I72" i="10"/>
  <c r="I73" i="17"/>
  <c r="I73" i="10"/>
  <c r="I74" i="17"/>
  <c r="I74" i="10"/>
  <c r="I76" i="10"/>
  <c r="I76" i="18"/>
  <c r="I78" i="22"/>
  <c r="N4" i="17"/>
  <c r="N4" i="10"/>
  <c r="N5" i="17"/>
  <c r="N5" i="10"/>
  <c r="N6" i="17"/>
  <c r="N6" i="10"/>
  <c r="N7" i="17"/>
  <c r="N7" i="10"/>
  <c r="N8" i="17"/>
  <c r="N8" i="10"/>
  <c r="N9" i="17"/>
  <c r="N9" i="10"/>
  <c r="N10" i="17"/>
  <c r="N10" i="10"/>
  <c r="N11" i="17"/>
  <c r="N11" i="10"/>
  <c r="N12" i="17"/>
  <c r="N12" i="10"/>
  <c r="N13" i="17"/>
  <c r="N13" i="10"/>
  <c r="N14" i="17"/>
  <c r="N14" i="10"/>
  <c r="N15" i="17"/>
  <c r="N15" i="10"/>
  <c r="N16" i="17"/>
  <c r="N16" i="10"/>
  <c r="N17" i="17"/>
  <c r="N17" i="10"/>
  <c r="N18" i="17"/>
  <c r="N18" i="10"/>
  <c r="N19" i="17"/>
  <c r="N19" i="10"/>
  <c r="N20" i="17"/>
  <c r="N20" i="10"/>
  <c r="N21" i="17"/>
  <c r="N21" i="10"/>
  <c r="N22" i="17"/>
  <c r="N22" i="10"/>
  <c r="N23" i="17"/>
  <c r="N23" i="10"/>
  <c r="N24" i="17"/>
  <c r="N24" i="10"/>
  <c r="N25" i="17"/>
  <c r="N25" i="10"/>
  <c r="N26" i="17"/>
  <c r="N26" i="10"/>
  <c r="N27" i="17"/>
  <c r="N27" i="10"/>
  <c r="N28" i="17"/>
  <c r="N28" i="10"/>
  <c r="N29" i="17"/>
  <c r="N29" i="10"/>
  <c r="N30" i="17"/>
  <c r="N30" i="10"/>
  <c r="N31" i="17"/>
  <c r="N31" i="10"/>
  <c r="N32" i="17"/>
  <c r="N32" i="10"/>
  <c r="N33" i="17"/>
  <c r="N33" i="10"/>
  <c r="N34" i="17"/>
  <c r="N34" i="10"/>
  <c r="N35" i="17"/>
  <c r="N35" i="10"/>
  <c r="N36" i="17"/>
  <c r="N36" i="10"/>
  <c r="N37" i="17"/>
  <c r="N37" i="10"/>
  <c r="N38" i="17"/>
  <c r="N38" i="10"/>
  <c r="N39" i="17"/>
  <c r="N39" i="10"/>
  <c r="N40" i="17"/>
  <c r="N40" i="10"/>
  <c r="N41" i="17"/>
  <c r="N41" i="10"/>
  <c r="N42" i="17"/>
  <c r="N42" i="10"/>
  <c r="N43" i="17"/>
  <c r="N43" i="10"/>
  <c r="N44" i="17"/>
  <c r="N44" i="10"/>
  <c r="N45" i="17"/>
  <c r="N45" i="10"/>
  <c r="N46" i="17"/>
  <c r="N46" i="10"/>
  <c r="N47" i="17"/>
  <c r="N47" i="10"/>
  <c r="N48" i="17"/>
  <c r="N48" i="10"/>
  <c r="N49" i="17"/>
  <c r="N49" i="10"/>
  <c r="N50" i="17"/>
  <c r="N50" i="10"/>
  <c r="N51" i="17"/>
  <c r="N51" i="10"/>
  <c r="N52" i="17"/>
  <c r="N52" i="10"/>
  <c r="N53" i="17"/>
  <c r="N53" i="10"/>
  <c r="N54" i="17"/>
  <c r="N54" i="10"/>
  <c r="N55" i="17"/>
  <c r="N55" i="10"/>
  <c r="N56" i="17"/>
  <c r="N56" i="10"/>
  <c r="N57" i="17"/>
  <c r="N57" i="10"/>
  <c r="N58" i="17"/>
  <c r="N58" i="10"/>
  <c r="N59" i="17"/>
  <c r="N59" i="10"/>
  <c r="N60" i="17"/>
  <c r="N60" i="10"/>
  <c r="N61" i="17"/>
  <c r="N61" i="10"/>
  <c r="N62" i="17"/>
  <c r="N62" i="10"/>
  <c r="N63" i="17"/>
  <c r="N63" i="10"/>
  <c r="N64" i="17"/>
  <c r="N64" i="10"/>
  <c r="N65" i="17"/>
  <c r="N65" i="10"/>
  <c r="N66" i="17"/>
  <c r="N66" i="10"/>
  <c r="N67" i="17"/>
  <c r="N67" i="10"/>
  <c r="N68" i="17"/>
  <c r="N68" i="10"/>
  <c r="N69" i="17"/>
  <c r="N69" i="10"/>
  <c r="N70" i="17"/>
  <c r="N70" i="10"/>
  <c r="N71" i="17"/>
  <c r="N71" i="10"/>
  <c r="N72" i="17"/>
  <c r="N72" i="10"/>
  <c r="N73" i="17"/>
  <c r="N73" i="10"/>
  <c r="N74" i="17"/>
  <c r="N74" i="10"/>
  <c r="N76" i="10"/>
  <c r="N76" i="18"/>
  <c r="N78" i="22"/>
  <c r="O4" i="17"/>
  <c r="O4" i="10"/>
  <c r="O5" i="17"/>
  <c r="O5" i="10"/>
  <c r="O6" i="17"/>
  <c r="O6" i="10"/>
  <c r="O7" i="17"/>
  <c r="O7" i="10"/>
  <c r="O8" i="17"/>
  <c r="O8" i="10"/>
  <c r="O9" i="17"/>
  <c r="O9" i="10"/>
  <c r="O10" i="17"/>
  <c r="O10" i="10"/>
  <c r="O11" i="17"/>
  <c r="O11" i="10"/>
  <c r="O12" i="17"/>
  <c r="O12" i="10"/>
  <c r="O13" i="17"/>
  <c r="O13" i="10"/>
  <c r="O14" i="17"/>
  <c r="O14" i="10"/>
  <c r="O15" i="17"/>
  <c r="O15" i="10"/>
  <c r="O16" i="17"/>
  <c r="O16" i="10"/>
  <c r="O17" i="17"/>
  <c r="O17" i="10"/>
  <c r="O18" i="17"/>
  <c r="O18" i="10"/>
  <c r="O19" i="17"/>
  <c r="O19" i="10"/>
  <c r="O20" i="17"/>
  <c r="O20" i="10"/>
  <c r="O21" i="17"/>
  <c r="O21" i="10"/>
  <c r="O22" i="17"/>
  <c r="O22" i="10"/>
  <c r="O23" i="17"/>
  <c r="O23" i="10"/>
  <c r="O24" i="17"/>
  <c r="O24" i="10"/>
  <c r="O25" i="17"/>
  <c r="O25" i="10"/>
  <c r="O26" i="17"/>
  <c r="O26" i="10"/>
  <c r="O27" i="17"/>
  <c r="O27" i="10"/>
  <c r="O28" i="17"/>
  <c r="O28" i="10"/>
  <c r="O29" i="17"/>
  <c r="O29" i="10"/>
  <c r="O30" i="17"/>
  <c r="O30" i="10"/>
  <c r="O31" i="17"/>
  <c r="O31" i="10"/>
  <c r="O32" i="17"/>
  <c r="O32" i="10"/>
  <c r="O33" i="17"/>
  <c r="O33" i="10"/>
  <c r="O34" i="17"/>
  <c r="O34" i="10"/>
  <c r="O35" i="17"/>
  <c r="O35" i="10"/>
  <c r="O36" i="17"/>
  <c r="O36" i="10"/>
  <c r="O37" i="17"/>
  <c r="O37" i="10"/>
  <c r="O38" i="17"/>
  <c r="O38" i="10"/>
  <c r="O39" i="17"/>
  <c r="O39" i="10"/>
  <c r="O40" i="17"/>
  <c r="O40" i="10"/>
  <c r="O41" i="17"/>
  <c r="O41" i="10"/>
  <c r="O42" i="17"/>
  <c r="O42" i="10"/>
  <c r="O43" i="17"/>
  <c r="O43" i="10"/>
  <c r="O44" i="17"/>
  <c r="O44" i="10"/>
  <c r="O45" i="17"/>
  <c r="O45" i="10"/>
  <c r="O46" i="17"/>
  <c r="O46" i="10"/>
  <c r="O47" i="17"/>
  <c r="O47" i="10"/>
  <c r="O48" i="17"/>
  <c r="O48" i="10"/>
  <c r="O49" i="17"/>
  <c r="O49" i="10"/>
  <c r="O50" i="17"/>
  <c r="O50" i="10"/>
  <c r="O51" i="17"/>
  <c r="O51" i="10"/>
  <c r="O52" i="17"/>
  <c r="O52" i="10"/>
  <c r="O53" i="17"/>
  <c r="O53" i="10"/>
  <c r="O54" i="17"/>
  <c r="O54" i="10"/>
  <c r="O55" i="17"/>
  <c r="O55" i="10"/>
  <c r="O56" i="17"/>
  <c r="O56" i="10"/>
  <c r="O57" i="17"/>
  <c r="O57" i="10"/>
  <c r="O58" i="17"/>
  <c r="O58" i="10"/>
  <c r="O59" i="17"/>
  <c r="O59" i="10"/>
  <c r="O60" i="17"/>
  <c r="O60" i="10"/>
  <c r="O61" i="17"/>
  <c r="O61" i="10"/>
  <c r="O62" i="17"/>
  <c r="O62" i="10"/>
  <c r="O63" i="17"/>
  <c r="O63" i="10"/>
  <c r="O64" i="17"/>
  <c r="O64" i="10"/>
  <c r="O65" i="17"/>
  <c r="O65" i="10"/>
  <c r="O66" i="17"/>
  <c r="O66" i="10"/>
  <c r="O67" i="17"/>
  <c r="O67" i="10"/>
  <c r="O68" i="17"/>
  <c r="O68" i="10"/>
  <c r="O69" i="17"/>
  <c r="O69" i="10"/>
  <c r="O70" i="17"/>
  <c r="O70" i="10"/>
  <c r="O71" i="17"/>
  <c r="O71" i="10"/>
  <c r="O72" i="17"/>
  <c r="O72" i="10"/>
  <c r="O73" i="17"/>
  <c r="O73" i="10"/>
  <c r="O74" i="17"/>
  <c r="O74" i="10"/>
  <c r="O76" i="10"/>
  <c r="O76" i="18"/>
  <c r="O78" i="22"/>
  <c r="Q4" i="17"/>
  <c r="Q4" i="10"/>
  <c r="Q5" i="17"/>
  <c r="Q5" i="10"/>
  <c r="Q6" i="17"/>
  <c r="Q6" i="10"/>
  <c r="Q7" i="17"/>
  <c r="Q7" i="10"/>
  <c r="Q8" i="17"/>
  <c r="Q8" i="10"/>
  <c r="Q9" i="17"/>
  <c r="Q9" i="10"/>
  <c r="Q10" i="17"/>
  <c r="Q10" i="10"/>
  <c r="Q11" i="17"/>
  <c r="Q11" i="10"/>
  <c r="Q12" i="17"/>
  <c r="Q12" i="10"/>
  <c r="Q13" i="17"/>
  <c r="Q13" i="10"/>
  <c r="Q14" i="17"/>
  <c r="Q14" i="10"/>
  <c r="Q15" i="17"/>
  <c r="Q15" i="10"/>
  <c r="Q16" i="17"/>
  <c r="Q16" i="10"/>
  <c r="Q17" i="17"/>
  <c r="Q17" i="10"/>
  <c r="Q18" i="17"/>
  <c r="Q18" i="10"/>
  <c r="Q19" i="17"/>
  <c r="Q19" i="10"/>
  <c r="Q20" i="17"/>
  <c r="Q20" i="10"/>
  <c r="Q21" i="17"/>
  <c r="Q21" i="10"/>
  <c r="Q22" i="17"/>
  <c r="Q22" i="10"/>
  <c r="Q23" i="17"/>
  <c r="Q23" i="10"/>
  <c r="Q24" i="17"/>
  <c r="Q24" i="10"/>
  <c r="Q25" i="17"/>
  <c r="Q25" i="10"/>
  <c r="Q26" i="17"/>
  <c r="Q26" i="10"/>
  <c r="Q27" i="17"/>
  <c r="Q27" i="10"/>
  <c r="Q28" i="17"/>
  <c r="Q28" i="10"/>
  <c r="Q29" i="17"/>
  <c r="Q29" i="10"/>
  <c r="Q30" i="17"/>
  <c r="Q30" i="10"/>
  <c r="Q31" i="17"/>
  <c r="Q31" i="10"/>
  <c r="Q32" i="17"/>
  <c r="Q32" i="10"/>
  <c r="Q33" i="17"/>
  <c r="Q33" i="10"/>
  <c r="Q34" i="17"/>
  <c r="Q34" i="10"/>
  <c r="Q35" i="17"/>
  <c r="Q35" i="10"/>
  <c r="Q36" i="17"/>
  <c r="Q36" i="10"/>
  <c r="Q37" i="17"/>
  <c r="Q37" i="10"/>
  <c r="Q38" i="17"/>
  <c r="Q38" i="10"/>
  <c r="Q39" i="17"/>
  <c r="Q39" i="10"/>
  <c r="Q40" i="17"/>
  <c r="Q40" i="10"/>
  <c r="Q41" i="17"/>
  <c r="Q41" i="10"/>
  <c r="Q42" i="17"/>
  <c r="Q42" i="10"/>
  <c r="Q43" i="17"/>
  <c r="Q43" i="10"/>
  <c r="Q44" i="17"/>
  <c r="Q44" i="10"/>
  <c r="Q45" i="17"/>
  <c r="Q45" i="10"/>
  <c r="Q46" i="17"/>
  <c r="Q46" i="10"/>
  <c r="Q47" i="17"/>
  <c r="Q47" i="10"/>
  <c r="Q48" i="17"/>
  <c r="Q48" i="10"/>
  <c r="Q49" i="17"/>
  <c r="Q49" i="10"/>
  <c r="Q50" i="17"/>
  <c r="Q50" i="10"/>
  <c r="Q51" i="17"/>
  <c r="Q51" i="10"/>
  <c r="Q52" i="17"/>
  <c r="Q52" i="10"/>
  <c r="Q53" i="17"/>
  <c r="Q53" i="10"/>
  <c r="Q54" i="17"/>
  <c r="Q54" i="10"/>
  <c r="Q55" i="17"/>
  <c r="Q55" i="10"/>
  <c r="Q56" i="17"/>
  <c r="Q56" i="10"/>
  <c r="Q57" i="17"/>
  <c r="Q57" i="10"/>
  <c r="Q58" i="17"/>
  <c r="Q58" i="10"/>
  <c r="Q59" i="17"/>
  <c r="Q59" i="10"/>
  <c r="Q60" i="17"/>
  <c r="Q60" i="10"/>
  <c r="Q61" i="17"/>
  <c r="Q61" i="10"/>
  <c r="Q62" i="17"/>
  <c r="Q62" i="10"/>
  <c r="Q63" i="17"/>
  <c r="Q63" i="10"/>
  <c r="Q64" i="17"/>
  <c r="Q64" i="10"/>
  <c r="Q65" i="17"/>
  <c r="Q65" i="10"/>
  <c r="Q66" i="17"/>
  <c r="Q66" i="10"/>
  <c r="Q67" i="17"/>
  <c r="Q67" i="10"/>
  <c r="Q68" i="17"/>
  <c r="Q68" i="10"/>
  <c r="Q69" i="17"/>
  <c r="Q69" i="10"/>
  <c r="Q70" i="17"/>
  <c r="Q70" i="10"/>
  <c r="Q71" i="17"/>
  <c r="Q71" i="10"/>
  <c r="Q72" i="17"/>
  <c r="Q72" i="10"/>
  <c r="Q73" i="17"/>
  <c r="Q73" i="10"/>
  <c r="Q74" i="17"/>
  <c r="Q74" i="10"/>
  <c r="Q76" i="10"/>
  <c r="Q76" i="18"/>
  <c r="Q78" i="22"/>
  <c r="W4" i="17"/>
  <c r="W4" i="10"/>
  <c r="W5" i="17"/>
  <c r="W5" i="10"/>
  <c r="W6" i="17"/>
  <c r="W6" i="10"/>
  <c r="W7" i="17"/>
  <c r="W7" i="10"/>
  <c r="W8" i="17"/>
  <c r="W8" i="10"/>
  <c r="W9" i="17"/>
  <c r="W9" i="10"/>
  <c r="W10" i="17"/>
  <c r="W10" i="10"/>
  <c r="W11" i="17"/>
  <c r="W11" i="10"/>
  <c r="W12" i="17"/>
  <c r="W12" i="10"/>
  <c r="W13" i="17"/>
  <c r="W13" i="10"/>
  <c r="W14" i="17"/>
  <c r="W14" i="10"/>
  <c r="W15" i="17"/>
  <c r="W15" i="10"/>
  <c r="W16" i="17"/>
  <c r="W16" i="10"/>
  <c r="W17" i="17"/>
  <c r="W17" i="10"/>
  <c r="W18" i="17"/>
  <c r="W18" i="10"/>
  <c r="W19" i="17"/>
  <c r="W19" i="10"/>
  <c r="W20" i="17"/>
  <c r="W20" i="10"/>
  <c r="W21" i="17"/>
  <c r="W21" i="10"/>
  <c r="W22" i="17"/>
  <c r="W22" i="10"/>
  <c r="W23" i="17"/>
  <c r="W23" i="10"/>
  <c r="W24" i="17"/>
  <c r="W24" i="10"/>
  <c r="W25" i="17"/>
  <c r="W25" i="10"/>
  <c r="W26" i="17"/>
  <c r="W26" i="10"/>
  <c r="W27" i="17"/>
  <c r="W27" i="10"/>
  <c r="W28" i="17"/>
  <c r="W28" i="10"/>
  <c r="W29" i="17"/>
  <c r="W29" i="10"/>
  <c r="W30" i="17"/>
  <c r="W30" i="10"/>
  <c r="W31" i="17"/>
  <c r="W31" i="10"/>
  <c r="W32" i="17"/>
  <c r="W32" i="10"/>
  <c r="W33" i="17"/>
  <c r="W33" i="10"/>
  <c r="W34" i="17"/>
  <c r="W34" i="10"/>
  <c r="W35" i="17"/>
  <c r="W35" i="10"/>
  <c r="W36" i="17"/>
  <c r="W36" i="10"/>
  <c r="W37" i="17"/>
  <c r="W37" i="10"/>
  <c r="W38" i="17"/>
  <c r="W38" i="10"/>
  <c r="W39" i="17"/>
  <c r="W39" i="10"/>
  <c r="W40" i="17"/>
  <c r="W40" i="10"/>
  <c r="W41" i="17"/>
  <c r="W41" i="10"/>
  <c r="W42" i="17"/>
  <c r="W42" i="10"/>
  <c r="W43" i="17"/>
  <c r="W43" i="10"/>
  <c r="W44" i="17"/>
  <c r="W44" i="10"/>
  <c r="W45" i="17"/>
  <c r="W45" i="10"/>
  <c r="W46" i="17"/>
  <c r="W46" i="10"/>
  <c r="W47" i="17"/>
  <c r="W47" i="10"/>
  <c r="W48" i="17"/>
  <c r="W48" i="10"/>
  <c r="W49" i="17"/>
  <c r="W49" i="10"/>
  <c r="W50" i="17"/>
  <c r="W50" i="10"/>
  <c r="W51" i="17"/>
  <c r="W51" i="10"/>
  <c r="W52" i="17"/>
  <c r="W52" i="10"/>
  <c r="W53" i="17"/>
  <c r="W53" i="10"/>
  <c r="W54" i="17"/>
  <c r="W54" i="10"/>
  <c r="W55" i="17"/>
  <c r="W55" i="10"/>
  <c r="W56" i="17"/>
  <c r="W56" i="10"/>
  <c r="W57" i="17"/>
  <c r="W57" i="10"/>
  <c r="W58" i="17"/>
  <c r="W58" i="10"/>
  <c r="W59" i="17"/>
  <c r="W59" i="10"/>
  <c r="W60" i="17"/>
  <c r="W60" i="10"/>
  <c r="W61" i="17"/>
  <c r="W61" i="10"/>
  <c r="W62" i="17"/>
  <c r="W62" i="10"/>
  <c r="W63" i="17"/>
  <c r="W63" i="10"/>
  <c r="W64" i="17"/>
  <c r="W64" i="10"/>
  <c r="W65" i="17"/>
  <c r="W65" i="10"/>
  <c r="W66" i="17"/>
  <c r="W66" i="10"/>
  <c r="W67" i="17"/>
  <c r="W67" i="10"/>
  <c r="W68" i="17"/>
  <c r="W68" i="10"/>
  <c r="W69" i="17"/>
  <c r="W69" i="10"/>
  <c r="W70" i="17"/>
  <c r="W70" i="10"/>
  <c r="W71" i="17"/>
  <c r="W71" i="10"/>
  <c r="W72" i="17"/>
  <c r="W72" i="10"/>
  <c r="W73" i="17"/>
  <c r="W73" i="10"/>
  <c r="W74" i="17"/>
  <c r="W74" i="10"/>
  <c r="W76" i="10"/>
  <c r="W76" i="18"/>
  <c r="W78" i="22"/>
  <c r="Y4" i="17"/>
  <c r="Y4" i="10"/>
  <c r="Y5" i="17"/>
  <c r="Y5" i="10"/>
  <c r="Y6" i="17"/>
  <c r="Y6" i="10"/>
  <c r="Y7" i="17"/>
  <c r="Y7" i="10"/>
  <c r="Y8" i="17"/>
  <c r="Y8" i="10"/>
  <c r="Y9" i="17"/>
  <c r="Y9" i="10"/>
  <c r="Y10" i="17"/>
  <c r="Y10" i="10"/>
  <c r="Y11" i="17"/>
  <c r="Y11" i="10"/>
  <c r="Y12" i="17"/>
  <c r="Y12" i="10"/>
  <c r="Y13" i="17"/>
  <c r="Y13" i="10"/>
  <c r="Y14" i="17"/>
  <c r="Y14" i="10"/>
  <c r="Y15" i="17"/>
  <c r="Y15" i="10"/>
  <c r="Y16" i="17"/>
  <c r="Y16" i="10"/>
  <c r="Y17" i="17"/>
  <c r="Y17" i="10"/>
  <c r="Y18" i="17"/>
  <c r="Y18" i="10"/>
  <c r="Y19" i="17"/>
  <c r="Y19" i="10"/>
  <c r="Y20" i="17"/>
  <c r="Y20" i="10"/>
  <c r="Y21" i="17"/>
  <c r="Y21" i="10"/>
  <c r="Y22" i="17"/>
  <c r="Y22" i="10"/>
  <c r="Y23" i="17"/>
  <c r="Y23" i="10"/>
  <c r="Y24" i="17"/>
  <c r="Y24" i="10"/>
  <c r="Y25" i="17"/>
  <c r="Y25" i="10"/>
  <c r="Y26" i="17"/>
  <c r="Y26" i="10"/>
  <c r="Y27" i="17"/>
  <c r="Y27" i="10"/>
  <c r="Y28" i="17"/>
  <c r="Y28" i="10"/>
  <c r="Y29" i="17"/>
  <c r="Y29" i="10"/>
  <c r="Y30" i="17"/>
  <c r="Y30" i="10"/>
  <c r="Y31" i="17"/>
  <c r="Y31" i="10"/>
  <c r="Y32" i="17"/>
  <c r="Y32" i="10"/>
  <c r="Y33" i="17"/>
  <c r="Y33" i="10"/>
  <c r="Y34" i="17"/>
  <c r="Y34" i="10"/>
  <c r="Y35" i="17"/>
  <c r="Y35" i="10"/>
  <c r="Y36" i="17"/>
  <c r="Y36" i="10"/>
  <c r="Y37" i="17"/>
  <c r="Y37" i="10"/>
  <c r="Y38" i="17"/>
  <c r="Y38" i="10"/>
  <c r="Y39" i="17"/>
  <c r="Y39" i="10"/>
  <c r="Y40" i="17"/>
  <c r="Y40" i="10"/>
  <c r="Y41" i="17"/>
  <c r="Y41" i="10"/>
  <c r="Y42" i="17"/>
  <c r="Y42" i="10"/>
  <c r="Y43" i="17"/>
  <c r="Y43" i="10"/>
  <c r="Y44" i="17"/>
  <c r="Y44" i="10"/>
  <c r="Y45" i="17"/>
  <c r="Y45" i="10"/>
  <c r="Y46" i="17"/>
  <c r="Y46" i="10"/>
  <c r="Y47" i="17"/>
  <c r="Y47" i="10"/>
  <c r="Y48" i="17"/>
  <c r="Y48" i="10"/>
  <c r="Y49" i="17"/>
  <c r="Y49" i="10"/>
  <c r="Y50" i="17"/>
  <c r="Y50" i="10"/>
  <c r="Y51" i="17"/>
  <c r="Y51" i="10"/>
  <c r="Y52" i="17"/>
  <c r="Y52" i="10"/>
  <c r="Y53" i="17"/>
  <c r="Y53" i="10"/>
  <c r="Y54" i="17"/>
  <c r="Y54" i="10"/>
  <c r="Y55" i="17"/>
  <c r="Y55" i="10"/>
  <c r="Y56" i="17"/>
  <c r="Y56" i="10"/>
  <c r="Y57" i="17"/>
  <c r="Y57" i="10"/>
  <c r="Y58" i="17"/>
  <c r="Y58" i="10"/>
  <c r="Y59" i="17"/>
  <c r="Y59" i="10"/>
  <c r="Y60" i="17"/>
  <c r="Y60" i="10"/>
  <c r="Y61" i="17"/>
  <c r="Y61" i="10"/>
  <c r="Y62" i="17"/>
  <c r="Y62" i="10"/>
  <c r="Y63" i="17"/>
  <c r="Y63" i="10"/>
  <c r="Y64" i="17"/>
  <c r="Y64" i="10"/>
  <c r="Y65" i="17"/>
  <c r="Y65" i="10"/>
  <c r="Y66" i="17"/>
  <c r="Y66" i="10"/>
  <c r="Y67" i="17"/>
  <c r="Y67" i="10"/>
  <c r="Y68" i="17"/>
  <c r="Y68" i="10"/>
  <c r="Y69" i="17"/>
  <c r="Y69" i="10"/>
  <c r="Y70" i="17"/>
  <c r="Y70" i="10"/>
  <c r="Y71" i="17"/>
  <c r="Y71" i="10"/>
  <c r="Y72" i="17"/>
  <c r="Y72" i="10"/>
  <c r="Y73" i="17"/>
  <c r="Y73" i="10"/>
  <c r="Y74" i="17"/>
  <c r="Y74" i="10"/>
  <c r="Y76" i="10"/>
  <c r="Y76" i="18"/>
  <c r="Y78" i="22"/>
  <c r="F7" i="22"/>
  <c r="G7" i="22"/>
  <c r="I7" i="22"/>
  <c r="N7" i="22"/>
  <c r="O7" i="22"/>
  <c r="Q7" i="22"/>
  <c r="W7" i="22"/>
  <c r="Y7" i="22"/>
  <c r="F8" i="22"/>
  <c r="G8" i="22"/>
  <c r="I8" i="22"/>
  <c r="N8" i="22"/>
  <c r="O8" i="22"/>
  <c r="Q8" i="22"/>
  <c r="W8" i="22"/>
  <c r="Y8" i="22"/>
  <c r="F9" i="22"/>
  <c r="G9" i="22"/>
  <c r="I9" i="22"/>
  <c r="N9" i="22"/>
  <c r="O9" i="22"/>
  <c r="Q9" i="22"/>
  <c r="W9" i="22"/>
  <c r="Y9" i="22"/>
  <c r="F10" i="22"/>
  <c r="G10" i="22"/>
  <c r="I10" i="22"/>
  <c r="N10" i="22"/>
  <c r="O10" i="22"/>
  <c r="Q10" i="22"/>
  <c r="W10" i="22"/>
  <c r="Y10" i="22"/>
  <c r="F11" i="22"/>
  <c r="G11" i="22"/>
  <c r="I11" i="22"/>
  <c r="N11" i="22"/>
  <c r="O11" i="22"/>
  <c r="Q11" i="22"/>
  <c r="W11" i="22"/>
  <c r="Y11" i="22"/>
  <c r="F12" i="22"/>
  <c r="G12" i="22"/>
  <c r="I12" i="22"/>
  <c r="N12" i="22"/>
  <c r="O12" i="22"/>
  <c r="Q12" i="22"/>
  <c r="W12" i="22"/>
  <c r="Y12" i="22"/>
  <c r="F13" i="22"/>
  <c r="G13" i="22"/>
  <c r="I13" i="22"/>
  <c r="N13" i="22"/>
  <c r="O13" i="22"/>
  <c r="Q13" i="22"/>
  <c r="W13" i="22"/>
  <c r="Y13" i="22"/>
  <c r="F14" i="22"/>
  <c r="G14" i="22"/>
  <c r="I14" i="22"/>
  <c r="N14" i="22"/>
  <c r="O14" i="22"/>
  <c r="Q14" i="22"/>
  <c r="W14" i="22"/>
  <c r="Y14" i="22"/>
  <c r="F15" i="22"/>
  <c r="G15" i="22"/>
  <c r="I15" i="22"/>
  <c r="N15" i="22"/>
  <c r="O15" i="22"/>
  <c r="Q15" i="22"/>
  <c r="W15" i="22"/>
  <c r="Y15" i="22"/>
  <c r="F16" i="22"/>
  <c r="G16" i="22"/>
  <c r="I16" i="22"/>
  <c r="N16" i="22"/>
  <c r="O16" i="22"/>
  <c r="Q16" i="22"/>
  <c r="W16" i="22"/>
  <c r="Y16" i="22"/>
  <c r="F17" i="22"/>
  <c r="G17" i="22"/>
  <c r="I17" i="22"/>
  <c r="N17" i="22"/>
  <c r="O17" i="22"/>
  <c r="Q17" i="22"/>
  <c r="W17" i="22"/>
  <c r="Y17" i="22"/>
  <c r="F18" i="22"/>
  <c r="G18" i="22"/>
  <c r="I18" i="22"/>
  <c r="N18" i="22"/>
  <c r="O18" i="22"/>
  <c r="Q18" i="22"/>
  <c r="W18" i="22"/>
  <c r="Y18" i="22"/>
  <c r="F19" i="22"/>
  <c r="G19" i="22"/>
  <c r="I19" i="22"/>
  <c r="N19" i="22"/>
  <c r="O19" i="22"/>
  <c r="Q19" i="22"/>
  <c r="W19" i="22"/>
  <c r="Y19" i="22"/>
  <c r="F20" i="22"/>
  <c r="G20" i="22"/>
  <c r="I20" i="22"/>
  <c r="N20" i="22"/>
  <c r="O20" i="22"/>
  <c r="Q20" i="22"/>
  <c r="W20" i="22"/>
  <c r="Y20" i="22"/>
  <c r="F21" i="22"/>
  <c r="G21" i="22"/>
  <c r="I21" i="22"/>
  <c r="N21" i="22"/>
  <c r="O21" i="22"/>
  <c r="Q21" i="22"/>
  <c r="W21" i="22"/>
  <c r="Y21" i="22"/>
  <c r="F22" i="22"/>
  <c r="G22" i="22"/>
  <c r="I22" i="22"/>
  <c r="N22" i="22"/>
  <c r="O22" i="22"/>
  <c r="Q22" i="22"/>
  <c r="W22" i="22"/>
  <c r="Y22" i="22"/>
  <c r="F23" i="22"/>
  <c r="G23" i="22"/>
  <c r="I23" i="22"/>
  <c r="N23" i="22"/>
  <c r="O23" i="22"/>
  <c r="Q23" i="22"/>
  <c r="W23" i="22"/>
  <c r="Y23" i="22"/>
  <c r="F24" i="22"/>
  <c r="G24" i="22"/>
  <c r="I24" i="22"/>
  <c r="N24" i="22"/>
  <c r="O24" i="22"/>
  <c r="Q24" i="22"/>
  <c r="W24" i="22"/>
  <c r="Y24" i="22"/>
  <c r="F25" i="22"/>
  <c r="G25" i="22"/>
  <c r="I25" i="22"/>
  <c r="N25" i="22"/>
  <c r="O25" i="22"/>
  <c r="Q25" i="22"/>
  <c r="W25" i="22"/>
  <c r="Y25" i="22"/>
  <c r="F26" i="22"/>
  <c r="G26" i="22"/>
  <c r="I26" i="22"/>
  <c r="N26" i="22"/>
  <c r="O26" i="22"/>
  <c r="Q26" i="22"/>
  <c r="W26" i="22"/>
  <c r="Y26" i="22"/>
  <c r="F27" i="22"/>
  <c r="G27" i="22"/>
  <c r="I27" i="22"/>
  <c r="N27" i="22"/>
  <c r="O27" i="22"/>
  <c r="Q27" i="22"/>
  <c r="W27" i="22"/>
  <c r="Y27" i="22"/>
  <c r="F28" i="22"/>
  <c r="G28" i="22"/>
  <c r="I28" i="22"/>
  <c r="N28" i="22"/>
  <c r="O28" i="22"/>
  <c r="Q28" i="22"/>
  <c r="W28" i="22"/>
  <c r="Y28" i="22"/>
  <c r="F29" i="22"/>
  <c r="G29" i="22"/>
  <c r="I29" i="22"/>
  <c r="N29" i="22"/>
  <c r="O29" i="22"/>
  <c r="Q29" i="22"/>
  <c r="W29" i="22"/>
  <c r="Y29" i="22"/>
  <c r="F30" i="22"/>
  <c r="G30" i="22"/>
  <c r="I30" i="22"/>
  <c r="N30" i="22"/>
  <c r="O30" i="22"/>
  <c r="Q30" i="22"/>
  <c r="W30" i="22"/>
  <c r="Y30" i="22"/>
  <c r="F31" i="22"/>
  <c r="G31" i="22"/>
  <c r="I31" i="22"/>
  <c r="N31" i="22"/>
  <c r="O31" i="22"/>
  <c r="Q31" i="22"/>
  <c r="W31" i="22"/>
  <c r="Y31" i="22"/>
  <c r="F32" i="22"/>
  <c r="G32" i="22"/>
  <c r="I32" i="22"/>
  <c r="N32" i="22"/>
  <c r="O32" i="22"/>
  <c r="Q32" i="22"/>
  <c r="W32" i="22"/>
  <c r="Y32" i="22"/>
  <c r="F33" i="22"/>
  <c r="G33" i="22"/>
  <c r="I33" i="22"/>
  <c r="N33" i="22"/>
  <c r="O33" i="22"/>
  <c r="Q33" i="22"/>
  <c r="W33" i="22"/>
  <c r="Y33" i="22"/>
  <c r="F34" i="22"/>
  <c r="G34" i="22"/>
  <c r="I34" i="22"/>
  <c r="N34" i="22"/>
  <c r="O34" i="22"/>
  <c r="Q34" i="22"/>
  <c r="W34" i="22"/>
  <c r="Y34" i="22"/>
  <c r="F35" i="22"/>
  <c r="G35" i="22"/>
  <c r="I35" i="22"/>
  <c r="N35" i="22"/>
  <c r="O35" i="22"/>
  <c r="Q35" i="22"/>
  <c r="W35" i="22"/>
  <c r="Y35" i="22"/>
  <c r="F36" i="22"/>
  <c r="G36" i="22"/>
  <c r="I36" i="22"/>
  <c r="N36" i="22"/>
  <c r="O36" i="22"/>
  <c r="Q36" i="22"/>
  <c r="W36" i="22"/>
  <c r="Y36" i="22"/>
  <c r="F37" i="22"/>
  <c r="G37" i="22"/>
  <c r="I37" i="22"/>
  <c r="N37" i="22"/>
  <c r="O37" i="22"/>
  <c r="Q37" i="22"/>
  <c r="W37" i="22"/>
  <c r="Y37" i="22"/>
  <c r="F38" i="22"/>
  <c r="G38" i="22"/>
  <c r="I38" i="22"/>
  <c r="N38" i="22"/>
  <c r="O38" i="22"/>
  <c r="Q38" i="22"/>
  <c r="W38" i="22"/>
  <c r="Y38" i="22"/>
  <c r="F39" i="22"/>
  <c r="G39" i="22"/>
  <c r="I39" i="22"/>
  <c r="N39" i="22"/>
  <c r="O39" i="22"/>
  <c r="Q39" i="22"/>
  <c r="W39" i="22"/>
  <c r="Y39" i="22"/>
  <c r="F40" i="22"/>
  <c r="G40" i="22"/>
  <c r="I40" i="22"/>
  <c r="N40" i="22"/>
  <c r="O40" i="22"/>
  <c r="Q40" i="22"/>
  <c r="W40" i="22"/>
  <c r="Y40" i="22"/>
  <c r="F41" i="22"/>
  <c r="G41" i="22"/>
  <c r="I41" i="22"/>
  <c r="N41" i="22"/>
  <c r="O41" i="22"/>
  <c r="Q41" i="22"/>
  <c r="W41" i="22"/>
  <c r="Y41" i="22"/>
  <c r="F42" i="22"/>
  <c r="G42" i="22"/>
  <c r="I42" i="22"/>
  <c r="N42" i="22"/>
  <c r="O42" i="22"/>
  <c r="Q42" i="22"/>
  <c r="W42" i="22"/>
  <c r="Y42" i="22"/>
  <c r="F43" i="22"/>
  <c r="G43" i="22"/>
  <c r="I43" i="22"/>
  <c r="N43" i="22"/>
  <c r="O43" i="22"/>
  <c r="Q43" i="22"/>
  <c r="W43" i="22"/>
  <c r="Y43" i="22"/>
  <c r="F44" i="22"/>
  <c r="G44" i="22"/>
  <c r="I44" i="22"/>
  <c r="N44" i="22"/>
  <c r="O44" i="22"/>
  <c r="Q44" i="22"/>
  <c r="W44" i="22"/>
  <c r="Y44" i="22"/>
  <c r="F45" i="22"/>
  <c r="G45" i="22"/>
  <c r="I45" i="22"/>
  <c r="N45" i="22"/>
  <c r="O45" i="22"/>
  <c r="Q45" i="22"/>
  <c r="W45" i="22"/>
  <c r="Y45" i="22"/>
  <c r="F46" i="22"/>
  <c r="G46" i="22"/>
  <c r="I46" i="22"/>
  <c r="N46" i="22"/>
  <c r="O46" i="22"/>
  <c r="Q46" i="22"/>
  <c r="W46" i="22"/>
  <c r="Y46" i="22"/>
  <c r="F47" i="22"/>
  <c r="G47" i="22"/>
  <c r="I47" i="22"/>
  <c r="N47" i="22"/>
  <c r="O47" i="22"/>
  <c r="Q47" i="22"/>
  <c r="W47" i="22"/>
  <c r="Y47" i="22"/>
  <c r="F48" i="22"/>
  <c r="G48" i="22"/>
  <c r="I48" i="22"/>
  <c r="N48" i="22"/>
  <c r="O48" i="22"/>
  <c r="Q48" i="22"/>
  <c r="W48" i="22"/>
  <c r="Y48" i="22"/>
  <c r="F49" i="22"/>
  <c r="G49" i="22"/>
  <c r="I49" i="22"/>
  <c r="N49" i="22"/>
  <c r="O49" i="22"/>
  <c r="Q49" i="22"/>
  <c r="W49" i="22"/>
  <c r="Y49" i="22"/>
  <c r="F50" i="22"/>
  <c r="G50" i="22"/>
  <c r="I50" i="22"/>
  <c r="N50" i="22"/>
  <c r="O50" i="22"/>
  <c r="Q50" i="22"/>
  <c r="W50" i="22"/>
  <c r="Y50" i="22"/>
  <c r="F51" i="22"/>
  <c r="G51" i="22"/>
  <c r="I51" i="22"/>
  <c r="N51" i="22"/>
  <c r="O51" i="22"/>
  <c r="Q51" i="22"/>
  <c r="W51" i="22"/>
  <c r="Y51" i="22"/>
  <c r="F52" i="22"/>
  <c r="G52" i="22"/>
  <c r="I52" i="22"/>
  <c r="N52" i="22"/>
  <c r="O52" i="22"/>
  <c r="Q52" i="22"/>
  <c r="W52" i="22"/>
  <c r="Y52" i="22"/>
  <c r="F53" i="22"/>
  <c r="G53" i="22"/>
  <c r="I53" i="22"/>
  <c r="N53" i="22"/>
  <c r="O53" i="22"/>
  <c r="Q53" i="22"/>
  <c r="W53" i="22"/>
  <c r="Y53" i="22"/>
  <c r="F54" i="22"/>
  <c r="G54" i="22"/>
  <c r="I54" i="22"/>
  <c r="N54" i="22"/>
  <c r="O54" i="22"/>
  <c r="Q54" i="22"/>
  <c r="W54" i="22"/>
  <c r="Y54" i="22"/>
  <c r="F55" i="22"/>
  <c r="G55" i="22"/>
  <c r="I55" i="22"/>
  <c r="N55" i="22"/>
  <c r="O55" i="22"/>
  <c r="Q55" i="22"/>
  <c r="W55" i="22"/>
  <c r="Y55" i="22"/>
  <c r="F56" i="22"/>
  <c r="G56" i="22"/>
  <c r="I56" i="22"/>
  <c r="N56" i="22"/>
  <c r="O56" i="22"/>
  <c r="Q56" i="22"/>
  <c r="W56" i="22"/>
  <c r="Y56" i="22"/>
  <c r="F57" i="22"/>
  <c r="G57" i="22"/>
  <c r="I57" i="22"/>
  <c r="N57" i="22"/>
  <c r="O57" i="22"/>
  <c r="Q57" i="22"/>
  <c r="W57" i="22"/>
  <c r="Y57" i="22"/>
  <c r="F58" i="22"/>
  <c r="G58" i="22"/>
  <c r="I58" i="22"/>
  <c r="N58" i="22"/>
  <c r="O58" i="22"/>
  <c r="Q58" i="22"/>
  <c r="W58" i="22"/>
  <c r="Y58" i="22"/>
  <c r="F59" i="22"/>
  <c r="G59" i="22"/>
  <c r="I59" i="22"/>
  <c r="N59" i="22"/>
  <c r="O59" i="22"/>
  <c r="Q59" i="22"/>
  <c r="W59" i="22"/>
  <c r="Y59" i="22"/>
  <c r="F60" i="22"/>
  <c r="G60" i="22"/>
  <c r="I60" i="22"/>
  <c r="N60" i="22"/>
  <c r="O60" i="22"/>
  <c r="Q60" i="22"/>
  <c r="W60" i="22"/>
  <c r="Y60" i="22"/>
  <c r="F61" i="22"/>
  <c r="G61" i="22"/>
  <c r="I61" i="22"/>
  <c r="N61" i="22"/>
  <c r="O61" i="22"/>
  <c r="Q61" i="22"/>
  <c r="W61" i="22"/>
  <c r="Y61" i="22"/>
  <c r="F62" i="22"/>
  <c r="G62" i="22"/>
  <c r="I62" i="22"/>
  <c r="N62" i="22"/>
  <c r="O62" i="22"/>
  <c r="Q62" i="22"/>
  <c r="W62" i="22"/>
  <c r="Y62" i="22"/>
  <c r="F63" i="22"/>
  <c r="G63" i="22"/>
  <c r="I63" i="22"/>
  <c r="N63" i="22"/>
  <c r="O63" i="22"/>
  <c r="Q63" i="22"/>
  <c r="W63" i="22"/>
  <c r="Y63" i="22"/>
  <c r="F64" i="22"/>
  <c r="G64" i="22"/>
  <c r="I64" i="22"/>
  <c r="N64" i="22"/>
  <c r="O64" i="22"/>
  <c r="Q64" i="22"/>
  <c r="W64" i="22"/>
  <c r="Y64" i="22"/>
  <c r="F65" i="22"/>
  <c r="G65" i="22"/>
  <c r="I65" i="22"/>
  <c r="N65" i="22"/>
  <c r="O65" i="22"/>
  <c r="Q65" i="22"/>
  <c r="W65" i="22"/>
  <c r="Y65" i="22"/>
  <c r="F66" i="22"/>
  <c r="G66" i="22"/>
  <c r="I66" i="22"/>
  <c r="N66" i="22"/>
  <c r="O66" i="22"/>
  <c r="Q66" i="22"/>
  <c r="W66" i="22"/>
  <c r="Y66" i="22"/>
  <c r="F67" i="22"/>
  <c r="G67" i="22"/>
  <c r="I67" i="22"/>
  <c r="N67" i="22"/>
  <c r="O67" i="22"/>
  <c r="Q67" i="22"/>
  <c r="W67" i="22"/>
  <c r="Y67" i="22"/>
  <c r="F68" i="22"/>
  <c r="G68" i="22"/>
  <c r="I68" i="22"/>
  <c r="N68" i="22"/>
  <c r="O68" i="22"/>
  <c r="Q68" i="22"/>
  <c r="W68" i="22"/>
  <c r="Y68" i="22"/>
  <c r="F69" i="22"/>
  <c r="G69" i="22"/>
  <c r="I69" i="22"/>
  <c r="N69" i="22"/>
  <c r="O69" i="22"/>
  <c r="Q69" i="22"/>
  <c r="W69" i="22"/>
  <c r="Y69" i="22"/>
  <c r="F70" i="22"/>
  <c r="G70" i="22"/>
  <c r="I70" i="22"/>
  <c r="N70" i="22"/>
  <c r="O70" i="22"/>
  <c r="Q70" i="22"/>
  <c r="W70" i="22"/>
  <c r="Y70" i="22"/>
  <c r="F71" i="22"/>
  <c r="G71" i="22"/>
  <c r="I71" i="22"/>
  <c r="N71" i="22"/>
  <c r="O71" i="22"/>
  <c r="Q71" i="22"/>
  <c r="W71" i="22"/>
  <c r="Y71" i="22"/>
  <c r="F72" i="22"/>
  <c r="G72" i="22"/>
  <c r="I72" i="22"/>
  <c r="N72" i="22"/>
  <c r="O72" i="22"/>
  <c r="Q72" i="22"/>
  <c r="W72" i="22"/>
  <c r="Y72" i="22"/>
  <c r="F73" i="22"/>
  <c r="G73" i="22"/>
  <c r="I73" i="22"/>
  <c r="N73" i="22"/>
  <c r="O73" i="22"/>
  <c r="Q73" i="22"/>
  <c r="W73" i="22"/>
  <c r="Y73" i="22"/>
  <c r="F74" i="22"/>
  <c r="G74" i="22"/>
  <c r="I74" i="22"/>
  <c r="N74" i="22"/>
  <c r="O74" i="22"/>
  <c r="Q74" i="22"/>
  <c r="W74" i="22"/>
  <c r="Y74" i="22"/>
  <c r="F75" i="22"/>
  <c r="G75" i="22"/>
  <c r="I75" i="22"/>
  <c r="N75" i="22"/>
  <c r="O75" i="22"/>
  <c r="Q75" i="22"/>
  <c r="W75" i="22"/>
  <c r="Y75" i="22"/>
  <c r="F76" i="22"/>
  <c r="G76" i="22"/>
  <c r="I76" i="22"/>
  <c r="N76" i="22"/>
  <c r="O76" i="22"/>
  <c r="Q76" i="22"/>
  <c r="W76" i="22"/>
  <c r="Y76" i="22"/>
  <c r="N6" i="22"/>
  <c r="O6" i="22"/>
  <c r="Q6" i="22"/>
  <c r="W6" i="22"/>
  <c r="Y6" i="22"/>
  <c r="F6" i="22"/>
  <c r="G6" i="22"/>
  <c r="I6" i="22"/>
  <c r="H7" i="12"/>
  <c r="B7" i="13"/>
  <c r="H8" i="12"/>
  <c r="B8" i="13"/>
  <c r="H9" i="12"/>
  <c r="B9" i="13"/>
  <c r="H10" i="12"/>
  <c r="B10" i="13"/>
  <c r="H11" i="12"/>
  <c r="B11" i="13"/>
  <c r="H12" i="12"/>
  <c r="B12" i="13"/>
  <c r="H13" i="12"/>
  <c r="B13" i="13"/>
  <c r="H14" i="12"/>
  <c r="B14" i="13"/>
  <c r="H15" i="12"/>
  <c r="B15" i="13"/>
  <c r="H16" i="12"/>
  <c r="B16" i="13"/>
  <c r="H17" i="12"/>
  <c r="B17" i="13"/>
  <c r="H18" i="12"/>
  <c r="B18" i="13"/>
  <c r="H19" i="12"/>
  <c r="B19" i="13"/>
  <c r="H20" i="12"/>
  <c r="B20" i="13"/>
  <c r="H21" i="12"/>
  <c r="B21" i="13"/>
  <c r="H22" i="12"/>
  <c r="B22" i="13"/>
  <c r="H23" i="12"/>
  <c r="B23" i="13"/>
  <c r="H24" i="12"/>
  <c r="B24" i="13"/>
  <c r="H25" i="12"/>
  <c r="B25" i="13"/>
  <c r="H26" i="12"/>
  <c r="B26" i="13"/>
  <c r="H27" i="12"/>
  <c r="B27" i="13"/>
  <c r="H28" i="12"/>
  <c r="B28" i="13"/>
  <c r="H29" i="12"/>
  <c r="B29" i="13"/>
  <c r="H30" i="12"/>
  <c r="B30" i="13"/>
  <c r="H31" i="12"/>
  <c r="B31" i="13"/>
  <c r="H32" i="12"/>
  <c r="B32" i="13"/>
  <c r="H33" i="12"/>
  <c r="B33" i="13"/>
  <c r="H34" i="12"/>
  <c r="B34" i="13"/>
  <c r="H35" i="12"/>
  <c r="B35" i="13"/>
  <c r="H36" i="12"/>
  <c r="B36" i="13"/>
  <c r="H37" i="12"/>
  <c r="B37" i="13"/>
  <c r="H38" i="12"/>
  <c r="B38" i="13"/>
  <c r="H39" i="12"/>
  <c r="B39" i="13"/>
  <c r="H40" i="12"/>
  <c r="B40" i="13"/>
  <c r="H41" i="12"/>
  <c r="B41" i="13"/>
  <c r="H42" i="12"/>
  <c r="B42" i="13"/>
  <c r="H43" i="12"/>
  <c r="B43" i="13"/>
  <c r="H44" i="12"/>
  <c r="B44" i="13"/>
  <c r="H45" i="12"/>
  <c r="B45" i="13"/>
  <c r="H46" i="12"/>
  <c r="B46" i="13"/>
  <c r="H47" i="12"/>
  <c r="B47" i="13"/>
  <c r="H48" i="12"/>
  <c r="B48" i="13"/>
  <c r="H49" i="12"/>
  <c r="B49" i="13"/>
  <c r="H50" i="12"/>
  <c r="B50" i="13"/>
  <c r="H51" i="12"/>
  <c r="B51" i="13"/>
  <c r="H52" i="12"/>
  <c r="B52" i="13"/>
  <c r="H53" i="12"/>
  <c r="B53" i="13"/>
  <c r="H54" i="12"/>
  <c r="B54" i="13"/>
  <c r="H55" i="12"/>
  <c r="B55" i="13"/>
  <c r="H56" i="12"/>
  <c r="B56" i="13"/>
  <c r="H57" i="12"/>
  <c r="B57" i="13"/>
  <c r="H58" i="12"/>
  <c r="B58" i="13"/>
  <c r="H59" i="12"/>
  <c r="B59" i="13"/>
  <c r="H60" i="12"/>
  <c r="B60" i="13"/>
  <c r="H61" i="12"/>
  <c r="B61" i="13"/>
  <c r="H62" i="12"/>
  <c r="B62" i="13"/>
  <c r="H63" i="12"/>
  <c r="B63" i="13"/>
  <c r="H64" i="12"/>
  <c r="B64" i="13"/>
  <c r="H65" i="12"/>
  <c r="B65" i="13"/>
  <c r="H66" i="12"/>
  <c r="B66" i="13"/>
  <c r="H67" i="12"/>
  <c r="B67" i="13"/>
  <c r="H68" i="12"/>
  <c r="B68" i="13"/>
  <c r="H69" i="12"/>
  <c r="B69" i="13"/>
  <c r="H70" i="12"/>
  <c r="B70" i="13"/>
  <c r="H71" i="12"/>
  <c r="B71" i="13"/>
  <c r="H72" i="12"/>
  <c r="B72" i="13"/>
  <c r="H73" i="12"/>
  <c r="B73" i="13"/>
  <c r="H74" i="12"/>
  <c r="B74" i="13"/>
  <c r="H75" i="12"/>
  <c r="B75" i="13"/>
  <c r="H76" i="12"/>
  <c r="B76" i="13"/>
  <c r="H77" i="12"/>
  <c r="B77" i="13"/>
  <c r="H6" i="12"/>
  <c r="B6" i="13"/>
  <c r="B78" i="5"/>
  <c r="C19" i="3"/>
  <c r="C78" i="8"/>
  <c r="D78" i="8"/>
  <c r="E78" i="8"/>
  <c r="E33" i="24"/>
  <c r="F33" i="24"/>
  <c r="F34" i="24"/>
  <c r="C21" i="3"/>
  <c r="B21" i="3"/>
  <c r="J7" i="5"/>
  <c r="D7" i="5"/>
  <c r="K7" i="5"/>
  <c r="E7" i="5"/>
  <c r="L7" i="5"/>
  <c r="F7" i="5"/>
  <c r="J8" i="5"/>
  <c r="D8" i="5"/>
  <c r="K8" i="5"/>
  <c r="E8" i="5"/>
  <c r="L8" i="5"/>
  <c r="F8" i="5"/>
  <c r="J9" i="5"/>
  <c r="D9" i="5"/>
  <c r="K9" i="5"/>
  <c r="E9" i="5"/>
  <c r="L9" i="5"/>
  <c r="F9" i="5"/>
  <c r="J10" i="5"/>
  <c r="D10" i="5"/>
  <c r="K10" i="5"/>
  <c r="E10" i="5"/>
  <c r="L10" i="5"/>
  <c r="F10" i="5"/>
  <c r="J11" i="5"/>
  <c r="D11" i="5"/>
  <c r="K11" i="5"/>
  <c r="E11" i="5"/>
  <c r="L11" i="5"/>
  <c r="F11" i="5"/>
  <c r="J12" i="5"/>
  <c r="D12" i="5"/>
  <c r="K12" i="5"/>
  <c r="E12" i="5"/>
  <c r="L12" i="5"/>
  <c r="F12" i="5"/>
  <c r="J13" i="5"/>
  <c r="D13" i="5"/>
  <c r="K13" i="5"/>
  <c r="E13" i="5"/>
  <c r="L13" i="5"/>
  <c r="F13" i="5"/>
  <c r="J14" i="5"/>
  <c r="D14" i="5"/>
  <c r="K14" i="5"/>
  <c r="E14" i="5"/>
  <c r="L14" i="5"/>
  <c r="F14" i="5"/>
  <c r="J15" i="5"/>
  <c r="D15" i="5"/>
  <c r="K15" i="5"/>
  <c r="E15" i="5"/>
  <c r="L15" i="5"/>
  <c r="F15" i="5"/>
  <c r="J16" i="5"/>
  <c r="D16" i="5"/>
  <c r="K16" i="5"/>
  <c r="E16" i="5"/>
  <c r="L16" i="5"/>
  <c r="F16" i="5"/>
  <c r="J17" i="5"/>
  <c r="D17" i="5"/>
  <c r="K17" i="5"/>
  <c r="E17" i="5"/>
  <c r="L17" i="5"/>
  <c r="F17" i="5"/>
  <c r="J18" i="5"/>
  <c r="D18" i="5"/>
  <c r="K18" i="5"/>
  <c r="E18" i="5"/>
  <c r="L18" i="5"/>
  <c r="F18" i="5"/>
  <c r="J19" i="5"/>
  <c r="D19" i="5"/>
  <c r="K19" i="5"/>
  <c r="E19" i="5"/>
  <c r="L19" i="5"/>
  <c r="F19" i="5"/>
  <c r="J20" i="5"/>
  <c r="D20" i="5"/>
  <c r="K20" i="5"/>
  <c r="E20" i="5"/>
  <c r="L20" i="5"/>
  <c r="F20" i="5"/>
  <c r="J21" i="5"/>
  <c r="D21" i="5"/>
  <c r="K21" i="5"/>
  <c r="E21" i="5"/>
  <c r="L21" i="5"/>
  <c r="F21" i="5"/>
  <c r="J22" i="5"/>
  <c r="D22" i="5"/>
  <c r="K22" i="5"/>
  <c r="E22" i="5"/>
  <c r="L22" i="5"/>
  <c r="F22" i="5"/>
  <c r="J23" i="5"/>
  <c r="D23" i="5"/>
  <c r="K23" i="5"/>
  <c r="E23" i="5"/>
  <c r="L23" i="5"/>
  <c r="F23" i="5"/>
  <c r="J24" i="5"/>
  <c r="D24" i="5"/>
  <c r="K24" i="5"/>
  <c r="E24" i="5"/>
  <c r="L24" i="5"/>
  <c r="F24" i="5"/>
  <c r="J25" i="5"/>
  <c r="D25" i="5"/>
  <c r="K25" i="5"/>
  <c r="E25" i="5"/>
  <c r="L25" i="5"/>
  <c r="F25" i="5"/>
  <c r="J26" i="5"/>
  <c r="D26" i="5"/>
  <c r="K26" i="5"/>
  <c r="E26" i="5"/>
  <c r="L26" i="5"/>
  <c r="F26" i="5"/>
  <c r="J27" i="5"/>
  <c r="D27" i="5"/>
  <c r="K27" i="5"/>
  <c r="E27" i="5"/>
  <c r="L27" i="5"/>
  <c r="F27" i="5"/>
  <c r="J28" i="5"/>
  <c r="D28" i="5"/>
  <c r="K28" i="5"/>
  <c r="E28" i="5"/>
  <c r="L28" i="5"/>
  <c r="F28" i="5"/>
  <c r="J29" i="5"/>
  <c r="D29" i="5"/>
  <c r="K29" i="5"/>
  <c r="E29" i="5"/>
  <c r="L29" i="5"/>
  <c r="F29" i="5"/>
  <c r="J30" i="5"/>
  <c r="D30" i="5"/>
  <c r="K30" i="5"/>
  <c r="E30" i="5"/>
  <c r="L30" i="5"/>
  <c r="F30" i="5"/>
  <c r="J31" i="5"/>
  <c r="D31" i="5"/>
  <c r="K31" i="5"/>
  <c r="E31" i="5"/>
  <c r="L31" i="5"/>
  <c r="F31" i="5"/>
  <c r="J32" i="5"/>
  <c r="D32" i="5"/>
  <c r="K32" i="5"/>
  <c r="E32" i="5"/>
  <c r="L32" i="5"/>
  <c r="F32" i="5"/>
  <c r="J33" i="5"/>
  <c r="D33" i="5"/>
  <c r="K33" i="5"/>
  <c r="E33" i="5"/>
  <c r="L33" i="5"/>
  <c r="F33" i="5"/>
  <c r="J34" i="5"/>
  <c r="D34" i="5"/>
  <c r="K34" i="5"/>
  <c r="E34" i="5"/>
  <c r="L34" i="5"/>
  <c r="F34" i="5"/>
  <c r="J35" i="5"/>
  <c r="D35" i="5"/>
  <c r="K35" i="5"/>
  <c r="E35" i="5"/>
  <c r="L35" i="5"/>
  <c r="F35" i="5"/>
  <c r="J36" i="5"/>
  <c r="D36" i="5"/>
  <c r="K36" i="5"/>
  <c r="E36" i="5"/>
  <c r="L36" i="5"/>
  <c r="F36" i="5"/>
  <c r="J37" i="5"/>
  <c r="D37" i="5"/>
  <c r="K37" i="5"/>
  <c r="E37" i="5"/>
  <c r="L37" i="5"/>
  <c r="F37" i="5"/>
  <c r="J38" i="5"/>
  <c r="D38" i="5"/>
  <c r="K38" i="5"/>
  <c r="E38" i="5"/>
  <c r="L38" i="5"/>
  <c r="F38" i="5"/>
  <c r="J39" i="5"/>
  <c r="D39" i="5"/>
  <c r="K39" i="5"/>
  <c r="E39" i="5"/>
  <c r="L39" i="5"/>
  <c r="F39" i="5"/>
  <c r="J40" i="5"/>
  <c r="D40" i="5"/>
  <c r="K40" i="5"/>
  <c r="E40" i="5"/>
  <c r="L40" i="5"/>
  <c r="F40" i="5"/>
  <c r="J41" i="5"/>
  <c r="D41" i="5"/>
  <c r="K41" i="5"/>
  <c r="E41" i="5"/>
  <c r="L41" i="5"/>
  <c r="F41" i="5"/>
  <c r="J42" i="5"/>
  <c r="D42" i="5"/>
  <c r="K42" i="5"/>
  <c r="E42" i="5"/>
  <c r="L42" i="5"/>
  <c r="F42" i="5"/>
  <c r="J43" i="5"/>
  <c r="D43" i="5"/>
  <c r="K43" i="5"/>
  <c r="E43" i="5"/>
  <c r="L43" i="5"/>
  <c r="F43" i="5"/>
  <c r="J44" i="5"/>
  <c r="D44" i="5"/>
  <c r="K44" i="5"/>
  <c r="E44" i="5"/>
  <c r="L44" i="5"/>
  <c r="F44" i="5"/>
  <c r="J45" i="5"/>
  <c r="D45" i="5"/>
  <c r="K45" i="5"/>
  <c r="E45" i="5"/>
  <c r="L45" i="5"/>
  <c r="F45" i="5"/>
  <c r="J46" i="5"/>
  <c r="D46" i="5"/>
  <c r="K46" i="5"/>
  <c r="E46" i="5"/>
  <c r="L46" i="5"/>
  <c r="F46" i="5"/>
  <c r="J47" i="5"/>
  <c r="D47" i="5"/>
  <c r="K47" i="5"/>
  <c r="E47" i="5"/>
  <c r="L47" i="5"/>
  <c r="F47" i="5"/>
  <c r="J48" i="5"/>
  <c r="D48" i="5"/>
  <c r="K48" i="5"/>
  <c r="E48" i="5"/>
  <c r="L48" i="5"/>
  <c r="F48" i="5"/>
  <c r="J49" i="5"/>
  <c r="D49" i="5"/>
  <c r="K49" i="5"/>
  <c r="E49" i="5"/>
  <c r="L49" i="5"/>
  <c r="F49" i="5"/>
  <c r="J50" i="5"/>
  <c r="D50" i="5"/>
  <c r="K50" i="5"/>
  <c r="E50" i="5"/>
  <c r="L50" i="5"/>
  <c r="F50" i="5"/>
  <c r="J51" i="5"/>
  <c r="D51" i="5"/>
  <c r="K51" i="5"/>
  <c r="E51" i="5"/>
  <c r="L51" i="5"/>
  <c r="F51" i="5"/>
  <c r="J52" i="5"/>
  <c r="D52" i="5"/>
  <c r="K52" i="5"/>
  <c r="E52" i="5"/>
  <c r="L52" i="5"/>
  <c r="F52" i="5"/>
  <c r="J53" i="5"/>
  <c r="D53" i="5"/>
  <c r="K53" i="5"/>
  <c r="E53" i="5"/>
  <c r="L53" i="5"/>
  <c r="F53" i="5"/>
  <c r="J54" i="5"/>
  <c r="D54" i="5"/>
  <c r="K54" i="5"/>
  <c r="E54" i="5"/>
  <c r="L54" i="5"/>
  <c r="F54" i="5"/>
  <c r="J55" i="5"/>
  <c r="D55" i="5"/>
  <c r="K55" i="5"/>
  <c r="E55" i="5"/>
  <c r="L55" i="5"/>
  <c r="F55" i="5"/>
  <c r="J56" i="5"/>
  <c r="D56" i="5"/>
  <c r="K56" i="5"/>
  <c r="E56" i="5"/>
  <c r="L56" i="5"/>
  <c r="F56" i="5"/>
  <c r="J57" i="5"/>
  <c r="D57" i="5"/>
  <c r="K57" i="5"/>
  <c r="E57" i="5"/>
  <c r="L57" i="5"/>
  <c r="F57" i="5"/>
  <c r="J58" i="5"/>
  <c r="D58" i="5"/>
  <c r="K58" i="5"/>
  <c r="E58" i="5"/>
  <c r="L58" i="5"/>
  <c r="F58" i="5"/>
  <c r="J59" i="5"/>
  <c r="D59" i="5"/>
  <c r="K59" i="5"/>
  <c r="E59" i="5"/>
  <c r="L59" i="5"/>
  <c r="F59" i="5"/>
  <c r="J60" i="5"/>
  <c r="D60" i="5"/>
  <c r="K60" i="5"/>
  <c r="E60" i="5"/>
  <c r="L60" i="5"/>
  <c r="F60" i="5"/>
  <c r="J61" i="5"/>
  <c r="D61" i="5"/>
  <c r="K61" i="5"/>
  <c r="E61" i="5"/>
  <c r="L61" i="5"/>
  <c r="F61" i="5"/>
  <c r="J62" i="5"/>
  <c r="D62" i="5"/>
  <c r="K62" i="5"/>
  <c r="E62" i="5"/>
  <c r="L62" i="5"/>
  <c r="F62" i="5"/>
  <c r="J63" i="5"/>
  <c r="D63" i="5"/>
  <c r="K63" i="5"/>
  <c r="E63" i="5"/>
  <c r="L63" i="5"/>
  <c r="F63" i="5"/>
  <c r="J64" i="5"/>
  <c r="D64" i="5"/>
  <c r="K64" i="5"/>
  <c r="E64" i="5"/>
  <c r="L64" i="5"/>
  <c r="F64" i="5"/>
  <c r="J65" i="5"/>
  <c r="D65" i="5"/>
  <c r="K65" i="5"/>
  <c r="E65" i="5"/>
  <c r="L65" i="5"/>
  <c r="F65" i="5"/>
  <c r="J66" i="5"/>
  <c r="D66" i="5"/>
  <c r="K66" i="5"/>
  <c r="E66" i="5"/>
  <c r="L66" i="5"/>
  <c r="F66" i="5"/>
  <c r="J67" i="5"/>
  <c r="D67" i="5"/>
  <c r="K67" i="5"/>
  <c r="E67" i="5"/>
  <c r="L67" i="5"/>
  <c r="F67" i="5"/>
  <c r="J68" i="5"/>
  <c r="D68" i="5"/>
  <c r="K68" i="5"/>
  <c r="E68" i="5"/>
  <c r="L68" i="5"/>
  <c r="F68" i="5"/>
  <c r="J69" i="5"/>
  <c r="D69" i="5"/>
  <c r="K69" i="5"/>
  <c r="E69" i="5"/>
  <c r="L69" i="5"/>
  <c r="F69" i="5"/>
  <c r="J70" i="5"/>
  <c r="D70" i="5"/>
  <c r="K70" i="5"/>
  <c r="E70" i="5"/>
  <c r="L70" i="5"/>
  <c r="F70" i="5"/>
  <c r="J71" i="5"/>
  <c r="D71" i="5"/>
  <c r="K71" i="5"/>
  <c r="E71" i="5"/>
  <c r="L71" i="5"/>
  <c r="F71" i="5"/>
  <c r="J72" i="5"/>
  <c r="D72" i="5"/>
  <c r="K72" i="5"/>
  <c r="E72" i="5"/>
  <c r="L72" i="5"/>
  <c r="F72" i="5"/>
  <c r="J73" i="5"/>
  <c r="D73" i="5"/>
  <c r="K73" i="5"/>
  <c r="E73" i="5"/>
  <c r="L73" i="5"/>
  <c r="F73" i="5"/>
  <c r="J74" i="5"/>
  <c r="D74" i="5"/>
  <c r="K74" i="5"/>
  <c r="E74" i="5"/>
  <c r="L74" i="5"/>
  <c r="F74" i="5"/>
  <c r="J75" i="5"/>
  <c r="D75" i="5"/>
  <c r="K75" i="5"/>
  <c r="E75" i="5"/>
  <c r="L75" i="5"/>
  <c r="F75" i="5"/>
  <c r="J76" i="5"/>
  <c r="D76" i="5"/>
  <c r="K76" i="5"/>
  <c r="E76" i="5"/>
  <c r="L76" i="5"/>
  <c r="F76" i="5"/>
  <c r="J77" i="5"/>
  <c r="D77" i="5"/>
  <c r="K77" i="5"/>
  <c r="E77" i="5"/>
  <c r="L77" i="5"/>
  <c r="F77" i="5"/>
  <c r="L6" i="5"/>
  <c r="F6" i="5"/>
  <c r="K6" i="5"/>
  <c r="J6" i="5"/>
  <c r="C74" i="12"/>
  <c r="C66" i="12"/>
  <c r="C58" i="12"/>
  <c r="C50" i="12"/>
  <c r="C42" i="12"/>
  <c r="C34" i="12"/>
  <c r="C26" i="12"/>
  <c r="C18" i="12"/>
  <c r="C10" i="12"/>
  <c r="C7" i="12"/>
  <c r="C12" i="12"/>
  <c r="C20" i="12"/>
  <c r="C28" i="12"/>
  <c r="C36" i="12"/>
  <c r="C76" i="12"/>
  <c r="C52" i="12"/>
  <c r="C68" i="12"/>
  <c r="C60" i="12"/>
  <c r="C44" i="12"/>
  <c r="C65" i="12"/>
  <c r="C57" i="12"/>
  <c r="C49" i="12"/>
  <c r="C41" i="12"/>
  <c r="C33" i="12"/>
  <c r="C25" i="12"/>
  <c r="C17" i="12"/>
  <c r="C9" i="12"/>
  <c r="C73" i="12"/>
  <c r="C72" i="12"/>
  <c r="C56" i="12"/>
  <c r="C48" i="12"/>
  <c r="C40" i="12"/>
  <c r="C32" i="12"/>
  <c r="C64" i="12"/>
  <c r="C54" i="12"/>
  <c r="C22" i="12"/>
  <c r="C38" i="12"/>
  <c r="C75" i="12"/>
  <c r="C67" i="12"/>
  <c r="C59" i="12"/>
  <c r="C51" i="12"/>
  <c r="C43" i="12"/>
  <c r="C35" i="12"/>
  <c r="C27" i="12"/>
  <c r="C19" i="12"/>
  <c r="C11" i="12"/>
  <c r="C70" i="12"/>
  <c r="C24" i="12"/>
  <c r="C16" i="12"/>
  <c r="C8" i="12"/>
  <c r="C46" i="12"/>
  <c r="C14" i="12"/>
  <c r="C77" i="12"/>
  <c r="C69" i="12"/>
  <c r="C61" i="12"/>
  <c r="C53" i="12"/>
  <c r="C45" i="12"/>
  <c r="C37" i="12"/>
  <c r="C29" i="12"/>
  <c r="C21" i="12"/>
  <c r="C13" i="12"/>
  <c r="C62" i="12"/>
  <c r="C30" i="12"/>
  <c r="C71" i="12"/>
  <c r="C63" i="12"/>
  <c r="C55" i="12"/>
  <c r="C47" i="12"/>
  <c r="C39" i="12"/>
  <c r="C31" i="12"/>
  <c r="C23" i="12"/>
  <c r="C15" i="12"/>
  <c r="B75" i="17"/>
  <c r="B75" i="10"/>
  <c r="B77" i="22"/>
  <c r="C75" i="17"/>
  <c r="C75" i="10"/>
  <c r="C77" i="22"/>
  <c r="D75" i="17"/>
  <c r="D75" i="10"/>
  <c r="D77" i="22"/>
  <c r="E75" i="17"/>
  <c r="E75" i="10"/>
  <c r="E77" i="22"/>
  <c r="H75" i="17"/>
  <c r="H75" i="10"/>
  <c r="H77" i="22"/>
  <c r="J75" i="17"/>
  <c r="J75" i="10"/>
  <c r="J77" i="22"/>
  <c r="K75" i="17"/>
  <c r="K75" i="10"/>
  <c r="K77" i="22"/>
  <c r="L75" i="17"/>
  <c r="L75" i="10"/>
  <c r="L77" i="22"/>
  <c r="M75" i="17"/>
  <c r="M75" i="10"/>
  <c r="M77" i="22"/>
  <c r="P75" i="17"/>
  <c r="P75" i="10"/>
  <c r="P77" i="22"/>
  <c r="R75" i="17"/>
  <c r="R75" i="10"/>
  <c r="R77" i="22"/>
  <c r="S75" i="17"/>
  <c r="S75" i="10"/>
  <c r="S77" i="22"/>
  <c r="T75" i="17"/>
  <c r="T75" i="10"/>
  <c r="T77" i="22"/>
  <c r="U75" i="17"/>
  <c r="U75" i="10"/>
  <c r="U77" i="22"/>
  <c r="V75" i="17"/>
  <c r="V75" i="10"/>
  <c r="V77" i="22"/>
  <c r="X75" i="17"/>
  <c r="X75" i="10"/>
  <c r="X77" i="22"/>
  <c r="B5" i="17"/>
  <c r="B5" i="10"/>
  <c r="B7" i="22"/>
  <c r="C5" i="17"/>
  <c r="C5" i="10"/>
  <c r="C7" i="22"/>
  <c r="D5" i="17"/>
  <c r="D5" i="10"/>
  <c r="D7" i="22"/>
  <c r="E5" i="17"/>
  <c r="E5" i="10"/>
  <c r="E7" i="22"/>
  <c r="H5" i="17"/>
  <c r="H5" i="10"/>
  <c r="H7" i="22"/>
  <c r="J5" i="17"/>
  <c r="J5" i="10"/>
  <c r="J7" i="22"/>
  <c r="K5" i="17"/>
  <c r="K5" i="10"/>
  <c r="K7" i="22"/>
  <c r="L5" i="17"/>
  <c r="L5" i="10"/>
  <c r="L7" i="22"/>
  <c r="M5" i="17"/>
  <c r="M5" i="10"/>
  <c r="M7" i="22"/>
  <c r="P5" i="17"/>
  <c r="P5" i="10"/>
  <c r="P7" i="22"/>
  <c r="R5" i="17"/>
  <c r="R5" i="10"/>
  <c r="R7" i="22"/>
  <c r="S5" i="17"/>
  <c r="S5" i="10"/>
  <c r="S7" i="22"/>
  <c r="T5" i="17"/>
  <c r="T5" i="10"/>
  <c r="T7" i="22"/>
  <c r="U5" i="17"/>
  <c r="U5" i="10"/>
  <c r="U7" i="22"/>
  <c r="V5" i="17"/>
  <c r="V5" i="10"/>
  <c r="V7" i="22"/>
  <c r="X5" i="17"/>
  <c r="X5" i="10"/>
  <c r="X7" i="22"/>
  <c r="B6" i="17"/>
  <c r="B6" i="10"/>
  <c r="B8" i="22"/>
  <c r="C6" i="17"/>
  <c r="C6" i="10"/>
  <c r="C8" i="22"/>
  <c r="D6" i="17"/>
  <c r="D6" i="10"/>
  <c r="D8" i="22"/>
  <c r="E6" i="17"/>
  <c r="E6" i="10"/>
  <c r="E8" i="22"/>
  <c r="H6" i="17"/>
  <c r="H6" i="10"/>
  <c r="H8" i="22"/>
  <c r="J6" i="17"/>
  <c r="J6" i="10"/>
  <c r="J8" i="22"/>
  <c r="K6" i="17"/>
  <c r="K6" i="10"/>
  <c r="K8" i="22"/>
  <c r="L6" i="17"/>
  <c r="L6" i="10"/>
  <c r="L8" i="22"/>
  <c r="M6" i="17"/>
  <c r="M6" i="10"/>
  <c r="M8" i="22"/>
  <c r="P6" i="17"/>
  <c r="P6" i="10"/>
  <c r="P8" i="22"/>
  <c r="R6" i="17"/>
  <c r="R6" i="10"/>
  <c r="R8" i="22"/>
  <c r="S6" i="17"/>
  <c r="S6" i="10"/>
  <c r="S8" i="22"/>
  <c r="T6" i="17"/>
  <c r="T6" i="10"/>
  <c r="T8" i="22"/>
  <c r="U6" i="17"/>
  <c r="U6" i="10"/>
  <c r="U8" i="22"/>
  <c r="V6" i="17"/>
  <c r="V6" i="10"/>
  <c r="V8" i="22"/>
  <c r="X6" i="17"/>
  <c r="X6" i="10"/>
  <c r="X8" i="22"/>
  <c r="B7" i="17"/>
  <c r="B7" i="10"/>
  <c r="B9" i="22"/>
  <c r="C7" i="17"/>
  <c r="C7" i="10"/>
  <c r="C9" i="22"/>
  <c r="D7" i="17"/>
  <c r="D7" i="10"/>
  <c r="D9" i="22"/>
  <c r="E7" i="17"/>
  <c r="E7" i="10"/>
  <c r="E9" i="22"/>
  <c r="H7" i="17"/>
  <c r="H7" i="10"/>
  <c r="H9" i="22"/>
  <c r="J7" i="17"/>
  <c r="J7" i="10"/>
  <c r="J9" i="22"/>
  <c r="K7" i="17"/>
  <c r="K7" i="10"/>
  <c r="K9" i="22"/>
  <c r="L7" i="17"/>
  <c r="L7" i="10"/>
  <c r="L9" i="22"/>
  <c r="M7" i="17"/>
  <c r="M7" i="10"/>
  <c r="M9" i="22"/>
  <c r="P7" i="17"/>
  <c r="P7" i="10"/>
  <c r="P9" i="22"/>
  <c r="R7" i="17"/>
  <c r="R7" i="10"/>
  <c r="R9" i="22"/>
  <c r="S7" i="17"/>
  <c r="S7" i="10"/>
  <c r="S9" i="22"/>
  <c r="T7" i="17"/>
  <c r="T7" i="10"/>
  <c r="T9" i="22"/>
  <c r="U7" i="17"/>
  <c r="U7" i="10"/>
  <c r="U9" i="22"/>
  <c r="V7" i="17"/>
  <c r="V7" i="10"/>
  <c r="V9" i="22"/>
  <c r="X7" i="17"/>
  <c r="X7" i="10"/>
  <c r="X9" i="22"/>
  <c r="B8" i="17"/>
  <c r="B8" i="10"/>
  <c r="B10" i="22"/>
  <c r="C8" i="17"/>
  <c r="C8" i="10"/>
  <c r="C10" i="22"/>
  <c r="D8" i="17"/>
  <c r="D8" i="10"/>
  <c r="D10" i="22"/>
  <c r="E8" i="17"/>
  <c r="E8" i="10"/>
  <c r="E10" i="22"/>
  <c r="H8" i="17"/>
  <c r="H8" i="10"/>
  <c r="H10" i="22"/>
  <c r="J8" i="17"/>
  <c r="J8" i="10"/>
  <c r="J10" i="22"/>
  <c r="K8" i="17"/>
  <c r="K8" i="10"/>
  <c r="K10" i="22"/>
  <c r="L8" i="17"/>
  <c r="L8" i="10"/>
  <c r="L10" i="22"/>
  <c r="M8" i="17"/>
  <c r="M8" i="10"/>
  <c r="M10" i="22"/>
  <c r="P8" i="17"/>
  <c r="P8" i="10"/>
  <c r="P10" i="22"/>
  <c r="R8" i="17"/>
  <c r="R8" i="10"/>
  <c r="R10" i="22"/>
  <c r="S8" i="17"/>
  <c r="S8" i="10"/>
  <c r="S10" i="22"/>
  <c r="T8" i="17"/>
  <c r="T8" i="10"/>
  <c r="T10" i="22"/>
  <c r="U8" i="17"/>
  <c r="U8" i="10"/>
  <c r="U10" i="22"/>
  <c r="V8" i="17"/>
  <c r="V8" i="10"/>
  <c r="V10" i="22"/>
  <c r="X8" i="17"/>
  <c r="X8" i="10"/>
  <c r="X10" i="22"/>
  <c r="B9" i="17"/>
  <c r="B9" i="10"/>
  <c r="B11" i="22"/>
  <c r="C9" i="17"/>
  <c r="C9" i="10"/>
  <c r="C11" i="22"/>
  <c r="D9" i="17"/>
  <c r="D9" i="10"/>
  <c r="D11" i="22"/>
  <c r="E9" i="17"/>
  <c r="E9" i="10"/>
  <c r="E11" i="22"/>
  <c r="H9" i="17"/>
  <c r="H9" i="10"/>
  <c r="H11" i="22"/>
  <c r="J9" i="17"/>
  <c r="J9" i="10"/>
  <c r="J11" i="22"/>
  <c r="K9" i="17"/>
  <c r="K9" i="10"/>
  <c r="K11" i="22"/>
  <c r="L9" i="17"/>
  <c r="L9" i="10"/>
  <c r="L11" i="22"/>
  <c r="M9" i="17"/>
  <c r="M9" i="10"/>
  <c r="M11" i="22"/>
  <c r="P9" i="17"/>
  <c r="P9" i="10"/>
  <c r="P11" i="22"/>
  <c r="R9" i="17"/>
  <c r="R9" i="10"/>
  <c r="R11" i="22"/>
  <c r="S9" i="17"/>
  <c r="S9" i="10"/>
  <c r="S11" i="22"/>
  <c r="T9" i="17"/>
  <c r="T9" i="10"/>
  <c r="T11" i="22"/>
  <c r="U9" i="17"/>
  <c r="U9" i="10"/>
  <c r="U11" i="22"/>
  <c r="V9" i="17"/>
  <c r="V9" i="10"/>
  <c r="V11" i="22"/>
  <c r="X9" i="17"/>
  <c r="X9" i="10"/>
  <c r="X11" i="22"/>
  <c r="B10" i="17"/>
  <c r="B10" i="10"/>
  <c r="B12" i="22"/>
  <c r="C10" i="17"/>
  <c r="C10" i="10"/>
  <c r="C12" i="22"/>
  <c r="D10" i="17"/>
  <c r="D10" i="10"/>
  <c r="D12" i="22"/>
  <c r="E10" i="17"/>
  <c r="E10" i="10"/>
  <c r="E12" i="22"/>
  <c r="H10" i="17"/>
  <c r="H10" i="10"/>
  <c r="H12" i="22"/>
  <c r="J10" i="17"/>
  <c r="J10" i="10"/>
  <c r="J12" i="22"/>
  <c r="K10" i="17"/>
  <c r="K10" i="10"/>
  <c r="K12" i="22"/>
  <c r="L10" i="17"/>
  <c r="L10" i="10"/>
  <c r="L12" i="22"/>
  <c r="M10" i="17"/>
  <c r="M10" i="10"/>
  <c r="M12" i="22"/>
  <c r="P10" i="17"/>
  <c r="P10" i="10"/>
  <c r="P12" i="22"/>
  <c r="R10" i="17"/>
  <c r="R10" i="10"/>
  <c r="R12" i="22"/>
  <c r="S10" i="17"/>
  <c r="S10" i="10"/>
  <c r="S12" i="22"/>
  <c r="T10" i="17"/>
  <c r="T10" i="10"/>
  <c r="T12" i="22"/>
  <c r="U10" i="17"/>
  <c r="U10" i="10"/>
  <c r="U12" i="22"/>
  <c r="V10" i="17"/>
  <c r="V10" i="10"/>
  <c r="V12" i="22"/>
  <c r="X10" i="17"/>
  <c r="X10" i="10"/>
  <c r="X12" i="22"/>
  <c r="B11" i="17"/>
  <c r="B11" i="10"/>
  <c r="B13" i="22"/>
  <c r="C11" i="17"/>
  <c r="C11" i="10"/>
  <c r="C13" i="22"/>
  <c r="D11" i="17"/>
  <c r="D11" i="10"/>
  <c r="D13" i="22"/>
  <c r="E11" i="17"/>
  <c r="E11" i="10"/>
  <c r="E13" i="22"/>
  <c r="H11" i="17"/>
  <c r="H11" i="10"/>
  <c r="H13" i="22"/>
  <c r="J11" i="17"/>
  <c r="J11" i="10"/>
  <c r="J13" i="22"/>
  <c r="K11" i="17"/>
  <c r="K11" i="10"/>
  <c r="K13" i="22"/>
  <c r="L11" i="17"/>
  <c r="L11" i="10"/>
  <c r="L13" i="22"/>
  <c r="M11" i="17"/>
  <c r="M11" i="10"/>
  <c r="M13" i="22"/>
  <c r="P11" i="17"/>
  <c r="P11" i="10"/>
  <c r="P13" i="22"/>
  <c r="R11" i="17"/>
  <c r="R11" i="10"/>
  <c r="R13" i="22"/>
  <c r="S11" i="17"/>
  <c r="S11" i="10"/>
  <c r="S13" i="22"/>
  <c r="T11" i="17"/>
  <c r="T11" i="10"/>
  <c r="T13" i="22"/>
  <c r="U11" i="17"/>
  <c r="U11" i="10"/>
  <c r="U13" i="22"/>
  <c r="V11" i="17"/>
  <c r="V11" i="10"/>
  <c r="V13" i="22"/>
  <c r="X11" i="17"/>
  <c r="X11" i="10"/>
  <c r="X13" i="22"/>
  <c r="B12" i="17"/>
  <c r="B12" i="10"/>
  <c r="B14" i="22"/>
  <c r="C12" i="17"/>
  <c r="C12" i="10"/>
  <c r="C14" i="22"/>
  <c r="D12" i="17"/>
  <c r="D12" i="10"/>
  <c r="D14" i="22"/>
  <c r="E12" i="17"/>
  <c r="E12" i="10"/>
  <c r="E14" i="22"/>
  <c r="H12" i="17"/>
  <c r="H12" i="10"/>
  <c r="H14" i="22"/>
  <c r="J12" i="17"/>
  <c r="J12" i="10"/>
  <c r="J14" i="22"/>
  <c r="K12" i="17"/>
  <c r="K12" i="10"/>
  <c r="K14" i="22"/>
  <c r="L12" i="17"/>
  <c r="L12" i="10"/>
  <c r="L14" i="22"/>
  <c r="M12" i="17"/>
  <c r="M12" i="10"/>
  <c r="M14" i="22"/>
  <c r="P12" i="17"/>
  <c r="P12" i="10"/>
  <c r="P14" i="22"/>
  <c r="R12" i="17"/>
  <c r="R12" i="10"/>
  <c r="R14" i="22"/>
  <c r="S12" i="17"/>
  <c r="S12" i="10"/>
  <c r="S14" i="22"/>
  <c r="T12" i="17"/>
  <c r="T12" i="10"/>
  <c r="T14" i="22"/>
  <c r="U12" i="17"/>
  <c r="U12" i="10"/>
  <c r="U14" i="22"/>
  <c r="V12" i="17"/>
  <c r="V12" i="10"/>
  <c r="V14" i="22"/>
  <c r="X12" i="17"/>
  <c r="X12" i="10"/>
  <c r="X14" i="22"/>
  <c r="B13" i="17"/>
  <c r="B13" i="10"/>
  <c r="B15" i="22"/>
  <c r="C13" i="17"/>
  <c r="C13" i="10"/>
  <c r="C15" i="22"/>
  <c r="D13" i="17"/>
  <c r="D13" i="10"/>
  <c r="D15" i="22"/>
  <c r="E13" i="17"/>
  <c r="E13" i="10"/>
  <c r="E15" i="22"/>
  <c r="H13" i="17"/>
  <c r="H13" i="10"/>
  <c r="H15" i="22"/>
  <c r="J13" i="17"/>
  <c r="J13" i="10"/>
  <c r="J15" i="22"/>
  <c r="K13" i="17"/>
  <c r="K13" i="10"/>
  <c r="K15" i="22"/>
  <c r="L13" i="17"/>
  <c r="L13" i="10"/>
  <c r="L15" i="22"/>
  <c r="M13" i="17"/>
  <c r="M13" i="10"/>
  <c r="M15" i="22"/>
  <c r="P13" i="17"/>
  <c r="P13" i="10"/>
  <c r="P15" i="22"/>
  <c r="R13" i="17"/>
  <c r="R13" i="10"/>
  <c r="R15" i="22"/>
  <c r="S13" i="17"/>
  <c r="S13" i="10"/>
  <c r="S15" i="22"/>
  <c r="T13" i="17"/>
  <c r="T13" i="10"/>
  <c r="T15" i="22"/>
  <c r="U13" i="17"/>
  <c r="U13" i="10"/>
  <c r="U15" i="22"/>
  <c r="V13" i="17"/>
  <c r="V13" i="10"/>
  <c r="V15" i="22"/>
  <c r="X13" i="17"/>
  <c r="X13" i="10"/>
  <c r="X15" i="22"/>
  <c r="B14" i="17"/>
  <c r="B14" i="10"/>
  <c r="B16" i="22"/>
  <c r="C14" i="17"/>
  <c r="C14" i="10"/>
  <c r="C16" i="22"/>
  <c r="D14" i="17"/>
  <c r="D14" i="10"/>
  <c r="D16" i="22"/>
  <c r="E14" i="17"/>
  <c r="E14" i="10"/>
  <c r="E16" i="22"/>
  <c r="H14" i="17"/>
  <c r="H14" i="10"/>
  <c r="H16" i="22"/>
  <c r="J14" i="17"/>
  <c r="J14" i="10"/>
  <c r="J16" i="22"/>
  <c r="K14" i="17"/>
  <c r="K14" i="10"/>
  <c r="K16" i="22"/>
  <c r="L14" i="17"/>
  <c r="L14" i="10"/>
  <c r="L16" i="22"/>
  <c r="M14" i="17"/>
  <c r="M14" i="10"/>
  <c r="M16" i="22"/>
  <c r="P14" i="17"/>
  <c r="P14" i="10"/>
  <c r="P16" i="22"/>
  <c r="R14" i="17"/>
  <c r="R14" i="10"/>
  <c r="R16" i="22"/>
  <c r="S14" i="17"/>
  <c r="S14" i="10"/>
  <c r="S16" i="22"/>
  <c r="T14" i="17"/>
  <c r="T14" i="10"/>
  <c r="T16" i="22"/>
  <c r="U14" i="17"/>
  <c r="U14" i="10"/>
  <c r="U16" i="22"/>
  <c r="V14" i="17"/>
  <c r="V14" i="10"/>
  <c r="V16" i="22"/>
  <c r="X14" i="17"/>
  <c r="X14" i="10"/>
  <c r="X16" i="22"/>
  <c r="B15" i="17"/>
  <c r="B15" i="10"/>
  <c r="B17" i="22"/>
  <c r="C15" i="17"/>
  <c r="C15" i="10"/>
  <c r="C17" i="22"/>
  <c r="D15" i="17"/>
  <c r="D15" i="10"/>
  <c r="D17" i="22"/>
  <c r="E15" i="17"/>
  <c r="E15" i="10"/>
  <c r="E17" i="22"/>
  <c r="H15" i="17"/>
  <c r="H15" i="10"/>
  <c r="H17" i="22"/>
  <c r="J15" i="17"/>
  <c r="J15" i="10"/>
  <c r="J17" i="22"/>
  <c r="K15" i="17"/>
  <c r="K15" i="10"/>
  <c r="K17" i="22"/>
  <c r="L15" i="17"/>
  <c r="L15" i="10"/>
  <c r="L17" i="22"/>
  <c r="M15" i="17"/>
  <c r="M15" i="10"/>
  <c r="M17" i="22"/>
  <c r="P15" i="17"/>
  <c r="P15" i="10"/>
  <c r="P17" i="22"/>
  <c r="R15" i="17"/>
  <c r="R15" i="10"/>
  <c r="R17" i="22"/>
  <c r="S15" i="17"/>
  <c r="S15" i="10"/>
  <c r="S17" i="22"/>
  <c r="T15" i="17"/>
  <c r="T15" i="10"/>
  <c r="T17" i="22"/>
  <c r="U15" i="17"/>
  <c r="U15" i="10"/>
  <c r="U17" i="22"/>
  <c r="V15" i="17"/>
  <c r="V15" i="10"/>
  <c r="V17" i="22"/>
  <c r="X15" i="17"/>
  <c r="X15" i="10"/>
  <c r="X17" i="22"/>
  <c r="B16" i="17"/>
  <c r="B16" i="10"/>
  <c r="B18" i="22"/>
  <c r="C16" i="17"/>
  <c r="C16" i="10"/>
  <c r="C18" i="22"/>
  <c r="D16" i="17"/>
  <c r="D16" i="10"/>
  <c r="D18" i="22"/>
  <c r="E16" i="17"/>
  <c r="E16" i="10"/>
  <c r="E18" i="22"/>
  <c r="H16" i="17"/>
  <c r="H16" i="10"/>
  <c r="H18" i="22"/>
  <c r="J16" i="17"/>
  <c r="J16" i="10"/>
  <c r="J18" i="22"/>
  <c r="K16" i="17"/>
  <c r="K16" i="10"/>
  <c r="K18" i="22"/>
  <c r="L16" i="17"/>
  <c r="L16" i="10"/>
  <c r="L18" i="22"/>
  <c r="M16" i="17"/>
  <c r="M16" i="10"/>
  <c r="M18" i="22"/>
  <c r="P16" i="17"/>
  <c r="P16" i="10"/>
  <c r="P18" i="22"/>
  <c r="R16" i="17"/>
  <c r="R16" i="10"/>
  <c r="R18" i="22"/>
  <c r="S16" i="17"/>
  <c r="S16" i="10"/>
  <c r="S18" i="22"/>
  <c r="T16" i="17"/>
  <c r="T16" i="10"/>
  <c r="T18" i="22"/>
  <c r="U16" i="17"/>
  <c r="U16" i="10"/>
  <c r="U18" i="22"/>
  <c r="V16" i="17"/>
  <c r="V16" i="10"/>
  <c r="V18" i="22"/>
  <c r="X16" i="17"/>
  <c r="X16" i="10"/>
  <c r="X18" i="22"/>
  <c r="B17" i="17"/>
  <c r="B17" i="10"/>
  <c r="B19" i="22"/>
  <c r="C17" i="17"/>
  <c r="C17" i="10"/>
  <c r="C19" i="22"/>
  <c r="D17" i="17"/>
  <c r="D17" i="10"/>
  <c r="D19" i="22"/>
  <c r="E17" i="17"/>
  <c r="E17" i="10"/>
  <c r="E19" i="22"/>
  <c r="H17" i="17"/>
  <c r="H17" i="10"/>
  <c r="H19" i="22"/>
  <c r="J17" i="17"/>
  <c r="J17" i="10"/>
  <c r="J19" i="22"/>
  <c r="K17" i="17"/>
  <c r="K17" i="10"/>
  <c r="K19" i="22"/>
  <c r="L17" i="17"/>
  <c r="L17" i="10"/>
  <c r="L19" i="22"/>
  <c r="M17" i="17"/>
  <c r="M17" i="10"/>
  <c r="M19" i="22"/>
  <c r="P17" i="17"/>
  <c r="P17" i="10"/>
  <c r="P19" i="22"/>
  <c r="R17" i="17"/>
  <c r="R17" i="10"/>
  <c r="R19" i="22"/>
  <c r="S17" i="17"/>
  <c r="S17" i="10"/>
  <c r="S19" i="22"/>
  <c r="T17" i="17"/>
  <c r="T17" i="10"/>
  <c r="T19" i="22"/>
  <c r="U17" i="17"/>
  <c r="U17" i="10"/>
  <c r="U19" i="22"/>
  <c r="V17" i="17"/>
  <c r="V17" i="10"/>
  <c r="V19" i="22"/>
  <c r="X17" i="17"/>
  <c r="X17" i="10"/>
  <c r="X19" i="22"/>
  <c r="B18" i="17"/>
  <c r="B18" i="10"/>
  <c r="B20" i="22"/>
  <c r="C18" i="17"/>
  <c r="C18" i="10"/>
  <c r="C20" i="22"/>
  <c r="D18" i="17"/>
  <c r="D18" i="10"/>
  <c r="D20" i="22"/>
  <c r="E18" i="17"/>
  <c r="E18" i="10"/>
  <c r="E20" i="22"/>
  <c r="H18" i="17"/>
  <c r="H18" i="10"/>
  <c r="H20" i="22"/>
  <c r="J18" i="17"/>
  <c r="J18" i="10"/>
  <c r="J20" i="22"/>
  <c r="K18" i="17"/>
  <c r="K18" i="10"/>
  <c r="K20" i="22"/>
  <c r="L18" i="17"/>
  <c r="L18" i="10"/>
  <c r="L20" i="22"/>
  <c r="M18" i="17"/>
  <c r="M18" i="10"/>
  <c r="M20" i="22"/>
  <c r="P18" i="17"/>
  <c r="P18" i="10"/>
  <c r="P20" i="22"/>
  <c r="R18" i="17"/>
  <c r="R18" i="10"/>
  <c r="R20" i="22"/>
  <c r="S18" i="17"/>
  <c r="S18" i="10"/>
  <c r="S20" i="22"/>
  <c r="T18" i="17"/>
  <c r="T18" i="10"/>
  <c r="T20" i="22"/>
  <c r="U18" i="17"/>
  <c r="U18" i="10"/>
  <c r="U20" i="22"/>
  <c r="V18" i="17"/>
  <c r="V18" i="10"/>
  <c r="V20" i="22"/>
  <c r="X18" i="17"/>
  <c r="X18" i="10"/>
  <c r="X20" i="22"/>
  <c r="B19" i="17"/>
  <c r="B19" i="10"/>
  <c r="B21" i="22"/>
  <c r="C19" i="17"/>
  <c r="C19" i="10"/>
  <c r="C21" i="22"/>
  <c r="D19" i="17"/>
  <c r="D19" i="10"/>
  <c r="D21" i="22"/>
  <c r="E19" i="17"/>
  <c r="E19" i="10"/>
  <c r="E21" i="22"/>
  <c r="H19" i="17"/>
  <c r="H19" i="10"/>
  <c r="H21" i="22"/>
  <c r="J19" i="17"/>
  <c r="J19" i="10"/>
  <c r="J21" i="22"/>
  <c r="K19" i="17"/>
  <c r="K19" i="10"/>
  <c r="K21" i="22"/>
  <c r="L19" i="17"/>
  <c r="L19" i="10"/>
  <c r="L21" i="22"/>
  <c r="M19" i="17"/>
  <c r="M19" i="10"/>
  <c r="M21" i="22"/>
  <c r="P19" i="17"/>
  <c r="P19" i="10"/>
  <c r="P21" i="22"/>
  <c r="R19" i="17"/>
  <c r="R19" i="10"/>
  <c r="R21" i="22"/>
  <c r="S19" i="17"/>
  <c r="S19" i="10"/>
  <c r="S21" i="22"/>
  <c r="T19" i="17"/>
  <c r="T19" i="10"/>
  <c r="T21" i="22"/>
  <c r="U19" i="17"/>
  <c r="U19" i="10"/>
  <c r="U21" i="22"/>
  <c r="V19" i="17"/>
  <c r="V19" i="10"/>
  <c r="V21" i="22"/>
  <c r="X19" i="17"/>
  <c r="X19" i="10"/>
  <c r="X21" i="22"/>
  <c r="B20" i="17"/>
  <c r="B20" i="10"/>
  <c r="B22" i="22"/>
  <c r="C20" i="17"/>
  <c r="C20" i="10"/>
  <c r="C22" i="22"/>
  <c r="D20" i="17"/>
  <c r="D20" i="10"/>
  <c r="D22" i="22"/>
  <c r="E20" i="17"/>
  <c r="E20" i="10"/>
  <c r="E22" i="22"/>
  <c r="H20" i="17"/>
  <c r="H20" i="10"/>
  <c r="H22" i="22"/>
  <c r="J20" i="17"/>
  <c r="J20" i="10"/>
  <c r="J22" i="22"/>
  <c r="K20" i="17"/>
  <c r="K20" i="10"/>
  <c r="K22" i="22"/>
  <c r="L20" i="17"/>
  <c r="L20" i="10"/>
  <c r="L22" i="22"/>
  <c r="M20" i="17"/>
  <c r="M20" i="10"/>
  <c r="M22" i="22"/>
  <c r="P20" i="17"/>
  <c r="P20" i="10"/>
  <c r="P22" i="22"/>
  <c r="R20" i="17"/>
  <c r="R20" i="10"/>
  <c r="R22" i="22"/>
  <c r="S20" i="17"/>
  <c r="S20" i="10"/>
  <c r="S22" i="22"/>
  <c r="T20" i="17"/>
  <c r="T20" i="10"/>
  <c r="T22" i="22"/>
  <c r="U20" i="17"/>
  <c r="U20" i="10"/>
  <c r="U22" i="22"/>
  <c r="V20" i="17"/>
  <c r="V20" i="10"/>
  <c r="V22" i="22"/>
  <c r="X20" i="17"/>
  <c r="X20" i="10"/>
  <c r="X22" i="22"/>
  <c r="B21" i="17"/>
  <c r="B21" i="10"/>
  <c r="B23" i="22"/>
  <c r="C21" i="17"/>
  <c r="C21" i="10"/>
  <c r="C23" i="22"/>
  <c r="D21" i="17"/>
  <c r="D21" i="10"/>
  <c r="D23" i="22"/>
  <c r="E21" i="17"/>
  <c r="E21" i="10"/>
  <c r="E23" i="22"/>
  <c r="H21" i="17"/>
  <c r="H21" i="10"/>
  <c r="H23" i="22"/>
  <c r="J21" i="17"/>
  <c r="J21" i="10"/>
  <c r="J23" i="22"/>
  <c r="K21" i="17"/>
  <c r="K21" i="10"/>
  <c r="K23" i="22"/>
  <c r="L21" i="17"/>
  <c r="L21" i="10"/>
  <c r="L23" i="22"/>
  <c r="M21" i="17"/>
  <c r="M21" i="10"/>
  <c r="M23" i="22"/>
  <c r="P21" i="17"/>
  <c r="P21" i="10"/>
  <c r="P23" i="22"/>
  <c r="R21" i="17"/>
  <c r="R21" i="10"/>
  <c r="R23" i="22"/>
  <c r="S21" i="17"/>
  <c r="S21" i="10"/>
  <c r="S23" i="22"/>
  <c r="T21" i="17"/>
  <c r="T21" i="10"/>
  <c r="T23" i="22"/>
  <c r="U21" i="17"/>
  <c r="U21" i="10"/>
  <c r="U23" i="22"/>
  <c r="V21" i="17"/>
  <c r="V21" i="10"/>
  <c r="V23" i="22"/>
  <c r="X21" i="17"/>
  <c r="X21" i="10"/>
  <c r="X23" i="22"/>
  <c r="B22" i="17"/>
  <c r="B22" i="10"/>
  <c r="B24" i="22"/>
  <c r="C22" i="17"/>
  <c r="C22" i="10"/>
  <c r="C24" i="22"/>
  <c r="D22" i="17"/>
  <c r="D22" i="10"/>
  <c r="D24" i="22"/>
  <c r="E22" i="17"/>
  <c r="E22" i="10"/>
  <c r="E24" i="22"/>
  <c r="H22" i="17"/>
  <c r="H22" i="10"/>
  <c r="H24" i="22"/>
  <c r="J22" i="17"/>
  <c r="J22" i="10"/>
  <c r="J24" i="22"/>
  <c r="K22" i="17"/>
  <c r="K22" i="10"/>
  <c r="K24" i="22"/>
  <c r="L22" i="17"/>
  <c r="L22" i="10"/>
  <c r="L24" i="22"/>
  <c r="M22" i="17"/>
  <c r="M22" i="10"/>
  <c r="M24" i="22"/>
  <c r="P22" i="17"/>
  <c r="P22" i="10"/>
  <c r="P24" i="22"/>
  <c r="R22" i="17"/>
  <c r="R22" i="10"/>
  <c r="R24" i="22"/>
  <c r="S22" i="17"/>
  <c r="S22" i="10"/>
  <c r="S24" i="22"/>
  <c r="T22" i="17"/>
  <c r="T22" i="10"/>
  <c r="T24" i="22"/>
  <c r="U22" i="17"/>
  <c r="U22" i="10"/>
  <c r="U24" i="22"/>
  <c r="V22" i="17"/>
  <c r="V22" i="10"/>
  <c r="V24" i="22"/>
  <c r="X22" i="17"/>
  <c r="X22" i="10"/>
  <c r="X24" i="22"/>
  <c r="B23" i="17"/>
  <c r="B23" i="10"/>
  <c r="B25" i="22"/>
  <c r="C23" i="17"/>
  <c r="C23" i="10"/>
  <c r="C25" i="22"/>
  <c r="D23" i="17"/>
  <c r="D23" i="10"/>
  <c r="D25" i="22"/>
  <c r="E23" i="17"/>
  <c r="E23" i="10"/>
  <c r="E25" i="22"/>
  <c r="H23" i="17"/>
  <c r="H23" i="10"/>
  <c r="H25" i="22"/>
  <c r="J23" i="17"/>
  <c r="J23" i="10"/>
  <c r="J25" i="22"/>
  <c r="K23" i="17"/>
  <c r="K23" i="10"/>
  <c r="K25" i="22"/>
  <c r="L23" i="17"/>
  <c r="L23" i="10"/>
  <c r="L25" i="22"/>
  <c r="M23" i="17"/>
  <c r="M23" i="10"/>
  <c r="M25" i="22"/>
  <c r="P23" i="17"/>
  <c r="P23" i="10"/>
  <c r="P25" i="22"/>
  <c r="R23" i="17"/>
  <c r="R23" i="10"/>
  <c r="R25" i="22"/>
  <c r="S23" i="17"/>
  <c r="S23" i="10"/>
  <c r="S25" i="22"/>
  <c r="T23" i="17"/>
  <c r="T23" i="10"/>
  <c r="T25" i="22"/>
  <c r="U23" i="17"/>
  <c r="U23" i="10"/>
  <c r="U25" i="22"/>
  <c r="V23" i="17"/>
  <c r="V23" i="10"/>
  <c r="V25" i="22"/>
  <c r="X23" i="17"/>
  <c r="X23" i="10"/>
  <c r="X25" i="22"/>
  <c r="B24" i="17"/>
  <c r="B24" i="10"/>
  <c r="B26" i="22"/>
  <c r="C24" i="17"/>
  <c r="C24" i="10"/>
  <c r="C26" i="22"/>
  <c r="D24" i="17"/>
  <c r="D24" i="10"/>
  <c r="D26" i="22"/>
  <c r="E24" i="17"/>
  <c r="E24" i="10"/>
  <c r="E26" i="22"/>
  <c r="H24" i="17"/>
  <c r="H24" i="10"/>
  <c r="H26" i="22"/>
  <c r="J24" i="17"/>
  <c r="J24" i="10"/>
  <c r="J26" i="22"/>
  <c r="K24" i="17"/>
  <c r="K24" i="10"/>
  <c r="K26" i="22"/>
  <c r="L24" i="17"/>
  <c r="L24" i="10"/>
  <c r="L26" i="22"/>
  <c r="M24" i="17"/>
  <c r="M24" i="10"/>
  <c r="M26" i="22"/>
  <c r="P24" i="17"/>
  <c r="P24" i="10"/>
  <c r="P26" i="22"/>
  <c r="R24" i="17"/>
  <c r="R24" i="10"/>
  <c r="R26" i="22"/>
  <c r="S24" i="17"/>
  <c r="S24" i="10"/>
  <c r="S26" i="22"/>
  <c r="T24" i="17"/>
  <c r="T24" i="10"/>
  <c r="T26" i="22"/>
  <c r="U24" i="17"/>
  <c r="U24" i="10"/>
  <c r="U26" i="22"/>
  <c r="V24" i="17"/>
  <c r="V24" i="10"/>
  <c r="V26" i="22"/>
  <c r="X24" i="17"/>
  <c r="X24" i="10"/>
  <c r="X26" i="22"/>
  <c r="B25" i="17"/>
  <c r="B25" i="10"/>
  <c r="B27" i="22"/>
  <c r="C25" i="17"/>
  <c r="C25" i="10"/>
  <c r="C27" i="22"/>
  <c r="D25" i="17"/>
  <c r="D25" i="10"/>
  <c r="D27" i="22"/>
  <c r="E25" i="17"/>
  <c r="E25" i="10"/>
  <c r="E27" i="22"/>
  <c r="H25" i="17"/>
  <c r="H25" i="10"/>
  <c r="H27" i="22"/>
  <c r="J25" i="17"/>
  <c r="J25" i="10"/>
  <c r="J27" i="22"/>
  <c r="K25" i="17"/>
  <c r="K25" i="10"/>
  <c r="K27" i="22"/>
  <c r="L25" i="17"/>
  <c r="L25" i="10"/>
  <c r="L27" i="22"/>
  <c r="M25" i="17"/>
  <c r="M25" i="10"/>
  <c r="M27" i="22"/>
  <c r="P25" i="17"/>
  <c r="P25" i="10"/>
  <c r="P27" i="22"/>
  <c r="R25" i="17"/>
  <c r="R25" i="10"/>
  <c r="R27" i="22"/>
  <c r="S25" i="17"/>
  <c r="S25" i="10"/>
  <c r="S27" i="22"/>
  <c r="T25" i="17"/>
  <c r="T25" i="10"/>
  <c r="T27" i="22"/>
  <c r="U25" i="17"/>
  <c r="U25" i="10"/>
  <c r="U27" i="22"/>
  <c r="V25" i="17"/>
  <c r="V25" i="10"/>
  <c r="V27" i="22"/>
  <c r="X25" i="17"/>
  <c r="X25" i="10"/>
  <c r="X27" i="22"/>
  <c r="B26" i="17"/>
  <c r="B26" i="10"/>
  <c r="B28" i="22"/>
  <c r="C26" i="17"/>
  <c r="C26" i="10"/>
  <c r="C28" i="22"/>
  <c r="D26" i="17"/>
  <c r="D26" i="10"/>
  <c r="D28" i="22"/>
  <c r="E26" i="17"/>
  <c r="E26" i="10"/>
  <c r="E28" i="22"/>
  <c r="H26" i="17"/>
  <c r="H26" i="10"/>
  <c r="H28" i="22"/>
  <c r="J26" i="17"/>
  <c r="J26" i="10"/>
  <c r="J28" i="22"/>
  <c r="K26" i="17"/>
  <c r="K26" i="10"/>
  <c r="K28" i="22"/>
  <c r="L26" i="17"/>
  <c r="L26" i="10"/>
  <c r="L28" i="22"/>
  <c r="M26" i="17"/>
  <c r="M26" i="10"/>
  <c r="M28" i="22"/>
  <c r="P26" i="17"/>
  <c r="P26" i="10"/>
  <c r="P28" i="22"/>
  <c r="R26" i="17"/>
  <c r="R26" i="10"/>
  <c r="R28" i="22"/>
  <c r="S26" i="17"/>
  <c r="S26" i="10"/>
  <c r="S28" i="22"/>
  <c r="T26" i="17"/>
  <c r="T26" i="10"/>
  <c r="T28" i="22"/>
  <c r="U26" i="17"/>
  <c r="U26" i="10"/>
  <c r="U28" i="22"/>
  <c r="V26" i="17"/>
  <c r="V26" i="10"/>
  <c r="V28" i="22"/>
  <c r="X26" i="17"/>
  <c r="X26" i="10"/>
  <c r="X28" i="22"/>
  <c r="B27" i="17"/>
  <c r="B27" i="10"/>
  <c r="B29" i="22"/>
  <c r="C27" i="17"/>
  <c r="C27" i="10"/>
  <c r="C29" i="22"/>
  <c r="D27" i="17"/>
  <c r="D27" i="10"/>
  <c r="D29" i="22"/>
  <c r="E27" i="17"/>
  <c r="E27" i="10"/>
  <c r="E29" i="22"/>
  <c r="H27" i="17"/>
  <c r="H27" i="10"/>
  <c r="H29" i="22"/>
  <c r="J27" i="17"/>
  <c r="J27" i="10"/>
  <c r="J29" i="22"/>
  <c r="K27" i="17"/>
  <c r="K27" i="10"/>
  <c r="K29" i="22"/>
  <c r="L27" i="17"/>
  <c r="L27" i="10"/>
  <c r="L29" i="22"/>
  <c r="M27" i="17"/>
  <c r="M27" i="10"/>
  <c r="M29" i="22"/>
  <c r="P27" i="17"/>
  <c r="P27" i="10"/>
  <c r="P29" i="22"/>
  <c r="R27" i="17"/>
  <c r="R27" i="10"/>
  <c r="R29" i="22"/>
  <c r="S27" i="17"/>
  <c r="S27" i="10"/>
  <c r="S29" i="22"/>
  <c r="T27" i="17"/>
  <c r="T27" i="10"/>
  <c r="T29" i="22"/>
  <c r="U27" i="17"/>
  <c r="U27" i="10"/>
  <c r="U29" i="22"/>
  <c r="V27" i="17"/>
  <c r="V27" i="10"/>
  <c r="V29" i="22"/>
  <c r="X27" i="17"/>
  <c r="X27" i="10"/>
  <c r="X29" i="22"/>
  <c r="B28" i="17"/>
  <c r="B28" i="10"/>
  <c r="B30" i="22"/>
  <c r="C28" i="17"/>
  <c r="C28" i="10"/>
  <c r="C30" i="22"/>
  <c r="D28" i="17"/>
  <c r="D28" i="10"/>
  <c r="D30" i="22"/>
  <c r="E28" i="17"/>
  <c r="E28" i="10"/>
  <c r="E30" i="22"/>
  <c r="H28" i="17"/>
  <c r="H28" i="10"/>
  <c r="H30" i="22"/>
  <c r="J28" i="17"/>
  <c r="J28" i="10"/>
  <c r="J30" i="22"/>
  <c r="K28" i="17"/>
  <c r="K28" i="10"/>
  <c r="K30" i="22"/>
  <c r="L28" i="17"/>
  <c r="L28" i="10"/>
  <c r="L30" i="22"/>
  <c r="M28" i="17"/>
  <c r="M28" i="10"/>
  <c r="M30" i="22"/>
  <c r="P28" i="17"/>
  <c r="P28" i="10"/>
  <c r="P30" i="22"/>
  <c r="R28" i="17"/>
  <c r="R28" i="10"/>
  <c r="R30" i="22"/>
  <c r="S28" i="17"/>
  <c r="S28" i="10"/>
  <c r="S30" i="22"/>
  <c r="T28" i="17"/>
  <c r="T28" i="10"/>
  <c r="T30" i="22"/>
  <c r="U28" i="17"/>
  <c r="U28" i="10"/>
  <c r="U30" i="22"/>
  <c r="V28" i="17"/>
  <c r="V28" i="10"/>
  <c r="V30" i="22"/>
  <c r="X28" i="17"/>
  <c r="X28" i="10"/>
  <c r="X30" i="22"/>
  <c r="B29" i="17"/>
  <c r="B29" i="10"/>
  <c r="B31" i="22"/>
  <c r="C29" i="17"/>
  <c r="C29" i="10"/>
  <c r="C31" i="22"/>
  <c r="D29" i="17"/>
  <c r="D29" i="10"/>
  <c r="D31" i="22"/>
  <c r="E29" i="17"/>
  <c r="E29" i="10"/>
  <c r="E31" i="22"/>
  <c r="H29" i="17"/>
  <c r="H29" i="10"/>
  <c r="H31" i="22"/>
  <c r="J29" i="17"/>
  <c r="J29" i="10"/>
  <c r="J31" i="22"/>
  <c r="K29" i="17"/>
  <c r="K29" i="10"/>
  <c r="K31" i="22"/>
  <c r="L29" i="17"/>
  <c r="L29" i="10"/>
  <c r="L31" i="22"/>
  <c r="M29" i="17"/>
  <c r="M29" i="10"/>
  <c r="M31" i="22"/>
  <c r="P29" i="17"/>
  <c r="P29" i="10"/>
  <c r="P31" i="22"/>
  <c r="R29" i="17"/>
  <c r="R29" i="10"/>
  <c r="R31" i="22"/>
  <c r="S29" i="17"/>
  <c r="S29" i="10"/>
  <c r="S31" i="22"/>
  <c r="T29" i="17"/>
  <c r="T29" i="10"/>
  <c r="T31" i="22"/>
  <c r="U29" i="17"/>
  <c r="U29" i="10"/>
  <c r="U31" i="22"/>
  <c r="V29" i="17"/>
  <c r="V29" i="10"/>
  <c r="V31" i="22"/>
  <c r="X29" i="17"/>
  <c r="X29" i="10"/>
  <c r="X31" i="22"/>
  <c r="B30" i="17"/>
  <c r="B30" i="10"/>
  <c r="B32" i="22"/>
  <c r="C30" i="17"/>
  <c r="C30" i="10"/>
  <c r="C32" i="22"/>
  <c r="D30" i="17"/>
  <c r="D30" i="10"/>
  <c r="D32" i="22"/>
  <c r="E30" i="17"/>
  <c r="E30" i="10"/>
  <c r="E32" i="22"/>
  <c r="H30" i="17"/>
  <c r="H30" i="10"/>
  <c r="H32" i="22"/>
  <c r="J30" i="17"/>
  <c r="J30" i="10"/>
  <c r="J32" i="22"/>
  <c r="K30" i="17"/>
  <c r="K30" i="10"/>
  <c r="K32" i="22"/>
  <c r="L30" i="17"/>
  <c r="L30" i="10"/>
  <c r="L32" i="22"/>
  <c r="M30" i="17"/>
  <c r="M30" i="10"/>
  <c r="M32" i="22"/>
  <c r="P30" i="17"/>
  <c r="P30" i="10"/>
  <c r="P32" i="22"/>
  <c r="R30" i="17"/>
  <c r="R30" i="10"/>
  <c r="R32" i="22"/>
  <c r="S30" i="17"/>
  <c r="S30" i="10"/>
  <c r="S32" i="22"/>
  <c r="T30" i="17"/>
  <c r="T30" i="10"/>
  <c r="T32" i="22"/>
  <c r="U30" i="17"/>
  <c r="U30" i="10"/>
  <c r="U32" i="22"/>
  <c r="V30" i="17"/>
  <c r="V30" i="10"/>
  <c r="V32" i="22"/>
  <c r="X30" i="17"/>
  <c r="X30" i="10"/>
  <c r="X32" i="22"/>
  <c r="B31" i="17"/>
  <c r="B31" i="10"/>
  <c r="B33" i="22"/>
  <c r="C31" i="17"/>
  <c r="C31" i="10"/>
  <c r="C33" i="22"/>
  <c r="D31" i="17"/>
  <c r="D31" i="10"/>
  <c r="D33" i="22"/>
  <c r="E31" i="17"/>
  <c r="E31" i="10"/>
  <c r="E33" i="22"/>
  <c r="H31" i="17"/>
  <c r="H31" i="10"/>
  <c r="H33" i="22"/>
  <c r="J31" i="17"/>
  <c r="J31" i="10"/>
  <c r="J33" i="22"/>
  <c r="K31" i="17"/>
  <c r="K31" i="10"/>
  <c r="K33" i="22"/>
  <c r="L31" i="17"/>
  <c r="L31" i="10"/>
  <c r="L33" i="22"/>
  <c r="M31" i="17"/>
  <c r="M31" i="10"/>
  <c r="M33" i="22"/>
  <c r="P31" i="17"/>
  <c r="P31" i="10"/>
  <c r="P33" i="22"/>
  <c r="R31" i="17"/>
  <c r="R31" i="10"/>
  <c r="R33" i="22"/>
  <c r="S31" i="17"/>
  <c r="S31" i="10"/>
  <c r="S33" i="22"/>
  <c r="T31" i="17"/>
  <c r="T31" i="10"/>
  <c r="T33" i="22"/>
  <c r="U31" i="17"/>
  <c r="U31" i="10"/>
  <c r="U33" i="22"/>
  <c r="V31" i="17"/>
  <c r="V31" i="10"/>
  <c r="V33" i="22"/>
  <c r="X31" i="17"/>
  <c r="X31" i="10"/>
  <c r="X33" i="22"/>
  <c r="B32" i="17"/>
  <c r="B32" i="10"/>
  <c r="B34" i="22"/>
  <c r="C32" i="17"/>
  <c r="C32" i="10"/>
  <c r="C34" i="22"/>
  <c r="D32" i="17"/>
  <c r="D32" i="10"/>
  <c r="D34" i="22"/>
  <c r="E32" i="17"/>
  <c r="E32" i="10"/>
  <c r="E34" i="22"/>
  <c r="H32" i="17"/>
  <c r="H32" i="10"/>
  <c r="H34" i="22"/>
  <c r="J32" i="17"/>
  <c r="J32" i="10"/>
  <c r="J34" i="22"/>
  <c r="K32" i="17"/>
  <c r="K32" i="10"/>
  <c r="K34" i="22"/>
  <c r="L32" i="17"/>
  <c r="L32" i="10"/>
  <c r="L34" i="22"/>
  <c r="M32" i="17"/>
  <c r="M32" i="10"/>
  <c r="M34" i="22"/>
  <c r="P32" i="17"/>
  <c r="P32" i="10"/>
  <c r="P34" i="22"/>
  <c r="R32" i="17"/>
  <c r="R32" i="10"/>
  <c r="R34" i="22"/>
  <c r="S32" i="17"/>
  <c r="S32" i="10"/>
  <c r="S34" i="22"/>
  <c r="T32" i="17"/>
  <c r="T32" i="10"/>
  <c r="T34" i="22"/>
  <c r="U32" i="17"/>
  <c r="U32" i="10"/>
  <c r="U34" i="22"/>
  <c r="V32" i="17"/>
  <c r="V32" i="10"/>
  <c r="V34" i="22"/>
  <c r="X32" i="17"/>
  <c r="X32" i="10"/>
  <c r="X34" i="22"/>
  <c r="B33" i="17"/>
  <c r="B33" i="10"/>
  <c r="B35" i="22"/>
  <c r="C33" i="17"/>
  <c r="C33" i="10"/>
  <c r="C35" i="22"/>
  <c r="D33" i="17"/>
  <c r="D33" i="10"/>
  <c r="D35" i="22"/>
  <c r="E33" i="17"/>
  <c r="E33" i="10"/>
  <c r="E35" i="22"/>
  <c r="H33" i="17"/>
  <c r="H33" i="10"/>
  <c r="H35" i="22"/>
  <c r="J33" i="17"/>
  <c r="J33" i="10"/>
  <c r="J35" i="22"/>
  <c r="K33" i="17"/>
  <c r="K33" i="10"/>
  <c r="K35" i="22"/>
  <c r="L33" i="17"/>
  <c r="L33" i="10"/>
  <c r="L35" i="22"/>
  <c r="M33" i="17"/>
  <c r="M33" i="10"/>
  <c r="M35" i="22"/>
  <c r="P33" i="17"/>
  <c r="P33" i="10"/>
  <c r="P35" i="22"/>
  <c r="R33" i="17"/>
  <c r="R33" i="10"/>
  <c r="R35" i="22"/>
  <c r="S33" i="17"/>
  <c r="S33" i="10"/>
  <c r="S35" i="22"/>
  <c r="T33" i="17"/>
  <c r="T33" i="10"/>
  <c r="T35" i="22"/>
  <c r="U33" i="17"/>
  <c r="U33" i="10"/>
  <c r="U35" i="22"/>
  <c r="V33" i="17"/>
  <c r="V33" i="10"/>
  <c r="V35" i="22"/>
  <c r="X33" i="17"/>
  <c r="X33" i="10"/>
  <c r="X35" i="22"/>
  <c r="B34" i="17"/>
  <c r="B34" i="10"/>
  <c r="B36" i="22"/>
  <c r="C34" i="17"/>
  <c r="C34" i="10"/>
  <c r="C36" i="22"/>
  <c r="D34" i="17"/>
  <c r="D34" i="10"/>
  <c r="D36" i="22"/>
  <c r="E34" i="17"/>
  <c r="E34" i="10"/>
  <c r="E36" i="22"/>
  <c r="H34" i="17"/>
  <c r="H34" i="10"/>
  <c r="H36" i="22"/>
  <c r="J34" i="17"/>
  <c r="J34" i="10"/>
  <c r="J36" i="22"/>
  <c r="K34" i="17"/>
  <c r="K34" i="10"/>
  <c r="K36" i="22"/>
  <c r="L34" i="17"/>
  <c r="L34" i="10"/>
  <c r="L36" i="22"/>
  <c r="M34" i="17"/>
  <c r="M34" i="10"/>
  <c r="M36" i="22"/>
  <c r="P34" i="17"/>
  <c r="P34" i="10"/>
  <c r="P36" i="22"/>
  <c r="R34" i="17"/>
  <c r="R34" i="10"/>
  <c r="R36" i="22"/>
  <c r="S34" i="17"/>
  <c r="S34" i="10"/>
  <c r="S36" i="22"/>
  <c r="T34" i="17"/>
  <c r="T34" i="10"/>
  <c r="T36" i="22"/>
  <c r="U34" i="17"/>
  <c r="U34" i="10"/>
  <c r="U36" i="22"/>
  <c r="V34" i="17"/>
  <c r="V34" i="10"/>
  <c r="V36" i="22"/>
  <c r="X34" i="17"/>
  <c r="X34" i="10"/>
  <c r="X36" i="22"/>
  <c r="B35" i="17"/>
  <c r="B35" i="10"/>
  <c r="B37" i="22"/>
  <c r="C35" i="17"/>
  <c r="C35" i="10"/>
  <c r="C37" i="22"/>
  <c r="D35" i="17"/>
  <c r="D35" i="10"/>
  <c r="D37" i="22"/>
  <c r="E35" i="17"/>
  <c r="E35" i="10"/>
  <c r="E37" i="22"/>
  <c r="H35" i="17"/>
  <c r="H35" i="10"/>
  <c r="H37" i="22"/>
  <c r="J35" i="17"/>
  <c r="J35" i="10"/>
  <c r="J37" i="22"/>
  <c r="K35" i="17"/>
  <c r="K35" i="10"/>
  <c r="K37" i="22"/>
  <c r="L35" i="17"/>
  <c r="L35" i="10"/>
  <c r="L37" i="22"/>
  <c r="M35" i="17"/>
  <c r="M35" i="10"/>
  <c r="M37" i="22"/>
  <c r="P35" i="17"/>
  <c r="P35" i="10"/>
  <c r="P37" i="22"/>
  <c r="R35" i="17"/>
  <c r="R35" i="10"/>
  <c r="R37" i="22"/>
  <c r="S35" i="17"/>
  <c r="S35" i="10"/>
  <c r="S37" i="22"/>
  <c r="T35" i="17"/>
  <c r="T35" i="10"/>
  <c r="T37" i="22"/>
  <c r="U35" i="17"/>
  <c r="U35" i="10"/>
  <c r="U37" i="22"/>
  <c r="V35" i="17"/>
  <c r="V35" i="10"/>
  <c r="V37" i="22"/>
  <c r="X35" i="17"/>
  <c r="X35" i="10"/>
  <c r="X37" i="22"/>
  <c r="B36" i="17"/>
  <c r="B36" i="10"/>
  <c r="B38" i="22"/>
  <c r="C36" i="17"/>
  <c r="C36" i="10"/>
  <c r="C38" i="22"/>
  <c r="D36" i="17"/>
  <c r="D36" i="10"/>
  <c r="D38" i="22"/>
  <c r="E36" i="17"/>
  <c r="E36" i="10"/>
  <c r="E38" i="22"/>
  <c r="H36" i="17"/>
  <c r="H36" i="10"/>
  <c r="H38" i="22"/>
  <c r="J36" i="17"/>
  <c r="J36" i="10"/>
  <c r="J38" i="22"/>
  <c r="K36" i="17"/>
  <c r="K36" i="10"/>
  <c r="K38" i="22"/>
  <c r="L36" i="17"/>
  <c r="L36" i="10"/>
  <c r="L38" i="22"/>
  <c r="M36" i="17"/>
  <c r="M36" i="10"/>
  <c r="M38" i="22"/>
  <c r="P36" i="17"/>
  <c r="P36" i="10"/>
  <c r="P38" i="22"/>
  <c r="R36" i="17"/>
  <c r="R36" i="10"/>
  <c r="R38" i="22"/>
  <c r="S36" i="17"/>
  <c r="S36" i="10"/>
  <c r="S38" i="22"/>
  <c r="T36" i="17"/>
  <c r="T36" i="10"/>
  <c r="T38" i="22"/>
  <c r="U36" i="17"/>
  <c r="U36" i="10"/>
  <c r="U38" i="22"/>
  <c r="V36" i="17"/>
  <c r="V36" i="10"/>
  <c r="V38" i="22"/>
  <c r="X36" i="17"/>
  <c r="X36" i="10"/>
  <c r="X38" i="22"/>
  <c r="B37" i="17"/>
  <c r="B37" i="10"/>
  <c r="B39" i="22"/>
  <c r="C37" i="17"/>
  <c r="C37" i="10"/>
  <c r="C39" i="22"/>
  <c r="D37" i="17"/>
  <c r="D37" i="10"/>
  <c r="D39" i="22"/>
  <c r="E37" i="17"/>
  <c r="E37" i="10"/>
  <c r="E39" i="22"/>
  <c r="H37" i="17"/>
  <c r="H37" i="10"/>
  <c r="H39" i="22"/>
  <c r="J37" i="17"/>
  <c r="J37" i="10"/>
  <c r="J39" i="22"/>
  <c r="K37" i="17"/>
  <c r="K37" i="10"/>
  <c r="K39" i="22"/>
  <c r="L37" i="17"/>
  <c r="L37" i="10"/>
  <c r="L39" i="22"/>
  <c r="M37" i="17"/>
  <c r="M37" i="10"/>
  <c r="M39" i="22"/>
  <c r="P37" i="17"/>
  <c r="P37" i="10"/>
  <c r="P39" i="22"/>
  <c r="R37" i="17"/>
  <c r="R37" i="10"/>
  <c r="R39" i="22"/>
  <c r="S37" i="17"/>
  <c r="S37" i="10"/>
  <c r="S39" i="22"/>
  <c r="T37" i="17"/>
  <c r="T37" i="10"/>
  <c r="T39" i="22"/>
  <c r="U37" i="17"/>
  <c r="U37" i="10"/>
  <c r="U39" i="22"/>
  <c r="V37" i="17"/>
  <c r="V37" i="10"/>
  <c r="V39" i="22"/>
  <c r="X37" i="17"/>
  <c r="X37" i="10"/>
  <c r="X39" i="22"/>
  <c r="B38" i="17"/>
  <c r="B38" i="10"/>
  <c r="B40" i="22"/>
  <c r="C38" i="17"/>
  <c r="C38" i="10"/>
  <c r="C40" i="22"/>
  <c r="D38" i="17"/>
  <c r="D38" i="10"/>
  <c r="D40" i="22"/>
  <c r="E38" i="17"/>
  <c r="E38" i="10"/>
  <c r="E40" i="22"/>
  <c r="H38" i="17"/>
  <c r="H38" i="10"/>
  <c r="H40" i="22"/>
  <c r="J38" i="17"/>
  <c r="J38" i="10"/>
  <c r="J40" i="22"/>
  <c r="K38" i="17"/>
  <c r="K38" i="10"/>
  <c r="K40" i="22"/>
  <c r="L38" i="17"/>
  <c r="L38" i="10"/>
  <c r="L40" i="22"/>
  <c r="M38" i="17"/>
  <c r="M38" i="10"/>
  <c r="M40" i="22"/>
  <c r="P38" i="17"/>
  <c r="P38" i="10"/>
  <c r="P40" i="22"/>
  <c r="R38" i="17"/>
  <c r="R38" i="10"/>
  <c r="R40" i="22"/>
  <c r="S38" i="17"/>
  <c r="S38" i="10"/>
  <c r="S40" i="22"/>
  <c r="T38" i="17"/>
  <c r="T38" i="10"/>
  <c r="T40" i="22"/>
  <c r="U38" i="17"/>
  <c r="U38" i="10"/>
  <c r="U40" i="22"/>
  <c r="V38" i="17"/>
  <c r="V38" i="10"/>
  <c r="V40" i="22"/>
  <c r="X38" i="17"/>
  <c r="X38" i="10"/>
  <c r="X40" i="22"/>
  <c r="B39" i="17"/>
  <c r="B39" i="10"/>
  <c r="B41" i="22"/>
  <c r="C39" i="17"/>
  <c r="C39" i="10"/>
  <c r="C41" i="22"/>
  <c r="D39" i="17"/>
  <c r="D39" i="10"/>
  <c r="D41" i="22"/>
  <c r="E39" i="17"/>
  <c r="E39" i="10"/>
  <c r="E41" i="22"/>
  <c r="H39" i="17"/>
  <c r="H39" i="10"/>
  <c r="H41" i="22"/>
  <c r="J39" i="17"/>
  <c r="J39" i="10"/>
  <c r="J41" i="22"/>
  <c r="K39" i="17"/>
  <c r="K39" i="10"/>
  <c r="K41" i="22"/>
  <c r="L39" i="17"/>
  <c r="L39" i="10"/>
  <c r="L41" i="22"/>
  <c r="M39" i="17"/>
  <c r="M39" i="10"/>
  <c r="M41" i="22"/>
  <c r="P39" i="17"/>
  <c r="P39" i="10"/>
  <c r="P41" i="22"/>
  <c r="R39" i="17"/>
  <c r="R39" i="10"/>
  <c r="R41" i="22"/>
  <c r="S39" i="17"/>
  <c r="S39" i="10"/>
  <c r="S41" i="22"/>
  <c r="T39" i="17"/>
  <c r="T39" i="10"/>
  <c r="T41" i="22"/>
  <c r="U39" i="17"/>
  <c r="U39" i="10"/>
  <c r="U41" i="22"/>
  <c r="V39" i="17"/>
  <c r="V39" i="10"/>
  <c r="V41" i="22"/>
  <c r="X39" i="17"/>
  <c r="X39" i="10"/>
  <c r="X41" i="22"/>
  <c r="B40" i="17"/>
  <c r="B40" i="10"/>
  <c r="B42" i="22"/>
  <c r="C40" i="17"/>
  <c r="C40" i="10"/>
  <c r="C42" i="22"/>
  <c r="D40" i="17"/>
  <c r="D40" i="10"/>
  <c r="D42" i="22"/>
  <c r="E40" i="17"/>
  <c r="E40" i="10"/>
  <c r="E42" i="22"/>
  <c r="H40" i="17"/>
  <c r="H40" i="10"/>
  <c r="H42" i="22"/>
  <c r="J40" i="17"/>
  <c r="J40" i="10"/>
  <c r="J42" i="22"/>
  <c r="K40" i="17"/>
  <c r="K40" i="10"/>
  <c r="K42" i="22"/>
  <c r="L40" i="17"/>
  <c r="L40" i="10"/>
  <c r="L42" i="22"/>
  <c r="M40" i="17"/>
  <c r="M40" i="10"/>
  <c r="M42" i="22"/>
  <c r="P40" i="17"/>
  <c r="P40" i="10"/>
  <c r="P42" i="22"/>
  <c r="R40" i="17"/>
  <c r="R40" i="10"/>
  <c r="R42" i="22"/>
  <c r="S40" i="17"/>
  <c r="S40" i="10"/>
  <c r="S42" i="22"/>
  <c r="T40" i="17"/>
  <c r="T40" i="10"/>
  <c r="T42" i="22"/>
  <c r="U40" i="17"/>
  <c r="U40" i="10"/>
  <c r="U42" i="22"/>
  <c r="V40" i="17"/>
  <c r="V40" i="10"/>
  <c r="V42" i="22"/>
  <c r="X40" i="17"/>
  <c r="X40" i="10"/>
  <c r="X42" i="22"/>
  <c r="B41" i="17"/>
  <c r="B41" i="10"/>
  <c r="B43" i="22"/>
  <c r="C41" i="17"/>
  <c r="C41" i="10"/>
  <c r="C43" i="22"/>
  <c r="D41" i="17"/>
  <c r="D41" i="10"/>
  <c r="D43" i="22"/>
  <c r="E41" i="17"/>
  <c r="E41" i="10"/>
  <c r="E43" i="22"/>
  <c r="H41" i="17"/>
  <c r="H41" i="10"/>
  <c r="H43" i="22"/>
  <c r="J41" i="17"/>
  <c r="J41" i="10"/>
  <c r="J43" i="22"/>
  <c r="K41" i="17"/>
  <c r="K41" i="10"/>
  <c r="K43" i="22"/>
  <c r="L41" i="17"/>
  <c r="L41" i="10"/>
  <c r="L43" i="22"/>
  <c r="M41" i="17"/>
  <c r="M41" i="10"/>
  <c r="M43" i="22"/>
  <c r="P41" i="17"/>
  <c r="P41" i="10"/>
  <c r="P43" i="22"/>
  <c r="R41" i="17"/>
  <c r="R41" i="10"/>
  <c r="R43" i="22"/>
  <c r="S41" i="17"/>
  <c r="S41" i="10"/>
  <c r="S43" i="22"/>
  <c r="T41" i="17"/>
  <c r="T41" i="10"/>
  <c r="T43" i="22"/>
  <c r="U41" i="17"/>
  <c r="U41" i="10"/>
  <c r="U43" i="22"/>
  <c r="V41" i="17"/>
  <c r="V41" i="10"/>
  <c r="V43" i="22"/>
  <c r="X41" i="17"/>
  <c r="X41" i="10"/>
  <c r="X43" i="22"/>
  <c r="B42" i="17"/>
  <c r="B42" i="10"/>
  <c r="B44" i="22"/>
  <c r="C42" i="17"/>
  <c r="C42" i="10"/>
  <c r="C44" i="22"/>
  <c r="D42" i="17"/>
  <c r="D42" i="10"/>
  <c r="D44" i="22"/>
  <c r="E42" i="17"/>
  <c r="E42" i="10"/>
  <c r="E44" i="22"/>
  <c r="H42" i="17"/>
  <c r="H42" i="10"/>
  <c r="H44" i="22"/>
  <c r="J42" i="17"/>
  <c r="J42" i="10"/>
  <c r="J44" i="22"/>
  <c r="K42" i="17"/>
  <c r="K42" i="10"/>
  <c r="K44" i="22"/>
  <c r="L42" i="17"/>
  <c r="L42" i="10"/>
  <c r="L44" i="22"/>
  <c r="M42" i="17"/>
  <c r="M42" i="10"/>
  <c r="M44" i="22"/>
  <c r="P42" i="17"/>
  <c r="P42" i="10"/>
  <c r="P44" i="22"/>
  <c r="R42" i="17"/>
  <c r="R42" i="10"/>
  <c r="R44" i="22"/>
  <c r="S42" i="17"/>
  <c r="S42" i="10"/>
  <c r="S44" i="22"/>
  <c r="T42" i="17"/>
  <c r="T42" i="10"/>
  <c r="T44" i="22"/>
  <c r="U42" i="17"/>
  <c r="U42" i="10"/>
  <c r="U44" i="22"/>
  <c r="V42" i="17"/>
  <c r="V42" i="10"/>
  <c r="V44" i="22"/>
  <c r="X42" i="17"/>
  <c r="X42" i="10"/>
  <c r="X44" i="22"/>
  <c r="B43" i="17"/>
  <c r="B43" i="10"/>
  <c r="B45" i="22"/>
  <c r="C43" i="17"/>
  <c r="C43" i="10"/>
  <c r="C45" i="22"/>
  <c r="D43" i="17"/>
  <c r="D43" i="10"/>
  <c r="D45" i="22"/>
  <c r="E43" i="17"/>
  <c r="E43" i="10"/>
  <c r="E45" i="22"/>
  <c r="H43" i="17"/>
  <c r="H43" i="10"/>
  <c r="H45" i="22"/>
  <c r="J43" i="17"/>
  <c r="J43" i="10"/>
  <c r="J45" i="22"/>
  <c r="K43" i="17"/>
  <c r="K43" i="10"/>
  <c r="K45" i="22"/>
  <c r="L43" i="17"/>
  <c r="L43" i="10"/>
  <c r="L45" i="22"/>
  <c r="M43" i="17"/>
  <c r="M43" i="10"/>
  <c r="M45" i="22"/>
  <c r="P43" i="17"/>
  <c r="P43" i="10"/>
  <c r="P45" i="22"/>
  <c r="R43" i="17"/>
  <c r="R43" i="10"/>
  <c r="R45" i="22"/>
  <c r="S43" i="17"/>
  <c r="S43" i="10"/>
  <c r="S45" i="22"/>
  <c r="T43" i="17"/>
  <c r="T43" i="10"/>
  <c r="T45" i="22"/>
  <c r="U43" i="17"/>
  <c r="U43" i="10"/>
  <c r="U45" i="22"/>
  <c r="V43" i="17"/>
  <c r="V43" i="10"/>
  <c r="V45" i="22"/>
  <c r="X43" i="17"/>
  <c r="X43" i="10"/>
  <c r="X45" i="22"/>
  <c r="B44" i="17"/>
  <c r="B44" i="10"/>
  <c r="B46" i="22"/>
  <c r="C44" i="17"/>
  <c r="C44" i="10"/>
  <c r="C46" i="22"/>
  <c r="D44" i="17"/>
  <c r="D44" i="10"/>
  <c r="D46" i="22"/>
  <c r="E44" i="17"/>
  <c r="E44" i="10"/>
  <c r="E46" i="22"/>
  <c r="H44" i="17"/>
  <c r="H44" i="10"/>
  <c r="H46" i="22"/>
  <c r="J44" i="17"/>
  <c r="J44" i="10"/>
  <c r="J46" i="22"/>
  <c r="K44" i="17"/>
  <c r="K44" i="10"/>
  <c r="K46" i="22"/>
  <c r="L44" i="17"/>
  <c r="L44" i="10"/>
  <c r="L46" i="22"/>
  <c r="M44" i="17"/>
  <c r="M44" i="10"/>
  <c r="M46" i="22"/>
  <c r="P44" i="17"/>
  <c r="P44" i="10"/>
  <c r="P46" i="22"/>
  <c r="R44" i="17"/>
  <c r="R44" i="10"/>
  <c r="R46" i="22"/>
  <c r="S44" i="17"/>
  <c r="S44" i="10"/>
  <c r="S46" i="22"/>
  <c r="T44" i="17"/>
  <c r="T44" i="10"/>
  <c r="T46" i="22"/>
  <c r="U44" i="17"/>
  <c r="U44" i="10"/>
  <c r="U46" i="22"/>
  <c r="V44" i="17"/>
  <c r="V44" i="10"/>
  <c r="V46" i="22"/>
  <c r="X44" i="17"/>
  <c r="X44" i="10"/>
  <c r="X46" i="22"/>
  <c r="B45" i="17"/>
  <c r="B45" i="10"/>
  <c r="B47" i="22"/>
  <c r="C45" i="17"/>
  <c r="C45" i="10"/>
  <c r="C47" i="22"/>
  <c r="D45" i="17"/>
  <c r="D45" i="10"/>
  <c r="D47" i="22"/>
  <c r="E45" i="17"/>
  <c r="E45" i="10"/>
  <c r="E47" i="22"/>
  <c r="H45" i="17"/>
  <c r="H45" i="10"/>
  <c r="H47" i="22"/>
  <c r="J45" i="17"/>
  <c r="J45" i="10"/>
  <c r="J47" i="22"/>
  <c r="K45" i="17"/>
  <c r="K45" i="10"/>
  <c r="K47" i="22"/>
  <c r="L45" i="17"/>
  <c r="L45" i="10"/>
  <c r="L47" i="22"/>
  <c r="M45" i="17"/>
  <c r="M45" i="10"/>
  <c r="M47" i="22"/>
  <c r="P45" i="17"/>
  <c r="P45" i="10"/>
  <c r="P47" i="22"/>
  <c r="R45" i="17"/>
  <c r="R45" i="10"/>
  <c r="R47" i="22"/>
  <c r="S45" i="17"/>
  <c r="S45" i="10"/>
  <c r="S47" i="22"/>
  <c r="T45" i="17"/>
  <c r="T45" i="10"/>
  <c r="T47" i="22"/>
  <c r="U45" i="17"/>
  <c r="U45" i="10"/>
  <c r="U47" i="22"/>
  <c r="V45" i="17"/>
  <c r="V45" i="10"/>
  <c r="V47" i="22"/>
  <c r="X45" i="17"/>
  <c r="X45" i="10"/>
  <c r="X47" i="22"/>
  <c r="B46" i="17"/>
  <c r="B46" i="10"/>
  <c r="B48" i="22"/>
  <c r="C46" i="17"/>
  <c r="C46" i="10"/>
  <c r="C48" i="22"/>
  <c r="D46" i="17"/>
  <c r="D46" i="10"/>
  <c r="D48" i="22"/>
  <c r="E46" i="17"/>
  <c r="E46" i="10"/>
  <c r="E48" i="22"/>
  <c r="H46" i="17"/>
  <c r="H46" i="10"/>
  <c r="H48" i="22"/>
  <c r="J46" i="17"/>
  <c r="J46" i="10"/>
  <c r="J48" i="22"/>
  <c r="K46" i="17"/>
  <c r="K46" i="10"/>
  <c r="K48" i="22"/>
  <c r="L46" i="17"/>
  <c r="L46" i="10"/>
  <c r="L48" i="22"/>
  <c r="M46" i="17"/>
  <c r="M46" i="10"/>
  <c r="M48" i="22"/>
  <c r="P46" i="17"/>
  <c r="P46" i="10"/>
  <c r="P48" i="22"/>
  <c r="R46" i="17"/>
  <c r="R46" i="10"/>
  <c r="R48" i="22"/>
  <c r="S46" i="17"/>
  <c r="S46" i="10"/>
  <c r="S48" i="22"/>
  <c r="T46" i="17"/>
  <c r="T46" i="10"/>
  <c r="T48" i="22"/>
  <c r="U46" i="17"/>
  <c r="U46" i="10"/>
  <c r="U48" i="22"/>
  <c r="V46" i="17"/>
  <c r="V46" i="10"/>
  <c r="V48" i="22"/>
  <c r="X46" i="17"/>
  <c r="X46" i="10"/>
  <c r="X48" i="22"/>
  <c r="B47" i="17"/>
  <c r="B47" i="10"/>
  <c r="B49" i="22"/>
  <c r="C47" i="17"/>
  <c r="C47" i="10"/>
  <c r="C49" i="22"/>
  <c r="D47" i="17"/>
  <c r="D47" i="10"/>
  <c r="D49" i="22"/>
  <c r="E47" i="17"/>
  <c r="E47" i="10"/>
  <c r="E49" i="22"/>
  <c r="H47" i="17"/>
  <c r="H47" i="10"/>
  <c r="H49" i="22"/>
  <c r="J47" i="17"/>
  <c r="J47" i="10"/>
  <c r="J49" i="22"/>
  <c r="K47" i="17"/>
  <c r="K47" i="10"/>
  <c r="K49" i="22"/>
  <c r="L47" i="17"/>
  <c r="L47" i="10"/>
  <c r="L49" i="22"/>
  <c r="M47" i="17"/>
  <c r="M47" i="10"/>
  <c r="M49" i="22"/>
  <c r="P47" i="17"/>
  <c r="P47" i="10"/>
  <c r="P49" i="22"/>
  <c r="R47" i="17"/>
  <c r="R47" i="10"/>
  <c r="R49" i="22"/>
  <c r="S47" i="17"/>
  <c r="S47" i="10"/>
  <c r="S49" i="22"/>
  <c r="T47" i="17"/>
  <c r="T47" i="10"/>
  <c r="T49" i="22"/>
  <c r="U47" i="17"/>
  <c r="U47" i="10"/>
  <c r="U49" i="22"/>
  <c r="V47" i="17"/>
  <c r="V47" i="10"/>
  <c r="V49" i="22"/>
  <c r="X47" i="17"/>
  <c r="X47" i="10"/>
  <c r="X49" i="22"/>
  <c r="B48" i="17"/>
  <c r="B48" i="10"/>
  <c r="B50" i="22"/>
  <c r="C48" i="17"/>
  <c r="C48" i="10"/>
  <c r="C50" i="22"/>
  <c r="D48" i="17"/>
  <c r="D48" i="10"/>
  <c r="D50" i="22"/>
  <c r="E48" i="17"/>
  <c r="E48" i="10"/>
  <c r="E50" i="22"/>
  <c r="H48" i="17"/>
  <c r="H48" i="10"/>
  <c r="H50" i="22"/>
  <c r="J48" i="17"/>
  <c r="J48" i="10"/>
  <c r="J50" i="22"/>
  <c r="K48" i="17"/>
  <c r="K48" i="10"/>
  <c r="K50" i="22"/>
  <c r="L48" i="17"/>
  <c r="L48" i="10"/>
  <c r="L50" i="22"/>
  <c r="M48" i="17"/>
  <c r="M48" i="10"/>
  <c r="M50" i="22"/>
  <c r="P48" i="17"/>
  <c r="P48" i="10"/>
  <c r="P50" i="22"/>
  <c r="R48" i="17"/>
  <c r="R48" i="10"/>
  <c r="R50" i="22"/>
  <c r="S48" i="17"/>
  <c r="S48" i="10"/>
  <c r="S50" i="22"/>
  <c r="T48" i="17"/>
  <c r="T48" i="10"/>
  <c r="T50" i="22"/>
  <c r="U48" i="17"/>
  <c r="U48" i="10"/>
  <c r="U50" i="22"/>
  <c r="V48" i="17"/>
  <c r="V48" i="10"/>
  <c r="V50" i="22"/>
  <c r="X48" i="17"/>
  <c r="X48" i="10"/>
  <c r="X50" i="22"/>
  <c r="B49" i="17"/>
  <c r="B49" i="10"/>
  <c r="B51" i="22"/>
  <c r="C49" i="17"/>
  <c r="C49" i="10"/>
  <c r="C51" i="22"/>
  <c r="D49" i="17"/>
  <c r="D49" i="10"/>
  <c r="D51" i="22"/>
  <c r="E49" i="17"/>
  <c r="E49" i="10"/>
  <c r="E51" i="22"/>
  <c r="H49" i="17"/>
  <c r="H49" i="10"/>
  <c r="H51" i="22"/>
  <c r="J49" i="17"/>
  <c r="J49" i="10"/>
  <c r="J51" i="22"/>
  <c r="K49" i="17"/>
  <c r="K49" i="10"/>
  <c r="K51" i="22"/>
  <c r="L49" i="17"/>
  <c r="L49" i="10"/>
  <c r="L51" i="22"/>
  <c r="M49" i="17"/>
  <c r="M49" i="10"/>
  <c r="M51" i="22"/>
  <c r="P49" i="17"/>
  <c r="P49" i="10"/>
  <c r="P51" i="22"/>
  <c r="R49" i="17"/>
  <c r="R49" i="10"/>
  <c r="R51" i="22"/>
  <c r="S49" i="17"/>
  <c r="S49" i="10"/>
  <c r="S51" i="22"/>
  <c r="T49" i="17"/>
  <c r="T49" i="10"/>
  <c r="T51" i="22"/>
  <c r="U49" i="17"/>
  <c r="U49" i="10"/>
  <c r="U51" i="22"/>
  <c r="V49" i="17"/>
  <c r="V49" i="10"/>
  <c r="V51" i="22"/>
  <c r="X49" i="17"/>
  <c r="X49" i="10"/>
  <c r="X51" i="22"/>
  <c r="B50" i="17"/>
  <c r="B50" i="10"/>
  <c r="B52" i="22"/>
  <c r="C50" i="17"/>
  <c r="C50" i="10"/>
  <c r="C52" i="22"/>
  <c r="D50" i="17"/>
  <c r="D50" i="10"/>
  <c r="D52" i="22"/>
  <c r="E50" i="17"/>
  <c r="E50" i="10"/>
  <c r="E52" i="22"/>
  <c r="H50" i="17"/>
  <c r="H50" i="10"/>
  <c r="H52" i="22"/>
  <c r="J50" i="17"/>
  <c r="J50" i="10"/>
  <c r="J52" i="22"/>
  <c r="K50" i="17"/>
  <c r="K50" i="10"/>
  <c r="K52" i="22"/>
  <c r="L50" i="17"/>
  <c r="L50" i="10"/>
  <c r="L52" i="22"/>
  <c r="M50" i="17"/>
  <c r="M50" i="10"/>
  <c r="M52" i="22"/>
  <c r="P50" i="17"/>
  <c r="P50" i="10"/>
  <c r="P52" i="22"/>
  <c r="R50" i="17"/>
  <c r="R50" i="10"/>
  <c r="R52" i="22"/>
  <c r="S50" i="17"/>
  <c r="S50" i="10"/>
  <c r="S52" i="22"/>
  <c r="T50" i="17"/>
  <c r="T50" i="10"/>
  <c r="T52" i="22"/>
  <c r="U50" i="17"/>
  <c r="U50" i="10"/>
  <c r="U52" i="22"/>
  <c r="V50" i="17"/>
  <c r="V50" i="10"/>
  <c r="V52" i="22"/>
  <c r="X50" i="17"/>
  <c r="X50" i="10"/>
  <c r="X52" i="22"/>
  <c r="B51" i="17"/>
  <c r="B51" i="10"/>
  <c r="B53" i="22"/>
  <c r="C51" i="17"/>
  <c r="C51" i="10"/>
  <c r="C53" i="22"/>
  <c r="D51" i="17"/>
  <c r="D51" i="10"/>
  <c r="D53" i="22"/>
  <c r="E51" i="17"/>
  <c r="E51" i="10"/>
  <c r="E53" i="22"/>
  <c r="H51" i="17"/>
  <c r="H51" i="10"/>
  <c r="H53" i="22"/>
  <c r="J51" i="17"/>
  <c r="J51" i="10"/>
  <c r="J53" i="22"/>
  <c r="K51" i="17"/>
  <c r="K51" i="10"/>
  <c r="K53" i="22"/>
  <c r="L51" i="17"/>
  <c r="L51" i="10"/>
  <c r="L53" i="22"/>
  <c r="M51" i="17"/>
  <c r="M51" i="10"/>
  <c r="M53" i="22"/>
  <c r="P51" i="17"/>
  <c r="P51" i="10"/>
  <c r="P53" i="22"/>
  <c r="R51" i="17"/>
  <c r="R51" i="10"/>
  <c r="R53" i="22"/>
  <c r="S51" i="17"/>
  <c r="S51" i="10"/>
  <c r="S53" i="22"/>
  <c r="T51" i="17"/>
  <c r="T51" i="10"/>
  <c r="T53" i="22"/>
  <c r="U51" i="17"/>
  <c r="U51" i="10"/>
  <c r="U53" i="22"/>
  <c r="V51" i="17"/>
  <c r="V51" i="10"/>
  <c r="V53" i="22"/>
  <c r="X51" i="17"/>
  <c r="X51" i="10"/>
  <c r="X53" i="22"/>
  <c r="B52" i="17"/>
  <c r="B52" i="10"/>
  <c r="B54" i="22"/>
  <c r="C52" i="17"/>
  <c r="C52" i="10"/>
  <c r="C54" i="22"/>
  <c r="D52" i="17"/>
  <c r="D52" i="10"/>
  <c r="D54" i="22"/>
  <c r="E52" i="17"/>
  <c r="E52" i="10"/>
  <c r="E54" i="22"/>
  <c r="H52" i="17"/>
  <c r="H52" i="10"/>
  <c r="H54" i="22"/>
  <c r="J52" i="17"/>
  <c r="J52" i="10"/>
  <c r="J54" i="22"/>
  <c r="K52" i="17"/>
  <c r="K52" i="10"/>
  <c r="K54" i="22"/>
  <c r="L52" i="17"/>
  <c r="L52" i="10"/>
  <c r="L54" i="22"/>
  <c r="M52" i="17"/>
  <c r="M52" i="10"/>
  <c r="M54" i="22"/>
  <c r="P52" i="17"/>
  <c r="P52" i="10"/>
  <c r="P54" i="22"/>
  <c r="R52" i="17"/>
  <c r="R52" i="10"/>
  <c r="R54" i="22"/>
  <c r="S52" i="17"/>
  <c r="S52" i="10"/>
  <c r="S54" i="22"/>
  <c r="T52" i="17"/>
  <c r="T52" i="10"/>
  <c r="T54" i="22"/>
  <c r="U52" i="17"/>
  <c r="U52" i="10"/>
  <c r="U54" i="22"/>
  <c r="V52" i="17"/>
  <c r="V52" i="10"/>
  <c r="V54" i="22"/>
  <c r="X52" i="17"/>
  <c r="X52" i="10"/>
  <c r="X54" i="22"/>
  <c r="B53" i="17"/>
  <c r="B53" i="10"/>
  <c r="B55" i="22"/>
  <c r="C53" i="17"/>
  <c r="C53" i="10"/>
  <c r="C55" i="22"/>
  <c r="D53" i="17"/>
  <c r="D53" i="10"/>
  <c r="D55" i="22"/>
  <c r="E53" i="17"/>
  <c r="E53" i="10"/>
  <c r="E55" i="22"/>
  <c r="H53" i="17"/>
  <c r="H53" i="10"/>
  <c r="H55" i="22"/>
  <c r="J53" i="17"/>
  <c r="J53" i="10"/>
  <c r="J55" i="22"/>
  <c r="K53" i="17"/>
  <c r="K53" i="10"/>
  <c r="K55" i="22"/>
  <c r="L53" i="17"/>
  <c r="L53" i="10"/>
  <c r="L55" i="22"/>
  <c r="M53" i="17"/>
  <c r="M53" i="10"/>
  <c r="M55" i="22"/>
  <c r="P53" i="17"/>
  <c r="P53" i="10"/>
  <c r="P55" i="22"/>
  <c r="R53" i="17"/>
  <c r="R53" i="10"/>
  <c r="R55" i="22"/>
  <c r="S53" i="17"/>
  <c r="S53" i="10"/>
  <c r="S55" i="22"/>
  <c r="T53" i="17"/>
  <c r="T53" i="10"/>
  <c r="T55" i="22"/>
  <c r="U53" i="17"/>
  <c r="U53" i="10"/>
  <c r="U55" i="22"/>
  <c r="V53" i="17"/>
  <c r="V53" i="10"/>
  <c r="V55" i="22"/>
  <c r="X53" i="17"/>
  <c r="X53" i="10"/>
  <c r="X55" i="22"/>
  <c r="B54" i="17"/>
  <c r="B54" i="10"/>
  <c r="B56" i="22"/>
  <c r="C54" i="17"/>
  <c r="C54" i="10"/>
  <c r="C56" i="22"/>
  <c r="D54" i="17"/>
  <c r="D54" i="10"/>
  <c r="D56" i="22"/>
  <c r="E54" i="17"/>
  <c r="E54" i="10"/>
  <c r="E56" i="22"/>
  <c r="H54" i="17"/>
  <c r="H54" i="10"/>
  <c r="H56" i="22"/>
  <c r="J54" i="17"/>
  <c r="J54" i="10"/>
  <c r="J56" i="22"/>
  <c r="K54" i="17"/>
  <c r="K54" i="10"/>
  <c r="K56" i="22"/>
  <c r="L54" i="17"/>
  <c r="L54" i="10"/>
  <c r="L56" i="22"/>
  <c r="M54" i="17"/>
  <c r="M54" i="10"/>
  <c r="M56" i="22"/>
  <c r="P54" i="17"/>
  <c r="P54" i="10"/>
  <c r="P56" i="22"/>
  <c r="R54" i="17"/>
  <c r="R54" i="10"/>
  <c r="R56" i="22"/>
  <c r="S54" i="17"/>
  <c r="S54" i="10"/>
  <c r="S56" i="22"/>
  <c r="T54" i="17"/>
  <c r="T54" i="10"/>
  <c r="T56" i="22"/>
  <c r="U54" i="17"/>
  <c r="U54" i="10"/>
  <c r="U56" i="22"/>
  <c r="V54" i="17"/>
  <c r="V54" i="10"/>
  <c r="V56" i="22"/>
  <c r="X54" i="17"/>
  <c r="X54" i="10"/>
  <c r="X56" i="22"/>
  <c r="B55" i="17"/>
  <c r="B55" i="10"/>
  <c r="B57" i="22"/>
  <c r="C55" i="17"/>
  <c r="C55" i="10"/>
  <c r="C57" i="22"/>
  <c r="D55" i="17"/>
  <c r="D55" i="10"/>
  <c r="D57" i="22"/>
  <c r="E55" i="17"/>
  <c r="E55" i="10"/>
  <c r="E57" i="22"/>
  <c r="H55" i="17"/>
  <c r="H55" i="10"/>
  <c r="H57" i="22"/>
  <c r="J55" i="17"/>
  <c r="J55" i="10"/>
  <c r="J57" i="22"/>
  <c r="K55" i="17"/>
  <c r="K55" i="10"/>
  <c r="K57" i="22"/>
  <c r="L55" i="17"/>
  <c r="L55" i="10"/>
  <c r="L57" i="22"/>
  <c r="M55" i="17"/>
  <c r="M55" i="10"/>
  <c r="M57" i="22"/>
  <c r="P55" i="17"/>
  <c r="P55" i="10"/>
  <c r="P57" i="22"/>
  <c r="R55" i="17"/>
  <c r="R55" i="10"/>
  <c r="R57" i="22"/>
  <c r="S55" i="17"/>
  <c r="S55" i="10"/>
  <c r="S57" i="22"/>
  <c r="T55" i="17"/>
  <c r="T55" i="10"/>
  <c r="T57" i="22"/>
  <c r="U55" i="17"/>
  <c r="U55" i="10"/>
  <c r="U57" i="22"/>
  <c r="V55" i="17"/>
  <c r="V55" i="10"/>
  <c r="V57" i="22"/>
  <c r="X55" i="17"/>
  <c r="X55" i="10"/>
  <c r="X57" i="22"/>
  <c r="B56" i="17"/>
  <c r="B56" i="10"/>
  <c r="B58" i="22"/>
  <c r="C56" i="17"/>
  <c r="C56" i="10"/>
  <c r="C58" i="22"/>
  <c r="D56" i="17"/>
  <c r="D56" i="10"/>
  <c r="D58" i="22"/>
  <c r="E56" i="17"/>
  <c r="E56" i="10"/>
  <c r="E58" i="22"/>
  <c r="H56" i="17"/>
  <c r="H56" i="10"/>
  <c r="H58" i="22"/>
  <c r="J56" i="17"/>
  <c r="J56" i="10"/>
  <c r="J58" i="22"/>
  <c r="K56" i="17"/>
  <c r="K56" i="10"/>
  <c r="K58" i="22"/>
  <c r="L56" i="17"/>
  <c r="L56" i="10"/>
  <c r="L58" i="22"/>
  <c r="M56" i="17"/>
  <c r="M56" i="10"/>
  <c r="M58" i="22"/>
  <c r="P56" i="17"/>
  <c r="P56" i="10"/>
  <c r="P58" i="22"/>
  <c r="R56" i="17"/>
  <c r="R56" i="10"/>
  <c r="R58" i="22"/>
  <c r="S56" i="17"/>
  <c r="S56" i="10"/>
  <c r="S58" i="22"/>
  <c r="T56" i="17"/>
  <c r="T56" i="10"/>
  <c r="T58" i="22"/>
  <c r="U56" i="17"/>
  <c r="U56" i="10"/>
  <c r="U58" i="22"/>
  <c r="V56" i="17"/>
  <c r="V56" i="10"/>
  <c r="V58" i="22"/>
  <c r="X56" i="17"/>
  <c r="X56" i="10"/>
  <c r="X58" i="22"/>
  <c r="B57" i="17"/>
  <c r="B57" i="10"/>
  <c r="B59" i="22"/>
  <c r="C57" i="17"/>
  <c r="C57" i="10"/>
  <c r="C59" i="22"/>
  <c r="D57" i="17"/>
  <c r="D57" i="10"/>
  <c r="D59" i="22"/>
  <c r="E57" i="17"/>
  <c r="E57" i="10"/>
  <c r="E59" i="22"/>
  <c r="H57" i="17"/>
  <c r="H57" i="10"/>
  <c r="H59" i="22"/>
  <c r="J57" i="17"/>
  <c r="J57" i="10"/>
  <c r="J59" i="22"/>
  <c r="K57" i="17"/>
  <c r="K57" i="10"/>
  <c r="K59" i="22"/>
  <c r="L57" i="17"/>
  <c r="L57" i="10"/>
  <c r="L59" i="22"/>
  <c r="M57" i="17"/>
  <c r="M57" i="10"/>
  <c r="M59" i="22"/>
  <c r="P57" i="17"/>
  <c r="P57" i="10"/>
  <c r="P59" i="22"/>
  <c r="R57" i="17"/>
  <c r="R57" i="10"/>
  <c r="R59" i="22"/>
  <c r="S57" i="17"/>
  <c r="S57" i="10"/>
  <c r="S59" i="22"/>
  <c r="T57" i="17"/>
  <c r="T57" i="10"/>
  <c r="T59" i="22"/>
  <c r="U57" i="17"/>
  <c r="U57" i="10"/>
  <c r="U59" i="22"/>
  <c r="V57" i="17"/>
  <c r="V57" i="10"/>
  <c r="V59" i="22"/>
  <c r="X57" i="17"/>
  <c r="X57" i="10"/>
  <c r="X59" i="22"/>
  <c r="B58" i="17"/>
  <c r="B58" i="10"/>
  <c r="B60" i="22"/>
  <c r="C58" i="17"/>
  <c r="C58" i="10"/>
  <c r="C60" i="22"/>
  <c r="D58" i="17"/>
  <c r="D58" i="10"/>
  <c r="D60" i="22"/>
  <c r="E58" i="17"/>
  <c r="E58" i="10"/>
  <c r="E60" i="22"/>
  <c r="H58" i="17"/>
  <c r="H58" i="10"/>
  <c r="H60" i="22"/>
  <c r="J58" i="17"/>
  <c r="J58" i="10"/>
  <c r="J60" i="22"/>
  <c r="K58" i="17"/>
  <c r="K58" i="10"/>
  <c r="K60" i="22"/>
  <c r="L58" i="17"/>
  <c r="L58" i="10"/>
  <c r="L60" i="22"/>
  <c r="M58" i="17"/>
  <c r="M58" i="10"/>
  <c r="M60" i="22"/>
  <c r="P58" i="17"/>
  <c r="P58" i="10"/>
  <c r="P60" i="22"/>
  <c r="R58" i="17"/>
  <c r="R58" i="10"/>
  <c r="R60" i="22"/>
  <c r="S58" i="17"/>
  <c r="S58" i="10"/>
  <c r="S60" i="22"/>
  <c r="T58" i="17"/>
  <c r="T58" i="10"/>
  <c r="T60" i="22"/>
  <c r="U58" i="17"/>
  <c r="U58" i="10"/>
  <c r="U60" i="22"/>
  <c r="V58" i="17"/>
  <c r="V58" i="10"/>
  <c r="V60" i="22"/>
  <c r="X58" i="17"/>
  <c r="X58" i="10"/>
  <c r="X60" i="22"/>
  <c r="B59" i="17"/>
  <c r="B59" i="10"/>
  <c r="B61" i="22"/>
  <c r="C59" i="17"/>
  <c r="C59" i="10"/>
  <c r="C61" i="22"/>
  <c r="D59" i="17"/>
  <c r="D59" i="10"/>
  <c r="D61" i="22"/>
  <c r="E59" i="17"/>
  <c r="E59" i="10"/>
  <c r="E61" i="22"/>
  <c r="H59" i="17"/>
  <c r="H59" i="10"/>
  <c r="H61" i="22"/>
  <c r="J59" i="17"/>
  <c r="J59" i="10"/>
  <c r="J61" i="22"/>
  <c r="K59" i="17"/>
  <c r="K59" i="10"/>
  <c r="K61" i="22"/>
  <c r="L59" i="17"/>
  <c r="L59" i="10"/>
  <c r="L61" i="22"/>
  <c r="M59" i="17"/>
  <c r="M59" i="10"/>
  <c r="M61" i="22"/>
  <c r="P59" i="17"/>
  <c r="P59" i="10"/>
  <c r="P61" i="22"/>
  <c r="R59" i="17"/>
  <c r="R59" i="10"/>
  <c r="R61" i="22"/>
  <c r="S59" i="17"/>
  <c r="S59" i="10"/>
  <c r="S61" i="22"/>
  <c r="T59" i="17"/>
  <c r="T59" i="10"/>
  <c r="T61" i="22"/>
  <c r="U59" i="17"/>
  <c r="U59" i="10"/>
  <c r="U61" i="22"/>
  <c r="V59" i="17"/>
  <c r="V59" i="10"/>
  <c r="V61" i="22"/>
  <c r="X59" i="17"/>
  <c r="X59" i="10"/>
  <c r="X61" i="22"/>
  <c r="B60" i="17"/>
  <c r="B60" i="10"/>
  <c r="B62" i="22"/>
  <c r="C60" i="17"/>
  <c r="C60" i="10"/>
  <c r="C62" i="22"/>
  <c r="D60" i="17"/>
  <c r="D60" i="10"/>
  <c r="D62" i="22"/>
  <c r="E60" i="17"/>
  <c r="E60" i="10"/>
  <c r="E62" i="22"/>
  <c r="H60" i="17"/>
  <c r="H60" i="10"/>
  <c r="H62" i="22"/>
  <c r="J60" i="17"/>
  <c r="J60" i="10"/>
  <c r="J62" i="22"/>
  <c r="K60" i="17"/>
  <c r="K60" i="10"/>
  <c r="K62" i="22"/>
  <c r="L60" i="17"/>
  <c r="L60" i="10"/>
  <c r="L62" i="22"/>
  <c r="M60" i="17"/>
  <c r="M60" i="10"/>
  <c r="M62" i="22"/>
  <c r="P60" i="17"/>
  <c r="P60" i="10"/>
  <c r="P62" i="22"/>
  <c r="R60" i="17"/>
  <c r="R60" i="10"/>
  <c r="R62" i="22"/>
  <c r="S60" i="17"/>
  <c r="S60" i="10"/>
  <c r="S62" i="22"/>
  <c r="T60" i="17"/>
  <c r="T60" i="10"/>
  <c r="T62" i="22"/>
  <c r="U60" i="17"/>
  <c r="U60" i="10"/>
  <c r="U62" i="22"/>
  <c r="V60" i="17"/>
  <c r="V60" i="10"/>
  <c r="V62" i="22"/>
  <c r="X60" i="17"/>
  <c r="X60" i="10"/>
  <c r="X62" i="22"/>
  <c r="B61" i="17"/>
  <c r="B61" i="10"/>
  <c r="B63" i="22"/>
  <c r="C61" i="17"/>
  <c r="C61" i="10"/>
  <c r="C63" i="22"/>
  <c r="D61" i="17"/>
  <c r="D61" i="10"/>
  <c r="D63" i="22"/>
  <c r="E61" i="17"/>
  <c r="E61" i="10"/>
  <c r="E63" i="22"/>
  <c r="H61" i="17"/>
  <c r="H61" i="10"/>
  <c r="H63" i="22"/>
  <c r="J61" i="17"/>
  <c r="J61" i="10"/>
  <c r="J63" i="22"/>
  <c r="K61" i="17"/>
  <c r="K61" i="10"/>
  <c r="K63" i="22"/>
  <c r="L61" i="17"/>
  <c r="L61" i="10"/>
  <c r="L63" i="22"/>
  <c r="M61" i="17"/>
  <c r="M61" i="10"/>
  <c r="M63" i="22"/>
  <c r="P61" i="17"/>
  <c r="P61" i="10"/>
  <c r="P63" i="22"/>
  <c r="R61" i="17"/>
  <c r="R61" i="10"/>
  <c r="R63" i="22"/>
  <c r="S61" i="17"/>
  <c r="S61" i="10"/>
  <c r="S63" i="22"/>
  <c r="T61" i="17"/>
  <c r="T61" i="10"/>
  <c r="T63" i="22"/>
  <c r="U61" i="17"/>
  <c r="U61" i="10"/>
  <c r="U63" i="22"/>
  <c r="V61" i="17"/>
  <c r="V61" i="10"/>
  <c r="V63" i="22"/>
  <c r="X61" i="17"/>
  <c r="X61" i="10"/>
  <c r="X63" i="22"/>
  <c r="B62" i="17"/>
  <c r="B62" i="10"/>
  <c r="B64" i="22"/>
  <c r="C62" i="17"/>
  <c r="C62" i="10"/>
  <c r="C64" i="22"/>
  <c r="D62" i="17"/>
  <c r="D62" i="10"/>
  <c r="D64" i="22"/>
  <c r="E62" i="17"/>
  <c r="E62" i="10"/>
  <c r="E64" i="22"/>
  <c r="H62" i="17"/>
  <c r="H62" i="10"/>
  <c r="H64" i="22"/>
  <c r="J62" i="17"/>
  <c r="J62" i="10"/>
  <c r="J64" i="22"/>
  <c r="K62" i="17"/>
  <c r="K62" i="10"/>
  <c r="K64" i="22"/>
  <c r="L62" i="17"/>
  <c r="L62" i="10"/>
  <c r="L64" i="22"/>
  <c r="M62" i="17"/>
  <c r="M62" i="10"/>
  <c r="M64" i="22"/>
  <c r="P62" i="17"/>
  <c r="P62" i="10"/>
  <c r="P64" i="22"/>
  <c r="R62" i="17"/>
  <c r="R62" i="10"/>
  <c r="R64" i="22"/>
  <c r="S62" i="17"/>
  <c r="S62" i="10"/>
  <c r="S64" i="22"/>
  <c r="T62" i="17"/>
  <c r="T62" i="10"/>
  <c r="T64" i="22"/>
  <c r="U62" i="17"/>
  <c r="U62" i="10"/>
  <c r="U64" i="22"/>
  <c r="V62" i="17"/>
  <c r="V62" i="10"/>
  <c r="V64" i="22"/>
  <c r="X62" i="17"/>
  <c r="X62" i="10"/>
  <c r="X64" i="22"/>
  <c r="B63" i="17"/>
  <c r="B63" i="10"/>
  <c r="B65" i="22"/>
  <c r="C63" i="17"/>
  <c r="C63" i="10"/>
  <c r="C65" i="22"/>
  <c r="D63" i="17"/>
  <c r="D63" i="10"/>
  <c r="D65" i="22"/>
  <c r="E63" i="17"/>
  <c r="E63" i="10"/>
  <c r="E65" i="22"/>
  <c r="H63" i="17"/>
  <c r="H63" i="10"/>
  <c r="H65" i="22"/>
  <c r="J63" i="17"/>
  <c r="J63" i="10"/>
  <c r="J65" i="22"/>
  <c r="K63" i="17"/>
  <c r="K63" i="10"/>
  <c r="K65" i="22"/>
  <c r="L63" i="17"/>
  <c r="L63" i="10"/>
  <c r="L65" i="22"/>
  <c r="M63" i="17"/>
  <c r="M63" i="10"/>
  <c r="M65" i="22"/>
  <c r="P63" i="17"/>
  <c r="P63" i="10"/>
  <c r="P65" i="22"/>
  <c r="R63" i="17"/>
  <c r="R63" i="10"/>
  <c r="R65" i="22"/>
  <c r="S63" i="17"/>
  <c r="S63" i="10"/>
  <c r="S65" i="22"/>
  <c r="T63" i="17"/>
  <c r="T63" i="10"/>
  <c r="T65" i="22"/>
  <c r="U63" i="17"/>
  <c r="U63" i="10"/>
  <c r="U65" i="22"/>
  <c r="V63" i="17"/>
  <c r="V63" i="10"/>
  <c r="V65" i="22"/>
  <c r="X63" i="17"/>
  <c r="X63" i="10"/>
  <c r="X65" i="22"/>
  <c r="B64" i="17"/>
  <c r="B64" i="10"/>
  <c r="B66" i="22"/>
  <c r="C64" i="17"/>
  <c r="C64" i="10"/>
  <c r="C66" i="22"/>
  <c r="D64" i="17"/>
  <c r="D64" i="10"/>
  <c r="D66" i="22"/>
  <c r="E64" i="17"/>
  <c r="E64" i="10"/>
  <c r="E66" i="22"/>
  <c r="H64" i="17"/>
  <c r="H64" i="10"/>
  <c r="H66" i="22"/>
  <c r="J64" i="17"/>
  <c r="J64" i="10"/>
  <c r="J66" i="22"/>
  <c r="K64" i="17"/>
  <c r="K64" i="10"/>
  <c r="K66" i="22"/>
  <c r="L64" i="17"/>
  <c r="L64" i="10"/>
  <c r="L66" i="22"/>
  <c r="M64" i="17"/>
  <c r="M64" i="10"/>
  <c r="M66" i="22"/>
  <c r="P64" i="17"/>
  <c r="P64" i="10"/>
  <c r="P66" i="22"/>
  <c r="R64" i="17"/>
  <c r="R64" i="10"/>
  <c r="R66" i="22"/>
  <c r="S64" i="17"/>
  <c r="S64" i="10"/>
  <c r="S66" i="22"/>
  <c r="T64" i="17"/>
  <c r="T64" i="10"/>
  <c r="T66" i="22"/>
  <c r="U64" i="17"/>
  <c r="U64" i="10"/>
  <c r="U66" i="22"/>
  <c r="V64" i="17"/>
  <c r="V64" i="10"/>
  <c r="V66" i="22"/>
  <c r="X64" i="17"/>
  <c r="X64" i="10"/>
  <c r="X66" i="22"/>
  <c r="B65" i="17"/>
  <c r="B65" i="10"/>
  <c r="B67" i="22"/>
  <c r="C65" i="17"/>
  <c r="C65" i="10"/>
  <c r="C67" i="22"/>
  <c r="D65" i="17"/>
  <c r="D65" i="10"/>
  <c r="D67" i="22"/>
  <c r="E65" i="17"/>
  <c r="E65" i="10"/>
  <c r="E67" i="22"/>
  <c r="H65" i="17"/>
  <c r="H65" i="10"/>
  <c r="H67" i="22"/>
  <c r="J65" i="17"/>
  <c r="J65" i="10"/>
  <c r="J67" i="22"/>
  <c r="K65" i="17"/>
  <c r="K65" i="10"/>
  <c r="K67" i="22"/>
  <c r="L65" i="17"/>
  <c r="L65" i="10"/>
  <c r="L67" i="22"/>
  <c r="M65" i="17"/>
  <c r="M65" i="10"/>
  <c r="M67" i="22"/>
  <c r="P65" i="17"/>
  <c r="P65" i="10"/>
  <c r="P67" i="22"/>
  <c r="R65" i="17"/>
  <c r="R65" i="10"/>
  <c r="R67" i="22"/>
  <c r="S65" i="17"/>
  <c r="S65" i="10"/>
  <c r="S67" i="22"/>
  <c r="T65" i="17"/>
  <c r="T65" i="10"/>
  <c r="T67" i="22"/>
  <c r="U65" i="17"/>
  <c r="U65" i="10"/>
  <c r="U67" i="22"/>
  <c r="V65" i="17"/>
  <c r="V65" i="10"/>
  <c r="V67" i="22"/>
  <c r="X65" i="17"/>
  <c r="X65" i="10"/>
  <c r="X67" i="22"/>
  <c r="B66" i="17"/>
  <c r="B66" i="10"/>
  <c r="B68" i="22"/>
  <c r="C66" i="17"/>
  <c r="C66" i="10"/>
  <c r="C68" i="22"/>
  <c r="D66" i="17"/>
  <c r="D66" i="10"/>
  <c r="D68" i="22"/>
  <c r="E66" i="17"/>
  <c r="E66" i="10"/>
  <c r="E68" i="22"/>
  <c r="H66" i="17"/>
  <c r="H66" i="10"/>
  <c r="H68" i="22"/>
  <c r="J66" i="17"/>
  <c r="J66" i="10"/>
  <c r="J68" i="22"/>
  <c r="K66" i="17"/>
  <c r="K66" i="10"/>
  <c r="K68" i="22"/>
  <c r="L66" i="17"/>
  <c r="L66" i="10"/>
  <c r="L68" i="22"/>
  <c r="M66" i="17"/>
  <c r="M66" i="10"/>
  <c r="M68" i="22"/>
  <c r="P66" i="17"/>
  <c r="P66" i="10"/>
  <c r="P68" i="22"/>
  <c r="R66" i="17"/>
  <c r="R66" i="10"/>
  <c r="R68" i="22"/>
  <c r="S66" i="17"/>
  <c r="S66" i="10"/>
  <c r="S68" i="22"/>
  <c r="T66" i="17"/>
  <c r="T66" i="10"/>
  <c r="T68" i="22"/>
  <c r="U66" i="17"/>
  <c r="U66" i="10"/>
  <c r="U68" i="22"/>
  <c r="V66" i="17"/>
  <c r="V66" i="10"/>
  <c r="V68" i="22"/>
  <c r="X66" i="17"/>
  <c r="X66" i="10"/>
  <c r="X68" i="22"/>
  <c r="B67" i="17"/>
  <c r="B67" i="10"/>
  <c r="B69" i="22"/>
  <c r="C67" i="17"/>
  <c r="C67" i="10"/>
  <c r="C69" i="22"/>
  <c r="D67" i="17"/>
  <c r="D67" i="10"/>
  <c r="D69" i="22"/>
  <c r="E67" i="17"/>
  <c r="E67" i="10"/>
  <c r="E69" i="22"/>
  <c r="H67" i="17"/>
  <c r="H67" i="10"/>
  <c r="H69" i="22"/>
  <c r="J67" i="17"/>
  <c r="J67" i="10"/>
  <c r="J69" i="22"/>
  <c r="K67" i="17"/>
  <c r="K67" i="10"/>
  <c r="K69" i="22"/>
  <c r="L67" i="17"/>
  <c r="L67" i="10"/>
  <c r="L69" i="22"/>
  <c r="M67" i="17"/>
  <c r="M67" i="10"/>
  <c r="M69" i="22"/>
  <c r="P67" i="17"/>
  <c r="P67" i="10"/>
  <c r="P69" i="22"/>
  <c r="R67" i="17"/>
  <c r="R67" i="10"/>
  <c r="R69" i="22"/>
  <c r="S67" i="17"/>
  <c r="S67" i="10"/>
  <c r="S69" i="22"/>
  <c r="T67" i="17"/>
  <c r="T67" i="10"/>
  <c r="T69" i="22"/>
  <c r="U67" i="17"/>
  <c r="U67" i="10"/>
  <c r="U69" i="22"/>
  <c r="V67" i="17"/>
  <c r="V67" i="10"/>
  <c r="V69" i="22"/>
  <c r="X67" i="17"/>
  <c r="X67" i="10"/>
  <c r="X69" i="22"/>
  <c r="B68" i="17"/>
  <c r="B68" i="10"/>
  <c r="B70" i="22"/>
  <c r="C68" i="17"/>
  <c r="C68" i="10"/>
  <c r="C70" i="22"/>
  <c r="D68" i="17"/>
  <c r="D68" i="10"/>
  <c r="D70" i="22"/>
  <c r="E68" i="17"/>
  <c r="E68" i="10"/>
  <c r="E70" i="22"/>
  <c r="H68" i="17"/>
  <c r="H68" i="10"/>
  <c r="H70" i="22"/>
  <c r="J68" i="17"/>
  <c r="J68" i="10"/>
  <c r="J70" i="22"/>
  <c r="K68" i="17"/>
  <c r="K68" i="10"/>
  <c r="K70" i="22"/>
  <c r="L68" i="17"/>
  <c r="L68" i="10"/>
  <c r="L70" i="22"/>
  <c r="M68" i="17"/>
  <c r="M68" i="10"/>
  <c r="M70" i="22"/>
  <c r="P68" i="17"/>
  <c r="P68" i="10"/>
  <c r="P70" i="22"/>
  <c r="R68" i="17"/>
  <c r="R68" i="10"/>
  <c r="R70" i="22"/>
  <c r="S68" i="17"/>
  <c r="S68" i="10"/>
  <c r="S70" i="22"/>
  <c r="T68" i="17"/>
  <c r="T68" i="10"/>
  <c r="T70" i="22"/>
  <c r="U68" i="17"/>
  <c r="U68" i="10"/>
  <c r="U70" i="22"/>
  <c r="V68" i="17"/>
  <c r="V68" i="10"/>
  <c r="V70" i="22"/>
  <c r="X68" i="17"/>
  <c r="X68" i="10"/>
  <c r="X70" i="22"/>
  <c r="B69" i="17"/>
  <c r="B69" i="10"/>
  <c r="B71" i="22"/>
  <c r="C69" i="17"/>
  <c r="C69" i="10"/>
  <c r="C71" i="22"/>
  <c r="D69" i="17"/>
  <c r="D69" i="10"/>
  <c r="D71" i="22"/>
  <c r="E69" i="17"/>
  <c r="E69" i="10"/>
  <c r="E71" i="22"/>
  <c r="H69" i="17"/>
  <c r="H69" i="10"/>
  <c r="H71" i="22"/>
  <c r="J69" i="17"/>
  <c r="J69" i="10"/>
  <c r="J71" i="22"/>
  <c r="K69" i="17"/>
  <c r="K69" i="10"/>
  <c r="K71" i="22"/>
  <c r="L69" i="17"/>
  <c r="L69" i="10"/>
  <c r="L71" i="22"/>
  <c r="M69" i="17"/>
  <c r="M69" i="10"/>
  <c r="M71" i="22"/>
  <c r="P69" i="17"/>
  <c r="P69" i="10"/>
  <c r="P71" i="22"/>
  <c r="R69" i="17"/>
  <c r="R69" i="10"/>
  <c r="R71" i="22"/>
  <c r="S69" i="17"/>
  <c r="S69" i="10"/>
  <c r="S71" i="22"/>
  <c r="T69" i="17"/>
  <c r="T69" i="10"/>
  <c r="T71" i="22"/>
  <c r="U69" i="17"/>
  <c r="U69" i="10"/>
  <c r="U71" i="22"/>
  <c r="V69" i="17"/>
  <c r="V69" i="10"/>
  <c r="V71" i="22"/>
  <c r="X69" i="17"/>
  <c r="X69" i="10"/>
  <c r="X71" i="22"/>
  <c r="B70" i="17"/>
  <c r="B70" i="10"/>
  <c r="B72" i="22"/>
  <c r="C70" i="17"/>
  <c r="C70" i="10"/>
  <c r="C72" i="22"/>
  <c r="D70" i="17"/>
  <c r="D70" i="10"/>
  <c r="D72" i="22"/>
  <c r="E70" i="17"/>
  <c r="E70" i="10"/>
  <c r="E72" i="22"/>
  <c r="H70" i="17"/>
  <c r="H70" i="10"/>
  <c r="H72" i="22"/>
  <c r="J70" i="17"/>
  <c r="J70" i="10"/>
  <c r="J72" i="22"/>
  <c r="K70" i="17"/>
  <c r="K70" i="10"/>
  <c r="K72" i="22"/>
  <c r="L70" i="17"/>
  <c r="L70" i="10"/>
  <c r="L72" i="22"/>
  <c r="M70" i="17"/>
  <c r="M70" i="10"/>
  <c r="M72" i="22"/>
  <c r="P70" i="17"/>
  <c r="P70" i="10"/>
  <c r="P72" i="22"/>
  <c r="R70" i="17"/>
  <c r="R70" i="10"/>
  <c r="R72" i="22"/>
  <c r="S70" i="17"/>
  <c r="S70" i="10"/>
  <c r="S72" i="22"/>
  <c r="T70" i="17"/>
  <c r="T70" i="10"/>
  <c r="T72" i="22"/>
  <c r="U70" i="17"/>
  <c r="U70" i="10"/>
  <c r="U72" i="22"/>
  <c r="V70" i="17"/>
  <c r="V70" i="10"/>
  <c r="V72" i="22"/>
  <c r="X70" i="17"/>
  <c r="X70" i="10"/>
  <c r="X72" i="22"/>
  <c r="B71" i="17"/>
  <c r="B71" i="10"/>
  <c r="B73" i="22"/>
  <c r="C71" i="17"/>
  <c r="C71" i="10"/>
  <c r="C73" i="22"/>
  <c r="D71" i="17"/>
  <c r="D71" i="10"/>
  <c r="D73" i="22"/>
  <c r="E71" i="17"/>
  <c r="E71" i="10"/>
  <c r="E73" i="22"/>
  <c r="H71" i="17"/>
  <c r="H71" i="10"/>
  <c r="H73" i="22"/>
  <c r="J71" i="17"/>
  <c r="J71" i="10"/>
  <c r="J73" i="22"/>
  <c r="K71" i="17"/>
  <c r="K71" i="10"/>
  <c r="K73" i="22"/>
  <c r="L71" i="17"/>
  <c r="L71" i="10"/>
  <c r="L73" i="22"/>
  <c r="M71" i="17"/>
  <c r="M71" i="10"/>
  <c r="M73" i="22"/>
  <c r="P71" i="17"/>
  <c r="P71" i="10"/>
  <c r="P73" i="22"/>
  <c r="R71" i="17"/>
  <c r="R71" i="10"/>
  <c r="R73" i="22"/>
  <c r="S71" i="17"/>
  <c r="S71" i="10"/>
  <c r="S73" i="22"/>
  <c r="T71" i="17"/>
  <c r="T71" i="10"/>
  <c r="T73" i="22"/>
  <c r="U71" i="17"/>
  <c r="U71" i="10"/>
  <c r="U73" i="22"/>
  <c r="V71" i="17"/>
  <c r="V71" i="10"/>
  <c r="V73" i="22"/>
  <c r="X71" i="17"/>
  <c r="X71" i="10"/>
  <c r="X73" i="22"/>
  <c r="B72" i="17"/>
  <c r="B72" i="10"/>
  <c r="B74" i="22"/>
  <c r="C72" i="17"/>
  <c r="C72" i="10"/>
  <c r="C74" i="22"/>
  <c r="D72" i="17"/>
  <c r="D72" i="10"/>
  <c r="D74" i="22"/>
  <c r="E72" i="17"/>
  <c r="E72" i="10"/>
  <c r="E74" i="22"/>
  <c r="H72" i="17"/>
  <c r="H72" i="10"/>
  <c r="H74" i="22"/>
  <c r="J72" i="17"/>
  <c r="J72" i="10"/>
  <c r="J74" i="22"/>
  <c r="K72" i="17"/>
  <c r="K72" i="10"/>
  <c r="K74" i="22"/>
  <c r="L72" i="17"/>
  <c r="L72" i="10"/>
  <c r="L74" i="22"/>
  <c r="M72" i="17"/>
  <c r="M72" i="10"/>
  <c r="M74" i="22"/>
  <c r="P72" i="17"/>
  <c r="P72" i="10"/>
  <c r="P74" i="22"/>
  <c r="R72" i="17"/>
  <c r="R72" i="10"/>
  <c r="R74" i="22"/>
  <c r="S72" i="17"/>
  <c r="S72" i="10"/>
  <c r="S74" i="22"/>
  <c r="T72" i="17"/>
  <c r="T72" i="10"/>
  <c r="T74" i="22"/>
  <c r="U72" i="17"/>
  <c r="U72" i="10"/>
  <c r="U74" i="22"/>
  <c r="V72" i="17"/>
  <c r="V72" i="10"/>
  <c r="V74" i="22"/>
  <c r="X72" i="17"/>
  <c r="X72" i="10"/>
  <c r="X74" i="22"/>
  <c r="B73" i="17"/>
  <c r="B73" i="10"/>
  <c r="B75" i="22"/>
  <c r="C73" i="17"/>
  <c r="C73" i="10"/>
  <c r="C75" i="22"/>
  <c r="D73" i="17"/>
  <c r="D73" i="10"/>
  <c r="D75" i="22"/>
  <c r="E73" i="17"/>
  <c r="E73" i="10"/>
  <c r="E75" i="22"/>
  <c r="H73" i="17"/>
  <c r="H73" i="10"/>
  <c r="H75" i="22"/>
  <c r="J73" i="17"/>
  <c r="J73" i="10"/>
  <c r="J75" i="22"/>
  <c r="K73" i="17"/>
  <c r="K73" i="10"/>
  <c r="K75" i="22"/>
  <c r="L73" i="17"/>
  <c r="L73" i="10"/>
  <c r="L75" i="22"/>
  <c r="M73" i="17"/>
  <c r="M73" i="10"/>
  <c r="M75" i="22"/>
  <c r="P73" i="17"/>
  <c r="P73" i="10"/>
  <c r="P75" i="22"/>
  <c r="R73" i="17"/>
  <c r="R73" i="10"/>
  <c r="R75" i="22"/>
  <c r="S73" i="17"/>
  <c r="S73" i="10"/>
  <c r="S75" i="22"/>
  <c r="T73" i="17"/>
  <c r="T73" i="10"/>
  <c r="T75" i="22"/>
  <c r="U73" i="17"/>
  <c r="U73" i="10"/>
  <c r="U75" i="22"/>
  <c r="V73" i="17"/>
  <c r="V73" i="10"/>
  <c r="V75" i="22"/>
  <c r="X73" i="17"/>
  <c r="X73" i="10"/>
  <c r="X75" i="22"/>
  <c r="B74" i="17"/>
  <c r="B74" i="10"/>
  <c r="B76" i="22"/>
  <c r="C74" i="17"/>
  <c r="C74" i="10"/>
  <c r="C76" i="22"/>
  <c r="D74" i="17"/>
  <c r="D74" i="10"/>
  <c r="D76" i="22"/>
  <c r="E74" i="17"/>
  <c r="E74" i="10"/>
  <c r="E76" i="22"/>
  <c r="H74" i="17"/>
  <c r="H74" i="10"/>
  <c r="H76" i="22"/>
  <c r="J74" i="17"/>
  <c r="J74" i="10"/>
  <c r="J76" i="22"/>
  <c r="K74" i="17"/>
  <c r="K74" i="10"/>
  <c r="K76" i="22"/>
  <c r="L74" i="17"/>
  <c r="L74" i="10"/>
  <c r="L76" i="22"/>
  <c r="M74" i="17"/>
  <c r="M74" i="10"/>
  <c r="M76" i="22"/>
  <c r="P74" i="17"/>
  <c r="P74" i="10"/>
  <c r="P76" i="22"/>
  <c r="R74" i="17"/>
  <c r="R74" i="10"/>
  <c r="R76" i="22"/>
  <c r="S74" i="17"/>
  <c r="S74" i="10"/>
  <c r="S76" i="22"/>
  <c r="T74" i="17"/>
  <c r="T74" i="10"/>
  <c r="T76" i="22"/>
  <c r="U74" i="17"/>
  <c r="U74" i="10"/>
  <c r="U76" i="22"/>
  <c r="V74" i="17"/>
  <c r="V74" i="10"/>
  <c r="V76" i="22"/>
  <c r="X74" i="17"/>
  <c r="X74" i="10"/>
  <c r="X76" i="22"/>
  <c r="J4" i="17"/>
  <c r="J76" i="17"/>
  <c r="K4" i="17"/>
  <c r="K76" i="17"/>
  <c r="L4" i="17"/>
  <c r="L4" i="10"/>
  <c r="M4" i="17"/>
  <c r="M76" i="17"/>
  <c r="N76" i="17"/>
  <c r="O76" i="17"/>
  <c r="P4" i="17"/>
  <c r="P76" i="17"/>
  <c r="Q76" i="17"/>
  <c r="R4" i="17"/>
  <c r="R76" i="17"/>
  <c r="S4" i="17"/>
  <c r="S76" i="17"/>
  <c r="T4" i="17"/>
  <c r="T4" i="10"/>
  <c r="U4" i="17"/>
  <c r="U76" i="17"/>
  <c r="V4" i="17"/>
  <c r="W76" i="17"/>
  <c r="X4" i="17"/>
  <c r="X76" i="17"/>
  <c r="C4" i="17"/>
  <c r="D4" i="17"/>
  <c r="D4" i="10"/>
  <c r="D6" i="22"/>
  <c r="E4" i="17"/>
  <c r="H4" i="17"/>
  <c r="B4" i="17"/>
  <c r="X76" i="18"/>
  <c r="V76" i="18"/>
  <c r="U76" i="18"/>
  <c r="T76" i="18"/>
  <c r="S76" i="18"/>
  <c r="R76" i="18"/>
  <c r="P76" i="18"/>
  <c r="M76" i="18"/>
  <c r="L76" i="18"/>
  <c r="K76" i="18"/>
  <c r="J76" i="18"/>
  <c r="E76" i="18"/>
  <c r="D76" i="18"/>
  <c r="C76" i="18"/>
  <c r="B76" i="18"/>
  <c r="T76" i="10"/>
  <c r="T78" i="22"/>
  <c r="T6" i="22"/>
  <c r="L76" i="10"/>
  <c r="L78" i="22"/>
  <c r="L6" i="22"/>
  <c r="V76" i="17"/>
  <c r="G76" i="17"/>
  <c r="Y76" i="17"/>
  <c r="B76" i="17"/>
  <c r="E76" i="17"/>
  <c r="C76" i="17"/>
  <c r="F76" i="17"/>
  <c r="D76" i="10"/>
  <c r="D78" i="22"/>
  <c r="I76" i="17"/>
  <c r="H76" i="17"/>
  <c r="T76" i="17"/>
  <c r="L76" i="17"/>
  <c r="D76" i="17"/>
  <c r="S4" i="10"/>
  <c r="K4" i="10"/>
  <c r="C4" i="10"/>
  <c r="B4" i="10"/>
  <c r="R4" i="10"/>
  <c r="J4" i="10"/>
  <c r="X4" i="10"/>
  <c r="P4" i="10"/>
  <c r="H4" i="10"/>
  <c r="V4" i="10"/>
  <c r="U4" i="10"/>
  <c r="M4" i="10"/>
  <c r="E4" i="10"/>
  <c r="V76" i="10"/>
  <c r="V78" i="22"/>
  <c r="V6" i="22"/>
  <c r="R76" i="10"/>
  <c r="R78" i="22"/>
  <c r="R6" i="22"/>
  <c r="U76" i="10"/>
  <c r="U78" i="22"/>
  <c r="U6" i="22"/>
  <c r="S76" i="10"/>
  <c r="S78" i="22"/>
  <c r="S6" i="22"/>
  <c r="K76" i="10"/>
  <c r="K78" i="22"/>
  <c r="K6" i="22"/>
  <c r="M76" i="10"/>
  <c r="M78" i="22"/>
  <c r="M6" i="22"/>
  <c r="J76" i="10"/>
  <c r="J78" i="22"/>
  <c r="J6" i="22"/>
  <c r="E76" i="10"/>
  <c r="E78" i="22"/>
  <c r="E6" i="22"/>
  <c r="C76" i="10"/>
  <c r="C78" i="22"/>
  <c r="C6" i="22"/>
  <c r="X76" i="10"/>
  <c r="X78" i="22"/>
  <c r="X6" i="22"/>
  <c r="P76" i="10"/>
  <c r="P78" i="22"/>
  <c r="P6" i="22"/>
  <c r="H76" i="10"/>
  <c r="H78" i="22"/>
  <c r="H6" i="22"/>
  <c r="B76" i="10"/>
  <c r="B78" i="22"/>
  <c r="B6" i="22"/>
  <c r="H7" i="16"/>
  <c r="F7" i="9"/>
  <c r="I7" i="16"/>
  <c r="G7" i="9"/>
  <c r="J7" i="16"/>
  <c r="H7" i="9"/>
  <c r="H8" i="16"/>
  <c r="F8" i="9"/>
  <c r="I8" i="16"/>
  <c r="G8" i="9"/>
  <c r="J8" i="16"/>
  <c r="H8" i="9"/>
  <c r="H9" i="16"/>
  <c r="F9" i="9"/>
  <c r="I9" i="16"/>
  <c r="G9" i="9"/>
  <c r="J9" i="16"/>
  <c r="H9" i="9"/>
  <c r="H10" i="16"/>
  <c r="F10" i="9"/>
  <c r="I10" i="16"/>
  <c r="G10" i="9"/>
  <c r="J10" i="16"/>
  <c r="H10" i="9"/>
  <c r="H11" i="16"/>
  <c r="F11" i="9"/>
  <c r="I11" i="16"/>
  <c r="G11" i="9"/>
  <c r="J11" i="16"/>
  <c r="H11" i="9"/>
  <c r="H12" i="16"/>
  <c r="F12" i="9"/>
  <c r="I12" i="16"/>
  <c r="G12" i="9"/>
  <c r="J12" i="16"/>
  <c r="H12" i="9"/>
  <c r="H13" i="16"/>
  <c r="F13" i="9"/>
  <c r="I13" i="16"/>
  <c r="G13" i="9"/>
  <c r="J13" i="16"/>
  <c r="H13" i="9"/>
  <c r="H14" i="16"/>
  <c r="F14" i="9"/>
  <c r="I14" i="16"/>
  <c r="G14" i="9"/>
  <c r="J14" i="16"/>
  <c r="H14" i="9"/>
  <c r="H15" i="16"/>
  <c r="F15" i="9"/>
  <c r="I15" i="16"/>
  <c r="G15" i="9"/>
  <c r="J15" i="16"/>
  <c r="H15" i="9"/>
  <c r="H16" i="16"/>
  <c r="F16" i="9"/>
  <c r="I16" i="16"/>
  <c r="G16" i="9"/>
  <c r="J16" i="16"/>
  <c r="H16" i="9"/>
  <c r="H17" i="16"/>
  <c r="F17" i="9"/>
  <c r="I17" i="16"/>
  <c r="G17" i="9"/>
  <c r="J17" i="16"/>
  <c r="H17" i="9"/>
  <c r="H18" i="16"/>
  <c r="F18" i="9"/>
  <c r="I18" i="16"/>
  <c r="G18" i="9"/>
  <c r="J18" i="16"/>
  <c r="H18" i="9"/>
  <c r="H19" i="16"/>
  <c r="F19" i="9"/>
  <c r="I19" i="16"/>
  <c r="G19" i="9"/>
  <c r="J19" i="16"/>
  <c r="H19" i="9"/>
  <c r="H20" i="16"/>
  <c r="F20" i="9"/>
  <c r="I20" i="16"/>
  <c r="G20" i="9"/>
  <c r="J20" i="16"/>
  <c r="H20" i="9"/>
  <c r="H21" i="16"/>
  <c r="F21" i="9"/>
  <c r="I21" i="16"/>
  <c r="G21" i="9"/>
  <c r="J21" i="16"/>
  <c r="H21" i="9"/>
  <c r="H22" i="16"/>
  <c r="F22" i="9"/>
  <c r="I22" i="16"/>
  <c r="G22" i="9"/>
  <c r="J22" i="16"/>
  <c r="H22" i="9"/>
  <c r="H23" i="16"/>
  <c r="F23" i="9"/>
  <c r="I23" i="16"/>
  <c r="G23" i="9"/>
  <c r="J23" i="16"/>
  <c r="H23" i="9"/>
  <c r="H24" i="16"/>
  <c r="F24" i="9"/>
  <c r="I24" i="16"/>
  <c r="G24" i="9"/>
  <c r="J24" i="16"/>
  <c r="H24" i="9"/>
  <c r="H25" i="16"/>
  <c r="F25" i="9"/>
  <c r="I25" i="16"/>
  <c r="G25" i="9"/>
  <c r="J25" i="16"/>
  <c r="H25" i="9"/>
  <c r="H26" i="16"/>
  <c r="F26" i="9"/>
  <c r="I26" i="16"/>
  <c r="G26" i="9"/>
  <c r="J26" i="16"/>
  <c r="H26" i="9"/>
  <c r="H27" i="16"/>
  <c r="F27" i="9"/>
  <c r="I27" i="16"/>
  <c r="G27" i="9"/>
  <c r="J27" i="16"/>
  <c r="H27" i="9"/>
  <c r="H28" i="16"/>
  <c r="F28" i="9"/>
  <c r="I28" i="16"/>
  <c r="G28" i="9"/>
  <c r="J28" i="16"/>
  <c r="H28" i="9"/>
  <c r="H29" i="16"/>
  <c r="F29" i="9"/>
  <c r="I29" i="16"/>
  <c r="G29" i="9"/>
  <c r="J29" i="16"/>
  <c r="H29" i="9"/>
  <c r="H30" i="16"/>
  <c r="F30" i="9"/>
  <c r="I30" i="16"/>
  <c r="G30" i="9"/>
  <c r="J30" i="16"/>
  <c r="H30" i="9"/>
  <c r="H31" i="16"/>
  <c r="F31" i="9"/>
  <c r="I31" i="16"/>
  <c r="G31" i="9"/>
  <c r="J31" i="16"/>
  <c r="H31" i="9"/>
  <c r="H32" i="16"/>
  <c r="F32" i="9"/>
  <c r="I32" i="16"/>
  <c r="G32" i="9"/>
  <c r="J32" i="16"/>
  <c r="H32" i="9"/>
  <c r="H33" i="16"/>
  <c r="F33" i="9"/>
  <c r="I33" i="16"/>
  <c r="G33" i="9"/>
  <c r="J33" i="16"/>
  <c r="H33" i="9"/>
  <c r="H34" i="16"/>
  <c r="F34" i="9"/>
  <c r="I34" i="16"/>
  <c r="G34" i="9"/>
  <c r="J34" i="16"/>
  <c r="H34" i="9"/>
  <c r="H35" i="16"/>
  <c r="F35" i="9"/>
  <c r="I35" i="16"/>
  <c r="G35" i="9"/>
  <c r="J35" i="16"/>
  <c r="H35" i="9"/>
  <c r="H36" i="16"/>
  <c r="F36" i="9"/>
  <c r="I36" i="16"/>
  <c r="G36" i="9"/>
  <c r="J36" i="16"/>
  <c r="H36" i="9"/>
  <c r="H37" i="16"/>
  <c r="F37" i="9"/>
  <c r="I37" i="16"/>
  <c r="G37" i="9"/>
  <c r="J37" i="16"/>
  <c r="H37" i="9"/>
  <c r="H38" i="16"/>
  <c r="F38" i="9"/>
  <c r="I38" i="16"/>
  <c r="G38" i="9"/>
  <c r="J38" i="16"/>
  <c r="H38" i="9"/>
  <c r="H39" i="16"/>
  <c r="F39" i="9"/>
  <c r="I39" i="16"/>
  <c r="G39" i="9"/>
  <c r="J39" i="16"/>
  <c r="H39" i="9"/>
  <c r="H40" i="16"/>
  <c r="F40" i="9"/>
  <c r="I40" i="16"/>
  <c r="G40" i="9"/>
  <c r="J40" i="16"/>
  <c r="H40" i="9"/>
  <c r="H41" i="16"/>
  <c r="F41" i="9"/>
  <c r="I41" i="16"/>
  <c r="G41" i="9"/>
  <c r="J41" i="16"/>
  <c r="H41" i="9"/>
  <c r="H42" i="16"/>
  <c r="F42" i="9"/>
  <c r="I42" i="16"/>
  <c r="G42" i="9"/>
  <c r="J42" i="16"/>
  <c r="H42" i="9"/>
  <c r="H43" i="16"/>
  <c r="F43" i="9"/>
  <c r="I43" i="16"/>
  <c r="G43" i="9"/>
  <c r="J43" i="16"/>
  <c r="H43" i="9"/>
  <c r="H44" i="16"/>
  <c r="F44" i="9"/>
  <c r="I44" i="16"/>
  <c r="G44" i="9"/>
  <c r="J44" i="16"/>
  <c r="H44" i="9"/>
  <c r="H45" i="16"/>
  <c r="F45" i="9"/>
  <c r="I45" i="16"/>
  <c r="G45" i="9"/>
  <c r="J45" i="16"/>
  <c r="H45" i="9"/>
  <c r="H46" i="16"/>
  <c r="F46" i="9"/>
  <c r="I46" i="16"/>
  <c r="G46" i="9"/>
  <c r="J46" i="16"/>
  <c r="H46" i="9"/>
  <c r="H47" i="16"/>
  <c r="F47" i="9"/>
  <c r="I47" i="16"/>
  <c r="G47" i="9"/>
  <c r="J47" i="16"/>
  <c r="H47" i="9"/>
  <c r="H48" i="16"/>
  <c r="F48" i="9"/>
  <c r="I48" i="16"/>
  <c r="G48" i="9"/>
  <c r="J48" i="16"/>
  <c r="H48" i="9"/>
  <c r="H49" i="16"/>
  <c r="F49" i="9"/>
  <c r="I49" i="16"/>
  <c r="G49" i="9"/>
  <c r="J49" i="16"/>
  <c r="H49" i="9"/>
  <c r="H50" i="16"/>
  <c r="F50" i="9"/>
  <c r="I50" i="16"/>
  <c r="G50" i="9"/>
  <c r="J50" i="16"/>
  <c r="H50" i="9"/>
  <c r="H51" i="16"/>
  <c r="F51" i="9"/>
  <c r="I51" i="16"/>
  <c r="G51" i="9"/>
  <c r="J51" i="16"/>
  <c r="H51" i="9"/>
  <c r="H52" i="16"/>
  <c r="F52" i="9"/>
  <c r="I52" i="16"/>
  <c r="G52" i="9"/>
  <c r="J52" i="16"/>
  <c r="H52" i="9"/>
  <c r="H53" i="16"/>
  <c r="F53" i="9"/>
  <c r="I53" i="16"/>
  <c r="G53" i="9"/>
  <c r="J53" i="16"/>
  <c r="H53" i="9"/>
  <c r="H54" i="16"/>
  <c r="F54" i="9"/>
  <c r="I54" i="16"/>
  <c r="G54" i="9"/>
  <c r="J54" i="16"/>
  <c r="H54" i="9"/>
  <c r="H55" i="16"/>
  <c r="F55" i="9"/>
  <c r="I55" i="16"/>
  <c r="G55" i="9"/>
  <c r="J55" i="16"/>
  <c r="H55" i="9"/>
  <c r="H56" i="16"/>
  <c r="F56" i="9"/>
  <c r="I56" i="16"/>
  <c r="G56" i="9"/>
  <c r="J56" i="16"/>
  <c r="H56" i="9"/>
  <c r="H57" i="16"/>
  <c r="F57" i="9"/>
  <c r="I57" i="16"/>
  <c r="G57" i="9"/>
  <c r="J57" i="16"/>
  <c r="H57" i="9"/>
  <c r="H58" i="16"/>
  <c r="F58" i="9"/>
  <c r="I58" i="16"/>
  <c r="G58" i="9"/>
  <c r="J58" i="16"/>
  <c r="H58" i="9"/>
  <c r="H59" i="16"/>
  <c r="F59" i="9"/>
  <c r="I59" i="16"/>
  <c r="G59" i="9"/>
  <c r="J59" i="16"/>
  <c r="H59" i="9"/>
  <c r="H60" i="16"/>
  <c r="F60" i="9"/>
  <c r="I60" i="16"/>
  <c r="G60" i="9"/>
  <c r="J60" i="16"/>
  <c r="H60" i="9"/>
  <c r="H61" i="16"/>
  <c r="F61" i="9"/>
  <c r="I61" i="16"/>
  <c r="G61" i="9"/>
  <c r="J61" i="16"/>
  <c r="H61" i="9"/>
  <c r="H62" i="16"/>
  <c r="F62" i="9"/>
  <c r="I62" i="16"/>
  <c r="G62" i="9"/>
  <c r="J62" i="16"/>
  <c r="H62" i="9"/>
  <c r="H63" i="16"/>
  <c r="F63" i="9"/>
  <c r="I63" i="16"/>
  <c r="G63" i="9"/>
  <c r="J63" i="16"/>
  <c r="H63" i="9"/>
  <c r="H64" i="16"/>
  <c r="F64" i="9"/>
  <c r="I64" i="16"/>
  <c r="G64" i="9"/>
  <c r="J64" i="16"/>
  <c r="H64" i="9"/>
  <c r="H65" i="16"/>
  <c r="F65" i="9"/>
  <c r="I65" i="16"/>
  <c r="G65" i="9"/>
  <c r="J65" i="16"/>
  <c r="H65" i="9"/>
  <c r="H66" i="16"/>
  <c r="F66" i="9"/>
  <c r="I66" i="16"/>
  <c r="G66" i="9"/>
  <c r="J66" i="16"/>
  <c r="H66" i="9"/>
  <c r="H67" i="16"/>
  <c r="F67" i="9"/>
  <c r="I67" i="16"/>
  <c r="G67" i="9"/>
  <c r="J67" i="16"/>
  <c r="H67" i="9"/>
  <c r="H68" i="16"/>
  <c r="F68" i="9"/>
  <c r="I68" i="16"/>
  <c r="G68" i="9"/>
  <c r="J68" i="16"/>
  <c r="H68" i="9"/>
  <c r="H69" i="16"/>
  <c r="F69" i="9"/>
  <c r="I69" i="16"/>
  <c r="G69" i="9"/>
  <c r="J69" i="16"/>
  <c r="H69" i="9"/>
  <c r="H70" i="16"/>
  <c r="F70" i="9"/>
  <c r="I70" i="16"/>
  <c r="G70" i="9"/>
  <c r="J70" i="16"/>
  <c r="H70" i="9"/>
  <c r="H71" i="16"/>
  <c r="F71" i="9"/>
  <c r="I71" i="16"/>
  <c r="G71" i="9"/>
  <c r="J71" i="16"/>
  <c r="H71" i="9"/>
  <c r="H72" i="16"/>
  <c r="F72" i="9"/>
  <c r="I72" i="16"/>
  <c r="G72" i="9"/>
  <c r="J72" i="16"/>
  <c r="H72" i="9"/>
  <c r="H73" i="16"/>
  <c r="F73" i="9"/>
  <c r="I73" i="16"/>
  <c r="G73" i="9"/>
  <c r="J73" i="16"/>
  <c r="H73" i="9"/>
  <c r="H74" i="16"/>
  <c r="F74" i="9"/>
  <c r="I74" i="16"/>
  <c r="G74" i="9"/>
  <c r="J74" i="16"/>
  <c r="H74" i="9"/>
  <c r="H75" i="16"/>
  <c r="F75" i="9"/>
  <c r="I75" i="16"/>
  <c r="G75" i="9"/>
  <c r="J75" i="16"/>
  <c r="H75" i="9"/>
  <c r="H76" i="16"/>
  <c r="F76" i="9"/>
  <c r="I76" i="16"/>
  <c r="G76" i="9"/>
  <c r="J76" i="16"/>
  <c r="H76" i="9"/>
  <c r="H77" i="16"/>
  <c r="F77" i="9"/>
  <c r="I77" i="16"/>
  <c r="G77" i="9"/>
  <c r="J77" i="16"/>
  <c r="H77" i="9"/>
  <c r="I6" i="16"/>
  <c r="J6" i="16"/>
  <c r="H6" i="16"/>
  <c r="J78" i="16"/>
  <c r="H6" i="9"/>
  <c r="H78" i="16"/>
  <c r="F6" i="9"/>
  <c r="I78" i="16"/>
  <c r="G6" i="9"/>
  <c r="D6" i="5"/>
  <c r="E6" i="5"/>
  <c r="B4" i="7"/>
  <c r="C4" i="7"/>
  <c r="D4" i="7"/>
  <c r="E4" i="7"/>
  <c r="F4" i="7"/>
  <c r="G4" i="7"/>
  <c r="H4" i="7"/>
  <c r="I4" i="7"/>
  <c r="L4" i="7"/>
  <c r="M4" i="7"/>
  <c r="N4" i="7"/>
  <c r="O4" i="7"/>
  <c r="P4" i="7"/>
  <c r="Q4" i="7"/>
  <c r="R4" i="7"/>
  <c r="S4" i="7"/>
  <c r="V4" i="7"/>
  <c r="W4" i="7"/>
  <c r="X4" i="7"/>
  <c r="Y4" i="7"/>
  <c r="Z4" i="7"/>
  <c r="AA4" i="7"/>
  <c r="AB4" i="7"/>
  <c r="AC4" i="7"/>
  <c r="J1" i="12"/>
  <c r="I6" i="12"/>
  <c r="C22" i="5"/>
  <c r="G22" i="5"/>
  <c r="C29" i="5"/>
  <c r="G29" i="5"/>
  <c r="C30" i="5"/>
  <c r="G30" i="5"/>
  <c r="C34" i="5"/>
  <c r="G34" i="5"/>
  <c r="M34" i="12"/>
  <c r="C37" i="5"/>
  <c r="G37" i="5"/>
  <c r="M37" i="12"/>
  <c r="C54" i="5"/>
  <c r="G54" i="5"/>
  <c r="C56" i="5"/>
  <c r="G56" i="5"/>
  <c r="M56" i="12"/>
  <c r="M58" i="12"/>
  <c r="C61" i="5"/>
  <c r="G61" i="5"/>
  <c r="C68" i="5"/>
  <c r="G68" i="5"/>
  <c r="M68" i="12"/>
  <c r="C74" i="5"/>
  <c r="G74" i="5"/>
  <c r="M75" i="12"/>
  <c r="B78" i="3"/>
  <c r="B53" i="3"/>
  <c r="B15" i="3"/>
  <c r="C15" i="3"/>
  <c r="B16" i="3"/>
  <c r="C16" i="3"/>
  <c r="B78" i="8"/>
  <c r="B20" i="3"/>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6" i="9"/>
  <c r="C78" i="9"/>
  <c r="D78" i="9"/>
  <c r="B78" i="9"/>
  <c r="G78" i="16"/>
  <c r="F78" i="16"/>
  <c r="E78" i="16"/>
  <c r="D78" i="16"/>
  <c r="C78" i="16"/>
  <c r="B78" i="16"/>
  <c r="B78" i="13"/>
  <c r="H78" i="12"/>
  <c r="L78" i="12"/>
  <c r="B3" i="6"/>
  <c r="C3" i="6"/>
  <c r="D3" i="6"/>
  <c r="B36" i="3"/>
  <c r="C6" i="12"/>
  <c r="C78" i="12"/>
  <c r="B4" i="3"/>
  <c r="B5" i="3"/>
  <c r="B26" i="3"/>
  <c r="C26" i="3"/>
  <c r="I58" i="12"/>
  <c r="B22" i="12"/>
  <c r="B22" i="3"/>
  <c r="B29" i="12"/>
  <c r="B37" i="12"/>
  <c r="B30" i="12"/>
  <c r="C46" i="3"/>
  <c r="D46" i="3"/>
  <c r="C76" i="3"/>
  <c r="D76" i="3"/>
  <c r="E78" i="9"/>
  <c r="G78" i="9"/>
  <c r="C33" i="3"/>
  <c r="D33" i="3"/>
  <c r="I34" i="12"/>
  <c r="I50" i="12"/>
  <c r="I42" i="12"/>
  <c r="I36" i="12"/>
  <c r="I30" i="12"/>
  <c r="I26" i="12"/>
  <c r="I20" i="12"/>
  <c r="I12" i="12"/>
  <c r="I56" i="12"/>
  <c r="I69" i="12"/>
  <c r="I63" i="12"/>
  <c r="I57" i="12"/>
  <c r="I53" i="12"/>
  <c r="I45" i="12"/>
  <c r="I33" i="12"/>
  <c r="I15" i="12"/>
  <c r="I7" i="12"/>
  <c r="I39" i="12"/>
  <c r="I72" i="12"/>
  <c r="I66" i="12"/>
  <c r="I60" i="12"/>
  <c r="I54" i="12"/>
  <c r="I48" i="12"/>
  <c r="I40" i="12"/>
  <c r="I24" i="12"/>
  <c r="I18" i="12"/>
  <c r="I10" i="12"/>
  <c r="I71" i="12"/>
  <c r="I23" i="12"/>
  <c r="I61" i="12"/>
  <c r="I51" i="12"/>
  <c r="I43" i="12"/>
  <c r="I31" i="12"/>
  <c r="I27" i="12"/>
  <c r="I21" i="12"/>
  <c r="I13" i="12"/>
  <c r="I59" i="12"/>
  <c r="I29" i="12"/>
  <c r="I9" i="12"/>
  <c r="I75" i="12"/>
  <c r="I76" i="12"/>
  <c r="I70" i="12"/>
  <c r="I64" i="12"/>
  <c r="I46" i="12"/>
  <c r="I38" i="12"/>
  <c r="I22" i="12"/>
  <c r="I16" i="12"/>
  <c r="I8" i="12"/>
  <c r="I77" i="12"/>
  <c r="I65" i="12"/>
  <c r="I17" i="12"/>
  <c r="I37" i="12"/>
  <c r="I73" i="12"/>
  <c r="I67" i="12"/>
  <c r="I55" i="12"/>
  <c r="I49" i="12"/>
  <c r="I41" i="12"/>
  <c r="I35" i="12"/>
  <c r="I25" i="12"/>
  <c r="I19" i="12"/>
  <c r="I11" i="12"/>
  <c r="I47" i="12"/>
  <c r="I68" i="12"/>
  <c r="I74" i="12"/>
  <c r="I62" i="12"/>
  <c r="I52" i="12"/>
  <c r="I44" i="12"/>
  <c r="I32" i="12"/>
  <c r="I28" i="12"/>
  <c r="I14" i="12"/>
  <c r="B74" i="12"/>
  <c r="B56" i="12"/>
  <c r="D78" i="5"/>
  <c r="B68" i="12"/>
  <c r="E78" i="5"/>
  <c r="B54" i="12"/>
  <c r="B34" i="12"/>
  <c r="B61" i="12"/>
  <c r="F78" i="5"/>
  <c r="C48" i="3"/>
  <c r="D48" i="3"/>
  <c r="C63" i="3"/>
  <c r="D63" i="3"/>
  <c r="C62" i="3"/>
  <c r="D62" i="3"/>
  <c r="C61" i="3"/>
  <c r="D61" i="3"/>
  <c r="C71" i="3"/>
  <c r="D71" i="3"/>
  <c r="C44" i="3"/>
  <c r="C66" i="3"/>
  <c r="D66" i="3"/>
  <c r="C73" i="3"/>
  <c r="D73" i="3"/>
  <c r="C49" i="3"/>
  <c r="D49" i="3"/>
  <c r="C64" i="3"/>
  <c r="D64" i="3"/>
  <c r="C74" i="3"/>
  <c r="D74" i="3"/>
  <c r="C75" i="3"/>
  <c r="D75" i="3"/>
  <c r="C65" i="3"/>
  <c r="D65" i="3"/>
  <c r="C51" i="3"/>
  <c r="D51" i="3"/>
  <c r="C45" i="3"/>
  <c r="D45" i="3"/>
  <c r="C70" i="3"/>
  <c r="D70" i="3"/>
  <c r="C47" i="3"/>
  <c r="D47" i="3"/>
  <c r="C50" i="3"/>
  <c r="D50" i="3"/>
  <c r="C60" i="3"/>
  <c r="D60" i="3"/>
  <c r="C59" i="3"/>
  <c r="C69" i="3"/>
  <c r="D69" i="3"/>
  <c r="C72" i="3"/>
  <c r="D72" i="3"/>
  <c r="I71" i="9"/>
  <c r="F78" i="9"/>
  <c r="C32" i="3"/>
  <c r="D32" i="3"/>
  <c r="I67" i="9"/>
  <c r="I63" i="9"/>
  <c r="I59" i="9"/>
  <c r="I55" i="9"/>
  <c r="I75" i="9"/>
  <c r="I9" i="9"/>
  <c r="I12" i="9"/>
  <c r="I20" i="9"/>
  <c r="I28" i="9"/>
  <c r="I36" i="9"/>
  <c r="I44" i="9"/>
  <c r="I52" i="9"/>
  <c r="I60" i="9"/>
  <c r="I68" i="9"/>
  <c r="I76" i="9"/>
  <c r="I25" i="9"/>
  <c r="I33" i="9"/>
  <c r="I49" i="9"/>
  <c r="I57" i="9"/>
  <c r="I65" i="9"/>
  <c r="I7" i="9"/>
  <c r="I15" i="9"/>
  <c r="I23" i="9"/>
  <c r="I31" i="9"/>
  <c r="I39" i="9"/>
  <c r="I47" i="9"/>
  <c r="I10" i="9"/>
  <c r="I18" i="9"/>
  <c r="I42" i="9"/>
  <c r="I50" i="9"/>
  <c r="I66" i="9"/>
  <c r="I74" i="9"/>
  <c r="I77" i="9"/>
  <c r="I26" i="9"/>
  <c r="I34" i="9"/>
  <c r="I58" i="9"/>
  <c r="I13" i="9"/>
  <c r="I21" i="9"/>
  <c r="I29" i="9"/>
  <c r="I37" i="9"/>
  <c r="I45" i="9"/>
  <c r="I53" i="9"/>
  <c r="I61" i="9"/>
  <c r="I69" i="9"/>
  <c r="I16" i="9"/>
  <c r="I32" i="9"/>
  <c r="I48" i="9"/>
  <c r="I64" i="9"/>
  <c r="I8" i="9"/>
  <c r="I24" i="9"/>
  <c r="I40" i="9"/>
  <c r="I56" i="9"/>
  <c r="I72" i="9"/>
  <c r="I11" i="9"/>
  <c r="I19" i="9"/>
  <c r="I27" i="9"/>
  <c r="I35" i="9"/>
  <c r="I43" i="9"/>
  <c r="I51" i="9"/>
  <c r="H78" i="9"/>
  <c r="C34" i="3"/>
  <c r="I6" i="9"/>
  <c r="I14" i="9"/>
  <c r="I22" i="9"/>
  <c r="I30" i="9"/>
  <c r="I38" i="9"/>
  <c r="I46" i="9"/>
  <c r="I54" i="9"/>
  <c r="I62" i="9"/>
  <c r="I70" i="9"/>
  <c r="I17" i="9"/>
  <c r="I41" i="9"/>
  <c r="I73" i="9"/>
  <c r="B7" i="3"/>
  <c r="B6" i="3"/>
  <c r="B8" i="3"/>
  <c r="I78" i="12"/>
  <c r="C78" i="3"/>
  <c r="D59" i="3"/>
  <c r="D78" i="3"/>
  <c r="C53" i="3"/>
  <c r="D44" i="3"/>
  <c r="I78" i="9"/>
  <c r="D53" i="3"/>
  <c r="D82" i="3"/>
  <c r="C36" i="3"/>
  <c r="D34" i="3"/>
  <c r="D36" i="3"/>
  <c r="AF79" i="7"/>
  <c r="E36" i="3"/>
  <c r="B38" i="3"/>
  <c r="B4" i="6"/>
  <c r="B48" i="6"/>
  <c r="B9" i="6"/>
  <c r="B30" i="6"/>
  <c r="B68" i="6"/>
  <c r="B37" i="6"/>
  <c r="B15" i="6"/>
  <c r="B57" i="6"/>
  <c r="B54" i="6"/>
  <c r="B64" i="6"/>
  <c r="B53" i="6"/>
  <c r="B67" i="6"/>
  <c r="B33" i="6"/>
  <c r="B46" i="6"/>
  <c r="B52" i="6"/>
  <c r="B51" i="6"/>
  <c r="B16" i="6"/>
  <c r="B22" i="6"/>
  <c r="B26" i="6"/>
  <c r="B42" i="6"/>
  <c r="B8" i="6"/>
  <c r="B77" i="6"/>
  <c r="B13" i="6"/>
  <c r="B56" i="6"/>
  <c r="B73" i="6"/>
  <c r="B18" i="6"/>
  <c r="B71" i="6"/>
  <c r="B74" i="6"/>
  <c r="B59" i="6"/>
  <c r="B27" i="6"/>
  <c r="B28" i="6"/>
  <c r="B49" i="6"/>
  <c r="B55" i="6"/>
  <c r="B20" i="6"/>
  <c r="B19" i="6"/>
  <c r="B70" i="6"/>
  <c r="B17" i="6"/>
  <c r="B29" i="6"/>
  <c r="B39" i="6"/>
  <c r="B65" i="6"/>
  <c r="B61" i="6"/>
  <c r="B12" i="6"/>
  <c r="B11" i="6"/>
  <c r="B43" i="6"/>
  <c r="B47" i="6"/>
  <c r="B14" i="6"/>
  <c r="B23" i="6"/>
  <c r="B35" i="6"/>
  <c r="B41" i="6"/>
  <c r="B7" i="6"/>
  <c r="B75" i="6"/>
  <c r="B76" i="6"/>
  <c r="B44" i="6"/>
  <c r="B60" i="6"/>
  <c r="B25" i="6"/>
  <c r="B36" i="6"/>
  <c r="B21" i="6"/>
  <c r="B50" i="6"/>
  <c r="B63" i="6"/>
  <c r="B62" i="6"/>
  <c r="B69" i="6"/>
  <c r="B6" i="6"/>
  <c r="B38" i="6"/>
  <c r="B10" i="6"/>
  <c r="B24" i="6"/>
  <c r="B40" i="6"/>
  <c r="B31" i="6"/>
  <c r="B34" i="6"/>
  <c r="B45" i="6"/>
  <c r="B32" i="6"/>
  <c r="B66" i="6"/>
  <c r="B58" i="6"/>
  <c r="B72" i="6"/>
  <c r="E82" i="3"/>
  <c r="B55" i="3"/>
  <c r="B2" i="6"/>
  <c r="E33" i="3"/>
  <c r="D86" i="3"/>
  <c r="C2" i="6"/>
  <c r="E34" i="3"/>
  <c r="D2" i="6"/>
  <c r="E32" i="3"/>
  <c r="D4" i="6"/>
  <c r="C4" i="6"/>
  <c r="C23" i="3"/>
  <c r="C24" i="3"/>
  <c r="G79" i="5"/>
  <c r="E35" i="3"/>
  <c r="E79" i="6"/>
  <c r="B78" i="6"/>
  <c r="C10" i="6"/>
  <c r="C53" i="6"/>
  <c r="C70" i="6"/>
  <c r="C38" i="6"/>
  <c r="C37" i="6"/>
  <c r="C62" i="6"/>
  <c r="C21" i="6"/>
  <c r="C11" i="6"/>
  <c r="C45" i="6"/>
  <c r="C74" i="6"/>
  <c r="C73" i="6"/>
  <c r="C24" i="6"/>
  <c r="C33" i="6"/>
  <c r="C35" i="6"/>
  <c r="C42" i="6"/>
  <c r="C9" i="6"/>
  <c r="C76" i="6"/>
  <c r="C43" i="6"/>
  <c r="C28" i="6"/>
  <c r="C23" i="6"/>
  <c r="C63" i="6"/>
  <c r="C52" i="6"/>
  <c r="C39" i="6"/>
  <c r="C32" i="6"/>
  <c r="C57" i="6"/>
  <c r="C34" i="6"/>
  <c r="C27" i="6"/>
  <c r="C18" i="6"/>
  <c r="C14" i="6"/>
  <c r="C59" i="6"/>
  <c r="C56" i="6"/>
  <c r="C58" i="6"/>
  <c r="C71" i="6"/>
  <c r="C75" i="6"/>
  <c r="C67" i="6"/>
  <c r="C40" i="6"/>
  <c r="C66" i="6"/>
  <c r="C20" i="6"/>
  <c r="C19" i="6"/>
  <c r="C49" i="6"/>
  <c r="C44" i="6"/>
  <c r="C12" i="6"/>
  <c r="C7" i="6"/>
  <c r="C25" i="6"/>
  <c r="C69" i="6"/>
  <c r="C29" i="6"/>
  <c r="C72" i="6"/>
  <c r="C77" i="6"/>
  <c r="C16" i="6"/>
  <c r="C8" i="6"/>
  <c r="C61" i="6"/>
  <c r="C36" i="6"/>
  <c r="C17" i="6"/>
  <c r="C51" i="6"/>
  <c r="C46" i="6"/>
  <c r="C65" i="6"/>
  <c r="C15" i="6"/>
  <c r="C13" i="6"/>
  <c r="C54" i="6"/>
  <c r="C22" i="6"/>
  <c r="C68" i="6"/>
  <c r="C31" i="6"/>
  <c r="C41" i="6"/>
  <c r="C48" i="6"/>
  <c r="C55" i="6"/>
  <c r="C47" i="6"/>
  <c r="C60" i="6"/>
  <c r="C50" i="6"/>
  <c r="C64" i="6"/>
  <c r="C30" i="6"/>
  <c r="C26" i="6"/>
  <c r="C6" i="6"/>
  <c r="D75" i="6"/>
  <c r="D15" i="6"/>
  <c r="D56" i="6"/>
  <c r="D43" i="6"/>
  <c r="D24" i="6"/>
  <c r="D21" i="6"/>
  <c r="D45" i="6"/>
  <c r="D51" i="6"/>
  <c r="D30" i="6"/>
  <c r="D40" i="6"/>
  <c r="D76" i="6"/>
  <c r="D68" i="6"/>
  <c r="D48" i="6"/>
  <c r="D58" i="6"/>
  <c r="D25" i="6"/>
  <c r="D55" i="6"/>
  <c r="D22" i="6"/>
  <c r="D38" i="6"/>
  <c r="D33" i="6"/>
  <c r="D34" i="6"/>
  <c r="D9" i="6"/>
  <c r="D73" i="6"/>
  <c r="D46" i="6"/>
  <c r="D29" i="6"/>
  <c r="D42" i="6"/>
  <c r="D17" i="6"/>
  <c r="D49" i="6"/>
  <c r="D23" i="6"/>
  <c r="D11" i="6"/>
  <c r="D18" i="6"/>
  <c r="D57" i="6"/>
  <c r="D63" i="6"/>
  <c r="D8" i="6"/>
  <c r="D67" i="6"/>
  <c r="D36" i="6"/>
  <c r="D65" i="6"/>
  <c r="D62" i="6"/>
  <c r="D32" i="6"/>
  <c r="D60" i="6"/>
  <c r="D31" i="6"/>
  <c r="D77" i="6"/>
  <c r="D70" i="6"/>
  <c r="D47" i="6"/>
  <c r="D54" i="6"/>
  <c r="D7" i="6"/>
  <c r="D28" i="6"/>
  <c r="D44" i="6"/>
  <c r="D10" i="6"/>
  <c r="D61" i="6"/>
  <c r="D14" i="6"/>
  <c r="D69" i="6"/>
  <c r="D26" i="6"/>
  <c r="D71" i="6"/>
  <c r="D19" i="6"/>
  <c r="D37" i="6"/>
  <c r="D52" i="6"/>
  <c r="D74" i="6"/>
  <c r="D59" i="6"/>
  <c r="D13" i="6"/>
  <c r="D39" i="6"/>
  <c r="D50" i="6"/>
  <c r="D27" i="6"/>
  <c r="D72" i="6"/>
  <c r="D16" i="6"/>
  <c r="D12" i="6"/>
  <c r="D66" i="6"/>
  <c r="D64" i="6"/>
  <c r="D20" i="6"/>
  <c r="D53" i="6"/>
  <c r="D41" i="6"/>
  <c r="D35" i="6"/>
  <c r="D6" i="6"/>
  <c r="E47" i="3"/>
  <c r="E50" i="3"/>
  <c r="E49" i="3"/>
  <c r="D87" i="3"/>
  <c r="E46" i="3"/>
  <c r="E48" i="3"/>
  <c r="E45" i="3"/>
  <c r="E51" i="3"/>
  <c r="C3" i="7"/>
  <c r="C5" i="7"/>
  <c r="D3" i="7"/>
  <c r="D5" i="7"/>
  <c r="E44" i="3"/>
  <c r="H3" i="7"/>
  <c r="H5" i="7"/>
  <c r="G3" i="7"/>
  <c r="G5" i="7"/>
  <c r="I3" i="7"/>
  <c r="I5" i="7"/>
  <c r="E3" i="7"/>
  <c r="E5" i="7"/>
  <c r="F3" i="7"/>
  <c r="F5" i="7"/>
  <c r="B80" i="3"/>
  <c r="B3" i="7"/>
  <c r="B5" i="7"/>
  <c r="E72" i="6"/>
  <c r="D72" i="12"/>
  <c r="C20" i="3"/>
  <c r="C22" i="3"/>
  <c r="E53" i="6"/>
  <c r="D53" i="12"/>
  <c r="E7" i="6"/>
  <c r="D7" i="12"/>
  <c r="E11" i="6"/>
  <c r="D11" i="12"/>
  <c r="E9" i="6"/>
  <c r="D9" i="12"/>
  <c r="E44" i="6"/>
  <c r="D44" i="12"/>
  <c r="E76" i="6"/>
  <c r="D76" i="12"/>
  <c r="E42" i="6"/>
  <c r="D42" i="12"/>
  <c r="E30" i="6"/>
  <c r="D30" i="12"/>
  <c r="E48" i="6"/>
  <c r="D48" i="12"/>
  <c r="E40" i="6"/>
  <c r="D40" i="12"/>
  <c r="E33" i="6"/>
  <c r="D33" i="12"/>
  <c r="E12" i="6"/>
  <c r="D12" i="12"/>
  <c r="E51" i="6"/>
  <c r="D51" i="12"/>
  <c r="E75" i="6"/>
  <c r="D75" i="12"/>
  <c r="E29" i="6"/>
  <c r="D29" i="12"/>
  <c r="E52" i="6"/>
  <c r="D52" i="12"/>
  <c r="E21" i="6"/>
  <c r="D21" i="12"/>
  <c r="E20" i="6"/>
  <c r="D20" i="12"/>
  <c r="E59" i="6"/>
  <c r="D59" i="12"/>
  <c r="E46" i="6"/>
  <c r="D46" i="12"/>
  <c r="E64" i="6"/>
  <c r="D64" i="12"/>
  <c r="E39" i="6"/>
  <c r="D39" i="12"/>
  <c r="E26" i="6"/>
  <c r="D26" i="12"/>
  <c r="E50" i="6"/>
  <c r="D50" i="12"/>
  <c r="E25" i="6"/>
  <c r="D25" i="12"/>
  <c r="E18" i="6"/>
  <c r="D18" i="12"/>
  <c r="E23" i="6"/>
  <c r="D23" i="12"/>
  <c r="E24" i="6"/>
  <c r="D24" i="12"/>
  <c r="E17" i="6"/>
  <c r="D17" i="12"/>
  <c r="E22" i="6"/>
  <c r="D22" i="12"/>
  <c r="D78" i="6"/>
  <c r="E31" i="6"/>
  <c r="D31" i="12"/>
  <c r="E63" i="6"/>
  <c r="D63" i="12"/>
  <c r="E60" i="6"/>
  <c r="D60" i="12"/>
  <c r="E54" i="6"/>
  <c r="D54" i="12"/>
  <c r="E61" i="6"/>
  <c r="D61" i="12"/>
  <c r="E67" i="6"/>
  <c r="D67" i="12"/>
  <c r="E27" i="6"/>
  <c r="D27" i="12"/>
  <c r="E28" i="6"/>
  <c r="D28" i="12"/>
  <c r="E73" i="6"/>
  <c r="D73" i="12"/>
  <c r="E70" i="6"/>
  <c r="D70" i="12"/>
  <c r="E14" i="6"/>
  <c r="D14" i="12"/>
  <c r="E35" i="6"/>
  <c r="D35" i="12"/>
  <c r="E37" i="6"/>
  <c r="D37" i="12"/>
  <c r="E47" i="6"/>
  <c r="D47" i="12"/>
  <c r="E13" i="6"/>
  <c r="D13" i="12"/>
  <c r="E8" i="6"/>
  <c r="D8" i="12"/>
  <c r="E34" i="6"/>
  <c r="D34" i="12"/>
  <c r="E43" i="6"/>
  <c r="D43" i="12"/>
  <c r="E74" i="6"/>
  <c r="D74" i="12"/>
  <c r="E38" i="6"/>
  <c r="D38" i="12"/>
  <c r="E55" i="6"/>
  <c r="D55" i="12"/>
  <c r="E15" i="6"/>
  <c r="D15" i="12"/>
  <c r="E16" i="6"/>
  <c r="D16" i="12"/>
  <c r="E71" i="6"/>
  <c r="D71" i="12"/>
  <c r="E57" i="6"/>
  <c r="D57" i="12"/>
  <c r="E45" i="6"/>
  <c r="D45" i="12"/>
  <c r="E10" i="6"/>
  <c r="D10" i="12"/>
  <c r="E69" i="6"/>
  <c r="D69" i="12"/>
  <c r="E62" i="6"/>
  <c r="D62" i="12"/>
  <c r="E6" i="6"/>
  <c r="D6" i="12"/>
  <c r="E65" i="6"/>
  <c r="D65" i="12"/>
  <c r="E77" i="6"/>
  <c r="D77" i="12"/>
  <c r="E49" i="6"/>
  <c r="D49" i="12"/>
  <c r="E58" i="6"/>
  <c r="D58" i="12"/>
  <c r="E32" i="6"/>
  <c r="D32" i="12"/>
  <c r="E66" i="6"/>
  <c r="D66" i="12"/>
  <c r="E36" i="6"/>
  <c r="D36" i="12"/>
  <c r="E68" i="6"/>
  <c r="D68" i="12"/>
  <c r="E41" i="6"/>
  <c r="D41" i="12"/>
  <c r="E19" i="6"/>
  <c r="D19" i="12"/>
  <c r="E56" i="6"/>
  <c r="D56" i="12"/>
  <c r="E68" i="7"/>
  <c r="E75" i="7"/>
  <c r="E61" i="7"/>
  <c r="E32" i="7"/>
  <c r="E42" i="7"/>
  <c r="E52" i="7"/>
  <c r="E13" i="7"/>
  <c r="E58" i="7"/>
  <c r="E19" i="7"/>
  <c r="E34" i="7"/>
  <c r="E12" i="7"/>
  <c r="E72" i="7"/>
  <c r="E18" i="7"/>
  <c r="E37" i="7"/>
  <c r="E67" i="7"/>
  <c r="E76" i="7"/>
  <c r="E10" i="7"/>
  <c r="E74" i="7"/>
  <c r="E64" i="7"/>
  <c r="E20" i="7"/>
  <c r="E51" i="7"/>
  <c r="E65" i="7"/>
  <c r="E26" i="7"/>
  <c r="E69" i="7"/>
  <c r="E24" i="7"/>
  <c r="E11" i="7"/>
  <c r="E50" i="7"/>
  <c r="E33" i="7"/>
  <c r="E53" i="7"/>
  <c r="E39" i="7"/>
  <c r="E71" i="7"/>
  <c r="E70" i="7"/>
  <c r="E48" i="7"/>
  <c r="E38" i="7"/>
  <c r="E40" i="7"/>
  <c r="E7" i="7"/>
  <c r="E49" i="7"/>
  <c r="E14" i="7"/>
  <c r="E41" i="7"/>
  <c r="E22" i="7"/>
  <c r="E73" i="7"/>
  <c r="E25" i="7"/>
  <c r="E35" i="7"/>
  <c r="E8" i="7"/>
  <c r="E57" i="7"/>
  <c r="E29" i="7"/>
  <c r="E15" i="7"/>
  <c r="E63" i="7"/>
  <c r="E9" i="7"/>
  <c r="E43" i="7"/>
  <c r="E31" i="7"/>
  <c r="E59" i="7"/>
  <c r="E27" i="7"/>
  <c r="E23" i="7"/>
  <c r="E62" i="7"/>
  <c r="E47" i="7"/>
  <c r="E17" i="7"/>
  <c r="E55" i="7"/>
  <c r="E54" i="7"/>
  <c r="E60" i="7"/>
  <c r="E21" i="7"/>
  <c r="E28" i="7"/>
  <c r="E30" i="7"/>
  <c r="E44" i="7"/>
  <c r="E56" i="7"/>
  <c r="E46" i="7"/>
  <c r="E45" i="7"/>
  <c r="E36" i="7"/>
  <c r="E16" i="7"/>
  <c r="E77" i="7"/>
  <c r="E66" i="7"/>
  <c r="E6" i="7"/>
  <c r="F57" i="7"/>
  <c r="F7" i="7"/>
  <c r="F28" i="7"/>
  <c r="F13" i="7"/>
  <c r="F55" i="7"/>
  <c r="F24" i="7"/>
  <c r="F14" i="7"/>
  <c r="F37" i="7"/>
  <c r="F35" i="7"/>
  <c r="F11" i="7"/>
  <c r="F75" i="7"/>
  <c r="F36" i="7"/>
  <c r="F39" i="7"/>
  <c r="F23" i="7"/>
  <c r="F53" i="7"/>
  <c r="F43" i="7"/>
  <c r="F64" i="7"/>
  <c r="F25" i="7"/>
  <c r="F33" i="7"/>
  <c r="F76" i="7"/>
  <c r="F50" i="7"/>
  <c r="F21" i="7"/>
  <c r="F59" i="7"/>
  <c r="F26" i="7"/>
  <c r="F27" i="7"/>
  <c r="F56" i="7"/>
  <c r="F48" i="7"/>
  <c r="F73" i="7"/>
  <c r="F67" i="7"/>
  <c r="F31" i="7"/>
  <c r="F61" i="7"/>
  <c r="F9" i="7"/>
  <c r="F34" i="7"/>
  <c r="F30" i="7"/>
  <c r="F77" i="7"/>
  <c r="F20" i="7"/>
  <c r="F32" i="7"/>
  <c r="F51" i="7"/>
  <c r="F47" i="7"/>
  <c r="F19" i="7"/>
  <c r="F49" i="7"/>
  <c r="F58" i="7"/>
  <c r="F74" i="7"/>
  <c r="F18" i="7"/>
  <c r="F10" i="7"/>
  <c r="F69" i="7"/>
  <c r="F60" i="7"/>
  <c r="F16" i="7"/>
  <c r="F52" i="7"/>
  <c r="F71" i="7"/>
  <c r="F65" i="7"/>
  <c r="F40" i="7"/>
  <c r="F63" i="7"/>
  <c r="F42" i="7"/>
  <c r="F22" i="7"/>
  <c r="F66" i="7"/>
  <c r="F41" i="7"/>
  <c r="F15" i="7"/>
  <c r="F46" i="7"/>
  <c r="F45" i="7"/>
  <c r="F38" i="7"/>
  <c r="F70" i="7"/>
  <c r="F54" i="7"/>
  <c r="F17" i="7"/>
  <c r="F62" i="7"/>
  <c r="F72" i="7"/>
  <c r="F68" i="7"/>
  <c r="F12" i="7"/>
  <c r="F44" i="7"/>
  <c r="F8" i="7"/>
  <c r="F29" i="7"/>
  <c r="F6" i="7"/>
  <c r="C78" i="6"/>
  <c r="H23" i="7"/>
  <c r="H16" i="7"/>
  <c r="H24" i="7"/>
  <c r="H60" i="7"/>
  <c r="H64" i="7"/>
  <c r="H47" i="7"/>
  <c r="H20" i="7"/>
  <c r="H40" i="7"/>
  <c r="H25" i="7"/>
  <c r="H45" i="7"/>
  <c r="H46" i="7"/>
  <c r="H21" i="7"/>
  <c r="H31" i="7"/>
  <c r="H36" i="7"/>
  <c r="H62" i="7"/>
  <c r="H26" i="7"/>
  <c r="H67" i="7"/>
  <c r="H11" i="7"/>
  <c r="H10" i="7"/>
  <c r="H70" i="7"/>
  <c r="H8" i="7"/>
  <c r="H33" i="7"/>
  <c r="H68" i="7"/>
  <c r="H39" i="7"/>
  <c r="H32" i="7"/>
  <c r="H19" i="7"/>
  <c r="H44" i="7"/>
  <c r="H37" i="7"/>
  <c r="H9" i="7"/>
  <c r="H14" i="7"/>
  <c r="H55" i="7"/>
  <c r="H59" i="7"/>
  <c r="H51" i="7"/>
  <c r="H58" i="7"/>
  <c r="H18" i="7"/>
  <c r="H17" i="7"/>
  <c r="H12" i="7"/>
  <c r="H50" i="7"/>
  <c r="H75" i="7"/>
  <c r="H76" i="7"/>
  <c r="H61" i="7"/>
  <c r="H34" i="7"/>
  <c r="H7" i="7"/>
  <c r="H52" i="7"/>
  <c r="H30" i="7"/>
  <c r="H73" i="7"/>
  <c r="H41" i="7"/>
  <c r="H66" i="7"/>
  <c r="H74" i="7"/>
  <c r="H54" i="7"/>
  <c r="H13" i="7"/>
  <c r="H49" i="7"/>
  <c r="H65" i="7"/>
  <c r="H57" i="7"/>
  <c r="H28" i="7"/>
  <c r="H53" i="7"/>
  <c r="H69" i="7"/>
  <c r="H27" i="7"/>
  <c r="H56" i="7"/>
  <c r="H22" i="7"/>
  <c r="H77" i="7"/>
  <c r="H43" i="7"/>
  <c r="H63" i="7"/>
  <c r="H35" i="7"/>
  <c r="H72" i="7"/>
  <c r="H29" i="7"/>
  <c r="H38" i="7"/>
  <c r="H15" i="7"/>
  <c r="H71" i="7"/>
  <c r="H48" i="7"/>
  <c r="H42" i="7"/>
  <c r="H6" i="7"/>
  <c r="D43" i="7"/>
  <c r="D64" i="7"/>
  <c r="D77" i="7"/>
  <c r="D35" i="7"/>
  <c r="D50" i="7"/>
  <c r="D37" i="7"/>
  <c r="D52" i="7"/>
  <c r="D29" i="7"/>
  <c r="D27" i="7"/>
  <c r="D57" i="7"/>
  <c r="D45" i="7"/>
  <c r="D25" i="7"/>
  <c r="D22" i="7"/>
  <c r="D19" i="7"/>
  <c r="D49" i="7"/>
  <c r="D21" i="7"/>
  <c r="D32" i="7"/>
  <c r="D8" i="7"/>
  <c r="D31" i="7"/>
  <c r="D36" i="7"/>
  <c r="D10" i="7"/>
  <c r="D18" i="7"/>
  <c r="D60" i="7"/>
  <c r="D71" i="7"/>
  <c r="D55" i="7"/>
  <c r="D63" i="7"/>
  <c r="D26" i="7"/>
  <c r="D51" i="7"/>
  <c r="D70" i="7"/>
  <c r="D28" i="7"/>
  <c r="D11" i="7"/>
  <c r="D20" i="7"/>
  <c r="D76" i="7"/>
  <c r="D30" i="7"/>
  <c r="D23" i="7"/>
  <c r="D58" i="7"/>
  <c r="D15" i="7"/>
  <c r="D13" i="7"/>
  <c r="D56" i="7"/>
  <c r="D62" i="7"/>
  <c r="D7" i="7"/>
  <c r="D9" i="7"/>
  <c r="D53" i="7"/>
  <c r="D65" i="7"/>
  <c r="D17" i="7"/>
  <c r="D54" i="7"/>
  <c r="D69" i="7"/>
  <c r="D46" i="7"/>
  <c r="D47" i="7"/>
  <c r="D73" i="7"/>
  <c r="D41" i="7"/>
  <c r="D14" i="7"/>
  <c r="D68" i="7"/>
  <c r="D40" i="7"/>
  <c r="D74" i="7"/>
  <c r="D16" i="7"/>
  <c r="D48" i="7"/>
  <c r="D61" i="7"/>
  <c r="D12" i="7"/>
  <c r="D44" i="7"/>
  <c r="D59" i="7"/>
  <c r="D38" i="7"/>
  <c r="D24" i="7"/>
  <c r="D72" i="7"/>
  <c r="D66" i="7"/>
  <c r="D42" i="7"/>
  <c r="D67" i="7"/>
  <c r="D34" i="7"/>
  <c r="D75" i="7"/>
  <c r="D39" i="7"/>
  <c r="D33" i="7"/>
  <c r="D6" i="7"/>
  <c r="I29" i="7"/>
  <c r="I38" i="7"/>
  <c r="I67" i="7"/>
  <c r="I63" i="7"/>
  <c r="I56" i="7"/>
  <c r="I44" i="7"/>
  <c r="I47" i="7"/>
  <c r="I15" i="7"/>
  <c r="I42" i="7"/>
  <c r="I10" i="7"/>
  <c r="I71" i="7"/>
  <c r="I40" i="7"/>
  <c r="I34" i="7"/>
  <c r="I52" i="7"/>
  <c r="I22" i="7"/>
  <c r="I46" i="7"/>
  <c r="I69" i="7"/>
  <c r="I13" i="7"/>
  <c r="I37" i="7"/>
  <c r="I66" i="7"/>
  <c r="I43" i="7"/>
  <c r="I21" i="7"/>
  <c r="I57" i="7"/>
  <c r="I70" i="7"/>
  <c r="I68" i="7"/>
  <c r="I64" i="7"/>
  <c r="I62" i="7"/>
  <c r="I45" i="7"/>
  <c r="I16" i="7"/>
  <c r="I41" i="7"/>
  <c r="I35" i="7"/>
  <c r="I33" i="7"/>
  <c r="I23" i="7"/>
  <c r="I17" i="7"/>
  <c r="I55" i="7"/>
  <c r="I58" i="7"/>
  <c r="I53" i="7"/>
  <c r="I65" i="7"/>
  <c r="I74" i="7"/>
  <c r="I14" i="7"/>
  <c r="I12" i="7"/>
  <c r="I9" i="7"/>
  <c r="I19" i="7"/>
  <c r="I77" i="7"/>
  <c r="I11" i="7"/>
  <c r="I61" i="7"/>
  <c r="I20" i="7"/>
  <c r="I30" i="7"/>
  <c r="I8" i="7"/>
  <c r="I28" i="7"/>
  <c r="I32" i="7"/>
  <c r="I7" i="7"/>
  <c r="I50" i="7"/>
  <c r="I18" i="7"/>
  <c r="I54" i="7"/>
  <c r="I39" i="7"/>
  <c r="I72" i="7"/>
  <c r="I51" i="7"/>
  <c r="I60" i="7"/>
  <c r="I26" i="7"/>
  <c r="I75" i="7"/>
  <c r="I76" i="7"/>
  <c r="I49" i="7"/>
  <c r="I36" i="7"/>
  <c r="I73" i="7"/>
  <c r="I48" i="7"/>
  <c r="I24" i="7"/>
  <c r="I31" i="7"/>
  <c r="I27" i="7"/>
  <c r="I59" i="7"/>
  <c r="I25" i="7"/>
  <c r="I6" i="7"/>
  <c r="G53" i="7"/>
  <c r="G10" i="7"/>
  <c r="G64" i="7"/>
  <c r="G74" i="7"/>
  <c r="G51" i="7"/>
  <c r="G67" i="7"/>
  <c r="G16" i="7"/>
  <c r="G70" i="7"/>
  <c r="G30" i="7"/>
  <c r="G9" i="7"/>
  <c r="G69" i="7"/>
  <c r="G41" i="7"/>
  <c r="G48" i="7"/>
  <c r="G20" i="7"/>
  <c r="G42" i="7"/>
  <c r="G73" i="7"/>
  <c r="G60" i="7"/>
  <c r="G22" i="7"/>
  <c r="G25" i="7"/>
  <c r="G63" i="7"/>
  <c r="G17" i="7"/>
  <c r="G27" i="7"/>
  <c r="G32" i="7"/>
  <c r="G45" i="7"/>
  <c r="G28" i="7"/>
  <c r="G13" i="7"/>
  <c r="G55" i="7"/>
  <c r="G54" i="7"/>
  <c r="G61" i="7"/>
  <c r="G62" i="7"/>
  <c r="G40" i="7"/>
  <c r="G39" i="7"/>
  <c r="G75" i="7"/>
  <c r="G37" i="7"/>
  <c r="G7" i="7"/>
  <c r="G59" i="7"/>
  <c r="G77" i="7"/>
  <c r="G47" i="7"/>
  <c r="G31" i="7"/>
  <c r="G76" i="7"/>
  <c r="G33" i="7"/>
  <c r="G66" i="7"/>
  <c r="G65" i="7"/>
  <c r="G68" i="7"/>
  <c r="G52" i="7"/>
  <c r="G57" i="7"/>
  <c r="G56" i="7"/>
  <c r="G18" i="7"/>
  <c r="G49" i="7"/>
  <c r="G21" i="7"/>
  <c r="G23" i="7"/>
  <c r="G44" i="7"/>
  <c r="G26" i="7"/>
  <c r="G50" i="7"/>
  <c r="G71" i="7"/>
  <c r="G46" i="7"/>
  <c r="G58" i="7"/>
  <c r="G43" i="7"/>
  <c r="G15" i="7"/>
  <c r="G14" i="7"/>
  <c r="G34" i="7"/>
  <c r="G36" i="7"/>
  <c r="G72" i="7"/>
  <c r="G29" i="7"/>
  <c r="G8" i="7"/>
  <c r="G35" i="7"/>
  <c r="G38" i="7"/>
  <c r="G12" i="7"/>
  <c r="G19" i="7"/>
  <c r="G24" i="7"/>
  <c r="G11" i="7"/>
  <c r="G6" i="7"/>
  <c r="E53" i="3"/>
  <c r="B42" i="7"/>
  <c r="B67" i="7"/>
  <c r="B53" i="7"/>
  <c r="B27" i="7"/>
  <c r="B60" i="7"/>
  <c r="B17" i="7"/>
  <c r="B77" i="7"/>
  <c r="B72" i="7"/>
  <c r="B69" i="7"/>
  <c r="B75" i="7"/>
  <c r="B16" i="7"/>
  <c r="B44" i="7"/>
  <c r="B15" i="7"/>
  <c r="B34" i="7"/>
  <c r="B55" i="7"/>
  <c r="B28" i="7"/>
  <c r="B31" i="7"/>
  <c r="B24" i="7"/>
  <c r="B46" i="7"/>
  <c r="B43" i="7"/>
  <c r="B21" i="7"/>
  <c r="B65" i="7"/>
  <c r="B66" i="7"/>
  <c r="B33" i="7"/>
  <c r="B18" i="7"/>
  <c r="B51" i="7"/>
  <c r="B62" i="7"/>
  <c r="B61" i="7"/>
  <c r="B63" i="7"/>
  <c r="B64" i="7"/>
  <c r="B19" i="7"/>
  <c r="B76" i="7"/>
  <c r="B23" i="7"/>
  <c r="B48" i="7"/>
  <c r="B56" i="7"/>
  <c r="B37" i="7"/>
  <c r="B54" i="7"/>
  <c r="B20" i="7"/>
  <c r="B11" i="7"/>
  <c r="B22" i="7"/>
  <c r="B50" i="7"/>
  <c r="B70" i="7"/>
  <c r="B45" i="7"/>
  <c r="B41" i="7"/>
  <c r="B47" i="7"/>
  <c r="B40" i="7"/>
  <c r="B49" i="7"/>
  <c r="B32" i="7"/>
  <c r="B71" i="7"/>
  <c r="B10" i="7"/>
  <c r="B39" i="7"/>
  <c r="B35" i="7"/>
  <c r="B6" i="7"/>
  <c r="B14" i="7"/>
  <c r="B8" i="7"/>
  <c r="B36" i="7"/>
  <c r="B74" i="7"/>
  <c r="B9" i="7"/>
  <c r="B13" i="7"/>
  <c r="B52" i="7"/>
  <c r="B59" i="7"/>
  <c r="B29" i="7"/>
  <c r="B38" i="7"/>
  <c r="B57" i="7"/>
  <c r="B58" i="7"/>
  <c r="B26" i="7"/>
  <c r="B30" i="7"/>
  <c r="B25" i="7"/>
  <c r="B7" i="7"/>
  <c r="B68" i="7"/>
  <c r="B73" i="7"/>
  <c r="B12" i="7"/>
  <c r="E72" i="3"/>
  <c r="E73" i="3"/>
  <c r="D88" i="3"/>
  <c r="E70" i="3"/>
  <c r="E75" i="3"/>
  <c r="E65" i="3"/>
  <c r="E76" i="3"/>
  <c r="E63" i="3"/>
  <c r="E74" i="3"/>
  <c r="E69" i="3"/>
  <c r="E60" i="3"/>
  <c r="E62" i="3"/>
  <c r="E61" i="3"/>
  <c r="E71" i="3"/>
  <c r="E64" i="3"/>
  <c r="E66" i="3"/>
  <c r="P3" i="7"/>
  <c r="P5" i="7"/>
  <c r="R3" i="7"/>
  <c r="R5" i="7"/>
  <c r="X3" i="7"/>
  <c r="X5" i="7"/>
  <c r="M3" i="7"/>
  <c r="M5" i="7"/>
  <c r="Z3" i="7"/>
  <c r="Z5" i="7"/>
  <c r="N3" i="7"/>
  <c r="N5" i="7"/>
  <c r="E59" i="3"/>
  <c r="AC3" i="7"/>
  <c r="AC5" i="7"/>
  <c r="Y3" i="7"/>
  <c r="Y5" i="7"/>
  <c r="AB3" i="7"/>
  <c r="AB5" i="7"/>
  <c r="AA3" i="7"/>
  <c r="AA5" i="7"/>
  <c r="W3" i="7"/>
  <c r="W5" i="7"/>
  <c r="O3" i="7"/>
  <c r="O5" i="7"/>
  <c r="V3" i="7"/>
  <c r="V5" i="7"/>
  <c r="L3" i="7"/>
  <c r="L5" i="7"/>
  <c r="Q3" i="7"/>
  <c r="Q5" i="7"/>
  <c r="S3" i="7"/>
  <c r="S5" i="7"/>
  <c r="C13" i="7"/>
  <c r="C60" i="7"/>
  <c r="C71" i="7"/>
  <c r="C65" i="7"/>
  <c r="C75" i="7"/>
  <c r="C14" i="7"/>
  <c r="C44" i="7"/>
  <c r="C40" i="7"/>
  <c r="C9" i="7"/>
  <c r="C54" i="7"/>
  <c r="C7" i="7"/>
  <c r="C25" i="7"/>
  <c r="C63" i="7"/>
  <c r="C19" i="7"/>
  <c r="C59" i="7"/>
  <c r="C51" i="7"/>
  <c r="C41" i="7"/>
  <c r="C34" i="7"/>
  <c r="C46" i="7"/>
  <c r="C74" i="7"/>
  <c r="C53" i="7"/>
  <c r="C57" i="7"/>
  <c r="C50" i="7"/>
  <c r="C11" i="7"/>
  <c r="C38" i="7"/>
  <c r="C37" i="7"/>
  <c r="C49" i="7"/>
  <c r="C72" i="7"/>
  <c r="C45" i="7"/>
  <c r="C10" i="7"/>
  <c r="C56" i="7"/>
  <c r="C55" i="7"/>
  <c r="C32" i="7"/>
  <c r="C70" i="7"/>
  <c r="C52" i="7"/>
  <c r="C8" i="7"/>
  <c r="C16" i="7"/>
  <c r="C24" i="7"/>
  <c r="C35" i="7"/>
  <c r="C58" i="7"/>
  <c r="C18" i="7"/>
  <c r="C43" i="7"/>
  <c r="C61" i="7"/>
  <c r="C68" i="7"/>
  <c r="C15" i="7"/>
  <c r="C48" i="7"/>
  <c r="C23" i="7"/>
  <c r="C12" i="7"/>
  <c r="C33" i="7"/>
  <c r="C39" i="7"/>
  <c r="C47" i="7"/>
  <c r="C31" i="7"/>
  <c r="C76" i="7"/>
  <c r="C20" i="7"/>
  <c r="C73" i="7"/>
  <c r="C69" i="7"/>
  <c r="C67" i="7"/>
  <c r="C22" i="7"/>
  <c r="C66" i="7"/>
  <c r="C28" i="7"/>
  <c r="C27" i="7"/>
  <c r="C21" i="7"/>
  <c r="C29" i="7"/>
  <c r="C30" i="7"/>
  <c r="C64" i="7"/>
  <c r="C26" i="7"/>
  <c r="C36" i="7"/>
  <c r="C77" i="7"/>
  <c r="C17" i="7"/>
  <c r="C42" i="7"/>
  <c r="C62" i="7"/>
  <c r="C6" i="7"/>
  <c r="D85" i="3"/>
  <c r="I7" i="5"/>
  <c r="C7" i="5"/>
  <c r="I11" i="5"/>
  <c r="C11" i="5"/>
  <c r="I76" i="5"/>
  <c r="C76" i="5"/>
  <c r="I60" i="5"/>
  <c r="C60" i="5"/>
  <c r="I16" i="5"/>
  <c r="C16" i="5"/>
  <c r="I66" i="5"/>
  <c r="C66" i="5"/>
  <c r="I33" i="5"/>
  <c r="C33" i="5"/>
  <c r="I45" i="5"/>
  <c r="C45" i="5"/>
  <c r="I71" i="5"/>
  <c r="C71" i="5"/>
  <c r="I53" i="5"/>
  <c r="C53" i="5"/>
  <c r="I50" i="5"/>
  <c r="C50" i="5"/>
  <c r="I59" i="5"/>
  <c r="C59" i="5"/>
  <c r="I49" i="5"/>
  <c r="C49" i="5"/>
  <c r="I17" i="5"/>
  <c r="C17" i="5"/>
  <c r="I58" i="5"/>
  <c r="C58" i="5"/>
  <c r="I10" i="5"/>
  <c r="C10" i="5"/>
  <c r="I14" i="5"/>
  <c r="C14" i="5"/>
  <c r="I6" i="5"/>
  <c r="C6" i="5"/>
  <c r="G6" i="5"/>
  <c r="I51" i="5"/>
  <c r="C51" i="5"/>
  <c r="I27" i="5"/>
  <c r="C27" i="5"/>
  <c r="I19" i="5"/>
  <c r="C19" i="5"/>
  <c r="I44" i="5"/>
  <c r="C44" i="5"/>
  <c r="I15" i="5"/>
  <c r="C15" i="5"/>
  <c r="I42" i="5"/>
  <c r="C42" i="5"/>
  <c r="I20" i="5"/>
  <c r="C20" i="5"/>
  <c r="I31" i="5"/>
  <c r="C31" i="5"/>
  <c r="I47" i="5"/>
  <c r="C47" i="5"/>
  <c r="I62" i="5"/>
  <c r="C62" i="5"/>
  <c r="I9" i="5"/>
  <c r="C9" i="5"/>
  <c r="I57" i="5"/>
  <c r="C57" i="5"/>
  <c r="I48" i="5"/>
  <c r="C48" i="5"/>
  <c r="I63" i="5"/>
  <c r="C63" i="5"/>
  <c r="I72" i="5"/>
  <c r="C72" i="5"/>
  <c r="I64" i="5"/>
  <c r="C64" i="5"/>
  <c r="I13" i="5"/>
  <c r="C13" i="5"/>
  <c r="I70" i="5"/>
  <c r="C70" i="5"/>
  <c r="I43" i="5"/>
  <c r="C43" i="5"/>
  <c r="I69" i="5"/>
  <c r="C69" i="5"/>
  <c r="I73" i="5"/>
  <c r="C73" i="5"/>
  <c r="I67" i="5"/>
  <c r="C67" i="5"/>
  <c r="I36" i="5"/>
  <c r="C36" i="5"/>
  <c r="I46" i="5"/>
  <c r="C46" i="5"/>
  <c r="I24" i="5"/>
  <c r="C24" i="5"/>
  <c r="I26" i="5"/>
  <c r="C26" i="5"/>
  <c r="I23" i="5"/>
  <c r="C23" i="5"/>
  <c r="I35" i="5"/>
  <c r="C35" i="5"/>
  <c r="I25" i="5"/>
  <c r="C25" i="5"/>
  <c r="I41" i="5"/>
  <c r="C41" i="5"/>
  <c r="I55" i="5"/>
  <c r="C55" i="5"/>
  <c r="I28" i="5"/>
  <c r="C28" i="5"/>
  <c r="I65" i="5"/>
  <c r="C65" i="5"/>
  <c r="I75" i="5"/>
  <c r="C75" i="5"/>
  <c r="I8" i="5"/>
  <c r="C8" i="5"/>
  <c r="I18" i="5"/>
  <c r="C18" i="5"/>
  <c r="I40" i="5"/>
  <c r="C40" i="5"/>
  <c r="I39" i="5"/>
  <c r="C39" i="5"/>
  <c r="I21" i="5"/>
  <c r="C21" i="5"/>
  <c r="I52" i="5"/>
  <c r="C52" i="5"/>
  <c r="I32" i="5"/>
  <c r="C32" i="5"/>
  <c r="I77" i="5"/>
  <c r="C77" i="5"/>
  <c r="I38" i="5"/>
  <c r="C38" i="5"/>
  <c r="I12" i="5"/>
  <c r="C12" i="5"/>
  <c r="J41" i="7"/>
  <c r="H78" i="7"/>
  <c r="J59" i="7"/>
  <c r="E78" i="6"/>
  <c r="J35" i="7"/>
  <c r="Z45" i="7"/>
  <c r="Z36" i="7"/>
  <c r="Z51" i="7"/>
  <c r="Z65" i="7"/>
  <c r="Z54" i="7"/>
  <c r="Z75" i="7"/>
  <c r="Z47" i="7"/>
  <c r="Z46" i="7"/>
  <c r="Z68" i="7"/>
  <c r="Z30" i="7"/>
  <c r="Z18" i="7"/>
  <c r="Z33" i="7"/>
  <c r="Z9" i="7"/>
  <c r="Z56" i="7"/>
  <c r="Z29" i="7"/>
  <c r="Z61" i="7"/>
  <c r="Z21" i="7"/>
  <c r="Z53" i="7"/>
  <c r="Z16" i="7"/>
  <c r="Z8" i="7"/>
  <c r="Z73" i="7"/>
  <c r="Z12" i="7"/>
  <c r="Z10" i="7"/>
  <c r="Z72" i="7"/>
  <c r="Z14" i="7"/>
  <c r="Z48" i="7"/>
  <c r="Z57" i="7"/>
  <c r="Z55" i="7"/>
  <c r="Z25" i="7"/>
  <c r="Z7" i="7"/>
  <c r="Z76" i="7"/>
  <c r="Z15" i="7"/>
  <c r="Z28" i="7"/>
  <c r="Z23" i="7"/>
  <c r="Z26" i="7"/>
  <c r="Z63" i="7"/>
  <c r="Z43" i="7"/>
  <c r="Z67" i="7"/>
  <c r="Z58" i="7"/>
  <c r="Z71" i="7"/>
  <c r="Z34" i="7"/>
  <c r="Z37" i="7"/>
  <c r="Z11" i="7"/>
  <c r="Z24" i="7"/>
  <c r="Z74" i="7"/>
  <c r="Z77" i="7"/>
  <c r="Z32" i="7"/>
  <c r="Z27" i="7"/>
  <c r="Z62" i="7"/>
  <c r="Z64" i="7"/>
  <c r="Z22" i="7"/>
  <c r="Z31" i="7"/>
  <c r="Z42" i="7"/>
  <c r="Z69" i="7"/>
  <c r="Z60" i="7"/>
  <c r="Z52" i="7"/>
  <c r="Z44" i="7"/>
  <c r="Z17" i="7"/>
  <c r="Z38" i="7"/>
  <c r="Z13" i="7"/>
  <c r="Z49" i="7"/>
  <c r="Z50" i="7"/>
  <c r="Z59" i="7"/>
  <c r="Z35" i="7"/>
  <c r="Z19" i="7"/>
  <c r="Z70" i="7"/>
  <c r="Z66" i="7"/>
  <c r="Z39" i="7"/>
  <c r="Z40" i="7"/>
  <c r="Z41" i="7"/>
  <c r="Z20" i="7"/>
  <c r="Z6" i="7"/>
  <c r="J7" i="7"/>
  <c r="B78" i="7"/>
  <c r="J6" i="7"/>
  <c r="J47" i="7"/>
  <c r="J54" i="7"/>
  <c r="J63" i="7"/>
  <c r="J21" i="7"/>
  <c r="J15" i="7"/>
  <c r="J60" i="7"/>
  <c r="D78" i="7"/>
  <c r="D78" i="12"/>
  <c r="J52" i="7"/>
  <c r="J37" i="7"/>
  <c r="J61" i="7"/>
  <c r="J43" i="7"/>
  <c r="J44" i="7"/>
  <c r="J27" i="7"/>
  <c r="O47" i="7"/>
  <c r="O73" i="7"/>
  <c r="O36" i="7"/>
  <c r="O70" i="7"/>
  <c r="O30" i="7"/>
  <c r="O20" i="7"/>
  <c r="O40" i="7"/>
  <c r="O71" i="7"/>
  <c r="O26" i="7"/>
  <c r="O41" i="7"/>
  <c r="O13" i="7"/>
  <c r="O66" i="7"/>
  <c r="O63" i="7"/>
  <c r="O27" i="7"/>
  <c r="O56" i="7"/>
  <c r="O42" i="7"/>
  <c r="O34" i="7"/>
  <c r="O69" i="7"/>
  <c r="O6" i="7"/>
  <c r="O37" i="7"/>
  <c r="O22" i="7"/>
  <c r="O74" i="7"/>
  <c r="O16" i="7"/>
  <c r="O38" i="7"/>
  <c r="O48" i="7"/>
  <c r="O35" i="7"/>
  <c r="O49" i="7"/>
  <c r="O77" i="7"/>
  <c r="O31" i="7"/>
  <c r="O55" i="7"/>
  <c r="O60" i="7"/>
  <c r="O24" i="7"/>
  <c r="O75" i="7"/>
  <c r="O67" i="7"/>
  <c r="O51" i="7"/>
  <c r="O17" i="7"/>
  <c r="O61" i="7"/>
  <c r="O21" i="7"/>
  <c r="O11" i="7"/>
  <c r="O54" i="7"/>
  <c r="O59" i="7"/>
  <c r="O15" i="7"/>
  <c r="O10" i="7"/>
  <c r="O58" i="7"/>
  <c r="O68" i="7"/>
  <c r="O57" i="7"/>
  <c r="O12" i="7"/>
  <c r="O9" i="7"/>
  <c r="O65" i="7"/>
  <c r="O45" i="7"/>
  <c r="O8" i="7"/>
  <c r="O32" i="7"/>
  <c r="O28" i="7"/>
  <c r="O44" i="7"/>
  <c r="O7" i="7"/>
  <c r="O29" i="7"/>
  <c r="O62" i="7"/>
  <c r="O72" i="7"/>
  <c r="O33" i="7"/>
  <c r="O25" i="7"/>
  <c r="O19" i="7"/>
  <c r="O39" i="7"/>
  <c r="O18" i="7"/>
  <c r="O43" i="7"/>
  <c r="O52" i="7"/>
  <c r="O23" i="7"/>
  <c r="O53" i="7"/>
  <c r="O14" i="7"/>
  <c r="O46" i="7"/>
  <c r="O76" i="7"/>
  <c r="O64" i="7"/>
  <c r="O50" i="7"/>
  <c r="W10" i="7"/>
  <c r="W66" i="7"/>
  <c r="W17" i="7"/>
  <c r="W21" i="7"/>
  <c r="W46" i="7"/>
  <c r="W9" i="7"/>
  <c r="W77" i="7"/>
  <c r="W15" i="7"/>
  <c r="W64" i="7"/>
  <c r="W30" i="7"/>
  <c r="W55" i="7"/>
  <c r="W11" i="7"/>
  <c r="W28" i="7"/>
  <c r="W29" i="7"/>
  <c r="W20" i="7"/>
  <c r="W27" i="7"/>
  <c r="W14" i="7"/>
  <c r="W59" i="7"/>
  <c r="W40" i="7"/>
  <c r="W44" i="7"/>
  <c r="W18" i="7"/>
  <c r="W68" i="7"/>
  <c r="W24" i="7"/>
  <c r="W63" i="7"/>
  <c r="W61" i="7"/>
  <c r="W51" i="7"/>
  <c r="W70" i="7"/>
  <c r="W16" i="7"/>
  <c r="W45" i="7"/>
  <c r="W25" i="7"/>
  <c r="W48" i="7"/>
  <c r="W33" i="7"/>
  <c r="W12" i="7"/>
  <c r="W67" i="7"/>
  <c r="W57" i="7"/>
  <c r="W7" i="7"/>
  <c r="W52" i="7"/>
  <c r="W42" i="7"/>
  <c r="W43" i="7"/>
  <c r="W69" i="7"/>
  <c r="W35" i="7"/>
  <c r="W65" i="7"/>
  <c r="W50" i="7"/>
  <c r="W8" i="7"/>
  <c r="W54" i="7"/>
  <c r="W53" i="7"/>
  <c r="W13" i="7"/>
  <c r="W49" i="7"/>
  <c r="W23" i="7"/>
  <c r="W56" i="7"/>
  <c r="W31" i="7"/>
  <c r="W37" i="7"/>
  <c r="W76" i="7"/>
  <c r="W19" i="7"/>
  <c r="W58" i="7"/>
  <c r="W32" i="7"/>
  <c r="W75" i="7"/>
  <c r="W73" i="7"/>
  <c r="W36" i="7"/>
  <c r="W62" i="7"/>
  <c r="W39" i="7"/>
  <c r="W71" i="7"/>
  <c r="W47" i="7"/>
  <c r="W60" i="7"/>
  <c r="W74" i="7"/>
  <c r="W26" i="7"/>
  <c r="W72" i="7"/>
  <c r="W34" i="7"/>
  <c r="W41" i="7"/>
  <c r="W22" i="7"/>
  <c r="W38" i="7"/>
  <c r="W6" i="7"/>
  <c r="AA18" i="7"/>
  <c r="AA63" i="7"/>
  <c r="AA66" i="7"/>
  <c r="AA71" i="7"/>
  <c r="AA13" i="7"/>
  <c r="AA36" i="7"/>
  <c r="AA20" i="7"/>
  <c r="AA30" i="7"/>
  <c r="AA50" i="7"/>
  <c r="AA33" i="7"/>
  <c r="AA16" i="7"/>
  <c r="AA35" i="7"/>
  <c r="AA74" i="7"/>
  <c r="AA48" i="7"/>
  <c r="AA15" i="7"/>
  <c r="AA14" i="7"/>
  <c r="AA62" i="7"/>
  <c r="AA75" i="7"/>
  <c r="AA26" i="7"/>
  <c r="AA21" i="7"/>
  <c r="AA70" i="7"/>
  <c r="AA49" i="7"/>
  <c r="AA34" i="7"/>
  <c r="AA19" i="7"/>
  <c r="AA57" i="7"/>
  <c r="AA40" i="7"/>
  <c r="AA25" i="7"/>
  <c r="AA8" i="7"/>
  <c r="AA61" i="7"/>
  <c r="AA60" i="7"/>
  <c r="AA22" i="7"/>
  <c r="AA7" i="7"/>
  <c r="AA59" i="7"/>
  <c r="AA38" i="7"/>
  <c r="AA45" i="7"/>
  <c r="AA77" i="7"/>
  <c r="AA54" i="7"/>
  <c r="AA9" i="7"/>
  <c r="AA32" i="7"/>
  <c r="AA27" i="7"/>
  <c r="AA23" i="7"/>
  <c r="AA65" i="7"/>
  <c r="AA46" i="7"/>
  <c r="AA28" i="7"/>
  <c r="AA37" i="7"/>
  <c r="AA72" i="7"/>
  <c r="AA56" i="7"/>
  <c r="AA42" i="7"/>
  <c r="AA55" i="7"/>
  <c r="AA29" i="7"/>
  <c r="AA41" i="7"/>
  <c r="AA53" i="7"/>
  <c r="AA47" i="7"/>
  <c r="AA76" i="7"/>
  <c r="AA64" i="7"/>
  <c r="AA43" i="7"/>
  <c r="AA73" i="7"/>
  <c r="AA17" i="7"/>
  <c r="AA68" i="7"/>
  <c r="AA24" i="7"/>
  <c r="AA12" i="7"/>
  <c r="AA51" i="7"/>
  <c r="AA52" i="7"/>
  <c r="AA39" i="7"/>
  <c r="AA67" i="7"/>
  <c r="AA44" i="7"/>
  <c r="AA69" i="7"/>
  <c r="AA58" i="7"/>
  <c r="AA31" i="7"/>
  <c r="AA11" i="7"/>
  <c r="AA10" i="7"/>
  <c r="AA6" i="7"/>
  <c r="X19" i="7"/>
  <c r="X43" i="7"/>
  <c r="X52" i="7"/>
  <c r="X60" i="7"/>
  <c r="X62" i="7"/>
  <c r="X21" i="7"/>
  <c r="X50" i="7"/>
  <c r="X25" i="7"/>
  <c r="X16" i="7"/>
  <c r="X38" i="7"/>
  <c r="X53" i="7"/>
  <c r="X59" i="7"/>
  <c r="X51" i="7"/>
  <c r="X22" i="7"/>
  <c r="X45" i="7"/>
  <c r="X36" i="7"/>
  <c r="X35" i="7"/>
  <c r="X68" i="7"/>
  <c r="X29" i="7"/>
  <c r="X75" i="7"/>
  <c r="X77" i="7"/>
  <c r="X56" i="7"/>
  <c r="X41" i="7"/>
  <c r="X32" i="7"/>
  <c r="X14" i="7"/>
  <c r="X76" i="7"/>
  <c r="X39" i="7"/>
  <c r="X13" i="7"/>
  <c r="X20" i="7"/>
  <c r="X12" i="7"/>
  <c r="X73" i="7"/>
  <c r="X71" i="7"/>
  <c r="X65" i="7"/>
  <c r="X61" i="7"/>
  <c r="X28" i="7"/>
  <c r="X72" i="7"/>
  <c r="X54" i="7"/>
  <c r="X55" i="7"/>
  <c r="X17" i="7"/>
  <c r="X11" i="7"/>
  <c r="X42" i="7"/>
  <c r="X70" i="7"/>
  <c r="X63" i="7"/>
  <c r="X8" i="7"/>
  <c r="X48" i="7"/>
  <c r="X31" i="7"/>
  <c r="X58" i="7"/>
  <c r="X23" i="7"/>
  <c r="X69" i="7"/>
  <c r="X57" i="7"/>
  <c r="X47" i="7"/>
  <c r="X15" i="7"/>
  <c r="X18" i="7"/>
  <c r="X67" i="7"/>
  <c r="X49" i="7"/>
  <c r="X30" i="7"/>
  <c r="X74" i="7"/>
  <c r="X33" i="7"/>
  <c r="X66" i="7"/>
  <c r="X27" i="7"/>
  <c r="X7" i="7"/>
  <c r="X10" i="7"/>
  <c r="X26" i="7"/>
  <c r="X37" i="7"/>
  <c r="X24" i="7"/>
  <c r="X64" i="7"/>
  <c r="X34" i="7"/>
  <c r="X44" i="7"/>
  <c r="X9" i="7"/>
  <c r="X46" i="7"/>
  <c r="X40" i="7"/>
  <c r="X6" i="7"/>
  <c r="J30" i="7"/>
  <c r="J13" i="7"/>
  <c r="J39" i="7"/>
  <c r="J45" i="7"/>
  <c r="J56" i="7"/>
  <c r="J62" i="7"/>
  <c r="J46" i="7"/>
  <c r="J16" i="7"/>
  <c r="J53" i="7"/>
  <c r="AB43" i="7"/>
  <c r="AB42" i="7"/>
  <c r="AB11" i="7"/>
  <c r="AB40" i="7"/>
  <c r="AB44" i="7"/>
  <c r="AB54" i="7"/>
  <c r="AB68" i="7"/>
  <c r="AB53" i="7"/>
  <c r="AB70" i="7"/>
  <c r="AB45" i="7"/>
  <c r="AB74" i="7"/>
  <c r="AB62" i="7"/>
  <c r="AB48" i="7"/>
  <c r="AB39" i="7"/>
  <c r="AB25" i="7"/>
  <c r="AB10" i="7"/>
  <c r="AB49" i="7"/>
  <c r="AB61" i="7"/>
  <c r="AB24" i="7"/>
  <c r="AB26" i="7"/>
  <c r="AB63" i="7"/>
  <c r="AB28" i="7"/>
  <c r="AB20" i="7"/>
  <c r="AB36" i="7"/>
  <c r="AB15" i="7"/>
  <c r="AB13" i="7"/>
  <c r="AB32" i="7"/>
  <c r="AB72" i="7"/>
  <c r="AB65" i="7"/>
  <c r="AB50" i="7"/>
  <c r="AB67" i="7"/>
  <c r="AB46" i="7"/>
  <c r="AB47" i="7"/>
  <c r="AB16" i="7"/>
  <c r="AB27" i="7"/>
  <c r="AB19" i="7"/>
  <c r="AB66" i="7"/>
  <c r="AB21" i="7"/>
  <c r="AB77" i="7"/>
  <c r="AB37" i="7"/>
  <c r="AB38" i="7"/>
  <c r="AB9" i="7"/>
  <c r="AB29" i="7"/>
  <c r="AB31" i="7"/>
  <c r="AB64" i="7"/>
  <c r="AB12" i="7"/>
  <c r="AB56" i="7"/>
  <c r="AB73" i="7"/>
  <c r="AB17" i="7"/>
  <c r="AB8" i="7"/>
  <c r="AB35" i="7"/>
  <c r="AB69" i="7"/>
  <c r="AB18" i="7"/>
  <c r="AB76" i="7"/>
  <c r="AB58" i="7"/>
  <c r="AB52" i="7"/>
  <c r="AB60" i="7"/>
  <c r="AB33" i="7"/>
  <c r="AB51" i="7"/>
  <c r="AB57" i="7"/>
  <c r="AB41" i="7"/>
  <c r="AB59" i="7"/>
  <c r="AB7" i="7"/>
  <c r="AB34" i="7"/>
  <c r="AB14" i="7"/>
  <c r="AB23" i="7"/>
  <c r="AB22" i="7"/>
  <c r="AB75" i="7"/>
  <c r="AB30" i="7"/>
  <c r="AB55" i="7"/>
  <c r="AB6" i="7"/>
  <c r="AB71" i="7"/>
  <c r="R22" i="7"/>
  <c r="R55" i="7"/>
  <c r="R35" i="7"/>
  <c r="R16" i="7"/>
  <c r="R32" i="7"/>
  <c r="R74" i="7"/>
  <c r="R18" i="7"/>
  <c r="R66" i="7"/>
  <c r="R72" i="7"/>
  <c r="R25" i="7"/>
  <c r="R42" i="7"/>
  <c r="R51" i="7"/>
  <c r="R48" i="7"/>
  <c r="R45" i="7"/>
  <c r="R56" i="7"/>
  <c r="R39" i="7"/>
  <c r="R19" i="7"/>
  <c r="R14" i="7"/>
  <c r="R44" i="7"/>
  <c r="R20" i="7"/>
  <c r="R37" i="7"/>
  <c r="R38" i="7"/>
  <c r="R31" i="7"/>
  <c r="R53" i="7"/>
  <c r="R63" i="7"/>
  <c r="R13" i="7"/>
  <c r="R29" i="7"/>
  <c r="R71" i="7"/>
  <c r="R33" i="7"/>
  <c r="R28" i="7"/>
  <c r="R68" i="7"/>
  <c r="R40" i="7"/>
  <c r="R26" i="7"/>
  <c r="R67" i="7"/>
  <c r="R62" i="7"/>
  <c r="R59" i="7"/>
  <c r="R77" i="7"/>
  <c r="R57" i="7"/>
  <c r="R69" i="7"/>
  <c r="R50" i="7"/>
  <c r="R41" i="7"/>
  <c r="R10" i="7"/>
  <c r="R12" i="7"/>
  <c r="R30" i="7"/>
  <c r="R36" i="7"/>
  <c r="R47" i="7"/>
  <c r="R23" i="7"/>
  <c r="R54" i="7"/>
  <c r="R73" i="7"/>
  <c r="R27" i="7"/>
  <c r="R17" i="7"/>
  <c r="R43" i="7"/>
  <c r="R70" i="7"/>
  <c r="R21" i="7"/>
  <c r="R34" i="7"/>
  <c r="R7" i="7"/>
  <c r="R49" i="7"/>
  <c r="R9" i="7"/>
  <c r="R52" i="7"/>
  <c r="R60" i="7"/>
  <c r="R61" i="7"/>
  <c r="R46" i="7"/>
  <c r="R75" i="7"/>
  <c r="R76" i="7"/>
  <c r="R8" i="7"/>
  <c r="R58" i="7"/>
  <c r="R65" i="7"/>
  <c r="R6" i="7"/>
  <c r="R15" i="7"/>
  <c r="R64" i="7"/>
  <c r="R11" i="7"/>
  <c r="R24" i="7"/>
  <c r="J26" i="7"/>
  <c r="J9" i="7"/>
  <c r="J10" i="7"/>
  <c r="J70" i="7"/>
  <c r="J48" i="7"/>
  <c r="J51" i="7"/>
  <c r="J24" i="7"/>
  <c r="J75" i="7"/>
  <c r="J67" i="7"/>
  <c r="M10" i="7"/>
  <c r="M31" i="7"/>
  <c r="M53" i="7"/>
  <c r="M36" i="7"/>
  <c r="M71" i="7"/>
  <c r="M77" i="7"/>
  <c r="M54" i="7"/>
  <c r="M67" i="7"/>
  <c r="M15" i="7"/>
  <c r="M52" i="7"/>
  <c r="M48" i="7"/>
  <c r="M28" i="7"/>
  <c r="M69" i="7"/>
  <c r="M34" i="7"/>
  <c r="M74" i="7"/>
  <c r="M24" i="7"/>
  <c r="M59" i="7"/>
  <c r="M45" i="7"/>
  <c r="M35" i="7"/>
  <c r="M56" i="7"/>
  <c r="M32" i="7"/>
  <c r="M60" i="7"/>
  <c r="M61" i="7"/>
  <c r="M33" i="7"/>
  <c r="M73" i="7"/>
  <c r="M20" i="7"/>
  <c r="M16" i="7"/>
  <c r="M7" i="7"/>
  <c r="M22" i="7"/>
  <c r="M50" i="7"/>
  <c r="M47" i="7"/>
  <c r="M57" i="7"/>
  <c r="M30" i="7"/>
  <c r="M38" i="7"/>
  <c r="M55" i="7"/>
  <c r="M40" i="7"/>
  <c r="M75" i="7"/>
  <c r="M27" i="7"/>
  <c r="M26" i="7"/>
  <c r="M25" i="7"/>
  <c r="M49" i="7"/>
  <c r="M41" i="7"/>
  <c r="M68" i="7"/>
  <c r="M23" i="7"/>
  <c r="M14" i="7"/>
  <c r="M37" i="7"/>
  <c r="M70" i="7"/>
  <c r="M18" i="7"/>
  <c r="M51" i="7"/>
  <c r="M11" i="7"/>
  <c r="M63" i="7"/>
  <c r="M39" i="7"/>
  <c r="M17" i="7"/>
  <c r="M6" i="7"/>
  <c r="M44" i="7"/>
  <c r="M76" i="7"/>
  <c r="M8" i="7"/>
  <c r="M9" i="7"/>
  <c r="M72" i="7"/>
  <c r="M42" i="7"/>
  <c r="M58" i="7"/>
  <c r="M43" i="7"/>
  <c r="M65" i="7"/>
  <c r="M13" i="7"/>
  <c r="M21" i="7"/>
  <c r="M66" i="7"/>
  <c r="M64" i="7"/>
  <c r="M62" i="7"/>
  <c r="M29" i="7"/>
  <c r="M19" i="7"/>
  <c r="M12" i="7"/>
  <c r="M46" i="7"/>
  <c r="S62" i="7"/>
  <c r="S25" i="7"/>
  <c r="S43" i="7"/>
  <c r="S14" i="7"/>
  <c r="S76" i="7"/>
  <c r="S17" i="7"/>
  <c r="S72" i="7"/>
  <c r="S67" i="7"/>
  <c r="S64" i="7"/>
  <c r="S74" i="7"/>
  <c r="S10" i="7"/>
  <c r="S57" i="7"/>
  <c r="S61" i="7"/>
  <c r="S50" i="7"/>
  <c r="S56" i="7"/>
  <c r="S22" i="7"/>
  <c r="S54" i="7"/>
  <c r="S11" i="7"/>
  <c r="S36" i="7"/>
  <c r="S73" i="7"/>
  <c r="S69" i="7"/>
  <c r="S33" i="7"/>
  <c r="S7" i="7"/>
  <c r="S52" i="7"/>
  <c r="S9" i="7"/>
  <c r="S34" i="7"/>
  <c r="S45" i="7"/>
  <c r="S59" i="7"/>
  <c r="S16" i="7"/>
  <c r="S40" i="7"/>
  <c r="S65" i="7"/>
  <c r="S21" i="7"/>
  <c r="S63" i="7"/>
  <c r="S60" i="7"/>
  <c r="S39" i="7"/>
  <c r="S37" i="7"/>
  <c r="S12" i="7"/>
  <c r="S58" i="7"/>
  <c r="S48" i="7"/>
  <c r="S31" i="7"/>
  <c r="S66" i="7"/>
  <c r="S41" i="7"/>
  <c r="S55" i="7"/>
  <c r="S18" i="7"/>
  <c r="S27" i="7"/>
  <c r="S19" i="7"/>
  <c r="S70" i="7"/>
  <c r="S28" i="7"/>
  <c r="S35" i="7"/>
  <c r="S77" i="7"/>
  <c r="S26" i="7"/>
  <c r="S13" i="7"/>
  <c r="S71" i="7"/>
  <c r="S42" i="7"/>
  <c r="S53" i="7"/>
  <c r="S23" i="7"/>
  <c r="S75" i="7"/>
  <c r="S49" i="7"/>
  <c r="S38" i="7"/>
  <c r="S24" i="7"/>
  <c r="S68" i="7"/>
  <c r="S46" i="7"/>
  <c r="S30" i="7"/>
  <c r="S51" i="7"/>
  <c r="S15" i="7"/>
  <c r="S20" i="7"/>
  <c r="S32" i="7"/>
  <c r="S8" i="7"/>
  <c r="S47" i="7"/>
  <c r="S29" i="7"/>
  <c r="S44" i="7"/>
  <c r="S6" i="7"/>
  <c r="Y65" i="7"/>
  <c r="Y21" i="7"/>
  <c r="Y9" i="7"/>
  <c r="Y46" i="7"/>
  <c r="Y63" i="7"/>
  <c r="Y14" i="7"/>
  <c r="Y47" i="7"/>
  <c r="Y68" i="7"/>
  <c r="Y61" i="7"/>
  <c r="Y73" i="7"/>
  <c r="Y66" i="7"/>
  <c r="Y44" i="7"/>
  <c r="Y16" i="7"/>
  <c r="Y11" i="7"/>
  <c r="Y59" i="7"/>
  <c r="Y20" i="7"/>
  <c r="Y30" i="7"/>
  <c r="Y23" i="7"/>
  <c r="Y7" i="7"/>
  <c r="Y37" i="7"/>
  <c r="Y55" i="7"/>
  <c r="Y12" i="7"/>
  <c r="Y19" i="7"/>
  <c r="Y18" i="7"/>
  <c r="Y60" i="7"/>
  <c r="Y17" i="7"/>
  <c r="Y54" i="7"/>
  <c r="Y70" i="7"/>
  <c r="Y53" i="7"/>
  <c r="Y62" i="7"/>
  <c r="Y31" i="7"/>
  <c r="Y76" i="7"/>
  <c r="Y64" i="7"/>
  <c r="Y74" i="7"/>
  <c r="Y8" i="7"/>
  <c r="Y40" i="7"/>
  <c r="Y36" i="7"/>
  <c r="Y10" i="7"/>
  <c r="Y41" i="7"/>
  <c r="Y45" i="7"/>
  <c r="Y26" i="7"/>
  <c r="Y24" i="7"/>
  <c r="Y43" i="7"/>
  <c r="Y49" i="7"/>
  <c r="Y28" i="7"/>
  <c r="Y32" i="7"/>
  <c r="Y15" i="7"/>
  <c r="Y39" i="7"/>
  <c r="Y67" i="7"/>
  <c r="Y25" i="7"/>
  <c r="Y13" i="7"/>
  <c r="Y51" i="7"/>
  <c r="Y48" i="7"/>
  <c r="Y22" i="7"/>
  <c r="Y77" i="7"/>
  <c r="Y38" i="7"/>
  <c r="Y29" i="7"/>
  <c r="Y72" i="7"/>
  <c r="Y33" i="7"/>
  <c r="Y50" i="7"/>
  <c r="Y56" i="7"/>
  <c r="Y42" i="7"/>
  <c r="Y69" i="7"/>
  <c r="Y52" i="7"/>
  <c r="Y6" i="7"/>
  <c r="Y58" i="7"/>
  <c r="Y71" i="7"/>
  <c r="Y34" i="7"/>
  <c r="Y57" i="7"/>
  <c r="Y27" i="7"/>
  <c r="Y35" i="7"/>
  <c r="Y75" i="7"/>
  <c r="P68" i="7"/>
  <c r="P38" i="7"/>
  <c r="P40" i="7"/>
  <c r="P72" i="7"/>
  <c r="P66" i="7"/>
  <c r="P58" i="7"/>
  <c r="P41" i="7"/>
  <c r="P49" i="7"/>
  <c r="P35" i="7"/>
  <c r="P51" i="7"/>
  <c r="P48" i="7"/>
  <c r="P56" i="7"/>
  <c r="P52" i="7"/>
  <c r="P16" i="7"/>
  <c r="P64" i="7"/>
  <c r="P26" i="7"/>
  <c r="P12" i="7"/>
  <c r="P24" i="7"/>
  <c r="P50" i="7"/>
  <c r="P47" i="7"/>
  <c r="P62" i="7"/>
  <c r="P30" i="7"/>
  <c r="P10" i="7"/>
  <c r="P67" i="7"/>
  <c r="P25" i="7"/>
  <c r="P14" i="7"/>
  <c r="P23" i="7"/>
  <c r="P27" i="7"/>
  <c r="P29" i="7"/>
  <c r="P31" i="7"/>
  <c r="P63" i="7"/>
  <c r="P7" i="7"/>
  <c r="P69" i="7"/>
  <c r="P45" i="7"/>
  <c r="P39" i="7"/>
  <c r="P44" i="7"/>
  <c r="P15" i="7"/>
  <c r="P42" i="7"/>
  <c r="P17" i="7"/>
  <c r="P57" i="7"/>
  <c r="P18" i="7"/>
  <c r="P20" i="7"/>
  <c r="P53" i="7"/>
  <c r="P28" i="7"/>
  <c r="P46" i="7"/>
  <c r="P8" i="7"/>
  <c r="P77" i="7"/>
  <c r="P34" i="7"/>
  <c r="P21" i="7"/>
  <c r="P60" i="7"/>
  <c r="P36" i="7"/>
  <c r="P74" i="7"/>
  <c r="P70" i="7"/>
  <c r="P33" i="7"/>
  <c r="P43" i="7"/>
  <c r="P19" i="7"/>
  <c r="P37" i="7"/>
  <c r="P9" i="7"/>
  <c r="P32" i="7"/>
  <c r="P54" i="7"/>
  <c r="P76" i="7"/>
  <c r="P55" i="7"/>
  <c r="P61" i="7"/>
  <c r="P13" i="7"/>
  <c r="P11" i="7"/>
  <c r="P73" i="7"/>
  <c r="P75" i="7"/>
  <c r="P71" i="7"/>
  <c r="P65" i="7"/>
  <c r="P22" i="7"/>
  <c r="P59" i="7"/>
  <c r="P6" i="7"/>
  <c r="J58" i="7"/>
  <c r="J74" i="7"/>
  <c r="J71" i="7"/>
  <c r="J50" i="7"/>
  <c r="J23" i="7"/>
  <c r="J18" i="7"/>
  <c r="J31" i="7"/>
  <c r="J69" i="7"/>
  <c r="J42" i="7"/>
  <c r="Q58" i="7"/>
  <c r="Q66" i="7"/>
  <c r="Q12" i="7"/>
  <c r="Q47" i="7"/>
  <c r="Q21" i="7"/>
  <c r="Q53" i="7"/>
  <c r="Q75" i="7"/>
  <c r="Q18" i="7"/>
  <c r="Q34" i="7"/>
  <c r="Q31" i="7"/>
  <c r="Q63" i="7"/>
  <c r="Q26" i="7"/>
  <c r="Q77" i="7"/>
  <c r="Q10" i="7"/>
  <c r="Q32" i="7"/>
  <c r="Q9" i="7"/>
  <c r="Q15" i="7"/>
  <c r="Q67" i="7"/>
  <c r="Q8" i="7"/>
  <c r="Q60" i="7"/>
  <c r="Q42" i="7"/>
  <c r="Q51" i="7"/>
  <c r="Q36" i="7"/>
  <c r="Q25" i="7"/>
  <c r="Q33" i="7"/>
  <c r="Q11" i="7"/>
  <c r="Q16" i="7"/>
  <c r="Q52" i="7"/>
  <c r="Q64" i="7"/>
  <c r="Q44" i="7"/>
  <c r="Q43" i="7"/>
  <c r="Q27" i="7"/>
  <c r="Q35" i="7"/>
  <c r="Q45" i="7"/>
  <c r="Q24" i="7"/>
  <c r="Q14" i="7"/>
  <c r="Q74" i="7"/>
  <c r="Q20" i="7"/>
  <c r="Q62" i="7"/>
  <c r="Q13" i="7"/>
  <c r="Q17" i="7"/>
  <c r="Q54" i="7"/>
  <c r="Q39" i="7"/>
  <c r="Q7" i="7"/>
  <c r="Q55" i="7"/>
  <c r="Q49" i="7"/>
  <c r="Q70" i="7"/>
  <c r="Q59" i="7"/>
  <c r="Q46" i="7"/>
  <c r="Q22" i="7"/>
  <c r="Q69" i="7"/>
  <c r="Q72" i="7"/>
  <c r="Q30" i="7"/>
  <c r="Q68" i="7"/>
  <c r="Q37" i="7"/>
  <c r="Q71" i="7"/>
  <c r="Q50" i="7"/>
  <c r="Q56" i="7"/>
  <c r="Q41" i="7"/>
  <c r="Q38" i="7"/>
  <c r="Q28" i="7"/>
  <c r="Q57" i="7"/>
  <c r="Q19" i="7"/>
  <c r="Q61" i="7"/>
  <c r="Q73" i="7"/>
  <c r="Q48" i="7"/>
  <c r="Q40" i="7"/>
  <c r="Q29" i="7"/>
  <c r="Q76" i="7"/>
  <c r="Q23" i="7"/>
  <c r="Q65" i="7"/>
  <c r="Q6" i="7"/>
  <c r="AC65" i="7"/>
  <c r="AC62" i="7"/>
  <c r="AC60" i="7"/>
  <c r="AC10" i="7"/>
  <c r="AC21" i="7"/>
  <c r="AC31" i="7"/>
  <c r="AC57" i="7"/>
  <c r="AC72" i="7"/>
  <c r="AC53" i="7"/>
  <c r="AC28" i="7"/>
  <c r="AC14" i="7"/>
  <c r="AC56" i="7"/>
  <c r="AC24" i="7"/>
  <c r="AC49" i="7"/>
  <c r="AC71" i="7"/>
  <c r="AC54" i="7"/>
  <c r="AC35" i="7"/>
  <c r="AC44" i="7"/>
  <c r="AC64" i="7"/>
  <c r="AC32" i="7"/>
  <c r="AC73" i="7"/>
  <c r="AC26" i="7"/>
  <c r="AC66" i="7"/>
  <c r="AC22" i="7"/>
  <c r="AC42" i="7"/>
  <c r="AC45" i="7"/>
  <c r="AC76" i="7"/>
  <c r="AC74" i="7"/>
  <c r="AC37" i="7"/>
  <c r="AC43" i="7"/>
  <c r="AC11" i="7"/>
  <c r="AC36" i="7"/>
  <c r="AC20" i="7"/>
  <c r="AC47" i="7"/>
  <c r="AC40" i="7"/>
  <c r="AC12" i="7"/>
  <c r="AC7" i="7"/>
  <c r="AC19" i="7"/>
  <c r="AC9" i="7"/>
  <c r="AC8" i="7"/>
  <c r="AC50" i="7"/>
  <c r="AC27" i="7"/>
  <c r="AC67" i="7"/>
  <c r="AC51" i="7"/>
  <c r="AC41" i="7"/>
  <c r="AC59" i="7"/>
  <c r="AC69" i="7"/>
  <c r="AC58" i="7"/>
  <c r="AC70" i="7"/>
  <c r="AC13" i="7"/>
  <c r="AC63" i="7"/>
  <c r="AC29" i="7"/>
  <c r="AC46" i="7"/>
  <c r="AC75" i="7"/>
  <c r="AC55" i="7"/>
  <c r="AC48" i="7"/>
  <c r="AC18" i="7"/>
  <c r="AC17" i="7"/>
  <c r="AC52" i="7"/>
  <c r="AC33" i="7"/>
  <c r="AC61" i="7"/>
  <c r="AC23" i="7"/>
  <c r="AC25" i="7"/>
  <c r="AC39" i="7"/>
  <c r="AC30" i="7"/>
  <c r="AC15" i="7"/>
  <c r="AC34" i="7"/>
  <c r="AC77" i="7"/>
  <c r="AC68" i="7"/>
  <c r="AC16" i="7"/>
  <c r="AC38" i="7"/>
  <c r="AC6" i="7"/>
  <c r="J12" i="7"/>
  <c r="J57" i="7"/>
  <c r="J36" i="7"/>
  <c r="J32" i="7"/>
  <c r="J22" i="7"/>
  <c r="J76" i="7"/>
  <c r="J33" i="7"/>
  <c r="J28" i="7"/>
  <c r="J72" i="7"/>
  <c r="J25" i="7"/>
  <c r="C78" i="7"/>
  <c r="L69" i="7"/>
  <c r="L63" i="7"/>
  <c r="L15" i="7"/>
  <c r="L54" i="7"/>
  <c r="L39" i="7"/>
  <c r="L26" i="7"/>
  <c r="L60" i="7"/>
  <c r="L77" i="7"/>
  <c r="L29" i="7"/>
  <c r="L52" i="7"/>
  <c r="L67" i="7"/>
  <c r="L55" i="7"/>
  <c r="L58" i="7"/>
  <c r="L9" i="7"/>
  <c r="L38" i="7"/>
  <c r="L34" i="7"/>
  <c r="L43" i="7"/>
  <c r="L65" i="7"/>
  <c r="L16" i="7"/>
  <c r="L8" i="7"/>
  <c r="L45" i="7"/>
  <c r="L73" i="7"/>
  <c r="L28" i="7"/>
  <c r="L41" i="7"/>
  <c r="L61" i="7"/>
  <c r="L40" i="7"/>
  <c r="L37" i="7"/>
  <c r="L31" i="7"/>
  <c r="L62" i="7"/>
  <c r="L68" i="7"/>
  <c r="L13" i="7"/>
  <c r="L47" i="7"/>
  <c r="L25" i="7"/>
  <c r="L21" i="7"/>
  <c r="L14" i="7"/>
  <c r="L27" i="7"/>
  <c r="L50" i="7"/>
  <c r="L48" i="7"/>
  <c r="L75" i="7"/>
  <c r="L66" i="7"/>
  <c r="L64" i="7"/>
  <c r="L46" i="7"/>
  <c r="L56" i="7"/>
  <c r="L44" i="7"/>
  <c r="L53" i="7"/>
  <c r="L10" i="7"/>
  <c r="L35" i="7"/>
  <c r="L33" i="7"/>
  <c r="L23" i="7"/>
  <c r="L71" i="7"/>
  <c r="L17" i="7"/>
  <c r="L57" i="7"/>
  <c r="L49" i="7"/>
  <c r="L7" i="7"/>
  <c r="L24" i="7"/>
  <c r="L19" i="7"/>
  <c r="L12" i="7"/>
  <c r="L72" i="7"/>
  <c r="L11" i="7"/>
  <c r="L36" i="7"/>
  <c r="L18" i="7"/>
  <c r="L76" i="7"/>
  <c r="L30" i="7"/>
  <c r="L22" i="7"/>
  <c r="L51" i="7"/>
  <c r="L20" i="7"/>
  <c r="L6" i="7"/>
  <c r="L59" i="7"/>
  <c r="L70" i="7"/>
  <c r="L32" i="7"/>
  <c r="L74" i="7"/>
  <c r="L42" i="7"/>
  <c r="E78" i="3"/>
  <c r="E80" i="3"/>
  <c r="J73" i="7"/>
  <c r="J38" i="7"/>
  <c r="J8" i="7"/>
  <c r="J49" i="7"/>
  <c r="J11" i="7"/>
  <c r="J19" i="7"/>
  <c r="J66" i="7"/>
  <c r="J55" i="7"/>
  <c r="J77" i="7"/>
  <c r="V50" i="7"/>
  <c r="V58" i="7"/>
  <c r="V64" i="7"/>
  <c r="V29" i="7"/>
  <c r="V51" i="7"/>
  <c r="V38" i="7"/>
  <c r="V30" i="7"/>
  <c r="V34" i="7"/>
  <c r="V39" i="7"/>
  <c r="V46" i="7"/>
  <c r="V47" i="7"/>
  <c r="V69" i="7"/>
  <c r="V72" i="7"/>
  <c r="V19" i="7"/>
  <c r="V9" i="7"/>
  <c r="V52" i="7"/>
  <c r="V16" i="7"/>
  <c r="V24" i="7"/>
  <c r="V73" i="7"/>
  <c r="V43" i="7"/>
  <c r="V44" i="7"/>
  <c r="V75" i="7"/>
  <c r="V26" i="7"/>
  <c r="V68" i="7"/>
  <c r="V42" i="7"/>
  <c r="V20" i="7"/>
  <c r="V36" i="7"/>
  <c r="V15" i="7"/>
  <c r="V17" i="7"/>
  <c r="V32" i="7"/>
  <c r="V70" i="7"/>
  <c r="V12" i="7"/>
  <c r="V40" i="7"/>
  <c r="V60" i="7"/>
  <c r="V14" i="7"/>
  <c r="V37" i="7"/>
  <c r="V74" i="7"/>
  <c r="V77" i="7"/>
  <c r="V41" i="7"/>
  <c r="V54" i="7"/>
  <c r="V76" i="7"/>
  <c r="V8" i="7"/>
  <c r="V13" i="7"/>
  <c r="V67" i="7"/>
  <c r="V11" i="7"/>
  <c r="V31" i="7"/>
  <c r="V10" i="7"/>
  <c r="V6" i="7"/>
  <c r="V71" i="7"/>
  <c r="V28" i="7"/>
  <c r="V61" i="7"/>
  <c r="V7" i="7"/>
  <c r="V59" i="7"/>
  <c r="V33" i="7"/>
  <c r="V53" i="7"/>
  <c r="V62" i="7"/>
  <c r="V18" i="7"/>
  <c r="V63" i="7"/>
  <c r="V21" i="7"/>
  <c r="V49" i="7"/>
  <c r="V27" i="7"/>
  <c r="V45" i="7"/>
  <c r="V65" i="7"/>
  <c r="V57" i="7"/>
  <c r="V66" i="7"/>
  <c r="V55" i="7"/>
  <c r="V23" i="7"/>
  <c r="V48" i="7"/>
  <c r="V25" i="7"/>
  <c r="V22" i="7"/>
  <c r="V35" i="7"/>
  <c r="V56" i="7"/>
  <c r="N25" i="7"/>
  <c r="N57" i="7"/>
  <c r="N58" i="7"/>
  <c r="N27" i="7"/>
  <c r="N38" i="7"/>
  <c r="N34" i="7"/>
  <c r="N36" i="7"/>
  <c r="N41" i="7"/>
  <c r="N18" i="7"/>
  <c r="N22" i="7"/>
  <c r="N49" i="7"/>
  <c r="N72" i="7"/>
  <c r="N63" i="7"/>
  <c r="N62" i="7"/>
  <c r="N42" i="7"/>
  <c r="N60" i="7"/>
  <c r="N10" i="7"/>
  <c r="N76" i="7"/>
  <c r="N9" i="7"/>
  <c r="N43" i="7"/>
  <c r="N23" i="7"/>
  <c r="N8" i="7"/>
  <c r="N14" i="7"/>
  <c r="N28" i="7"/>
  <c r="N66" i="7"/>
  <c r="N30" i="7"/>
  <c r="N20" i="7"/>
  <c r="N48" i="7"/>
  <c r="N64" i="7"/>
  <c r="N45" i="7"/>
  <c r="N53" i="7"/>
  <c r="N39" i="7"/>
  <c r="N54" i="7"/>
  <c r="N40" i="7"/>
  <c r="N13" i="7"/>
  <c r="N74" i="7"/>
  <c r="N44" i="7"/>
  <c r="N26" i="7"/>
  <c r="N67" i="7"/>
  <c r="N52" i="7"/>
  <c r="N61" i="7"/>
  <c r="N59" i="7"/>
  <c r="N51" i="7"/>
  <c r="N15" i="7"/>
  <c r="N16" i="7"/>
  <c r="N24" i="7"/>
  <c r="N17" i="7"/>
  <c r="N12" i="7"/>
  <c r="N19" i="7"/>
  <c r="N32" i="7"/>
  <c r="N29" i="7"/>
  <c r="N33" i="7"/>
  <c r="N47" i="7"/>
  <c r="N70" i="7"/>
  <c r="N73" i="7"/>
  <c r="N75" i="7"/>
  <c r="N11" i="7"/>
  <c r="N7" i="7"/>
  <c r="N56" i="7"/>
  <c r="N55" i="7"/>
  <c r="N65" i="7"/>
  <c r="N21" i="7"/>
  <c r="N31" i="7"/>
  <c r="N46" i="7"/>
  <c r="N68" i="7"/>
  <c r="N69" i="7"/>
  <c r="N77" i="7"/>
  <c r="N35" i="7"/>
  <c r="N71" i="7"/>
  <c r="N37" i="7"/>
  <c r="N50" i="7"/>
  <c r="N6" i="7"/>
  <c r="J68" i="7"/>
  <c r="J29" i="7"/>
  <c r="J14" i="7"/>
  <c r="J40" i="7"/>
  <c r="J20" i="7"/>
  <c r="J64" i="7"/>
  <c r="J65" i="7"/>
  <c r="J34" i="7"/>
  <c r="J17" i="7"/>
  <c r="G78" i="7"/>
  <c r="I78" i="7"/>
  <c r="F78" i="7"/>
  <c r="E78" i="7"/>
  <c r="G40" i="5"/>
  <c r="B40" i="12"/>
  <c r="G25" i="5"/>
  <c r="B25" i="12"/>
  <c r="G73" i="5"/>
  <c r="B73" i="12"/>
  <c r="G48" i="5"/>
  <c r="B48" i="12"/>
  <c r="G15" i="5"/>
  <c r="B15" i="12"/>
  <c r="G58" i="5"/>
  <c r="B58" i="12"/>
  <c r="G33" i="5"/>
  <c r="B33" i="12"/>
  <c r="G12" i="5"/>
  <c r="B12" i="12"/>
  <c r="G18" i="5"/>
  <c r="B18" i="12"/>
  <c r="G35" i="5"/>
  <c r="B35" i="12"/>
  <c r="G69" i="5"/>
  <c r="B69" i="12"/>
  <c r="G57" i="5"/>
  <c r="B57" i="12"/>
  <c r="G44" i="5"/>
  <c r="B44" i="12"/>
  <c r="G17" i="5"/>
  <c r="B17" i="12"/>
  <c r="G66" i="5"/>
  <c r="B66" i="12"/>
  <c r="G38" i="5"/>
  <c r="B38" i="12"/>
  <c r="G8" i="5"/>
  <c r="B8" i="12"/>
  <c r="G23" i="5"/>
  <c r="B23" i="12"/>
  <c r="G43" i="5"/>
  <c r="B43" i="12"/>
  <c r="G9" i="5"/>
  <c r="B9" i="12"/>
  <c r="G19" i="5"/>
  <c r="B19" i="12"/>
  <c r="G49" i="5"/>
  <c r="B49" i="12"/>
  <c r="G16" i="5"/>
  <c r="B16" i="12"/>
  <c r="G77" i="5"/>
  <c r="B77" i="12"/>
  <c r="G75" i="5"/>
  <c r="B75" i="12"/>
  <c r="G26" i="5"/>
  <c r="B26" i="12"/>
  <c r="G70" i="5"/>
  <c r="B70" i="12"/>
  <c r="G62" i="5"/>
  <c r="B62" i="12"/>
  <c r="G27" i="5"/>
  <c r="B27" i="12"/>
  <c r="G59" i="5"/>
  <c r="B59" i="12"/>
  <c r="G60" i="5"/>
  <c r="B60" i="12"/>
  <c r="G32" i="5"/>
  <c r="B32" i="12"/>
  <c r="G65" i="5"/>
  <c r="B65" i="12"/>
  <c r="G24" i="5"/>
  <c r="B24" i="12"/>
  <c r="G13" i="5"/>
  <c r="B13" i="12"/>
  <c r="G47" i="5"/>
  <c r="B47" i="12"/>
  <c r="G51" i="5"/>
  <c r="B51" i="12"/>
  <c r="G50" i="5"/>
  <c r="B50" i="12"/>
  <c r="G76" i="5"/>
  <c r="B76" i="12"/>
  <c r="G52" i="5"/>
  <c r="B52" i="12"/>
  <c r="G28" i="5"/>
  <c r="B28" i="12"/>
  <c r="G46" i="5"/>
  <c r="B46" i="12"/>
  <c r="G64" i="5"/>
  <c r="B64" i="12"/>
  <c r="G31" i="5"/>
  <c r="B31" i="12"/>
  <c r="G53" i="5"/>
  <c r="B53" i="12"/>
  <c r="G11" i="5"/>
  <c r="B11" i="12"/>
  <c r="G21" i="5"/>
  <c r="B21" i="12"/>
  <c r="G55" i="5"/>
  <c r="B55" i="12"/>
  <c r="G36" i="5"/>
  <c r="B36" i="12"/>
  <c r="G72" i="5"/>
  <c r="B72" i="12"/>
  <c r="G20" i="5"/>
  <c r="B20" i="12"/>
  <c r="G14" i="5"/>
  <c r="B14" i="12"/>
  <c r="G71" i="5"/>
  <c r="B71" i="12"/>
  <c r="G7" i="5"/>
  <c r="B7" i="12"/>
  <c r="G39" i="5"/>
  <c r="B39" i="12"/>
  <c r="G41" i="5"/>
  <c r="B41" i="12"/>
  <c r="G67" i="5"/>
  <c r="B67" i="12"/>
  <c r="G63" i="5"/>
  <c r="B63" i="12"/>
  <c r="G42" i="5"/>
  <c r="B42" i="12"/>
  <c r="G10" i="5"/>
  <c r="B10" i="12"/>
  <c r="G45" i="5"/>
  <c r="B45" i="12"/>
  <c r="C78" i="5"/>
  <c r="AD62" i="7"/>
  <c r="AD74" i="7"/>
  <c r="AD20" i="7"/>
  <c r="T44" i="7"/>
  <c r="T31" i="7"/>
  <c r="AD10" i="7"/>
  <c r="AD77" i="7"/>
  <c r="AD32" i="7"/>
  <c r="AD19" i="7"/>
  <c r="AD7" i="7"/>
  <c r="AD37" i="7"/>
  <c r="AD21" i="7"/>
  <c r="T47" i="7"/>
  <c r="AD14" i="7"/>
  <c r="AD73" i="7"/>
  <c r="AC78" i="7"/>
  <c r="Q78" i="7"/>
  <c r="AD8" i="7"/>
  <c r="AD58" i="7"/>
  <c r="T54" i="7"/>
  <c r="AD18" i="7"/>
  <c r="AD76" i="7"/>
  <c r="T17" i="7"/>
  <c r="T56" i="7"/>
  <c r="T16" i="7"/>
  <c r="AD55" i="7"/>
  <c r="T36" i="7"/>
  <c r="T27" i="7"/>
  <c r="AD56" i="7"/>
  <c r="AD12" i="7"/>
  <c r="T20" i="7"/>
  <c r="AD60" i="7"/>
  <c r="T55" i="7"/>
  <c r="AD75" i="7"/>
  <c r="Y78" i="7"/>
  <c r="AD28" i="7"/>
  <c r="AD24" i="7"/>
  <c r="T41" i="7"/>
  <c r="T77" i="7"/>
  <c r="AD59" i="7"/>
  <c r="AD11" i="7"/>
  <c r="AD44" i="7"/>
  <c r="AD63" i="7"/>
  <c r="AD46" i="7"/>
  <c r="T8" i="7"/>
  <c r="AD49" i="7"/>
  <c r="AD43" i="7"/>
  <c r="P78" i="7"/>
  <c r="S78" i="7"/>
  <c r="Z78" i="7"/>
  <c r="AD50" i="7"/>
  <c r="T37" i="7"/>
  <c r="N78" i="7"/>
  <c r="AD57" i="7"/>
  <c r="V78" i="7"/>
  <c r="AD6" i="7"/>
  <c r="AD54" i="7"/>
  <c r="AD68" i="7"/>
  <c r="AD52" i="7"/>
  <c r="AD34" i="7"/>
  <c r="T72" i="7"/>
  <c r="T71" i="7"/>
  <c r="T46" i="7"/>
  <c r="T21" i="7"/>
  <c r="T40" i="7"/>
  <c r="T65" i="7"/>
  <c r="T52" i="7"/>
  <c r="AF52" i="7"/>
  <c r="E52" i="12"/>
  <c r="T63" i="7"/>
  <c r="T57" i="7"/>
  <c r="AD42" i="7"/>
  <c r="AD35" i="7"/>
  <c r="AD65" i="7"/>
  <c r="AD53" i="7"/>
  <c r="AD41" i="7"/>
  <c r="AD70" i="7"/>
  <c r="AD26" i="7"/>
  <c r="AD9" i="7"/>
  <c r="AD30" i="7"/>
  <c r="T51" i="7"/>
  <c r="T12" i="7"/>
  <c r="T23" i="7"/>
  <c r="T64" i="7"/>
  <c r="T25" i="7"/>
  <c r="T61" i="7"/>
  <c r="T43" i="7"/>
  <c r="T29" i="7"/>
  <c r="T69" i="7"/>
  <c r="M78" i="7"/>
  <c r="AB78" i="7"/>
  <c r="X78" i="7"/>
  <c r="AA78" i="7"/>
  <c r="W78" i="7"/>
  <c r="T19" i="7"/>
  <c r="T34" i="7"/>
  <c r="J78" i="7"/>
  <c r="T59" i="7"/>
  <c r="O78" i="7"/>
  <c r="AD40" i="7"/>
  <c r="AD39" i="7"/>
  <c r="L78" i="7"/>
  <c r="T6" i="7"/>
  <c r="T67" i="7"/>
  <c r="AD33" i="7"/>
  <c r="T42" i="7"/>
  <c r="AD25" i="7"/>
  <c r="AD27" i="7"/>
  <c r="AD17" i="7"/>
  <c r="AD72" i="7"/>
  <c r="AD51" i="7"/>
  <c r="T74" i="7"/>
  <c r="T30" i="7"/>
  <c r="T24" i="7"/>
  <c r="T35" i="7"/>
  <c r="T75" i="7"/>
  <c r="T13" i="7"/>
  <c r="T28" i="7"/>
  <c r="T38" i="7"/>
  <c r="T60" i="7"/>
  <c r="AD66" i="7"/>
  <c r="AD16" i="7"/>
  <c r="T11" i="7"/>
  <c r="T15" i="7"/>
  <c r="AD22" i="7"/>
  <c r="AD31" i="7"/>
  <c r="T22" i="7"/>
  <c r="T66" i="7"/>
  <c r="AD48" i="7"/>
  <c r="AD67" i="7"/>
  <c r="AD15" i="7"/>
  <c r="AD69" i="7"/>
  <c r="AD29" i="7"/>
  <c r="T32" i="7"/>
  <c r="T76" i="7"/>
  <c r="T7" i="7"/>
  <c r="T10" i="7"/>
  <c r="T48" i="7"/>
  <c r="T68" i="7"/>
  <c r="T73" i="7"/>
  <c r="T9" i="7"/>
  <c r="T26" i="7"/>
  <c r="R78" i="7"/>
  <c r="AD71" i="7"/>
  <c r="T14" i="7"/>
  <c r="AD45" i="7"/>
  <c r="AD38" i="7"/>
  <c r="T33" i="7"/>
  <c r="AD23" i="7"/>
  <c r="AD61" i="7"/>
  <c r="AD13" i="7"/>
  <c r="AD36" i="7"/>
  <c r="AD47" i="7"/>
  <c r="AD64" i="7"/>
  <c r="T70" i="7"/>
  <c r="T18" i="7"/>
  <c r="T49" i="7"/>
  <c r="T53" i="7"/>
  <c r="T50" i="7"/>
  <c r="T62" i="7"/>
  <c r="T45" i="7"/>
  <c r="T58" i="7"/>
  <c r="T39" i="7"/>
  <c r="AF77" i="7"/>
  <c r="E77" i="12"/>
  <c r="F77" i="12"/>
  <c r="F52" i="12"/>
  <c r="AF18" i="7"/>
  <c r="E18" i="12"/>
  <c r="AF24" i="7"/>
  <c r="E24" i="12"/>
  <c r="G78" i="5"/>
  <c r="B6" i="12"/>
  <c r="AF14" i="7"/>
  <c r="E14" i="12"/>
  <c r="AF10" i="7"/>
  <c r="E10" i="12"/>
  <c r="AF47" i="7"/>
  <c r="E47" i="12"/>
  <c r="AF74" i="7"/>
  <c r="E74" i="12"/>
  <c r="AF31" i="7"/>
  <c r="E31" i="12"/>
  <c r="AF43" i="7"/>
  <c r="E43" i="12"/>
  <c r="AF76" i="7"/>
  <c r="E76" i="12"/>
  <c r="AF71" i="7"/>
  <c r="E71" i="12"/>
  <c r="AF62" i="7"/>
  <c r="E62" i="12"/>
  <c r="AF20" i="7"/>
  <c r="E20" i="12"/>
  <c r="AF21" i="7"/>
  <c r="E21" i="12"/>
  <c r="AF42" i="7"/>
  <c r="E42" i="12"/>
  <c r="AF56" i="7"/>
  <c r="E56" i="12"/>
  <c r="AF30" i="7"/>
  <c r="E30" i="12"/>
  <c r="AF9" i="7"/>
  <c r="E9" i="12"/>
  <c r="AF72" i="7"/>
  <c r="E72" i="12"/>
  <c r="AF12" i="7"/>
  <c r="E12" i="12"/>
  <c r="AF49" i="7"/>
  <c r="E49" i="12"/>
  <c r="AF15" i="7"/>
  <c r="E15" i="12"/>
  <c r="AF32" i="7"/>
  <c r="E32" i="12"/>
  <c r="AF44" i="7"/>
  <c r="E44" i="12"/>
  <c r="AF11" i="7"/>
  <c r="E11" i="12"/>
  <c r="AF19" i="7"/>
  <c r="E19" i="12"/>
  <c r="AF29" i="7"/>
  <c r="E29" i="12"/>
  <c r="AF7" i="7"/>
  <c r="E7" i="12"/>
  <c r="AF41" i="7"/>
  <c r="E41" i="12"/>
  <c r="AF53" i="7"/>
  <c r="E53" i="12"/>
  <c r="AF23" i="7"/>
  <c r="E23" i="12"/>
  <c r="AF40" i="7"/>
  <c r="E40" i="12"/>
  <c r="AF65" i="7"/>
  <c r="E65" i="12"/>
  <c r="AF50" i="7"/>
  <c r="E50" i="12"/>
  <c r="AF73" i="7"/>
  <c r="E73" i="12"/>
  <c r="AF39" i="7"/>
  <c r="E39" i="12"/>
  <c r="AF36" i="7"/>
  <c r="E36" i="12"/>
  <c r="AF58" i="7"/>
  <c r="E58" i="12"/>
  <c r="AF17" i="7"/>
  <c r="E17" i="12"/>
  <c r="AF63" i="7"/>
  <c r="E63" i="12"/>
  <c r="AF37" i="7"/>
  <c r="E37" i="12"/>
  <c r="AF57" i="7"/>
  <c r="E57" i="12"/>
  <c r="AF35" i="7"/>
  <c r="E35" i="12"/>
  <c r="AF67" i="7"/>
  <c r="E67" i="12"/>
  <c r="AF68" i="7"/>
  <c r="E68" i="12"/>
  <c r="AF75" i="7"/>
  <c r="E75" i="12"/>
  <c r="AF54" i="7"/>
  <c r="E54" i="12"/>
  <c r="AF28" i="7"/>
  <c r="E28" i="12"/>
  <c r="AF55" i="7"/>
  <c r="E55" i="12"/>
  <c r="AF38" i="7"/>
  <c r="E38" i="12"/>
  <c r="AF34" i="7"/>
  <c r="E34" i="12"/>
  <c r="AF46" i="7"/>
  <c r="E46" i="12"/>
  <c r="AF27" i="7"/>
  <c r="E27" i="12"/>
  <c r="AF70" i="7"/>
  <c r="E70" i="12"/>
  <c r="AF61" i="7"/>
  <c r="E61" i="12"/>
  <c r="AF8" i="7"/>
  <c r="E8" i="12"/>
  <c r="AF45" i="7"/>
  <c r="E45" i="12"/>
  <c r="AF33" i="7"/>
  <c r="E33" i="12"/>
  <c r="AF13" i="7"/>
  <c r="E13" i="12"/>
  <c r="AF64" i="7"/>
  <c r="E64" i="12"/>
  <c r="AF16" i="7"/>
  <c r="E16" i="12"/>
  <c r="AF48" i="7"/>
  <c r="E48" i="12"/>
  <c r="AF25" i="7"/>
  <c r="E25" i="12"/>
  <c r="AF69" i="7"/>
  <c r="E69" i="12"/>
  <c r="AF51" i="7"/>
  <c r="E51" i="12"/>
  <c r="AF66" i="7"/>
  <c r="E66" i="12"/>
  <c r="AF26" i="7"/>
  <c r="E26" i="12"/>
  <c r="AF22" i="7"/>
  <c r="E22" i="12"/>
  <c r="AF60" i="7"/>
  <c r="E60" i="12"/>
  <c r="AF59" i="7"/>
  <c r="E59" i="12"/>
  <c r="T78" i="7"/>
  <c r="AF6" i="7"/>
  <c r="AD78" i="7"/>
  <c r="F61" i="12"/>
  <c r="K61" i="12"/>
  <c r="M61" i="12"/>
  <c r="N61" i="12"/>
  <c r="F54" i="12"/>
  <c r="K54" i="12"/>
  <c r="M54" i="12"/>
  <c r="N54" i="12"/>
  <c r="F17" i="12"/>
  <c r="J17" i="12"/>
  <c r="F23" i="12"/>
  <c r="K23" i="12"/>
  <c r="M23" i="12"/>
  <c r="N23" i="12"/>
  <c r="F32" i="12"/>
  <c r="K32" i="12"/>
  <c r="M32" i="12"/>
  <c r="N32" i="12"/>
  <c r="F42" i="12"/>
  <c r="K42" i="12"/>
  <c r="M42" i="12"/>
  <c r="N42" i="12"/>
  <c r="F74" i="12"/>
  <c r="J74" i="12"/>
  <c r="K77" i="12"/>
  <c r="M77" i="12"/>
  <c r="N77" i="12"/>
  <c r="C77" i="13"/>
  <c r="E77" i="13"/>
  <c r="F77" i="13"/>
  <c r="F75" i="12"/>
  <c r="F58" i="12"/>
  <c r="N58" i="12"/>
  <c r="F53" i="12"/>
  <c r="K53" i="12"/>
  <c r="M53" i="12"/>
  <c r="N53" i="12"/>
  <c r="F15" i="12"/>
  <c r="J15" i="12"/>
  <c r="F21" i="12"/>
  <c r="K21" i="12"/>
  <c r="M21" i="12"/>
  <c r="N21" i="12"/>
  <c r="F47" i="12"/>
  <c r="K47" i="12"/>
  <c r="M47" i="12"/>
  <c r="N47" i="12"/>
  <c r="K52" i="12"/>
  <c r="M52" i="12"/>
  <c r="N52" i="12"/>
  <c r="C52" i="13"/>
  <c r="E52" i="13"/>
  <c r="F52" i="13"/>
  <c r="F25" i="12"/>
  <c r="F16" i="12"/>
  <c r="J16" i="12"/>
  <c r="F27" i="12"/>
  <c r="K27" i="12"/>
  <c r="M27" i="12"/>
  <c r="N27" i="12"/>
  <c r="F68" i="12"/>
  <c r="N68" i="12"/>
  <c r="F36" i="12"/>
  <c r="K36" i="12"/>
  <c r="M36" i="12"/>
  <c r="N36" i="12"/>
  <c r="F41" i="12"/>
  <c r="F49" i="12"/>
  <c r="J49" i="12"/>
  <c r="F20" i="12"/>
  <c r="K20" i="12"/>
  <c r="M20" i="12"/>
  <c r="N20" i="12"/>
  <c r="F10" i="12"/>
  <c r="J10" i="12"/>
  <c r="F22" i="12"/>
  <c r="K22" i="12"/>
  <c r="M22" i="12"/>
  <c r="N22" i="12"/>
  <c r="F64" i="12"/>
  <c r="K64" i="12"/>
  <c r="M64" i="12"/>
  <c r="N64" i="12"/>
  <c r="F46" i="12"/>
  <c r="J46" i="12"/>
  <c r="F67" i="12"/>
  <c r="J67" i="12"/>
  <c r="F39" i="12"/>
  <c r="K39" i="12"/>
  <c r="M39" i="12"/>
  <c r="N39" i="12"/>
  <c r="F7" i="12"/>
  <c r="F12" i="12"/>
  <c r="F62" i="12"/>
  <c r="K62" i="12"/>
  <c r="M62" i="12"/>
  <c r="N62" i="12"/>
  <c r="F14" i="12"/>
  <c r="J14" i="12"/>
  <c r="F70" i="12"/>
  <c r="K70" i="12"/>
  <c r="M70" i="12"/>
  <c r="N70" i="12"/>
  <c r="F13" i="12"/>
  <c r="K13" i="12"/>
  <c r="M13" i="12"/>
  <c r="N13" i="12"/>
  <c r="F34" i="12"/>
  <c r="F35" i="12"/>
  <c r="J35" i="12"/>
  <c r="F73" i="12"/>
  <c r="J73" i="12"/>
  <c r="F29" i="12"/>
  <c r="F72" i="12"/>
  <c r="K72" i="12"/>
  <c r="M72" i="12"/>
  <c r="N72" i="12"/>
  <c r="F71" i="12"/>
  <c r="K71" i="12"/>
  <c r="M71" i="12"/>
  <c r="N71" i="12"/>
  <c r="B78" i="12"/>
  <c r="F48" i="12"/>
  <c r="K48" i="12"/>
  <c r="M48" i="12"/>
  <c r="N48" i="12"/>
  <c r="F33" i="12"/>
  <c r="F38" i="12"/>
  <c r="J38" i="12"/>
  <c r="F57" i="12"/>
  <c r="F50" i="12"/>
  <c r="F19" i="12"/>
  <c r="J19" i="12"/>
  <c r="F9" i="12"/>
  <c r="J9" i="12"/>
  <c r="F76" i="12"/>
  <c r="K76" i="12"/>
  <c r="M76" i="12"/>
  <c r="N76" i="12"/>
  <c r="F59" i="12"/>
  <c r="F60" i="12"/>
  <c r="F26" i="12"/>
  <c r="K26" i="12"/>
  <c r="M26" i="12"/>
  <c r="N26" i="12"/>
  <c r="F66" i="12"/>
  <c r="J66" i="12"/>
  <c r="F51" i="12"/>
  <c r="K51" i="12"/>
  <c r="M51" i="12"/>
  <c r="N51" i="12"/>
  <c r="F45" i="12"/>
  <c r="J45" i="12"/>
  <c r="F55" i="12"/>
  <c r="F37" i="12"/>
  <c r="N37" i="12"/>
  <c r="F65" i="12"/>
  <c r="J65" i="12"/>
  <c r="F11" i="12"/>
  <c r="K11" i="12"/>
  <c r="M11" i="12"/>
  <c r="N11" i="12"/>
  <c r="F30" i="12"/>
  <c r="K30" i="12"/>
  <c r="M30" i="12"/>
  <c r="N30" i="12"/>
  <c r="F43" i="12"/>
  <c r="K43" i="12"/>
  <c r="M43" i="12"/>
  <c r="N43" i="12"/>
  <c r="F24" i="12"/>
  <c r="F69" i="12"/>
  <c r="F8" i="12"/>
  <c r="K8" i="12"/>
  <c r="M8" i="12"/>
  <c r="N8" i="12"/>
  <c r="F28" i="12"/>
  <c r="J28" i="12"/>
  <c r="F63" i="12"/>
  <c r="K63" i="12"/>
  <c r="M63" i="12"/>
  <c r="N63" i="12"/>
  <c r="F40" i="12"/>
  <c r="J40" i="12"/>
  <c r="F44" i="12"/>
  <c r="K44" i="12"/>
  <c r="M44" i="12"/>
  <c r="N44" i="12"/>
  <c r="F56" i="12"/>
  <c r="N56" i="12"/>
  <c r="F31" i="12"/>
  <c r="F18" i="12"/>
  <c r="J52" i="12"/>
  <c r="J77" i="12"/>
  <c r="AF78" i="7"/>
  <c r="E6" i="12"/>
  <c r="J58" i="12"/>
  <c r="J37" i="12"/>
  <c r="J68" i="12"/>
  <c r="O77" i="12"/>
  <c r="O52" i="12"/>
  <c r="J56" i="12"/>
  <c r="J34" i="12"/>
  <c r="K41" i="12"/>
  <c r="M41" i="12"/>
  <c r="N41" i="12"/>
  <c r="C41" i="13"/>
  <c r="E41" i="13"/>
  <c r="F41" i="13"/>
  <c r="J7" i="12"/>
  <c r="K34" i="12"/>
  <c r="J57" i="12"/>
  <c r="J75" i="12"/>
  <c r="K29" i="12"/>
  <c r="M29" i="12"/>
  <c r="N29" i="12"/>
  <c r="C29" i="13"/>
  <c r="E29" i="13"/>
  <c r="F29" i="13"/>
  <c r="K12" i="12"/>
  <c r="M12" i="12"/>
  <c r="N12" i="12"/>
  <c r="O12" i="12"/>
  <c r="J25" i="12"/>
  <c r="K55" i="12"/>
  <c r="M55" i="12"/>
  <c r="N55" i="12"/>
  <c r="O55" i="12"/>
  <c r="K33" i="12"/>
  <c r="M33" i="12"/>
  <c r="N33" i="12"/>
  <c r="C33" i="13"/>
  <c r="E33" i="13"/>
  <c r="F33" i="13"/>
  <c r="K50" i="12"/>
  <c r="M50" i="12"/>
  <c r="N50" i="12"/>
  <c r="K60" i="12"/>
  <c r="M60" i="12"/>
  <c r="N60" i="12"/>
  <c r="C60" i="13"/>
  <c r="E60" i="13"/>
  <c r="F60" i="13"/>
  <c r="J59" i="12"/>
  <c r="J69" i="12"/>
  <c r="N75" i="12"/>
  <c r="O75" i="12"/>
  <c r="K31" i="12"/>
  <c r="M31" i="12"/>
  <c r="N31" i="12"/>
  <c r="C31" i="13"/>
  <c r="E31" i="13"/>
  <c r="F31" i="13"/>
  <c r="O22" i="12"/>
  <c r="C30" i="13"/>
  <c r="E30" i="13"/>
  <c r="F30" i="13"/>
  <c r="C43" i="13"/>
  <c r="E43" i="13"/>
  <c r="F43" i="13"/>
  <c r="K56" i="12"/>
  <c r="J43" i="12"/>
  <c r="K66" i="12"/>
  <c r="M66" i="12"/>
  <c r="N66" i="12"/>
  <c r="K9" i="12"/>
  <c r="M9" i="12"/>
  <c r="N9" i="12"/>
  <c r="J71" i="12"/>
  <c r="K14" i="12"/>
  <c r="M14" i="12"/>
  <c r="N14" i="12"/>
  <c r="J22" i="12"/>
  <c r="K16" i="12"/>
  <c r="M16" i="12"/>
  <c r="N16" i="12"/>
  <c r="J47" i="12"/>
  <c r="J42" i="12"/>
  <c r="C13" i="13"/>
  <c r="E13" i="13"/>
  <c r="F13" i="13"/>
  <c r="O36" i="12"/>
  <c r="O62" i="12"/>
  <c r="K18" i="12"/>
  <c r="M18" i="12"/>
  <c r="N18" i="12"/>
  <c r="J63" i="12"/>
  <c r="K65" i="12"/>
  <c r="M65" i="12"/>
  <c r="N65" i="12"/>
  <c r="K59" i="12"/>
  <c r="M59" i="12"/>
  <c r="N59" i="12"/>
  <c r="K57" i="12"/>
  <c r="M57" i="12"/>
  <c r="N57" i="12"/>
  <c r="K73" i="12"/>
  <c r="M73" i="12"/>
  <c r="N73" i="12"/>
  <c r="K7" i="12"/>
  <c r="M7" i="12"/>
  <c r="N7" i="12"/>
  <c r="K49" i="12"/>
  <c r="M49" i="12"/>
  <c r="N49" i="12"/>
  <c r="J53" i="12"/>
  <c r="K17" i="12"/>
  <c r="M17" i="12"/>
  <c r="N17" i="12"/>
  <c r="O26" i="12"/>
  <c r="O54" i="12"/>
  <c r="C72" i="13"/>
  <c r="E72" i="13"/>
  <c r="F72" i="13"/>
  <c r="C47" i="13"/>
  <c r="E47" i="13"/>
  <c r="F47" i="13"/>
  <c r="J18" i="12"/>
  <c r="K69" i="12"/>
  <c r="M69" i="12"/>
  <c r="N69" i="12"/>
  <c r="O69" i="12"/>
  <c r="K45" i="12"/>
  <c r="M45" i="12"/>
  <c r="N45" i="12"/>
  <c r="J48" i="12"/>
  <c r="J13" i="12"/>
  <c r="K46" i="12"/>
  <c r="M46" i="12"/>
  <c r="N46" i="12"/>
  <c r="K68" i="12"/>
  <c r="O68" i="12"/>
  <c r="O56" i="12"/>
  <c r="J44" i="12"/>
  <c r="J30" i="12"/>
  <c r="J26" i="12"/>
  <c r="K19" i="12"/>
  <c r="M19" i="12"/>
  <c r="N19" i="12"/>
  <c r="J72" i="12"/>
  <c r="J62" i="12"/>
  <c r="K10" i="12"/>
  <c r="M10" i="12"/>
  <c r="N10" i="12"/>
  <c r="K25" i="12"/>
  <c r="M25" i="12"/>
  <c r="N25" i="12"/>
  <c r="O25" i="12"/>
  <c r="J21" i="12"/>
  <c r="J32" i="12"/>
  <c r="O23" i="12"/>
  <c r="O11" i="12"/>
  <c r="O71" i="12"/>
  <c r="K28" i="12"/>
  <c r="M28" i="12"/>
  <c r="N28" i="12"/>
  <c r="K37" i="12"/>
  <c r="K38" i="12"/>
  <c r="M38" i="12"/>
  <c r="N38" i="12"/>
  <c r="K35" i="12"/>
  <c r="M35" i="12"/>
  <c r="N35" i="12"/>
  <c r="J39" i="12"/>
  <c r="J41" i="12"/>
  <c r="K58" i="12"/>
  <c r="J54" i="12"/>
  <c r="O51" i="12"/>
  <c r="O8" i="12"/>
  <c r="O53" i="12"/>
  <c r="O44" i="12"/>
  <c r="O42" i="12"/>
  <c r="O76" i="12"/>
  <c r="J31" i="12"/>
  <c r="K24" i="12"/>
  <c r="M24" i="12"/>
  <c r="N24" i="12"/>
  <c r="J24" i="12"/>
  <c r="J51" i="12"/>
  <c r="J76" i="12"/>
  <c r="J70" i="12"/>
  <c r="J64" i="12"/>
  <c r="J27" i="12"/>
  <c r="K74" i="12"/>
  <c r="M74" i="12"/>
  <c r="N74" i="12"/>
  <c r="O64" i="12"/>
  <c r="O37" i="12"/>
  <c r="O39" i="12"/>
  <c r="O58" i="12"/>
  <c r="O63" i="12"/>
  <c r="C27" i="13"/>
  <c r="E27" i="13"/>
  <c r="F27" i="13"/>
  <c r="O32" i="12"/>
  <c r="C21" i="13"/>
  <c r="E21" i="13"/>
  <c r="F21" i="13"/>
  <c r="K40" i="12"/>
  <c r="M40" i="12"/>
  <c r="N40" i="12"/>
  <c r="J11" i="12"/>
  <c r="J60" i="12"/>
  <c r="J50" i="12"/>
  <c r="J29" i="12"/>
  <c r="J12" i="12"/>
  <c r="J20" i="12"/>
  <c r="K15" i="12"/>
  <c r="M15" i="12"/>
  <c r="N15" i="12"/>
  <c r="J23" i="12"/>
  <c r="O61" i="12"/>
  <c r="O70" i="12"/>
  <c r="C48" i="13"/>
  <c r="E48" i="13"/>
  <c r="F48" i="13"/>
  <c r="O20" i="12"/>
  <c r="J8" i="12"/>
  <c r="J55" i="12"/>
  <c r="J33" i="12"/>
  <c r="N34" i="12"/>
  <c r="K67" i="12"/>
  <c r="M67" i="12"/>
  <c r="N67" i="12"/>
  <c r="J36" i="12"/>
  <c r="K75" i="12"/>
  <c r="J61" i="12"/>
  <c r="C76" i="13"/>
  <c r="E76" i="13"/>
  <c r="F76" i="13"/>
  <c r="O47" i="12"/>
  <c r="O43" i="12"/>
  <c r="C62" i="13"/>
  <c r="E62" i="13"/>
  <c r="F62" i="13"/>
  <c r="C56" i="13"/>
  <c r="E56" i="13"/>
  <c r="F56" i="13"/>
  <c r="C71" i="13"/>
  <c r="E71" i="13"/>
  <c r="F71" i="13"/>
  <c r="O21" i="12"/>
  <c r="C42" i="13"/>
  <c r="E42" i="13"/>
  <c r="F42" i="13"/>
  <c r="O30" i="12"/>
  <c r="C20" i="13"/>
  <c r="E20" i="13"/>
  <c r="F20" i="13"/>
  <c r="O72" i="12"/>
  <c r="C32" i="13"/>
  <c r="E32" i="13"/>
  <c r="F32" i="13"/>
  <c r="C11" i="13"/>
  <c r="E11" i="13"/>
  <c r="F11" i="13"/>
  <c r="C44" i="13"/>
  <c r="E44" i="13"/>
  <c r="F44" i="13"/>
  <c r="O48" i="12"/>
  <c r="C23" i="13"/>
  <c r="E23" i="13"/>
  <c r="F23" i="13"/>
  <c r="C53" i="13"/>
  <c r="E53" i="13"/>
  <c r="F53" i="13"/>
  <c r="C54" i="13"/>
  <c r="E54" i="13"/>
  <c r="F54" i="13"/>
  <c r="O27" i="12"/>
  <c r="C36" i="13"/>
  <c r="E36" i="13"/>
  <c r="F36" i="13"/>
  <c r="C39" i="13"/>
  <c r="E39" i="13"/>
  <c r="F39" i="13"/>
  <c r="C58" i="13"/>
  <c r="E58" i="13"/>
  <c r="F58" i="13"/>
  <c r="C63" i="13"/>
  <c r="E63" i="13"/>
  <c r="F63" i="13"/>
  <c r="C8" i="13"/>
  <c r="E8" i="13"/>
  <c r="F8" i="13"/>
  <c r="C51" i="13"/>
  <c r="E51" i="13"/>
  <c r="F51" i="13"/>
  <c r="C70" i="13"/>
  <c r="E70" i="13"/>
  <c r="F70" i="13"/>
  <c r="C22" i="13"/>
  <c r="E22" i="13"/>
  <c r="F22" i="13"/>
  <c r="C26" i="13"/>
  <c r="E26" i="13"/>
  <c r="F26" i="13"/>
  <c r="C68" i="13"/>
  <c r="E68" i="13"/>
  <c r="F68" i="13"/>
  <c r="C37" i="13"/>
  <c r="E37" i="13"/>
  <c r="F37" i="13"/>
  <c r="C61" i="13"/>
  <c r="E61" i="13"/>
  <c r="F61" i="13"/>
  <c r="C64" i="13"/>
  <c r="E64" i="13"/>
  <c r="F64" i="13"/>
  <c r="O13" i="12"/>
  <c r="E78" i="12"/>
  <c r="F6" i="12"/>
  <c r="O29" i="12"/>
  <c r="C12" i="13"/>
  <c r="E12" i="13"/>
  <c r="F12" i="13"/>
  <c r="C55" i="13"/>
  <c r="E55" i="13"/>
  <c r="F55" i="13"/>
  <c r="C75" i="13"/>
  <c r="E75" i="13"/>
  <c r="F75" i="13"/>
  <c r="O60" i="12"/>
  <c r="C50" i="13"/>
  <c r="E50" i="13"/>
  <c r="F50" i="13"/>
  <c r="O50" i="12"/>
  <c r="O41" i="12"/>
  <c r="O31" i="12"/>
  <c r="O33" i="12"/>
  <c r="O49" i="12"/>
  <c r="C49" i="13"/>
  <c r="E49" i="13"/>
  <c r="F49" i="13"/>
  <c r="O73" i="12"/>
  <c r="C73" i="13"/>
  <c r="E73" i="13"/>
  <c r="F73" i="13"/>
  <c r="O15" i="12"/>
  <c r="C15" i="13"/>
  <c r="E15" i="13"/>
  <c r="F15" i="13"/>
  <c r="O35" i="12"/>
  <c r="C35" i="13"/>
  <c r="E35" i="13"/>
  <c r="F35" i="13"/>
  <c r="O46" i="12"/>
  <c r="C46" i="13"/>
  <c r="E46" i="13"/>
  <c r="F46" i="13"/>
  <c r="C65" i="13"/>
  <c r="E65" i="13"/>
  <c r="F65" i="13"/>
  <c r="O65" i="12"/>
  <c r="O67" i="12"/>
  <c r="C67" i="13"/>
  <c r="E67" i="13"/>
  <c r="F67" i="13"/>
  <c r="C25" i="13"/>
  <c r="E25" i="13"/>
  <c r="F25" i="13"/>
  <c r="O17" i="12"/>
  <c r="C17" i="13"/>
  <c r="E17" i="13"/>
  <c r="F17" i="13"/>
  <c r="C9" i="13"/>
  <c r="E9" i="13"/>
  <c r="F9" i="13"/>
  <c r="O9" i="12"/>
  <c r="C45" i="13"/>
  <c r="E45" i="13"/>
  <c r="F45" i="13"/>
  <c r="O45" i="12"/>
  <c r="O7" i="12"/>
  <c r="C7" i="13"/>
  <c r="E7" i="13"/>
  <c r="F7" i="13"/>
  <c r="O57" i="12"/>
  <c r="C57" i="13"/>
  <c r="E57" i="13"/>
  <c r="F57" i="13"/>
  <c r="O74" i="12"/>
  <c r="C74" i="13"/>
  <c r="E74" i="13"/>
  <c r="F74" i="13"/>
  <c r="C14" i="13"/>
  <c r="E14" i="13"/>
  <c r="F14" i="13"/>
  <c r="O14" i="12"/>
  <c r="O38" i="12"/>
  <c r="C38" i="13"/>
  <c r="E38" i="13"/>
  <c r="F38" i="13"/>
  <c r="C28" i="13"/>
  <c r="E28" i="13"/>
  <c r="F28" i="13"/>
  <c r="O28" i="12"/>
  <c r="O66" i="12"/>
  <c r="C66" i="13"/>
  <c r="E66" i="13"/>
  <c r="F66" i="13"/>
  <c r="C34" i="13"/>
  <c r="E34" i="13"/>
  <c r="F34" i="13"/>
  <c r="O34" i="12"/>
  <c r="C10" i="13"/>
  <c r="E10" i="13"/>
  <c r="F10" i="13"/>
  <c r="O10" i="12"/>
  <c r="C69" i="13"/>
  <c r="E69" i="13"/>
  <c r="F69" i="13"/>
  <c r="O59" i="12"/>
  <c r="C59" i="13"/>
  <c r="E59" i="13"/>
  <c r="F59" i="13"/>
  <c r="C18" i="13"/>
  <c r="E18" i="13"/>
  <c r="F18" i="13"/>
  <c r="O18" i="12"/>
  <c r="O16" i="12"/>
  <c r="C16" i="13"/>
  <c r="E16" i="13"/>
  <c r="F16" i="13"/>
  <c r="C40" i="13"/>
  <c r="E40" i="13"/>
  <c r="F40" i="13"/>
  <c r="O40" i="12"/>
  <c r="O24" i="12"/>
  <c r="C24" i="13"/>
  <c r="E24" i="13"/>
  <c r="F24" i="13"/>
  <c r="C19" i="13"/>
  <c r="E19" i="13"/>
  <c r="F19" i="13"/>
  <c r="O19" i="12"/>
  <c r="K6" i="12"/>
  <c r="J6" i="12"/>
  <c r="F78" i="12"/>
  <c r="K78" i="12"/>
  <c r="M6" i="12"/>
  <c r="M80" i="12"/>
  <c r="M78" i="12"/>
  <c r="H4" i="3"/>
  <c r="N6" i="12"/>
  <c r="O6" i="12"/>
  <c r="C6" i="13"/>
  <c r="E6" i="13"/>
  <c r="F6" i="13"/>
  <c r="N78" i="12"/>
  <c r="C78" i="13"/>
  <c r="E78" i="13"/>
  <c r="F78" i="13"/>
  <c r="O78" i="12"/>
  <c r="H3" i="3"/>
</calcChain>
</file>

<file path=xl/comments1.xml><?xml version="1.0" encoding="utf-8"?>
<comments xmlns="http://schemas.openxmlformats.org/spreadsheetml/2006/main">
  <authors>
    <author>tc={6C6AFC20-661A-4604-B2DB-38BB18B86525}</author>
  </authors>
  <commentList>
    <comment ref="E20" authorId="0" shapeId="0">
      <text>
        <r>
          <rPr>
            <sz val="11"/>
            <color theme="1"/>
            <rFont val="Calibri"/>
            <family val="2"/>
            <scheme val="minor"/>
          </rPr>
          <t>Comment:
    Set by trying to have C22 equal C23 without changing B3 or H3</t>
        </r>
      </text>
    </comment>
  </commentList>
</comments>
</file>

<file path=xl/sharedStrings.xml><?xml version="1.0" encoding="utf-8"?>
<sst xmlns="http://schemas.openxmlformats.org/spreadsheetml/2006/main" count="1469" uniqueCount="296">
  <si>
    <t>Base</t>
  </si>
  <si>
    <t>Supplemental</t>
  </si>
  <si>
    <t>Success</t>
  </si>
  <si>
    <t>COLA</t>
  </si>
  <si>
    <t>x</t>
  </si>
  <si>
    <t>Hold Harmless Amount for Non Basic Aid districts</t>
  </si>
  <si>
    <t>If Basic Aid, then By Formula</t>
  </si>
  <si>
    <t>2017-18 R1-February
Total Computational Revenue (TCR)</t>
  </si>
  <si>
    <t>District</t>
  </si>
  <si>
    <t>Points</t>
  </si>
  <si>
    <t>Total Points</t>
  </si>
  <si>
    <t>Total Dollars</t>
  </si>
  <si>
    <t>Supplemental Metrics</t>
  </si>
  <si>
    <t>(a)</t>
  </si>
  <si>
    <t>(b)</t>
  </si>
  <si>
    <t>(c) = (a) * (b)</t>
  </si>
  <si>
    <t>California Promise Grant Students</t>
  </si>
  <si>
    <t>Districts with Differential Rates</t>
  </si>
  <si>
    <t>Associate degree</t>
  </si>
  <si>
    <t>Associate degree for transfer</t>
  </si>
  <si>
    <t>Completion of 9 CTE units</t>
  </si>
  <si>
    <t>Transfer to 4-year institutions</t>
  </si>
  <si>
    <t>Completion of transfer-level math and English</t>
  </si>
  <si>
    <t>Foothill-De Anza</t>
  </si>
  <si>
    <t>Attainment of regional living wage</t>
  </si>
  <si>
    <t>Lake Tahoe</t>
  </si>
  <si>
    <t>Lassen</t>
  </si>
  <si>
    <t>Marin</t>
  </si>
  <si>
    <t>MiraCosta</t>
  </si>
  <si>
    <t>San Francisco</t>
  </si>
  <si>
    <t>San Jose-Evergreen</t>
  </si>
  <si>
    <t>Santa Monica</t>
  </si>
  <si>
    <t>South Orange</t>
  </si>
  <si>
    <t>West Kern</t>
  </si>
  <si>
    <t>Rates</t>
  </si>
  <si>
    <t>Base Allocation: 70%</t>
  </si>
  <si>
    <t>Supplemental Allocation: 20%</t>
  </si>
  <si>
    <t>Total Counts1</t>
  </si>
  <si>
    <t>Student Success Incentive Allocation: 10%</t>
  </si>
  <si>
    <t>Pell Grant</t>
  </si>
  <si>
    <t>AB 540</t>
  </si>
  <si>
    <t xml:space="preserve">Promise Grant </t>
  </si>
  <si>
    <t>Supplemental
Allocation
Total</t>
  </si>
  <si>
    <t>Allan Hancock</t>
  </si>
  <si>
    <t>Antelope</t>
  </si>
  <si>
    <t>Barstow</t>
  </si>
  <si>
    <t>Butte</t>
  </si>
  <si>
    <t>Cabrillo</t>
  </si>
  <si>
    <t>Cerritos</t>
  </si>
  <si>
    <t>Chabot-Las Positas</t>
  </si>
  <si>
    <t>Chaffey</t>
  </si>
  <si>
    <t>Citrus</t>
  </si>
  <si>
    <t>Coast</t>
  </si>
  <si>
    <t>Compton</t>
  </si>
  <si>
    <t>Contra Costa</t>
  </si>
  <si>
    <t>Copper Mountain</t>
  </si>
  <si>
    <t>Desert</t>
  </si>
  <si>
    <t>El Camino</t>
  </si>
  <si>
    <t>Feather River</t>
  </si>
  <si>
    <r>
      <t>Foothill-De Anza</t>
    </r>
    <r>
      <rPr>
        <vertAlign val="superscript"/>
        <sz val="11"/>
        <color theme="1"/>
        <rFont val="Calibri"/>
        <family val="2"/>
        <scheme val="minor"/>
      </rPr>
      <t>3</t>
    </r>
  </si>
  <si>
    <t>Gavilan</t>
  </si>
  <si>
    <t>Glendale</t>
  </si>
  <si>
    <t>Grossmont-Cuyamaca</t>
  </si>
  <si>
    <t>Hartnell</t>
  </si>
  <si>
    <t>Imperial</t>
  </si>
  <si>
    <t>Kern</t>
  </si>
  <si>
    <t>Long Beach</t>
  </si>
  <si>
    <t>Los Angeles</t>
  </si>
  <si>
    <t>Los Rios</t>
  </si>
  <si>
    <t>Mendocino</t>
  </si>
  <si>
    <t>Merced</t>
  </si>
  <si>
    <t>Monterey</t>
  </si>
  <si>
    <t>Mt. San Antonio</t>
  </si>
  <si>
    <t>Mt. San Jacinto</t>
  </si>
  <si>
    <t>Napa</t>
  </si>
  <si>
    <t>North Orange</t>
  </si>
  <si>
    <t>Ohlone</t>
  </si>
  <si>
    <t>Palo Verde</t>
  </si>
  <si>
    <t>Palomar</t>
  </si>
  <si>
    <t>Pasadena</t>
  </si>
  <si>
    <t>Peralta</t>
  </si>
  <si>
    <t>Rancho Santiago</t>
  </si>
  <si>
    <t>Redwoods</t>
  </si>
  <si>
    <t>Rio Hondo</t>
  </si>
  <si>
    <t>Riverside</t>
  </si>
  <si>
    <t>San Bernardino</t>
  </si>
  <si>
    <t>San Diego</t>
  </si>
  <si>
    <t>San Joaquin Delta</t>
  </si>
  <si>
    <t>San Jose</t>
  </si>
  <si>
    <t>San Luis Obispo</t>
  </si>
  <si>
    <t>San Mateo</t>
  </si>
  <si>
    <t>Santa Barbara</t>
  </si>
  <si>
    <t>Santa Clarita</t>
  </si>
  <si>
    <t>Sequoias</t>
  </si>
  <si>
    <t>Shasta Tehama</t>
  </si>
  <si>
    <t>Sierra</t>
  </si>
  <si>
    <t>Siskiyous</t>
  </si>
  <si>
    <t>Solano</t>
  </si>
  <si>
    <t>Sonoma</t>
  </si>
  <si>
    <t>South Orange County</t>
  </si>
  <si>
    <t>Southwestern</t>
  </si>
  <si>
    <t>State Center</t>
  </si>
  <si>
    <t>Ventura</t>
  </si>
  <si>
    <t>Victor Valley</t>
  </si>
  <si>
    <t>West Hills</t>
  </si>
  <si>
    <r>
      <t>West Valley-Mission</t>
    </r>
    <r>
      <rPr>
        <vertAlign val="superscript"/>
        <sz val="11"/>
        <color theme="1"/>
        <rFont val="Calibri"/>
        <family val="2"/>
        <scheme val="minor"/>
      </rPr>
      <t>2</t>
    </r>
  </si>
  <si>
    <t>Yosemite</t>
  </si>
  <si>
    <t>Yuba</t>
  </si>
  <si>
    <t>Statewide Total</t>
  </si>
  <si>
    <t>All Students</t>
  </si>
  <si>
    <t>Pell Grant Students Only</t>
  </si>
  <si>
    <t>Promise Grant Students Only</t>
  </si>
  <si>
    <t>Associate Degrees</t>
  </si>
  <si>
    <t>Associate Degrees for Transfer</t>
  </si>
  <si>
    <t>Credit Certificates</t>
  </si>
  <si>
    <t>Nine or More CTE Units</t>
  </si>
  <si>
    <t xml:space="preserve">Transfer </t>
  </si>
  <si>
    <t>Transfer Level Math and English</t>
  </si>
  <si>
    <t>Regional Living Wage</t>
  </si>
  <si>
    <t>All Students
Subtotal</t>
  </si>
  <si>
    <t>Pell Students
Subtotal</t>
  </si>
  <si>
    <t>Promise Grant Students
Subtotal</t>
  </si>
  <si>
    <t>Student Successs Allocation Total</t>
  </si>
  <si>
    <t>Basic Allocation</t>
  </si>
  <si>
    <t xml:space="preserve">Base FTES </t>
  </si>
  <si>
    <t xml:space="preserve">Credit </t>
  </si>
  <si>
    <t xml:space="preserve">Noncredit </t>
  </si>
  <si>
    <t>CDCP</t>
  </si>
  <si>
    <t>Credit</t>
  </si>
  <si>
    <t>2017-18</t>
  </si>
  <si>
    <t>Credit certificates requiring 16+ units</t>
  </si>
  <si>
    <t>BA</t>
  </si>
  <si>
    <t>Bachelor degree</t>
  </si>
  <si>
    <t>Dollars/outcome</t>
  </si>
  <si>
    <t>Dollars/Outcome</t>
  </si>
  <si>
    <t>Hold Harmless amount</t>
  </si>
  <si>
    <t>PELL</t>
  </si>
  <si>
    <t>CCPG</t>
  </si>
  <si>
    <t>Differential districts</t>
  </si>
  <si>
    <t>Counts</t>
  </si>
  <si>
    <t>3-yr avg Credit FTES</t>
  </si>
  <si>
    <t>Funding</t>
  </si>
  <si>
    <t>2017-18 
AB540 Headcount</t>
  </si>
  <si>
    <t>Total calculated</t>
  </si>
  <si>
    <t>Total per formula</t>
  </si>
  <si>
    <t>Total Base per formula</t>
  </si>
  <si>
    <t>Non differential districts credit FTES</t>
  </si>
  <si>
    <t>18-19</t>
  </si>
  <si>
    <t>Data Dictionary</t>
  </si>
  <si>
    <t>Credit Full-Time Equivalent Students (FTES)</t>
  </si>
  <si>
    <t>Three-year rolling average of funded FTES. Specifically, average equal to the sum of the annually funded credit FTES from the current year, the prior year, and the year prior to the prior year, all divided by three. Credit FTES for these purposes excludes FTES of special admit students and inmates in correctional facilities.</t>
  </si>
  <si>
    <t>Number of colleges and comprehensive centers in the community college district (with funding consistent with the basic allocation formula established by the Board of Governors as of the 2015-16 fiscal year).</t>
  </si>
  <si>
    <t>Special Admit Students FTES</t>
  </si>
  <si>
    <t>Funded FTES generated by students who meet the requirements of ECS 76002, 76003, and 76004</t>
  </si>
  <si>
    <t>Funded FTES generated by students who meet the requirements of ECS 84810.5(a).</t>
  </si>
  <si>
    <t>Pell Grant Recipients</t>
  </si>
  <si>
    <t>Headcount of all students in the prior year who were recipients of financial aid under the Federal Pell Grant program.</t>
  </si>
  <si>
    <t>AB 540 Students</t>
  </si>
  <si>
    <t>Headcount of all students in the prior year who were granted an exemption from nonresident tuition pursuant to ECS 68130.5.</t>
  </si>
  <si>
    <t>California College Promise Grant Recipients</t>
  </si>
  <si>
    <t>Headcount of all students in the prior year who were received a fee waiver pursuant to Section 76300.</t>
  </si>
  <si>
    <t>Count of all Chancellor's Office approved associate degrees granted (excluding associate degrees for transfer granted) based on prior year data.</t>
  </si>
  <si>
    <t>Baccalaureate Degrees</t>
  </si>
  <si>
    <t>Count of all Chancellor's Office approved baccalaureate degrees granted based on prior year data.</t>
  </si>
  <si>
    <t>Count of all Chancellor's Office approved associate degrees for transfer granted based on prior year data.</t>
  </si>
  <si>
    <t>Completion of Transfer-Level Mathematics and English</t>
  </si>
  <si>
    <t>Count of all first-time students who successfully completes both transfer-level mathematics and English courses within the same district within the first academic year (summer, fall, and spring) of enrollment based on prior year data.</t>
  </si>
  <si>
    <t>Successful Transfer to Four-Year University</t>
  </si>
  <si>
    <t xml:space="preserve">Completion of Nine CTE Units </t>
  </si>
  <si>
    <t>Count of all students who successfully completed nine or more career technical education (CTE) units within the same district based on prior year data. CTE courses are SAM A, B, C courses or all courses with a CTE TOP Code.</t>
  </si>
  <si>
    <t>Count of all students who obtained a regional living wage within one year of community college completion based on prior year data.</t>
  </si>
  <si>
    <t>Equity Component</t>
  </si>
  <si>
    <t>Outcomes for all students who received financial aid under the Federal Pell Grant program.</t>
  </si>
  <si>
    <t>Outcomes for all students who received a fee waiver pursuant to Section 76300.</t>
  </si>
  <si>
    <t>Current Law Definition</t>
  </si>
  <si>
    <t>No Change</t>
  </si>
  <si>
    <t>Students in Correctional Facilities FTES</t>
  </si>
  <si>
    <t>Noncredit FTES (excluding CDCP noncredit FTES).</t>
  </si>
  <si>
    <t>CDCP noncredit FTES</t>
  </si>
  <si>
    <t>Factor</t>
  </si>
  <si>
    <t>The funding rate is unchanged from current practice. For purposes of our estimates, we calculate growth from prior year FTES, adding any restoration that occurs.</t>
  </si>
  <si>
    <t>Count of all Chancellor's Office approved   credit certificates requiring 16 or more units granted based on prior year data.</t>
  </si>
  <si>
    <t>Count of all students who successfully transferred to a four-year university based on prior year data.</t>
  </si>
  <si>
    <t>Supplemental
Allocation
Total Counts</t>
  </si>
  <si>
    <t>Success Metrics</t>
  </si>
  <si>
    <t>17-18</t>
  </si>
  <si>
    <t>Base (Credit FTES)</t>
  </si>
  <si>
    <t>Pell Grant recipients</t>
  </si>
  <si>
    <t>California College Promise Grant recipients</t>
  </si>
  <si>
    <t>Rate per point for completions of Pell grant recipients and California Promise Grant recipients - 18-19</t>
  </si>
  <si>
    <t>Total Student Success Allocation</t>
  </si>
  <si>
    <t>Success for Pell Grant recipients and California Promise Grant recipients</t>
  </si>
  <si>
    <t xml:space="preserve">Supplemental Rate Per Point </t>
  </si>
  <si>
    <t>Success Rate per Point</t>
  </si>
  <si>
    <t>2019-20</t>
  </si>
  <si>
    <t>2019-20 Rates</t>
  </si>
  <si>
    <t xml:space="preserve">CCC Funding Formula Factors for 2019-20 70/20/10 </t>
  </si>
  <si>
    <t>19-20</t>
  </si>
  <si>
    <t>2019-20 TCR Calculated</t>
  </si>
  <si>
    <t>2019-20
Student Centered Funding Formula (SCFF)</t>
  </si>
  <si>
    <t>Annual % increase (change from 2018-19 TCR)</t>
  </si>
  <si>
    <t>Noncredit (Single year 2019-20)</t>
  </si>
  <si>
    <t>CDCP (Single year 2019-20)</t>
  </si>
  <si>
    <t>2018-19 Estimate</t>
  </si>
  <si>
    <t>2016-17</t>
  </si>
  <si>
    <t>Pell Grant Recipients
Totals</t>
  </si>
  <si>
    <t>2016-17 
AB540 Headcount</t>
  </si>
  <si>
    <t>California Promise Grant Recipients Totals</t>
  </si>
  <si>
    <t>AB540</t>
  </si>
  <si>
    <t>ADT</t>
  </si>
  <si>
    <t>AA/AS</t>
  </si>
  <si>
    <t>BA/BS</t>
  </si>
  <si>
    <t>Certificate</t>
  </si>
  <si>
    <r>
      <t>Foothill-De Anza</t>
    </r>
    <r>
      <rPr>
        <vertAlign val="superscript"/>
        <sz val="10"/>
        <color theme="1"/>
        <rFont val="Calibri"/>
        <family val="2"/>
        <scheme val="minor"/>
      </rPr>
      <t>3</t>
    </r>
  </si>
  <si>
    <r>
      <t>West Valley-Mission</t>
    </r>
    <r>
      <rPr>
        <vertAlign val="superscript"/>
        <sz val="10"/>
        <color theme="1"/>
        <rFont val="Calibri"/>
        <family val="2"/>
        <scheme val="minor"/>
      </rPr>
      <t>2</t>
    </r>
  </si>
  <si>
    <t>2017-18 Pell Grant</t>
  </si>
  <si>
    <t xml:space="preserve">2017-18 Promise Grant </t>
  </si>
  <si>
    <t>Estimated 2018-19 Pell Grant</t>
  </si>
  <si>
    <t>Estimated 2018-19 
AB540 Headcount</t>
  </si>
  <si>
    <t xml:space="preserve">Estimated 2018-19  Promise Grant </t>
  </si>
  <si>
    <t>COLA 19-20</t>
  </si>
  <si>
    <t># growth/decline</t>
  </si>
  <si>
    <t>2018-19 Projected</t>
  </si>
  <si>
    <t>2017-18 TCR plus 17-18 COLA</t>
  </si>
  <si>
    <t>Is 2019-20 TCR minimum larger than 2019-20 TCR Calculated?</t>
  </si>
  <si>
    <t>Basic Allocation DOF</t>
  </si>
  <si>
    <t xml:space="preserve">Special Admit Students and Students in Correctional Facilities Credit FTES </t>
  </si>
  <si>
    <t>Non-Credit CDCP FTES (Rate from DOF)</t>
  </si>
  <si>
    <t>Non-Credit FTES (Rate from DOF)</t>
  </si>
  <si>
    <t>Credit Special Admits and Students in Correctional Facilities FTES (Rates from DOF)</t>
  </si>
  <si>
    <t>RATES DOF</t>
  </si>
  <si>
    <t>2018-19 (2017-18 plus COLA)</t>
  </si>
  <si>
    <t>3 year average (2016-17, 2017-18, 2018-19 projected)</t>
  </si>
  <si>
    <t xml:space="preserve">Use a three year average of 2016-17, 2017-18, and 2018-19 (projected). </t>
  </si>
  <si>
    <t>2019-20 Minimum (2017-18 TCR Plus 17-18 COLA plus 18-19 COLA)</t>
  </si>
  <si>
    <t xml:space="preserve">2019-20
Student Centered Funding Formula (SCFF) </t>
  </si>
  <si>
    <t>Difference 2019-20 SCFF minus 2018-19 TCR P1</t>
  </si>
  <si>
    <t>Hold Harmless Calculated</t>
  </si>
  <si>
    <t>TCR 19-20 Calculated</t>
  </si>
  <si>
    <t>Total SCFF 2019-20</t>
  </si>
  <si>
    <t>Total SCFF Target for 19-20 (before Hold Harmless)</t>
  </si>
  <si>
    <t>Use a three year average of 2016-17, 2017-18, and 2018-19 (projected).  Count only the highest outcome a student attains of ADT, associate degree, baccalaureate degree, and credit certificate (16 units or greater).  Count the outcome only if a student took 9 or more units in the district in the academic year of the award.</t>
  </si>
  <si>
    <t>Use a three year average of 2016-17, 2017-18, and 2018-19 (projected). Count only the highest outcome a student attains of ADT, associate degree, baccalaureate degree, and credit certificate (16 units or greater).  Count the outcome only if a student took 9 or more units in the district in the academic year of the award.</t>
  </si>
  <si>
    <t>Base NonCredit and CDCP</t>
  </si>
  <si>
    <t>Base Allocation Total (70%)</t>
  </si>
  <si>
    <t>Base Allocation (70%)</t>
  </si>
  <si>
    <t>Base (Noncredit and CDCP)</t>
  </si>
  <si>
    <t>Supplemental Allocation (20%)</t>
  </si>
  <si>
    <t>Student Success Allocation (10%)</t>
  </si>
  <si>
    <t>The student has completed 12 or more semester units, or the equivalent, in the community college district in the year prior to the prior year and has an enrollment record in the prior prior year. Use a three year average of 2016-17, 2017-18, and 2018-19 (projected).</t>
  </si>
  <si>
    <t>(d) = (c) * B37</t>
  </si>
  <si>
    <t>(d) = (c) * B54</t>
  </si>
  <si>
    <t>(d) = (c) * B79</t>
  </si>
  <si>
    <t>2017-18 rate as % of regular 2018 rate</t>
  </si>
  <si>
    <t>Differential total $ credit FTES with 1920 rates</t>
  </si>
  <si>
    <t>Credit FTES Total (regular and differential)</t>
  </si>
  <si>
    <t>Credit FTES</t>
  </si>
  <si>
    <t>New Rate (2019-20 adjusted)</t>
  </si>
  <si>
    <t>Special Admit/Students in Correctional Facilities</t>
  </si>
  <si>
    <t>2019-20 Rate</t>
  </si>
  <si>
    <t>2017-18 per SCFF Statute</t>
  </si>
  <si>
    <t>2017-18 rate</t>
  </si>
  <si>
    <t>3-yr avg Special admit/Students in Correctional FTES</t>
  </si>
  <si>
    <t>Differential total $ special admit and students in correctional FTES with 1920 rates</t>
  </si>
  <si>
    <t>Special Admit students nondifferential</t>
  </si>
  <si>
    <t>Total differential and nondifferential</t>
  </si>
  <si>
    <t>FTES Noncredit Including growth FTES</t>
  </si>
  <si>
    <t>FTES CDCP including growth</t>
  </si>
  <si>
    <t>Special Admit
FTES</t>
  </si>
  <si>
    <t>2018-19</t>
  </si>
  <si>
    <t>FTES Data</t>
  </si>
  <si>
    <t>zzzTotals</t>
  </si>
  <si>
    <t>folder</t>
  </si>
  <si>
    <t>file</t>
  </si>
  <si>
    <t>tab</t>
  </si>
  <si>
    <t>column</t>
  </si>
  <si>
    <t>input date</t>
  </si>
  <si>
    <t>verification date</t>
  </si>
  <si>
    <t>notes</t>
  </si>
  <si>
    <t>notes - verification data</t>
  </si>
  <si>
    <t xml:space="preserve">2016-17
FTES </t>
  </si>
  <si>
    <t xml:space="preserve">Inmates in Correctional Facilities Education FTES </t>
  </si>
  <si>
    <t>Excluding Inmates and Special Admit</t>
  </si>
  <si>
    <t xml:space="preserve">2017-18
FTES </t>
  </si>
  <si>
    <t>Noncredit</t>
  </si>
  <si>
    <t>2019-20 Projected</t>
  </si>
  <si>
    <t>Projections use change between 1617 and1718 and change between 1718 and 1819 and weight the latter twice as much</t>
  </si>
  <si>
    <t xml:space="preserve">2018-19
FTES </t>
  </si>
  <si>
    <t>2019-20 Using Projections</t>
  </si>
  <si>
    <t>Special Admit Students and Students in Correctional Facilities Credit FTES (Single Year 2019-20)</t>
  </si>
  <si>
    <t>Credit FTES (Three year average 2017-18, 2018-19, projected 2019-20)</t>
  </si>
  <si>
    <t>Reported</t>
  </si>
  <si>
    <t>Reported Credit FTES</t>
  </si>
  <si>
    <t>Changes to Definition in this Simulation</t>
  </si>
  <si>
    <t>TCR 19-20 DOF Enacted</t>
  </si>
  <si>
    <t>Hold Harmless DOF Enacted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</si>
</sst>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quot;$&quot;#,##0"/>
    <numFmt numFmtId="168" formatCode="0.00000000000%"/>
    <numFmt numFmtId="169" formatCode="#,##0.0_);\(#,##0.0\)"/>
    <numFmt numFmtId="170" formatCode="[$-10409]#,##0;\(#,##0\)"/>
    <numFmt numFmtId="171" formatCode="&quot;$&quot;#,##0.00"/>
    <numFmt numFmtId="172" formatCode="_(* #,##0.0_);_(* \(#,##0.0\);_(* &quot;-&quot;??_);_(@_)"/>
    <numFmt numFmtId="173" formatCode="_(&quot;$&quot;* #,##0.000000_);_(&quot;$&quot;* \(#,##0.000000\);_(&quot;$&quot;* &quot;-&quot;??_);_(@_)"/>
    <numFmt numFmtId="174" formatCode="m/d/yy;@"/>
  </numFmts>
  <fonts count="31" x14ac:knownFonts="1">
    <font>
      <sz val="11"/>
      <color theme="1"/>
      <name val="Calibri"/>
      <family val="2"/>
      <scheme val="minor"/>
    </font>
    <font>
      <sz val="11"/>
      <color rgb="FF222222"/>
      <name val="Calibri"/>
      <family val="2"/>
      <scheme val="minor"/>
    </font>
    <font>
      <sz val="11"/>
      <color theme="1"/>
      <name val="Calibri"/>
      <family val="2"/>
      <scheme val="minor"/>
    </font>
    <font>
      <b/>
      <sz val="11"/>
      <color theme="1"/>
      <name val="Calibri"/>
      <family val="2"/>
      <scheme val="minor"/>
    </font>
    <font>
      <sz val="10"/>
      <name val="Arial"/>
      <family val="2"/>
    </font>
    <font>
      <sz val="11"/>
      <name val="Calibri"/>
      <family val="2"/>
      <scheme val="minor"/>
    </font>
    <font>
      <sz val="11"/>
      <color rgb="FF9C6500"/>
      <name val="Arial"/>
      <family val="2"/>
    </font>
    <font>
      <b/>
      <sz val="12"/>
      <color theme="1"/>
      <name val="Calibri"/>
      <family val="2"/>
      <scheme val="minor"/>
    </font>
    <font>
      <vertAlign val="superscript"/>
      <sz val="11"/>
      <color theme="1"/>
      <name val="Calibri"/>
      <family val="2"/>
      <scheme val="minor"/>
    </font>
    <font>
      <sz val="14"/>
      <color theme="1"/>
      <name val="Calibri"/>
      <family val="2"/>
      <scheme val="minor"/>
    </font>
    <font>
      <b/>
      <sz val="11"/>
      <name val="Calibri"/>
      <family val="2"/>
      <scheme val="minor"/>
    </font>
    <font>
      <b/>
      <sz val="12"/>
      <name val="Calibri"/>
      <family val="2"/>
      <scheme val="minor"/>
    </font>
    <font>
      <b/>
      <sz val="9"/>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
      <sz val="10"/>
      <name val="MS Sans Serif"/>
      <family val="2"/>
    </font>
    <font>
      <sz val="11"/>
      <color indexed="8"/>
      <name val="Calibri"/>
      <family val="2"/>
      <scheme val="minor"/>
    </font>
    <font>
      <sz val="10"/>
      <color theme="1"/>
      <name val="Calibri"/>
      <family val="2"/>
      <scheme val="minor"/>
    </font>
    <font>
      <b/>
      <sz val="10"/>
      <color theme="1"/>
      <name val="Calibri"/>
      <family val="2"/>
      <scheme val="minor"/>
    </font>
    <font>
      <sz val="10"/>
      <name val="Calibri"/>
      <family val="2"/>
      <scheme val="minor"/>
    </font>
    <font>
      <vertAlign val="superscript"/>
      <sz val="10"/>
      <color theme="1"/>
      <name val="Calibri"/>
      <family val="2"/>
      <scheme val="minor"/>
    </font>
    <font>
      <b/>
      <sz val="10"/>
      <name val="Calibri"/>
      <family val="2"/>
      <scheme val="minor"/>
    </font>
    <font>
      <sz val="10"/>
      <color theme="1"/>
      <name val="Arial"/>
      <family val="2"/>
    </font>
    <font>
      <sz val="10"/>
      <color theme="0"/>
      <name val="Arial"/>
      <family val="2"/>
    </font>
    <font>
      <b/>
      <sz val="11"/>
      <color theme="0"/>
      <name val="Calibri"/>
      <family val="2"/>
      <scheme val="minor"/>
    </font>
    <font>
      <sz val="11"/>
      <color theme="0"/>
      <name val="Calibri"/>
      <family val="2"/>
      <scheme val="minor"/>
    </font>
    <font>
      <b/>
      <sz val="11"/>
      <color rgb="FFFF0000"/>
      <name val="Calibri"/>
      <family val="2"/>
      <scheme val="minor"/>
    </font>
    <font>
      <i/>
      <sz val="11"/>
      <color theme="1"/>
      <name val="Calibri"/>
      <family val="2"/>
      <scheme val="minor"/>
    </font>
    <font>
      <i/>
      <sz val="11"/>
      <color rgb="FFFF0000"/>
      <name val="Calibri"/>
      <family val="2"/>
      <scheme val="minor"/>
    </font>
    <font>
      <b/>
      <sz val="11"/>
      <color indexed="8"/>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rgb="FF92D050"/>
        <bgColor indexed="64"/>
      </patternFill>
    </fill>
    <fill>
      <patternFill patternType="solid">
        <fgColor theme="9"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rgb="FF000000"/>
      </patternFill>
    </fill>
    <fill>
      <patternFill patternType="solid">
        <fgColor theme="9" tint="0.59999389629810485"/>
        <bgColor rgb="FF000000"/>
      </patternFill>
    </fill>
    <fill>
      <patternFill patternType="solid">
        <fgColor theme="0" tint="-0.14999847407452621"/>
        <bgColor rgb="FF000000"/>
      </patternFill>
    </fill>
    <fill>
      <patternFill patternType="solid">
        <fgColor theme="9" tint="0.59999389629810485"/>
        <bgColor indexed="64"/>
      </patternFill>
    </fill>
    <fill>
      <patternFill patternType="solid">
        <fgColor rgb="FF00B050"/>
        <bgColor indexed="64"/>
      </patternFill>
    </fill>
    <fill>
      <patternFill patternType="solid">
        <fgColor theme="9" tint="0.79998168889431442"/>
        <bgColor indexed="64"/>
      </patternFill>
    </fill>
    <fill>
      <patternFill patternType="solid">
        <fgColor rgb="FFCCFFCC"/>
        <bgColor indexed="64"/>
      </patternFill>
    </fill>
    <fill>
      <patternFill patternType="solid">
        <fgColor theme="1"/>
        <bgColor indexed="64"/>
      </patternFill>
    </fill>
    <fill>
      <patternFill patternType="solid">
        <fgColor theme="8" tint="0.79998168889431442"/>
        <bgColor indexed="64"/>
      </patternFill>
    </fill>
    <fill>
      <patternFill patternType="solid">
        <fgColor theme="2"/>
        <bgColor indexed="64"/>
      </patternFill>
    </fill>
  </fills>
  <borders count="36">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6795556505021"/>
      </right>
      <top style="thin">
        <color theme="0" tint="-0.14996795556505021"/>
      </top>
      <bottom/>
      <diagonal/>
    </border>
    <border>
      <left style="thin">
        <color theme="0" tint="-0.14993743705557422"/>
      </left>
      <right style="thin">
        <color theme="0" tint="-0.14996795556505021"/>
      </right>
      <top/>
      <bottom style="thin">
        <color theme="0" tint="-0.14996795556505021"/>
      </bottom>
      <diagonal/>
    </border>
    <border>
      <left/>
      <right style="thin">
        <color auto="1"/>
      </right>
      <top/>
      <bottom/>
      <diagonal/>
    </border>
    <border>
      <left/>
      <right/>
      <top/>
      <bottom style="thin">
        <color auto="1"/>
      </bottom>
      <diagonal/>
    </border>
    <border>
      <left/>
      <right style="thin">
        <color theme="0" tint="-0.14996795556505021"/>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1" tint="0.34998626667073579"/>
      </top>
      <bottom style="thin">
        <color theme="0" tint="-0.14996795556505021"/>
      </bottom>
      <diagonal/>
    </border>
    <border>
      <left style="thin">
        <color auto="1"/>
      </left>
      <right/>
      <top/>
      <bottom/>
      <diagonal/>
    </border>
    <border>
      <left/>
      <right/>
      <top style="thin">
        <color auto="1"/>
      </top>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auto="1"/>
      </left>
      <right style="thin">
        <color auto="1"/>
      </right>
      <top style="thin">
        <color auto="1"/>
      </top>
      <bottom style="thin">
        <color auto="1"/>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14993743705557422"/>
      </left>
      <right/>
      <top/>
      <bottom/>
      <diagonal/>
    </border>
    <border>
      <left style="thin">
        <color auto="1"/>
      </left>
      <right style="thin">
        <color auto="1"/>
      </right>
      <top style="thin">
        <color auto="1"/>
      </top>
      <bottom/>
      <diagonal/>
    </border>
    <border>
      <left style="thin">
        <color theme="0" tint="-0.14996795556505021"/>
      </left>
      <right style="thin">
        <color theme="0" tint="-0.14996795556505021"/>
      </right>
      <top style="thin">
        <color theme="0" tint="-0.14996795556505021"/>
      </top>
      <bottom style="thin">
        <color auto="1"/>
      </bottom>
      <diagonal/>
    </border>
    <border>
      <left style="thin">
        <color auto="1"/>
      </left>
      <right/>
      <top style="thin">
        <color auto="1"/>
      </top>
      <bottom style="thin">
        <color theme="0" tint="-0.14996795556505021"/>
      </bottom>
      <diagonal/>
    </border>
    <border>
      <left/>
      <right/>
      <top style="thin">
        <color auto="1"/>
      </top>
      <bottom style="thin">
        <color theme="0" tint="-0.14996795556505021"/>
      </bottom>
      <diagonal/>
    </border>
    <border>
      <left/>
      <right style="thin">
        <color auto="1"/>
      </right>
      <top style="thin">
        <color auto="1"/>
      </top>
      <bottom style="thin">
        <color theme="0" tint="-0.14996795556505021"/>
      </bottom>
      <diagonal/>
    </border>
    <border>
      <left style="thin">
        <color auto="1"/>
      </left>
      <right style="thin">
        <color auto="1"/>
      </right>
      <top style="thin">
        <color auto="1"/>
      </top>
      <bottom style="thin">
        <color theme="0" tint="-0.14996795556505021"/>
      </bottom>
      <diagonal/>
    </border>
    <border>
      <left/>
      <right/>
      <top/>
      <bottom style="thin">
        <color theme="0" tint="-0.14996795556505021"/>
      </bottom>
      <diagonal/>
    </border>
    <border>
      <left style="thin">
        <color auto="1"/>
      </left>
      <right style="thin">
        <color theme="0" tint="-0.14996795556505021"/>
      </right>
      <top style="thin">
        <color theme="0" tint="-0.14996795556505021"/>
      </top>
      <bottom style="thin">
        <color auto="1"/>
      </bottom>
      <diagonal/>
    </border>
    <border>
      <left style="thin">
        <color theme="0" tint="-0.14996795556505021"/>
      </left>
      <right style="thin">
        <color auto="1"/>
      </right>
      <top style="thin">
        <color theme="0" tint="-0.14996795556505021"/>
      </top>
      <bottom style="thin">
        <color auto="1"/>
      </bottom>
      <diagonal/>
    </border>
    <border>
      <left style="thin">
        <color auto="1"/>
      </left>
      <right style="thin">
        <color auto="1"/>
      </right>
      <top style="thin">
        <color theme="0" tint="-0.14996795556505021"/>
      </top>
      <bottom style="thin">
        <color auto="1"/>
      </bottom>
      <diagonal/>
    </border>
    <border>
      <left style="thin">
        <color auto="1"/>
      </left>
      <right/>
      <top style="thin">
        <color theme="0" tint="-0.14996795556505021"/>
      </top>
      <bottom style="thin">
        <color auto="1"/>
      </bottom>
      <diagonal/>
    </border>
    <border>
      <left/>
      <right/>
      <top style="thin">
        <color theme="0" tint="-0.14996795556505021"/>
      </top>
      <bottom/>
      <diagonal/>
    </border>
  </borders>
  <cellStyleXfs count="9">
    <xf numFmtId="0" fontId="0" fillId="0" borderId="0"/>
    <xf numFmtId="43" fontId="2" fillId="0" borderId="0" applyFont="0" applyFill="0" applyBorder="0" applyAlignment="0" applyProtection="0"/>
    <xf numFmtId="44" fontId="2" fillId="0" borderId="0" applyFont="0" applyFill="0" applyBorder="0" applyAlignment="0" applyProtection="0"/>
    <xf numFmtId="0" fontId="4" fillId="0" borderId="0"/>
    <xf numFmtId="0" fontId="6" fillId="3" borderId="0" applyNumberFormat="0" applyBorder="0" applyAlignment="0" applyProtection="0"/>
    <xf numFmtId="9" fontId="2" fillId="0" borderId="0" applyFont="0" applyFill="0" applyBorder="0" applyAlignment="0" applyProtection="0"/>
    <xf numFmtId="0" fontId="16" fillId="0" borderId="0"/>
    <xf numFmtId="43" fontId="23" fillId="0" borderId="0" applyFont="0" applyFill="0" applyBorder="0" applyAlignment="0" applyProtection="0"/>
    <xf numFmtId="0" fontId="16" fillId="0" borderId="0"/>
  </cellStyleXfs>
  <cellXfs count="319">
    <xf numFmtId="0" fontId="0" fillId="0" borderId="0" xfId="0"/>
    <xf numFmtId="164" fontId="0" fillId="4" borderId="0" xfId="0" applyNumberFormat="1" applyFill="1"/>
    <xf numFmtId="0" fontId="0" fillId="4" borderId="0" xfId="0" applyFill="1"/>
    <xf numFmtId="164" fontId="0" fillId="0" borderId="0" xfId="0" applyNumberFormat="1"/>
    <xf numFmtId="167" fontId="0" fillId="4" borderId="0" xfId="0" applyNumberFormat="1" applyFill="1"/>
    <xf numFmtId="166" fontId="0" fillId="0" borderId="0" xfId="1" applyNumberFormat="1" applyFont="1"/>
    <xf numFmtId="166" fontId="0" fillId="0" borderId="0" xfId="0" applyNumberFormat="1"/>
    <xf numFmtId="0" fontId="3" fillId="0" borderId="0" xfId="0" applyFont="1"/>
    <xf numFmtId="6" fontId="0" fillId="0" borderId="0" xfId="0" applyNumberFormat="1"/>
    <xf numFmtId="37" fontId="0" fillId="0" borderId="0" xfId="0" applyNumberFormat="1"/>
    <xf numFmtId="9" fontId="0" fillId="0" borderId="0" xfId="0" applyNumberFormat="1"/>
    <xf numFmtId="169" fontId="0" fillId="0" borderId="0" xfId="0" applyNumberFormat="1"/>
    <xf numFmtId="44" fontId="0" fillId="0" borderId="0" xfId="0" applyNumberFormat="1"/>
    <xf numFmtId="168" fontId="0" fillId="0" borderId="0" xfId="0" applyNumberFormat="1"/>
    <xf numFmtId="42" fontId="0" fillId="0" borderId="0" xfId="0" applyNumberFormat="1"/>
    <xf numFmtId="10" fontId="0" fillId="0" borderId="0" xfId="0" applyNumberFormat="1"/>
    <xf numFmtId="5" fontId="0" fillId="0" borderId="0" xfId="0" applyNumberFormat="1"/>
    <xf numFmtId="164" fontId="0" fillId="2" borderId="0" xfId="0" applyNumberFormat="1" applyFill="1"/>
    <xf numFmtId="0" fontId="0" fillId="2" borderId="0" xfId="0" applyFill="1"/>
    <xf numFmtId="164" fontId="3" fillId="2" borderId="0" xfId="0" applyNumberFormat="1" applyFont="1" applyFill="1"/>
    <xf numFmtId="0" fontId="7" fillId="2" borderId="0" xfId="0" applyFont="1" applyFill="1" applyAlignment="1">
      <alignment vertical="center"/>
    </xf>
    <xf numFmtId="0" fontId="0" fillId="5" borderId="1" xfId="0" applyFill="1" applyBorder="1" applyAlignment="1">
      <alignment horizontal="left" vertical="center"/>
    </xf>
    <xf numFmtId="0" fontId="3" fillId="5" borderId="1" xfId="0" applyFont="1" applyFill="1" applyBorder="1" applyAlignment="1">
      <alignment horizontal="center" vertical="center" wrapText="1"/>
    </xf>
    <xf numFmtId="0" fontId="0" fillId="0" borderId="1" xfId="0" applyBorder="1"/>
    <xf numFmtId="0" fontId="9" fillId="0" borderId="0" xfId="0" applyFont="1"/>
    <xf numFmtId="0" fontId="10" fillId="0" borderId="0" xfId="3" quotePrefix="1" applyFont="1" applyAlignment="1">
      <alignment vertical="center" wrapText="1"/>
    </xf>
    <xf numFmtId="0" fontId="11" fillId="0" borderId="3" xfId="3" quotePrefix="1" applyFont="1" applyBorder="1"/>
    <xf numFmtId="0" fontId="12" fillId="0" borderId="4" xfId="3" quotePrefix="1" applyFont="1" applyBorder="1"/>
    <xf numFmtId="0" fontId="12" fillId="0" borderId="5" xfId="3" quotePrefix="1" applyFont="1" applyBorder="1"/>
    <xf numFmtId="0" fontId="10" fillId="0" borderId="4" xfId="3" quotePrefix="1" applyFont="1" applyBorder="1" applyAlignment="1">
      <alignment vertical="center"/>
    </xf>
    <xf numFmtId="0" fontId="10" fillId="0" borderId="5" xfId="3" quotePrefix="1" applyFont="1" applyBorder="1" applyAlignment="1">
      <alignment vertical="center"/>
    </xf>
    <xf numFmtId="0" fontId="10" fillId="0" borderId="4" xfId="3" quotePrefix="1" applyFont="1" applyBorder="1"/>
    <xf numFmtId="0" fontId="10" fillId="0" borderId="5" xfId="3" quotePrefix="1" applyFont="1" applyBorder="1"/>
    <xf numFmtId="0" fontId="10" fillId="0" borderId="0" xfId="3" quotePrefix="1" applyFont="1"/>
    <xf numFmtId="0" fontId="0" fillId="5" borderId="1" xfId="0" applyFill="1" applyBorder="1" applyAlignment="1">
      <alignment horizontal="left" vertical="center" wrapText="1"/>
    </xf>
    <xf numFmtId="0" fontId="3" fillId="5" borderId="6" xfId="0" applyFont="1" applyFill="1" applyBorder="1" applyAlignment="1">
      <alignment horizontal="center" vertical="center" wrapText="1"/>
    </xf>
    <xf numFmtId="0" fontId="0" fillId="5" borderId="0" xfId="0" applyFill="1"/>
    <xf numFmtId="0" fontId="0" fillId="5" borderId="2" xfId="0" applyFill="1" applyBorder="1" applyAlignment="1">
      <alignment vertical="center"/>
    </xf>
    <xf numFmtId="0" fontId="0" fillId="5" borderId="1" xfId="0" applyFill="1" applyBorder="1" applyAlignment="1">
      <alignment horizontal="center" vertical="center" wrapText="1"/>
    </xf>
    <xf numFmtId="0" fontId="3" fillId="5" borderId="7" xfId="0" applyFont="1" applyFill="1" applyBorder="1" applyAlignment="1">
      <alignment horizontal="center" vertical="center" wrapText="1"/>
    </xf>
    <xf numFmtId="0" fontId="0" fillId="5" borderId="6" xfId="0" applyFill="1" applyBorder="1" applyAlignment="1">
      <alignment vertical="center"/>
    </xf>
    <xf numFmtId="0" fontId="0" fillId="5" borderId="6" xfId="0" applyFill="1" applyBorder="1" applyAlignment="1">
      <alignment horizontal="center" vertical="center" wrapText="1"/>
    </xf>
    <xf numFmtId="0" fontId="3" fillId="5" borderId="8" xfId="0" applyFont="1" applyFill="1" applyBorder="1" applyAlignment="1">
      <alignment horizontal="center" vertical="center" wrapText="1"/>
    </xf>
    <xf numFmtId="0" fontId="0" fillId="5" borderId="0" xfId="0" applyFill="1" applyAlignment="1">
      <alignment vertical="center"/>
    </xf>
    <xf numFmtId="0" fontId="0" fillId="5" borderId="0" xfId="0" applyFill="1" applyAlignment="1">
      <alignment wrapText="1"/>
    </xf>
    <xf numFmtId="167" fontId="0" fillId="0" borderId="0" xfId="0" applyNumberFormat="1"/>
    <xf numFmtId="0" fontId="0" fillId="5" borderId="0" xfId="0" applyFill="1" applyAlignment="1">
      <alignment horizontal="center" vertical="center" wrapText="1"/>
    </xf>
    <xf numFmtId="0" fontId="3" fillId="0" borderId="1" xfId="0" applyFont="1" applyBorder="1" applyAlignment="1">
      <alignment horizontal="right"/>
    </xf>
    <xf numFmtId="0" fontId="3" fillId="2" borderId="0" xfId="0" applyFont="1" applyFill="1"/>
    <xf numFmtId="165" fontId="0" fillId="0" borderId="0" xfId="0" applyNumberFormat="1"/>
    <xf numFmtId="166" fontId="2" fillId="0" borderId="1" xfId="2" applyNumberFormat="1" applyBorder="1" applyAlignment="1">
      <alignment horizontal="center" vertical="center"/>
    </xf>
    <xf numFmtId="0" fontId="0" fillId="0" borderId="9" xfId="0" applyBorder="1"/>
    <xf numFmtId="0" fontId="3" fillId="5" borderId="0" xfId="0" applyFont="1" applyFill="1" applyAlignment="1">
      <alignment horizontal="center" vertical="center" wrapText="1"/>
    </xf>
    <xf numFmtId="0" fontId="3" fillId="5" borderId="11" xfId="0" applyFont="1" applyFill="1" applyBorder="1" applyAlignment="1">
      <alignment horizontal="center" vertical="center" wrapText="1"/>
    </xf>
    <xf numFmtId="164" fontId="2" fillId="0" borderId="1" xfId="2" applyNumberFormat="1" applyBorder="1" applyAlignment="1">
      <alignment horizontal="center" vertical="center"/>
    </xf>
    <xf numFmtId="43" fontId="3" fillId="0" borderId="0" xfId="0" applyNumberFormat="1" applyFont="1"/>
    <xf numFmtId="166" fontId="3" fillId="0" borderId="0" xfId="0" applyNumberFormat="1" applyFont="1"/>
    <xf numFmtId="0" fontId="0" fillId="0" borderId="0" xfId="0" applyAlignment="1">
      <alignment horizontal="right"/>
    </xf>
    <xf numFmtId="167" fontId="0" fillId="2" borderId="0" xfId="0" applyNumberFormat="1" applyFill="1"/>
    <xf numFmtId="167" fontId="3" fillId="0" borderId="0" xfId="0" applyNumberFormat="1" applyFont="1"/>
    <xf numFmtId="167" fontId="3" fillId="2" borderId="0" xfId="0" applyNumberFormat="1" applyFont="1" applyFill="1"/>
    <xf numFmtId="0" fontId="3" fillId="8" borderId="12" xfId="0" applyFont="1" applyFill="1" applyBorder="1"/>
    <xf numFmtId="0" fontId="5" fillId="0" borderId="0" xfId="0" applyFont="1"/>
    <xf numFmtId="0" fontId="5" fillId="0" borderId="0" xfId="0" applyFont="1" applyAlignment="1">
      <alignment wrapText="1"/>
    </xf>
    <xf numFmtId="0" fontId="10" fillId="0" borderId="0" xfId="0" applyFont="1" applyAlignment="1">
      <alignment wrapText="1"/>
    </xf>
    <xf numFmtId="0" fontId="0" fillId="0" borderId="2" xfId="0" applyBorder="1" applyAlignment="1">
      <alignment vertical="center"/>
    </xf>
    <xf numFmtId="0" fontId="0" fillId="0" borderId="6" xfId="0" applyBorder="1" applyAlignment="1">
      <alignment vertical="center"/>
    </xf>
    <xf numFmtId="0" fontId="0" fillId="6" borderId="0" xfId="0" applyFill="1"/>
    <xf numFmtId="6" fontId="0" fillId="6" borderId="0" xfId="0" applyNumberFormat="1" applyFill="1"/>
    <xf numFmtId="0" fontId="3" fillId="0" borderId="0" xfId="0" applyFont="1" applyAlignment="1">
      <alignment wrapText="1"/>
    </xf>
    <xf numFmtId="44" fontId="0" fillId="0" borderId="1" xfId="2" applyFont="1" applyBorder="1"/>
    <xf numFmtId="0" fontId="0" fillId="0" borderId="0" xfId="0" applyAlignment="1">
      <alignment wrapText="1"/>
    </xf>
    <xf numFmtId="0" fontId="13" fillId="0" borderId="0" xfId="0" applyFont="1"/>
    <xf numFmtId="164" fontId="0" fillId="0" borderId="0" xfId="0" applyNumberFormat="1" applyFill="1"/>
    <xf numFmtId="44" fontId="0" fillId="4" borderId="0" xfId="0" applyNumberFormat="1" applyFill="1"/>
    <xf numFmtId="169" fontId="3" fillId="0" borderId="0" xfId="0" applyNumberFormat="1" applyFont="1"/>
    <xf numFmtId="44" fontId="3" fillId="0" borderId="0" xfId="0" applyNumberFormat="1" applyFont="1"/>
    <xf numFmtId="42" fontId="0" fillId="4" borderId="0" xfId="0" applyNumberFormat="1" applyFill="1"/>
    <xf numFmtId="167" fontId="3" fillId="4" borderId="0" xfId="0" applyNumberFormat="1" applyFont="1" applyFill="1"/>
    <xf numFmtId="0" fontId="0" fillId="0" borderId="0" xfId="0" applyFill="1" applyAlignment="1">
      <alignment wrapText="1"/>
    </xf>
    <xf numFmtId="0" fontId="0" fillId="0" borderId="0" xfId="0" applyFill="1"/>
    <xf numFmtId="0" fontId="14" fillId="0" borderId="0" xfId="0" applyFont="1" applyAlignment="1">
      <alignment horizontal="left" vertical="center"/>
    </xf>
    <xf numFmtId="0" fontId="15" fillId="0" borderId="0" xfId="0" applyFont="1" applyAlignment="1">
      <alignment horizontal="left" vertical="top" wrapText="1"/>
    </xf>
    <xf numFmtId="0" fontId="10" fillId="11" borderId="13"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1" fillId="0" borderId="13" xfId="0" applyFont="1" applyBorder="1" applyAlignment="1">
      <alignment vertical="top" wrapText="1"/>
    </xf>
    <xf numFmtId="0" fontId="15" fillId="0" borderId="13" xfId="0" applyFont="1" applyBorder="1" applyAlignment="1">
      <alignment horizontal="left" vertical="top" wrapText="1"/>
    </xf>
    <xf numFmtId="0" fontId="14" fillId="9" borderId="13" xfId="0" applyFont="1" applyFill="1" applyBorder="1" applyAlignment="1">
      <alignment horizontal="left"/>
    </xf>
    <xf numFmtId="0" fontId="0" fillId="0" borderId="0" xfId="0" applyFont="1" applyAlignment="1">
      <alignment horizontal="left" vertical="center"/>
    </xf>
    <xf numFmtId="0" fontId="0" fillId="8" borderId="0" xfId="0" applyFont="1" applyFill="1" applyAlignment="1">
      <alignment horizontal="center" vertical="center" wrapText="1"/>
    </xf>
    <xf numFmtId="0" fontId="0" fillId="12" borderId="13" xfId="0" applyFont="1" applyFill="1" applyBorder="1" applyAlignment="1">
      <alignment horizontal="left"/>
    </xf>
    <xf numFmtId="0" fontId="0" fillId="12" borderId="0" xfId="0" applyFont="1" applyFill="1" applyAlignment="1">
      <alignment horizontal="left"/>
    </xf>
    <xf numFmtId="0" fontId="0" fillId="0" borderId="13" xfId="0" applyFont="1" applyBorder="1" applyAlignment="1">
      <alignment horizontal="left" vertical="top" wrapText="1"/>
    </xf>
    <xf numFmtId="0" fontId="0" fillId="0" borderId="13" xfId="0" applyFont="1" applyBorder="1" applyAlignment="1">
      <alignment horizontal="left" vertical="top"/>
    </xf>
    <xf numFmtId="0" fontId="0" fillId="0" borderId="0" xfId="0" applyFont="1" applyAlignment="1">
      <alignment horizontal="left" vertical="top"/>
    </xf>
    <xf numFmtId="0" fontId="0" fillId="0" borderId="13" xfId="0" applyFont="1" applyBorder="1" applyAlignment="1">
      <alignment horizontal="left"/>
    </xf>
    <xf numFmtId="0" fontId="0" fillId="0" borderId="0" xfId="0" applyFont="1" applyAlignment="1">
      <alignment horizontal="left"/>
    </xf>
    <xf numFmtId="0" fontId="5" fillId="0" borderId="0" xfId="0" applyFont="1" applyFill="1" applyAlignment="1">
      <alignment vertical="center" wrapText="1" readingOrder="1"/>
    </xf>
    <xf numFmtId="0" fontId="5" fillId="0" borderId="13" xfId="0" applyFont="1" applyFill="1" applyBorder="1" applyAlignment="1">
      <alignment vertical="center" wrapText="1" readingOrder="1"/>
    </xf>
    <xf numFmtId="42" fontId="0" fillId="13" borderId="0" xfId="0" applyNumberFormat="1" applyFill="1"/>
    <xf numFmtId="171" fontId="0" fillId="0" borderId="0" xfId="0" applyNumberFormat="1"/>
    <xf numFmtId="172" fontId="0" fillId="0" borderId="0" xfId="1" applyNumberFormat="1" applyFont="1"/>
    <xf numFmtId="6" fontId="0" fillId="0" borderId="0" xfId="0" applyNumberFormat="1" applyFill="1"/>
    <xf numFmtId="6" fontId="0" fillId="0" borderId="0" xfId="0" applyNumberFormat="1" applyAlignment="1">
      <alignment wrapText="1"/>
    </xf>
    <xf numFmtId="5" fontId="0" fillId="4" borderId="0" xfId="0" applyNumberFormat="1" applyFill="1"/>
    <xf numFmtId="0" fontId="3" fillId="0" borderId="15" xfId="0" applyFont="1" applyFill="1" applyBorder="1"/>
    <xf numFmtId="0" fontId="0" fillId="0" borderId="15" xfId="0" applyFill="1" applyBorder="1"/>
    <xf numFmtId="44" fontId="0" fillId="0" borderId="0" xfId="0" applyNumberFormat="1" applyFill="1"/>
    <xf numFmtId="166" fontId="0" fillId="15" borderId="0" xfId="1" applyNumberFormat="1" applyFont="1" applyFill="1"/>
    <xf numFmtId="0" fontId="5" fillId="0" borderId="0" xfId="3" quotePrefix="1" applyFont="1" applyFill="1" applyBorder="1" applyAlignment="1">
      <alignment horizontal="center" vertical="center" wrapText="1"/>
    </xf>
    <xf numFmtId="166" fontId="0" fillId="0" borderId="0" xfId="1" applyNumberFormat="1" applyFont="1" applyFill="1"/>
    <xf numFmtId="0" fontId="0" fillId="5" borderId="1" xfId="0" applyFill="1" applyBorder="1" applyAlignment="1">
      <alignment horizontal="center" vertical="center" wrapText="1"/>
    </xf>
    <xf numFmtId="165" fontId="0" fillId="0" borderId="0" xfId="5" applyNumberFormat="1" applyFont="1"/>
    <xf numFmtId="0" fontId="3" fillId="0" borderId="0" xfId="0" applyFont="1" applyBorder="1" applyAlignment="1">
      <alignment horizontal="right"/>
    </xf>
    <xf numFmtId="166" fontId="3" fillId="0" borderId="0" xfId="1" applyNumberFormat="1" applyFont="1" applyBorder="1"/>
    <xf numFmtId="0" fontId="0" fillId="0" borderId="0" xfId="0" applyFont="1" applyFill="1" applyBorder="1"/>
    <xf numFmtId="0" fontId="0" fillId="0" borderId="15" xfId="0" applyFont="1" applyFill="1" applyBorder="1"/>
    <xf numFmtId="0" fontId="0" fillId="0" borderId="0" xfId="0" applyFont="1" applyBorder="1"/>
    <xf numFmtId="0" fontId="3" fillId="14" borderId="0" xfId="0" applyFont="1" applyFill="1" applyBorder="1" applyAlignment="1">
      <alignment horizontal="left" wrapText="1"/>
    </xf>
    <xf numFmtId="0" fontId="10" fillId="14" borderId="17" xfId="6" applyFont="1" applyFill="1" applyBorder="1" applyAlignment="1">
      <alignment horizontal="center" wrapText="1"/>
    </xf>
    <xf numFmtId="166" fontId="10" fillId="14" borderId="0" xfId="1" applyNumberFormat="1" applyFont="1" applyFill="1" applyBorder="1" applyAlignment="1">
      <alignment horizontal="center" wrapText="1"/>
    </xf>
    <xf numFmtId="0" fontId="10" fillId="14" borderId="18" xfId="6" applyFont="1" applyFill="1" applyBorder="1" applyAlignment="1">
      <alignment horizontal="center" wrapText="1"/>
    </xf>
    <xf numFmtId="0" fontId="3" fillId="14" borderId="0" xfId="0" applyFont="1" applyFill="1" applyBorder="1" applyAlignment="1">
      <alignment wrapText="1"/>
    </xf>
    <xf numFmtId="0" fontId="3" fillId="12" borderId="0" xfId="0" applyFont="1" applyFill="1" applyBorder="1" applyAlignment="1">
      <alignment wrapText="1"/>
    </xf>
    <xf numFmtId="0" fontId="0" fillId="0" borderId="0" xfId="0" applyFont="1" applyBorder="1" applyAlignment="1">
      <alignment horizontal="right"/>
    </xf>
    <xf numFmtId="0" fontId="0" fillId="0" borderId="15" xfId="0" applyFont="1" applyBorder="1" applyAlignment="1">
      <alignment horizontal="right"/>
    </xf>
    <xf numFmtId="170" fontId="17" fillId="0" borderId="0" xfId="3" applyNumberFormat="1" applyFont="1" applyBorder="1" applyAlignment="1" applyProtection="1">
      <alignment horizontal="right" wrapText="1" readingOrder="1"/>
      <protection locked="0"/>
    </xf>
    <xf numFmtId="0" fontId="3" fillId="0" borderId="0" xfId="0" applyFont="1" applyBorder="1"/>
    <xf numFmtId="0" fontId="0" fillId="0" borderId="15" xfId="0" applyFont="1" applyBorder="1"/>
    <xf numFmtId="0" fontId="0" fillId="0" borderId="0" xfId="0" applyFill="1" applyBorder="1"/>
    <xf numFmtId="0" fontId="10" fillId="0" borderId="0" xfId="3" quotePrefix="1" applyFont="1" applyFill="1" applyAlignment="1">
      <alignment vertical="center" wrapText="1"/>
    </xf>
    <xf numFmtId="166" fontId="3" fillId="0" borderId="0" xfId="1" applyNumberFormat="1" applyFont="1" applyFill="1"/>
    <xf numFmtId="0" fontId="12" fillId="0" borderId="4" xfId="3" quotePrefix="1" applyFont="1" applyFill="1" applyBorder="1"/>
    <xf numFmtId="0" fontId="11" fillId="0" borderId="3" xfId="3" quotePrefix="1" applyFont="1" applyFill="1" applyBorder="1"/>
    <xf numFmtId="0" fontId="10" fillId="0" borderId="4" xfId="3" quotePrefix="1" applyFont="1" applyFill="1" applyBorder="1" applyAlignment="1">
      <alignment vertical="center"/>
    </xf>
    <xf numFmtId="0" fontId="10" fillId="0" borderId="4" xfId="3" quotePrefix="1" applyFont="1" applyFill="1" applyBorder="1"/>
    <xf numFmtId="0" fontId="0" fillId="5" borderId="18" xfId="0" applyFill="1" applyBorder="1" applyAlignment="1">
      <alignment horizontal="center" vertical="center" wrapText="1"/>
    </xf>
    <xf numFmtId="166" fontId="0" fillId="0" borderId="1" xfId="1" applyNumberFormat="1" applyFont="1" applyFill="1" applyBorder="1" applyAlignment="1">
      <alignment horizontal="right"/>
    </xf>
    <xf numFmtId="167" fontId="0" fillId="13" borderId="0" xfId="0" applyNumberFormat="1" applyFill="1"/>
    <xf numFmtId="10" fontId="0" fillId="0" borderId="0" xfId="0" applyNumberFormat="1" applyFill="1"/>
    <xf numFmtId="0" fontId="18" fillId="0" borderId="0" xfId="0" applyFont="1"/>
    <xf numFmtId="0" fontId="18" fillId="0" borderId="0" xfId="0" applyFont="1" applyFill="1"/>
    <xf numFmtId="10" fontId="18" fillId="0" borderId="0" xfId="0" applyNumberFormat="1" applyFont="1"/>
    <xf numFmtId="0" fontId="19" fillId="2" borderId="0" xfId="0" applyFont="1" applyFill="1"/>
    <xf numFmtId="0" fontId="20" fillId="0" borderId="1" xfId="3" quotePrefix="1" applyFont="1" applyFill="1" applyBorder="1" applyAlignment="1">
      <alignment horizontal="center" vertical="center" wrapText="1"/>
    </xf>
    <xf numFmtId="0" fontId="20" fillId="0" borderId="0" xfId="3" quotePrefix="1" applyFont="1" applyFill="1" applyBorder="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wrapText="1"/>
    </xf>
    <xf numFmtId="0" fontId="18" fillId="0" borderId="2" xfId="0" applyFont="1" applyBorder="1" applyAlignment="1">
      <alignment vertical="center"/>
    </xf>
    <xf numFmtId="0" fontId="18" fillId="0" borderId="6" xfId="0" applyFont="1" applyBorder="1" applyAlignment="1">
      <alignment vertical="center"/>
    </xf>
    <xf numFmtId="0" fontId="18" fillId="0" borderId="1" xfId="0" applyFont="1" applyBorder="1"/>
    <xf numFmtId="167" fontId="18" fillId="0" borderId="0" xfId="0" applyNumberFormat="1" applyFont="1"/>
    <xf numFmtId="164" fontId="18" fillId="0" borderId="1" xfId="2" applyNumberFormat="1" applyFont="1" applyFill="1" applyBorder="1"/>
    <xf numFmtId="166" fontId="18" fillId="0" borderId="0" xfId="1" applyNumberFormat="1" applyFont="1" applyFill="1"/>
    <xf numFmtId="164" fontId="18" fillId="0" borderId="0" xfId="0" applyNumberFormat="1" applyFont="1"/>
    <xf numFmtId="0" fontId="18" fillId="0" borderId="0" xfId="0" applyFont="1" applyAlignment="1">
      <alignment horizontal="center"/>
    </xf>
    <xf numFmtId="167" fontId="19" fillId="2" borderId="0" xfId="0" applyNumberFormat="1" applyFont="1" applyFill="1"/>
    <xf numFmtId="10" fontId="18" fillId="0" borderId="0" xfId="5" applyNumberFormat="1" applyFont="1"/>
    <xf numFmtId="166" fontId="18" fillId="0" borderId="1" xfId="1" applyNumberFormat="1" applyFont="1" applyFill="1" applyBorder="1"/>
    <xf numFmtId="0" fontId="19" fillId="0" borderId="1" xfId="0" applyFont="1" applyBorder="1" applyAlignment="1">
      <alignment horizontal="right"/>
    </xf>
    <xf numFmtId="167" fontId="19" fillId="0" borderId="0" xfId="0" applyNumberFormat="1" applyFont="1"/>
    <xf numFmtId="164" fontId="19" fillId="0" borderId="14" xfId="0" applyNumberFormat="1" applyFont="1" applyFill="1" applyBorder="1"/>
    <xf numFmtId="167" fontId="22" fillId="0" borderId="16" xfId="0" applyNumberFormat="1" applyFont="1" applyFill="1" applyBorder="1"/>
    <xf numFmtId="3" fontId="19" fillId="0" borderId="0" xfId="0" applyNumberFormat="1" applyFont="1"/>
    <xf numFmtId="10" fontId="19" fillId="0" borderId="0" xfId="5" applyNumberFormat="1" applyFont="1"/>
    <xf numFmtId="0" fontId="19" fillId="0" borderId="0" xfId="0" applyFont="1"/>
    <xf numFmtId="0" fontId="18" fillId="0" borderId="0" xfId="0" quotePrefix="1" applyFont="1" applyAlignment="1">
      <alignment horizontal="center" vertical="center" wrapText="1"/>
    </xf>
    <xf numFmtId="0" fontId="18" fillId="2" borderId="0" xfId="0" applyFont="1" applyFill="1" applyAlignment="1">
      <alignment horizontal="center" vertical="center" wrapText="1"/>
    </xf>
    <xf numFmtId="0" fontId="10" fillId="4" borderId="0" xfId="0" applyFont="1" applyFill="1" applyAlignment="1">
      <alignment horizontal="center" wrapText="1"/>
    </xf>
    <xf numFmtId="0" fontId="0" fillId="0" borderId="19" xfId="0" applyBorder="1" applyAlignment="1">
      <alignment horizontal="right" wrapText="1"/>
    </xf>
    <xf numFmtId="0" fontId="0" fillId="0" borderId="1" xfId="0" applyFill="1" applyBorder="1"/>
    <xf numFmtId="4" fontId="16" fillId="0" borderId="0" xfId="6" applyNumberFormat="1" applyFill="1" applyProtection="1"/>
    <xf numFmtId="4" fontId="0" fillId="0" borderId="0" xfId="0" applyNumberFormat="1"/>
    <xf numFmtId="3" fontId="0" fillId="15" borderId="0" xfId="1" applyNumberFormat="1" applyFont="1" applyFill="1"/>
    <xf numFmtId="5" fontId="0" fillId="2" borderId="0" xfId="0" applyNumberFormat="1" applyFill="1"/>
    <xf numFmtId="43" fontId="0" fillId="14" borderId="0" xfId="1" applyFont="1" applyFill="1"/>
    <xf numFmtId="43" fontId="0" fillId="0" borderId="0" xfId="0" applyNumberFormat="1" applyFill="1" applyBorder="1"/>
    <xf numFmtId="0" fontId="3" fillId="2" borderId="0" xfId="0" applyFont="1" applyFill="1" applyBorder="1" applyAlignment="1">
      <alignment horizontal="right"/>
    </xf>
    <xf numFmtId="5" fontId="0" fillId="0" borderId="1" xfId="2" applyNumberFormat="1" applyFont="1" applyFill="1" applyBorder="1"/>
    <xf numFmtId="5" fontId="0" fillId="0" borderId="1" xfId="1" applyNumberFormat="1" applyFont="1" applyFill="1" applyBorder="1"/>
    <xf numFmtId="37" fontId="0" fillId="0" borderId="0" xfId="0" applyNumberFormat="1" applyFill="1"/>
    <xf numFmtId="5" fontId="0" fillId="7" borderId="0" xfId="0" applyNumberFormat="1" applyFill="1"/>
    <xf numFmtId="5" fontId="0" fillId="7" borderId="0" xfId="0" applyNumberFormat="1" applyFill="1" applyBorder="1"/>
    <xf numFmtId="164" fontId="0" fillId="0" borderId="0" xfId="0" applyNumberFormat="1" applyBorder="1"/>
    <xf numFmtId="37" fontId="0" fillId="0" borderId="0" xfId="0" applyNumberFormat="1" applyFill="1" applyBorder="1"/>
    <xf numFmtId="10" fontId="18" fillId="0" borderId="0" xfId="5" applyNumberFormat="1" applyFont="1" applyFill="1"/>
    <xf numFmtId="167" fontId="0" fillId="0" borderId="0" xfId="0" applyNumberFormat="1" applyFill="1"/>
    <xf numFmtId="166" fontId="0" fillId="0" borderId="0" xfId="0" applyNumberFormat="1" applyFill="1"/>
    <xf numFmtId="166" fontId="3" fillId="0" borderId="1" xfId="1" applyNumberFormat="1" applyFont="1" applyFill="1" applyBorder="1" applyAlignment="1">
      <alignment horizontal="right"/>
    </xf>
    <xf numFmtId="7" fontId="0" fillId="0" borderId="0" xfId="0" applyNumberFormat="1"/>
    <xf numFmtId="0" fontId="0" fillId="14" borderId="1" xfId="0" applyFill="1" applyBorder="1" applyAlignment="1">
      <alignment horizontal="left" vertical="center" wrapText="1"/>
    </xf>
    <xf numFmtId="0" fontId="0" fillId="14" borderId="19" xfId="0" applyFill="1" applyBorder="1" applyAlignment="1">
      <alignment horizontal="right" wrapText="1"/>
    </xf>
    <xf numFmtId="0" fontId="0" fillId="14" borderId="0" xfId="0" applyFill="1" applyAlignment="1">
      <alignment wrapText="1"/>
    </xf>
    <xf numFmtId="0" fontId="0" fillId="14" borderId="0" xfId="0" applyFill="1" applyAlignment="1">
      <alignment horizontal="center" vertical="center" wrapText="1"/>
    </xf>
    <xf numFmtId="166" fontId="10" fillId="12" borderId="10" xfId="1" applyNumberFormat="1" applyFont="1" applyFill="1" applyBorder="1" applyAlignment="1">
      <alignment horizontal="center" vertical="top" wrapText="1"/>
    </xf>
    <xf numFmtId="0" fontId="3" fillId="12" borderId="1" xfId="0" applyFont="1" applyFill="1" applyBorder="1" applyAlignment="1">
      <alignment horizontal="center" vertical="center" wrapText="1"/>
    </xf>
    <xf numFmtId="0" fontId="26" fillId="0" borderId="0" xfId="0" applyFont="1"/>
    <xf numFmtId="0" fontId="25" fillId="0" borderId="4" xfId="3" quotePrefix="1" applyFont="1" applyFill="1" applyBorder="1" applyAlignment="1">
      <alignment vertical="center"/>
    </xf>
    <xf numFmtId="37" fontId="18" fillId="0" borderId="0" xfId="0" applyNumberFormat="1" applyFont="1" applyFill="1"/>
    <xf numFmtId="9" fontId="0" fillId="0" borderId="0" xfId="5" applyNumberFormat="1" applyFont="1"/>
    <xf numFmtId="8" fontId="0" fillId="0" borderId="0" xfId="0" applyNumberFormat="1"/>
    <xf numFmtId="5" fontId="24" fillId="16" borderId="24" xfId="7" applyNumberFormat="1" applyFont="1" applyFill="1" applyBorder="1" applyAlignment="1" applyProtection="1">
      <alignment horizontal="right"/>
    </xf>
    <xf numFmtId="168" fontId="0" fillId="0" borderId="0" xfId="0" applyNumberFormat="1" applyBorder="1"/>
    <xf numFmtId="164" fontId="0" fillId="0" borderId="0" xfId="0" applyNumberFormat="1" applyFill="1" applyBorder="1"/>
    <xf numFmtId="0" fontId="0" fillId="12" borderId="1" xfId="0" applyFill="1" applyBorder="1" applyAlignment="1">
      <alignment horizontal="left" vertical="center" wrapText="1"/>
    </xf>
    <xf numFmtId="0" fontId="0" fillId="12" borderId="0" xfId="0" applyFill="1" applyAlignment="1">
      <alignment wrapText="1"/>
    </xf>
    <xf numFmtId="0" fontId="9" fillId="0" borderId="0" xfId="0" applyFont="1" applyFill="1"/>
    <xf numFmtId="3" fontId="5" fillId="0" borderId="1" xfId="6" applyNumberFormat="1" applyFont="1" applyFill="1" applyBorder="1"/>
    <xf numFmtId="3" fontId="0" fillId="0" borderId="0" xfId="0" applyNumberFormat="1" applyFill="1"/>
    <xf numFmtId="166" fontId="5" fillId="0" borderId="1" xfId="1" applyNumberFormat="1" applyFont="1" applyFill="1" applyBorder="1"/>
    <xf numFmtId="0" fontId="13" fillId="0" borderId="0" xfId="0" applyFont="1" applyFill="1"/>
    <xf numFmtId="166" fontId="5" fillId="0" borderId="2" xfId="1" applyNumberFormat="1" applyFont="1" applyFill="1" applyBorder="1"/>
    <xf numFmtId="43" fontId="0" fillId="0" borderId="0" xfId="1" applyFont="1" applyFill="1"/>
    <xf numFmtId="9" fontId="0" fillId="0" borderId="0" xfId="5" applyFont="1" applyFill="1"/>
    <xf numFmtId="0" fontId="0" fillId="0" borderId="1" xfId="0" applyFill="1" applyBorder="1" applyAlignment="1">
      <alignment horizontal="right"/>
    </xf>
    <xf numFmtId="43" fontId="0" fillId="0" borderId="0" xfId="0" applyNumberFormat="1" applyFill="1"/>
    <xf numFmtId="0" fontId="0" fillId="14" borderId="0" xfId="0" applyFill="1"/>
    <xf numFmtId="0" fontId="3" fillId="0" borderId="0" xfId="0" applyFont="1" applyFill="1"/>
    <xf numFmtId="166" fontId="3" fillId="0" borderId="0" xfId="0" applyNumberFormat="1" applyFont="1" applyFill="1" applyAlignment="1">
      <alignment wrapText="1"/>
    </xf>
    <xf numFmtId="164" fontId="3" fillId="0" borderId="0" xfId="0" applyNumberFormat="1" applyFont="1" applyFill="1"/>
    <xf numFmtId="0" fontId="0" fillId="8" borderId="12" xfId="0" applyFill="1" applyBorder="1"/>
    <xf numFmtId="6" fontId="0" fillId="8" borderId="12" xfId="0" applyNumberFormat="1" applyFill="1" applyBorder="1"/>
    <xf numFmtId="0" fontId="3" fillId="8" borderId="0" xfId="0" applyFont="1" applyFill="1" applyBorder="1"/>
    <xf numFmtId="0" fontId="0" fillId="8" borderId="0" xfId="0" applyFill="1" applyBorder="1"/>
    <xf numFmtId="6" fontId="0" fillId="8" borderId="0" xfId="0" applyNumberFormat="1" applyFill="1" applyBorder="1"/>
    <xf numFmtId="0" fontId="3" fillId="0" borderId="0" xfId="0" applyFont="1" applyFill="1" applyBorder="1"/>
    <xf numFmtId="0" fontId="10" fillId="0" borderId="0" xfId="0" applyFont="1" applyFill="1" applyAlignment="1">
      <alignment horizontal="center" wrapText="1"/>
    </xf>
    <xf numFmtId="6" fontId="0" fillId="0" borderId="0" xfId="0" applyNumberFormat="1" applyFill="1" applyBorder="1"/>
    <xf numFmtId="9" fontId="0" fillId="0" borderId="0" xfId="0" applyNumberFormat="1" applyFill="1" applyBorder="1"/>
    <xf numFmtId="0" fontId="3" fillId="0" borderId="6" xfId="0" applyFont="1" applyBorder="1" applyAlignment="1">
      <alignment horizontal="right"/>
    </xf>
    <xf numFmtId="167" fontId="10" fillId="0" borderId="0" xfId="0" applyNumberFormat="1" applyFont="1" applyFill="1" applyBorder="1"/>
    <xf numFmtId="6" fontId="3" fillId="0" borderId="0" xfId="0" applyNumberFormat="1" applyFont="1" applyBorder="1" applyAlignment="1">
      <alignment wrapText="1"/>
    </xf>
    <xf numFmtId="6" fontId="3" fillId="0" borderId="0" xfId="0" applyNumberFormat="1" applyFont="1" applyBorder="1"/>
    <xf numFmtId="165" fontId="3" fillId="0" borderId="0" xfId="5" applyNumberFormat="1" applyFont="1" applyBorder="1"/>
    <xf numFmtId="0" fontId="0" fillId="0" borderId="25" xfId="0" applyBorder="1"/>
    <xf numFmtId="166" fontId="0" fillId="0" borderId="10" xfId="1" applyNumberFormat="1" applyFont="1" applyFill="1" applyBorder="1"/>
    <xf numFmtId="6" fontId="0" fillId="0" borderId="10" xfId="0" applyNumberFormat="1" applyBorder="1" applyAlignment="1">
      <alignment wrapText="1"/>
    </xf>
    <xf numFmtId="6" fontId="0" fillId="0" borderId="10" xfId="0" applyNumberFormat="1" applyBorder="1"/>
    <xf numFmtId="165" fontId="0" fillId="0" borderId="10" xfId="5" applyNumberFormat="1" applyFont="1" applyBorder="1"/>
    <xf numFmtId="0" fontId="0" fillId="0" borderId="10" xfId="0" applyBorder="1"/>
    <xf numFmtId="9" fontId="0" fillId="0" borderId="0" xfId="0" applyNumberFormat="1" applyAlignment="1">
      <alignment wrapText="1"/>
    </xf>
    <xf numFmtId="10" fontId="0" fillId="0" borderId="0" xfId="5" applyNumberFormat="1" applyFont="1"/>
    <xf numFmtId="0" fontId="0" fillId="2" borderId="0" xfId="0" applyFill="1" applyAlignment="1">
      <alignment wrapText="1"/>
    </xf>
    <xf numFmtId="164" fontId="27" fillId="2" borderId="0" xfId="0" applyNumberFormat="1" applyFont="1" applyFill="1"/>
    <xf numFmtId="0" fontId="28" fillId="0" borderId="0" xfId="0" applyFont="1"/>
    <xf numFmtId="0" fontId="3" fillId="0" borderId="10" xfId="0" applyFont="1" applyBorder="1"/>
    <xf numFmtId="43" fontId="3" fillId="0" borderId="10" xfId="1" applyNumberFormat="1" applyFont="1" applyBorder="1"/>
    <xf numFmtId="0" fontId="3" fillId="0" borderId="10" xfId="0" applyFont="1" applyBorder="1" applyAlignment="1">
      <alignment wrapText="1"/>
    </xf>
    <xf numFmtId="3" fontId="3" fillId="0" borderId="10" xfId="0" applyNumberFormat="1" applyFont="1" applyBorder="1"/>
    <xf numFmtId="44" fontId="0" fillId="0" borderId="0" xfId="2" applyFont="1"/>
    <xf numFmtId="5" fontId="3" fillId="0" borderId="10" xfId="0" applyNumberFormat="1" applyFont="1" applyBorder="1"/>
    <xf numFmtId="37" fontId="3" fillId="0" borderId="0" xfId="0" applyNumberFormat="1" applyFont="1"/>
    <xf numFmtId="164" fontId="3" fillId="0" borderId="0" xfId="0" applyNumberFormat="1" applyFont="1"/>
    <xf numFmtId="9" fontId="0" fillId="0" borderId="0" xfId="0" applyNumberFormat="1" applyFill="1"/>
    <xf numFmtId="9" fontId="0" fillId="0" borderId="12" xfId="0" applyNumberFormat="1" applyFill="1" applyBorder="1"/>
    <xf numFmtId="5" fontId="0" fillId="0" borderId="0" xfId="0" applyNumberFormat="1" applyFill="1"/>
    <xf numFmtId="37" fontId="3" fillId="0" borderId="10" xfId="0" applyNumberFormat="1" applyFont="1" applyBorder="1"/>
    <xf numFmtId="164" fontId="3" fillId="0" borderId="10" xfId="2" applyNumberFormat="1" applyFont="1" applyBorder="1"/>
    <xf numFmtId="38" fontId="25" fillId="16" borderId="0" xfId="0" applyNumberFormat="1" applyFont="1" applyFill="1"/>
    <xf numFmtId="173" fontId="0" fillId="0" borderId="0" xfId="0" applyNumberFormat="1"/>
    <xf numFmtId="164" fontId="29" fillId="0" borderId="0" xfId="0" applyNumberFormat="1" applyFont="1" applyFill="1"/>
    <xf numFmtId="0" fontId="0" fillId="17" borderId="1" xfId="0" applyFill="1" applyBorder="1"/>
    <xf numFmtId="43" fontId="0" fillId="0" borderId="0" xfId="0" applyNumberFormat="1"/>
    <xf numFmtId="0" fontId="7" fillId="0" borderId="0" xfId="0" applyFont="1" applyAlignment="1">
      <alignment vertical="center"/>
    </xf>
    <xf numFmtId="0" fontId="0" fillId="0" borderId="18" xfId="0" applyBorder="1" applyAlignment="1">
      <alignment horizontal="left" vertical="center" wrapText="1"/>
    </xf>
    <xf numFmtId="0" fontId="0" fillId="0" borderId="1" xfId="0" applyBorder="1" applyAlignment="1">
      <alignment horizontal="right"/>
    </xf>
    <xf numFmtId="0" fontId="10" fillId="0" borderId="0" xfId="0" applyFont="1" applyAlignment="1">
      <alignment horizontal="center"/>
    </xf>
    <xf numFmtId="0" fontId="20" fillId="0" borderId="0" xfId="0" applyFont="1" applyAlignment="1">
      <alignment wrapText="1"/>
    </xf>
    <xf numFmtId="174" fontId="20" fillId="0" borderId="0" xfId="0" applyNumberFormat="1" applyFont="1" applyAlignment="1">
      <alignment wrapText="1"/>
    </xf>
    <xf numFmtId="0" fontId="3" fillId="0" borderId="10" xfId="0" applyFont="1" applyBorder="1" applyAlignment="1">
      <alignment vertical="center"/>
    </xf>
    <xf numFmtId="0" fontId="0" fillId="0" borderId="10" xfId="0" applyBorder="1" applyAlignment="1">
      <alignment vertical="center"/>
    </xf>
    <xf numFmtId="0" fontId="0" fillId="0" borderId="10" xfId="0" applyBorder="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3" fillId="0" borderId="29" xfId="0" applyFont="1" applyBorder="1" applyAlignment="1">
      <alignment horizontal="center" vertical="center" wrapText="1"/>
    </xf>
    <xf numFmtId="0" fontId="3" fillId="18" borderId="26" xfId="0" applyFont="1" applyFill="1" applyBorder="1" applyAlignment="1">
      <alignment horizontal="center" vertical="center" wrapText="1"/>
    </xf>
    <xf numFmtId="0" fontId="3" fillId="0" borderId="30" xfId="0" applyFont="1" applyBorder="1" applyAlignment="1">
      <alignment horizontal="center" vertical="center"/>
    </xf>
    <xf numFmtId="0" fontId="3" fillId="0" borderId="31"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32" xfId="0" applyFont="1" applyBorder="1" applyAlignment="1">
      <alignment horizontal="center" vertical="center" wrapText="1"/>
    </xf>
    <xf numFmtId="0" fontId="30" fillId="0" borderId="33" xfId="0" applyFont="1" applyBorder="1" applyAlignment="1" applyProtection="1">
      <alignment horizontal="center" vertical="center" wrapText="1"/>
      <protection locked="0"/>
    </xf>
    <xf numFmtId="0" fontId="30" fillId="0" borderId="34" xfId="0" applyFont="1" applyBorder="1" applyAlignment="1" applyProtection="1">
      <alignment horizontal="center" vertical="center" wrapText="1"/>
      <protection locked="0"/>
    </xf>
    <xf numFmtId="0" fontId="3" fillId="0" borderId="35" xfId="0" applyFont="1" applyBorder="1" applyAlignment="1">
      <alignment horizontal="left" vertical="center" wrapText="1"/>
    </xf>
    <xf numFmtId="0" fontId="0" fillId="0" borderId="6" xfId="0" applyBorder="1"/>
    <xf numFmtId="43" fontId="0" fillId="15" borderId="1" xfId="1" applyFont="1" applyFill="1" applyBorder="1"/>
    <xf numFmtId="43" fontId="0" fillId="0" borderId="1" xfId="1" applyFont="1" applyBorder="1"/>
    <xf numFmtId="43" fontId="0" fillId="15" borderId="2" xfId="1" applyFont="1" applyFill="1" applyBorder="1"/>
    <xf numFmtId="0" fontId="0" fillId="17" borderId="2" xfId="0" applyFill="1" applyBorder="1"/>
    <xf numFmtId="172" fontId="0" fillId="0" borderId="14" xfId="0" applyNumberFormat="1" applyBorder="1"/>
    <xf numFmtId="43" fontId="0" fillId="0" borderId="14" xfId="1" applyFont="1" applyBorder="1"/>
    <xf numFmtId="0" fontId="0" fillId="0" borderId="6" xfId="0" applyBorder="1" applyAlignment="1">
      <alignment horizontal="right"/>
    </xf>
    <xf numFmtId="0" fontId="0" fillId="0" borderId="0" xfId="0" applyFont="1"/>
    <xf numFmtId="0" fontId="3" fillId="0" borderId="26" xfId="0" applyFont="1" applyBorder="1" applyAlignment="1">
      <alignment horizontal="center" vertical="center" wrapText="1"/>
    </xf>
    <xf numFmtId="166" fontId="3" fillId="0" borderId="0" xfId="1" applyNumberFormat="1" applyFont="1" applyBorder="1" applyAlignment="1">
      <alignment horizontal="right"/>
    </xf>
    <xf numFmtId="6" fontId="0" fillId="0" borderId="0" xfId="0" applyNumberFormat="1" applyFill="1" applyAlignment="1"/>
    <xf numFmtId="0" fontId="14" fillId="10" borderId="13" xfId="0" applyFont="1" applyFill="1" applyBorder="1" applyAlignment="1">
      <alignment horizontal="left"/>
    </xf>
    <xf numFmtId="0" fontId="14" fillId="10" borderId="13" xfId="0" applyFont="1" applyFill="1" applyBorder="1" applyAlignment="1">
      <alignment horizontal="left" wrapText="1"/>
    </xf>
    <xf numFmtId="0" fontId="19" fillId="0" borderId="0" xfId="0" applyFont="1" applyAlignment="1">
      <alignment horizontal="center"/>
    </xf>
    <xf numFmtId="0" fontId="0" fillId="0" borderId="0" xfId="0" applyAlignment="1">
      <alignment horizontal="center"/>
    </xf>
    <xf numFmtId="0" fontId="0" fillId="5" borderId="1" xfId="0" applyFill="1" applyBorder="1" applyAlignment="1">
      <alignment horizontal="center" vertical="center" wrapText="1"/>
    </xf>
    <xf numFmtId="0" fontId="0" fillId="5" borderId="6" xfId="0" applyFill="1" applyBorder="1" applyAlignment="1">
      <alignment horizontal="center" vertical="center" wrapText="1"/>
    </xf>
    <xf numFmtId="0" fontId="3" fillId="0" borderId="10" xfId="0" applyFont="1" applyFill="1" applyBorder="1" applyAlignment="1">
      <alignment horizontal="center"/>
    </xf>
    <xf numFmtId="0" fontId="0" fillId="2" borderId="0" xfId="0" applyFill="1" applyAlignment="1">
      <alignment horizontal="center"/>
    </xf>
    <xf numFmtId="0" fontId="3" fillId="0" borderId="0" xfId="0" applyFont="1" applyAlignment="1">
      <alignment horizont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2" borderId="0" xfId="0" applyFont="1" applyFill="1" applyAlignment="1">
      <alignment horizontal="center"/>
    </xf>
    <xf numFmtId="0" fontId="0" fillId="0" borderId="0" xfId="0" applyFont="1" applyBorder="1" applyAlignment="1">
      <alignment horizontal="center"/>
    </xf>
    <xf numFmtId="0" fontId="0" fillId="2" borderId="15" xfId="0" applyFont="1" applyFill="1" applyBorder="1" applyAlignment="1">
      <alignment horizontal="center"/>
    </xf>
    <xf numFmtId="0" fontId="0" fillId="2" borderId="0" xfId="0" applyFont="1" applyFill="1" applyBorder="1" applyAlignment="1">
      <alignment horizontal="center"/>
    </xf>
    <xf numFmtId="0" fontId="3" fillId="0" borderId="0" xfId="0" applyFont="1" applyFill="1" applyBorder="1" applyAlignment="1">
      <alignment horizontal="center"/>
    </xf>
    <xf numFmtId="0" fontId="3" fillId="0" borderId="9" xfId="0" applyFont="1" applyFill="1" applyBorder="1" applyAlignment="1">
      <alignment horizontal="center"/>
    </xf>
    <xf numFmtId="0" fontId="3" fillId="0" borderId="0" xfId="0" applyFont="1" applyFill="1" applyAlignment="1">
      <alignment horizontal="center"/>
    </xf>
    <xf numFmtId="0" fontId="11" fillId="0" borderId="20" xfId="3" quotePrefix="1" applyFont="1" applyFill="1" applyBorder="1" applyAlignment="1">
      <alignment horizontal="center"/>
    </xf>
    <xf numFmtId="0" fontId="11" fillId="0" borderId="21" xfId="3" quotePrefix="1" applyFont="1" applyFill="1" applyBorder="1" applyAlignment="1">
      <alignment horizontal="center"/>
    </xf>
    <xf numFmtId="0" fontId="11" fillId="0" borderId="22" xfId="3" quotePrefix="1" applyFont="1" applyFill="1" applyBorder="1" applyAlignment="1">
      <alignment horizontal="center"/>
    </xf>
    <xf numFmtId="0" fontId="11" fillId="0" borderId="23" xfId="3" quotePrefix="1" applyFont="1" applyFill="1" applyBorder="1" applyAlignment="1">
      <alignment horizontal="center"/>
    </xf>
    <xf numFmtId="0" fontId="11" fillId="0" borderId="0" xfId="3" quotePrefix="1" applyFont="1" applyFill="1" applyBorder="1" applyAlignment="1">
      <alignment horizontal="center"/>
    </xf>
  </cellXfs>
  <cellStyles count="9">
    <cellStyle name="Comma" xfId="1" builtinId="3"/>
    <cellStyle name="Comma 2" xfId="7"/>
    <cellStyle name="Currency" xfId="2" builtinId="4"/>
    <cellStyle name="Neutral 2" xfId="4"/>
    <cellStyle name="Normal" xfId="0" builtinId="0"/>
    <cellStyle name="Normal 2" xfId="6"/>
    <cellStyle name="Normal 2 2" xfId="3"/>
    <cellStyle name="Normal 2 3 4" xfId="8"/>
    <cellStyle name="Percent" xfId="5" builtinId="5"/>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theme" Target="theme/theme1.xml"/><Relationship Id="rId30"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ROUPS/FMD/Bargaining%202001/OLD%20STUFF/ROUND%203%20COSTING%20DOF/unit%2006/unit%206.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Y%202016-17_Actuals%20Enrollment%20Fee%20Revenue%20for%20R1%20as%20of%20Oct%2031,%202017.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015-16%20P1%20ERAF,%20property%20tax%20v2%20as%20of%202015-02-02%20-%20Copy.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2017-18%20P1,revised%20Estimated%20property%20tax%20and%20ERAF%20as%20of%20March202018_FTES_ERROR.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015-16%20R1%20Property%20Tax%20as%20of%20November%2028,%202016.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016-17%20P2%20Estimated%20property%20tax%20and%20ERAF%20as%20of%20April%2027,%202017.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Budget%20Position%20Transparency%20Salaries%201of4.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cchu/AppData/Local/Microsoft/Windows/Temporary%20Internet%20Files/Content.Outlook/WES7QSGK/Documents%20and%20Settings/fikwyatt/Application%20Data/Microsoft/Excel/EOPS%20Review%20Track%20V2.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Main%202018-19%20SCFF%2078%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ersonal Mileage"/>
      <sheetName val="Vanpool RF"/>
      <sheetName val="health by cbid 67%"/>
      <sheetName val="5% GSI"/>
      <sheetName val="06-00"/>
      <sheetName val="Sheet2"/>
      <sheetName val="Sheet3"/>
      <sheetName val="Instructions"/>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F report"/>
      <sheetName val="Index"/>
      <sheetName val="EF2016-2017P1 (Estimate)"/>
      <sheetName val="EF2016-2017P2 (Estimate)"/>
      <sheetName val="EF2016-2017P3 (Actuals)"/>
      <sheetName val="Bachelor Degree Fees"/>
      <sheetName val=" Analysis for Estimates"/>
      <sheetName val="Draft_DOF reportformat"/>
      <sheetName val=" Analysis for Actuals"/>
      <sheetName val="98% Enrollment Fee Rev"/>
      <sheetName val="Use for Variances CCD "/>
      <sheetName val="State Center CCD"/>
      <sheetName val="Chaffey CCD"/>
      <sheetName val="Barstow CCD"/>
      <sheetName val="Sierra CCD"/>
    </sheetNames>
    <sheetDataSet>
      <sheetData sheetId="0" refreshError="1"/>
      <sheetData sheetId="1" refreshError="1"/>
      <sheetData sheetId="2" refreshError="1"/>
      <sheetData sheetId="3" refreshError="1"/>
      <sheetData sheetId="4">
        <row r="8">
          <cell r="B8" t="str">
            <v>ALLAN HANCOCK</v>
          </cell>
          <cell r="C8">
            <v>2734355</v>
          </cell>
          <cell r="D8">
            <v>0</v>
          </cell>
          <cell r="E8">
            <v>2734355</v>
          </cell>
          <cell r="F8">
            <v>0</v>
          </cell>
          <cell r="G8">
            <v>0</v>
          </cell>
          <cell r="H8">
            <v>0</v>
          </cell>
          <cell r="I8">
            <v>2734355</v>
          </cell>
          <cell r="J8">
            <v>0</v>
          </cell>
          <cell r="K8">
            <v>0</v>
          </cell>
          <cell r="L8">
            <v>0</v>
          </cell>
          <cell r="M8">
            <v>2734355</v>
          </cell>
        </row>
        <row r="9">
          <cell r="B9" t="str">
            <v>ANTELOPE VALLEY</v>
          </cell>
          <cell r="C9">
            <v>2382807</v>
          </cell>
          <cell r="D9">
            <v>117536</v>
          </cell>
          <cell r="E9">
            <v>2500343</v>
          </cell>
          <cell r="F9">
            <v>0</v>
          </cell>
          <cell r="G9">
            <v>0</v>
          </cell>
          <cell r="H9">
            <v>0</v>
          </cell>
          <cell r="I9">
            <v>2500343</v>
          </cell>
          <cell r="J9">
            <v>0</v>
          </cell>
          <cell r="K9">
            <v>0</v>
          </cell>
          <cell r="L9">
            <v>0</v>
          </cell>
          <cell r="M9">
            <v>2500343</v>
          </cell>
        </row>
        <row r="10">
          <cell r="B10" t="str">
            <v>BARSTOW</v>
          </cell>
          <cell r="C10">
            <v>434517</v>
          </cell>
          <cell r="D10">
            <v>110582</v>
          </cell>
          <cell r="E10">
            <v>545099</v>
          </cell>
          <cell r="F10">
            <v>0</v>
          </cell>
          <cell r="G10">
            <v>0</v>
          </cell>
          <cell r="H10">
            <v>0</v>
          </cell>
          <cell r="I10">
            <v>545099</v>
          </cell>
          <cell r="J10">
            <v>0</v>
          </cell>
          <cell r="K10">
            <v>0</v>
          </cell>
          <cell r="L10">
            <v>0</v>
          </cell>
          <cell r="M10">
            <v>545099</v>
          </cell>
        </row>
        <row r="11">
          <cell r="B11" t="str">
            <v>BUTTE</v>
          </cell>
          <cell r="C11">
            <v>3282553</v>
          </cell>
          <cell r="D11">
            <v>172766</v>
          </cell>
          <cell r="E11">
            <v>3455319</v>
          </cell>
          <cell r="F11">
            <v>0</v>
          </cell>
          <cell r="G11">
            <v>0</v>
          </cell>
          <cell r="H11">
            <v>0</v>
          </cell>
          <cell r="I11">
            <v>3455319</v>
          </cell>
          <cell r="J11">
            <v>0</v>
          </cell>
          <cell r="K11">
            <v>0</v>
          </cell>
          <cell r="L11">
            <v>0</v>
          </cell>
          <cell r="M11">
            <v>3455319</v>
          </cell>
        </row>
        <row r="12">
          <cell r="B12" t="str">
            <v>CABRILLO</v>
          </cell>
          <cell r="C12">
            <v>2344401</v>
          </cell>
          <cell r="D12">
            <v>2231422</v>
          </cell>
          <cell r="E12">
            <v>4575823</v>
          </cell>
          <cell r="F12">
            <v>0</v>
          </cell>
          <cell r="G12">
            <v>0</v>
          </cell>
          <cell r="H12">
            <v>0</v>
          </cell>
          <cell r="I12">
            <v>4575823</v>
          </cell>
          <cell r="J12">
            <v>0</v>
          </cell>
          <cell r="K12">
            <v>0</v>
          </cell>
          <cell r="L12">
            <v>0</v>
          </cell>
          <cell r="M12">
            <v>4575823</v>
          </cell>
        </row>
        <row r="13">
          <cell r="B13" t="str">
            <v>CERRITOS</v>
          </cell>
          <cell r="C13">
            <v>4614697</v>
          </cell>
          <cell r="D13">
            <v>0</v>
          </cell>
          <cell r="E13">
            <v>4614697</v>
          </cell>
          <cell r="F13">
            <v>0</v>
          </cell>
          <cell r="G13">
            <v>0</v>
          </cell>
          <cell r="H13">
            <v>0</v>
          </cell>
          <cell r="I13">
            <v>4614697</v>
          </cell>
          <cell r="J13">
            <v>0</v>
          </cell>
          <cell r="K13">
            <v>0</v>
          </cell>
          <cell r="L13">
            <v>0</v>
          </cell>
          <cell r="M13">
            <v>4614697</v>
          </cell>
        </row>
        <row r="14">
          <cell r="B14" t="str">
            <v>CHABOT-LAS POSITAS</v>
          </cell>
          <cell r="C14">
            <v>10028649</v>
          </cell>
          <cell r="D14">
            <v>0</v>
          </cell>
          <cell r="E14">
            <v>10028649</v>
          </cell>
          <cell r="F14">
            <v>0</v>
          </cell>
          <cell r="G14">
            <v>0</v>
          </cell>
          <cell r="H14">
            <v>0</v>
          </cell>
          <cell r="I14">
            <v>10028649</v>
          </cell>
          <cell r="J14">
            <v>0</v>
          </cell>
          <cell r="K14">
            <v>0</v>
          </cell>
          <cell r="L14">
            <v>0</v>
          </cell>
          <cell r="M14">
            <v>10028649</v>
          </cell>
        </row>
        <row r="15">
          <cell r="B15" t="str">
            <v>CHAFFEY</v>
          </cell>
          <cell r="C15">
            <v>4684451</v>
          </cell>
          <cell r="D15">
            <v>1423471</v>
          </cell>
          <cell r="E15">
            <v>6107922</v>
          </cell>
          <cell r="F15">
            <v>0</v>
          </cell>
          <cell r="G15">
            <v>0</v>
          </cell>
          <cell r="H15">
            <v>0</v>
          </cell>
          <cell r="I15">
            <v>6107922</v>
          </cell>
          <cell r="J15">
            <v>0</v>
          </cell>
          <cell r="K15">
            <v>0</v>
          </cell>
          <cell r="L15">
            <v>0</v>
          </cell>
          <cell r="M15">
            <v>6107922</v>
          </cell>
        </row>
        <row r="16">
          <cell r="B16" t="str">
            <v>CITRUS</v>
          </cell>
          <cell r="C16">
            <v>4907307</v>
          </cell>
          <cell r="D16">
            <v>61360</v>
          </cell>
          <cell r="E16">
            <v>4968667</v>
          </cell>
          <cell r="F16">
            <v>0</v>
          </cell>
          <cell r="G16">
            <v>0</v>
          </cell>
          <cell r="H16">
            <v>0</v>
          </cell>
          <cell r="I16">
            <v>4968667</v>
          </cell>
          <cell r="J16">
            <v>0</v>
          </cell>
          <cell r="K16">
            <v>0</v>
          </cell>
          <cell r="L16">
            <v>0</v>
          </cell>
          <cell r="M16">
            <v>4968667</v>
          </cell>
        </row>
        <row r="17">
          <cell r="B17" t="str">
            <v>COAST</v>
          </cell>
          <cell r="C17">
            <v>16787613</v>
          </cell>
          <cell r="D17">
            <v>265560</v>
          </cell>
          <cell r="E17">
            <v>17053173</v>
          </cell>
          <cell r="F17">
            <v>0</v>
          </cell>
          <cell r="G17">
            <v>0</v>
          </cell>
          <cell r="H17">
            <v>0</v>
          </cell>
          <cell r="I17">
            <v>17053173</v>
          </cell>
          <cell r="J17">
            <v>0</v>
          </cell>
          <cell r="K17">
            <v>0</v>
          </cell>
          <cell r="L17">
            <v>0</v>
          </cell>
          <cell r="M17">
            <v>17053173</v>
          </cell>
        </row>
        <row r="18">
          <cell r="B18" t="str">
            <v>COMPTON</v>
          </cell>
          <cell r="C18">
            <v>688250</v>
          </cell>
          <cell r="D18">
            <v>209675</v>
          </cell>
          <cell r="E18">
            <v>897925</v>
          </cell>
          <cell r="F18">
            <v>0</v>
          </cell>
          <cell r="G18">
            <v>0</v>
          </cell>
          <cell r="H18">
            <v>0</v>
          </cell>
          <cell r="I18">
            <v>897925</v>
          </cell>
          <cell r="J18">
            <v>0</v>
          </cell>
          <cell r="K18">
            <v>0</v>
          </cell>
          <cell r="L18">
            <v>0</v>
          </cell>
          <cell r="M18">
            <v>897925</v>
          </cell>
        </row>
        <row r="19">
          <cell r="B19" t="str">
            <v>CONTRA COSTA</v>
          </cell>
          <cell r="C19">
            <v>16605910</v>
          </cell>
          <cell r="D19">
            <v>0</v>
          </cell>
          <cell r="E19">
            <v>16605910</v>
          </cell>
          <cell r="F19">
            <v>0</v>
          </cell>
          <cell r="G19">
            <v>0</v>
          </cell>
          <cell r="H19">
            <v>0</v>
          </cell>
          <cell r="I19">
            <v>16605910</v>
          </cell>
          <cell r="J19">
            <v>0</v>
          </cell>
          <cell r="K19">
            <v>0</v>
          </cell>
          <cell r="L19">
            <v>0</v>
          </cell>
          <cell r="M19">
            <v>16605910</v>
          </cell>
        </row>
        <row r="20">
          <cell r="B20" t="str">
            <v>COPPER MOUNTAIN</v>
          </cell>
          <cell r="C20">
            <v>225239</v>
          </cell>
          <cell r="D20">
            <v>0</v>
          </cell>
          <cell r="E20">
            <v>225239</v>
          </cell>
          <cell r="F20">
            <v>0</v>
          </cell>
          <cell r="G20">
            <v>0</v>
          </cell>
          <cell r="H20">
            <v>0</v>
          </cell>
          <cell r="I20">
            <v>225239</v>
          </cell>
          <cell r="J20">
            <v>0</v>
          </cell>
          <cell r="K20">
            <v>0</v>
          </cell>
          <cell r="L20">
            <v>0</v>
          </cell>
          <cell r="M20">
            <v>225239</v>
          </cell>
        </row>
        <row r="21">
          <cell r="B21" t="str">
            <v>DESERT</v>
          </cell>
          <cell r="C21">
            <v>2381343</v>
          </cell>
          <cell r="D21">
            <v>0</v>
          </cell>
          <cell r="E21">
            <v>2381343</v>
          </cell>
          <cell r="F21">
            <v>0</v>
          </cell>
          <cell r="G21">
            <v>0</v>
          </cell>
          <cell r="H21">
            <v>0</v>
          </cell>
          <cell r="I21">
            <v>2381343</v>
          </cell>
          <cell r="J21">
            <v>0</v>
          </cell>
          <cell r="K21">
            <v>0</v>
          </cell>
          <cell r="L21">
            <v>0</v>
          </cell>
          <cell r="M21">
            <v>2381343</v>
          </cell>
        </row>
        <row r="22">
          <cell r="B22" t="str">
            <v>EL CAMINO</v>
          </cell>
          <cell r="C22">
            <v>7894991</v>
          </cell>
          <cell r="D22">
            <v>530902</v>
          </cell>
          <cell r="E22">
            <v>8425893</v>
          </cell>
          <cell r="F22">
            <v>0</v>
          </cell>
          <cell r="G22">
            <v>0</v>
          </cell>
          <cell r="H22">
            <v>0</v>
          </cell>
          <cell r="I22">
            <v>8425893</v>
          </cell>
          <cell r="J22">
            <v>0</v>
          </cell>
          <cell r="K22">
            <v>0</v>
          </cell>
          <cell r="L22">
            <v>0</v>
          </cell>
          <cell r="M22">
            <v>8425893</v>
          </cell>
        </row>
        <row r="23">
          <cell r="B23" t="str">
            <v>FEATHER RIVER</v>
          </cell>
          <cell r="C23">
            <v>551284</v>
          </cell>
          <cell r="D23">
            <v>26311</v>
          </cell>
          <cell r="E23">
            <v>577595</v>
          </cell>
          <cell r="F23">
            <v>0</v>
          </cell>
          <cell r="G23">
            <v>0</v>
          </cell>
          <cell r="H23">
            <v>0</v>
          </cell>
          <cell r="I23">
            <v>577595</v>
          </cell>
          <cell r="J23">
            <v>31080</v>
          </cell>
          <cell r="K23">
            <v>1344</v>
          </cell>
          <cell r="L23">
            <v>32424</v>
          </cell>
          <cell r="M23">
            <v>610019</v>
          </cell>
        </row>
        <row r="24">
          <cell r="B24" t="str">
            <v>FOOTHILL-DEANZA</v>
          </cell>
          <cell r="C24">
            <v>21919139</v>
          </cell>
          <cell r="D24">
            <v>630384</v>
          </cell>
          <cell r="E24">
            <v>22549523</v>
          </cell>
          <cell r="F24">
            <v>0</v>
          </cell>
          <cell r="G24">
            <v>0</v>
          </cell>
          <cell r="H24">
            <v>0</v>
          </cell>
          <cell r="I24">
            <v>22549523</v>
          </cell>
          <cell r="J24">
            <v>0</v>
          </cell>
          <cell r="K24">
            <v>0</v>
          </cell>
          <cell r="L24">
            <v>0</v>
          </cell>
          <cell r="M24">
            <v>22549523</v>
          </cell>
        </row>
        <row r="25">
          <cell r="B25" t="str">
            <v>GAVILAN</v>
          </cell>
          <cell r="C25">
            <v>2173904</v>
          </cell>
          <cell r="D25">
            <v>0</v>
          </cell>
          <cell r="E25">
            <v>2173904</v>
          </cell>
          <cell r="F25">
            <v>0</v>
          </cell>
          <cell r="G25">
            <v>0</v>
          </cell>
          <cell r="H25">
            <v>0</v>
          </cell>
          <cell r="I25">
            <v>2173904</v>
          </cell>
          <cell r="J25">
            <v>0</v>
          </cell>
          <cell r="K25">
            <v>0</v>
          </cell>
          <cell r="L25">
            <v>0</v>
          </cell>
          <cell r="M25">
            <v>2173904</v>
          </cell>
        </row>
        <row r="26">
          <cell r="B26" t="str">
            <v>GLENDALE</v>
          </cell>
          <cell r="C26">
            <v>4323207</v>
          </cell>
          <cell r="D26">
            <v>217186</v>
          </cell>
          <cell r="E26">
            <v>4540393</v>
          </cell>
          <cell r="F26">
            <v>0</v>
          </cell>
          <cell r="G26">
            <v>0</v>
          </cell>
          <cell r="H26">
            <v>0</v>
          </cell>
          <cell r="I26">
            <v>4540393</v>
          </cell>
          <cell r="J26">
            <v>0</v>
          </cell>
          <cell r="K26">
            <v>0</v>
          </cell>
          <cell r="L26">
            <v>0</v>
          </cell>
          <cell r="M26">
            <v>4540393</v>
          </cell>
        </row>
        <row r="27">
          <cell r="B27" t="str">
            <v>GROSSMONT-CUYAMACA</v>
          </cell>
          <cell r="C27">
            <v>7200877</v>
          </cell>
          <cell r="D27">
            <v>311552</v>
          </cell>
          <cell r="E27">
            <v>7512429</v>
          </cell>
          <cell r="F27">
            <v>0</v>
          </cell>
          <cell r="G27">
            <v>0</v>
          </cell>
          <cell r="H27">
            <v>0</v>
          </cell>
          <cell r="I27">
            <v>7512429</v>
          </cell>
          <cell r="J27">
            <v>0</v>
          </cell>
          <cell r="K27">
            <v>0</v>
          </cell>
          <cell r="L27">
            <v>0</v>
          </cell>
          <cell r="M27">
            <v>7512429</v>
          </cell>
        </row>
        <row r="28">
          <cell r="B28" t="str">
            <v>HARTNELL</v>
          </cell>
          <cell r="C28">
            <v>2130246</v>
          </cell>
          <cell r="D28">
            <v>0</v>
          </cell>
          <cell r="E28">
            <v>2130246</v>
          </cell>
          <cell r="F28">
            <v>0</v>
          </cell>
          <cell r="G28">
            <v>0</v>
          </cell>
          <cell r="H28">
            <v>0</v>
          </cell>
          <cell r="I28">
            <v>2130246</v>
          </cell>
          <cell r="J28">
            <v>0</v>
          </cell>
          <cell r="K28">
            <v>0</v>
          </cell>
          <cell r="L28">
            <v>0</v>
          </cell>
          <cell r="M28">
            <v>2130246</v>
          </cell>
        </row>
        <row r="29">
          <cell r="B29" t="str">
            <v>IMPERIAL</v>
          </cell>
          <cell r="C29">
            <v>1080072</v>
          </cell>
          <cell r="D29">
            <v>223807</v>
          </cell>
          <cell r="E29">
            <v>1303879</v>
          </cell>
          <cell r="F29">
            <v>0</v>
          </cell>
          <cell r="G29">
            <v>0</v>
          </cell>
          <cell r="H29">
            <v>0</v>
          </cell>
          <cell r="I29">
            <v>1303879</v>
          </cell>
          <cell r="J29">
            <v>0</v>
          </cell>
          <cell r="K29">
            <v>0</v>
          </cell>
          <cell r="L29">
            <v>0</v>
          </cell>
          <cell r="M29">
            <v>1303879</v>
          </cell>
        </row>
        <row r="30">
          <cell r="B30" t="str">
            <v>KERN</v>
          </cell>
          <cell r="C30">
            <v>5805241</v>
          </cell>
          <cell r="D30">
            <v>550640</v>
          </cell>
          <cell r="E30">
            <v>6355881</v>
          </cell>
          <cell r="F30">
            <v>0</v>
          </cell>
          <cell r="G30">
            <v>0</v>
          </cell>
          <cell r="H30">
            <v>0</v>
          </cell>
          <cell r="I30">
            <v>6355881</v>
          </cell>
          <cell r="J30">
            <v>23688</v>
          </cell>
          <cell r="K30">
            <v>0</v>
          </cell>
          <cell r="L30">
            <v>23688</v>
          </cell>
          <cell r="M30">
            <v>6379569</v>
          </cell>
        </row>
        <row r="31">
          <cell r="B31" t="str">
            <v>LAKE TAHOE</v>
          </cell>
          <cell r="C31">
            <v>765882</v>
          </cell>
          <cell r="D31">
            <v>14779</v>
          </cell>
          <cell r="E31">
            <v>780661</v>
          </cell>
          <cell r="F31">
            <v>32521</v>
          </cell>
          <cell r="G31">
            <v>1773</v>
          </cell>
          <cell r="H31">
            <v>34294</v>
          </cell>
          <cell r="I31">
            <v>814955</v>
          </cell>
          <cell r="J31">
            <v>0</v>
          </cell>
          <cell r="K31">
            <v>0</v>
          </cell>
          <cell r="L31">
            <v>0</v>
          </cell>
          <cell r="M31">
            <v>814955</v>
          </cell>
        </row>
        <row r="32">
          <cell r="B32" t="str">
            <v>LASSEN</v>
          </cell>
          <cell r="C32">
            <v>452451</v>
          </cell>
          <cell r="D32">
            <v>0</v>
          </cell>
          <cell r="E32">
            <v>452451</v>
          </cell>
          <cell r="F32">
            <v>0</v>
          </cell>
          <cell r="G32">
            <v>0</v>
          </cell>
          <cell r="H32">
            <v>0</v>
          </cell>
          <cell r="I32">
            <v>452451</v>
          </cell>
          <cell r="J32">
            <v>0</v>
          </cell>
          <cell r="K32">
            <v>0</v>
          </cell>
          <cell r="L32">
            <v>0</v>
          </cell>
          <cell r="M32">
            <v>452451</v>
          </cell>
        </row>
        <row r="33">
          <cell r="B33" t="str">
            <v>LONG BEACH</v>
          </cell>
          <cell r="C33">
            <v>5740464</v>
          </cell>
          <cell r="D33">
            <v>609123</v>
          </cell>
          <cell r="E33">
            <v>6349587</v>
          </cell>
          <cell r="F33">
            <v>0</v>
          </cell>
          <cell r="G33">
            <v>0</v>
          </cell>
          <cell r="H33">
            <v>0</v>
          </cell>
          <cell r="I33">
            <v>6349587</v>
          </cell>
          <cell r="J33">
            <v>0</v>
          </cell>
          <cell r="K33">
            <v>0</v>
          </cell>
          <cell r="L33">
            <v>0</v>
          </cell>
          <cell r="M33">
            <v>6349587</v>
          </cell>
        </row>
        <row r="34">
          <cell r="B34" t="str">
            <v>LOS ANGELES</v>
          </cell>
          <cell r="C34">
            <v>25916768</v>
          </cell>
          <cell r="D34">
            <v>7230439</v>
          </cell>
          <cell r="E34">
            <v>33147207</v>
          </cell>
          <cell r="F34">
            <v>0</v>
          </cell>
          <cell r="G34">
            <v>0</v>
          </cell>
          <cell r="H34">
            <v>0</v>
          </cell>
          <cell r="I34">
            <v>33147207</v>
          </cell>
          <cell r="J34">
            <v>43512</v>
          </cell>
          <cell r="K34">
            <v>0</v>
          </cell>
          <cell r="L34">
            <v>43512</v>
          </cell>
          <cell r="M34">
            <v>33190719</v>
          </cell>
        </row>
        <row r="35">
          <cell r="B35" t="str">
            <v>LOS RIOS</v>
          </cell>
          <cell r="C35">
            <v>16444249</v>
          </cell>
          <cell r="D35">
            <v>481733</v>
          </cell>
          <cell r="E35">
            <v>16925982</v>
          </cell>
          <cell r="F35">
            <v>0</v>
          </cell>
          <cell r="G35">
            <v>0</v>
          </cell>
          <cell r="H35">
            <v>0</v>
          </cell>
          <cell r="I35">
            <v>16925982</v>
          </cell>
          <cell r="J35">
            <v>0</v>
          </cell>
          <cell r="K35">
            <v>0</v>
          </cell>
          <cell r="L35">
            <v>0</v>
          </cell>
          <cell r="M35">
            <v>16925982</v>
          </cell>
        </row>
        <row r="36">
          <cell r="B36" t="str">
            <v>MARIN</v>
          </cell>
          <cell r="C36">
            <v>2028432</v>
          </cell>
          <cell r="D36">
            <v>39271</v>
          </cell>
          <cell r="E36">
            <v>2067703</v>
          </cell>
          <cell r="F36">
            <v>0</v>
          </cell>
          <cell r="G36">
            <v>0</v>
          </cell>
          <cell r="H36">
            <v>0</v>
          </cell>
          <cell r="I36">
            <v>2067703</v>
          </cell>
          <cell r="J36">
            <v>0</v>
          </cell>
          <cell r="K36">
            <v>0</v>
          </cell>
          <cell r="L36">
            <v>0</v>
          </cell>
          <cell r="M36">
            <v>2067703</v>
          </cell>
        </row>
        <row r="37">
          <cell r="B37" t="str">
            <v>MENDOCINO-LAKE</v>
          </cell>
          <cell r="C37">
            <v>763968</v>
          </cell>
          <cell r="D37">
            <v>0</v>
          </cell>
          <cell r="E37">
            <v>763968</v>
          </cell>
          <cell r="F37">
            <v>0</v>
          </cell>
          <cell r="G37">
            <v>0</v>
          </cell>
          <cell r="H37">
            <v>0</v>
          </cell>
          <cell r="I37">
            <v>763968</v>
          </cell>
          <cell r="J37">
            <v>0</v>
          </cell>
          <cell r="K37">
            <v>0</v>
          </cell>
          <cell r="L37">
            <v>0</v>
          </cell>
          <cell r="M37">
            <v>763968</v>
          </cell>
        </row>
        <row r="38">
          <cell r="B38" t="str">
            <v>MERCED</v>
          </cell>
          <cell r="C38">
            <v>2530279</v>
          </cell>
          <cell r="D38">
            <v>0</v>
          </cell>
          <cell r="E38">
            <v>2530279</v>
          </cell>
          <cell r="F38">
            <v>0</v>
          </cell>
          <cell r="G38">
            <v>0</v>
          </cell>
          <cell r="H38">
            <v>0</v>
          </cell>
          <cell r="I38">
            <v>2530279</v>
          </cell>
          <cell r="J38">
            <v>0</v>
          </cell>
          <cell r="K38">
            <v>0</v>
          </cell>
          <cell r="L38">
            <v>0</v>
          </cell>
          <cell r="M38">
            <v>2530279</v>
          </cell>
        </row>
        <row r="39">
          <cell r="B39" t="str">
            <v>MIRACOSTA</v>
          </cell>
          <cell r="C39">
            <v>5838785</v>
          </cell>
          <cell r="D39">
            <v>0</v>
          </cell>
          <cell r="E39">
            <v>5838785</v>
          </cell>
          <cell r="F39">
            <v>0</v>
          </cell>
          <cell r="G39">
            <v>0</v>
          </cell>
          <cell r="H39">
            <v>0</v>
          </cell>
          <cell r="I39">
            <v>5838785</v>
          </cell>
          <cell r="J39">
            <v>0</v>
          </cell>
          <cell r="K39">
            <v>0</v>
          </cell>
          <cell r="L39">
            <v>0</v>
          </cell>
          <cell r="M39">
            <v>5838785</v>
          </cell>
        </row>
        <row r="40">
          <cell r="B40" t="str">
            <v>MONTEREY</v>
          </cell>
          <cell r="C40">
            <v>2787143</v>
          </cell>
          <cell r="D40">
            <v>163739</v>
          </cell>
          <cell r="E40">
            <v>2950882</v>
          </cell>
          <cell r="F40">
            <v>0</v>
          </cell>
          <cell r="G40">
            <v>0</v>
          </cell>
          <cell r="H40">
            <v>0</v>
          </cell>
          <cell r="I40">
            <v>2950882</v>
          </cell>
          <cell r="J40">
            <v>0</v>
          </cell>
          <cell r="K40">
            <v>0</v>
          </cell>
          <cell r="L40">
            <v>0</v>
          </cell>
          <cell r="M40">
            <v>2950882</v>
          </cell>
        </row>
        <row r="41">
          <cell r="B41" t="str">
            <v>MT. SAN ANTONIO</v>
          </cell>
          <cell r="C41">
            <v>9016970</v>
          </cell>
          <cell r="D41">
            <v>311225</v>
          </cell>
          <cell r="E41">
            <v>9328195</v>
          </cell>
          <cell r="F41">
            <v>0</v>
          </cell>
          <cell r="G41">
            <v>0</v>
          </cell>
          <cell r="H41">
            <v>0</v>
          </cell>
          <cell r="I41">
            <v>9328195</v>
          </cell>
          <cell r="J41">
            <v>0</v>
          </cell>
          <cell r="K41">
            <v>0</v>
          </cell>
          <cell r="L41">
            <v>0</v>
          </cell>
          <cell r="M41">
            <v>9328195</v>
          </cell>
        </row>
        <row r="42">
          <cell r="B42" t="str">
            <v>MT. SAN JACINTO</v>
          </cell>
          <cell r="C42">
            <v>3071825</v>
          </cell>
          <cell r="D42">
            <v>401930</v>
          </cell>
          <cell r="E42">
            <v>3473755</v>
          </cell>
          <cell r="F42">
            <v>0</v>
          </cell>
          <cell r="G42">
            <v>0</v>
          </cell>
          <cell r="H42">
            <v>0</v>
          </cell>
          <cell r="I42">
            <v>3473755</v>
          </cell>
          <cell r="J42">
            <v>0</v>
          </cell>
          <cell r="K42">
            <v>0</v>
          </cell>
          <cell r="L42">
            <v>0</v>
          </cell>
          <cell r="M42">
            <v>3473755</v>
          </cell>
        </row>
        <row r="43">
          <cell r="B43" t="str">
            <v>NAPA</v>
          </cell>
          <cell r="C43">
            <v>1852254</v>
          </cell>
          <cell r="D43">
            <v>369229</v>
          </cell>
          <cell r="E43">
            <v>2221483</v>
          </cell>
          <cell r="F43">
            <v>0</v>
          </cell>
          <cell r="G43">
            <v>0</v>
          </cell>
          <cell r="H43">
            <v>0</v>
          </cell>
          <cell r="I43">
            <v>2221483</v>
          </cell>
          <cell r="J43">
            <v>0</v>
          </cell>
          <cell r="K43">
            <v>0</v>
          </cell>
          <cell r="L43">
            <v>0</v>
          </cell>
          <cell r="M43">
            <v>2221483</v>
          </cell>
        </row>
        <row r="44">
          <cell r="B44" t="str">
            <v>NORTH ORANGE</v>
          </cell>
          <cell r="C44">
            <v>12897627</v>
          </cell>
          <cell r="D44">
            <v>249495</v>
          </cell>
          <cell r="E44">
            <v>13147122</v>
          </cell>
          <cell r="F44">
            <v>0</v>
          </cell>
          <cell r="G44">
            <v>0</v>
          </cell>
          <cell r="H44">
            <v>0</v>
          </cell>
          <cell r="I44">
            <v>13147122</v>
          </cell>
          <cell r="J44">
            <v>0</v>
          </cell>
          <cell r="K44">
            <v>0</v>
          </cell>
          <cell r="L44">
            <v>0</v>
          </cell>
          <cell r="M44">
            <v>13147122</v>
          </cell>
        </row>
        <row r="45">
          <cell r="B45" t="str">
            <v>OHLONE</v>
          </cell>
          <cell r="C45">
            <v>4689294</v>
          </cell>
          <cell r="D45">
            <v>81728</v>
          </cell>
          <cell r="E45">
            <v>4771022</v>
          </cell>
          <cell r="F45">
            <v>0</v>
          </cell>
          <cell r="G45">
            <v>0</v>
          </cell>
          <cell r="H45">
            <v>0</v>
          </cell>
          <cell r="I45">
            <v>4771022</v>
          </cell>
          <cell r="J45">
            <v>0</v>
          </cell>
          <cell r="K45">
            <v>0</v>
          </cell>
          <cell r="L45">
            <v>0</v>
          </cell>
          <cell r="M45">
            <v>4771022</v>
          </cell>
        </row>
        <row r="46">
          <cell r="B46" t="str">
            <v>PALO VERDE</v>
          </cell>
          <cell r="C46">
            <v>439447</v>
          </cell>
          <cell r="D46">
            <v>66355</v>
          </cell>
          <cell r="E46">
            <v>505802</v>
          </cell>
          <cell r="F46">
            <v>7108</v>
          </cell>
          <cell r="G46">
            <v>0</v>
          </cell>
          <cell r="H46">
            <v>7108</v>
          </cell>
          <cell r="I46">
            <v>512910</v>
          </cell>
          <cell r="J46">
            <v>0</v>
          </cell>
          <cell r="K46">
            <v>0</v>
          </cell>
          <cell r="L46">
            <v>0</v>
          </cell>
          <cell r="M46">
            <v>512910</v>
          </cell>
        </row>
        <row r="47">
          <cell r="B47" t="str">
            <v>PALOMAR</v>
          </cell>
          <cell r="C47">
            <v>6895696</v>
          </cell>
          <cell r="D47">
            <v>2149452</v>
          </cell>
          <cell r="E47">
            <v>9045148</v>
          </cell>
          <cell r="F47">
            <v>0</v>
          </cell>
          <cell r="G47">
            <v>0</v>
          </cell>
          <cell r="H47">
            <v>0</v>
          </cell>
          <cell r="I47">
            <v>9045148</v>
          </cell>
          <cell r="J47">
            <v>0</v>
          </cell>
          <cell r="K47">
            <v>0</v>
          </cell>
          <cell r="L47">
            <v>0</v>
          </cell>
          <cell r="M47">
            <v>9045148</v>
          </cell>
        </row>
        <row r="48">
          <cell r="B48" t="str">
            <v>PASADENA</v>
          </cell>
          <cell r="C48">
            <v>8855063</v>
          </cell>
          <cell r="D48">
            <v>996032</v>
          </cell>
          <cell r="E48">
            <v>9851095</v>
          </cell>
          <cell r="F48">
            <v>0</v>
          </cell>
          <cell r="G48">
            <v>0</v>
          </cell>
          <cell r="H48">
            <v>0</v>
          </cell>
          <cell r="I48">
            <v>9851095</v>
          </cell>
          <cell r="J48">
            <v>0</v>
          </cell>
          <cell r="K48">
            <v>0</v>
          </cell>
          <cell r="L48">
            <v>0</v>
          </cell>
          <cell r="M48">
            <v>9851095</v>
          </cell>
        </row>
        <row r="49">
          <cell r="B49" t="str">
            <v>PERALTA</v>
          </cell>
          <cell r="C49">
            <v>3105857</v>
          </cell>
          <cell r="D49">
            <v>3518337</v>
          </cell>
          <cell r="E49">
            <v>6624194</v>
          </cell>
          <cell r="F49">
            <v>0</v>
          </cell>
          <cell r="G49">
            <v>0</v>
          </cell>
          <cell r="H49">
            <v>0</v>
          </cell>
          <cell r="I49">
            <v>6624194</v>
          </cell>
          <cell r="J49">
            <v>0</v>
          </cell>
          <cell r="K49">
            <v>0</v>
          </cell>
          <cell r="L49">
            <v>0</v>
          </cell>
          <cell r="M49">
            <v>6624194</v>
          </cell>
        </row>
        <row r="50">
          <cell r="B50" t="str">
            <v>RANCHO SANTIAGO</v>
          </cell>
          <cell r="C50">
            <v>8579276</v>
          </cell>
          <cell r="D50">
            <v>458339</v>
          </cell>
          <cell r="E50">
            <v>9037615</v>
          </cell>
          <cell r="F50">
            <v>0</v>
          </cell>
          <cell r="G50">
            <v>0</v>
          </cell>
          <cell r="H50">
            <v>0</v>
          </cell>
          <cell r="I50">
            <v>9037615</v>
          </cell>
          <cell r="J50">
            <v>0</v>
          </cell>
          <cell r="K50">
            <v>0</v>
          </cell>
          <cell r="L50">
            <v>0</v>
          </cell>
          <cell r="M50">
            <v>9037615</v>
          </cell>
        </row>
        <row r="51">
          <cell r="B51" t="str">
            <v>REDWOODS</v>
          </cell>
          <cell r="C51">
            <v>876952</v>
          </cell>
          <cell r="D51">
            <v>346494</v>
          </cell>
          <cell r="E51">
            <v>1223446</v>
          </cell>
          <cell r="F51">
            <v>0</v>
          </cell>
          <cell r="G51">
            <v>0</v>
          </cell>
          <cell r="H51">
            <v>0</v>
          </cell>
          <cell r="I51">
            <v>1223446</v>
          </cell>
          <cell r="J51">
            <v>0</v>
          </cell>
          <cell r="K51">
            <v>0</v>
          </cell>
          <cell r="L51">
            <v>0</v>
          </cell>
          <cell r="M51">
            <v>1223446</v>
          </cell>
        </row>
        <row r="52">
          <cell r="B52" t="str">
            <v>RIO HONDO</v>
          </cell>
          <cell r="C52">
            <v>3989160</v>
          </cell>
          <cell r="D52">
            <v>0</v>
          </cell>
          <cell r="E52">
            <v>3989160</v>
          </cell>
          <cell r="F52">
            <v>0</v>
          </cell>
          <cell r="G52">
            <v>0</v>
          </cell>
          <cell r="H52">
            <v>0</v>
          </cell>
          <cell r="I52">
            <v>3989160</v>
          </cell>
          <cell r="J52">
            <v>0</v>
          </cell>
          <cell r="K52">
            <v>0</v>
          </cell>
          <cell r="L52">
            <v>0</v>
          </cell>
          <cell r="M52">
            <v>3989160</v>
          </cell>
        </row>
        <row r="53">
          <cell r="B53" t="str">
            <v>RIVERSIDE</v>
          </cell>
          <cell r="C53">
            <v>9624243</v>
          </cell>
          <cell r="D53">
            <v>719026</v>
          </cell>
          <cell r="E53">
            <v>10343269</v>
          </cell>
          <cell r="F53">
            <v>0</v>
          </cell>
          <cell r="G53">
            <v>0</v>
          </cell>
          <cell r="H53">
            <v>0</v>
          </cell>
          <cell r="I53">
            <v>10343269</v>
          </cell>
          <cell r="J53">
            <v>0</v>
          </cell>
          <cell r="K53">
            <v>0</v>
          </cell>
          <cell r="L53">
            <v>0</v>
          </cell>
          <cell r="M53">
            <v>10343269</v>
          </cell>
        </row>
        <row r="54">
          <cell r="B54" t="str">
            <v>SAN BERNARDINO</v>
          </cell>
          <cell r="C54">
            <v>3877444</v>
          </cell>
          <cell r="D54">
            <v>1270711</v>
          </cell>
          <cell r="E54">
            <v>5148155</v>
          </cell>
          <cell r="F54">
            <v>0</v>
          </cell>
          <cell r="G54">
            <v>0</v>
          </cell>
          <cell r="H54">
            <v>0</v>
          </cell>
          <cell r="I54">
            <v>5148155</v>
          </cell>
          <cell r="J54">
            <v>0</v>
          </cell>
          <cell r="K54">
            <v>0</v>
          </cell>
          <cell r="L54">
            <v>0</v>
          </cell>
          <cell r="M54">
            <v>5148155</v>
          </cell>
        </row>
        <row r="55">
          <cell r="B55" t="str">
            <v>SAN DIEGO</v>
          </cell>
          <cell r="C55">
            <v>13808582</v>
          </cell>
          <cell r="D55">
            <v>0</v>
          </cell>
          <cell r="E55">
            <v>13808582</v>
          </cell>
          <cell r="F55">
            <v>0</v>
          </cell>
          <cell r="G55">
            <v>0</v>
          </cell>
          <cell r="H55">
            <v>0</v>
          </cell>
          <cell r="I55">
            <v>13808582</v>
          </cell>
          <cell r="J55">
            <v>39144</v>
          </cell>
          <cell r="K55">
            <v>0</v>
          </cell>
          <cell r="L55">
            <v>39144</v>
          </cell>
          <cell r="M55">
            <v>13847726</v>
          </cell>
        </row>
        <row r="56">
          <cell r="B56" t="str">
            <v>SAN FRANCISCO</v>
          </cell>
          <cell r="C56">
            <v>8741670</v>
          </cell>
          <cell r="D56">
            <v>769562</v>
          </cell>
          <cell r="E56">
            <v>9511232</v>
          </cell>
          <cell r="F56">
            <v>0</v>
          </cell>
          <cell r="G56">
            <v>0</v>
          </cell>
          <cell r="H56">
            <v>0</v>
          </cell>
          <cell r="I56">
            <v>9511232</v>
          </cell>
          <cell r="J56">
            <v>0</v>
          </cell>
          <cell r="K56">
            <v>0</v>
          </cell>
          <cell r="L56">
            <v>0</v>
          </cell>
          <cell r="M56">
            <v>9511232</v>
          </cell>
        </row>
        <row r="57">
          <cell r="B57" t="str">
            <v>SAN JOAQUIN DELTA</v>
          </cell>
          <cell r="C57">
            <v>4788857</v>
          </cell>
          <cell r="D57">
            <v>0</v>
          </cell>
          <cell r="E57">
            <v>4788857</v>
          </cell>
          <cell r="F57">
            <v>0</v>
          </cell>
          <cell r="G57">
            <v>0</v>
          </cell>
          <cell r="H57">
            <v>0</v>
          </cell>
          <cell r="I57">
            <v>4788857</v>
          </cell>
          <cell r="J57">
            <v>0</v>
          </cell>
          <cell r="K57">
            <v>0</v>
          </cell>
          <cell r="L57">
            <v>0</v>
          </cell>
          <cell r="M57">
            <v>4788857</v>
          </cell>
        </row>
        <row r="58">
          <cell r="B58" t="str">
            <v>SAN JOSE-EVERGREEN</v>
          </cell>
          <cell r="C58">
            <v>4362233</v>
          </cell>
          <cell r="D58">
            <v>1136403</v>
          </cell>
          <cell r="E58">
            <v>5498636</v>
          </cell>
          <cell r="F58">
            <v>0</v>
          </cell>
          <cell r="G58">
            <v>0</v>
          </cell>
          <cell r="H58">
            <v>0</v>
          </cell>
          <cell r="I58">
            <v>5498636</v>
          </cell>
          <cell r="J58">
            <v>0</v>
          </cell>
          <cell r="K58">
            <v>0</v>
          </cell>
          <cell r="L58">
            <v>0</v>
          </cell>
          <cell r="M58">
            <v>5498636</v>
          </cell>
        </row>
        <row r="59">
          <cell r="B59" t="str">
            <v>SAN LUIS OBISPO</v>
          </cell>
          <cell r="C59">
            <v>3555837</v>
          </cell>
          <cell r="D59">
            <v>312008</v>
          </cell>
          <cell r="E59">
            <v>3867845</v>
          </cell>
          <cell r="F59">
            <v>0</v>
          </cell>
          <cell r="G59">
            <v>0</v>
          </cell>
          <cell r="H59">
            <v>0</v>
          </cell>
          <cell r="I59">
            <v>3867845</v>
          </cell>
          <cell r="J59">
            <v>0</v>
          </cell>
          <cell r="K59">
            <v>0</v>
          </cell>
          <cell r="L59">
            <v>0</v>
          </cell>
          <cell r="M59">
            <v>3867845</v>
          </cell>
        </row>
        <row r="60">
          <cell r="B60" t="str">
            <v>SAN MATEO</v>
          </cell>
          <cell r="C60">
            <v>10803020</v>
          </cell>
          <cell r="D60">
            <v>0</v>
          </cell>
          <cell r="E60">
            <v>10803020</v>
          </cell>
          <cell r="F60">
            <v>0</v>
          </cell>
          <cell r="G60">
            <v>0</v>
          </cell>
          <cell r="H60">
            <v>0</v>
          </cell>
          <cell r="I60">
            <v>10803020</v>
          </cell>
          <cell r="J60">
            <v>56448</v>
          </cell>
          <cell r="K60">
            <v>0</v>
          </cell>
          <cell r="L60">
            <v>56448</v>
          </cell>
          <cell r="M60">
            <v>10859468</v>
          </cell>
        </row>
        <row r="61">
          <cell r="B61" t="str">
            <v>SANTA BARBARA</v>
          </cell>
          <cell r="C61">
            <v>7904348</v>
          </cell>
          <cell r="D61">
            <v>204161</v>
          </cell>
          <cell r="E61">
            <v>8108509</v>
          </cell>
          <cell r="F61">
            <v>0</v>
          </cell>
          <cell r="G61">
            <v>0</v>
          </cell>
          <cell r="H61">
            <v>0</v>
          </cell>
          <cell r="I61">
            <v>8108509</v>
          </cell>
          <cell r="J61">
            <v>0</v>
          </cell>
          <cell r="K61">
            <v>0</v>
          </cell>
          <cell r="L61">
            <v>0</v>
          </cell>
          <cell r="M61">
            <v>8108509</v>
          </cell>
        </row>
        <row r="62">
          <cell r="B62" t="str">
            <v>SANTA CLARITA</v>
          </cell>
          <cell r="C62">
            <v>8760004</v>
          </cell>
          <cell r="D62">
            <v>0</v>
          </cell>
          <cell r="E62">
            <v>8760004</v>
          </cell>
          <cell r="F62">
            <v>0</v>
          </cell>
          <cell r="G62">
            <v>0</v>
          </cell>
          <cell r="H62">
            <v>0</v>
          </cell>
          <cell r="I62">
            <v>8760004</v>
          </cell>
          <cell r="J62">
            <v>0</v>
          </cell>
          <cell r="K62">
            <v>0</v>
          </cell>
          <cell r="L62">
            <v>0</v>
          </cell>
          <cell r="M62">
            <v>8760004</v>
          </cell>
        </row>
        <row r="63">
          <cell r="B63" t="str">
            <v>SANTA MONICA</v>
          </cell>
          <cell r="C63">
            <v>13692835</v>
          </cell>
          <cell r="D63">
            <v>716648</v>
          </cell>
          <cell r="E63">
            <v>14409483</v>
          </cell>
          <cell r="F63">
            <v>0</v>
          </cell>
          <cell r="G63">
            <v>0</v>
          </cell>
          <cell r="H63">
            <v>0</v>
          </cell>
          <cell r="I63">
            <v>14409483</v>
          </cell>
          <cell r="J63">
            <v>30240</v>
          </cell>
          <cell r="K63">
            <v>2520</v>
          </cell>
          <cell r="L63">
            <v>32760</v>
          </cell>
          <cell r="M63">
            <v>14442243</v>
          </cell>
        </row>
        <row r="64">
          <cell r="B64" t="str">
            <v>SEQUOIAS</v>
          </cell>
          <cell r="C64">
            <v>2357408</v>
          </cell>
          <cell r="D64">
            <v>332381</v>
          </cell>
          <cell r="E64">
            <v>2689789</v>
          </cell>
          <cell r="F64">
            <v>0</v>
          </cell>
          <cell r="G64">
            <v>0</v>
          </cell>
          <cell r="H64">
            <v>0</v>
          </cell>
          <cell r="I64">
            <v>2689789</v>
          </cell>
          <cell r="J64">
            <v>0</v>
          </cell>
          <cell r="K64">
            <v>0</v>
          </cell>
          <cell r="L64">
            <v>0</v>
          </cell>
          <cell r="M64">
            <v>2689789</v>
          </cell>
        </row>
        <row r="65">
          <cell r="B65" t="str">
            <v>SHASTA-TEH-TRI</v>
          </cell>
          <cell r="C65">
            <v>1964086</v>
          </cell>
          <cell r="D65">
            <v>66536</v>
          </cell>
          <cell r="E65">
            <v>2030622</v>
          </cell>
          <cell r="F65">
            <v>0</v>
          </cell>
          <cell r="G65">
            <v>0</v>
          </cell>
          <cell r="H65">
            <v>0</v>
          </cell>
          <cell r="I65">
            <v>2030622</v>
          </cell>
          <cell r="J65">
            <v>0</v>
          </cell>
          <cell r="K65">
            <v>0</v>
          </cell>
          <cell r="L65">
            <v>0</v>
          </cell>
          <cell r="M65">
            <v>2030622</v>
          </cell>
        </row>
        <row r="66">
          <cell r="B66" t="str">
            <v>SIERRA</v>
          </cell>
          <cell r="C66">
            <v>7324787</v>
          </cell>
          <cell r="D66">
            <v>0</v>
          </cell>
          <cell r="E66">
            <v>7324787</v>
          </cell>
          <cell r="F66">
            <v>0</v>
          </cell>
          <cell r="G66">
            <v>0</v>
          </cell>
          <cell r="H66">
            <v>0</v>
          </cell>
          <cell r="I66">
            <v>7324787</v>
          </cell>
          <cell r="J66">
            <v>0</v>
          </cell>
          <cell r="K66">
            <v>0</v>
          </cell>
          <cell r="L66">
            <v>0</v>
          </cell>
          <cell r="M66">
            <v>7324787</v>
          </cell>
        </row>
        <row r="67">
          <cell r="B67" t="str">
            <v>SISKIYOU</v>
          </cell>
          <cell r="C67">
            <v>673197</v>
          </cell>
          <cell r="D67">
            <v>365999</v>
          </cell>
          <cell r="E67">
            <v>1039196</v>
          </cell>
          <cell r="F67">
            <v>274634</v>
          </cell>
          <cell r="G67">
            <v>4195</v>
          </cell>
          <cell r="H67">
            <v>278829</v>
          </cell>
          <cell r="I67">
            <v>1318025</v>
          </cell>
          <cell r="J67">
            <v>0</v>
          </cell>
          <cell r="K67">
            <v>0</v>
          </cell>
          <cell r="L67">
            <v>0</v>
          </cell>
          <cell r="M67">
            <v>1318025</v>
          </cell>
        </row>
        <row r="68">
          <cell r="B68" t="str">
            <v>SOLANO</v>
          </cell>
          <cell r="C68">
            <v>2282536</v>
          </cell>
          <cell r="D68">
            <v>1412857</v>
          </cell>
          <cell r="E68">
            <v>3695393</v>
          </cell>
          <cell r="F68">
            <v>0</v>
          </cell>
          <cell r="G68">
            <v>0</v>
          </cell>
          <cell r="H68">
            <v>0</v>
          </cell>
          <cell r="I68">
            <v>3695393</v>
          </cell>
          <cell r="J68">
            <v>0</v>
          </cell>
          <cell r="K68">
            <v>0</v>
          </cell>
          <cell r="L68">
            <v>0</v>
          </cell>
          <cell r="M68">
            <v>3695393</v>
          </cell>
        </row>
        <row r="69">
          <cell r="B69" t="str">
            <v>SONOMA</v>
          </cell>
          <cell r="C69">
            <v>7150862</v>
          </cell>
          <cell r="D69">
            <v>1554865</v>
          </cell>
          <cell r="E69">
            <v>8705727</v>
          </cell>
          <cell r="F69">
            <v>0</v>
          </cell>
          <cell r="G69">
            <v>0</v>
          </cell>
          <cell r="H69">
            <v>0</v>
          </cell>
          <cell r="I69">
            <v>8705727</v>
          </cell>
          <cell r="J69">
            <v>0</v>
          </cell>
          <cell r="K69">
            <v>0</v>
          </cell>
          <cell r="L69">
            <v>0</v>
          </cell>
          <cell r="M69">
            <v>8705727</v>
          </cell>
        </row>
        <row r="70">
          <cell r="B70" t="str">
            <v>SOUTH ORANGE</v>
          </cell>
          <cell r="C70">
            <v>18317670</v>
          </cell>
          <cell r="D70">
            <v>0</v>
          </cell>
          <cell r="E70">
            <v>18317670</v>
          </cell>
          <cell r="F70">
            <v>0</v>
          </cell>
          <cell r="G70">
            <v>0</v>
          </cell>
          <cell r="H70">
            <v>0</v>
          </cell>
          <cell r="I70">
            <v>18317670</v>
          </cell>
          <cell r="J70">
            <v>0</v>
          </cell>
          <cell r="K70">
            <v>0</v>
          </cell>
          <cell r="L70">
            <v>0</v>
          </cell>
          <cell r="M70">
            <v>18317670</v>
          </cell>
        </row>
        <row r="71">
          <cell r="B71" t="str">
            <v>SOUTHWESTERN</v>
          </cell>
          <cell r="C71">
            <v>4280007</v>
          </cell>
          <cell r="D71">
            <v>164610</v>
          </cell>
          <cell r="E71">
            <v>4444617</v>
          </cell>
          <cell r="F71">
            <v>0</v>
          </cell>
          <cell r="G71">
            <v>0</v>
          </cell>
          <cell r="H71">
            <v>0</v>
          </cell>
          <cell r="I71">
            <v>4444617</v>
          </cell>
          <cell r="J71">
            <v>0</v>
          </cell>
          <cell r="K71">
            <v>0</v>
          </cell>
          <cell r="L71">
            <v>0</v>
          </cell>
          <cell r="M71">
            <v>4444617</v>
          </cell>
        </row>
        <row r="72">
          <cell r="B72" t="str">
            <v>STATE CENTER</v>
          </cell>
          <cell r="C72">
            <v>8226588</v>
          </cell>
          <cell r="D72">
            <v>167890</v>
          </cell>
          <cell r="E72">
            <v>8394478</v>
          </cell>
          <cell r="F72">
            <v>0</v>
          </cell>
          <cell r="G72">
            <v>0</v>
          </cell>
          <cell r="H72">
            <v>0</v>
          </cell>
          <cell r="I72">
            <v>8394478</v>
          </cell>
          <cell r="J72">
            <v>0</v>
          </cell>
          <cell r="K72">
            <v>0</v>
          </cell>
          <cell r="L72">
            <v>0</v>
          </cell>
          <cell r="M72">
            <v>8394478</v>
          </cell>
        </row>
        <row r="73">
          <cell r="B73" t="str">
            <v>VENTURA</v>
          </cell>
          <cell r="C73">
            <v>10743662</v>
          </cell>
          <cell r="D73">
            <v>70559</v>
          </cell>
          <cell r="E73">
            <v>10814221</v>
          </cell>
          <cell r="F73">
            <v>0</v>
          </cell>
          <cell r="G73">
            <v>0</v>
          </cell>
          <cell r="H73">
            <v>0</v>
          </cell>
          <cell r="I73">
            <v>10814221</v>
          </cell>
          <cell r="J73">
            <v>0</v>
          </cell>
          <cell r="K73">
            <v>0</v>
          </cell>
          <cell r="L73">
            <v>0</v>
          </cell>
          <cell r="M73">
            <v>10814221</v>
          </cell>
        </row>
        <row r="74">
          <cell r="B74" t="str">
            <v>VICTOR VALLEY</v>
          </cell>
          <cell r="C74">
            <v>2039510</v>
          </cell>
          <cell r="D74">
            <v>33074</v>
          </cell>
          <cell r="E74">
            <v>2072584</v>
          </cell>
          <cell r="F74">
            <v>0</v>
          </cell>
          <cell r="G74">
            <v>0</v>
          </cell>
          <cell r="H74">
            <v>0</v>
          </cell>
          <cell r="I74">
            <v>2072584</v>
          </cell>
          <cell r="J74">
            <v>0</v>
          </cell>
          <cell r="K74">
            <v>0</v>
          </cell>
          <cell r="L74">
            <v>0</v>
          </cell>
          <cell r="M74">
            <v>2072584</v>
          </cell>
        </row>
        <row r="75">
          <cell r="B75" t="str">
            <v>WEST HILLS</v>
          </cell>
          <cell r="C75">
            <v>1014262</v>
          </cell>
          <cell r="D75">
            <v>0</v>
          </cell>
          <cell r="E75">
            <v>1014262</v>
          </cell>
          <cell r="F75">
            <v>0</v>
          </cell>
          <cell r="G75">
            <v>0</v>
          </cell>
          <cell r="H75">
            <v>0</v>
          </cell>
          <cell r="I75">
            <v>1014262</v>
          </cell>
          <cell r="J75">
            <v>0</v>
          </cell>
          <cell r="K75">
            <v>0</v>
          </cell>
          <cell r="L75">
            <v>0</v>
          </cell>
          <cell r="M75">
            <v>1014262</v>
          </cell>
        </row>
        <row r="76">
          <cell r="B76" t="str">
            <v>WEST KERN</v>
          </cell>
          <cell r="C76">
            <v>799985</v>
          </cell>
          <cell r="D76">
            <v>26106</v>
          </cell>
          <cell r="E76">
            <v>826091</v>
          </cell>
          <cell r="F76">
            <v>0</v>
          </cell>
          <cell r="G76">
            <v>0</v>
          </cell>
          <cell r="H76">
            <v>0</v>
          </cell>
          <cell r="I76">
            <v>826091</v>
          </cell>
          <cell r="J76">
            <v>0</v>
          </cell>
          <cell r="K76">
            <v>0</v>
          </cell>
          <cell r="L76">
            <v>0</v>
          </cell>
          <cell r="M76">
            <v>826091</v>
          </cell>
        </row>
        <row r="77">
          <cell r="B77" t="str">
            <v>WEST VALLEY</v>
          </cell>
          <cell r="C77">
            <v>5308127</v>
          </cell>
          <cell r="D77">
            <v>2502571</v>
          </cell>
          <cell r="E77">
            <v>7810698</v>
          </cell>
          <cell r="F77">
            <v>0</v>
          </cell>
          <cell r="G77">
            <v>0</v>
          </cell>
          <cell r="H77">
            <v>0</v>
          </cell>
          <cell r="I77">
            <v>7810698</v>
          </cell>
          <cell r="J77">
            <v>0</v>
          </cell>
          <cell r="K77">
            <v>0</v>
          </cell>
          <cell r="L77">
            <v>0</v>
          </cell>
          <cell r="M77">
            <v>7810698</v>
          </cell>
        </row>
        <row r="78">
          <cell r="B78" t="str">
            <v>YOSEMITE</v>
          </cell>
          <cell r="C78">
            <v>4948763</v>
          </cell>
          <cell r="D78">
            <v>0</v>
          </cell>
          <cell r="E78">
            <v>4948763</v>
          </cell>
          <cell r="F78">
            <v>0</v>
          </cell>
          <cell r="G78">
            <v>0</v>
          </cell>
          <cell r="H78">
            <v>0</v>
          </cell>
          <cell r="I78">
            <v>4948763</v>
          </cell>
          <cell r="J78">
            <v>0</v>
          </cell>
          <cell r="K78">
            <v>0</v>
          </cell>
          <cell r="L78">
            <v>0</v>
          </cell>
          <cell r="M78">
            <v>4948763</v>
          </cell>
        </row>
        <row r="79">
          <cell r="B79" t="str">
            <v>YUBA</v>
          </cell>
          <cell r="C79">
            <v>1682985</v>
          </cell>
          <cell r="D79">
            <v>0</v>
          </cell>
          <cell r="E79">
            <v>1682985</v>
          </cell>
          <cell r="F79">
            <v>0</v>
          </cell>
          <cell r="G79">
            <v>0</v>
          </cell>
          <cell r="H79">
            <v>0</v>
          </cell>
          <cell r="I79">
            <v>1682985</v>
          </cell>
          <cell r="J79">
            <v>0</v>
          </cell>
          <cell r="K79">
            <v>0</v>
          </cell>
          <cell r="L79">
            <v>0</v>
          </cell>
          <cell r="M79">
            <v>1682985</v>
          </cell>
        </row>
      </sheetData>
      <sheetData sheetId="5" refreshError="1"/>
      <sheetData sheetId="6" refreshError="1"/>
      <sheetData sheetId="7" refreshError="1"/>
      <sheetData sheetId="8">
        <row r="10">
          <cell r="B10" t="str">
            <v>ALLAN HANCOCK</v>
          </cell>
          <cell r="C10">
            <v>2719819</v>
          </cell>
          <cell r="D10">
            <v>2734700</v>
          </cell>
          <cell r="F10">
            <v>2734355</v>
          </cell>
          <cell r="H10">
            <v>2734355</v>
          </cell>
          <cell r="I10">
            <v>0</v>
          </cell>
          <cell r="J10">
            <v>2734355</v>
          </cell>
        </row>
        <row r="11">
          <cell r="B11" t="str">
            <v>ANTELOPE VALLEY</v>
          </cell>
          <cell r="C11">
            <v>2357861</v>
          </cell>
          <cell r="D11">
            <v>2471247</v>
          </cell>
          <cell r="F11">
            <v>2500343</v>
          </cell>
          <cell r="H11">
            <v>12512835</v>
          </cell>
          <cell r="I11">
            <v>-10012491</v>
          </cell>
          <cell r="J11">
            <v>2500344</v>
          </cell>
        </row>
        <row r="12">
          <cell r="B12" t="str">
            <v>BARSTOW</v>
          </cell>
          <cell r="C12">
            <v>504285</v>
          </cell>
          <cell r="D12">
            <v>504285</v>
          </cell>
          <cell r="F12">
            <v>545099</v>
          </cell>
          <cell r="H12">
            <v>545099</v>
          </cell>
          <cell r="I12">
            <v>-24774</v>
          </cell>
          <cell r="J12">
            <v>520325</v>
          </cell>
        </row>
        <row r="13">
          <cell r="B13" t="str">
            <v>BUTTE</v>
          </cell>
          <cell r="C13">
            <v>3312809</v>
          </cell>
          <cell r="D13">
            <v>3480821</v>
          </cell>
          <cell r="F13">
            <v>3455319</v>
          </cell>
          <cell r="H13">
            <v>3455319</v>
          </cell>
          <cell r="I13">
            <v>0</v>
          </cell>
          <cell r="J13">
            <v>3455319</v>
          </cell>
        </row>
        <row r="14">
          <cell r="B14" t="str">
            <v>CABRILLO</v>
          </cell>
          <cell r="C14">
            <v>4552788</v>
          </cell>
          <cell r="D14">
            <v>4564357</v>
          </cell>
          <cell r="F14">
            <v>4575823</v>
          </cell>
          <cell r="H14">
            <v>4575823</v>
          </cell>
          <cell r="I14">
            <v>0</v>
          </cell>
          <cell r="J14">
            <v>4575823</v>
          </cell>
        </row>
        <row r="15">
          <cell r="B15" t="str">
            <v>CERRITOS</v>
          </cell>
          <cell r="C15">
            <v>4425736</v>
          </cell>
          <cell r="D15">
            <v>4370595</v>
          </cell>
          <cell r="F15">
            <v>4614697</v>
          </cell>
          <cell r="H15">
            <v>4614697</v>
          </cell>
          <cell r="I15">
            <v>0</v>
          </cell>
          <cell r="J15">
            <v>4614697</v>
          </cell>
        </row>
        <row r="16">
          <cell r="B16" t="str">
            <v>CHABOT-LAS POSITAS</v>
          </cell>
          <cell r="C16">
            <v>9973444</v>
          </cell>
          <cell r="D16">
            <v>10002176</v>
          </cell>
          <cell r="F16">
            <v>10028649</v>
          </cell>
          <cell r="H16">
            <v>10028649</v>
          </cell>
          <cell r="I16">
            <v>0</v>
          </cell>
          <cell r="J16">
            <v>10028649</v>
          </cell>
        </row>
        <row r="17">
          <cell r="B17" t="str">
            <v>CHAFFEY</v>
          </cell>
          <cell r="C17">
            <v>5923000</v>
          </cell>
          <cell r="D17">
            <v>6130000</v>
          </cell>
          <cell r="F17">
            <v>6107922</v>
          </cell>
          <cell r="H17">
            <v>6107923</v>
          </cell>
          <cell r="I17">
            <v>-209080</v>
          </cell>
          <cell r="J17">
            <v>5898843</v>
          </cell>
        </row>
        <row r="18">
          <cell r="B18" t="str">
            <v>CITRUS</v>
          </cell>
          <cell r="C18">
            <v>4385939</v>
          </cell>
          <cell r="D18">
            <v>5013839</v>
          </cell>
          <cell r="F18">
            <v>4968667</v>
          </cell>
          <cell r="H18">
            <v>4978603</v>
          </cell>
          <cell r="I18">
            <v>0</v>
          </cell>
          <cell r="J18">
            <v>4978603</v>
          </cell>
        </row>
        <row r="19">
          <cell r="B19" t="str">
            <v>COAST</v>
          </cell>
          <cell r="C19">
            <v>15713600</v>
          </cell>
          <cell r="D19">
            <v>16913973</v>
          </cell>
          <cell r="F19">
            <v>17053173</v>
          </cell>
          <cell r="H19">
            <v>17053174</v>
          </cell>
          <cell r="I19">
            <v>0</v>
          </cell>
          <cell r="J19">
            <v>17053174</v>
          </cell>
        </row>
        <row r="20">
          <cell r="B20" t="str">
            <v>COMPTON</v>
          </cell>
          <cell r="C20">
            <v>1022106</v>
          </cell>
          <cell r="D20">
            <v>926272</v>
          </cell>
          <cell r="F20">
            <v>897925</v>
          </cell>
          <cell r="H20">
            <v>897925</v>
          </cell>
          <cell r="I20">
            <v>-150000</v>
          </cell>
          <cell r="J20">
            <v>747925</v>
          </cell>
        </row>
        <row r="21">
          <cell r="B21" t="str">
            <v>CONTRA COSTA</v>
          </cell>
          <cell r="C21">
            <v>16787671</v>
          </cell>
          <cell r="D21">
            <v>17031640</v>
          </cell>
          <cell r="F21">
            <v>16605910</v>
          </cell>
          <cell r="H21">
            <v>16605910</v>
          </cell>
          <cell r="I21">
            <v>0</v>
          </cell>
          <cell r="J21">
            <v>16605910</v>
          </cell>
        </row>
        <row r="22">
          <cell r="B22" t="str">
            <v>COPPER MOUNTAIN</v>
          </cell>
          <cell r="C22">
            <v>199073</v>
          </cell>
          <cell r="D22">
            <v>195092</v>
          </cell>
          <cell r="F22">
            <v>225239</v>
          </cell>
          <cell r="H22">
            <v>225239</v>
          </cell>
          <cell r="I22">
            <v>0</v>
          </cell>
          <cell r="J22">
            <v>225239</v>
          </cell>
        </row>
        <row r="23">
          <cell r="B23" t="str">
            <v>DESERT</v>
          </cell>
          <cell r="C23">
            <v>2420696</v>
          </cell>
          <cell r="D23">
            <v>2384216</v>
          </cell>
          <cell r="F23">
            <v>2381343</v>
          </cell>
          <cell r="H23">
            <v>2381343</v>
          </cell>
          <cell r="I23">
            <v>-187581</v>
          </cell>
          <cell r="J23">
            <v>2193762</v>
          </cell>
        </row>
        <row r="24">
          <cell r="B24" t="str">
            <v>EL CAMINO</v>
          </cell>
          <cell r="C24">
            <v>7406721</v>
          </cell>
          <cell r="D24">
            <v>8469975</v>
          </cell>
          <cell r="F24">
            <v>8425893</v>
          </cell>
          <cell r="H24">
            <v>8425893</v>
          </cell>
          <cell r="I24">
            <v>-57565</v>
          </cell>
          <cell r="J24">
            <v>8368328</v>
          </cell>
        </row>
        <row r="25">
          <cell r="B25" t="str">
            <v>FEATHER RIVER</v>
          </cell>
          <cell r="C25">
            <v>575189</v>
          </cell>
          <cell r="D25">
            <v>580089</v>
          </cell>
          <cell r="F25">
            <v>577595</v>
          </cell>
          <cell r="H25">
            <v>1493340</v>
          </cell>
          <cell r="I25">
            <v>-915745</v>
          </cell>
          <cell r="J25">
            <v>577595</v>
          </cell>
        </row>
        <row r="26">
          <cell r="B26" t="str">
            <v>FOOTHILL-DEANZA</v>
          </cell>
          <cell r="C26">
            <v>21500000</v>
          </cell>
          <cell r="D26">
            <v>21100000</v>
          </cell>
          <cell r="F26">
            <v>22549523</v>
          </cell>
          <cell r="H26">
            <v>22549524</v>
          </cell>
          <cell r="I26">
            <v>0</v>
          </cell>
          <cell r="J26">
            <v>22549524</v>
          </cell>
        </row>
        <row r="27">
          <cell r="B27" t="str">
            <v>GAVILAN</v>
          </cell>
          <cell r="C27">
            <v>2392933</v>
          </cell>
          <cell r="D27">
            <v>2243504</v>
          </cell>
          <cell r="F27">
            <v>2173904</v>
          </cell>
          <cell r="H27">
            <v>2143904</v>
          </cell>
          <cell r="I27">
            <v>0</v>
          </cell>
          <cell r="J27">
            <v>2143904</v>
          </cell>
        </row>
        <row r="28">
          <cell r="B28" t="str">
            <v>GLENDALE</v>
          </cell>
          <cell r="C28">
            <v>3390025</v>
          </cell>
          <cell r="D28">
            <v>4713483</v>
          </cell>
          <cell r="F28">
            <v>4540393</v>
          </cell>
          <cell r="H28">
            <v>4717900</v>
          </cell>
          <cell r="I28">
            <v>-177507</v>
          </cell>
          <cell r="J28">
            <v>4540393</v>
          </cell>
        </row>
        <row r="29">
          <cell r="B29" t="str">
            <v>GROSSMONT-CUYAMACA</v>
          </cell>
          <cell r="C29">
            <v>7355715</v>
          </cell>
          <cell r="D29">
            <v>7330195</v>
          </cell>
          <cell r="F29">
            <v>7512429</v>
          </cell>
          <cell r="H29">
            <v>7512429</v>
          </cell>
          <cell r="I29">
            <v>0</v>
          </cell>
          <cell r="J29">
            <v>7512429</v>
          </cell>
        </row>
        <row r="30">
          <cell r="B30" t="str">
            <v>HARTNELL</v>
          </cell>
          <cell r="C30">
            <v>2040485</v>
          </cell>
          <cell r="D30">
            <v>2143755</v>
          </cell>
          <cell r="F30">
            <v>2130246</v>
          </cell>
          <cell r="H30">
            <v>2130246</v>
          </cell>
          <cell r="I30">
            <v>0</v>
          </cell>
          <cell r="J30">
            <v>2130246</v>
          </cell>
        </row>
        <row r="31">
          <cell r="B31" t="str">
            <v>IMPERIAL</v>
          </cell>
          <cell r="C31">
            <v>1296763</v>
          </cell>
          <cell r="D31">
            <v>1219101</v>
          </cell>
          <cell r="F31">
            <v>1303879</v>
          </cell>
          <cell r="H31">
            <v>1303879</v>
          </cell>
          <cell r="I31">
            <v>0</v>
          </cell>
          <cell r="J31">
            <v>1303879</v>
          </cell>
        </row>
        <row r="32">
          <cell r="B32" t="str">
            <v>KERN</v>
          </cell>
          <cell r="C32">
            <v>6263445</v>
          </cell>
          <cell r="D32">
            <v>6358782</v>
          </cell>
          <cell r="F32">
            <v>6355881</v>
          </cell>
          <cell r="H32">
            <v>26288552</v>
          </cell>
          <cell r="I32">
            <v>-19908982</v>
          </cell>
          <cell r="J32">
            <v>6379570</v>
          </cell>
        </row>
        <row r="33">
          <cell r="B33" t="str">
            <v>LAKE TAHOE</v>
          </cell>
          <cell r="C33">
            <v>921828</v>
          </cell>
          <cell r="D33">
            <v>809444</v>
          </cell>
          <cell r="F33">
            <v>814955</v>
          </cell>
          <cell r="H33">
            <v>816962</v>
          </cell>
          <cell r="I33">
            <v>-2006</v>
          </cell>
          <cell r="J33">
            <v>814956</v>
          </cell>
        </row>
        <row r="34">
          <cell r="B34" t="str">
            <v>LASSEN</v>
          </cell>
          <cell r="C34">
            <v>435000</v>
          </cell>
          <cell r="D34">
            <v>457000</v>
          </cell>
          <cell r="F34">
            <v>452451</v>
          </cell>
          <cell r="H34">
            <v>452451</v>
          </cell>
          <cell r="I34">
            <v>0</v>
          </cell>
          <cell r="J34">
            <v>452451</v>
          </cell>
        </row>
        <row r="35">
          <cell r="B35" t="str">
            <v>LONG BEACH</v>
          </cell>
          <cell r="C35">
            <v>4969312</v>
          </cell>
          <cell r="D35">
            <v>6508825</v>
          </cell>
          <cell r="F35">
            <v>6349587</v>
          </cell>
          <cell r="H35">
            <v>23194582</v>
          </cell>
          <cell r="I35">
            <v>-16844995</v>
          </cell>
          <cell r="J35">
            <v>6349587</v>
          </cell>
        </row>
        <row r="36">
          <cell r="B36" t="str">
            <v>LOS ANGELES</v>
          </cell>
          <cell r="C36">
            <v>32513036</v>
          </cell>
          <cell r="D36">
            <v>33045906</v>
          </cell>
          <cell r="F36">
            <v>33147207</v>
          </cell>
          <cell r="H36">
            <v>33147207</v>
          </cell>
          <cell r="I36">
            <v>0</v>
          </cell>
          <cell r="J36">
            <v>33147207</v>
          </cell>
        </row>
        <row r="37">
          <cell r="B37" t="str">
            <v>LOS RIOS</v>
          </cell>
          <cell r="C37">
            <v>16714746</v>
          </cell>
          <cell r="D37">
            <v>17032560</v>
          </cell>
          <cell r="F37">
            <v>16925982</v>
          </cell>
          <cell r="H37">
            <v>16925982</v>
          </cell>
          <cell r="I37">
            <v>0</v>
          </cell>
          <cell r="J37">
            <v>16925982</v>
          </cell>
        </row>
        <row r="38">
          <cell r="B38" t="str">
            <v>MARIN</v>
          </cell>
          <cell r="C38">
            <v>1857694</v>
          </cell>
          <cell r="D38">
            <v>2096672</v>
          </cell>
          <cell r="F38">
            <v>2067703</v>
          </cell>
          <cell r="H38">
            <v>3776202</v>
          </cell>
          <cell r="I38">
            <v>-1708499</v>
          </cell>
          <cell r="J38">
            <v>2067703</v>
          </cell>
        </row>
        <row r="39">
          <cell r="B39" t="str">
            <v>MENDOCINO-LAKE</v>
          </cell>
          <cell r="C39">
            <v>728358</v>
          </cell>
          <cell r="D39">
            <v>750000</v>
          </cell>
          <cell r="F39">
            <v>763968</v>
          </cell>
          <cell r="H39">
            <v>763968</v>
          </cell>
          <cell r="I39">
            <v>0</v>
          </cell>
          <cell r="J39">
            <v>763968</v>
          </cell>
        </row>
        <row r="40">
          <cell r="B40" t="str">
            <v>MERCED</v>
          </cell>
          <cell r="C40">
            <v>2578632</v>
          </cell>
          <cell r="D40">
            <v>2530279</v>
          </cell>
          <cell r="F40">
            <v>2530279</v>
          </cell>
          <cell r="H40">
            <v>2530279</v>
          </cell>
          <cell r="I40">
            <v>0</v>
          </cell>
          <cell r="J40">
            <v>2530279</v>
          </cell>
        </row>
        <row r="41">
          <cell r="B41" t="str">
            <v>MIRACOSTA</v>
          </cell>
          <cell r="C41">
            <v>8700000</v>
          </cell>
          <cell r="D41">
            <v>8700000</v>
          </cell>
          <cell r="F41">
            <v>5838785</v>
          </cell>
          <cell r="H41">
            <v>5838785</v>
          </cell>
          <cell r="I41">
            <v>0</v>
          </cell>
          <cell r="J41">
            <v>5838785</v>
          </cell>
        </row>
        <row r="42">
          <cell r="B42" t="str">
            <v>MONTEREY</v>
          </cell>
          <cell r="C42">
            <v>2922410</v>
          </cell>
          <cell r="D42">
            <v>2775164</v>
          </cell>
          <cell r="F42">
            <v>2950882</v>
          </cell>
          <cell r="H42">
            <v>2950882</v>
          </cell>
          <cell r="I42">
            <v>0</v>
          </cell>
          <cell r="J42">
            <v>2950882</v>
          </cell>
        </row>
        <row r="43">
          <cell r="B43" t="str">
            <v>MT. SAN ANTONIO</v>
          </cell>
          <cell r="C43">
            <v>9164297</v>
          </cell>
          <cell r="D43">
            <v>9364144</v>
          </cell>
          <cell r="F43">
            <v>9328195</v>
          </cell>
          <cell r="H43">
            <v>9328195</v>
          </cell>
          <cell r="I43">
            <v>-76121</v>
          </cell>
          <cell r="J43">
            <v>9252074</v>
          </cell>
        </row>
        <row r="44">
          <cell r="B44" t="str">
            <v>MT. SAN JACINTO</v>
          </cell>
          <cell r="C44">
            <v>3450000</v>
          </cell>
          <cell r="D44">
            <v>3759236</v>
          </cell>
          <cell r="F44">
            <v>3473755</v>
          </cell>
          <cell r="H44">
            <v>3473755</v>
          </cell>
          <cell r="I44">
            <v>-36167</v>
          </cell>
          <cell r="J44">
            <v>3437588</v>
          </cell>
        </row>
        <row r="45">
          <cell r="B45" t="str">
            <v>NAPA</v>
          </cell>
          <cell r="C45">
            <v>2111909</v>
          </cell>
          <cell r="D45">
            <v>2043872</v>
          </cell>
          <cell r="F45">
            <v>2221483</v>
          </cell>
          <cell r="J45">
            <v>0</v>
          </cell>
        </row>
        <row r="46">
          <cell r="B46" t="str">
            <v>NORTH ORANGE</v>
          </cell>
          <cell r="C46">
            <v>12911027</v>
          </cell>
          <cell r="D46">
            <v>13340368</v>
          </cell>
          <cell r="F46">
            <v>13147122</v>
          </cell>
          <cell r="H46">
            <v>13147122</v>
          </cell>
          <cell r="I46">
            <v>0</v>
          </cell>
          <cell r="J46">
            <v>13147122</v>
          </cell>
        </row>
        <row r="47">
          <cell r="B47" t="str">
            <v>OHLONE</v>
          </cell>
          <cell r="C47">
            <v>4306744</v>
          </cell>
          <cell r="D47">
            <v>4744917</v>
          </cell>
          <cell r="F47">
            <v>4771022</v>
          </cell>
          <cell r="H47">
            <v>8108069</v>
          </cell>
          <cell r="I47">
            <v>-3337047</v>
          </cell>
          <cell r="J47">
            <v>4771022</v>
          </cell>
        </row>
        <row r="48">
          <cell r="B48" t="str">
            <v>PALO VERDE</v>
          </cell>
          <cell r="C48">
            <v>484906</v>
          </cell>
          <cell r="D48">
            <v>538144</v>
          </cell>
          <cell r="F48">
            <v>512910</v>
          </cell>
          <cell r="H48">
            <v>505802</v>
          </cell>
          <cell r="I48">
            <v>0</v>
          </cell>
          <cell r="J48">
            <v>505802</v>
          </cell>
        </row>
        <row r="49">
          <cell r="B49" t="str">
            <v>PALOMAR</v>
          </cell>
          <cell r="C49">
            <v>8350257</v>
          </cell>
          <cell r="D49">
            <v>9162577</v>
          </cell>
          <cell r="F49">
            <v>9045148</v>
          </cell>
          <cell r="H49">
            <v>9045148</v>
          </cell>
          <cell r="I49">
            <v>0</v>
          </cell>
          <cell r="J49">
            <v>9045148</v>
          </cell>
        </row>
        <row r="50">
          <cell r="B50" t="str">
            <v>PASADENA</v>
          </cell>
          <cell r="C50">
            <v>9000000</v>
          </cell>
          <cell r="D50">
            <v>10041000</v>
          </cell>
          <cell r="F50">
            <v>9851095</v>
          </cell>
          <cell r="H50">
            <v>25378358</v>
          </cell>
          <cell r="I50">
            <v>-15527263</v>
          </cell>
          <cell r="J50">
            <v>9851095</v>
          </cell>
        </row>
        <row r="51">
          <cell r="B51" t="str">
            <v>PERALTA</v>
          </cell>
          <cell r="C51">
            <v>6277019</v>
          </cell>
          <cell r="D51">
            <v>6985547</v>
          </cell>
          <cell r="F51">
            <v>6624194</v>
          </cell>
          <cell r="H51">
            <v>6624194</v>
          </cell>
          <cell r="I51">
            <v>-229239</v>
          </cell>
          <cell r="J51">
            <v>6394955</v>
          </cell>
        </row>
        <row r="52">
          <cell r="B52" t="str">
            <v>RANCHO SANTIAGO</v>
          </cell>
          <cell r="C52">
            <v>7498248</v>
          </cell>
          <cell r="D52">
            <v>8574253</v>
          </cell>
          <cell r="F52">
            <v>9037615</v>
          </cell>
          <cell r="H52">
            <v>8850604</v>
          </cell>
          <cell r="I52">
            <v>0</v>
          </cell>
          <cell r="J52">
            <v>8850604</v>
          </cell>
        </row>
        <row r="53">
          <cell r="B53" t="str">
            <v>REDWOODS</v>
          </cell>
          <cell r="C53">
            <v>1411352</v>
          </cell>
          <cell r="D53">
            <v>1405556</v>
          </cell>
          <cell r="F53">
            <v>1223446</v>
          </cell>
          <cell r="H53">
            <v>1223447</v>
          </cell>
          <cell r="I53">
            <v>0</v>
          </cell>
          <cell r="J53">
            <v>1223447</v>
          </cell>
        </row>
        <row r="54">
          <cell r="B54" t="str">
            <v>RIO HONDO</v>
          </cell>
          <cell r="C54">
            <v>3000000</v>
          </cell>
          <cell r="D54">
            <v>3050000</v>
          </cell>
          <cell r="F54">
            <v>3989160</v>
          </cell>
          <cell r="H54">
            <v>4002883</v>
          </cell>
          <cell r="I54">
            <v>0</v>
          </cell>
          <cell r="J54">
            <v>4002883</v>
          </cell>
        </row>
        <row r="55">
          <cell r="B55" t="str">
            <v>RIVERSIDE</v>
          </cell>
          <cell r="C55">
            <v>8428741</v>
          </cell>
          <cell r="D55">
            <v>9060225</v>
          </cell>
          <cell r="F55">
            <v>10343269</v>
          </cell>
          <cell r="H55">
            <v>10474163</v>
          </cell>
          <cell r="I55">
            <v>0</v>
          </cell>
          <cell r="J55">
            <v>10474163</v>
          </cell>
        </row>
        <row r="56">
          <cell r="B56" t="str">
            <v>SAN BERNARDINO</v>
          </cell>
          <cell r="C56">
            <v>4281195</v>
          </cell>
          <cell r="D56">
            <v>5164716</v>
          </cell>
          <cell r="F56">
            <v>5148155</v>
          </cell>
          <cell r="H56">
            <v>5148155</v>
          </cell>
          <cell r="I56">
            <v>-17929</v>
          </cell>
          <cell r="J56">
            <v>5130226</v>
          </cell>
        </row>
        <row r="57">
          <cell r="B57" t="str">
            <v>SAN DIEGO</v>
          </cell>
          <cell r="C57">
            <v>11233444</v>
          </cell>
          <cell r="D57">
            <v>13926422</v>
          </cell>
          <cell r="F57">
            <v>13808582</v>
          </cell>
          <cell r="H57">
            <v>13847726</v>
          </cell>
          <cell r="I57">
            <v>0</v>
          </cell>
          <cell r="J57">
            <v>13847726</v>
          </cell>
        </row>
        <row r="58">
          <cell r="B58" t="str">
            <v>SAN FRANCISCO</v>
          </cell>
          <cell r="C58">
            <v>9765966</v>
          </cell>
          <cell r="D58">
            <v>9626623</v>
          </cell>
          <cell r="F58">
            <v>9511232</v>
          </cell>
          <cell r="H58">
            <v>9511232</v>
          </cell>
          <cell r="I58">
            <v>0</v>
          </cell>
          <cell r="J58">
            <v>9511232</v>
          </cell>
        </row>
        <row r="59">
          <cell r="B59" t="str">
            <v>SAN JOAQUIN DELTA</v>
          </cell>
          <cell r="C59">
            <v>6012129</v>
          </cell>
          <cell r="D59">
            <v>5428412</v>
          </cell>
          <cell r="F59">
            <v>4788857</v>
          </cell>
          <cell r="H59">
            <v>4788857</v>
          </cell>
          <cell r="I59">
            <v>201112</v>
          </cell>
          <cell r="J59">
            <v>4989969</v>
          </cell>
        </row>
        <row r="60">
          <cell r="B60" t="str">
            <v>SAN JOSE-EVERGREEN</v>
          </cell>
          <cell r="C60">
            <v>5129217</v>
          </cell>
          <cell r="D60">
            <v>5668932</v>
          </cell>
          <cell r="F60">
            <v>5498636</v>
          </cell>
          <cell r="H60">
            <v>5498636</v>
          </cell>
          <cell r="I60">
            <v>0</v>
          </cell>
          <cell r="J60">
            <v>5498636</v>
          </cell>
        </row>
        <row r="61">
          <cell r="B61" t="str">
            <v>SAN LUIS OBISPO</v>
          </cell>
          <cell r="C61">
            <v>3976010</v>
          </cell>
          <cell r="D61">
            <v>3963061</v>
          </cell>
          <cell r="F61">
            <v>3867845</v>
          </cell>
          <cell r="H61">
            <v>3867845</v>
          </cell>
          <cell r="I61">
            <v>0</v>
          </cell>
          <cell r="J61">
            <v>3867845</v>
          </cell>
        </row>
        <row r="62">
          <cell r="B62" t="str">
            <v>SAN MATEO</v>
          </cell>
          <cell r="C62">
            <v>10583599</v>
          </cell>
          <cell r="D62">
            <v>10960116</v>
          </cell>
          <cell r="F62">
            <v>10803020</v>
          </cell>
          <cell r="H62">
            <v>19803708</v>
          </cell>
          <cell r="I62">
            <v>-8944240</v>
          </cell>
          <cell r="J62">
            <v>10859468</v>
          </cell>
        </row>
        <row r="63">
          <cell r="B63" t="str">
            <v>SANTA BARBARA</v>
          </cell>
          <cell r="C63">
            <v>7095249</v>
          </cell>
          <cell r="D63">
            <v>7683487</v>
          </cell>
          <cell r="F63">
            <v>8108509</v>
          </cell>
          <cell r="H63">
            <v>7946340</v>
          </cell>
          <cell r="I63">
            <v>162170</v>
          </cell>
          <cell r="J63">
            <v>8108510</v>
          </cell>
        </row>
        <row r="64">
          <cell r="B64" t="str">
            <v>SANTA CLARITA</v>
          </cell>
          <cell r="C64">
            <v>8000000</v>
          </cell>
          <cell r="D64">
            <v>8100000</v>
          </cell>
          <cell r="F64">
            <v>8760004</v>
          </cell>
          <cell r="H64">
            <v>8760004</v>
          </cell>
          <cell r="I64">
            <v>120714</v>
          </cell>
          <cell r="J64">
            <v>8880718</v>
          </cell>
        </row>
        <row r="65">
          <cell r="B65" t="str">
            <v>SANTA MONICA</v>
          </cell>
          <cell r="C65">
            <v>13655858</v>
          </cell>
          <cell r="D65">
            <v>14430627</v>
          </cell>
          <cell r="F65">
            <v>14409483</v>
          </cell>
          <cell r="H65">
            <v>14409483</v>
          </cell>
          <cell r="I65">
            <v>0</v>
          </cell>
          <cell r="J65">
            <v>14409483</v>
          </cell>
        </row>
        <row r="66">
          <cell r="B66" t="str">
            <v>SEQUOIAS</v>
          </cell>
          <cell r="C66">
            <v>2748695</v>
          </cell>
          <cell r="D66">
            <v>2692066</v>
          </cell>
          <cell r="F66">
            <v>2689789</v>
          </cell>
          <cell r="H66">
            <v>2689789</v>
          </cell>
          <cell r="I66">
            <v>-92871</v>
          </cell>
          <cell r="J66">
            <v>2596918</v>
          </cell>
        </row>
        <row r="67">
          <cell r="B67" t="str">
            <v>SHASTA-TEH-TRI</v>
          </cell>
          <cell r="C67">
            <v>2040000</v>
          </cell>
          <cell r="D67">
            <v>2033274</v>
          </cell>
          <cell r="F67">
            <v>2030622</v>
          </cell>
          <cell r="H67">
            <v>2030622</v>
          </cell>
          <cell r="I67">
            <v>-3033</v>
          </cell>
          <cell r="J67">
            <v>2027589</v>
          </cell>
        </row>
        <row r="68">
          <cell r="B68" t="str">
            <v>SIERRA</v>
          </cell>
          <cell r="C68">
            <v>7182900</v>
          </cell>
          <cell r="D68">
            <v>7370099</v>
          </cell>
          <cell r="F68">
            <v>7324787</v>
          </cell>
          <cell r="H68">
            <v>16014325</v>
          </cell>
          <cell r="I68">
            <v>-8787573</v>
          </cell>
          <cell r="J68">
            <v>7226752</v>
          </cell>
        </row>
        <row r="69">
          <cell r="B69" t="str">
            <v>SISKIYOU</v>
          </cell>
          <cell r="C69">
            <v>1253925</v>
          </cell>
          <cell r="D69">
            <v>1277771</v>
          </cell>
          <cell r="F69">
            <v>1318025</v>
          </cell>
          <cell r="H69">
            <v>2432650</v>
          </cell>
          <cell r="I69">
            <v>-1114626</v>
          </cell>
          <cell r="J69">
            <v>1318024</v>
          </cell>
        </row>
        <row r="70">
          <cell r="B70" t="str">
            <v>SOLANO</v>
          </cell>
          <cell r="C70">
            <v>3500430</v>
          </cell>
          <cell r="D70">
            <v>3705554</v>
          </cell>
          <cell r="F70">
            <v>3695393</v>
          </cell>
          <cell r="H70">
            <v>3695393</v>
          </cell>
          <cell r="I70">
            <v>0</v>
          </cell>
          <cell r="J70">
            <v>3695393</v>
          </cell>
        </row>
        <row r="71">
          <cell r="B71" t="str">
            <v>SONOMA</v>
          </cell>
          <cell r="C71">
            <v>8833808</v>
          </cell>
          <cell r="D71">
            <v>8877889</v>
          </cell>
          <cell r="F71">
            <v>8705727</v>
          </cell>
          <cell r="H71">
            <v>8705727</v>
          </cell>
          <cell r="I71">
            <v>0</v>
          </cell>
          <cell r="J71">
            <v>8705727</v>
          </cell>
        </row>
        <row r="72">
          <cell r="B72" t="str">
            <v>SOUTH ORANGE</v>
          </cell>
          <cell r="C72">
            <v>18207166</v>
          </cell>
          <cell r="D72">
            <v>18344914</v>
          </cell>
          <cell r="F72">
            <v>18317670</v>
          </cell>
          <cell r="H72">
            <v>29215734</v>
          </cell>
          <cell r="I72">
            <v>-10898064</v>
          </cell>
          <cell r="J72">
            <v>18317670</v>
          </cell>
        </row>
        <row r="73">
          <cell r="B73" t="str">
            <v>SOUTHWESTERN</v>
          </cell>
          <cell r="C73">
            <v>3940226</v>
          </cell>
          <cell r="D73">
            <v>4451251</v>
          </cell>
          <cell r="F73">
            <v>4444617</v>
          </cell>
          <cell r="H73">
            <v>4444618</v>
          </cell>
          <cell r="I73">
            <v>0</v>
          </cell>
          <cell r="J73">
            <v>4444618</v>
          </cell>
        </row>
        <row r="74">
          <cell r="B74" t="str">
            <v>STATE CENTER</v>
          </cell>
          <cell r="C74">
            <v>8671834</v>
          </cell>
          <cell r="D74">
            <v>8453360</v>
          </cell>
          <cell r="F74">
            <v>8394478</v>
          </cell>
          <cell r="H74">
            <v>34277896</v>
          </cell>
          <cell r="I74">
            <v>-26259317</v>
          </cell>
          <cell r="J74">
            <v>8018579</v>
          </cell>
        </row>
        <row r="75">
          <cell r="B75" t="str">
            <v>VENTURA</v>
          </cell>
          <cell r="C75">
            <v>14152447</v>
          </cell>
          <cell r="D75">
            <v>14698300</v>
          </cell>
          <cell r="F75">
            <v>10814221</v>
          </cell>
          <cell r="H75">
            <v>10814221</v>
          </cell>
          <cell r="I75">
            <v>0</v>
          </cell>
          <cell r="J75">
            <v>10814221</v>
          </cell>
        </row>
        <row r="76">
          <cell r="B76" t="str">
            <v>VICTOR VALLEY</v>
          </cell>
          <cell r="C76">
            <v>2077452</v>
          </cell>
          <cell r="D76">
            <v>2126434</v>
          </cell>
          <cell r="F76">
            <v>2072584</v>
          </cell>
          <cell r="H76">
            <v>2072584</v>
          </cell>
          <cell r="I76">
            <v>0</v>
          </cell>
          <cell r="J76">
            <v>2072584</v>
          </cell>
        </row>
        <row r="77">
          <cell r="B77" t="str">
            <v>WEST HILLS</v>
          </cell>
          <cell r="C77">
            <v>1101194</v>
          </cell>
          <cell r="D77">
            <v>1030354</v>
          </cell>
          <cell r="F77">
            <v>1014262</v>
          </cell>
          <cell r="H77">
            <v>1014262</v>
          </cell>
          <cell r="I77">
            <v>0</v>
          </cell>
          <cell r="J77">
            <v>1014262</v>
          </cell>
        </row>
        <row r="78">
          <cell r="B78" t="str">
            <v>WEST KERN</v>
          </cell>
          <cell r="C78">
            <v>790372</v>
          </cell>
          <cell r="D78">
            <v>790923</v>
          </cell>
          <cell r="F78">
            <v>826091</v>
          </cell>
          <cell r="H78">
            <v>826091</v>
          </cell>
          <cell r="I78">
            <v>0</v>
          </cell>
          <cell r="J78">
            <v>826091</v>
          </cell>
        </row>
        <row r="79">
          <cell r="B79" t="str">
            <v>WEST VALLEY</v>
          </cell>
          <cell r="C79">
            <v>6668735</v>
          </cell>
          <cell r="D79">
            <v>7843480</v>
          </cell>
          <cell r="F79">
            <v>7810698</v>
          </cell>
          <cell r="H79">
            <v>7810697</v>
          </cell>
          <cell r="I79">
            <v>0</v>
          </cell>
          <cell r="J79">
            <v>7810697</v>
          </cell>
        </row>
        <row r="80">
          <cell r="B80" t="str">
            <v>YOSEMITE</v>
          </cell>
          <cell r="C80">
            <v>4600000</v>
          </cell>
          <cell r="D80">
            <v>5000000</v>
          </cell>
          <cell r="F80">
            <v>4948763</v>
          </cell>
          <cell r="H80">
            <v>4948763</v>
          </cell>
          <cell r="I80">
            <v>-258071</v>
          </cell>
          <cell r="J80">
            <v>4690692</v>
          </cell>
        </row>
        <row r="81">
          <cell r="B81" t="str">
            <v>YUBA</v>
          </cell>
          <cell r="C81">
            <v>1617388</v>
          </cell>
          <cell r="D81">
            <v>1703760</v>
          </cell>
          <cell r="F81">
            <v>1682985</v>
          </cell>
          <cell r="H81">
            <v>8071781</v>
          </cell>
          <cell r="I81">
            <v>-6388687</v>
          </cell>
          <cell r="J81">
            <v>1683094</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x11-15-2015"/>
      <sheetName val="1a.Modified ptax11-15-2015"/>
      <sheetName val="1b. ptax table 11-15-2015"/>
      <sheetName val="1c.DistrictAlpha ptax11-15-2015"/>
      <sheetName val="1d.County ptax11-15-2015"/>
      <sheetName val="1e.ERAF Analysis"/>
      <sheetName val="1g.General Apportionment"/>
      <sheetName val="1h.Tax_Proration"/>
      <sheetName val="APPORTIONMENT REPORT_1.26.16"/>
      <sheetName val="1i.NewERAFModptax11-15-2015"/>
      <sheetName val="1j.Los Angles ERAF Calculations"/>
      <sheetName val="1.Fall_Est_PTax&amp;ERAF"/>
      <sheetName val="2.Spring_Est_PTax&amp;ERAF"/>
    </sheetNames>
    <sheetDataSet>
      <sheetData sheetId="0"/>
      <sheetData sheetId="1"/>
      <sheetData sheetId="2"/>
      <sheetData sheetId="3">
        <row r="2">
          <cell r="C2" t="str">
            <v xml:space="preserve"> DISTRICT</v>
          </cell>
          <cell r="D2" t="str">
            <v xml:space="preserve"> COUNTY</v>
          </cell>
          <cell r="E2" t="str">
            <v xml:space="preserve"> DISTCODE</v>
          </cell>
          <cell r="F2" t="str">
            <v xml:space="preserve"> FYear</v>
          </cell>
          <cell r="G2" t="str">
            <v xml:space="preserve"> Period</v>
          </cell>
          <cell r="H2" t="str">
            <v xml:space="preserve"> Sec_Roll_A</v>
          </cell>
          <cell r="I2" t="str">
            <v xml:space="preserve"> Sup_Roll_A</v>
          </cell>
          <cell r="J2" t="str">
            <v>Unsec_Roll_A</v>
          </cell>
          <cell r="K2" t="str">
            <v xml:space="preserve"> AB1290_A</v>
          </cell>
          <cell r="L2" t="str">
            <v xml:space="preserve"> ptax475_A</v>
          </cell>
          <cell r="M2" t="str">
            <v xml:space="preserve"> preAB1290_A</v>
          </cell>
          <cell r="N2" t="str">
            <v xml:space="preserve"> portionptax475_A</v>
          </cell>
          <cell r="O2" t="str">
            <v xml:space="preserve">  RDA_dev_1_A</v>
          </cell>
          <cell r="P2" t="str">
            <v xml:space="preserve"> RDA_dev_2_A</v>
          </cell>
          <cell r="Q2" t="str">
            <v xml:space="preserve"> Prior_Year_A</v>
          </cell>
          <cell r="R2" t="str">
            <v>Timber_Yield_A</v>
          </cell>
          <cell r="S2" t="str">
            <v xml:space="preserve"> Homeowner_PTR_A</v>
          </cell>
          <cell r="T2" t="str">
            <v xml:space="preserve"> Other_A</v>
          </cell>
          <cell r="U2" t="str">
            <v xml:space="preserve"> ERAF_A </v>
          </cell>
          <cell r="V2" t="str">
            <v xml:space="preserve"> Redevelop_A</v>
          </cell>
          <cell r="W2" t="str">
            <v xml:space="preserve"> TOT_PTR_A</v>
          </cell>
          <cell r="X2" t="str">
            <v xml:space="preserve"> Impd_Rev_A</v>
          </cell>
          <cell r="Y2" t="str">
            <v>FY1_A</v>
          </cell>
          <cell r="Z2" t="str">
            <v xml:space="preserve"> FY2_A</v>
          </cell>
          <cell r="AA2" t="str">
            <v xml:space="preserve"> FY3_A</v>
          </cell>
          <cell r="AB2" t="str">
            <v xml:space="preserve"> Sec_Roll_E</v>
          </cell>
          <cell r="AC2" t="str">
            <v xml:space="preserve"> Sup_Roll_E</v>
          </cell>
          <cell r="AD2" t="str">
            <v xml:space="preserve"> Unsec_Roll_E</v>
          </cell>
          <cell r="AE2" t="str">
            <v xml:space="preserve"> AB1290_E</v>
          </cell>
          <cell r="AF2" t="str">
            <v xml:space="preserve"> ptax475_E</v>
          </cell>
          <cell r="AG2" t="str">
            <v xml:space="preserve"> preAB1290_E</v>
          </cell>
          <cell r="AH2" t="str">
            <v>portionptax475_E</v>
          </cell>
          <cell r="AI2" t="str">
            <v xml:space="preserve"> RDA_dev_1_E</v>
          </cell>
          <cell r="AJ2" t="str">
            <v xml:space="preserve"> RDA_dev_2_E</v>
          </cell>
          <cell r="AK2" t="str">
            <v xml:space="preserve"> Prior_Year_E</v>
          </cell>
          <cell r="AL2" t="str">
            <v xml:space="preserve"> Timber_Yield_E</v>
          </cell>
          <cell r="AM2" t="str">
            <v xml:space="preserve"> Homeowner_PTR_E</v>
          </cell>
          <cell r="AN2" t="str">
            <v xml:space="preserve"> Other_E</v>
          </cell>
          <cell r="AO2" t="str">
            <v xml:space="preserve"> ERAF_E</v>
          </cell>
          <cell r="AP2" t="str">
            <v xml:space="preserve"> TOT_PTR_E</v>
          </cell>
          <cell r="AQ2" t="str">
            <v xml:space="preserve"> Impd_Rev_E</v>
          </cell>
          <cell r="AR2" t="str">
            <v xml:space="preserve"> FY1_E</v>
          </cell>
          <cell r="AS2" t="str">
            <v xml:space="preserve"> FY2_E</v>
          </cell>
          <cell r="AT2" t="str">
            <v xml:space="preserve"> FY3_E</v>
          </cell>
          <cell r="AU2" t="str">
            <v xml:space="preserve"> FY1</v>
          </cell>
          <cell r="AV2" t="str">
            <v xml:space="preserve"> FY2</v>
          </cell>
          <cell r="AW2" t="str">
            <v xml:space="preserve"> FY3</v>
          </cell>
        </row>
        <row r="3">
          <cell r="C3" t="str">
            <v xml:space="preserve"> ALLAN HANCOCK     </v>
          </cell>
          <cell r="D3" t="str">
            <v xml:space="preserve"> SAN LUIS OBISPO   </v>
          </cell>
          <cell r="E3">
            <v>610</v>
          </cell>
          <cell r="F3" t="str">
            <v xml:space="preserve"> 2015-2016</v>
          </cell>
          <cell r="G3" t="str">
            <v xml:space="preserve"> 11/15/2015</v>
          </cell>
          <cell r="H3">
            <v>34485</v>
          </cell>
          <cell r="I3">
            <v>0</v>
          </cell>
          <cell r="J3">
            <v>764</v>
          </cell>
          <cell r="K3">
            <v>0</v>
          </cell>
          <cell r="L3">
            <v>0</v>
          </cell>
          <cell r="M3">
            <v>0</v>
          </cell>
          <cell r="N3">
            <v>0</v>
          </cell>
          <cell r="O3">
            <v>0</v>
          </cell>
          <cell r="P3">
            <v>0</v>
          </cell>
          <cell r="Q3">
            <v>-24</v>
          </cell>
          <cell r="R3">
            <v>0</v>
          </cell>
          <cell r="S3">
            <v>243</v>
          </cell>
          <cell r="T3">
            <v>0</v>
          </cell>
          <cell r="U3">
            <v>0</v>
          </cell>
          <cell r="V3" t="str">
            <v xml:space="preserve"> </v>
          </cell>
          <cell r="W3">
            <v>35468</v>
          </cell>
          <cell r="X3">
            <v>0</v>
          </cell>
          <cell r="Y3">
            <v>0</v>
          </cell>
          <cell r="Z3">
            <v>0</v>
          </cell>
          <cell r="AA3">
            <v>0</v>
          </cell>
          <cell r="AB3">
            <v>37769</v>
          </cell>
          <cell r="AC3">
            <v>0</v>
          </cell>
          <cell r="AD3">
            <v>837</v>
          </cell>
          <cell r="AE3">
            <v>0</v>
          </cell>
          <cell r="AF3">
            <v>0</v>
          </cell>
          <cell r="AG3">
            <v>0</v>
          </cell>
          <cell r="AH3">
            <v>0</v>
          </cell>
          <cell r="AI3">
            <v>0</v>
          </cell>
          <cell r="AJ3">
            <v>0</v>
          </cell>
          <cell r="AK3">
            <v>-27</v>
          </cell>
          <cell r="AL3">
            <v>0</v>
          </cell>
          <cell r="AM3">
            <v>251</v>
          </cell>
          <cell r="AN3">
            <v>0</v>
          </cell>
          <cell r="AO3">
            <v>0</v>
          </cell>
          <cell r="AP3">
            <v>38830</v>
          </cell>
          <cell r="AQ3">
            <v>0</v>
          </cell>
          <cell r="AR3">
            <v>0</v>
          </cell>
          <cell r="AS3">
            <v>0</v>
          </cell>
          <cell r="AT3">
            <v>0</v>
          </cell>
          <cell r="AU3" t="str">
            <v xml:space="preserve"> </v>
          </cell>
          <cell r="AV3" t="str">
            <v xml:space="preserve"> </v>
          </cell>
          <cell r="AW3" t="str">
            <v xml:space="preserve"> </v>
          </cell>
        </row>
        <row r="4">
          <cell r="C4" t="str">
            <v xml:space="preserve"> ALLAN HANCOCK     </v>
          </cell>
          <cell r="D4" t="str">
            <v xml:space="preserve"> SANTA BARBARA     </v>
          </cell>
          <cell r="E4">
            <v>610</v>
          </cell>
          <cell r="F4" t="str">
            <v xml:space="preserve"> 2015-2016</v>
          </cell>
          <cell r="G4" t="str">
            <v xml:space="preserve"> 11/15/2015</v>
          </cell>
          <cell r="H4">
            <v>12108195</v>
          </cell>
          <cell r="I4">
            <v>216243</v>
          </cell>
          <cell r="J4">
            <v>625417</v>
          </cell>
          <cell r="K4">
            <v>35408</v>
          </cell>
          <cell r="L4">
            <v>16819</v>
          </cell>
          <cell r="M4">
            <v>0</v>
          </cell>
          <cell r="N4">
            <v>0</v>
          </cell>
          <cell r="O4">
            <v>183805</v>
          </cell>
          <cell r="P4">
            <v>0</v>
          </cell>
          <cell r="Q4">
            <v>-98543</v>
          </cell>
          <cell r="R4">
            <v>0</v>
          </cell>
          <cell r="S4">
            <v>75843</v>
          </cell>
          <cell r="T4">
            <v>0</v>
          </cell>
          <cell r="U4">
            <v>381665</v>
          </cell>
          <cell r="V4" t="str">
            <v xml:space="preserve"> </v>
          </cell>
          <cell r="W4">
            <v>13509444</v>
          </cell>
          <cell r="X4">
            <v>178786</v>
          </cell>
          <cell r="Y4">
            <v>4006</v>
          </cell>
          <cell r="Z4">
            <v>0</v>
          </cell>
          <cell r="AA4">
            <v>0</v>
          </cell>
          <cell r="AB4">
            <v>12682375</v>
          </cell>
          <cell r="AC4">
            <v>216243</v>
          </cell>
          <cell r="AD4">
            <v>577031</v>
          </cell>
          <cell r="AE4">
            <v>37486</v>
          </cell>
          <cell r="AF4">
            <v>17806</v>
          </cell>
          <cell r="AG4">
            <v>0</v>
          </cell>
          <cell r="AH4">
            <v>0</v>
          </cell>
          <cell r="AI4">
            <v>130240</v>
          </cell>
          <cell r="AJ4">
            <v>0</v>
          </cell>
          <cell r="AK4">
            <v>-26676</v>
          </cell>
          <cell r="AL4">
            <v>0</v>
          </cell>
          <cell r="AM4">
            <v>73570</v>
          </cell>
          <cell r="AN4">
            <v>0</v>
          </cell>
          <cell r="AO4">
            <v>1711279</v>
          </cell>
          <cell r="AP4">
            <v>15381868</v>
          </cell>
          <cell r="AQ4">
            <v>0</v>
          </cell>
          <cell r="AR4">
            <v>0</v>
          </cell>
          <cell r="AS4">
            <v>0</v>
          </cell>
          <cell r="AT4">
            <v>0</v>
          </cell>
          <cell r="AU4" t="str">
            <v xml:space="preserve"> 10-11</v>
          </cell>
          <cell r="AV4" t="str">
            <v xml:space="preserve"> </v>
          </cell>
          <cell r="AW4" t="str">
            <v xml:space="preserve"> </v>
          </cell>
        </row>
        <row r="5">
          <cell r="C5" t="str">
            <v xml:space="preserve"> ALLAN HANCOCK     </v>
          </cell>
          <cell r="D5" t="str">
            <v xml:space="preserve"> VENTURA           </v>
          </cell>
          <cell r="E5">
            <v>610</v>
          </cell>
          <cell r="F5" t="str">
            <v xml:space="preserve"> 2015-2016</v>
          </cell>
          <cell r="G5" t="str">
            <v xml:space="preserve"> 11/15/2015</v>
          </cell>
          <cell r="H5">
            <v>20788</v>
          </cell>
          <cell r="I5">
            <v>301</v>
          </cell>
          <cell r="J5">
            <v>799</v>
          </cell>
          <cell r="K5">
            <v>0</v>
          </cell>
          <cell r="L5">
            <v>0</v>
          </cell>
          <cell r="M5">
            <v>0</v>
          </cell>
          <cell r="N5">
            <v>0</v>
          </cell>
          <cell r="O5">
            <v>0</v>
          </cell>
          <cell r="P5">
            <v>0</v>
          </cell>
          <cell r="Q5">
            <v>33</v>
          </cell>
          <cell r="R5">
            <v>0</v>
          </cell>
          <cell r="S5">
            <v>200</v>
          </cell>
          <cell r="T5">
            <v>0</v>
          </cell>
          <cell r="U5">
            <v>0</v>
          </cell>
          <cell r="V5" t="str">
            <v xml:space="preserve"> </v>
          </cell>
          <cell r="W5">
            <v>22121</v>
          </cell>
          <cell r="X5">
            <v>0</v>
          </cell>
          <cell r="Y5">
            <v>0</v>
          </cell>
          <cell r="Z5">
            <v>0</v>
          </cell>
          <cell r="AA5">
            <v>0</v>
          </cell>
          <cell r="AB5">
            <v>20634</v>
          </cell>
          <cell r="AC5">
            <v>301</v>
          </cell>
          <cell r="AD5">
            <v>873</v>
          </cell>
          <cell r="AE5">
            <v>0</v>
          </cell>
          <cell r="AF5">
            <v>0</v>
          </cell>
          <cell r="AG5">
            <v>0</v>
          </cell>
          <cell r="AH5">
            <v>0</v>
          </cell>
          <cell r="AI5">
            <v>0</v>
          </cell>
          <cell r="AJ5">
            <v>0</v>
          </cell>
          <cell r="AK5">
            <v>33</v>
          </cell>
          <cell r="AL5">
            <v>0</v>
          </cell>
          <cell r="AM5">
            <v>190</v>
          </cell>
          <cell r="AN5">
            <v>0</v>
          </cell>
          <cell r="AO5">
            <v>-2723</v>
          </cell>
          <cell r="AP5">
            <v>19308</v>
          </cell>
          <cell r="AQ5">
            <v>0</v>
          </cell>
          <cell r="AR5">
            <v>0</v>
          </cell>
          <cell r="AS5">
            <v>0</v>
          </cell>
          <cell r="AT5">
            <v>0</v>
          </cell>
          <cell r="AU5" t="str">
            <v xml:space="preserve"> </v>
          </cell>
          <cell r="AV5" t="str">
            <v xml:space="preserve"> </v>
          </cell>
          <cell r="AW5" t="str">
            <v xml:space="preserve"> </v>
          </cell>
        </row>
        <row r="6">
          <cell r="C6" t="str">
            <v>ALLAN HANCOCK Subtotal</v>
          </cell>
          <cell r="H6">
            <v>12163468</v>
          </cell>
          <cell r="I6">
            <v>216544</v>
          </cell>
          <cell r="J6">
            <v>626980</v>
          </cell>
          <cell r="K6">
            <v>35408</v>
          </cell>
          <cell r="L6">
            <v>16819</v>
          </cell>
          <cell r="M6">
            <v>0</v>
          </cell>
          <cell r="N6">
            <v>0</v>
          </cell>
          <cell r="O6">
            <v>183805</v>
          </cell>
          <cell r="P6">
            <v>0</v>
          </cell>
          <cell r="Q6">
            <v>-98534</v>
          </cell>
          <cell r="R6">
            <v>0</v>
          </cell>
          <cell r="S6">
            <v>76286</v>
          </cell>
          <cell r="T6">
            <v>0</v>
          </cell>
          <cell r="U6">
            <v>381665</v>
          </cell>
          <cell r="V6">
            <v>0</v>
          </cell>
          <cell r="W6">
            <v>13567033</v>
          </cell>
          <cell r="X6">
            <v>178786</v>
          </cell>
          <cell r="Y6">
            <v>4006</v>
          </cell>
          <cell r="Z6">
            <v>0</v>
          </cell>
          <cell r="AA6">
            <v>0</v>
          </cell>
          <cell r="AB6">
            <v>12740778</v>
          </cell>
          <cell r="AC6">
            <v>216544</v>
          </cell>
          <cell r="AD6">
            <v>578741</v>
          </cell>
          <cell r="AE6">
            <v>37486</v>
          </cell>
          <cell r="AF6">
            <v>17806</v>
          </cell>
          <cell r="AG6">
            <v>0</v>
          </cell>
          <cell r="AH6">
            <v>0</v>
          </cell>
          <cell r="AI6">
            <v>130240</v>
          </cell>
          <cell r="AJ6">
            <v>0</v>
          </cell>
          <cell r="AK6">
            <v>-26670</v>
          </cell>
          <cell r="AL6">
            <v>0</v>
          </cell>
          <cell r="AM6">
            <v>74011</v>
          </cell>
          <cell r="AN6">
            <v>0</v>
          </cell>
          <cell r="AO6">
            <v>1708556</v>
          </cell>
          <cell r="AP6">
            <v>15440006</v>
          </cell>
          <cell r="AQ6">
            <v>0</v>
          </cell>
          <cell r="AR6">
            <v>0</v>
          </cell>
          <cell r="AS6">
            <v>0</v>
          </cell>
          <cell r="AT6">
            <v>0</v>
          </cell>
          <cell r="AU6">
            <v>0</v>
          </cell>
          <cell r="AV6">
            <v>0</v>
          </cell>
          <cell r="AW6">
            <v>0</v>
          </cell>
        </row>
        <row r="8">
          <cell r="C8" t="str">
            <v xml:space="preserve"> ANTELOPE VALLEY   </v>
          </cell>
          <cell r="D8" t="str">
            <v xml:space="preserve"> KERN              </v>
          </cell>
          <cell r="E8">
            <v>620</v>
          </cell>
          <cell r="F8" t="str">
            <v xml:space="preserve"> 2015-2016</v>
          </cell>
          <cell r="G8" t="str">
            <v xml:space="preserve"> 11/15/2015</v>
          </cell>
          <cell r="H8">
            <v>728099</v>
          </cell>
          <cell r="I8">
            <v>448</v>
          </cell>
          <cell r="J8">
            <v>63198</v>
          </cell>
          <cell r="K8">
            <v>0</v>
          </cell>
          <cell r="L8">
            <v>0</v>
          </cell>
          <cell r="M8">
            <v>0</v>
          </cell>
          <cell r="N8">
            <v>0</v>
          </cell>
          <cell r="O8">
            <v>0</v>
          </cell>
          <cell r="P8">
            <v>0</v>
          </cell>
          <cell r="Q8">
            <v>3269</v>
          </cell>
          <cell r="R8">
            <v>0</v>
          </cell>
          <cell r="S8">
            <v>5831</v>
          </cell>
          <cell r="T8">
            <v>0</v>
          </cell>
          <cell r="U8">
            <v>0</v>
          </cell>
          <cell r="V8" t="str">
            <v xml:space="preserve"> </v>
          </cell>
          <cell r="W8">
            <v>800845</v>
          </cell>
          <cell r="X8">
            <v>0</v>
          </cell>
          <cell r="Y8">
            <v>0</v>
          </cell>
          <cell r="Z8">
            <v>0</v>
          </cell>
          <cell r="AA8">
            <v>0</v>
          </cell>
          <cell r="AB8">
            <v>790431</v>
          </cell>
          <cell r="AC8">
            <v>224</v>
          </cell>
          <cell r="AD8">
            <v>81576</v>
          </cell>
          <cell r="AE8">
            <v>0</v>
          </cell>
          <cell r="AF8">
            <v>0</v>
          </cell>
          <cell r="AG8">
            <v>0</v>
          </cell>
          <cell r="AH8">
            <v>0</v>
          </cell>
          <cell r="AI8">
            <v>0</v>
          </cell>
          <cell r="AJ8">
            <v>0</v>
          </cell>
          <cell r="AK8">
            <v>0</v>
          </cell>
          <cell r="AL8">
            <v>0</v>
          </cell>
          <cell r="AM8">
            <v>7154</v>
          </cell>
          <cell r="AN8">
            <v>0</v>
          </cell>
          <cell r="AO8">
            <v>0</v>
          </cell>
          <cell r="AP8">
            <v>879385</v>
          </cell>
          <cell r="AQ8">
            <v>0</v>
          </cell>
          <cell r="AR8">
            <v>0</v>
          </cell>
          <cell r="AS8">
            <v>0</v>
          </cell>
          <cell r="AT8">
            <v>0</v>
          </cell>
          <cell r="AU8" t="str">
            <v xml:space="preserve"> </v>
          </cell>
          <cell r="AV8" t="str">
            <v xml:space="preserve"> </v>
          </cell>
          <cell r="AW8" t="str">
            <v xml:space="preserve"> </v>
          </cell>
        </row>
        <row r="9">
          <cell r="C9" t="str">
            <v xml:space="preserve"> ANTELOPE VALLEY   </v>
          </cell>
          <cell r="D9" t="str">
            <v xml:space="preserve"> LOS ANGELES       </v>
          </cell>
          <cell r="E9">
            <v>620</v>
          </cell>
          <cell r="F9" t="str">
            <v xml:space="preserve"> 2015-2016</v>
          </cell>
          <cell r="G9" t="str">
            <v xml:space="preserve"> 11/15/2015</v>
          </cell>
          <cell r="H9">
            <v>4446928</v>
          </cell>
          <cell r="I9">
            <v>145163</v>
          </cell>
          <cell r="J9">
            <v>168838</v>
          </cell>
          <cell r="K9">
            <v>8110</v>
          </cell>
          <cell r="L9">
            <v>3852</v>
          </cell>
          <cell r="M9">
            <v>0</v>
          </cell>
          <cell r="N9">
            <v>0</v>
          </cell>
          <cell r="O9">
            <v>182897</v>
          </cell>
          <cell r="P9">
            <v>0</v>
          </cell>
          <cell r="Q9">
            <v>92806</v>
          </cell>
          <cell r="R9">
            <v>0</v>
          </cell>
          <cell r="S9">
            <v>33622</v>
          </cell>
          <cell r="T9">
            <v>0</v>
          </cell>
          <cell r="U9">
            <v>0</v>
          </cell>
          <cell r="V9" t="str">
            <v xml:space="preserve"> </v>
          </cell>
          <cell r="W9">
            <v>5074106</v>
          </cell>
          <cell r="X9">
            <v>0</v>
          </cell>
          <cell r="Y9">
            <v>0</v>
          </cell>
          <cell r="Z9">
            <v>0</v>
          </cell>
          <cell r="AA9">
            <v>0</v>
          </cell>
          <cell r="AB9">
            <v>4701737</v>
          </cell>
          <cell r="AC9">
            <v>181454</v>
          </cell>
          <cell r="AD9">
            <v>169000</v>
          </cell>
          <cell r="AE9">
            <v>8059</v>
          </cell>
          <cell r="AF9">
            <v>3828</v>
          </cell>
          <cell r="AG9">
            <v>0</v>
          </cell>
          <cell r="AH9">
            <v>0</v>
          </cell>
          <cell r="AI9">
            <v>177810</v>
          </cell>
          <cell r="AJ9">
            <v>0</v>
          </cell>
          <cell r="AK9">
            <v>104470</v>
          </cell>
          <cell r="AL9">
            <v>0</v>
          </cell>
          <cell r="AM9">
            <v>33600</v>
          </cell>
          <cell r="AN9">
            <v>0</v>
          </cell>
          <cell r="AO9">
            <v>0</v>
          </cell>
          <cell r="AP9">
            <v>5371899</v>
          </cell>
          <cell r="AQ9">
            <v>0</v>
          </cell>
          <cell r="AR9">
            <v>0</v>
          </cell>
          <cell r="AS9">
            <v>0</v>
          </cell>
          <cell r="AT9">
            <v>0</v>
          </cell>
          <cell r="AU9" t="str">
            <v xml:space="preserve"> </v>
          </cell>
          <cell r="AV9" t="str">
            <v xml:space="preserve"> </v>
          </cell>
          <cell r="AW9" t="str">
            <v xml:space="preserve"> </v>
          </cell>
        </row>
        <row r="10">
          <cell r="C10" t="str">
            <v>ANTELOPE VALLEY Subtotal</v>
          </cell>
          <cell r="H10">
            <v>5175027</v>
          </cell>
          <cell r="I10">
            <v>145611</v>
          </cell>
          <cell r="J10">
            <v>232036</v>
          </cell>
          <cell r="K10">
            <v>8110</v>
          </cell>
          <cell r="L10">
            <v>3852</v>
          </cell>
          <cell r="M10">
            <v>0</v>
          </cell>
          <cell r="N10">
            <v>0</v>
          </cell>
          <cell r="O10">
            <v>182897</v>
          </cell>
          <cell r="P10">
            <v>0</v>
          </cell>
          <cell r="Q10">
            <v>96075</v>
          </cell>
          <cell r="R10">
            <v>0</v>
          </cell>
          <cell r="S10">
            <v>39453</v>
          </cell>
          <cell r="T10">
            <v>0</v>
          </cell>
          <cell r="U10">
            <v>0</v>
          </cell>
          <cell r="V10">
            <v>0</v>
          </cell>
          <cell r="W10">
            <v>5874951</v>
          </cell>
          <cell r="X10">
            <v>0</v>
          </cell>
          <cell r="Y10">
            <v>0</v>
          </cell>
          <cell r="Z10">
            <v>0</v>
          </cell>
          <cell r="AA10">
            <v>0</v>
          </cell>
          <cell r="AB10">
            <v>5492168</v>
          </cell>
          <cell r="AC10">
            <v>181678</v>
          </cell>
          <cell r="AD10">
            <v>250576</v>
          </cell>
          <cell r="AE10">
            <v>8059</v>
          </cell>
          <cell r="AF10">
            <v>3828</v>
          </cell>
          <cell r="AG10">
            <v>0</v>
          </cell>
          <cell r="AH10">
            <v>0</v>
          </cell>
          <cell r="AI10">
            <v>177810</v>
          </cell>
          <cell r="AJ10">
            <v>0</v>
          </cell>
          <cell r="AK10">
            <v>104470</v>
          </cell>
          <cell r="AL10">
            <v>0</v>
          </cell>
          <cell r="AM10">
            <v>40754</v>
          </cell>
          <cell r="AN10">
            <v>0</v>
          </cell>
          <cell r="AO10">
            <v>0</v>
          </cell>
          <cell r="AP10">
            <v>6251284</v>
          </cell>
          <cell r="AQ10">
            <v>0</v>
          </cell>
          <cell r="AR10">
            <v>0</v>
          </cell>
          <cell r="AS10">
            <v>0</v>
          </cell>
          <cell r="AT10">
            <v>0</v>
          </cell>
          <cell r="AU10">
            <v>0</v>
          </cell>
          <cell r="AV10">
            <v>0</v>
          </cell>
          <cell r="AW10">
            <v>0</v>
          </cell>
        </row>
        <row r="12">
          <cell r="C12" t="str">
            <v xml:space="preserve"> BARSTOW           </v>
          </cell>
          <cell r="D12" t="str">
            <v xml:space="preserve"> SAN BERNARDINO    </v>
          </cell>
          <cell r="E12">
            <v>910</v>
          </cell>
          <cell r="F12" t="str">
            <v xml:space="preserve"> 2015-2016</v>
          </cell>
          <cell r="G12" t="str">
            <v xml:space="preserve"> 11/15/2015</v>
          </cell>
          <cell r="H12">
            <v>4075213</v>
          </cell>
          <cell r="I12">
            <v>60892</v>
          </cell>
          <cell r="J12">
            <v>137714</v>
          </cell>
          <cell r="K12">
            <v>59685</v>
          </cell>
          <cell r="L12">
            <v>28350</v>
          </cell>
          <cell r="M12">
            <v>0</v>
          </cell>
          <cell r="N12">
            <v>0</v>
          </cell>
          <cell r="O12">
            <v>226333</v>
          </cell>
          <cell r="P12">
            <v>0</v>
          </cell>
          <cell r="Q12">
            <v>1699</v>
          </cell>
          <cell r="R12">
            <v>0</v>
          </cell>
          <cell r="S12">
            <v>37038</v>
          </cell>
          <cell r="T12">
            <v>0</v>
          </cell>
          <cell r="U12">
            <v>-1363078</v>
          </cell>
          <cell r="V12" t="str">
            <v xml:space="preserve"> </v>
          </cell>
          <cell r="W12">
            <v>3204161</v>
          </cell>
          <cell r="X12">
            <v>0</v>
          </cell>
          <cell r="Y12">
            <v>0</v>
          </cell>
          <cell r="Z12">
            <v>0</v>
          </cell>
          <cell r="AA12">
            <v>0</v>
          </cell>
          <cell r="AB12">
            <v>3794483</v>
          </cell>
          <cell r="AC12">
            <v>60892</v>
          </cell>
          <cell r="AD12">
            <v>117002</v>
          </cell>
          <cell r="AE12">
            <v>63472</v>
          </cell>
          <cell r="AF12">
            <v>30149</v>
          </cell>
          <cell r="AG12">
            <v>0</v>
          </cell>
          <cell r="AH12">
            <v>0</v>
          </cell>
          <cell r="AI12">
            <v>0</v>
          </cell>
          <cell r="AJ12">
            <v>0</v>
          </cell>
          <cell r="AK12">
            <v>4255</v>
          </cell>
          <cell r="AL12">
            <v>0</v>
          </cell>
          <cell r="AM12">
            <v>32624</v>
          </cell>
          <cell r="AN12">
            <v>0</v>
          </cell>
          <cell r="AO12">
            <v>-867458</v>
          </cell>
          <cell r="AP12">
            <v>3171947</v>
          </cell>
          <cell r="AQ12">
            <v>0</v>
          </cell>
          <cell r="AR12">
            <v>0</v>
          </cell>
          <cell r="AS12">
            <v>0</v>
          </cell>
          <cell r="AT12">
            <v>0</v>
          </cell>
          <cell r="AU12" t="str">
            <v xml:space="preserve"> </v>
          </cell>
          <cell r="AV12" t="str">
            <v xml:space="preserve"> </v>
          </cell>
          <cell r="AW12" t="str">
            <v xml:space="preserve"> </v>
          </cell>
        </row>
        <row r="13">
          <cell r="C13" t="str">
            <v xml:space="preserve">BARSTOW Subtotal       </v>
          </cell>
          <cell r="H13">
            <v>4075213</v>
          </cell>
          <cell r="I13">
            <v>60892</v>
          </cell>
          <cell r="J13">
            <v>137714</v>
          </cell>
          <cell r="K13">
            <v>59685</v>
          </cell>
          <cell r="L13">
            <v>28350</v>
          </cell>
          <cell r="M13">
            <v>0</v>
          </cell>
          <cell r="N13">
            <v>0</v>
          </cell>
          <cell r="O13">
            <v>226333</v>
          </cell>
          <cell r="P13">
            <v>0</v>
          </cell>
          <cell r="Q13">
            <v>1699</v>
          </cell>
          <cell r="R13">
            <v>0</v>
          </cell>
          <cell r="S13">
            <v>37038</v>
          </cell>
          <cell r="T13">
            <v>0</v>
          </cell>
          <cell r="U13">
            <v>-1363078</v>
          </cell>
          <cell r="V13">
            <v>0</v>
          </cell>
          <cell r="W13">
            <v>3204161</v>
          </cell>
          <cell r="X13">
            <v>0</v>
          </cell>
          <cell r="Y13">
            <v>0</v>
          </cell>
          <cell r="Z13">
            <v>0</v>
          </cell>
          <cell r="AA13">
            <v>0</v>
          </cell>
          <cell r="AB13">
            <v>3794483</v>
          </cell>
          <cell r="AC13">
            <v>60892</v>
          </cell>
          <cell r="AD13">
            <v>117002</v>
          </cell>
          <cell r="AE13">
            <v>63472</v>
          </cell>
          <cell r="AF13">
            <v>30149</v>
          </cell>
          <cell r="AG13">
            <v>0</v>
          </cell>
          <cell r="AH13">
            <v>0</v>
          </cell>
          <cell r="AI13">
            <v>0</v>
          </cell>
          <cell r="AJ13">
            <v>0</v>
          </cell>
          <cell r="AK13">
            <v>4255</v>
          </cell>
          <cell r="AL13">
            <v>0</v>
          </cell>
          <cell r="AM13">
            <v>32624</v>
          </cell>
          <cell r="AN13">
            <v>0</v>
          </cell>
          <cell r="AO13">
            <v>-867458</v>
          </cell>
          <cell r="AP13">
            <v>3171947</v>
          </cell>
          <cell r="AQ13">
            <v>0</v>
          </cell>
          <cell r="AR13">
            <v>0</v>
          </cell>
          <cell r="AS13">
            <v>0</v>
          </cell>
          <cell r="AT13">
            <v>0</v>
          </cell>
          <cell r="AU13">
            <v>0</v>
          </cell>
          <cell r="AV13">
            <v>0</v>
          </cell>
          <cell r="AW13">
            <v>0</v>
          </cell>
        </row>
        <row r="15">
          <cell r="C15" t="str">
            <v xml:space="preserve"> BUTTE             </v>
          </cell>
          <cell r="D15" t="str">
            <v xml:space="preserve"> BUTTE             </v>
          </cell>
          <cell r="E15">
            <v>110</v>
          </cell>
          <cell r="F15" t="str">
            <v xml:space="preserve"> 2015-2016</v>
          </cell>
          <cell r="G15" t="str">
            <v xml:space="preserve"> 11/15/2015</v>
          </cell>
          <cell r="H15">
            <v>10974065</v>
          </cell>
          <cell r="I15">
            <v>130153</v>
          </cell>
          <cell r="J15">
            <v>701090</v>
          </cell>
          <cell r="K15">
            <v>64361</v>
          </cell>
          <cell r="L15">
            <v>30571</v>
          </cell>
          <cell r="M15">
            <v>0</v>
          </cell>
          <cell r="N15">
            <v>0</v>
          </cell>
          <cell r="O15">
            <v>1261701</v>
          </cell>
          <cell r="P15">
            <v>0</v>
          </cell>
          <cell r="Q15">
            <v>17249</v>
          </cell>
          <cell r="R15">
            <v>27330</v>
          </cell>
          <cell r="S15">
            <v>217443</v>
          </cell>
          <cell r="T15">
            <v>6307</v>
          </cell>
          <cell r="U15">
            <v>-3280345</v>
          </cell>
          <cell r="V15" t="str">
            <v xml:space="preserve"> </v>
          </cell>
          <cell r="W15">
            <v>10085564</v>
          </cell>
          <cell r="X15">
            <v>0</v>
          </cell>
          <cell r="Y15">
            <v>0</v>
          </cell>
          <cell r="Z15">
            <v>0</v>
          </cell>
          <cell r="AA15">
            <v>0</v>
          </cell>
          <cell r="AB15">
            <v>12533000</v>
          </cell>
          <cell r="AC15">
            <v>111000</v>
          </cell>
          <cell r="AD15">
            <v>757400</v>
          </cell>
          <cell r="AE15">
            <v>54707</v>
          </cell>
          <cell r="AF15">
            <v>25986</v>
          </cell>
          <cell r="AG15">
            <v>0</v>
          </cell>
          <cell r="AH15">
            <v>0</v>
          </cell>
          <cell r="AI15">
            <v>0</v>
          </cell>
          <cell r="AJ15">
            <v>0</v>
          </cell>
          <cell r="AK15">
            <v>15000</v>
          </cell>
          <cell r="AL15">
            <v>23200</v>
          </cell>
          <cell r="AM15">
            <v>213000</v>
          </cell>
          <cell r="AN15">
            <v>5400</v>
          </cell>
          <cell r="AO15">
            <v>-1505999</v>
          </cell>
          <cell r="AP15">
            <v>12177987</v>
          </cell>
          <cell r="AQ15">
            <v>0</v>
          </cell>
          <cell r="AR15">
            <v>0</v>
          </cell>
          <cell r="AS15">
            <v>0</v>
          </cell>
          <cell r="AT15">
            <v>0</v>
          </cell>
          <cell r="AU15" t="str">
            <v xml:space="preserve"> </v>
          </cell>
          <cell r="AV15" t="str">
            <v xml:space="preserve"> </v>
          </cell>
          <cell r="AW15" t="str">
            <v xml:space="preserve"> </v>
          </cell>
        </row>
        <row r="16">
          <cell r="C16" t="str">
            <v xml:space="preserve"> BUTTE             </v>
          </cell>
          <cell r="D16" t="str">
            <v xml:space="preserve"> GLENN             </v>
          </cell>
          <cell r="E16">
            <v>110</v>
          </cell>
          <cell r="F16" t="str">
            <v xml:space="preserve"> 2015-2016</v>
          </cell>
          <cell r="G16" t="str">
            <v xml:space="preserve"> 11/15/2015</v>
          </cell>
          <cell r="H16">
            <v>2223968</v>
          </cell>
          <cell r="I16">
            <v>47256</v>
          </cell>
          <cell r="J16">
            <v>112663</v>
          </cell>
          <cell r="K16">
            <v>0</v>
          </cell>
          <cell r="L16">
            <v>0</v>
          </cell>
          <cell r="M16">
            <v>0</v>
          </cell>
          <cell r="N16">
            <v>0</v>
          </cell>
          <cell r="O16">
            <v>0</v>
          </cell>
          <cell r="P16">
            <v>0</v>
          </cell>
          <cell r="Q16">
            <v>0</v>
          </cell>
          <cell r="R16">
            <v>0</v>
          </cell>
          <cell r="S16">
            <v>27631</v>
          </cell>
          <cell r="T16">
            <v>0</v>
          </cell>
          <cell r="U16">
            <v>-214450</v>
          </cell>
          <cell r="V16" t="str">
            <v xml:space="preserve"> </v>
          </cell>
          <cell r="W16">
            <v>2197068</v>
          </cell>
          <cell r="X16">
            <v>0</v>
          </cell>
          <cell r="Y16">
            <v>0</v>
          </cell>
          <cell r="Z16">
            <v>0</v>
          </cell>
          <cell r="AA16">
            <v>0</v>
          </cell>
          <cell r="AB16">
            <v>2403427</v>
          </cell>
          <cell r="AC16">
            <v>0</v>
          </cell>
          <cell r="AD16">
            <v>122632</v>
          </cell>
          <cell r="AE16">
            <v>0</v>
          </cell>
          <cell r="AF16">
            <v>0</v>
          </cell>
          <cell r="AG16">
            <v>0</v>
          </cell>
          <cell r="AH16">
            <v>0</v>
          </cell>
          <cell r="AI16">
            <v>0</v>
          </cell>
          <cell r="AJ16">
            <v>0</v>
          </cell>
          <cell r="AK16">
            <v>0</v>
          </cell>
          <cell r="AL16">
            <v>0</v>
          </cell>
          <cell r="AM16">
            <v>27675</v>
          </cell>
          <cell r="AN16">
            <v>0</v>
          </cell>
          <cell r="AO16">
            <v>-74334</v>
          </cell>
          <cell r="AP16">
            <v>2479400</v>
          </cell>
          <cell r="AQ16">
            <v>0</v>
          </cell>
          <cell r="AR16">
            <v>0</v>
          </cell>
          <cell r="AS16">
            <v>0</v>
          </cell>
          <cell r="AT16">
            <v>0</v>
          </cell>
          <cell r="AU16" t="str">
            <v xml:space="preserve"> </v>
          </cell>
          <cell r="AV16" t="str">
            <v xml:space="preserve"> </v>
          </cell>
          <cell r="AW16" t="str">
            <v xml:space="preserve"> </v>
          </cell>
        </row>
        <row r="17">
          <cell r="C17" t="str">
            <v xml:space="preserve">BUTTE Subtotal            </v>
          </cell>
          <cell r="H17">
            <v>13198033</v>
          </cell>
          <cell r="I17">
            <v>177409</v>
          </cell>
          <cell r="J17">
            <v>813753</v>
          </cell>
          <cell r="K17">
            <v>64361</v>
          </cell>
          <cell r="L17">
            <v>30571</v>
          </cell>
          <cell r="M17">
            <v>0</v>
          </cell>
          <cell r="N17">
            <v>0</v>
          </cell>
          <cell r="O17">
            <v>1261701</v>
          </cell>
          <cell r="P17">
            <v>0</v>
          </cell>
          <cell r="Q17">
            <v>17249</v>
          </cell>
          <cell r="R17">
            <v>27330</v>
          </cell>
          <cell r="S17">
            <v>245074</v>
          </cell>
          <cell r="T17">
            <v>6307</v>
          </cell>
          <cell r="U17">
            <v>-3494795</v>
          </cell>
          <cell r="V17">
            <v>0</v>
          </cell>
          <cell r="W17">
            <v>12282632</v>
          </cell>
          <cell r="X17">
            <v>0</v>
          </cell>
          <cell r="Y17">
            <v>0</v>
          </cell>
          <cell r="Z17">
            <v>0</v>
          </cell>
          <cell r="AA17">
            <v>0</v>
          </cell>
          <cell r="AB17">
            <v>14936427</v>
          </cell>
          <cell r="AC17">
            <v>111000</v>
          </cell>
          <cell r="AD17">
            <v>880032</v>
          </cell>
          <cell r="AE17">
            <v>54707</v>
          </cell>
          <cell r="AF17">
            <v>25986</v>
          </cell>
          <cell r="AG17">
            <v>0</v>
          </cell>
          <cell r="AH17">
            <v>0</v>
          </cell>
          <cell r="AI17">
            <v>0</v>
          </cell>
          <cell r="AJ17">
            <v>0</v>
          </cell>
          <cell r="AK17">
            <v>15000</v>
          </cell>
          <cell r="AL17">
            <v>23200</v>
          </cell>
          <cell r="AM17">
            <v>240675</v>
          </cell>
          <cell r="AN17">
            <v>5400</v>
          </cell>
          <cell r="AO17">
            <v>-1580333</v>
          </cell>
          <cell r="AP17">
            <v>14657387</v>
          </cell>
          <cell r="AQ17">
            <v>0</v>
          </cell>
          <cell r="AR17">
            <v>0</v>
          </cell>
          <cell r="AS17">
            <v>0</v>
          </cell>
          <cell r="AT17">
            <v>0</v>
          </cell>
          <cell r="AU17">
            <v>0</v>
          </cell>
          <cell r="AV17">
            <v>0</v>
          </cell>
          <cell r="AW17">
            <v>0</v>
          </cell>
        </row>
        <row r="19">
          <cell r="C19" t="str">
            <v xml:space="preserve"> CABRILLO          </v>
          </cell>
          <cell r="D19" t="str">
            <v xml:space="preserve"> MONTEREY          </v>
          </cell>
          <cell r="E19">
            <v>410</v>
          </cell>
          <cell r="F19" t="str">
            <v xml:space="preserve"> 2015-2016</v>
          </cell>
          <cell r="G19" t="str">
            <v xml:space="preserve"> 11/15/2015</v>
          </cell>
          <cell r="H19">
            <v>712724</v>
          </cell>
          <cell r="I19">
            <v>13621</v>
          </cell>
          <cell r="J19">
            <v>28816</v>
          </cell>
          <cell r="K19">
            <v>1573</v>
          </cell>
          <cell r="L19">
            <v>747</v>
          </cell>
          <cell r="M19">
            <v>0</v>
          </cell>
          <cell r="N19">
            <v>0</v>
          </cell>
          <cell r="O19">
            <v>0</v>
          </cell>
          <cell r="P19">
            <v>0</v>
          </cell>
          <cell r="Q19">
            <v>10696</v>
          </cell>
          <cell r="R19">
            <v>0</v>
          </cell>
          <cell r="S19">
            <v>4228</v>
          </cell>
          <cell r="T19">
            <v>0</v>
          </cell>
          <cell r="U19">
            <v>0</v>
          </cell>
          <cell r="V19" t="str">
            <v xml:space="preserve"> </v>
          </cell>
          <cell r="W19">
            <v>770832</v>
          </cell>
          <cell r="X19">
            <v>0</v>
          </cell>
          <cell r="Y19">
            <v>0</v>
          </cell>
          <cell r="Z19">
            <v>0</v>
          </cell>
          <cell r="AA19">
            <v>0</v>
          </cell>
          <cell r="AB19">
            <v>728824</v>
          </cell>
          <cell r="AC19">
            <v>8173</v>
          </cell>
          <cell r="AD19">
            <v>29497</v>
          </cell>
          <cell r="AE19">
            <v>1573</v>
          </cell>
          <cell r="AF19">
            <v>747</v>
          </cell>
          <cell r="AG19">
            <v>0</v>
          </cell>
          <cell r="AH19">
            <v>0</v>
          </cell>
          <cell r="AI19">
            <v>0</v>
          </cell>
          <cell r="AJ19">
            <v>0</v>
          </cell>
          <cell r="AK19">
            <v>6418</v>
          </cell>
          <cell r="AL19">
            <v>0</v>
          </cell>
          <cell r="AM19">
            <v>4221</v>
          </cell>
          <cell r="AN19">
            <v>0</v>
          </cell>
          <cell r="AO19">
            <v>0</v>
          </cell>
          <cell r="AP19">
            <v>777880</v>
          </cell>
          <cell r="AQ19">
            <v>0</v>
          </cell>
          <cell r="AR19">
            <v>0</v>
          </cell>
          <cell r="AS19">
            <v>0</v>
          </cell>
          <cell r="AT19">
            <v>0</v>
          </cell>
          <cell r="AU19" t="str">
            <v xml:space="preserve"> </v>
          </cell>
          <cell r="AV19" t="str">
            <v xml:space="preserve"> </v>
          </cell>
          <cell r="AW19" t="str">
            <v xml:space="preserve"> </v>
          </cell>
        </row>
        <row r="20">
          <cell r="C20" t="str">
            <v xml:space="preserve"> CABRILLO          </v>
          </cell>
          <cell r="D20" t="str">
            <v xml:space="preserve"> SAN BENITO        </v>
          </cell>
          <cell r="E20">
            <v>410</v>
          </cell>
          <cell r="F20" t="str">
            <v xml:space="preserve"> 2015-2016</v>
          </cell>
          <cell r="G20" t="str">
            <v xml:space="preserve"> 11/15/2015</v>
          </cell>
          <cell r="H20">
            <v>150509</v>
          </cell>
          <cell r="I20">
            <v>2049</v>
          </cell>
          <cell r="J20">
            <v>8557</v>
          </cell>
          <cell r="K20">
            <v>0</v>
          </cell>
          <cell r="L20">
            <v>0</v>
          </cell>
          <cell r="M20">
            <v>0</v>
          </cell>
          <cell r="N20">
            <v>0</v>
          </cell>
          <cell r="O20">
            <v>0</v>
          </cell>
          <cell r="P20">
            <v>0</v>
          </cell>
          <cell r="Q20">
            <v>119</v>
          </cell>
          <cell r="R20">
            <v>0</v>
          </cell>
          <cell r="S20">
            <v>1436</v>
          </cell>
          <cell r="T20">
            <v>0</v>
          </cell>
          <cell r="U20">
            <v>-4515</v>
          </cell>
          <cell r="V20" t="str">
            <v xml:space="preserve"> </v>
          </cell>
          <cell r="W20">
            <v>158155</v>
          </cell>
          <cell r="X20">
            <v>0</v>
          </cell>
          <cell r="Y20">
            <v>0</v>
          </cell>
          <cell r="Z20">
            <v>0</v>
          </cell>
          <cell r="AA20">
            <v>0</v>
          </cell>
          <cell r="AB20">
            <v>165341</v>
          </cell>
          <cell r="AC20">
            <v>2671</v>
          </cell>
          <cell r="AD20">
            <v>8319</v>
          </cell>
          <cell r="AE20">
            <v>0</v>
          </cell>
          <cell r="AF20">
            <v>0</v>
          </cell>
          <cell r="AG20">
            <v>0</v>
          </cell>
          <cell r="AH20">
            <v>0</v>
          </cell>
          <cell r="AI20">
            <v>0</v>
          </cell>
          <cell r="AJ20">
            <v>0</v>
          </cell>
          <cell r="AK20">
            <v>0</v>
          </cell>
          <cell r="AL20">
            <v>0</v>
          </cell>
          <cell r="AM20">
            <v>1459</v>
          </cell>
          <cell r="AN20">
            <v>0</v>
          </cell>
          <cell r="AO20">
            <v>-897</v>
          </cell>
          <cell r="AP20">
            <v>176893</v>
          </cell>
          <cell r="AQ20">
            <v>0</v>
          </cell>
          <cell r="AR20">
            <v>0</v>
          </cell>
          <cell r="AS20">
            <v>0</v>
          </cell>
          <cell r="AT20">
            <v>0</v>
          </cell>
          <cell r="AU20" t="str">
            <v xml:space="preserve"> </v>
          </cell>
          <cell r="AV20" t="str">
            <v xml:space="preserve"> </v>
          </cell>
          <cell r="AW20" t="str">
            <v xml:space="preserve"> </v>
          </cell>
        </row>
        <row r="21">
          <cell r="C21" t="str">
            <v xml:space="preserve"> CABRILLO          </v>
          </cell>
          <cell r="D21" t="str">
            <v xml:space="preserve"> SANTA CRUZ        </v>
          </cell>
          <cell r="E21">
            <v>410</v>
          </cell>
          <cell r="F21" t="str">
            <v xml:space="preserve"> 2015-2016</v>
          </cell>
          <cell r="G21" t="str">
            <v xml:space="preserve"> 11/15/2015</v>
          </cell>
          <cell r="H21">
            <v>18805194</v>
          </cell>
          <cell r="I21">
            <v>235942</v>
          </cell>
          <cell r="J21">
            <v>386023</v>
          </cell>
          <cell r="K21">
            <v>291963</v>
          </cell>
          <cell r="L21">
            <v>138682</v>
          </cell>
          <cell r="M21">
            <v>0</v>
          </cell>
          <cell r="N21">
            <v>0</v>
          </cell>
          <cell r="O21">
            <v>1172958</v>
          </cell>
          <cell r="P21">
            <v>0</v>
          </cell>
          <cell r="Q21">
            <v>54663</v>
          </cell>
          <cell r="R21">
            <v>9687</v>
          </cell>
          <cell r="S21">
            <v>144905</v>
          </cell>
          <cell r="T21">
            <v>0</v>
          </cell>
          <cell r="U21">
            <v>15383</v>
          </cell>
          <cell r="V21" t="str">
            <v xml:space="preserve"> </v>
          </cell>
          <cell r="W21">
            <v>20963437</v>
          </cell>
          <cell r="X21">
            <v>0</v>
          </cell>
          <cell r="Y21">
            <v>0</v>
          </cell>
          <cell r="Z21">
            <v>0</v>
          </cell>
          <cell r="AA21">
            <v>0</v>
          </cell>
          <cell r="AB21">
            <v>19935783</v>
          </cell>
          <cell r="AC21">
            <v>200550</v>
          </cell>
          <cell r="AD21">
            <v>437421</v>
          </cell>
          <cell r="AE21">
            <v>248169</v>
          </cell>
          <cell r="AF21">
            <v>117880</v>
          </cell>
          <cell r="AG21">
            <v>0</v>
          </cell>
          <cell r="AH21">
            <v>0</v>
          </cell>
          <cell r="AI21">
            <v>997014</v>
          </cell>
          <cell r="AJ21">
            <v>0</v>
          </cell>
          <cell r="AK21">
            <v>0</v>
          </cell>
          <cell r="AL21">
            <v>8234</v>
          </cell>
          <cell r="AM21">
            <v>138027</v>
          </cell>
          <cell r="AN21">
            <v>0</v>
          </cell>
          <cell r="AO21">
            <v>862882</v>
          </cell>
          <cell r="AP21">
            <v>22697791</v>
          </cell>
          <cell r="AQ21">
            <v>0</v>
          </cell>
          <cell r="AR21">
            <v>0</v>
          </cell>
          <cell r="AS21">
            <v>0</v>
          </cell>
          <cell r="AT21">
            <v>0</v>
          </cell>
          <cell r="AU21" t="str">
            <v xml:space="preserve"> </v>
          </cell>
          <cell r="AV21" t="str">
            <v xml:space="preserve"> </v>
          </cell>
          <cell r="AW21" t="str">
            <v xml:space="preserve"> </v>
          </cell>
        </row>
        <row r="22">
          <cell r="C22" t="str">
            <v xml:space="preserve">CABRILLO Subtotal          </v>
          </cell>
          <cell r="H22">
            <v>19668427</v>
          </cell>
          <cell r="I22">
            <v>251612</v>
          </cell>
          <cell r="J22">
            <v>423396</v>
          </cell>
          <cell r="K22">
            <v>293536</v>
          </cell>
          <cell r="L22">
            <v>139429</v>
          </cell>
          <cell r="M22">
            <v>0</v>
          </cell>
          <cell r="N22">
            <v>0</v>
          </cell>
          <cell r="O22">
            <v>1172958</v>
          </cell>
          <cell r="P22">
            <v>0</v>
          </cell>
          <cell r="Q22">
            <v>65478</v>
          </cell>
          <cell r="R22">
            <v>9687</v>
          </cell>
          <cell r="S22">
            <v>150569</v>
          </cell>
          <cell r="T22">
            <v>0</v>
          </cell>
          <cell r="U22">
            <v>10868</v>
          </cell>
          <cell r="V22">
            <v>0</v>
          </cell>
          <cell r="W22">
            <v>21892424</v>
          </cell>
          <cell r="X22">
            <v>0</v>
          </cell>
          <cell r="Y22">
            <v>0</v>
          </cell>
          <cell r="Z22">
            <v>0</v>
          </cell>
          <cell r="AA22">
            <v>0</v>
          </cell>
          <cell r="AB22">
            <v>20829948</v>
          </cell>
          <cell r="AC22">
            <v>211394</v>
          </cell>
          <cell r="AD22">
            <v>475237</v>
          </cell>
          <cell r="AE22">
            <v>249742</v>
          </cell>
          <cell r="AF22">
            <v>118627</v>
          </cell>
          <cell r="AG22">
            <v>0</v>
          </cell>
          <cell r="AH22">
            <v>0</v>
          </cell>
          <cell r="AI22">
            <v>997014</v>
          </cell>
          <cell r="AJ22">
            <v>0</v>
          </cell>
          <cell r="AK22">
            <v>6418</v>
          </cell>
          <cell r="AL22">
            <v>8234</v>
          </cell>
          <cell r="AM22">
            <v>143707</v>
          </cell>
          <cell r="AN22">
            <v>0</v>
          </cell>
          <cell r="AO22">
            <v>861985</v>
          </cell>
          <cell r="AP22">
            <v>23652564</v>
          </cell>
          <cell r="AQ22">
            <v>0</v>
          </cell>
          <cell r="AR22">
            <v>0</v>
          </cell>
          <cell r="AS22">
            <v>0</v>
          </cell>
          <cell r="AT22">
            <v>0</v>
          </cell>
          <cell r="AU22">
            <v>0</v>
          </cell>
          <cell r="AV22">
            <v>0</v>
          </cell>
          <cell r="AW22">
            <v>0</v>
          </cell>
        </row>
        <row r="24">
          <cell r="C24" t="str">
            <v xml:space="preserve"> CERRITOS          </v>
          </cell>
          <cell r="D24" t="str">
            <v xml:space="preserve"> LOS ANGELES       </v>
          </cell>
          <cell r="E24">
            <v>810</v>
          </cell>
          <cell r="F24" t="str">
            <v xml:space="preserve"> 2015-2016</v>
          </cell>
          <cell r="G24" t="str">
            <v xml:space="preserve"> 11/15/2015</v>
          </cell>
          <cell r="H24">
            <v>7501085</v>
          </cell>
          <cell r="I24">
            <v>241562</v>
          </cell>
          <cell r="J24">
            <v>212263</v>
          </cell>
          <cell r="K24">
            <v>158184</v>
          </cell>
          <cell r="L24">
            <v>75137</v>
          </cell>
          <cell r="M24">
            <v>0</v>
          </cell>
          <cell r="N24">
            <v>0</v>
          </cell>
          <cell r="O24">
            <v>847376</v>
          </cell>
          <cell r="P24">
            <v>-252</v>
          </cell>
          <cell r="Q24">
            <v>206755</v>
          </cell>
          <cell r="R24">
            <v>0</v>
          </cell>
          <cell r="S24">
            <v>56186</v>
          </cell>
          <cell r="T24">
            <v>0</v>
          </cell>
          <cell r="U24">
            <v>4207729</v>
          </cell>
          <cell r="V24" t="str">
            <v xml:space="preserve"> </v>
          </cell>
          <cell r="W24">
            <v>13347841</v>
          </cell>
          <cell r="X24">
            <v>0</v>
          </cell>
          <cell r="Y24">
            <v>0</v>
          </cell>
          <cell r="Z24">
            <v>0</v>
          </cell>
          <cell r="AA24">
            <v>0</v>
          </cell>
          <cell r="AB24">
            <v>7840134</v>
          </cell>
          <cell r="AC24">
            <v>301953</v>
          </cell>
          <cell r="AD24">
            <v>212000</v>
          </cell>
          <cell r="AE24">
            <v>74021</v>
          </cell>
          <cell r="AF24">
            <v>35160</v>
          </cell>
          <cell r="AG24">
            <v>0</v>
          </cell>
          <cell r="AH24">
            <v>0</v>
          </cell>
          <cell r="AI24">
            <v>205052</v>
          </cell>
          <cell r="AJ24">
            <v>0</v>
          </cell>
          <cell r="AK24">
            <v>244825</v>
          </cell>
          <cell r="AL24">
            <v>0</v>
          </cell>
          <cell r="AM24">
            <v>56200</v>
          </cell>
          <cell r="AN24">
            <v>0</v>
          </cell>
          <cell r="AO24">
            <v>0</v>
          </cell>
          <cell r="AP24">
            <v>8895324</v>
          </cell>
          <cell r="AQ24">
            <v>0</v>
          </cell>
          <cell r="AR24">
            <v>0</v>
          </cell>
          <cell r="AS24">
            <v>0</v>
          </cell>
          <cell r="AT24">
            <v>0</v>
          </cell>
          <cell r="AU24" t="str">
            <v xml:space="preserve"> </v>
          </cell>
          <cell r="AV24" t="str">
            <v xml:space="preserve"> </v>
          </cell>
          <cell r="AW24" t="str">
            <v xml:space="preserve"> </v>
          </cell>
        </row>
        <row r="25">
          <cell r="C25" t="str">
            <v xml:space="preserve">CERRITOS Subtotal     </v>
          </cell>
          <cell r="H25">
            <v>7501085</v>
          </cell>
          <cell r="I25">
            <v>241562</v>
          </cell>
          <cell r="J25">
            <v>212263</v>
          </cell>
          <cell r="K25">
            <v>158184</v>
          </cell>
          <cell r="L25">
            <v>75137</v>
          </cell>
          <cell r="M25">
            <v>0</v>
          </cell>
          <cell r="N25">
            <v>0</v>
          </cell>
          <cell r="O25">
            <v>847376</v>
          </cell>
          <cell r="P25">
            <v>-252</v>
          </cell>
          <cell r="Q25">
            <v>206755</v>
          </cell>
          <cell r="R25">
            <v>0</v>
          </cell>
          <cell r="S25">
            <v>56186</v>
          </cell>
          <cell r="T25">
            <v>0</v>
          </cell>
          <cell r="U25">
            <v>4207729</v>
          </cell>
          <cell r="V25">
            <v>0</v>
          </cell>
          <cell r="W25">
            <v>13347841</v>
          </cell>
          <cell r="X25">
            <v>0</v>
          </cell>
          <cell r="Y25">
            <v>0</v>
          </cell>
          <cell r="Z25">
            <v>0</v>
          </cell>
          <cell r="AA25">
            <v>0</v>
          </cell>
          <cell r="AB25">
            <v>7840134</v>
          </cell>
          <cell r="AC25">
            <v>301953</v>
          </cell>
          <cell r="AD25">
            <v>212000</v>
          </cell>
          <cell r="AE25">
            <v>74021</v>
          </cell>
          <cell r="AF25">
            <v>35160</v>
          </cell>
          <cell r="AG25">
            <v>0</v>
          </cell>
          <cell r="AH25">
            <v>0</v>
          </cell>
          <cell r="AI25">
            <v>205052</v>
          </cell>
          <cell r="AJ25">
            <v>0</v>
          </cell>
          <cell r="AK25">
            <v>244825</v>
          </cell>
          <cell r="AL25">
            <v>0</v>
          </cell>
          <cell r="AM25">
            <v>56200</v>
          </cell>
          <cell r="AN25">
            <v>0</v>
          </cell>
          <cell r="AO25">
            <v>0</v>
          </cell>
          <cell r="AP25">
            <v>8895324</v>
          </cell>
          <cell r="AQ25">
            <v>0</v>
          </cell>
          <cell r="AR25">
            <v>0</v>
          </cell>
          <cell r="AS25">
            <v>0</v>
          </cell>
          <cell r="AT25">
            <v>0</v>
          </cell>
          <cell r="AU25">
            <v>0</v>
          </cell>
          <cell r="AV25">
            <v>0</v>
          </cell>
          <cell r="AW25">
            <v>0</v>
          </cell>
        </row>
        <row r="27">
          <cell r="C27" t="str">
            <v xml:space="preserve"> CHABOT-LAS POSITAS</v>
          </cell>
          <cell r="D27" t="str">
            <v xml:space="preserve"> ALAMEDA           </v>
          </cell>
          <cell r="E27">
            <v>480</v>
          </cell>
          <cell r="F27" t="str">
            <v xml:space="preserve"> 2015-2016</v>
          </cell>
          <cell r="G27" t="str">
            <v xml:space="preserve"> 11/15/2015</v>
          </cell>
          <cell r="H27">
            <v>23326587</v>
          </cell>
          <cell r="I27">
            <v>655572</v>
          </cell>
          <cell r="J27">
            <v>1405679</v>
          </cell>
          <cell r="K27">
            <v>682709</v>
          </cell>
          <cell r="L27">
            <v>324287</v>
          </cell>
          <cell r="M27">
            <v>0</v>
          </cell>
          <cell r="N27">
            <v>0</v>
          </cell>
          <cell r="O27">
            <v>1005411</v>
          </cell>
          <cell r="P27">
            <v>0</v>
          </cell>
          <cell r="Q27">
            <v>-602799</v>
          </cell>
          <cell r="R27">
            <v>0</v>
          </cell>
          <cell r="S27">
            <v>215296</v>
          </cell>
          <cell r="T27">
            <v>842</v>
          </cell>
          <cell r="U27">
            <v>3848416</v>
          </cell>
          <cell r="V27" t="str">
            <v xml:space="preserve"> </v>
          </cell>
          <cell r="W27">
            <v>30179291</v>
          </cell>
          <cell r="X27">
            <v>0</v>
          </cell>
          <cell r="Y27">
            <v>0</v>
          </cell>
          <cell r="Z27">
            <v>0</v>
          </cell>
          <cell r="AA27">
            <v>0</v>
          </cell>
          <cell r="AB27">
            <v>24579083</v>
          </cell>
          <cell r="AC27">
            <v>625418</v>
          </cell>
          <cell r="AD27">
            <v>1761412</v>
          </cell>
          <cell r="AE27">
            <v>682709</v>
          </cell>
          <cell r="AF27">
            <v>324287</v>
          </cell>
          <cell r="AG27">
            <v>0</v>
          </cell>
          <cell r="AH27">
            <v>0</v>
          </cell>
          <cell r="AI27">
            <v>1005411</v>
          </cell>
          <cell r="AJ27">
            <v>84347</v>
          </cell>
          <cell r="AK27">
            <v>-602799</v>
          </cell>
          <cell r="AL27">
            <v>0</v>
          </cell>
          <cell r="AM27">
            <v>210588</v>
          </cell>
          <cell r="AN27">
            <v>842</v>
          </cell>
          <cell r="AO27">
            <v>6451121</v>
          </cell>
          <cell r="AP27">
            <v>34439710</v>
          </cell>
          <cell r="AQ27">
            <v>0</v>
          </cell>
          <cell r="AR27">
            <v>0</v>
          </cell>
          <cell r="AS27">
            <v>0</v>
          </cell>
          <cell r="AT27">
            <v>0</v>
          </cell>
          <cell r="AU27" t="str">
            <v xml:space="preserve"> </v>
          </cell>
          <cell r="AV27" t="str">
            <v xml:space="preserve"> </v>
          </cell>
          <cell r="AW27" t="str">
            <v xml:space="preserve"> </v>
          </cell>
        </row>
        <row r="28">
          <cell r="C28" t="str">
            <v xml:space="preserve"> CHABOT-LAS POSITAS</v>
          </cell>
          <cell r="D28" t="str">
            <v xml:space="preserve"> CONTRA COSTA      </v>
          </cell>
          <cell r="E28">
            <v>480</v>
          </cell>
          <cell r="F28" t="str">
            <v xml:space="preserve"> 2015-2016</v>
          </cell>
          <cell r="G28" t="str">
            <v xml:space="preserve"> 11/15/2015</v>
          </cell>
          <cell r="H28">
            <v>275604</v>
          </cell>
          <cell r="I28">
            <v>5378</v>
          </cell>
          <cell r="J28">
            <v>9450</v>
          </cell>
          <cell r="K28">
            <v>0</v>
          </cell>
          <cell r="L28">
            <v>0</v>
          </cell>
          <cell r="M28">
            <v>0</v>
          </cell>
          <cell r="N28">
            <v>0</v>
          </cell>
          <cell r="O28">
            <v>0</v>
          </cell>
          <cell r="P28">
            <v>0</v>
          </cell>
          <cell r="Q28">
            <v>0</v>
          </cell>
          <cell r="R28">
            <v>0</v>
          </cell>
          <cell r="S28">
            <v>2371</v>
          </cell>
          <cell r="T28">
            <v>27</v>
          </cell>
          <cell r="U28">
            <v>0</v>
          </cell>
          <cell r="V28" t="str">
            <v xml:space="preserve"> </v>
          </cell>
          <cell r="W28">
            <v>292830</v>
          </cell>
          <cell r="X28">
            <v>0</v>
          </cell>
          <cell r="Y28">
            <v>0</v>
          </cell>
          <cell r="Z28">
            <v>0</v>
          </cell>
          <cell r="AA28">
            <v>0</v>
          </cell>
          <cell r="AB28">
            <v>297399</v>
          </cell>
          <cell r="AC28">
            <v>5400</v>
          </cell>
          <cell r="AD28">
            <v>9110</v>
          </cell>
          <cell r="AE28">
            <v>0</v>
          </cell>
          <cell r="AF28">
            <v>0</v>
          </cell>
          <cell r="AG28">
            <v>0</v>
          </cell>
          <cell r="AH28">
            <v>0</v>
          </cell>
          <cell r="AI28">
            <v>0</v>
          </cell>
          <cell r="AJ28">
            <v>0</v>
          </cell>
          <cell r="AK28">
            <v>0</v>
          </cell>
          <cell r="AL28">
            <v>0</v>
          </cell>
          <cell r="AM28">
            <v>2315</v>
          </cell>
          <cell r="AN28">
            <v>0</v>
          </cell>
          <cell r="AO28">
            <v>0</v>
          </cell>
          <cell r="AP28">
            <v>314224</v>
          </cell>
          <cell r="AQ28">
            <v>0</v>
          </cell>
          <cell r="AR28">
            <v>0</v>
          </cell>
          <cell r="AS28">
            <v>0</v>
          </cell>
          <cell r="AT28">
            <v>0</v>
          </cell>
          <cell r="AU28" t="str">
            <v xml:space="preserve"> </v>
          </cell>
          <cell r="AV28" t="str">
            <v xml:space="preserve"> </v>
          </cell>
          <cell r="AW28" t="str">
            <v xml:space="preserve"> </v>
          </cell>
        </row>
        <row r="29">
          <cell r="C29" t="str">
            <v>CHABOT-LAS POSITAS Subtotal</v>
          </cell>
          <cell r="H29">
            <v>23602191</v>
          </cell>
          <cell r="I29">
            <v>660950</v>
          </cell>
          <cell r="J29">
            <v>1415129</v>
          </cell>
          <cell r="K29">
            <v>682709</v>
          </cell>
          <cell r="L29">
            <v>324287</v>
          </cell>
          <cell r="M29">
            <v>0</v>
          </cell>
          <cell r="N29">
            <v>0</v>
          </cell>
          <cell r="O29">
            <v>1005411</v>
          </cell>
          <cell r="P29">
            <v>0</v>
          </cell>
          <cell r="Q29">
            <v>-602799</v>
          </cell>
          <cell r="R29">
            <v>0</v>
          </cell>
          <cell r="S29">
            <v>217667</v>
          </cell>
          <cell r="T29">
            <v>869</v>
          </cell>
          <cell r="U29">
            <v>3848416</v>
          </cell>
          <cell r="V29">
            <v>0</v>
          </cell>
          <cell r="W29">
            <v>30472121</v>
          </cell>
          <cell r="X29">
            <v>0</v>
          </cell>
          <cell r="Y29">
            <v>0</v>
          </cell>
          <cell r="Z29">
            <v>0</v>
          </cell>
          <cell r="AA29">
            <v>0</v>
          </cell>
          <cell r="AB29">
            <v>24876482</v>
          </cell>
          <cell r="AC29">
            <v>630818</v>
          </cell>
          <cell r="AD29">
            <v>1770522</v>
          </cell>
          <cell r="AE29">
            <v>682709</v>
          </cell>
          <cell r="AF29">
            <v>324287</v>
          </cell>
          <cell r="AG29">
            <v>0</v>
          </cell>
          <cell r="AH29">
            <v>0</v>
          </cell>
          <cell r="AI29">
            <v>1005411</v>
          </cell>
          <cell r="AJ29">
            <v>84347</v>
          </cell>
          <cell r="AK29">
            <v>-602799</v>
          </cell>
          <cell r="AL29">
            <v>0</v>
          </cell>
          <cell r="AM29">
            <v>212903</v>
          </cell>
          <cell r="AN29">
            <v>842</v>
          </cell>
          <cell r="AO29">
            <v>6451121</v>
          </cell>
          <cell r="AP29">
            <v>34753934</v>
          </cell>
          <cell r="AQ29">
            <v>0</v>
          </cell>
          <cell r="AR29">
            <v>0</v>
          </cell>
          <cell r="AS29">
            <v>0</v>
          </cell>
          <cell r="AT29">
            <v>0</v>
          </cell>
          <cell r="AU29">
            <v>0</v>
          </cell>
          <cell r="AV29">
            <v>0</v>
          </cell>
          <cell r="AW29">
            <v>0</v>
          </cell>
        </row>
        <row r="31">
          <cell r="C31" t="str">
            <v xml:space="preserve"> CHAFFEY           </v>
          </cell>
          <cell r="D31" t="str">
            <v xml:space="preserve"> SAN BERNARDINO    </v>
          </cell>
          <cell r="E31">
            <v>920</v>
          </cell>
          <cell r="F31" t="str">
            <v xml:space="preserve"> 2015-2016</v>
          </cell>
          <cell r="G31" t="str">
            <v xml:space="preserve"> 11/15/2015</v>
          </cell>
          <cell r="H31">
            <v>24532234</v>
          </cell>
          <cell r="I31">
            <v>481045</v>
          </cell>
          <cell r="J31">
            <v>1035887</v>
          </cell>
          <cell r="K31">
            <v>1720409</v>
          </cell>
          <cell r="L31">
            <v>817194</v>
          </cell>
          <cell r="M31">
            <v>0</v>
          </cell>
          <cell r="N31">
            <v>0</v>
          </cell>
          <cell r="O31">
            <v>10358065</v>
          </cell>
          <cell r="P31">
            <v>0</v>
          </cell>
          <cell r="Q31">
            <v>12485</v>
          </cell>
          <cell r="R31">
            <v>0</v>
          </cell>
          <cell r="S31">
            <v>278599</v>
          </cell>
          <cell r="T31">
            <v>0</v>
          </cell>
          <cell r="U31">
            <v>-10253076</v>
          </cell>
          <cell r="V31" t="str">
            <v xml:space="preserve"> </v>
          </cell>
          <cell r="W31">
            <v>27262433</v>
          </cell>
          <cell r="X31">
            <v>0</v>
          </cell>
          <cell r="Y31">
            <v>0</v>
          </cell>
          <cell r="Z31">
            <v>0</v>
          </cell>
          <cell r="AA31">
            <v>0</v>
          </cell>
          <cell r="AB31">
            <v>25497935</v>
          </cell>
          <cell r="AC31">
            <v>481045</v>
          </cell>
          <cell r="AD31">
            <v>1003783</v>
          </cell>
          <cell r="AE31">
            <v>1786137</v>
          </cell>
          <cell r="AF31">
            <v>848415</v>
          </cell>
          <cell r="AG31">
            <v>0</v>
          </cell>
          <cell r="AH31">
            <v>0</v>
          </cell>
          <cell r="AI31">
            <v>0</v>
          </cell>
          <cell r="AJ31">
            <v>0</v>
          </cell>
          <cell r="AK31">
            <v>31277</v>
          </cell>
          <cell r="AL31">
            <v>0</v>
          </cell>
          <cell r="AM31">
            <v>279886</v>
          </cell>
          <cell r="AN31">
            <v>0</v>
          </cell>
          <cell r="AO31">
            <v>-7442093</v>
          </cell>
          <cell r="AP31">
            <v>20700248</v>
          </cell>
          <cell r="AQ31">
            <v>0</v>
          </cell>
          <cell r="AR31">
            <v>0</v>
          </cell>
          <cell r="AS31">
            <v>0</v>
          </cell>
          <cell r="AT31">
            <v>0</v>
          </cell>
          <cell r="AU31" t="str">
            <v xml:space="preserve"> </v>
          </cell>
          <cell r="AV31" t="str">
            <v xml:space="preserve"> </v>
          </cell>
          <cell r="AW31" t="str">
            <v xml:space="preserve"> </v>
          </cell>
        </row>
        <row r="32">
          <cell r="C32" t="str">
            <v xml:space="preserve">CHAFFEY Subtotal     </v>
          </cell>
          <cell r="H32">
            <v>24532234</v>
          </cell>
          <cell r="I32">
            <v>481045</v>
          </cell>
          <cell r="J32">
            <v>1035887</v>
          </cell>
          <cell r="K32">
            <v>1720409</v>
          </cell>
          <cell r="L32">
            <v>817194</v>
          </cell>
          <cell r="M32">
            <v>0</v>
          </cell>
          <cell r="N32">
            <v>0</v>
          </cell>
          <cell r="O32">
            <v>10358065</v>
          </cell>
          <cell r="P32">
            <v>0</v>
          </cell>
          <cell r="Q32">
            <v>12485</v>
          </cell>
          <cell r="R32">
            <v>0</v>
          </cell>
          <cell r="S32">
            <v>278599</v>
          </cell>
          <cell r="T32">
            <v>0</v>
          </cell>
          <cell r="U32">
            <v>-10253076</v>
          </cell>
          <cell r="V32">
            <v>0</v>
          </cell>
          <cell r="W32">
            <v>27262433</v>
          </cell>
          <cell r="X32">
            <v>0</v>
          </cell>
          <cell r="Y32">
            <v>0</v>
          </cell>
          <cell r="Z32">
            <v>0</v>
          </cell>
          <cell r="AA32">
            <v>0</v>
          </cell>
          <cell r="AB32">
            <v>25497935</v>
          </cell>
          <cell r="AC32">
            <v>481045</v>
          </cell>
          <cell r="AD32">
            <v>1003783</v>
          </cell>
          <cell r="AE32">
            <v>1786137</v>
          </cell>
          <cell r="AF32">
            <v>848415</v>
          </cell>
          <cell r="AG32">
            <v>0</v>
          </cell>
          <cell r="AH32">
            <v>0</v>
          </cell>
          <cell r="AI32">
            <v>0</v>
          </cell>
          <cell r="AJ32">
            <v>0</v>
          </cell>
          <cell r="AK32">
            <v>31277</v>
          </cell>
          <cell r="AL32">
            <v>0</v>
          </cell>
          <cell r="AM32">
            <v>279886</v>
          </cell>
          <cell r="AN32">
            <v>0</v>
          </cell>
          <cell r="AO32">
            <v>-7442093</v>
          </cell>
          <cell r="AP32">
            <v>20700248</v>
          </cell>
          <cell r="AQ32">
            <v>0</v>
          </cell>
          <cell r="AR32">
            <v>0</v>
          </cell>
          <cell r="AS32">
            <v>0</v>
          </cell>
          <cell r="AT32">
            <v>0</v>
          </cell>
          <cell r="AU32">
            <v>0</v>
          </cell>
          <cell r="AV32">
            <v>0</v>
          </cell>
          <cell r="AW32">
            <v>0</v>
          </cell>
        </row>
        <row r="34">
          <cell r="C34" t="str">
            <v xml:space="preserve"> CITRUS            </v>
          </cell>
          <cell r="D34" t="str">
            <v xml:space="preserve"> LOS ANGELES       </v>
          </cell>
          <cell r="E34">
            <v>820</v>
          </cell>
          <cell r="F34" t="str">
            <v xml:space="preserve"> 2015-2016</v>
          </cell>
          <cell r="G34" t="str">
            <v xml:space="preserve"> 11/15/2015</v>
          </cell>
          <cell r="H34">
            <v>4193110</v>
          </cell>
          <cell r="I34">
            <v>120255</v>
          </cell>
          <cell r="J34">
            <v>94581</v>
          </cell>
          <cell r="K34">
            <v>78708</v>
          </cell>
          <cell r="L34">
            <v>37386</v>
          </cell>
          <cell r="M34">
            <v>0</v>
          </cell>
          <cell r="N34">
            <v>0</v>
          </cell>
          <cell r="O34">
            <v>377151</v>
          </cell>
          <cell r="P34">
            <v>0</v>
          </cell>
          <cell r="Q34">
            <v>108472</v>
          </cell>
          <cell r="R34">
            <v>0</v>
          </cell>
          <cell r="S34">
            <v>31651</v>
          </cell>
          <cell r="T34">
            <v>0</v>
          </cell>
          <cell r="U34">
            <v>0</v>
          </cell>
          <cell r="V34" t="str">
            <v xml:space="preserve"> </v>
          </cell>
          <cell r="W34">
            <v>4962606</v>
          </cell>
          <cell r="X34">
            <v>0</v>
          </cell>
          <cell r="Y34">
            <v>0</v>
          </cell>
          <cell r="Z34">
            <v>0</v>
          </cell>
          <cell r="AA34">
            <v>0</v>
          </cell>
          <cell r="AB34">
            <v>4445535</v>
          </cell>
          <cell r="AC34">
            <v>150319</v>
          </cell>
          <cell r="AD34">
            <v>95000</v>
          </cell>
          <cell r="AE34">
            <v>33330</v>
          </cell>
          <cell r="AF34">
            <v>15832</v>
          </cell>
          <cell r="AG34">
            <v>0</v>
          </cell>
          <cell r="AH34">
            <v>0</v>
          </cell>
          <cell r="AI34">
            <v>174490</v>
          </cell>
          <cell r="AJ34">
            <v>0</v>
          </cell>
          <cell r="AK34">
            <v>112738</v>
          </cell>
          <cell r="AL34">
            <v>0</v>
          </cell>
          <cell r="AM34">
            <v>31700</v>
          </cell>
          <cell r="AN34">
            <v>0</v>
          </cell>
          <cell r="AO34">
            <v>0</v>
          </cell>
          <cell r="AP34">
            <v>5025614</v>
          </cell>
          <cell r="AQ34">
            <v>0</v>
          </cell>
          <cell r="AR34">
            <v>0</v>
          </cell>
          <cell r="AS34">
            <v>0</v>
          </cell>
          <cell r="AT34">
            <v>0</v>
          </cell>
          <cell r="AU34" t="str">
            <v xml:space="preserve"> </v>
          </cell>
          <cell r="AV34" t="str">
            <v xml:space="preserve"> </v>
          </cell>
          <cell r="AW34" t="str">
            <v xml:space="preserve"> </v>
          </cell>
        </row>
        <row r="35">
          <cell r="C35" t="str">
            <v xml:space="preserve">CITRUS Subtotal       </v>
          </cell>
          <cell r="H35">
            <v>4193110</v>
          </cell>
          <cell r="I35">
            <v>120255</v>
          </cell>
          <cell r="J35">
            <v>94581</v>
          </cell>
          <cell r="K35">
            <v>78708</v>
          </cell>
          <cell r="L35">
            <v>37386</v>
          </cell>
          <cell r="M35">
            <v>0</v>
          </cell>
          <cell r="N35">
            <v>0</v>
          </cell>
          <cell r="O35">
            <v>377151</v>
          </cell>
          <cell r="P35">
            <v>0</v>
          </cell>
          <cell r="Q35">
            <v>108472</v>
          </cell>
          <cell r="R35">
            <v>0</v>
          </cell>
          <cell r="S35">
            <v>31651</v>
          </cell>
          <cell r="T35">
            <v>0</v>
          </cell>
          <cell r="U35">
            <v>0</v>
          </cell>
          <cell r="V35">
            <v>0</v>
          </cell>
          <cell r="W35">
            <v>4962606</v>
          </cell>
          <cell r="X35">
            <v>0</v>
          </cell>
          <cell r="Y35">
            <v>0</v>
          </cell>
          <cell r="Z35">
            <v>0</v>
          </cell>
          <cell r="AA35">
            <v>0</v>
          </cell>
          <cell r="AB35">
            <v>4445535</v>
          </cell>
          <cell r="AC35">
            <v>150319</v>
          </cell>
          <cell r="AD35">
            <v>95000</v>
          </cell>
          <cell r="AE35">
            <v>33330</v>
          </cell>
          <cell r="AF35">
            <v>15832</v>
          </cell>
          <cell r="AG35">
            <v>0</v>
          </cell>
          <cell r="AH35">
            <v>0</v>
          </cell>
          <cell r="AI35">
            <v>174490</v>
          </cell>
          <cell r="AJ35">
            <v>0</v>
          </cell>
          <cell r="AK35">
            <v>112738</v>
          </cell>
          <cell r="AL35">
            <v>0</v>
          </cell>
          <cell r="AM35">
            <v>31700</v>
          </cell>
          <cell r="AN35">
            <v>0</v>
          </cell>
          <cell r="AO35">
            <v>0</v>
          </cell>
          <cell r="AP35">
            <v>5025614</v>
          </cell>
          <cell r="AQ35">
            <v>0</v>
          </cell>
          <cell r="AR35">
            <v>0</v>
          </cell>
          <cell r="AS35">
            <v>0</v>
          </cell>
          <cell r="AT35">
            <v>0</v>
          </cell>
          <cell r="AU35">
            <v>0</v>
          </cell>
          <cell r="AV35">
            <v>0</v>
          </cell>
          <cell r="AW35">
            <v>0</v>
          </cell>
        </row>
        <row r="37">
          <cell r="C37" t="str">
            <v xml:space="preserve"> COAST             </v>
          </cell>
          <cell r="D37" t="str">
            <v xml:space="preserve"> ORANGE            </v>
          </cell>
          <cell r="E37">
            <v>830</v>
          </cell>
          <cell r="F37" t="str">
            <v xml:space="preserve"> 2015-2016</v>
          </cell>
          <cell r="G37" t="str">
            <v xml:space="preserve"> 11/15/2015</v>
          </cell>
          <cell r="H37">
            <v>93100524</v>
          </cell>
          <cell r="I37">
            <v>2674924</v>
          </cell>
          <cell r="J37">
            <v>3576660</v>
          </cell>
          <cell r="K37">
            <v>1534649</v>
          </cell>
          <cell r="L37">
            <v>728958</v>
          </cell>
          <cell r="M37">
            <v>0</v>
          </cell>
          <cell r="N37">
            <v>0</v>
          </cell>
          <cell r="O37">
            <v>4553465</v>
          </cell>
          <cell r="P37">
            <v>283394</v>
          </cell>
          <cell r="Q37">
            <v>1542715</v>
          </cell>
          <cell r="R37">
            <v>14</v>
          </cell>
          <cell r="S37">
            <v>690122</v>
          </cell>
          <cell r="T37">
            <v>0</v>
          </cell>
          <cell r="U37">
            <v>656554</v>
          </cell>
          <cell r="V37" t="str">
            <v xml:space="preserve"> </v>
          </cell>
          <cell r="W37">
            <v>107807330</v>
          </cell>
          <cell r="X37">
            <v>0</v>
          </cell>
          <cell r="Y37">
            <v>0</v>
          </cell>
          <cell r="Z37">
            <v>0</v>
          </cell>
          <cell r="AA37">
            <v>0</v>
          </cell>
          <cell r="AB37">
            <v>100126954</v>
          </cell>
          <cell r="AC37">
            <v>2475711</v>
          </cell>
          <cell r="AD37">
            <v>3233811</v>
          </cell>
          <cell r="AE37">
            <v>1305466</v>
          </cell>
          <cell r="AF37">
            <v>620096</v>
          </cell>
          <cell r="AG37">
            <v>0</v>
          </cell>
          <cell r="AH37">
            <v>0</v>
          </cell>
          <cell r="AI37">
            <v>3511525</v>
          </cell>
          <cell r="AJ37">
            <v>0</v>
          </cell>
          <cell r="AK37">
            <v>1467926</v>
          </cell>
          <cell r="AL37">
            <v>14</v>
          </cell>
          <cell r="AM37">
            <v>687158</v>
          </cell>
          <cell r="AN37">
            <v>0</v>
          </cell>
          <cell r="AO37">
            <v>6533880</v>
          </cell>
          <cell r="AP37">
            <v>118657075</v>
          </cell>
          <cell r="AQ37">
            <v>0</v>
          </cell>
          <cell r="AR37">
            <v>0</v>
          </cell>
          <cell r="AS37">
            <v>0</v>
          </cell>
          <cell r="AT37">
            <v>0</v>
          </cell>
          <cell r="AU37" t="str">
            <v xml:space="preserve"> </v>
          </cell>
          <cell r="AV37" t="str">
            <v xml:space="preserve"> </v>
          </cell>
          <cell r="AW37" t="str">
            <v xml:space="preserve"> </v>
          </cell>
        </row>
        <row r="38">
          <cell r="C38" t="str">
            <v xml:space="preserve">COAST Subtotal         </v>
          </cell>
          <cell r="H38">
            <v>93100524</v>
          </cell>
          <cell r="I38">
            <v>2674924</v>
          </cell>
          <cell r="J38">
            <v>3576660</v>
          </cell>
          <cell r="K38">
            <v>1534649</v>
          </cell>
          <cell r="L38">
            <v>728958</v>
          </cell>
          <cell r="M38">
            <v>0</v>
          </cell>
          <cell r="N38">
            <v>0</v>
          </cell>
          <cell r="O38">
            <v>4553465</v>
          </cell>
          <cell r="P38">
            <v>283394</v>
          </cell>
          <cell r="Q38">
            <v>1542715</v>
          </cell>
          <cell r="R38">
            <v>14</v>
          </cell>
          <cell r="S38">
            <v>690122</v>
          </cell>
          <cell r="T38">
            <v>0</v>
          </cell>
          <cell r="U38">
            <v>656554</v>
          </cell>
          <cell r="V38">
            <v>0</v>
          </cell>
          <cell r="W38">
            <v>107807330</v>
          </cell>
          <cell r="X38">
            <v>0</v>
          </cell>
          <cell r="Y38">
            <v>0</v>
          </cell>
          <cell r="Z38">
            <v>0</v>
          </cell>
          <cell r="AA38">
            <v>0</v>
          </cell>
          <cell r="AB38">
            <v>100126954</v>
          </cell>
          <cell r="AC38">
            <v>2475711</v>
          </cell>
          <cell r="AD38">
            <v>3233811</v>
          </cell>
          <cell r="AE38">
            <v>1305466</v>
          </cell>
          <cell r="AF38">
            <v>620096</v>
          </cell>
          <cell r="AG38">
            <v>0</v>
          </cell>
          <cell r="AH38">
            <v>0</v>
          </cell>
          <cell r="AI38">
            <v>3511525</v>
          </cell>
          <cell r="AJ38">
            <v>0</v>
          </cell>
          <cell r="AK38">
            <v>1467926</v>
          </cell>
          <cell r="AL38">
            <v>14</v>
          </cell>
          <cell r="AM38">
            <v>687158</v>
          </cell>
          <cell r="AN38">
            <v>0</v>
          </cell>
          <cell r="AO38">
            <v>6533880</v>
          </cell>
          <cell r="AP38">
            <v>118657075</v>
          </cell>
          <cell r="AQ38">
            <v>0</v>
          </cell>
          <cell r="AR38">
            <v>0</v>
          </cell>
          <cell r="AS38">
            <v>0</v>
          </cell>
          <cell r="AT38">
            <v>0</v>
          </cell>
          <cell r="AU38">
            <v>0</v>
          </cell>
          <cell r="AV38">
            <v>0</v>
          </cell>
          <cell r="AW38">
            <v>0</v>
          </cell>
        </row>
        <row r="40">
          <cell r="C40" t="str">
            <v xml:space="preserve"> COMPTON           </v>
          </cell>
          <cell r="D40" t="str">
            <v xml:space="preserve"> LOS ANGELES       </v>
          </cell>
          <cell r="E40">
            <v>710</v>
          </cell>
          <cell r="F40" t="str">
            <v xml:space="preserve"> 2015-2016</v>
          </cell>
          <cell r="G40" t="str">
            <v xml:space="preserve"> 11/15/2015</v>
          </cell>
          <cell r="H40">
            <v>3747506</v>
          </cell>
          <cell r="I40">
            <v>114816</v>
          </cell>
          <cell r="J40">
            <v>49447</v>
          </cell>
          <cell r="K40">
            <v>140688</v>
          </cell>
          <cell r="L40">
            <v>66827</v>
          </cell>
          <cell r="M40">
            <v>0</v>
          </cell>
          <cell r="N40">
            <v>0</v>
          </cell>
          <cell r="O40">
            <v>587581</v>
          </cell>
          <cell r="P40">
            <v>144290</v>
          </cell>
          <cell r="Q40">
            <v>94598</v>
          </cell>
          <cell r="R40">
            <v>0</v>
          </cell>
          <cell r="S40">
            <v>27701</v>
          </cell>
          <cell r="T40">
            <v>0</v>
          </cell>
          <cell r="U40">
            <v>0</v>
          </cell>
          <cell r="V40" t="str">
            <v xml:space="preserve"> </v>
          </cell>
          <cell r="W40">
            <v>4832766</v>
          </cell>
          <cell r="X40">
            <v>0</v>
          </cell>
          <cell r="Y40">
            <v>0</v>
          </cell>
          <cell r="Z40">
            <v>0</v>
          </cell>
          <cell r="AA40">
            <v>0</v>
          </cell>
          <cell r="AB40">
            <v>3933008</v>
          </cell>
          <cell r="AC40">
            <v>143520</v>
          </cell>
          <cell r="AD40">
            <v>49000</v>
          </cell>
          <cell r="AE40">
            <v>72654</v>
          </cell>
          <cell r="AF40">
            <v>34511</v>
          </cell>
          <cell r="AG40">
            <v>0</v>
          </cell>
          <cell r="AH40">
            <v>0</v>
          </cell>
          <cell r="AI40">
            <v>191482</v>
          </cell>
          <cell r="AJ40">
            <v>0</v>
          </cell>
          <cell r="AK40">
            <v>85270</v>
          </cell>
          <cell r="AL40">
            <v>0</v>
          </cell>
          <cell r="AM40">
            <v>27700</v>
          </cell>
          <cell r="AN40">
            <v>0</v>
          </cell>
          <cell r="AO40">
            <v>0</v>
          </cell>
          <cell r="AP40">
            <v>4464491</v>
          </cell>
          <cell r="AQ40">
            <v>0</v>
          </cell>
          <cell r="AR40">
            <v>0</v>
          </cell>
          <cell r="AS40">
            <v>0</v>
          </cell>
          <cell r="AT40">
            <v>0</v>
          </cell>
          <cell r="AU40" t="str">
            <v xml:space="preserve"> </v>
          </cell>
          <cell r="AV40" t="str">
            <v xml:space="preserve"> </v>
          </cell>
          <cell r="AW40" t="str">
            <v xml:space="preserve"> </v>
          </cell>
        </row>
        <row r="41">
          <cell r="C41" t="str">
            <v xml:space="preserve">COMPTON Subtotal           </v>
          </cell>
          <cell r="H41">
            <v>3747506</v>
          </cell>
          <cell r="I41">
            <v>114816</v>
          </cell>
          <cell r="J41">
            <v>49447</v>
          </cell>
          <cell r="K41">
            <v>140688</v>
          </cell>
          <cell r="L41">
            <v>66827</v>
          </cell>
          <cell r="M41">
            <v>0</v>
          </cell>
          <cell r="N41">
            <v>0</v>
          </cell>
          <cell r="O41">
            <v>587581</v>
          </cell>
          <cell r="P41">
            <v>144290</v>
          </cell>
          <cell r="Q41">
            <v>94598</v>
          </cell>
          <cell r="R41">
            <v>0</v>
          </cell>
          <cell r="S41">
            <v>27701</v>
          </cell>
          <cell r="T41">
            <v>0</v>
          </cell>
          <cell r="U41">
            <v>0</v>
          </cell>
          <cell r="V41">
            <v>0</v>
          </cell>
          <cell r="W41">
            <v>4832766</v>
          </cell>
          <cell r="X41">
            <v>0</v>
          </cell>
          <cell r="Y41">
            <v>0</v>
          </cell>
          <cell r="Z41">
            <v>0</v>
          </cell>
          <cell r="AA41">
            <v>0</v>
          </cell>
          <cell r="AB41">
            <v>3933008</v>
          </cell>
          <cell r="AC41">
            <v>143520</v>
          </cell>
          <cell r="AD41">
            <v>49000</v>
          </cell>
          <cell r="AE41">
            <v>72654</v>
          </cell>
          <cell r="AF41">
            <v>34511</v>
          </cell>
          <cell r="AG41">
            <v>0</v>
          </cell>
          <cell r="AH41">
            <v>0</v>
          </cell>
          <cell r="AI41">
            <v>191482</v>
          </cell>
          <cell r="AJ41">
            <v>0</v>
          </cell>
          <cell r="AK41">
            <v>85270</v>
          </cell>
          <cell r="AL41">
            <v>0</v>
          </cell>
          <cell r="AM41">
            <v>27700</v>
          </cell>
          <cell r="AN41">
            <v>0</v>
          </cell>
          <cell r="AO41">
            <v>0</v>
          </cell>
          <cell r="AP41">
            <v>4464491</v>
          </cell>
          <cell r="AQ41">
            <v>0</v>
          </cell>
          <cell r="AR41">
            <v>0</v>
          </cell>
          <cell r="AS41">
            <v>0</v>
          </cell>
          <cell r="AT41">
            <v>0</v>
          </cell>
          <cell r="AU41">
            <v>0</v>
          </cell>
          <cell r="AV41">
            <v>0</v>
          </cell>
          <cell r="AW41">
            <v>0</v>
          </cell>
        </row>
        <row r="43">
          <cell r="C43" t="str">
            <v xml:space="preserve"> CONTRA COSTA      </v>
          </cell>
          <cell r="D43" t="str">
            <v xml:space="preserve"> CONTRA COSTA      </v>
          </cell>
          <cell r="E43">
            <v>310</v>
          </cell>
          <cell r="F43" t="str">
            <v xml:space="preserve"> 2015-2016</v>
          </cell>
          <cell r="G43" t="str">
            <v xml:space="preserve"> 11/15/2015</v>
          </cell>
          <cell r="H43">
            <v>69222053</v>
          </cell>
          <cell r="I43">
            <v>871342</v>
          </cell>
          <cell r="J43">
            <v>2676580</v>
          </cell>
          <cell r="K43">
            <v>131539</v>
          </cell>
          <cell r="L43">
            <v>62481</v>
          </cell>
          <cell r="M43">
            <v>0</v>
          </cell>
          <cell r="N43">
            <v>0</v>
          </cell>
          <cell r="O43">
            <v>1689504</v>
          </cell>
          <cell r="P43">
            <v>556841</v>
          </cell>
          <cell r="Q43">
            <v>0</v>
          </cell>
          <cell r="R43">
            <v>0</v>
          </cell>
          <cell r="S43">
            <v>670831</v>
          </cell>
          <cell r="T43">
            <v>7536</v>
          </cell>
          <cell r="U43">
            <v>5099051</v>
          </cell>
          <cell r="V43" t="str">
            <v xml:space="preserve"> </v>
          </cell>
          <cell r="W43">
            <v>80856219</v>
          </cell>
          <cell r="X43">
            <v>0</v>
          </cell>
          <cell r="Y43">
            <v>0</v>
          </cell>
          <cell r="Z43">
            <v>0</v>
          </cell>
          <cell r="AA43">
            <v>0</v>
          </cell>
          <cell r="AB43">
            <v>75345580</v>
          </cell>
          <cell r="AC43">
            <v>871300</v>
          </cell>
          <cell r="AD43">
            <v>2577191</v>
          </cell>
          <cell r="AE43">
            <v>131500</v>
          </cell>
          <cell r="AF43">
            <v>62463</v>
          </cell>
          <cell r="AG43">
            <v>0</v>
          </cell>
          <cell r="AH43">
            <v>0</v>
          </cell>
          <cell r="AI43">
            <v>1689500</v>
          </cell>
          <cell r="AJ43">
            <v>556800</v>
          </cell>
          <cell r="AK43">
            <v>0</v>
          </cell>
          <cell r="AL43">
            <v>0</v>
          </cell>
          <cell r="AM43">
            <v>654845</v>
          </cell>
          <cell r="AN43">
            <v>7536</v>
          </cell>
          <cell r="AO43">
            <v>8053527</v>
          </cell>
          <cell r="AP43">
            <v>89818742</v>
          </cell>
          <cell r="AQ43">
            <v>0</v>
          </cell>
          <cell r="AR43">
            <v>0</v>
          </cell>
          <cell r="AS43">
            <v>0</v>
          </cell>
          <cell r="AT43">
            <v>0</v>
          </cell>
          <cell r="AU43" t="str">
            <v xml:space="preserve"> </v>
          </cell>
          <cell r="AV43" t="str">
            <v xml:space="preserve"> </v>
          </cell>
          <cell r="AW43" t="str">
            <v xml:space="preserve"> </v>
          </cell>
        </row>
        <row r="44">
          <cell r="C44" t="str">
            <v xml:space="preserve">CONTRA COSTA Subtotal   </v>
          </cell>
          <cell r="H44">
            <v>69222053</v>
          </cell>
          <cell r="I44">
            <v>871342</v>
          </cell>
          <cell r="J44">
            <v>2676580</v>
          </cell>
          <cell r="K44">
            <v>131539</v>
          </cell>
          <cell r="L44">
            <v>62481</v>
          </cell>
          <cell r="M44">
            <v>0</v>
          </cell>
          <cell r="N44">
            <v>0</v>
          </cell>
          <cell r="O44">
            <v>1689504</v>
          </cell>
          <cell r="P44">
            <v>556841</v>
          </cell>
          <cell r="Q44">
            <v>0</v>
          </cell>
          <cell r="R44">
            <v>0</v>
          </cell>
          <cell r="S44">
            <v>670831</v>
          </cell>
          <cell r="T44">
            <v>7536</v>
          </cell>
          <cell r="U44">
            <v>5099051</v>
          </cell>
          <cell r="V44">
            <v>0</v>
          </cell>
          <cell r="W44">
            <v>80856219</v>
          </cell>
          <cell r="X44">
            <v>0</v>
          </cell>
          <cell r="Y44">
            <v>0</v>
          </cell>
          <cell r="Z44">
            <v>0</v>
          </cell>
          <cell r="AA44">
            <v>0</v>
          </cell>
          <cell r="AB44">
            <v>75345580</v>
          </cell>
          <cell r="AC44">
            <v>871300</v>
          </cell>
          <cell r="AD44">
            <v>2577191</v>
          </cell>
          <cell r="AE44">
            <v>131500</v>
          </cell>
          <cell r="AF44">
            <v>62463</v>
          </cell>
          <cell r="AG44">
            <v>0</v>
          </cell>
          <cell r="AH44">
            <v>0</v>
          </cell>
          <cell r="AI44">
            <v>1689500</v>
          </cell>
          <cell r="AJ44">
            <v>556800</v>
          </cell>
          <cell r="AK44">
            <v>0</v>
          </cell>
          <cell r="AL44">
            <v>0</v>
          </cell>
          <cell r="AM44">
            <v>654845</v>
          </cell>
          <cell r="AN44">
            <v>7536</v>
          </cell>
          <cell r="AO44">
            <v>8053527</v>
          </cell>
          <cell r="AP44">
            <v>89818742</v>
          </cell>
          <cell r="AQ44">
            <v>0</v>
          </cell>
          <cell r="AR44">
            <v>0</v>
          </cell>
          <cell r="AS44">
            <v>0</v>
          </cell>
          <cell r="AT44">
            <v>0</v>
          </cell>
          <cell r="AU44">
            <v>0</v>
          </cell>
          <cell r="AV44">
            <v>0</v>
          </cell>
          <cell r="AW44">
            <v>0</v>
          </cell>
        </row>
        <row r="46">
          <cell r="C46" t="str">
            <v xml:space="preserve"> COPPER MOUNTAIN</v>
          </cell>
          <cell r="D46" t="str">
            <v xml:space="preserve"> SAN BERNARDINO    </v>
          </cell>
          <cell r="E46">
            <v>970</v>
          </cell>
          <cell r="F46" t="str">
            <v xml:space="preserve"> 2015-2016</v>
          </cell>
          <cell r="G46" t="str">
            <v xml:space="preserve"> 11/15/2015</v>
          </cell>
          <cell r="H46">
            <v>1618284</v>
          </cell>
          <cell r="I46">
            <v>31703</v>
          </cell>
          <cell r="J46">
            <v>66213</v>
          </cell>
          <cell r="K46">
            <v>0</v>
          </cell>
          <cell r="L46">
            <v>0</v>
          </cell>
          <cell r="M46">
            <v>0</v>
          </cell>
          <cell r="N46">
            <v>0</v>
          </cell>
          <cell r="O46">
            <v>69764</v>
          </cell>
          <cell r="P46">
            <v>0</v>
          </cell>
          <cell r="Q46">
            <v>824</v>
          </cell>
          <cell r="R46">
            <v>0</v>
          </cell>
          <cell r="S46">
            <v>17808</v>
          </cell>
          <cell r="T46">
            <v>0</v>
          </cell>
          <cell r="U46">
            <v>-655366</v>
          </cell>
          <cell r="V46" t="str">
            <v xml:space="preserve"> </v>
          </cell>
          <cell r="W46">
            <v>1149230</v>
          </cell>
          <cell r="X46">
            <v>0</v>
          </cell>
          <cell r="Y46">
            <v>0</v>
          </cell>
          <cell r="Z46">
            <v>0</v>
          </cell>
          <cell r="AA46">
            <v>0</v>
          </cell>
          <cell r="AB46">
            <v>1653473</v>
          </cell>
          <cell r="AC46">
            <v>31586</v>
          </cell>
          <cell r="AD46">
            <v>63094</v>
          </cell>
          <cell r="AE46">
            <v>0</v>
          </cell>
          <cell r="AF46">
            <v>0</v>
          </cell>
          <cell r="AG46">
            <v>0</v>
          </cell>
          <cell r="AH46">
            <v>0</v>
          </cell>
          <cell r="AI46">
            <v>0</v>
          </cell>
          <cell r="AJ46">
            <v>0</v>
          </cell>
          <cell r="AK46">
            <v>2065</v>
          </cell>
          <cell r="AL46">
            <v>0</v>
          </cell>
          <cell r="AM46">
            <v>17593</v>
          </cell>
          <cell r="AN46">
            <v>0</v>
          </cell>
          <cell r="AO46">
            <v>-467781</v>
          </cell>
          <cell r="AP46">
            <v>1300030</v>
          </cell>
          <cell r="AQ46">
            <v>0</v>
          </cell>
          <cell r="AR46">
            <v>0</v>
          </cell>
          <cell r="AS46">
            <v>0</v>
          </cell>
          <cell r="AT46">
            <v>0</v>
          </cell>
          <cell r="AU46" t="str">
            <v xml:space="preserve"> </v>
          </cell>
          <cell r="AV46" t="str">
            <v xml:space="preserve"> </v>
          </cell>
          <cell r="AW46" t="str">
            <v xml:space="preserve"> </v>
          </cell>
        </row>
        <row r="47">
          <cell r="C47" t="str">
            <v>COPPER MOUNTAIN Subtotal</v>
          </cell>
          <cell r="H47">
            <v>1618284</v>
          </cell>
          <cell r="I47">
            <v>31703</v>
          </cell>
          <cell r="J47">
            <v>66213</v>
          </cell>
          <cell r="K47">
            <v>0</v>
          </cell>
          <cell r="L47">
            <v>0</v>
          </cell>
          <cell r="M47">
            <v>0</v>
          </cell>
          <cell r="N47">
            <v>0</v>
          </cell>
          <cell r="O47">
            <v>69764</v>
          </cell>
          <cell r="P47">
            <v>0</v>
          </cell>
          <cell r="Q47">
            <v>824</v>
          </cell>
          <cell r="R47">
            <v>0</v>
          </cell>
          <cell r="S47">
            <v>17808</v>
          </cell>
          <cell r="T47">
            <v>0</v>
          </cell>
          <cell r="U47">
            <v>-655366</v>
          </cell>
          <cell r="V47">
            <v>0</v>
          </cell>
          <cell r="W47">
            <v>1149230</v>
          </cell>
          <cell r="X47">
            <v>0</v>
          </cell>
          <cell r="Y47">
            <v>0</v>
          </cell>
          <cell r="Z47">
            <v>0</v>
          </cell>
          <cell r="AA47">
            <v>0</v>
          </cell>
          <cell r="AB47">
            <v>1653473</v>
          </cell>
          <cell r="AC47">
            <v>31586</v>
          </cell>
          <cell r="AD47">
            <v>63094</v>
          </cell>
          <cell r="AE47">
            <v>0</v>
          </cell>
          <cell r="AF47">
            <v>0</v>
          </cell>
          <cell r="AG47">
            <v>0</v>
          </cell>
          <cell r="AH47">
            <v>0</v>
          </cell>
          <cell r="AI47">
            <v>0</v>
          </cell>
          <cell r="AJ47">
            <v>0</v>
          </cell>
          <cell r="AK47">
            <v>2065</v>
          </cell>
          <cell r="AL47">
            <v>0</v>
          </cell>
          <cell r="AM47">
            <v>17593</v>
          </cell>
          <cell r="AN47">
            <v>0</v>
          </cell>
          <cell r="AO47">
            <v>-467781</v>
          </cell>
          <cell r="AP47">
            <v>1300030</v>
          </cell>
          <cell r="AQ47">
            <v>0</v>
          </cell>
          <cell r="AR47">
            <v>0</v>
          </cell>
          <cell r="AS47">
            <v>0</v>
          </cell>
          <cell r="AT47">
            <v>0</v>
          </cell>
          <cell r="AU47">
            <v>0</v>
          </cell>
          <cell r="AV47">
            <v>0</v>
          </cell>
          <cell r="AW47">
            <v>0</v>
          </cell>
        </row>
        <row r="49">
          <cell r="C49" t="str">
            <v xml:space="preserve"> DESERT            </v>
          </cell>
          <cell r="D49" t="str">
            <v xml:space="preserve"> IMPERIAL          </v>
          </cell>
          <cell r="E49">
            <v>930</v>
          </cell>
          <cell r="F49" t="str">
            <v xml:space="preserve"> 2015-2016</v>
          </cell>
          <cell r="G49" t="str">
            <v xml:space="preserve"> 11/15/2015</v>
          </cell>
          <cell r="H49">
            <v>146578</v>
          </cell>
          <cell r="I49">
            <v>2839</v>
          </cell>
          <cell r="J49">
            <v>19097</v>
          </cell>
          <cell r="K49">
            <v>0</v>
          </cell>
          <cell r="L49">
            <v>0</v>
          </cell>
          <cell r="M49">
            <v>0</v>
          </cell>
          <cell r="N49">
            <v>0</v>
          </cell>
          <cell r="O49">
            <v>0</v>
          </cell>
          <cell r="P49">
            <v>0</v>
          </cell>
          <cell r="Q49">
            <v>0</v>
          </cell>
          <cell r="R49">
            <v>0</v>
          </cell>
          <cell r="S49">
            <v>1797</v>
          </cell>
          <cell r="T49">
            <v>0</v>
          </cell>
          <cell r="U49">
            <v>0</v>
          </cell>
          <cell r="V49" t="str">
            <v xml:space="preserve"> </v>
          </cell>
          <cell r="W49">
            <v>170311</v>
          </cell>
          <cell r="X49">
            <v>0</v>
          </cell>
          <cell r="Y49">
            <v>0</v>
          </cell>
          <cell r="Z49">
            <v>0</v>
          </cell>
          <cell r="AA49">
            <v>0</v>
          </cell>
          <cell r="AB49">
            <v>172555</v>
          </cell>
          <cell r="AC49">
            <v>0</v>
          </cell>
          <cell r="AD49">
            <v>19029</v>
          </cell>
          <cell r="AE49">
            <v>0</v>
          </cell>
          <cell r="AF49">
            <v>0</v>
          </cell>
          <cell r="AG49">
            <v>0</v>
          </cell>
          <cell r="AH49">
            <v>0</v>
          </cell>
          <cell r="AI49">
            <v>0</v>
          </cell>
          <cell r="AJ49">
            <v>0</v>
          </cell>
          <cell r="AK49">
            <v>0</v>
          </cell>
          <cell r="AL49">
            <v>0</v>
          </cell>
          <cell r="AM49">
            <v>1790</v>
          </cell>
          <cell r="AN49">
            <v>0</v>
          </cell>
          <cell r="AO49">
            <v>0</v>
          </cell>
          <cell r="AP49">
            <v>193374</v>
          </cell>
          <cell r="AQ49">
            <v>0</v>
          </cell>
          <cell r="AR49">
            <v>0</v>
          </cell>
          <cell r="AS49">
            <v>0</v>
          </cell>
          <cell r="AT49">
            <v>0</v>
          </cell>
          <cell r="AU49" t="str">
            <v xml:space="preserve"> </v>
          </cell>
          <cell r="AV49" t="str">
            <v xml:space="preserve"> </v>
          </cell>
          <cell r="AW49" t="str">
            <v xml:space="preserve"> </v>
          </cell>
        </row>
        <row r="50">
          <cell r="C50" t="str">
            <v xml:space="preserve"> DESERT            </v>
          </cell>
          <cell r="D50" t="str">
            <v xml:space="preserve"> RIVERSIDE         </v>
          </cell>
          <cell r="E50">
            <v>930</v>
          </cell>
          <cell r="F50" t="str">
            <v xml:space="preserve"> 2015-2016</v>
          </cell>
          <cell r="G50" t="str">
            <v xml:space="preserve"> 11/15/2015</v>
          </cell>
          <cell r="H50">
            <v>23838334</v>
          </cell>
          <cell r="I50">
            <v>511933</v>
          </cell>
          <cell r="J50">
            <v>1099060</v>
          </cell>
          <cell r="K50">
            <v>541185</v>
          </cell>
          <cell r="L50">
            <v>257063</v>
          </cell>
          <cell r="M50">
            <v>0</v>
          </cell>
          <cell r="N50">
            <v>0</v>
          </cell>
          <cell r="O50">
            <v>8416846</v>
          </cell>
          <cell r="P50">
            <v>361226</v>
          </cell>
          <cell r="Q50">
            <v>765848</v>
          </cell>
          <cell r="R50">
            <v>0</v>
          </cell>
          <cell r="S50">
            <v>325740</v>
          </cell>
          <cell r="T50">
            <v>471</v>
          </cell>
          <cell r="U50">
            <v>-4491144</v>
          </cell>
          <cell r="V50" t="str">
            <v xml:space="preserve"> </v>
          </cell>
          <cell r="W50">
            <v>31085377</v>
          </cell>
          <cell r="X50">
            <v>0</v>
          </cell>
          <cell r="Y50">
            <v>0</v>
          </cell>
          <cell r="Z50">
            <v>0</v>
          </cell>
          <cell r="AA50">
            <v>0</v>
          </cell>
          <cell r="AB50">
            <v>23932853</v>
          </cell>
          <cell r="AC50">
            <v>578501</v>
          </cell>
          <cell r="AD50">
            <v>1030413</v>
          </cell>
          <cell r="AE50">
            <v>576470</v>
          </cell>
          <cell r="AF50">
            <v>273823</v>
          </cell>
          <cell r="AG50">
            <v>0</v>
          </cell>
          <cell r="AH50">
            <v>0</v>
          </cell>
          <cell r="AI50">
            <v>0</v>
          </cell>
          <cell r="AJ50">
            <v>10538</v>
          </cell>
          <cell r="AK50">
            <v>649422</v>
          </cell>
          <cell r="AL50">
            <v>0</v>
          </cell>
          <cell r="AM50">
            <v>322038</v>
          </cell>
          <cell r="AN50">
            <v>0</v>
          </cell>
          <cell r="AO50">
            <v>-3313898</v>
          </cell>
          <cell r="AP50">
            <v>23483690</v>
          </cell>
          <cell r="AQ50">
            <v>0</v>
          </cell>
          <cell r="AR50">
            <v>0</v>
          </cell>
          <cell r="AS50">
            <v>0</v>
          </cell>
          <cell r="AT50">
            <v>0</v>
          </cell>
          <cell r="AU50" t="str">
            <v xml:space="preserve"> </v>
          </cell>
          <cell r="AV50" t="str">
            <v xml:space="preserve"> </v>
          </cell>
          <cell r="AW50" t="str">
            <v xml:space="preserve"> </v>
          </cell>
        </row>
        <row r="51">
          <cell r="C51" t="str">
            <v xml:space="preserve">DESERT Subtotal          </v>
          </cell>
          <cell r="H51">
            <v>23984912</v>
          </cell>
          <cell r="I51">
            <v>514772</v>
          </cell>
          <cell r="J51">
            <v>1118157</v>
          </cell>
          <cell r="K51">
            <v>541185</v>
          </cell>
          <cell r="L51">
            <v>257063</v>
          </cell>
          <cell r="M51">
            <v>0</v>
          </cell>
          <cell r="N51">
            <v>0</v>
          </cell>
          <cell r="O51">
            <v>8416846</v>
          </cell>
          <cell r="P51">
            <v>361226</v>
          </cell>
          <cell r="Q51">
            <v>765848</v>
          </cell>
          <cell r="R51">
            <v>0</v>
          </cell>
          <cell r="S51">
            <v>327537</v>
          </cell>
          <cell r="T51">
            <v>471</v>
          </cell>
          <cell r="U51">
            <v>-4491144</v>
          </cell>
          <cell r="V51">
            <v>0</v>
          </cell>
          <cell r="W51">
            <v>31255688</v>
          </cell>
          <cell r="X51">
            <v>0</v>
          </cell>
          <cell r="Y51">
            <v>0</v>
          </cell>
          <cell r="Z51">
            <v>0</v>
          </cell>
          <cell r="AA51">
            <v>0</v>
          </cell>
          <cell r="AB51">
            <v>24105408</v>
          </cell>
          <cell r="AC51">
            <v>578501</v>
          </cell>
          <cell r="AD51">
            <v>1049442</v>
          </cell>
          <cell r="AE51">
            <v>576470</v>
          </cell>
          <cell r="AF51">
            <v>273823</v>
          </cell>
          <cell r="AG51">
            <v>0</v>
          </cell>
          <cell r="AH51">
            <v>0</v>
          </cell>
          <cell r="AI51">
            <v>0</v>
          </cell>
          <cell r="AJ51">
            <v>10538</v>
          </cell>
          <cell r="AK51">
            <v>649422</v>
          </cell>
          <cell r="AL51">
            <v>0</v>
          </cell>
          <cell r="AM51">
            <v>323828</v>
          </cell>
          <cell r="AN51">
            <v>0</v>
          </cell>
          <cell r="AO51">
            <v>-3313898</v>
          </cell>
          <cell r="AP51">
            <v>23677064</v>
          </cell>
          <cell r="AQ51">
            <v>0</v>
          </cell>
          <cell r="AR51">
            <v>0</v>
          </cell>
          <cell r="AS51">
            <v>0</v>
          </cell>
          <cell r="AT51">
            <v>0</v>
          </cell>
          <cell r="AU51">
            <v>0</v>
          </cell>
          <cell r="AV51">
            <v>0</v>
          </cell>
          <cell r="AW51">
            <v>0</v>
          </cell>
        </row>
        <row r="53">
          <cell r="C53" t="str">
            <v xml:space="preserve"> EL CAMINO         </v>
          </cell>
          <cell r="D53" t="str">
            <v xml:space="preserve"> LOS ANGELES       </v>
          </cell>
          <cell r="E53">
            <v>720</v>
          </cell>
          <cell r="F53" t="str">
            <v xml:space="preserve"> 2015-2016</v>
          </cell>
          <cell r="G53" t="str">
            <v xml:space="preserve"> 11/15/2015</v>
          </cell>
          <cell r="H53">
            <v>24635336</v>
          </cell>
          <cell r="I53">
            <v>698132</v>
          </cell>
          <cell r="J53">
            <v>974272</v>
          </cell>
          <cell r="K53">
            <v>91965</v>
          </cell>
          <cell r="L53">
            <v>43683</v>
          </cell>
          <cell r="M53">
            <v>0</v>
          </cell>
          <cell r="N53">
            <v>0</v>
          </cell>
          <cell r="O53">
            <v>353090</v>
          </cell>
          <cell r="P53">
            <v>704878</v>
          </cell>
          <cell r="Q53">
            <v>577276</v>
          </cell>
          <cell r="R53">
            <v>0</v>
          </cell>
          <cell r="S53">
            <v>187572</v>
          </cell>
          <cell r="T53">
            <v>0</v>
          </cell>
          <cell r="U53">
            <v>0</v>
          </cell>
          <cell r="V53" t="str">
            <v xml:space="preserve"> </v>
          </cell>
          <cell r="W53">
            <v>28174239</v>
          </cell>
          <cell r="X53">
            <v>0</v>
          </cell>
          <cell r="Y53">
            <v>0</v>
          </cell>
          <cell r="Z53">
            <v>0</v>
          </cell>
          <cell r="AA53">
            <v>0</v>
          </cell>
          <cell r="AB53">
            <v>25968108</v>
          </cell>
          <cell r="AC53">
            <v>872665</v>
          </cell>
          <cell r="AD53">
            <v>974000</v>
          </cell>
          <cell r="AE53">
            <v>41817</v>
          </cell>
          <cell r="AF53">
            <v>19863</v>
          </cell>
          <cell r="AG53">
            <v>0</v>
          </cell>
          <cell r="AH53">
            <v>0</v>
          </cell>
          <cell r="AI53">
            <v>249520</v>
          </cell>
          <cell r="AJ53">
            <v>0</v>
          </cell>
          <cell r="AK53">
            <v>661226</v>
          </cell>
          <cell r="AL53">
            <v>0</v>
          </cell>
          <cell r="AM53">
            <v>187600</v>
          </cell>
          <cell r="AN53">
            <v>0</v>
          </cell>
          <cell r="AO53">
            <v>0</v>
          </cell>
          <cell r="AP53">
            <v>28932982</v>
          </cell>
          <cell r="AQ53">
            <v>0</v>
          </cell>
          <cell r="AR53">
            <v>0</v>
          </cell>
          <cell r="AS53">
            <v>0</v>
          </cell>
          <cell r="AT53">
            <v>0</v>
          </cell>
          <cell r="AU53" t="str">
            <v xml:space="preserve"> </v>
          </cell>
          <cell r="AV53" t="str">
            <v xml:space="preserve"> </v>
          </cell>
          <cell r="AW53" t="str">
            <v xml:space="preserve"> </v>
          </cell>
        </row>
        <row r="54">
          <cell r="C54" t="str">
            <v xml:space="preserve">EL CAMINO Subtotal     </v>
          </cell>
          <cell r="H54">
            <v>24635336</v>
          </cell>
          <cell r="I54">
            <v>698132</v>
          </cell>
          <cell r="J54">
            <v>974272</v>
          </cell>
          <cell r="K54">
            <v>91965</v>
          </cell>
          <cell r="L54">
            <v>43683</v>
          </cell>
          <cell r="M54">
            <v>0</v>
          </cell>
          <cell r="N54">
            <v>0</v>
          </cell>
          <cell r="O54">
            <v>353090</v>
          </cell>
          <cell r="P54">
            <v>704878</v>
          </cell>
          <cell r="Q54">
            <v>577276</v>
          </cell>
          <cell r="R54">
            <v>0</v>
          </cell>
          <cell r="S54">
            <v>187572</v>
          </cell>
          <cell r="T54">
            <v>0</v>
          </cell>
          <cell r="U54">
            <v>0</v>
          </cell>
          <cell r="V54">
            <v>0</v>
          </cell>
          <cell r="W54">
            <v>28174239</v>
          </cell>
          <cell r="X54">
            <v>0</v>
          </cell>
          <cell r="Y54">
            <v>0</v>
          </cell>
          <cell r="Z54">
            <v>0</v>
          </cell>
          <cell r="AA54">
            <v>0</v>
          </cell>
          <cell r="AB54">
            <v>25968108</v>
          </cell>
          <cell r="AC54">
            <v>872665</v>
          </cell>
          <cell r="AD54">
            <v>974000</v>
          </cell>
          <cell r="AE54">
            <v>41817</v>
          </cell>
          <cell r="AF54">
            <v>19863</v>
          </cell>
          <cell r="AG54">
            <v>0</v>
          </cell>
          <cell r="AH54">
            <v>0</v>
          </cell>
          <cell r="AI54">
            <v>249520</v>
          </cell>
          <cell r="AJ54">
            <v>0</v>
          </cell>
          <cell r="AK54">
            <v>661226</v>
          </cell>
          <cell r="AL54">
            <v>0</v>
          </cell>
          <cell r="AM54">
            <v>187600</v>
          </cell>
          <cell r="AN54">
            <v>0</v>
          </cell>
          <cell r="AO54">
            <v>0</v>
          </cell>
          <cell r="AP54">
            <v>28932982</v>
          </cell>
          <cell r="AQ54">
            <v>0</v>
          </cell>
          <cell r="AR54">
            <v>0</v>
          </cell>
          <cell r="AS54">
            <v>0</v>
          </cell>
          <cell r="AT54">
            <v>0</v>
          </cell>
          <cell r="AU54">
            <v>0</v>
          </cell>
          <cell r="AV54">
            <v>0</v>
          </cell>
          <cell r="AW54">
            <v>0</v>
          </cell>
        </row>
        <row r="56">
          <cell r="C56" t="str">
            <v xml:space="preserve"> FEATHER RIVER     </v>
          </cell>
          <cell r="D56" t="str">
            <v xml:space="preserve"> PLUMAS            </v>
          </cell>
          <cell r="E56">
            <v>120</v>
          </cell>
          <cell r="F56" t="str">
            <v xml:space="preserve"> 2015-2016</v>
          </cell>
          <cell r="G56" t="str">
            <v xml:space="preserve"> 11/15/2015</v>
          </cell>
          <cell r="H56">
            <v>4156514</v>
          </cell>
          <cell r="I56">
            <v>31371</v>
          </cell>
          <cell r="J56">
            <v>104294</v>
          </cell>
          <cell r="K56">
            <v>0</v>
          </cell>
          <cell r="L56">
            <v>0</v>
          </cell>
          <cell r="M56">
            <v>0</v>
          </cell>
          <cell r="N56">
            <v>0</v>
          </cell>
          <cell r="O56">
            <v>0</v>
          </cell>
          <cell r="P56">
            <v>0</v>
          </cell>
          <cell r="Q56">
            <v>5092</v>
          </cell>
          <cell r="R56">
            <v>55187</v>
          </cell>
          <cell r="S56">
            <v>38524</v>
          </cell>
          <cell r="T56">
            <v>0</v>
          </cell>
          <cell r="U56">
            <v>519931</v>
          </cell>
          <cell r="V56" t="str">
            <v xml:space="preserve"> </v>
          </cell>
          <cell r="W56">
            <v>4910913</v>
          </cell>
          <cell r="X56">
            <v>0</v>
          </cell>
          <cell r="Y56">
            <v>0</v>
          </cell>
          <cell r="Z56">
            <v>0</v>
          </cell>
          <cell r="AA56">
            <v>0</v>
          </cell>
          <cell r="AB56">
            <v>4156514</v>
          </cell>
          <cell r="AC56">
            <v>617424</v>
          </cell>
          <cell r="AD56">
            <v>104294</v>
          </cell>
          <cell r="AE56">
            <v>0</v>
          </cell>
          <cell r="AF56">
            <v>0</v>
          </cell>
          <cell r="AG56">
            <v>0</v>
          </cell>
          <cell r="AH56">
            <v>0</v>
          </cell>
          <cell r="AI56">
            <v>0</v>
          </cell>
          <cell r="AJ56">
            <v>0</v>
          </cell>
          <cell r="AK56">
            <v>5092</v>
          </cell>
          <cell r="AL56">
            <v>55187</v>
          </cell>
          <cell r="AM56">
            <v>37835</v>
          </cell>
          <cell r="AN56">
            <v>0</v>
          </cell>
          <cell r="AO56">
            <v>519931</v>
          </cell>
          <cell r="AP56">
            <v>5496277</v>
          </cell>
          <cell r="AQ56">
            <v>0</v>
          </cell>
          <cell r="AR56">
            <v>0</v>
          </cell>
          <cell r="AS56">
            <v>0</v>
          </cell>
          <cell r="AT56">
            <v>0</v>
          </cell>
          <cell r="AU56" t="str">
            <v xml:space="preserve"> </v>
          </cell>
          <cell r="AV56" t="str">
            <v xml:space="preserve"> </v>
          </cell>
          <cell r="AW56" t="str">
            <v xml:space="preserve"> </v>
          </cell>
        </row>
        <row r="57">
          <cell r="C57" t="str">
            <v xml:space="preserve">FEATHER RIVER Subtotal     </v>
          </cell>
          <cell r="H57">
            <v>4156514</v>
          </cell>
          <cell r="I57">
            <v>31371</v>
          </cell>
          <cell r="J57">
            <v>104294</v>
          </cell>
          <cell r="K57">
            <v>0</v>
          </cell>
          <cell r="L57">
            <v>0</v>
          </cell>
          <cell r="M57">
            <v>0</v>
          </cell>
          <cell r="N57">
            <v>0</v>
          </cell>
          <cell r="O57">
            <v>0</v>
          </cell>
          <cell r="P57">
            <v>0</v>
          </cell>
          <cell r="Q57">
            <v>5092</v>
          </cell>
          <cell r="R57">
            <v>55187</v>
          </cell>
          <cell r="S57">
            <v>38524</v>
          </cell>
          <cell r="T57">
            <v>0</v>
          </cell>
          <cell r="U57">
            <v>519931</v>
          </cell>
          <cell r="V57">
            <v>0</v>
          </cell>
          <cell r="W57">
            <v>4910913</v>
          </cell>
          <cell r="X57">
            <v>0</v>
          </cell>
          <cell r="Y57">
            <v>0</v>
          </cell>
          <cell r="Z57">
            <v>0</v>
          </cell>
          <cell r="AA57">
            <v>0</v>
          </cell>
          <cell r="AB57">
            <v>4156514</v>
          </cell>
          <cell r="AC57">
            <v>617424</v>
          </cell>
          <cell r="AD57">
            <v>104294</v>
          </cell>
          <cell r="AE57">
            <v>0</v>
          </cell>
          <cell r="AF57">
            <v>0</v>
          </cell>
          <cell r="AG57">
            <v>0</v>
          </cell>
          <cell r="AH57">
            <v>0</v>
          </cell>
          <cell r="AI57">
            <v>0</v>
          </cell>
          <cell r="AJ57">
            <v>0</v>
          </cell>
          <cell r="AK57">
            <v>5092</v>
          </cell>
          <cell r="AL57">
            <v>55187</v>
          </cell>
          <cell r="AM57">
            <v>37835</v>
          </cell>
          <cell r="AN57">
            <v>0</v>
          </cell>
          <cell r="AO57">
            <v>519931</v>
          </cell>
          <cell r="AP57">
            <v>5496277</v>
          </cell>
          <cell r="AQ57">
            <v>0</v>
          </cell>
          <cell r="AR57">
            <v>0</v>
          </cell>
          <cell r="AS57">
            <v>0</v>
          </cell>
          <cell r="AT57">
            <v>0</v>
          </cell>
          <cell r="AU57">
            <v>0</v>
          </cell>
          <cell r="AV57">
            <v>0</v>
          </cell>
          <cell r="AW57">
            <v>0</v>
          </cell>
        </row>
        <row r="59">
          <cell r="C59" t="str">
            <v xml:space="preserve"> FOOTHILL-DEANZA   </v>
          </cell>
          <cell r="D59" t="str">
            <v xml:space="preserve"> SANTA CLARA       </v>
          </cell>
          <cell r="E59">
            <v>420</v>
          </cell>
          <cell r="F59" t="str">
            <v xml:space="preserve"> 2015-2016</v>
          </cell>
          <cell r="G59" t="str">
            <v xml:space="preserve"> 11/15/2015</v>
          </cell>
          <cell r="H59">
            <v>75725408</v>
          </cell>
          <cell r="I59">
            <v>2767955</v>
          </cell>
          <cell r="J59">
            <v>5906898</v>
          </cell>
          <cell r="K59">
            <v>0</v>
          </cell>
          <cell r="L59">
            <v>0</v>
          </cell>
          <cell r="M59">
            <v>0</v>
          </cell>
          <cell r="N59">
            <v>0</v>
          </cell>
          <cell r="O59">
            <v>989950</v>
          </cell>
          <cell r="P59">
            <v>47663</v>
          </cell>
          <cell r="Q59">
            <v>0</v>
          </cell>
          <cell r="R59">
            <v>22</v>
          </cell>
          <cell r="S59">
            <v>461637</v>
          </cell>
          <cell r="T59">
            <v>0</v>
          </cell>
          <cell r="U59">
            <v>-4375052</v>
          </cell>
          <cell r="V59" t="str">
            <v xml:space="preserve"> </v>
          </cell>
          <cell r="W59">
            <v>81524481</v>
          </cell>
          <cell r="X59">
            <v>0</v>
          </cell>
          <cell r="Y59">
            <v>0</v>
          </cell>
          <cell r="Z59">
            <v>0</v>
          </cell>
          <cell r="AA59">
            <v>0</v>
          </cell>
          <cell r="AB59">
            <v>84149167</v>
          </cell>
          <cell r="AC59">
            <v>1661000</v>
          </cell>
          <cell r="AD59">
            <v>6442000</v>
          </cell>
          <cell r="AE59">
            <v>15909</v>
          </cell>
          <cell r="AF59">
            <v>7557</v>
          </cell>
          <cell r="AG59">
            <v>0</v>
          </cell>
          <cell r="AH59">
            <v>0</v>
          </cell>
          <cell r="AI59">
            <v>389209</v>
          </cell>
          <cell r="AJ59">
            <v>9074</v>
          </cell>
          <cell r="AK59">
            <v>0</v>
          </cell>
          <cell r="AL59">
            <v>22</v>
          </cell>
          <cell r="AM59">
            <v>462827</v>
          </cell>
          <cell r="AN59">
            <v>0</v>
          </cell>
          <cell r="AO59">
            <v>0</v>
          </cell>
          <cell r="AP59">
            <v>93120856</v>
          </cell>
          <cell r="AQ59">
            <v>0</v>
          </cell>
          <cell r="AR59">
            <v>0</v>
          </cell>
          <cell r="AS59">
            <v>0</v>
          </cell>
          <cell r="AT59">
            <v>0</v>
          </cell>
          <cell r="AU59" t="str">
            <v xml:space="preserve"> </v>
          </cell>
          <cell r="AV59" t="str">
            <v xml:space="preserve"> </v>
          </cell>
          <cell r="AW59" t="str">
            <v xml:space="preserve"> </v>
          </cell>
        </row>
        <row r="60">
          <cell r="C60" t="str">
            <v xml:space="preserve">FOOTHILL-DEANZA Subtotal  </v>
          </cell>
          <cell r="H60">
            <v>75725408</v>
          </cell>
          <cell r="I60">
            <v>2767955</v>
          </cell>
          <cell r="J60">
            <v>5906898</v>
          </cell>
          <cell r="K60">
            <v>0</v>
          </cell>
          <cell r="L60">
            <v>0</v>
          </cell>
          <cell r="M60">
            <v>0</v>
          </cell>
          <cell r="N60">
            <v>0</v>
          </cell>
          <cell r="O60">
            <v>989950</v>
          </cell>
          <cell r="P60">
            <v>47663</v>
          </cell>
          <cell r="Q60">
            <v>0</v>
          </cell>
          <cell r="R60">
            <v>22</v>
          </cell>
          <cell r="S60">
            <v>461637</v>
          </cell>
          <cell r="T60">
            <v>0</v>
          </cell>
          <cell r="U60">
            <v>-4375052</v>
          </cell>
          <cell r="V60">
            <v>0</v>
          </cell>
          <cell r="W60">
            <v>81524481</v>
          </cell>
          <cell r="X60">
            <v>0</v>
          </cell>
          <cell r="Y60">
            <v>0</v>
          </cell>
          <cell r="Z60">
            <v>0</v>
          </cell>
          <cell r="AA60">
            <v>0</v>
          </cell>
          <cell r="AB60">
            <v>84149167</v>
          </cell>
          <cell r="AC60">
            <v>1661000</v>
          </cell>
          <cell r="AD60">
            <v>6442000</v>
          </cell>
          <cell r="AE60">
            <v>15909</v>
          </cell>
          <cell r="AF60">
            <v>7557</v>
          </cell>
          <cell r="AG60">
            <v>0</v>
          </cell>
          <cell r="AH60">
            <v>0</v>
          </cell>
          <cell r="AI60">
            <v>389209</v>
          </cell>
          <cell r="AJ60">
            <v>9074</v>
          </cell>
          <cell r="AK60">
            <v>0</v>
          </cell>
          <cell r="AL60">
            <v>22</v>
          </cell>
          <cell r="AM60">
            <v>462827</v>
          </cell>
          <cell r="AN60">
            <v>0</v>
          </cell>
          <cell r="AO60">
            <v>0</v>
          </cell>
          <cell r="AP60">
            <v>93120856</v>
          </cell>
          <cell r="AQ60">
            <v>0</v>
          </cell>
          <cell r="AR60">
            <v>0</v>
          </cell>
          <cell r="AS60">
            <v>0</v>
          </cell>
          <cell r="AT60">
            <v>0</v>
          </cell>
          <cell r="AU60">
            <v>0</v>
          </cell>
          <cell r="AV60">
            <v>0</v>
          </cell>
          <cell r="AW60">
            <v>0</v>
          </cell>
        </row>
        <row r="62">
          <cell r="C62" t="str">
            <v xml:space="preserve"> GAVILAN           </v>
          </cell>
          <cell r="D62" t="str">
            <v xml:space="preserve"> SAN BENITO        </v>
          </cell>
          <cell r="E62">
            <v>440</v>
          </cell>
          <cell r="F62" t="str">
            <v xml:space="preserve"> 2015-2016</v>
          </cell>
          <cell r="G62" t="str">
            <v xml:space="preserve"> 11/15/2015</v>
          </cell>
          <cell r="H62">
            <v>4274379</v>
          </cell>
          <cell r="I62">
            <v>69994</v>
          </cell>
          <cell r="J62">
            <v>242520</v>
          </cell>
          <cell r="K62">
            <v>11731</v>
          </cell>
          <cell r="L62">
            <v>5572</v>
          </cell>
          <cell r="M62">
            <v>0</v>
          </cell>
          <cell r="N62">
            <v>0</v>
          </cell>
          <cell r="O62">
            <v>402504</v>
          </cell>
          <cell r="P62">
            <v>0</v>
          </cell>
          <cell r="Q62">
            <v>4842</v>
          </cell>
          <cell r="R62">
            <v>0</v>
          </cell>
          <cell r="S62">
            <v>40714</v>
          </cell>
          <cell r="T62">
            <v>0</v>
          </cell>
          <cell r="U62">
            <v>-127964</v>
          </cell>
          <cell r="V62" t="str">
            <v xml:space="preserve"> </v>
          </cell>
          <cell r="W62">
            <v>4912561</v>
          </cell>
          <cell r="X62">
            <v>0</v>
          </cell>
          <cell r="Y62">
            <v>0</v>
          </cell>
          <cell r="Z62">
            <v>0</v>
          </cell>
          <cell r="AA62">
            <v>0</v>
          </cell>
          <cell r="AB62">
            <v>4556159</v>
          </cell>
          <cell r="AC62">
            <v>88156</v>
          </cell>
          <cell r="AD62">
            <v>228624</v>
          </cell>
          <cell r="AE62">
            <v>12552</v>
          </cell>
          <cell r="AF62">
            <v>5962</v>
          </cell>
          <cell r="AG62">
            <v>0</v>
          </cell>
          <cell r="AH62">
            <v>0</v>
          </cell>
          <cell r="AI62">
            <v>430680</v>
          </cell>
          <cell r="AJ62">
            <v>0</v>
          </cell>
          <cell r="AK62">
            <v>5000</v>
          </cell>
          <cell r="AL62">
            <v>0</v>
          </cell>
          <cell r="AM62">
            <v>40097</v>
          </cell>
          <cell r="AN62">
            <v>0</v>
          </cell>
          <cell r="AO62">
            <v>-24647</v>
          </cell>
          <cell r="AP62">
            <v>5330031</v>
          </cell>
          <cell r="AQ62">
            <v>0</v>
          </cell>
          <cell r="AR62">
            <v>0</v>
          </cell>
          <cell r="AS62">
            <v>0</v>
          </cell>
          <cell r="AT62">
            <v>0</v>
          </cell>
          <cell r="AU62" t="str">
            <v xml:space="preserve"> </v>
          </cell>
          <cell r="AV62" t="str">
            <v xml:space="preserve"> </v>
          </cell>
          <cell r="AW62" t="str">
            <v xml:space="preserve"> </v>
          </cell>
        </row>
        <row r="63">
          <cell r="C63" t="str">
            <v xml:space="preserve"> GAVILAN           </v>
          </cell>
          <cell r="D63" t="str">
            <v xml:space="preserve"> SANTA CLARA       </v>
          </cell>
          <cell r="E63">
            <v>440</v>
          </cell>
          <cell r="F63" t="str">
            <v xml:space="preserve"> 2015-2016</v>
          </cell>
          <cell r="G63" t="str">
            <v xml:space="preserve"> 11/15/2015</v>
          </cell>
          <cell r="H63">
            <v>9271523</v>
          </cell>
          <cell r="I63">
            <v>369482</v>
          </cell>
          <cell r="J63">
            <v>780258</v>
          </cell>
          <cell r="K63">
            <v>199310</v>
          </cell>
          <cell r="L63">
            <v>94672</v>
          </cell>
          <cell r="M63">
            <v>0</v>
          </cell>
          <cell r="N63">
            <v>0</v>
          </cell>
          <cell r="O63">
            <v>711309</v>
          </cell>
          <cell r="P63">
            <v>0</v>
          </cell>
          <cell r="Q63">
            <v>11</v>
          </cell>
          <cell r="R63">
            <v>30</v>
          </cell>
          <cell r="S63">
            <v>61061</v>
          </cell>
          <cell r="T63">
            <v>0</v>
          </cell>
          <cell r="U63">
            <v>-575553</v>
          </cell>
          <cell r="V63" t="str">
            <v xml:space="preserve"> </v>
          </cell>
          <cell r="W63">
            <v>10712793</v>
          </cell>
          <cell r="X63">
            <v>0</v>
          </cell>
          <cell r="Y63">
            <v>0</v>
          </cell>
          <cell r="Z63">
            <v>0</v>
          </cell>
          <cell r="AA63">
            <v>0</v>
          </cell>
          <cell r="AB63">
            <v>9811205</v>
          </cell>
          <cell r="AC63">
            <v>222000</v>
          </cell>
          <cell r="AD63">
            <v>824000</v>
          </cell>
          <cell r="AE63">
            <v>213101</v>
          </cell>
          <cell r="AF63">
            <v>101223</v>
          </cell>
          <cell r="AG63">
            <v>0</v>
          </cell>
          <cell r="AH63">
            <v>0</v>
          </cell>
          <cell r="AI63">
            <v>592251</v>
          </cell>
          <cell r="AJ63">
            <v>91995</v>
          </cell>
          <cell r="AK63">
            <v>0</v>
          </cell>
          <cell r="AL63">
            <v>30</v>
          </cell>
          <cell r="AM63">
            <v>58737</v>
          </cell>
          <cell r="AN63">
            <v>0</v>
          </cell>
          <cell r="AO63">
            <v>0</v>
          </cell>
          <cell r="AP63">
            <v>11701441</v>
          </cell>
          <cell r="AQ63">
            <v>0</v>
          </cell>
          <cell r="AR63">
            <v>0</v>
          </cell>
          <cell r="AS63">
            <v>0</v>
          </cell>
          <cell r="AT63">
            <v>0</v>
          </cell>
          <cell r="AU63" t="str">
            <v xml:space="preserve"> </v>
          </cell>
          <cell r="AV63" t="str">
            <v xml:space="preserve"> </v>
          </cell>
          <cell r="AW63" t="str">
            <v xml:space="preserve"> </v>
          </cell>
        </row>
        <row r="64">
          <cell r="C64" t="str">
            <v xml:space="preserve">GAVILAN Subtotal          </v>
          </cell>
          <cell r="H64">
            <v>13545902</v>
          </cell>
          <cell r="I64">
            <v>439476</v>
          </cell>
          <cell r="J64">
            <v>1022778</v>
          </cell>
          <cell r="K64">
            <v>211041</v>
          </cell>
          <cell r="L64">
            <v>100244</v>
          </cell>
          <cell r="M64">
            <v>0</v>
          </cell>
          <cell r="N64">
            <v>0</v>
          </cell>
          <cell r="O64">
            <v>1113813</v>
          </cell>
          <cell r="P64">
            <v>0</v>
          </cell>
          <cell r="Q64">
            <v>4853</v>
          </cell>
          <cell r="R64">
            <v>30</v>
          </cell>
          <cell r="S64">
            <v>101775</v>
          </cell>
          <cell r="T64">
            <v>0</v>
          </cell>
          <cell r="U64">
            <v>-703517</v>
          </cell>
          <cell r="V64">
            <v>0</v>
          </cell>
          <cell r="W64">
            <v>15625354</v>
          </cell>
          <cell r="X64">
            <v>0</v>
          </cell>
          <cell r="Y64">
            <v>0</v>
          </cell>
          <cell r="Z64">
            <v>0</v>
          </cell>
          <cell r="AA64">
            <v>0</v>
          </cell>
          <cell r="AB64">
            <v>14367364</v>
          </cell>
          <cell r="AC64">
            <v>310156</v>
          </cell>
          <cell r="AD64">
            <v>1052624</v>
          </cell>
          <cell r="AE64">
            <v>225653</v>
          </cell>
          <cell r="AF64">
            <v>107185</v>
          </cell>
          <cell r="AG64">
            <v>0</v>
          </cell>
          <cell r="AH64">
            <v>0</v>
          </cell>
          <cell r="AI64">
            <v>1022931</v>
          </cell>
          <cell r="AJ64">
            <v>91995</v>
          </cell>
          <cell r="AK64">
            <v>5000</v>
          </cell>
          <cell r="AL64">
            <v>30</v>
          </cell>
          <cell r="AM64">
            <v>98834</v>
          </cell>
          <cell r="AN64">
            <v>0</v>
          </cell>
          <cell r="AO64">
            <v>-24647</v>
          </cell>
          <cell r="AP64">
            <v>17031472</v>
          </cell>
          <cell r="AQ64">
            <v>0</v>
          </cell>
          <cell r="AR64">
            <v>0</v>
          </cell>
          <cell r="AS64">
            <v>0</v>
          </cell>
          <cell r="AT64">
            <v>0</v>
          </cell>
          <cell r="AU64">
            <v>0</v>
          </cell>
          <cell r="AV64">
            <v>0</v>
          </cell>
          <cell r="AW64">
            <v>0</v>
          </cell>
        </row>
        <row r="66">
          <cell r="C66" t="str">
            <v xml:space="preserve"> GLENDALE          </v>
          </cell>
          <cell r="D66" t="str">
            <v xml:space="preserve"> LOS ANGELES       </v>
          </cell>
          <cell r="E66">
            <v>730</v>
          </cell>
          <cell r="F66" t="str">
            <v xml:space="preserve"> 2015-2016</v>
          </cell>
          <cell r="G66" t="str">
            <v xml:space="preserve"> 11/15/2015</v>
          </cell>
          <cell r="H66">
            <v>8613764</v>
          </cell>
          <cell r="I66">
            <v>256171</v>
          </cell>
          <cell r="J66">
            <v>240775</v>
          </cell>
          <cell r="K66">
            <v>128002</v>
          </cell>
          <cell r="L66">
            <v>60801</v>
          </cell>
          <cell r="M66">
            <v>0</v>
          </cell>
          <cell r="N66">
            <v>0</v>
          </cell>
          <cell r="O66">
            <v>1042707</v>
          </cell>
          <cell r="P66">
            <v>0</v>
          </cell>
          <cell r="Q66">
            <v>160867</v>
          </cell>
          <cell r="R66">
            <v>0</v>
          </cell>
          <cell r="S66">
            <v>66032</v>
          </cell>
          <cell r="T66">
            <v>0</v>
          </cell>
          <cell r="U66">
            <v>1927200</v>
          </cell>
          <cell r="V66" t="str">
            <v xml:space="preserve"> </v>
          </cell>
          <cell r="W66">
            <v>12368317</v>
          </cell>
          <cell r="X66">
            <v>0</v>
          </cell>
          <cell r="Y66">
            <v>0</v>
          </cell>
          <cell r="Z66">
            <v>0</v>
          </cell>
          <cell r="AA66">
            <v>0</v>
          </cell>
          <cell r="AB66">
            <v>9080630</v>
          </cell>
          <cell r="AC66">
            <v>320214</v>
          </cell>
          <cell r="AD66">
            <v>241000</v>
          </cell>
          <cell r="AE66">
            <v>54082</v>
          </cell>
          <cell r="AF66">
            <v>25689</v>
          </cell>
          <cell r="AG66">
            <v>0</v>
          </cell>
          <cell r="AH66">
            <v>0</v>
          </cell>
          <cell r="AI66">
            <v>381725</v>
          </cell>
          <cell r="AJ66">
            <v>0</v>
          </cell>
          <cell r="AK66">
            <v>297546</v>
          </cell>
          <cell r="AL66">
            <v>0</v>
          </cell>
          <cell r="AM66">
            <v>66000</v>
          </cell>
          <cell r="AN66">
            <v>0</v>
          </cell>
          <cell r="AO66">
            <v>0</v>
          </cell>
          <cell r="AP66">
            <v>10412804</v>
          </cell>
          <cell r="AQ66">
            <v>0</v>
          </cell>
          <cell r="AR66">
            <v>0</v>
          </cell>
          <cell r="AS66">
            <v>0</v>
          </cell>
          <cell r="AT66">
            <v>0</v>
          </cell>
          <cell r="AU66" t="str">
            <v xml:space="preserve"> </v>
          </cell>
          <cell r="AV66" t="str">
            <v xml:space="preserve"> </v>
          </cell>
          <cell r="AW66" t="str">
            <v xml:space="preserve"> </v>
          </cell>
        </row>
        <row r="67">
          <cell r="C67" t="str">
            <v>GLENDALE Subtotal</v>
          </cell>
          <cell r="H67">
            <v>8613764</v>
          </cell>
          <cell r="I67">
            <v>256171</v>
          </cell>
          <cell r="J67">
            <v>240775</v>
          </cell>
          <cell r="K67">
            <v>128002</v>
          </cell>
          <cell r="L67">
            <v>60801</v>
          </cell>
          <cell r="M67">
            <v>0</v>
          </cell>
          <cell r="N67">
            <v>0</v>
          </cell>
          <cell r="O67">
            <v>1042707</v>
          </cell>
          <cell r="P67">
            <v>0</v>
          </cell>
          <cell r="Q67">
            <v>160867</v>
          </cell>
          <cell r="R67">
            <v>0</v>
          </cell>
          <cell r="S67">
            <v>66032</v>
          </cell>
          <cell r="T67">
            <v>0</v>
          </cell>
          <cell r="U67">
            <v>1927200</v>
          </cell>
          <cell r="V67">
            <v>0</v>
          </cell>
          <cell r="W67">
            <v>12368317</v>
          </cell>
          <cell r="X67">
            <v>0</v>
          </cell>
          <cell r="Y67">
            <v>0</v>
          </cell>
          <cell r="Z67">
            <v>0</v>
          </cell>
          <cell r="AA67">
            <v>0</v>
          </cell>
          <cell r="AB67">
            <v>9080630</v>
          </cell>
          <cell r="AC67">
            <v>320214</v>
          </cell>
          <cell r="AD67">
            <v>241000</v>
          </cell>
          <cell r="AE67">
            <v>54082</v>
          </cell>
          <cell r="AF67">
            <v>25689</v>
          </cell>
          <cell r="AG67">
            <v>0</v>
          </cell>
          <cell r="AH67">
            <v>0</v>
          </cell>
          <cell r="AI67">
            <v>381725</v>
          </cell>
          <cell r="AJ67">
            <v>0</v>
          </cell>
          <cell r="AK67">
            <v>297546</v>
          </cell>
          <cell r="AL67">
            <v>0</v>
          </cell>
          <cell r="AM67">
            <v>66000</v>
          </cell>
          <cell r="AN67">
            <v>0</v>
          </cell>
          <cell r="AO67">
            <v>0</v>
          </cell>
          <cell r="AP67">
            <v>10412804</v>
          </cell>
          <cell r="AQ67">
            <v>0</v>
          </cell>
          <cell r="AR67">
            <v>0</v>
          </cell>
          <cell r="AS67">
            <v>0</v>
          </cell>
          <cell r="AT67">
            <v>0</v>
          </cell>
          <cell r="AU67">
            <v>0</v>
          </cell>
          <cell r="AV67">
            <v>0</v>
          </cell>
          <cell r="AW67">
            <v>0</v>
          </cell>
        </row>
        <row r="69">
          <cell r="C69" t="str">
            <v xml:space="preserve"> GROSSMONT-CUYAMACA</v>
          </cell>
          <cell r="D69" t="str">
            <v xml:space="preserve"> SAN DIEGO         </v>
          </cell>
          <cell r="E69">
            <v>20</v>
          </cell>
          <cell r="F69" t="str">
            <v xml:space="preserve"> 2015-2016</v>
          </cell>
          <cell r="G69" t="str">
            <v xml:space="preserve"> 11/15/2015</v>
          </cell>
          <cell r="H69">
            <v>32211526</v>
          </cell>
          <cell r="I69">
            <v>805942</v>
          </cell>
          <cell r="J69">
            <v>1091526</v>
          </cell>
          <cell r="K69">
            <v>190991</v>
          </cell>
          <cell r="L69">
            <v>90721</v>
          </cell>
          <cell r="M69">
            <v>0</v>
          </cell>
          <cell r="N69">
            <v>0</v>
          </cell>
          <cell r="O69">
            <v>1173731</v>
          </cell>
          <cell r="P69">
            <v>183118</v>
          </cell>
          <cell r="Q69">
            <v>-27058</v>
          </cell>
          <cell r="R69">
            <v>0</v>
          </cell>
          <cell r="S69">
            <v>275633</v>
          </cell>
          <cell r="T69">
            <v>0</v>
          </cell>
          <cell r="U69">
            <v>-3034647</v>
          </cell>
          <cell r="V69" t="str">
            <v xml:space="preserve"> </v>
          </cell>
          <cell r="W69">
            <v>32770492</v>
          </cell>
          <cell r="X69">
            <v>0</v>
          </cell>
          <cell r="Y69">
            <v>0</v>
          </cell>
          <cell r="Z69">
            <v>0</v>
          </cell>
          <cell r="AA69">
            <v>0</v>
          </cell>
          <cell r="AB69">
            <v>33683189</v>
          </cell>
          <cell r="AC69">
            <v>761842</v>
          </cell>
          <cell r="AD69">
            <v>1112285</v>
          </cell>
          <cell r="AE69">
            <v>86779</v>
          </cell>
          <cell r="AF69">
            <v>41220</v>
          </cell>
          <cell r="AG69">
            <v>0</v>
          </cell>
          <cell r="AH69">
            <v>0</v>
          </cell>
          <cell r="AI69">
            <v>0</v>
          </cell>
          <cell r="AJ69">
            <v>0</v>
          </cell>
          <cell r="AK69">
            <v>-16555</v>
          </cell>
          <cell r="AL69">
            <v>0</v>
          </cell>
          <cell r="AM69">
            <v>271745</v>
          </cell>
          <cell r="AN69">
            <v>0</v>
          </cell>
          <cell r="AO69">
            <v>-1307911</v>
          </cell>
          <cell r="AP69">
            <v>34545815</v>
          </cell>
          <cell r="AQ69">
            <v>0</v>
          </cell>
          <cell r="AR69">
            <v>0</v>
          </cell>
          <cell r="AS69">
            <v>0</v>
          </cell>
          <cell r="AT69">
            <v>0</v>
          </cell>
          <cell r="AU69" t="str">
            <v xml:space="preserve"> </v>
          </cell>
          <cell r="AV69" t="str">
            <v xml:space="preserve"> </v>
          </cell>
          <cell r="AW69" t="str">
            <v xml:space="preserve"> </v>
          </cell>
        </row>
        <row r="70">
          <cell r="C70" t="str">
            <v>GROSSMONT-CUYAMACA Subtotal</v>
          </cell>
          <cell r="H70">
            <v>32211526</v>
          </cell>
          <cell r="I70">
            <v>805942</v>
          </cell>
          <cell r="J70">
            <v>1091526</v>
          </cell>
          <cell r="K70">
            <v>190991</v>
          </cell>
          <cell r="L70">
            <v>90721</v>
          </cell>
          <cell r="M70">
            <v>0</v>
          </cell>
          <cell r="N70">
            <v>0</v>
          </cell>
          <cell r="O70">
            <v>1173731</v>
          </cell>
          <cell r="P70">
            <v>183118</v>
          </cell>
          <cell r="Q70">
            <v>-27058</v>
          </cell>
          <cell r="R70">
            <v>0</v>
          </cell>
          <cell r="S70">
            <v>275633</v>
          </cell>
          <cell r="T70">
            <v>0</v>
          </cell>
          <cell r="U70">
            <v>-3034647</v>
          </cell>
          <cell r="V70">
            <v>0</v>
          </cell>
          <cell r="W70">
            <v>32770492</v>
          </cell>
          <cell r="X70">
            <v>0</v>
          </cell>
          <cell r="Y70">
            <v>0</v>
          </cell>
          <cell r="Z70">
            <v>0</v>
          </cell>
          <cell r="AA70">
            <v>0</v>
          </cell>
          <cell r="AB70">
            <v>33683189</v>
          </cell>
          <cell r="AC70">
            <v>761842</v>
          </cell>
          <cell r="AD70">
            <v>1112285</v>
          </cell>
          <cell r="AE70">
            <v>86779</v>
          </cell>
          <cell r="AF70">
            <v>41220</v>
          </cell>
          <cell r="AG70">
            <v>0</v>
          </cell>
          <cell r="AH70">
            <v>0</v>
          </cell>
          <cell r="AI70">
            <v>0</v>
          </cell>
          <cell r="AJ70">
            <v>0</v>
          </cell>
          <cell r="AK70">
            <v>-16555</v>
          </cell>
          <cell r="AL70">
            <v>0</v>
          </cell>
          <cell r="AM70">
            <v>271745</v>
          </cell>
          <cell r="AN70">
            <v>0</v>
          </cell>
          <cell r="AO70">
            <v>-1307911</v>
          </cell>
          <cell r="AP70">
            <v>34545815</v>
          </cell>
          <cell r="AQ70">
            <v>0</v>
          </cell>
          <cell r="AR70">
            <v>0</v>
          </cell>
          <cell r="AS70">
            <v>0</v>
          </cell>
          <cell r="AT70">
            <v>0</v>
          </cell>
          <cell r="AU70">
            <v>0</v>
          </cell>
          <cell r="AV70">
            <v>0</v>
          </cell>
          <cell r="AW70">
            <v>0</v>
          </cell>
        </row>
        <row r="72">
          <cell r="C72" t="str">
            <v xml:space="preserve"> HARTNELL          </v>
          </cell>
          <cell r="D72" t="str">
            <v xml:space="preserve"> MONTEREY          </v>
          </cell>
          <cell r="E72">
            <v>450</v>
          </cell>
          <cell r="F72" t="str">
            <v xml:space="preserve"> 2015-2016</v>
          </cell>
          <cell r="G72" t="str">
            <v xml:space="preserve"> 11/15/2015</v>
          </cell>
          <cell r="H72">
            <v>18519308</v>
          </cell>
          <cell r="I72">
            <v>360138</v>
          </cell>
          <cell r="J72">
            <v>737774</v>
          </cell>
          <cell r="K72">
            <v>82600</v>
          </cell>
          <cell r="L72">
            <v>39235</v>
          </cell>
          <cell r="M72">
            <v>0</v>
          </cell>
          <cell r="N72">
            <v>0</v>
          </cell>
          <cell r="O72">
            <v>795166</v>
          </cell>
          <cell r="P72">
            <v>0</v>
          </cell>
          <cell r="Q72">
            <v>310880</v>
          </cell>
          <cell r="R72">
            <v>0</v>
          </cell>
          <cell r="S72">
            <v>110282</v>
          </cell>
          <cell r="T72">
            <v>0</v>
          </cell>
          <cell r="U72">
            <v>-3749</v>
          </cell>
          <cell r="V72" t="str">
            <v xml:space="preserve"> </v>
          </cell>
          <cell r="W72">
            <v>20869034</v>
          </cell>
          <cell r="X72">
            <v>0</v>
          </cell>
          <cell r="Y72">
            <v>0</v>
          </cell>
          <cell r="Z72">
            <v>0</v>
          </cell>
          <cell r="AA72">
            <v>0</v>
          </cell>
          <cell r="AB72">
            <v>18654252</v>
          </cell>
          <cell r="AC72">
            <v>222761</v>
          </cell>
          <cell r="AD72">
            <v>756359</v>
          </cell>
          <cell r="AE72">
            <v>82600</v>
          </cell>
          <cell r="AF72">
            <v>39235</v>
          </cell>
          <cell r="AG72">
            <v>0</v>
          </cell>
          <cell r="AH72">
            <v>0</v>
          </cell>
          <cell r="AI72">
            <v>795166</v>
          </cell>
          <cell r="AJ72">
            <v>0</v>
          </cell>
          <cell r="AK72">
            <v>179849</v>
          </cell>
          <cell r="AL72">
            <v>0</v>
          </cell>
          <cell r="AM72">
            <v>108238</v>
          </cell>
          <cell r="AN72">
            <v>0</v>
          </cell>
          <cell r="AO72">
            <v>0</v>
          </cell>
          <cell r="AP72">
            <v>20755860</v>
          </cell>
          <cell r="AQ72">
            <v>0</v>
          </cell>
          <cell r="AR72">
            <v>0</v>
          </cell>
          <cell r="AS72">
            <v>0</v>
          </cell>
          <cell r="AT72">
            <v>0</v>
          </cell>
          <cell r="AU72" t="str">
            <v xml:space="preserve"> </v>
          </cell>
          <cell r="AV72" t="str">
            <v xml:space="preserve"> </v>
          </cell>
          <cell r="AW72" t="str">
            <v xml:space="preserve"> </v>
          </cell>
        </row>
        <row r="73">
          <cell r="C73" t="str">
            <v xml:space="preserve"> HARTNELL          </v>
          </cell>
          <cell r="D73" t="str">
            <v xml:space="preserve"> SAN BENITO        </v>
          </cell>
          <cell r="E73">
            <v>450</v>
          </cell>
          <cell r="F73" t="str">
            <v xml:space="preserve"> 2015-2016</v>
          </cell>
          <cell r="G73" t="str">
            <v xml:space="preserve"> 11/15/2015</v>
          </cell>
          <cell r="H73">
            <v>67002</v>
          </cell>
          <cell r="I73">
            <v>923</v>
          </cell>
          <cell r="J73">
            <v>3674</v>
          </cell>
          <cell r="K73">
            <v>0</v>
          </cell>
          <cell r="L73">
            <v>0</v>
          </cell>
          <cell r="M73">
            <v>0</v>
          </cell>
          <cell r="N73">
            <v>0</v>
          </cell>
          <cell r="O73">
            <v>0</v>
          </cell>
          <cell r="P73">
            <v>0</v>
          </cell>
          <cell r="Q73">
            <v>59</v>
          </cell>
          <cell r="R73">
            <v>0</v>
          </cell>
          <cell r="S73">
            <v>617</v>
          </cell>
          <cell r="T73">
            <v>0</v>
          </cell>
          <cell r="U73">
            <v>-1938</v>
          </cell>
          <cell r="V73" t="str">
            <v xml:space="preserve"> </v>
          </cell>
          <cell r="W73">
            <v>70337</v>
          </cell>
          <cell r="X73">
            <v>0</v>
          </cell>
          <cell r="Y73">
            <v>0</v>
          </cell>
          <cell r="Z73">
            <v>0</v>
          </cell>
          <cell r="AA73">
            <v>0</v>
          </cell>
          <cell r="AB73">
            <v>70215</v>
          </cell>
          <cell r="AC73">
            <v>1094</v>
          </cell>
          <cell r="AD73">
            <v>3407</v>
          </cell>
          <cell r="AE73">
            <v>0</v>
          </cell>
          <cell r="AF73">
            <v>0</v>
          </cell>
          <cell r="AG73">
            <v>0</v>
          </cell>
          <cell r="AH73">
            <v>0</v>
          </cell>
          <cell r="AI73">
            <v>0</v>
          </cell>
          <cell r="AJ73">
            <v>0</v>
          </cell>
          <cell r="AK73">
            <v>60</v>
          </cell>
          <cell r="AL73">
            <v>0</v>
          </cell>
          <cell r="AM73">
            <v>598</v>
          </cell>
          <cell r="AN73">
            <v>0</v>
          </cell>
          <cell r="AO73">
            <v>-367</v>
          </cell>
          <cell r="AP73">
            <v>75007</v>
          </cell>
          <cell r="AQ73">
            <v>0</v>
          </cell>
          <cell r="AR73">
            <v>0</v>
          </cell>
          <cell r="AS73">
            <v>0</v>
          </cell>
          <cell r="AT73">
            <v>0</v>
          </cell>
          <cell r="AU73" t="str">
            <v xml:space="preserve"> </v>
          </cell>
          <cell r="AV73" t="str">
            <v xml:space="preserve"> </v>
          </cell>
          <cell r="AW73" t="str">
            <v xml:space="preserve"> </v>
          </cell>
        </row>
        <row r="74">
          <cell r="C74" t="str">
            <v xml:space="preserve">HARTNELL Subtotal         </v>
          </cell>
          <cell r="H74">
            <v>18586310</v>
          </cell>
          <cell r="I74">
            <v>361061</v>
          </cell>
          <cell r="J74">
            <v>741448</v>
          </cell>
          <cell r="K74">
            <v>82600</v>
          </cell>
          <cell r="L74">
            <v>39235</v>
          </cell>
          <cell r="M74">
            <v>0</v>
          </cell>
          <cell r="N74">
            <v>0</v>
          </cell>
          <cell r="O74">
            <v>795166</v>
          </cell>
          <cell r="P74">
            <v>0</v>
          </cell>
          <cell r="Q74">
            <v>310939</v>
          </cell>
          <cell r="R74">
            <v>0</v>
          </cell>
          <cell r="S74">
            <v>110899</v>
          </cell>
          <cell r="T74">
            <v>0</v>
          </cell>
          <cell r="U74">
            <v>-5687</v>
          </cell>
          <cell r="V74">
            <v>0</v>
          </cell>
          <cell r="W74">
            <v>20939371</v>
          </cell>
          <cell r="X74">
            <v>0</v>
          </cell>
          <cell r="Y74">
            <v>0</v>
          </cell>
          <cell r="Z74">
            <v>0</v>
          </cell>
          <cell r="AA74">
            <v>0</v>
          </cell>
          <cell r="AB74">
            <v>18724467</v>
          </cell>
          <cell r="AC74">
            <v>223855</v>
          </cell>
          <cell r="AD74">
            <v>759766</v>
          </cell>
          <cell r="AE74">
            <v>82600</v>
          </cell>
          <cell r="AF74">
            <v>39235</v>
          </cell>
          <cell r="AG74">
            <v>0</v>
          </cell>
          <cell r="AH74">
            <v>0</v>
          </cell>
          <cell r="AI74">
            <v>795166</v>
          </cell>
          <cell r="AJ74">
            <v>0</v>
          </cell>
          <cell r="AK74">
            <v>179909</v>
          </cell>
          <cell r="AL74">
            <v>0</v>
          </cell>
          <cell r="AM74">
            <v>108836</v>
          </cell>
          <cell r="AN74">
            <v>0</v>
          </cell>
          <cell r="AO74">
            <v>-367</v>
          </cell>
          <cell r="AP74">
            <v>20830867</v>
          </cell>
          <cell r="AQ74">
            <v>0</v>
          </cell>
          <cell r="AR74">
            <v>0</v>
          </cell>
          <cell r="AS74">
            <v>0</v>
          </cell>
          <cell r="AT74">
            <v>0</v>
          </cell>
          <cell r="AU74">
            <v>0</v>
          </cell>
          <cell r="AV74">
            <v>0</v>
          </cell>
          <cell r="AW74">
            <v>0</v>
          </cell>
        </row>
        <row r="76">
          <cell r="C76" t="str">
            <v xml:space="preserve"> IMPERIAL          </v>
          </cell>
          <cell r="D76" t="str">
            <v xml:space="preserve"> IMPERIAL          </v>
          </cell>
          <cell r="E76">
            <v>30</v>
          </cell>
          <cell r="F76" t="str">
            <v xml:space="preserve"> 2015-2016</v>
          </cell>
          <cell r="G76" t="str">
            <v xml:space="preserve"> 11/15/2015</v>
          </cell>
          <cell r="H76">
            <v>6891290</v>
          </cell>
          <cell r="I76">
            <v>119926</v>
          </cell>
          <cell r="J76">
            <v>867452</v>
          </cell>
          <cell r="K76">
            <v>119234</v>
          </cell>
          <cell r="L76">
            <v>56636</v>
          </cell>
          <cell r="M76">
            <v>0</v>
          </cell>
          <cell r="N76">
            <v>0</v>
          </cell>
          <cell r="O76">
            <v>429045</v>
          </cell>
          <cell r="P76">
            <v>0</v>
          </cell>
          <cell r="Q76">
            <v>0</v>
          </cell>
          <cell r="R76">
            <v>0</v>
          </cell>
          <cell r="S76">
            <v>81610</v>
          </cell>
          <cell r="T76">
            <v>0</v>
          </cell>
          <cell r="U76">
            <v>-3379042</v>
          </cell>
          <cell r="V76" t="str">
            <v xml:space="preserve"> </v>
          </cell>
          <cell r="W76">
            <v>5066917</v>
          </cell>
          <cell r="X76">
            <v>0</v>
          </cell>
          <cell r="Y76">
            <v>0</v>
          </cell>
          <cell r="Z76">
            <v>0</v>
          </cell>
          <cell r="AA76">
            <v>0</v>
          </cell>
          <cell r="AB76">
            <v>7540129</v>
          </cell>
          <cell r="AC76">
            <v>0</v>
          </cell>
          <cell r="AD76">
            <v>859597</v>
          </cell>
          <cell r="AE76">
            <v>162009</v>
          </cell>
          <cell r="AF76">
            <v>76954</v>
          </cell>
          <cell r="AG76">
            <v>0</v>
          </cell>
          <cell r="AH76">
            <v>0</v>
          </cell>
          <cell r="AI76">
            <v>0</v>
          </cell>
          <cell r="AJ76">
            <v>0</v>
          </cell>
          <cell r="AK76">
            <v>0</v>
          </cell>
          <cell r="AL76">
            <v>0</v>
          </cell>
          <cell r="AM76">
            <v>80876</v>
          </cell>
          <cell r="AN76">
            <v>0</v>
          </cell>
          <cell r="AO76">
            <v>-2247889</v>
          </cell>
          <cell r="AP76">
            <v>6309667</v>
          </cell>
          <cell r="AQ76">
            <v>0</v>
          </cell>
          <cell r="AR76">
            <v>0</v>
          </cell>
          <cell r="AS76">
            <v>0</v>
          </cell>
          <cell r="AT76">
            <v>0</v>
          </cell>
          <cell r="AU76" t="str">
            <v xml:space="preserve"> </v>
          </cell>
          <cell r="AV76" t="str">
            <v xml:space="preserve"> </v>
          </cell>
          <cell r="AW76" t="str">
            <v xml:space="preserve"> </v>
          </cell>
        </row>
        <row r="77">
          <cell r="C77" t="str">
            <v xml:space="preserve">IMPERIAL Subtotal         </v>
          </cell>
          <cell r="H77">
            <v>6891290</v>
          </cell>
          <cell r="I77">
            <v>119926</v>
          </cell>
          <cell r="J77">
            <v>867452</v>
          </cell>
          <cell r="K77">
            <v>119234</v>
          </cell>
          <cell r="L77">
            <v>56636</v>
          </cell>
          <cell r="M77">
            <v>0</v>
          </cell>
          <cell r="N77">
            <v>0</v>
          </cell>
          <cell r="O77">
            <v>429045</v>
          </cell>
          <cell r="P77">
            <v>0</v>
          </cell>
          <cell r="Q77">
            <v>0</v>
          </cell>
          <cell r="R77">
            <v>0</v>
          </cell>
          <cell r="S77">
            <v>81610</v>
          </cell>
          <cell r="T77">
            <v>0</v>
          </cell>
          <cell r="U77">
            <v>-3379042</v>
          </cell>
          <cell r="V77">
            <v>0</v>
          </cell>
          <cell r="W77">
            <v>5066917</v>
          </cell>
          <cell r="X77">
            <v>0</v>
          </cell>
          <cell r="Y77">
            <v>0</v>
          </cell>
          <cell r="Z77">
            <v>0</v>
          </cell>
          <cell r="AA77">
            <v>0</v>
          </cell>
          <cell r="AB77">
            <v>7540129</v>
          </cell>
          <cell r="AC77">
            <v>0</v>
          </cell>
          <cell r="AD77">
            <v>859597</v>
          </cell>
          <cell r="AE77">
            <v>162009</v>
          </cell>
          <cell r="AF77">
            <v>76954</v>
          </cell>
          <cell r="AG77">
            <v>0</v>
          </cell>
          <cell r="AH77">
            <v>0</v>
          </cell>
          <cell r="AI77">
            <v>0</v>
          </cell>
          <cell r="AJ77">
            <v>0</v>
          </cell>
          <cell r="AK77">
            <v>0</v>
          </cell>
          <cell r="AL77">
            <v>0</v>
          </cell>
          <cell r="AM77">
            <v>80876</v>
          </cell>
          <cell r="AN77">
            <v>0</v>
          </cell>
          <cell r="AO77">
            <v>-2247889</v>
          </cell>
          <cell r="AP77">
            <v>6309667</v>
          </cell>
          <cell r="AQ77">
            <v>0</v>
          </cell>
          <cell r="AR77">
            <v>0</v>
          </cell>
          <cell r="AS77">
            <v>0</v>
          </cell>
          <cell r="AT77">
            <v>0</v>
          </cell>
          <cell r="AU77">
            <v>0</v>
          </cell>
          <cell r="AV77">
            <v>0</v>
          </cell>
          <cell r="AW77">
            <v>0</v>
          </cell>
        </row>
        <row r="79">
          <cell r="C79" t="str">
            <v xml:space="preserve"> KERN              </v>
          </cell>
          <cell r="D79" t="str">
            <v xml:space="preserve"> INYO              </v>
          </cell>
          <cell r="E79">
            <v>520</v>
          </cell>
          <cell r="F79" t="str">
            <v xml:space="preserve"> 2015-2016</v>
          </cell>
          <cell r="G79" t="str">
            <v xml:space="preserve"> 11/15/2015</v>
          </cell>
          <cell r="H79">
            <v>320387</v>
          </cell>
          <cell r="I79">
            <v>2616</v>
          </cell>
          <cell r="J79">
            <v>41396</v>
          </cell>
          <cell r="K79">
            <v>0</v>
          </cell>
          <cell r="L79">
            <v>0</v>
          </cell>
          <cell r="M79">
            <v>0</v>
          </cell>
          <cell r="N79">
            <v>0</v>
          </cell>
          <cell r="O79">
            <v>0</v>
          </cell>
          <cell r="P79">
            <v>0</v>
          </cell>
          <cell r="Q79">
            <v>3625</v>
          </cell>
          <cell r="R79">
            <v>0</v>
          </cell>
          <cell r="S79">
            <v>2331</v>
          </cell>
          <cell r="T79">
            <v>0</v>
          </cell>
          <cell r="U79">
            <v>0</v>
          </cell>
          <cell r="V79" t="str">
            <v xml:space="preserve"> </v>
          </cell>
          <cell r="W79">
            <v>370355</v>
          </cell>
          <cell r="X79">
            <v>0</v>
          </cell>
          <cell r="Y79">
            <v>0</v>
          </cell>
          <cell r="Z79">
            <v>0</v>
          </cell>
          <cell r="AA79">
            <v>0</v>
          </cell>
          <cell r="AB79">
            <v>323856</v>
          </cell>
          <cell r="AC79">
            <v>0</v>
          </cell>
          <cell r="AD79">
            <v>36327</v>
          </cell>
          <cell r="AE79">
            <v>0</v>
          </cell>
          <cell r="AF79">
            <v>0</v>
          </cell>
          <cell r="AG79">
            <v>0</v>
          </cell>
          <cell r="AH79">
            <v>0</v>
          </cell>
          <cell r="AI79">
            <v>0</v>
          </cell>
          <cell r="AJ79">
            <v>0</v>
          </cell>
          <cell r="AK79">
            <v>4721</v>
          </cell>
          <cell r="AL79">
            <v>0</v>
          </cell>
          <cell r="AM79">
            <v>2218</v>
          </cell>
          <cell r="AN79">
            <v>0</v>
          </cell>
          <cell r="AO79">
            <v>0</v>
          </cell>
          <cell r="AP79">
            <v>367122</v>
          </cell>
          <cell r="AQ79">
            <v>0</v>
          </cell>
          <cell r="AR79">
            <v>0</v>
          </cell>
          <cell r="AS79">
            <v>0</v>
          </cell>
          <cell r="AT79">
            <v>0</v>
          </cell>
          <cell r="AU79" t="str">
            <v xml:space="preserve"> </v>
          </cell>
          <cell r="AV79" t="str">
            <v xml:space="preserve"> </v>
          </cell>
          <cell r="AW79" t="str">
            <v xml:space="preserve"> </v>
          </cell>
        </row>
        <row r="80">
          <cell r="C80" t="str">
            <v xml:space="preserve"> KERN              </v>
          </cell>
          <cell r="D80" t="str">
            <v xml:space="preserve"> KERN              </v>
          </cell>
          <cell r="E80">
            <v>520</v>
          </cell>
          <cell r="F80" t="str">
            <v xml:space="preserve"> 2015-2016</v>
          </cell>
          <cell r="G80" t="str">
            <v xml:space="preserve"> 11/15/2015</v>
          </cell>
          <cell r="H80">
            <v>43807562</v>
          </cell>
          <cell r="I80">
            <v>1607842</v>
          </cell>
          <cell r="J80">
            <v>4173384</v>
          </cell>
          <cell r="K80">
            <v>291096</v>
          </cell>
          <cell r="L80">
            <v>138271</v>
          </cell>
          <cell r="M80">
            <v>0</v>
          </cell>
          <cell r="N80">
            <v>0</v>
          </cell>
          <cell r="O80">
            <v>325266</v>
          </cell>
          <cell r="P80">
            <v>0</v>
          </cell>
          <cell r="Q80">
            <v>0</v>
          </cell>
          <cell r="R80">
            <v>451</v>
          </cell>
          <cell r="S80">
            <v>390581</v>
          </cell>
          <cell r="T80">
            <v>0</v>
          </cell>
          <cell r="U80">
            <v>-8494615</v>
          </cell>
          <cell r="V80" t="str">
            <v xml:space="preserve"> </v>
          </cell>
          <cell r="W80">
            <v>41948742</v>
          </cell>
          <cell r="X80">
            <v>4022469</v>
          </cell>
          <cell r="Y80">
            <v>0</v>
          </cell>
          <cell r="Z80">
            <v>0</v>
          </cell>
          <cell r="AA80">
            <v>0</v>
          </cell>
          <cell r="AB80">
            <v>45633051</v>
          </cell>
          <cell r="AC80">
            <v>803921</v>
          </cell>
          <cell r="AD80">
            <v>4680452</v>
          </cell>
          <cell r="AE80">
            <v>0</v>
          </cell>
          <cell r="AF80">
            <v>0</v>
          </cell>
          <cell r="AG80">
            <v>0</v>
          </cell>
          <cell r="AH80">
            <v>0</v>
          </cell>
          <cell r="AI80">
            <v>0</v>
          </cell>
          <cell r="AJ80">
            <v>0</v>
          </cell>
          <cell r="AK80">
            <v>0</v>
          </cell>
          <cell r="AL80">
            <v>0</v>
          </cell>
          <cell r="AM80">
            <v>410465</v>
          </cell>
          <cell r="AN80">
            <v>0</v>
          </cell>
          <cell r="AO80">
            <v>-5237730</v>
          </cell>
          <cell r="AP80">
            <v>46290159</v>
          </cell>
          <cell r="AQ80">
            <v>0</v>
          </cell>
          <cell r="AR80">
            <v>0</v>
          </cell>
          <cell r="AS80">
            <v>0</v>
          </cell>
          <cell r="AT80">
            <v>0</v>
          </cell>
          <cell r="AU80" t="str">
            <v xml:space="preserve"> </v>
          </cell>
          <cell r="AV80" t="str">
            <v xml:space="preserve"> </v>
          </cell>
          <cell r="AW80" t="str">
            <v xml:space="preserve"> </v>
          </cell>
        </row>
        <row r="81">
          <cell r="C81" t="str">
            <v xml:space="preserve"> KERN              </v>
          </cell>
          <cell r="D81" t="str">
            <v xml:space="preserve"> SAN BERNARDINO    </v>
          </cell>
          <cell r="E81">
            <v>520</v>
          </cell>
          <cell r="F81" t="str">
            <v xml:space="preserve"> 2015-2016</v>
          </cell>
          <cell r="G81" t="str">
            <v xml:space="preserve"> 11/15/2015</v>
          </cell>
          <cell r="H81">
            <v>51416</v>
          </cell>
          <cell r="I81">
            <v>913</v>
          </cell>
          <cell r="J81">
            <v>1775</v>
          </cell>
          <cell r="K81">
            <v>0</v>
          </cell>
          <cell r="L81">
            <v>0</v>
          </cell>
          <cell r="M81">
            <v>0</v>
          </cell>
          <cell r="N81">
            <v>0</v>
          </cell>
          <cell r="O81">
            <v>0</v>
          </cell>
          <cell r="P81">
            <v>0</v>
          </cell>
          <cell r="Q81">
            <v>1423</v>
          </cell>
          <cell r="R81">
            <v>0</v>
          </cell>
          <cell r="S81">
            <v>477</v>
          </cell>
          <cell r="T81">
            <v>0</v>
          </cell>
          <cell r="U81">
            <v>0</v>
          </cell>
          <cell r="V81" t="str">
            <v xml:space="preserve"> </v>
          </cell>
          <cell r="W81">
            <v>56004</v>
          </cell>
          <cell r="X81">
            <v>0</v>
          </cell>
          <cell r="Y81">
            <v>0</v>
          </cell>
          <cell r="Z81">
            <v>0</v>
          </cell>
          <cell r="AA81">
            <v>0</v>
          </cell>
          <cell r="AB81">
            <v>48868</v>
          </cell>
          <cell r="AC81">
            <v>913</v>
          </cell>
          <cell r="AD81">
            <v>1521</v>
          </cell>
          <cell r="AE81">
            <v>0</v>
          </cell>
          <cell r="AF81">
            <v>0</v>
          </cell>
          <cell r="AG81">
            <v>0</v>
          </cell>
          <cell r="AH81">
            <v>0</v>
          </cell>
          <cell r="AI81">
            <v>0</v>
          </cell>
          <cell r="AJ81">
            <v>0</v>
          </cell>
          <cell r="AK81">
            <v>965</v>
          </cell>
          <cell r="AL81">
            <v>0</v>
          </cell>
          <cell r="AM81">
            <v>424</v>
          </cell>
          <cell r="AN81">
            <v>0</v>
          </cell>
          <cell r="AO81">
            <v>0</v>
          </cell>
          <cell r="AP81">
            <v>52691</v>
          </cell>
          <cell r="AQ81">
            <v>0</v>
          </cell>
          <cell r="AR81">
            <v>0</v>
          </cell>
          <cell r="AS81">
            <v>0</v>
          </cell>
          <cell r="AT81">
            <v>0</v>
          </cell>
          <cell r="AU81" t="str">
            <v xml:space="preserve"> </v>
          </cell>
          <cell r="AV81" t="str">
            <v xml:space="preserve"> </v>
          </cell>
          <cell r="AW81" t="str">
            <v xml:space="preserve"> </v>
          </cell>
        </row>
        <row r="82">
          <cell r="C82" t="str">
            <v xml:space="preserve"> KERN              </v>
          </cell>
          <cell r="D82" t="str">
            <v xml:space="preserve"> TULARE            </v>
          </cell>
          <cell r="E82">
            <v>520</v>
          </cell>
          <cell r="F82" t="str">
            <v xml:space="preserve"> 2015-2016</v>
          </cell>
          <cell r="G82" t="str">
            <v xml:space="preserve"> 11/15/2015</v>
          </cell>
          <cell r="H82">
            <v>4358632</v>
          </cell>
          <cell r="I82">
            <v>43934</v>
          </cell>
          <cell r="J82">
            <v>256399</v>
          </cell>
          <cell r="K82">
            <v>5920</v>
          </cell>
          <cell r="L82">
            <v>2812</v>
          </cell>
          <cell r="M82">
            <v>0</v>
          </cell>
          <cell r="N82">
            <v>0</v>
          </cell>
          <cell r="O82">
            <v>67958</v>
          </cell>
          <cell r="P82">
            <v>0</v>
          </cell>
          <cell r="Q82">
            <v>181660</v>
          </cell>
          <cell r="R82">
            <v>99</v>
          </cell>
          <cell r="S82">
            <v>51383</v>
          </cell>
          <cell r="T82">
            <v>0</v>
          </cell>
          <cell r="U82">
            <v>-699147</v>
          </cell>
          <cell r="V82" t="str">
            <v xml:space="preserve"> </v>
          </cell>
          <cell r="W82">
            <v>4263730</v>
          </cell>
          <cell r="X82">
            <v>0</v>
          </cell>
          <cell r="Y82">
            <v>0</v>
          </cell>
          <cell r="Z82">
            <v>0</v>
          </cell>
          <cell r="AA82">
            <v>0</v>
          </cell>
          <cell r="AB82">
            <v>4572131</v>
          </cell>
          <cell r="AC82">
            <v>29438</v>
          </cell>
          <cell r="AD82">
            <v>256898</v>
          </cell>
          <cell r="AE82">
            <v>5920</v>
          </cell>
          <cell r="AF82">
            <v>2812</v>
          </cell>
          <cell r="AG82">
            <v>0</v>
          </cell>
          <cell r="AH82">
            <v>0</v>
          </cell>
          <cell r="AI82">
            <v>0</v>
          </cell>
          <cell r="AJ82">
            <v>0</v>
          </cell>
          <cell r="AK82">
            <v>0</v>
          </cell>
          <cell r="AL82">
            <v>0</v>
          </cell>
          <cell r="AM82">
            <v>0</v>
          </cell>
          <cell r="AN82">
            <v>0</v>
          </cell>
          <cell r="AO82">
            <v>-519615</v>
          </cell>
          <cell r="AP82">
            <v>4341664</v>
          </cell>
          <cell r="AQ82">
            <v>0</v>
          </cell>
          <cell r="AR82">
            <v>0</v>
          </cell>
          <cell r="AS82">
            <v>0</v>
          </cell>
          <cell r="AT82">
            <v>0</v>
          </cell>
          <cell r="AU82" t="str">
            <v xml:space="preserve"> </v>
          </cell>
          <cell r="AV82" t="str">
            <v xml:space="preserve"> </v>
          </cell>
          <cell r="AW82" t="str">
            <v xml:space="preserve"> </v>
          </cell>
        </row>
        <row r="83">
          <cell r="C83" t="str">
            <v>KERN Subtotal</v>
          </cell>
          <cell r="H83">
            <v>48537997</v>
          </cell>
          <cell r="I83">
            <v>1655305</v>
          </cell>
          <cell r="J83">
            <v>4472954</v>
          </cell>
          <cell r="K83">
            <v>297016</v>
          </cell>
          <cell r="L83">
            <v>141083</v>
          </cell>
          <cell r="M83">
            <v>0</v>
          </cell>
          <cell r="N83">
            <v>0</v>
          </cell>
          <cell r="O83">
            <v>393224</v>
          </cell>
          <cell r="P83">
            <v>0</v>
          </cell>
          <cell r="Q83">
            <v>186708</v>
          </cell>
          <cell r="R83">
            <v>550</v>
          </cell>
          <cell r="S83">
            <v>444772</v>
          </cell>
          <cell r="T83">
            <v>0</v>
          </cell>
          <cell r="U83">
            <v>-9193762</v>
          </cell>
          <cell r="V83">
            <v>0</v>
          </cell>
          <cell r="W83">
            <v>46638831</v>
          </cell>
          <cell r="X83">
            <v>4022469</v>
          </cell>
          <cell r="Y83">
            <v>0</v>
          </cell>
          <cell r="Z83">
            <v>0</v>
          </cell>
          <cell r="AA83">
            <v>0</v>
          </cell>
          <cell r="AB83">
            <v>50577906</v>
          </cell>
          <cell r="AC83">
            <v>834272</v>
          </cell>
          <cell r="AD83">
            <v>4975198</v>
          </cell>
          <cell r="AE83">
            <v>5920</v>
          </cell>
          <cell r="AF83">
            <v>2812</v>
          </cell>
          <cell r="AG83">
            <v>0</v>
          </cell>
          <cell r="AH83">
            <v>0</v>
          </cell>
          <cell r="AI83">
            <v>0</v>
          </cell>
          <cell r="AJ83">
            <v>0</v>
          </cell>
          <cell r="AK83">
            <v>5686</v>
          </cell>
          <cell r="AL83">
            <v>0</v>
          </cell>
          <cell r="AM83">
            <v>413107</v>
          </cell>
          <cell r="AN83">
            <v>0</v>
          </cell>
          <cell r="AO83">
            <v>-5757345</v>
          </cell>
          <cell r="AP83">
            <v>51051636</v>
          </cell>
          <cell r="AQ83">
            <v>0</v>
          </cell>
          <cell r="AR83">
            <v>0</v>
          </cell>
          <cell r="AS83">
            <v>0</v>
          </cell>
          <cell r="AT83">
            <v>0</v>
          </cell>
          <cell r="AU83">
            <v>0</v>
          </cell>
          <cell r="AV83">
            <v>0</v>
          </cell>
          <cell r="AW83">
            <v>0</v>
          </cell>
        </row>
        <row r="85">
          <cell r="C85" t="str">
            <v xml:space="preserve"> LAKE TAHOE        </v>
          </cell>
          <cell r="D85" t="str">
            <v xml:space="preserve"> EL DORADO         </v>
          </cell>
          <cell r="E85">
            <v>220</v>
          </cell>
          <cell r="F85" t="str">
            <v xml:space="preserve"> 2015-2016</v>
          </cell>
          <cell r="G85" t="str">
            <v xml:space="preserve"> 11/15/2015</v>
          </cell>
          <cell r="H85">
            <v>3504911</v>
          </cell>
          <cell r="I85">
            <v>66197</v>
          </cell>
          <cell r="J85">
            <v>80239</v>
          </cell>
          <cell r="K85">
            <v>0</v>
          </cell>
          <cell r="L85">
            <v>0</v>
          </cell>
          <cell r="M85">
            <v>0</v>
          </cell>
          <cell r="N85">
            <v>0</v>
          </cell>
          <cell r="O85">
            <v>0</v>
          </cell>
          <cell r="P85">
            <v>5157</v>
          </cell>
          <cell r="Q85">
            <v>3814</v>
          </cell>
          <cell r="R85">
            <v>205</v>
          </cell>
          <cell r="S85">
            <v>39699</v>
          </cell>
          <cell r="T85">
            <v>0</v>
          </cell>
          <cell r="U85">
            <v>0</v>
          </cell>
          <cell r="V85" t="str">
            <v xml:space="preserve"> </v>
          </cell>
          <cell r="W85">
            <v>3700222</v>
          </cell>
          <cell r="X85">
            <v>0</v>
          </cell>
          <cell r="Y85">
            <v>0</v>
          </cell>
          <cell r="Z85">
            <v>0</v>
          </cell>
          <cell r="AA85">
            <v>0</v>
          </cell>
          <cell r="AB85">
            <v>3722324</v>
          </cell>
          <cell r="AC85">
            <v>66197</v>
          </cell>
          <cell r="AD85">
            <v>77206</v>
          </cell>
          <cell r="AE85">
            <v>0</v>
          </cell>
          <cell r="AF85">
            <v>0</v>
          </cell>
          <cell r="AG85">
            <v>0</v>
          </cell>
          <cell r="AH85">
            <v>0</v>
          </cell>
          <cell r="AI85">
            <v>0</v>
          </cell>
          <cell r="AJ85">
            <v>0</v>
          </cell>
          <cell r="AK85">
            <v>1</v>
          </cell>
          <cell r="AL85">
            <v>51</v>
          </cell>
          <cell r="AM85">
            <v>39318</v>
          </cell>
          <cell r="AN85">
            <v>0</v>
          </cell>
          <cell r="AO85">
            <v>0</v>
          </cell>
          <cell r="AP85">
            <v>3905097</v>
          </cell>
          <cell r="AQ85">
            <v>0</v>
          </cell>
          <cell r="AR85">
            <v>0</v>
          </cell>
          <cell r="AS85">
            <v>0</v>
          </cell>
          <cell r="AT85">
            <v>0</v>
          </cell>
          <cell r="AU85" t="str">
            <v xml:space="preserve"> </v>
          </cell>
          <cell r="AV85" t="str">
            <v xml:space="preserve"> </v>
          </cell>
          <cell r="AW85" t="str">
            <v xml:space="preserve"> </v>
          </cell>
        </row>
        <row r="86">
          <cell r="C86" t="str">
            <v xml:space="preserve">LAKE TAHOE Subtotal        </v>
          </cell>
          <cell r="H86">
            <v>3504911</v>
          </cell>
          <cell r="I86">
            <v>66197</v>
          </cell>
          <cell r="J86">
            <v>80239</v>
          </cell>
          <cell r="K86">
            <v>0</v>
          </cell>
          <cell r="L86">
            <v>0</v>
          </cell>
          <cell r="M86">
            <v>0</v>
          </cell>
          <cell r="N86">
            <v>0</v>
          </cell>
          <cell r="O86">
            <v>0</v>
          </cell>
          <cell r="P86">
            <v>5157</v>
          </cell>
          <cell r="Q86">
            <v>3814</v>
          </cell>
          <cell r="R86">
            <v>205</v>
          </cell>
          <cell r="S86">
            <v>39699</v>
          </cell>
          <cell r="T86">
            <v>0</v>
          </cell>
          <cell r="U86">
            <v>0</v>
          </cell>
          <cell r="V86">
            <v>0</v>
          </cell>
          <cell r="W86">
            <v>3700222</v>
          </cell>
          <cell r="X86">
            <v>0</v>
          </cell>
          <cell r="Y86">
            <v>0</v>
          </cell>
          <cell r="Z86">
            <v>0</v>
          </cell>
          <cell r="AA86">
            <v>0</v>
          </cell>
          <cell r="AB86">
            <v>3722324</v>
          </cell>
          <cell r="AC86">
            <v>66197</v>
          </cell>
          <cell r="AD86">
            <v>77206</v>
          </cell>
          <cell r="AE86">
            <v>0</v>
          </cell>
          <cell r="AF86">
            <v>0</v>
          </cell>
          <cell r="AG86">
            <v>0</v>
          </cell>
          <cell r="AH86">
            <v>0</v>
          </cell>
          <cell r="AI86">
            <v>0</v>
          </cell>
          <cell r="AJ86">
            <v>0</v>
          </cell>
          <cell r="AK86">
            <v>1</v>
          </cell>
          <cell r="AL86">
            <v>51</v>
          </cell>
          <cell r="AM86">
            <v>39318</v>
          </cell>
          <cell r="AN86">
            <v>0</v>
          </cell>
          <cell r="AO86">
            <v>0</v>
          </cell>
          <cell r="AP86">
            <v>3905097</v>
          </cell>
          <cell r="AQ86">
            <v>0</v>
          </cell>
          <cell r="AR86">
            <v>0</v>
          </cell>
          <cell r="AS86">
            <v>0</v>
          </cell>
          <cell r="AT86">
            <v>0</v>
          </cell>
          <cell r="AU86">
            <v>0</v>
          </cell>
          <cell r="AV86">
            <v>0</v>
          </cell>
          <cell r="AW86">
            <v>0</v>
          </cell>
        </row>
        <row r="88">
          <cell r="C88" t="str">
            <v xml:space="preserve"> LASSEN            </v>
          </cell>
          <cell r="D88" t="str">
            <v xml:space="preserve"> LASSEN            </v>
          </cell>
          <cell r="E88">
            <v>130</v>
          </cell>
          <cell r="F88" t="str">
            <v xml:space="preserve"> 2015-2016</v>
          </cell>
          <cell r="G88" t="str">
            <v xml:space="preserve"> 11/15/2015</v>
          </cell>
          <cell r="H88">
            <v>1775268</v>
          </cell>
          <cell r="I88">
            <v>5855</v>
          </cell>
          <cell r="J88">
            <v>87798</v>
          </cell>
          <cell r="K88">
            <v>0</v>
          </cell>
          <cell r="L88">
            <v>0</v>
          </cell>
          <cell r="M88">
            <v>0</v>
          </cell>
          <cell r="N88">
            <v>0</v>
          </cell>
          <cell r="O88">
            <v>0</v>
          </cell>
          <cell r="P88">
            <v>0</v>
          </cell>
          <cell r="Q88">
            <v>7618</v>
          </cell>
          <cell r="R88">
            <v>10741</v>
          </cell>
          <cell r="S88">
            <v>32504</v>
          </cell>
          <cell r="T88">
            <v>0</v>
          </cell>
          <cell r="U88">
            <v>-399103</v>
          </cell>
          <cell r="V88" t="str">
            <v xml:space="preserve"> </v>
          </cell>
          <cell r="W88">
            <v>1520681</v>
          </cell>
          <cell r="X88">
            <v>0</v>
          </cell>
          <cell r="Y88">
            <v>0</v>
          </cell>
          <cell r="Z88">
            <v>0</v>
          </cell>
          <cell r="AA88">
            <v>0</v>
          </cell>
          <cell r="AB88">
            <v>1789887</v>
          </cell>
          <cell r="AC88">
            <v>5842</v>
          </cell>
          <cell r="AD88">
            <v>86042</v>
          </cell>
          <cell r="AE88">
            <v>0</v>
          </cell>
          <cell r="AF88">
            <v>0</v>
          </cell>
          <cell r="AG88">
            <v>0</v>
          </cell>
          <cell r="AH88">
            <v>0</v>
          </cell>
          <cell r="AI88">
            <v>0</v>
          </cell>
          <cell r="AJ88">
            <v>0</v>
          </cell>
          <cell r="AK88">
            <v>7466</v>
          </cell>
          <cell r="AL88">
            <v>10038</v>
          </cell>
          <cell r="AM88">
            <v>31639</v>
          </cell>
          <cell r="AN88">
            <v>0</v>
          </cell>
          <cell r="AO88">
            <v>-340477</v>
          </cell>
          <cell r="AP88">
            <v>1590437</v>
          </cell>
          <cell r="AQ88">
            <v>0</v>
          </cell>
          <cell r="AR88">
            <v>0</v>
          </cell>
          <cell r="AS88">
            <v>0</v>
          </cell>
          <cell r="AT88">
            <v>0</v>
          </cell>
          <cell r="AU88" t="str">
            <v xml:space="preserve"> </v>
          </cell>
          <cell r="AV88" t="str">
            <v xml:space="preserve"> </v>
          </cell>
          <cell r="AW88" t="str">
            <v xml:space="preserve"> </v>
          </cell>
        </row>
        <row r="89">
          <cell r="C89" t="str">
            <v xml:space="preserve"> MODOC             </v>
          </cell>
          <cell r="D89" t="str">
            <v xml:space="preserve"> LASSEN            </v>
          </cell>
          <cell r="E89">
            <v>130</v>
          </cell>
          <cell r="F89" t="str">
            <v xml:space="preserve"> 2015-2016</v>
          </cell>
          <cell r="G89" t="str">
            <v xml:space="preserve"> 11/15/2015</v>
          </cell>
          <cell r="AB89">
            <v>98000</v>
          </cell>
          <cell r="AC89">
            <v>540</v>
          </cell>
          <cell r="AD89">
            <v>3300</v>
          </cell>
          <cell r="AE89">
            <v>0</v>
          </cell>
          <cell r="AF89">
            <v>0</v>
          </cell>
          <cell r="AG89">
            <v>0</v>
          </cell>
          <cell r="AH89">
            <v>0</v>
          </cell>
          <cell r="AI89">
            <v>0</v>
          </cell>
          <cell r="AJ89">
            <v>0</v>
          </cell>
          <cell r="AK89">
            <v>6000</v>
          </cell>
          <cell r="AL89">
            <v>275</v>
          </cell>
          <cell r="AM89">
            <v>1400</v>
          </cell>
          <cell r="AN89">
            <v>0</v>
          </cell>
          <cell r="AO89">
            <v>-5305</v>
          </cell>
          <cell r="AP89">
            <v>104210</v>
          </cell>
          <cell r="AQ89">
            <v>0</v>
          </cell>
          <cell r="AR89">
            <v>0</v>
          </cell>
          <cell r="AS89">
            <v>0</v>
          </cell>
          <cell r="AT89">
            <v>0</v>
          </cell>
        </row>
        <row r="90">
          <cell r="C90" t="str">
            <v xml:space="preserve">LASSEN Subtotal           </v>
          </cell>
          <cell r="H90">
            <v>1775268</v>
          </cell>
          <cell r="I90">
            <v>5855</v>
          </cell>
          <cell r="J90">
            <v>87798</v>
          </cell>
          <cell r="K90">
            <v>0</v>
          </cell>
          <cell r="L90">
            <v>0</v>
          </cell>
          <cell r="M90">
            <v>0</v>
          </cell>
          <cell r="N90">
            <v>0</v>
          </cell>
          <cell r="O90">
            <v>0</v>
          </cell>
          <cell r="P90">
            <v>0</v>
          </cell>
          <cell r="Q90">
            <v>7618</v>
          </cell>
          <cell r="R90">
            <v>10741</v>
          </cell>
          <cell r="S90">
            <v>32504</v>
          </cell>
          <cell r="T90">
            <v>0</v>
          </cell>
          <cell r="U90">
            <v>-399103</v>
          </cell>
          <cell r="V90">
            <v>0</v>
          </cell>
          <cell r="W90">
            <v>1520681</v>
          </cell>
          <cell r="X90">
            <v>0</v>
          </cell>
          <cell r="Y90">
            <v>0</v>
          </cell>
          <cell r="Z90">
            <v>0</v>
          </cell>
          <cell r="AA90">
            <v>0</v>
          </cell>
          <cell r="AB90">
            <v>1887887</v>
          </cell>
          <cell r="AC90">
            <v>6382</v>
          </cell>
          <cell r="AD90">
            <v>89342</v>
          </cell>
          <cell r="AE90">
            <v>0</v>
          </cell>
          <cell r="AF90">
            <v>0</v>
          </cell>
          <cell r="AG90">
            <v>0</v>
          </cell>
          <cell r="AH90">
            <v>0</v>
          </cell>
          <cell r="AI90">
            <v>0</v>
          </cell>
          <cell r="AJ90">
            <v>0</v>
          </cell>
          <cell r="AK90">
            <v>13466</v>
          </cell>
          <cell r="AL90">
            <v>10313</v>
          </cell>
          <cell r="AM90">
            <v>33039</v>
          </cell>
          <cell r="AN90">
            <v>0</v>
          </cell>
          <cell r="AO90">
            <v>-345782</v>
          </cell>
          <cell r="AP90">
            <v>1694647</v>
          </cell>
          <cell r="AQ90">
            <v>0</v>
          </cell>
          <cell r="AR90">
            <v>0</v>
          </cell>
          <cell r="AS90">
            <v>0</v>
          </cell>
          <cell r="AT90">
            <v>0</v>
          </cell>
          <cell r="AU90">
            <v>0</v>
          </cell>
          <cell r="AV90">
            <v>0</v>
          </cell>
          <cell r="AW90">
            <v>0</v>
          </cell>
        </row>
        <row r="92">
          <cell r="C92" t="str">
            <v xml:space="preserve"> LONG BEACH        </v>
          </cell>
          <cell r="D92" t="str">
            <v xml:space="preserve"> LOS ANGELES       </v>
          </cell>
          <cell r="E92">
            <v>840</v>
          </cell>
          <cell r="F92" t="str">
            <v xml:space="preserve"> 2015-2016</v>
          </cell>
          <cell r="G92" t="str">
            <v xml:space="preserve"> 11/15/2015</v>
          </cell>
          <cell r="H92">
            <v>10579494</v>
          </cell>
          <cell r="I92">
            <v>327778</v>
          </cell>
          <cell r="J92">
            <v>236126</v>
          </cell>
          <cell r="K92">
            <v>663287</v>
          </cell>
          <cell r="L92">
            <v>315061</v>
          </cell>
          <cell r="M92">
            <v>0</v>
          </cell>
          <cell r="N92">
            <v>0</v>
          </cell>
          <cell r="O92">
            <v>2078336</v>
          </cell>
          <cell r="P92">
            <v>0</v>
          </cell>
          <cell r="Q92">
            <v>305255</v>
          </cell>
          <cell r="R92">
            <v>0</v>
          </cell>
          <cell r="S92">
            <v>79006</v>
          </cell>
          <cell r="T92">
            <v>0</v>
          </cell>
          <cell r="U92">
            <v>3163097</v>
          </cell>
          <cell r="V92" t="str">
            <v xml:space="preserve"> </v>
          </cell>
          <cell r="W92">
            <v>17084153</v>
          </cell>
          <cell r="X92">
            <v>0</v>
          </cell>
          <cell r="Y92">
            <v>0</v>
          </cell>
          <cell r="Z92">
            <v>0</v>
          </cell>
          <cell r="AA92">
            <v>0</v>
          </cell>
          <cell r="AB92">
            <v>10726549</v>
          </cell>
          <cell r="AC92">
            <v>409723</v>
          </cell>
          <cell r="AD92">
            <v>236000</v>
          </cell>
          <cell r="AE92">
            <v>270327</v>
          </cell>
          <cell r="AF92">
            <v>128405</v>
          </cell>
          <cell r="AG92">
            <v>0</v>
          </cell>
          <cell r="AH92">
            <v>0</v>
          </cell>
          <cell r="AI92">
            <v>500422</v>
          </cell>
          <cell r="AJ92">
            <v>0</v>
          </cell>
          <cell r="AK92">
            <v>369986</v>
          </cell>
          <cell r="AL92">
            <v>0</v>
          </cell>
          <cell r="AM92">
            <v>79000</v>
          </cell>
          <cell r="AN92">
            <v>0</v>
          </cell>
          <cell r="AO92">
            <v>0</v>
          </cell>
          <cell r="AP92">
            <v>12450085</v>
          </cell>
          <cell r="AQ92">
            <v>0</v>
          </cell>
          <cell r="AR92">
            <v>0</v>
          </cell>
          <cell r="AS92">
            <v>0</v>
          </cell>
          <cell r="AT92">
            <v>0</v>
          </cell>
          <cell r="AU92" t="str">
            <v xml:space="preserve"> </v>
          </cell>
          <cell r="AV92" t="str">
            <v xml:space="preserve"> </v>
          </cell>
          <cell r="AW92" t="str">
            <v xml:space="preserve"> </v>
          </cell>
        </row>
        <row r="93">
          <cell r="C93" t="str">
            <v xml:space="preserve">LONG BEACH Subtotal     </v>
          </cell>
          <cell r="H93">
            <v>10579494</v>
          </cell>
          <cell r="I93">
            <v>327778</v>
          </cell>
          <cell r="J93">
            <v>236126</v>
          </cell>
          <cell r="K93">
            <v>663287</v>
          </cell>
          <cell r="L93">
            <v>315061</v>
          </cell>
          <cell r="M93">
            <v>0</v>
          </cell>
          <cell r="N93">
            <v>0</v>
          </cell>
          <cell r="O93">
            <v>2078336</v>
          </cell>
          <cell r="P93">
            <v>0</v>
          </cell>
          <cell r="Q93">
            <v>305255</v>
          </cell>
          <cell r="R93">
            <v>0</v>
          </cell>
          <cell r="S93">
            <v>79006</v>
          </cell>
          <cell r="T93">
            <v>0</v>
          </cell>
          <cell r="U93">
            <v>3163097</v>
          </cell>
          <cell r="V93">
            <v>0</v>
          </cell>
          <cell r="W93">
            <v>17084153</v>
          </cell>
          <cell r="X93">
            <v>0</v>
          </cell>
          <cell r="Y93">
            <v>0</v>
          </cell>
          <cell r="Z93">
            <v>0</v>
          </cell>
          <cell r="AA93">
            <v>0</v>
          </cell>
          <cell r="AB93">
            <v>10726549</v>
          </cell>
          <cell r="AC93">
            <v>409723</v>
          </cell>
          <cell r="AD93">
            <v>236000</v>
          </cell>
          <cell r="AE93">
            <v>270327</v>
          </cell>
          <cell r="AF93">
            <v>128405</v>
          </cell>
          <cell r="AG93">
            <v>0</v>
          </cell>
          <cell r="AH93">
            <v>0</v>
          </cell>
          <cell r="AI93">
            <v>500422</v>
          </cell>
          <cell r="AJ93">
            <v>0</v>
          </cell>
          <cell r="AK93">
            <v>369986</v>
          </cell>
          <cell r="AL93">
            <v>0</v>
          </cell>
          <cell r="AM93">
            <v>79000</v>
          </cell>
          <cell r="AN93">
            <v>0</v>
          </cell>
          <cell r="AO93">
            <v>0</v>
          </cell>
          <cell r="AP93">
            <v>12450085</v>
          </cell>
          <cell r="AQ93">
            <v>0</v>
          </cell>
          <cell r="AR93">
            <v>0</v>
          </cell>
          <cell r="AS93">
            <v>0</v>
          </cell>
          <cell r="AT93">
            <v>0</v>
          </cell>
          <cell r="AU93">
            <v>0</v>
          </cell>
          <cell r="AV93">
            <v>0</v>
          </cell>
          <cell r="AW93">
            <v>0</v>
          </cell>
        </row>
        <row r="95">
          <cell r="C95" t="str">
            <v xml:space="preserve"> LOS ANGELES       </v>
          </cell>
          <cell r="D95" t="str">
            <v xml:space="preserve"> LOS ANGELES       </v>
          </cell>
          <cell r="E95">
            <v>740</v>
          </cell>
          <cell r="F95" t="str">
            <v xml:space="preserve"> 2015-2016</v>
          </cell>
          <cell r="G95" t="str">
            <v xml:space="preserve"> 11/15/2015</v>
          </cell>
          <cell r="H95">
            <v>156653302</v>
          </cell>
          <cell r="I95">
            <v>4245540</v>
          </cell>
          <cell r="J95">
            <v>5734245</v>
          </cell>
          <cell r="K95">
            <v>1950215</v>
          </cell>
          <cell r="L95">
            <v>926352</v>
          </cell>
          <cell r="M95">
            <v>0</v>
          </cell>
          <cell r="N95">
            <v>0</v>
          </cell>
          <cell r="O95">
            <v>7903537</v>
          </cell>
          <cell r="P95">
            <v>423356</v>
          </cell>
          <cell r="Q95">
            <v>3730432</v>
          </cell>
          <cell r="R95">
            <v>0</v>
          </cell>
          <cell r="S95">
            <v>1178509</v>
          </cell>
          <cell r="T95">
            <v>0</v>
          </cell>
          <cell r="U95">
            <v>0</v>
          </cell>
          <cell r="V95" t="str">
            <v xml:space="preserve"> </v>
          </cell>
          <cell r="W95">
            <v>180795273</v>
          </cell>
          <cell r="X95">
            <v>0</v>
          </cell>
          <cell r="Y95">
            <v>0</v>
          </cell>
          <cell r="Z95">
            <v>0</v>
          </cell>
          <cell r="AA95">
            <v>0</v>
          </cell>
          <cell r="AB95">
            <v>167008085</v>
          </cell>
          <cell r="AC95">
            <v>5306925</v>
          </cell>
          <cell r="AD95">
            <v>5734000</v>
          </cell>
          <cell r="AE95">
            <v>906779</v>
          </cell>
          <cell r="AF95">
            <v>430720</v>
          </cell>
          <cell r="AG95">
            <v>0</v>
          </cell>
          <cell r="AH95">
            <v>0</v>
          </cell>
          <cell r="AI95">
            <v>1755970</v>
          </cell>
          <cell r="AJ95">
            <v>0</v>
          </cell>
          <cell r="AK95">
            <v>4023440</v>
          </cell>
          <cell r="AL95">
            <v>0</v>
          </cell>
          <cell r="AM95">
            <v>1178500</v>
          </cell>
          <cell r="AN95">
            <v>0</v>
          </cell>
          <cell r="AO95">
            <v>0</v>
          </cell>
          <cell r="AP95">
            <v>185437640</v>
          </cell>
          <cell r="AQ95">
            <v>0</v>
          </cell>
          <cell r="AR95">
            <v>0</v>
          </cell>
          <cell r="AS95">
            <v>0</v>
          </cell>
          <cell r="AT95">
            <v>0</v>
          </cell>
          <cell r="AU95" t="str">
            <v xml:space="preserve"> </v>
          </cell>
          <cell r="AV95" t="str">
            <v xml:space="preserve"> </v>
          </cell>
          <cell r="AW95" t="str">
            <v xml:space="preserve"> </v>
          </cell>
        </row>
        <row r="96">
          <cell r="C96" t="str">
            <v xml:space="preserve">LOS ANGELES Subtotal     </v>
          </cell>
          <cell r="H96">
            <v>156653302</v>
          </cell>
          <cell r="I96">
            <v>4245540</v>
          </cell>
          <cell r="J96">
            <v>5734245</v>
          </cell>
          <cell r="K96">
            <v>1950215</v>
          </cell>
          <cell r="L96">
            <v>926352</v>
          </cell>
          <cell r="M96">
            <v>0</v>
          </cell>
          <cell r="N96">
            <v>0</v>
          </cell>
          <cell r="O96">
            <v>7903537</v>
          </cell>
          <cell r="P96">
            <v>423356</v>
          </cell>
          <cell r="Q96">
            <v>3730432</v>
          </cell>
          <cell r="R96">
            <v>0</v>
          </cell>
          <cell r="S96">
            <v>1178509</v>
          </cell>
          <cell r="T96">
            <v>0</v>
          </cell>
          <cell r="U96">
            <v>0</v>
          </cell>
          <cell r="V96">
            <v>0</v>
          </cell>
          <cell r="W96">
            <v>180795273</v>
          </cell>
          <cell r="X96">
            <v>0</v>
          </cell>
          <cell r="Y96">
            <v>0</v>
          </cell>
          <cell r="Z96">
            <v>0</v>
          </cell>
          <cell r="AA96">
            <v>0</v>
          </cell>
          <cell r="AB96">
            <v>167008085</v>
          </cell>
          <cell r="AC96">
            <v>5306925</v>
          </cell>
          <cell r="AD96">
            <v>5734000</v>
          </cell>
          <cell r="AE96">
            <v>906779</v>
          </cell>
          <cell r="AF96">
            <v>430720</v>
          </cell>
          <cell r="AG96">
            <v>0</v>
          </cell>
          <cell r="AH96">
            <v>0</v>
          </cell>
          <cell r="AI96">
            <v>1755970</v>
          </cell>
          <cell r="AJ96">
            <v>0</v>
          </cell>
          <cell r="AK96">
            <v>4023440</v>
          </cell>
          <cell r="AL96">
            <v>0</v>
          </cell>
          <cell r="AM96">
            <v>1178500</v>
          </cell>
          <cell r="AN96">
            <v>0</v>
          </cell>
          <cell r="AO96">
            <v>0</v>
          </cell>
          <cell r="AP96">
            <v>185437640</v>
          </cell>
          <cell r="AQ96">
            <v>0</v>
          </cell>
          <cell r="AR96">
            <v>0</v>
          </cell>
          <cell r="AS96">
            <v>0</v>
          </cell>
          <cell r="AT96">
            <v>0</v>
          </cell>
          <cell r="AU96">
            <v>0</v>
          </cell>
          <cell r="AV96">
            <v>0</v>
          </cell>
          <cell r="AW96">
            <v>0</v>
          </cell>
        </row>
        <row r="98">
          <cell r="C98" t="str">
            <v xml:space="preserve"> LOS RIOS          </v>
          </cell>
          <cell r="D98" t="str">
            <v xml:space="preserve"> EL DORADO         </v>
          </cell>
          <cell r="E98">
            <v>230</v>
          </cell>
          <cell r="F98" t="str">
            <v xml:space="preserve"> 2015-2016</v>
          </cell>
          <cell r="G98" t="str">
            <v xml:space="preserve"> 11/15/2015</v>
          </cell>
          <cell r="H98">
            <v>9548443</v>
          </cell>
          <cell r="I98">
            <v>167861</v>
          </cell>
          <cell r="J98">
            <v>204269</v>
          </cell>
          <cell r="K98">
            <v>0</v>
          </cell>
          <cell r="L98">
            <v>0</v>
          </cell>
          <cell r="M98">
            <v>0</v>
          </cell>
          <cell r="N98">
            <v>0</v>
          </cell>
          <cell r="O98">
            <v>0</v>
          </cell>
          <cell r="P98">
            <v>0</v>
          </cell>
          <cell r="Q98">
            <v>9586</v>
          </cell>
          <cell r="R98">
            <v>19593</v>
          </cell>
          <cell r="S98">
            <v>101044</v>
          </cell>
          <cell r="T98">
            <v>0</v>
          </cell>
          <cell r="U98">
            <v>858877</v>
          </cell>
          <cell r="V98" t="str">
            <v xml:space="preserve"> </v>
          </cell>
          <cell r="W98">
            <v>10909673</v>
          </cell>
          <cell r="X98">
            <v>0</v>
          </cell>
          <cell r="Y98">
            <v>0</v>
          </cell>
          <cell r="Z98">
            <v>0</v>
          </cell>
          <cell r="AA98">
            <v>0</v>
          </cell>
          <cell r="AB98">
            <v>10090779</v>
          </cell>
          <cell r="AC98">
            <v>167861</v>
          </cell>
          <cell r="AD98">
            <v>196575</v>
          </cell>
          <cell r="AE98">
            <v>0</v>
          </cell>
          <cell r="AF98">
            <v>0</v>
          </cell>
          <cell r="AG98">
            <v>0</v>
          </cell>
          <cell r="AH98">
            <v>0</v>
          </cell>
          <cell r="AI98">
            <v>0</v>
          </cell>
          <cell r="AJ98">
            <v>0</v>
          </cell>
          <cell r="AK98">
            <v>1</v>
          </cell>
          <cell r="AL98">
            <v>4898</v>
          </cell>
          <cell r="AM98">
            <v>100107</v>
          </cell>
          <cell r="AN98">
            <v>0</v>
          </cell>
          <cell r="AO98">
            <v>1413330</v>
          </cell>
          <cell r="AP98">
            <v>11973551</v>
          </cell>
          <cell r="AQ98">
            <v>0</v>
          </cell>
          <cell r="AR98">
            <v>0</v>
          </cell>
          <cell r="AS98">
            <v>0</v>
          </cell>
          <cell r="AT98">
            <v>0</v>
          </cell>
          <cell r="AU98" t="str">
            <v xml:space="preserve"> </v>
          </cell>
          <cell r="AV98" t="str">
            <v xml:space="preserve"> </v>
          </cell>
          <cell r="AW98" t="str">
            <v xml:space="preserve"> </v>
          </cell>
        </row>
        <row r="99">
          <cell r="C99" t="str">
            <v xml:space="preserve"> LOS RIOS          </v>
          </cell>
          <cell r="D99" t="str">
            <v xml:space="preserve"> PLACER            </v>
          </cell>
          <cell r="E99">
            <v>230</v>
          </cell>
          <cell r="F99" t="str">
            <v xml:space="preserve"> 2015-2016</v>
          </cell>
          <cell r="G99" t="str">
            <v xml:space="preserve"> 11/15/2015</v>
          </cell>
          <cell r="H99">
            <v>38073</v>
          </cell>
          <cell r="I99">
            <v>880</v>
          </cell>
          <cell r="J99">
            <v>926</v>
          </cell>
          <cell r="K99">
            <v>0</v>
          </cell>
          <cell r="L99">
            <v>0</v>
          </cell>
          <cell r="M99">
            <v>0</v>
          </cell>
          <cell r="N99">
            <v>0</v>
          </cell>
          <cell r="O99">
            <v>0</v>
          </cell>
          <cell r="P99">
            <v>0</v>
          </cell>
          <cell r="Q99">
            <v>20</v>
          </cell>
          <cell r="R99">
            <v>0</v>
          </cell>
          <cell r="S99">
            <v>358</v>
          </cell>
          <cell r="T99">
            <v>0</v>
          </cell>
          <cell r="U99">
            <v>0</v>
          </cell>
          <cell r="V99" t="str">
            <v xml:space="preserve"> </v>
          </cell>
          <cell r="W99">
            <v>40257</v>
          </cell>
          <cell r="X99">
            <v>-5</v>
          </cell>
          <cell r="Y99">
            <v>0</v>
          </cell>
          <cell r="Z99">
            <v>0</v>
          </cell>
          <cell r="AA99">
            <v>0</v>
          </cell>
          <cell r="AB99">
            <v>42815</v>
          </cell>
          <cell r="AC99">
            <v>922</v>
          </cell>
          <cell r="AD99">
            <v>994</v>
          </cell>
          <cell r="AE99">
            <v>0</v>
          </cell>
          <cell r="AF99">
            <v>0</v>
          </cell>
          <cell r="AG99">
            <v>0</v>
          </cell>
          <cell r="AH99">
            <v>0</v>
          </cell>
          <cell r="AI99">
            <v>0</v>
          </cell>
          <cell r="AJ99">
            <v>0</v>
          </cell>
          <cell r="AK99">
            <v>20</v>
          </cell>
          <cell r="AL99">
            <v>0</v>
          </cell>
          <cell r="AM99">
            <v>362</v>
          </cell>
          <cell r="AN99">
            <v>0</v>
          </cell>
          <cell r="AO99">
            <v>0</v>
          </cell>
          <cell r="AP99">
            <v>45113</v>
          </cell>
          <cell r="AQ99">
            <v>0</v>
          </cell>
          <cell r="AR99">
            <v>0</v>
          </cell>
          <cell r="AS99">
            <v>0</v>
          </cell>
          <cell r="AT99">
            <v>0</v>
          </cell>
          <cell r="AU99" t="str">
            <v xml:space="preserve"> </v>
          </cell>
          <cell r="AV99" t="str">
            <v xml:space="preserve"> </v>
          </cell>
          <cell r="AW99" t="str">
            <v xml:space="preserve"> </v>
          </cell>
        </row>
        <row r="100">
          <cell r="C100" t="str">
            <v xml:space="preserve"> LOS RIOS          </v>
          </cell>
          <cell r="D100" t="str">
            <v xml:space="preserve"> SACRAMENTO        </v>
          </cell>
          <cell r="E100">
            <v>230</v>
          </cell>
          <cell r="F100" t="str">
            <v xml:space="preserve"> 2015-2016</v>
          </cell>
          <cell r="G100" t="str">
            <v xml:space="preserve"> 11/15/2015</v>
          </cell>
          <cell r="H100">
            <v>35086267</v>
          </cell>
          <cell r="I100">
            <v>610872</v>
          </cell>
          <cell r="J100">
            <v>1496981</v>
          </cell>
          <cell r="K100">
            <v>287341</v>
          </cell>
          <cell r="L100">
            <v>136487</v>
          </cell>
          <cell r="M100">
            <v>0</v>
          </cell>
          <cell r="N100">
            <v>0</v>
          </cell>
          <cell r="O100">
            <v>628974</v>
          </cell>
          <cell r="P100">
            <v>0</v>
          </cell>
          <cell r="Q100">
            <v>0</v>
          </cell>
          <cell r="R100">
            <v>17</v>
          </cell>
          <cell r="S100">
            <v>466570</v>
          </cell>
          <cell r="T100">
            <v>1683</v>
          </cell>
          <cell r="U100">
            <v>3370123</v>
          </cell>
          <cell r="V100" t="str">
            <v xml:space="preserve"> </v>
          </cell>
          <cell r="W100">
            <v>41797974</v>
          </cell>
          <cell r="X100">
            <v>0</v>
          </cell>
          <cell r="Y100">
            <v>0</v>
          </cell>
          <cell r="Z100">
            <v>0</v>
          </cell>
          <cell r="AA100">
            <v>0</v>
          </cell>
          <cell r="AB100">
            <v>36291317</v>
          </cell>
          <cell r="AC100">
            <v>1238625</v>
          </cell>
          <cell r="AD100">
            <v>1150819</v>
          </cell>
          <cell r="AE100">
            <v>278304</v>
          </cell>
          <cell r="AF100">
            <v>132194</v>
          </cell>
          <cell r="AG100">
            <v>0</v>
          </cell>
          <cell r="AH100">
            <v>0</v>
          </cell>
          <cell r="AI100">
            <v>338805</v>
          </cell>
          <cell r="AJ100">
            <v>0</v>
          </cell>
          <cell r="AK100">
            <v>0</v>
          </cell>
          <cell r="AL100">
            <v>17</v>
          </cell>
          <cell r="AM100">
            <v>515823</v>
          </cell>
          <cell r="AN100">
            <v>1683</v>
          </cell>
          <cell r="AO100">
            <v>6899352</v>
          </cell>
          <cell r="AP100">
            <v>46568635</v>
          </cell>
          <cell r="AQ100">
            <v>0</v>
          </cell>
          <cell r="AR100">
            <v>0</v>
          </cell>
          <cell r="AS100">
            <v>0</v>
          </cell>
          <cell r="AT100">
            <v>0</v>
          </cell>
          <cell r="AU100" t="str">
            <v xml:space="preserve"> </v>
          </cell>
          <cell r="AV100" t="str">
            <v xml:space="preserve"> </v>
          </cell>
          <cell r="AW100" t="str">
            <v xml:space="preserve"> </v>
          </cell>
        </row>
        <row r="101">
          <cell r="C101" t="str">
            <v xml:space="preserve"> LOS RIOS          </v>
          </cell>
          <cell r="D101" t="str">
            <v xml:space="preserve"> SOLANO            </v>
          </cell>
          <cell r="E101">
            <v>230</v>
          </cell>
          <cell r="F101" t="str">
            <v xml:space="preserve"> 2015-2016</v>
          </cell>
          <cell r="G101" t="str">
            <v xml:space="preserve"> 11/15/2015</v>
          </cell>
          <cell r="H101">
            <v>9274</v>
          </cell>
          <cell r="I101">
            <v>150</v>
          </cell>
          <cell r="J101">
            <v>582</v>
          </cell>
          <cell r="K101">
            <v>0</v>
          </cell>
          <cell r="L101">
            <v>0</v>
          </cell>
          <cell r="M101">
            <v>0</v>
          </cell>
          <cell r="N101">
            <v>0</v>
          </cell>
          <cell r="O101">
            <v>0</v>
          </cell>
          <cell r="P101">
            <v>0</v>
          </cell>
          <cell r="Q101">
            <v>5</v>
          </cell>
          <cell r="R101">
            <v>0</v>
          </cell>
          <cell r="S101">
            <v>87</v>
          </cell>
          <cell r="T101">
            <v>0</v>
          </cell>
          <cell r="U101">
            <v>0</v>
          </cell>
          <cell r="V101" t="str">
            <v xml:space="preserve"> </v>
          </cell>
          <cell r="W101">
            <v>10098</v>
          </cell>
          <cell r="X101">
            <v>0</v>
          </cell>
          <cell r="Y101">
            <v>0</v>
          </cell>
          <cell r="Z101">
            <v>0</v>
          </cell>
          <cell r="AA101">
            <v>0</v>
          </cell>
          <cell r="AB101">
            <v>11504</v>
          </cell>
          <cell r="AC101">
            <v>176</v>
          </cell>
          <cell r="AD101">
            <v>683</v>
          </cell>
          <cell r="AE101">
            <v>0</v>
          </cell>
          <cell r="AF101">
            <v>0</v>
          </cell>
          <cell r="AG101">
            <v>0</v>
          </cell>
          <cell r="AH101">
            <v>0</v>
          </cell>
          <cell r="AI101">
            <v>0</v>
          </cell>
          <cell r="AJ101">
            <v>0</v>
          </cell>
          <cell r="AK101">
            <v>0</v>
          </cell>
          <cell r="AL101">
            <v>0</v>
          </cell>
          <cell r="AM101">
            <v>101</v>
          </cell>
          <cell r="AN101">
            <v>0</v>
          </cell>
          <cell r="AO101">
            <v>0</v>
          </cell>
          <cell r="AP101">
            <v>12464</v>
          </cell>
          <cell r="AQ101">
            <v>0</v>
          </cell>
          <cell r="AR101">
            <v>0</v>
          </cell>
          <cell r="AS101">
            <v>0</v>
          </cell>
          <cell r="AT101">
            <v>0</v>
          </cell>
          <cell r="AU101" t="str">
            <v xml:space="preserve"> </v>
          </cell>
          <cell r="AV101" t="str">
            <v xml:space="preserve"> </v>
          </cell>
          <cell r="AW101" t="str">
            <v xml:space="preserve"> </v>
          </cell>
        </row>
        <row r="102">
          <cell r="C102" t="str">
            <v xml:space="preserve"> LOS RIOS          </v>
          </cell>
          <cell r="D102" t="str">
            <v xml:space="preserve"> YOLO              </v>
          </cell>
          <cell r="E102">
            <v>230</v>
          </cell>
          <cell r="F102" t="str">
            <v xml:space="preserve"> 2015-2016</v>
          </cell>
          <cell r="G102" t="str">
            <v xml:space="preserve"> 11/15/2015</v>
          </cell>
          <cell r="H102">
            <v>4622727</v>
          </cell>
          <cell r="I102">
            <v>77496</v>
          </cell>
          <cell r="J102">
            <v>175908</v>
          </cell>
          <cell r="K102">
            <v>121659</v>
          </cell>
          <cell r="L102">
            <v>57788</v>
          </cell>
          <cell r="M102">
            <v>0</v>
          </cell>
          <cell r="N102">
            <v>0</v>
          </cell>
          <cell r="O102">
            <v>458399</v>
          </cell>
          <cell r="P102">
            <v>0</v>
          </cell>
          <cell r="Q102">
            <v>1410</v>
          </cell>
          <cell r="R102">
            <v>0</v>
          </cell>
          <cell r="S102">
            <v>48856</v>
          </cell>
          <cell r="T102">
            <v>1564</v>
          </cell>
          <cell r="U102">
            <v>-386020</v>
          </cell>
          <cell r="V102" t="str">
            <v xml:space="preserve"> </v>
          </cell>
          <cell r="W102">
            <v>5058128</v>
          </cell>
          <cell r="X102">
            <v>0</v>
          </cell>
          <cell r="Y102">
            <v>0</v>
          </cell>
          <cell r="Z102">
            <v>0</v>
          </cell>
          <cell r="AA102">
            <v>0</v>
          </cell>
          <cell r="AB102">
            <v>4953369</v>
          </cell>
          <cell r="AC102">
            <v>75000</v>
          </cell>
          <cell r="AD102">
            <v>194888</v>
          </cell>
          <cell r="AE102">
            <v>129017</v>
          </cell>
          <cell r="AF102">
            <v>61283</v>
          </cell>
          <cell r="AG102">
            <v>0</v>
          </cell>
          <cell r="AH102">
            <v>0</v>
          </cell>
          <cell r="AI102">
            <v>231689</v>
          </cell>
          <cell r="AJ102">
            <v>0</v>
          </cell>
          <cell r="AK102">
            <v>1300</v>
          </cell>
          <cell r="AL102">
            <v>0</v>
          </cell>
          <cell r="AM102">
            <v>48475</v>
          </cell>
          <cell r="AN102">
            <v>1200</v>
          </cell>
          <cell r="AO102">
            <v>386592</v>
          </cell>
          <cell r="AP102">
            <v>5953796</v>
          </cell>
          <cell r="AQ102">
            <v>0</v>
          </cell>
          <cell r="AR102">
            <v>0</v>
          </cell>
          <cell r="AS102">
            <v>0</v>
          </cell>
          <cell r="AT102">
            <v>0</v>
          </cell>
          <cell r="AU102" t="str">
            <v xml:space="preserve"> </v>
          </cell>
          <cell r="AV102" t="str">
            <v xml:space="preserve"> </v>
          </cell>
          <cell r="AW102" t="str">
            <v xml:space="preserve"> </v>
          </cell>
        </row>
        <row r="103">
          <cell r="C103" t="str">
            <v xml:space="preserve">LOS RIOS Subtotal          </v>
          </cell>
          <cell r="H103">
            <v>49304784</v>
          </cell>
          <cell r="I103">
            <v>857259</v>
          </cell>
          <cell r="J103">
            <v>1878666</v>
          </cell>
          <cell r="K103">
            <v>409000</v>
          </cell>
          <cell r="L103">
            <v>194275</v>
          </cell>
          <cell r="M103">
            <v>0</v>
          </cell>
          <cell r="N103">
            <v>0</v>
          </cell>
          <cell r="O103">
            <v>1087373</v>
          </cell>
          <cell r="P103">
            <v>0</v>
          </cell>
          <cell r="Q103">
            <v>11021</v>
          </cell>
          <cell r="R103">
            <v>19610</v>
          </cell>
          <cell r="S103">
            <v>616915</v>
          </cell>
          <cell r="T103">
            <v>3247</v>
          </cell>
          <cell r="U103">
            <v>3842980</v>
          </cell>
          <cell r="V103">
            <v>0</v>
          </cell>
          <cell r="W103">
            <v>57816130</v>
          </cell>
          <cell r="X103">
            <v>-5</v>
          </cell>
          <cell r="Y103">
            <v>0</v>
          </cell>
          <cell r="Z103">
            <v>0</v>
          </cell>
          <cell r="AA103">
            <v>0</v>
          </cell>
          <cell r="AB103">
            <v>51389784</v>
          </cell>
          <cell r="AC103">
            <v>1482584</v>
          </cell>
          <cell r="AD103">
            <v>1543959</v>
          </cell>
          <cell r="AE103">
            <v>407321</v>
          </cell>
          <cell r="AF103">
            <v>193477</v>
          </cell>
          <cell r="AG103">
            <v>0</v>
          </cell>
          <cell r="AH103">
            <v>0</v>
          </cell>
          <cell r="AI103">
            <v>570494</v>
          </cell>
          <cell r="AJ103">
            <v>0</v>
          </cell>
          <cell r="AK103">
            <v>1321</v>
          </cell>
          <cell r="AL103">
            <v>4915</v>
          </cell>
          <cell r="AM103">
            <v>664868</v>
          </cell>
          <cell r="AN103">
            <v>2883</v>
          </cell>
          <cell r="AO103">
            <v>8699274</v>
          </cell>
          <cell r="AP103">
            <v>64553559</v>
          </cell>
          <cell r="AQ103">
            <v>0</v>
          </cell>
          <cell r="AR103">
            <v>0</v>
          </cell>
          <cell r="AS103">
            <v>0</v>
          </cell>
          <cell r="AT103">
            <v>0</v>
          </cell>
          <cell r="AU103">
            <v>0</v>
          </cell>
          <cell r="AV103">
            <v>0</v>
          </cell>
          <cell r="AW103">
            <v>0</v>
          </cell>
        </row>
        <row r="105">
          <cell r="C105" t="str">
            <v xml:space="preserve"> MARIN             </v>
          </cell>
          <cell r="D105" t="str">
            <v xml:space="preserve"> MARIN             </v>
          </cell>
          <cell r="E105">
            <v>330</v>
          </cell>
          <cell r="F105" t="str">
            <v xml:space="preserve"> 2015-2016</v>
          </cell>
          <cell r="G105" t="str">
            <v xml:space="preserve"> 11/15/2015</v>
          </cell>
          <cell r="H105">
            <v>42739925</v>
          </cell>
          <cell r="I105">
            <v>1164582</v>
          </cell>
          <cell r="J105">
            <v>919932</v>
          </cell>
          <cell r="K105">
            <v>102265</v>
          </cell>
          <cell r="L105">
            <v>48576</v>
          </cell>
          <cell r="M105">
            <v>0</v>
          </cell>
          <cell r="N105">
            <v>0</v>
          </cell>
          <cell r="O105">
            <v>235798</v>
          </cell>
          <cell r="P105">
            <v>1989</v>
          </cell>
          <cell r="Q105">
            <v>130797</v>
          </cell>
          <cell r="R105">
            <v>0</v>
          </cell>
          <cell r="S105">
            <v>261987</v>
          </cell>
          <cell r="T105">
            <v>2448</v>
          </cell>
          <cell r="U105">
            <v>0</v>
          </cell>
          <cell r="V105" t="str">
            <v xml:space="preserve"> </v>
          </cell>
          <cell r="W105">
            <v>45506034</v>
          </cell>
          <cell r="X105">
            <v>0</v>
          </cell>
          <cell r="Y105">
            <v>0</v>
          </cell>
          <cell r="Z105">
            <v>0</v>
          </cell>
          <cell r="AA105">
            <v>0</v>
          </cell>
          <cell r="AB105">
            <v>45476890</v>
          </cell>
          <cell r="AC105">
            <v>1164582</v>
          </cell>
          <cell r="AD105">
            <v>907507</v>
          </cell>
          <cell r="AE105">
            <v>106658</v>
          </cell>
          <cell r="AF105">
            <v>50663</v>
          </cell>
          <cell r="AG105">
            <v>0</v>
          </cell>
          <cell r="AH105">
            <v>0</v>
          </cell>
          <cell r="AI105">
            <v>247744</v>
          </cell>
          <cell r="AJ105">
            <v>0</v>
          </cell>
          <cell r="AK105">
            <v>130797</v>
          </cell>
          <cell r="AL105">
            <v>0</v>
          </cell>
          <cell r="AM105">
            <v>259461</v>
          </cell>
          <cell r="AN105">
            <v>2180</v>
          </cell>
          <cell r="AO105">
            <v>0</v>
          </cell>
          <cell r="AP105">
            <v>48239824</v>
          </cell>
          <cell r="AQ105">
            <v>0</v>
          </cell>
          <cell r="AR105">
            <v>0</v>
          </cell>
          <cell r="AS105">
            <v>0</v>
          </cell>
          <cell r="AT105">
            <v>0</v>
          </cell>
          <cell r="AU105" t="str">
            <v xml:space="preserve"> </v>
          </cell>
          <cell r="AV105" t="str">
            <v xml:space="preserve"> </v>
          </cell>
          <cell r="AW105" t="str">
            <v xml:space="preserve"> </v>
          </cell>
        </row>
        <row r="106">
          <cell r="C106" t="str">
            <v xml:space="preserve">MARIN Subtotal          </v>
          </cell>
          <cell r="H106">
            <v>42739925</v>
          </cell>
          <cell r="I106">
            <v>1164582</v>
          </cell>
          <cell r="J106">
            <v>919932</v>
          </cell>
          <cell r="K106">
            <v>102265</v>
          </cell>
          <cell r="L106">
            <v>48576</v>
          </cell>
          <cell r="M106">
            <v>0</v>
          </cell>
          <cell r="N106">
            <v>0</v>
          </cell>
          <cell r="O106">
            <v>235798</v>
          </cell>
          <cell r="P106">
            <v>1989</v>
          </cell>
          <cell r="Q106">
            <v>130797</v>
          </cell>
          <cell r="R106">
            <v>0</v>
          </cell>
          <cell r="S106">
            <v>261987</v>
          </cell>
          <cell r="T106">
            <v>2448</v>
          </cell>
          <cell r="U106">
            <v>0</v>
          </cell>
          <cell r="V106">
            <v>0</v>
          </cell>
          <cell r="W106">
            <v>45506034</v>
          </cell>
          <cell r="X106">
            <v>0</v>
          </cell>
          <cell r="Y106">
            <v>0</v>
          </cell>
          <cell r="Z106">
            <v>0</v>
          </cell>
          <cell r="AA106">
            <v>0</v>
          </cell>
          <cell r="AB106">
            <v>45476890</v>
          </cell>
          <cell r="AC106">
            <v>1164582</v>
          </cell>
          <cell r="AD106">
            <v>907507</v>
          </cell>
          <cell r="AE106">
            <v>106658</v>
          </cell>
          <cell r="AF106">
            <v>50663</v>
          </cell>
          <cell r="AG106">
            <v>0</v>
          </cell>
          <cell r="AH106">
            <v>0</v>
          </cell>
          <cell r="AI106">
            <v>247744</v>
          </cell>
          <cell r="AJ106">
            <v>0</v>
          </cell>
          <cell r="AK106">
            <v>130797</v>
          </cell>
          <cell r="AL106">
            <v>0</v>
          </cell>
          <cell r="AM106">
            <v>259461</v>
          </cell>
          <cell r="AN106">
            <v>2180</v>
          </cell>
          <cell r="AO106">
            <v>0</v>
          </cell>
          <cell r="AP106">
            <v>48239824</v>
          </cell>
          <cell r="AQ106">
            <v>0</v>
          </cell>
          <cell r="AR106">
            <v>0</v>
          </cell>
          <cell r="AS106">
            <v>0</v>
          </cell>
          <cell r="AT106">
            <v>0</v>
          </cell>
          <cell r="AU106">
            <v>0</v>
          </cell>
          <cell r="AV106">
            <v>0</v>
          </cell>
          <cell r="AW106">
            <v>0</v>
          </cell>
        </row>
        <row r="108">
          <cell r="C108" t="str">
            <v xml:space="preserve"> MENDOCINO-LAKE    </v>
          </cell>
          <cell r="D108" t="str">
            <v xml:space="preserve"> LAKE              </v>
          </cell>
          <cell r="E108">
            <v>140</v>
          </cell>
          <cell r="F108" t="str">
            <v xml:space="preserve"> 2015-2016</v>
          </cell>
          <cell r="G108" t="str">
            <v xml:space="preserve"> 11/15/2015</v>
          </cell>
          <cell r="H108">
            <v>2044123</v>
          </cell>
          <cell r="I108">
            <v>3298</v>
          </cell>
          <cell r="J108">
            <v>49162</v>
          </cell>
          <cell r="K108">
            <v>34934</v>
          </cell>
          <cell r="L108">
            <v>16594</v>
          </cell>
          <cell r="M108">
            <v>0</v>
          </cell>
          <cell r="N108">
            <v>0</v>
          </cell>
          <cell r="O108">
            <v>96411</v>
          </cell>
          <cell r="P108">
            <v>0</v>
          </cell>
          <cell r="Q108">
            <v>1494</v>
          </cell>
          <cell r="R108">
            <v>935</v>
          </cell>
          <cell r="S108">
            <v>28391</v>
          </cell>
          <cell r="T108">
            <v>15955</v>
          </cell>
          <cell r="U108">
            <v>-29172</v>
          </cell>
          <cell r="V108" t="str">
            <v xml:space="preserve"> </v>
          </cell>
          <cell r="W108">
            <v>2227191</v>
          </cell>
          <cell r="X108">
            <v>0</v>
          </cell>
          <cell r="Y108">
            <v>0</v>
          </cell>
          <cell r="Z108">
            <v>0</v>
          </cell>
          <cell r="AA108">
            <v>0</v>
          </cell>
          <cell r="AB108">
            <v>2075484</v>
          </cell>
          <cell r="AC108">
            <v>2473</v>
          </cell>
          <cell r="AD108">
            <v>49438</v>
          </cell>
          <cell r="AE108">
            <v>34860</v>
          </cell>
          <cell r="AF108">
            <v>16559</v>
          </cell>
          <cell r="AG108">
            <v>0</v>
          </cell>
          <cell r="AH108">
            <v>0</v>
          </cell>
          <cell r="AI108">
            <v>98728</v>
          </cell>
          <cell r="AJ108">
            <v>0</v>
          </cell>
          <cell r="AK108">
            <v>1494</v>
          </cell>
          <cell r="AL108">
            <v>935</v>
          </cell>
          <cell r="AM108">
            <v>27743</v>
          </cell>
          <cell r="AN108">
            <v>15955</v>
          </cell>
          <cell r="AO108">
            <v>133606</v>
          </cell>
          <cell r="AP108">
            <v>2422415</v>
          </cell>
          <cell r="AQ108">
            <v>0</v>
          </cell>
          <cell r="AR108">
            <v>0</v>
          </cell>
          <cell r="AS108">
            <v>0</v>
          </cell>
          <cell r="AT108">
            <v>0</v>
          </cell>
          <cell r="AU108" t="str">
            <v xml:space="preserve"> </v>
          </cell>
          <cell r="AV108" t="str">
            <v xml:space="preserve"> </v>
          </cell>
          <cell r="AW108" t="str">
            <v xml:space="preserve"> </v>
          </cell>
        </row>
        <row r="109">
          <cell r="C109" t="str">
            <v xml:space="preserve"> MENDOCINO-LAKE    </v>
          </cell>
          <cell r="D109" t="str">
            <v xml:space="preserve"> MENDOCINO         </v>
          </cell>
          <cell r="E109">
            <v>140</v>
          </cell>
          <cell r="F109" t="str">
            <v xml:space="preserve"> 2015-2016</v>
          </cell>
          <cell r="G109" t="str">
            <v xml:space="preserve"> 11/15/2015</v>
          </cell>
          <cell r="H109">
            <v>3597027</v>
          </cell>
          <cell r="I109">
            <v>29997</v>
          </cell>
          <cell r="J109">
            <v>132892</v>
          </cell>
          <cell r="K109">
            <v>0</v>
          </cell>
          <cell r="L109">
            <v>0</v>
          </cell>
          <cell r="M109">
            <v>0</v>
          </cell>
          <cell r="N109">
            <v>0</v>
          </cell>
          <cell r="O109">
            <v>298815</v>
          </cell>
          <cell r="P109">
            <v>0</v>
          </cell>
          <cell r="Q109">
            <v>1646</v>
          </cell>
          <cell r="R109">
            <v>13162</v>
          </cell>
          <cell r="S109">
            <v>41960</v>
          </cell>
          <cell r="T109">
            <v>0</v>
          </cell>
          <cell r="U109">
            <v>0</v>
          </cell>
          <cell r="V109" t="str">
            <v xml:space="preserve"> </v>
          </cell>
          <cell r="W109">
            <v>4115499</v>
          </cell>
          <cell r="X109">
            <v>0</v>
          </cell>
          <cell r="Y109">
            <v>0</v>
          </cell>
          <cell r="Z109">
            <v>0</v>
          </cell>
          <cell r="AA109">
            <v>0</v>
          </cell>
          <cell r="AB109">
            <v>3609832</v>
          </cell>
          <cell r="AC109">
            <v>5198</v>
          </cell>
          <cell r="AD109">
            <v>142291</v>
          </cell>
          <cell r="AE109">
            <v>0</v>
          </cell>
          <cell r="AF109">
            <v>0</v>
          </cell>
          <cell r="AG109">
            <v>0</v>
          </cell>
          <cell r="AH109">
            <v>0</v>
          </cell>
          <cell r="AI109">
            <v>187352</v>
          </cell>
          <cell r="AJ109">
            <v>0</v>
          </cell>
          <cell r="AK109">
            <v>6933</v>
          </cell>
          <cell r="AL109">
            <v>13805</v>
          </cell>
          <cell r="AM109">
            <v>40888</v>
          </cell>
          <cell r="AN109">
            <v>0</v>
          </cell>
          <cell r="AO109">
            <v>0</v>
          </cell>
          <cell r="AP109">
            <v>4006299</v>
          </cell>
          <cell r="AQ109">
            <v>0</v>
          </cell>
          <cell r="AR109">
            <v>0</v>
          </cell>
          <cell r="AS109">
            <v>0</v>
          </cell>
          <cell r="AT109">
            <v>0</v>
          </cell>
          <cell r="AU109" t="str">
            <v xml:space="preserve"> </v>
          </cell>
          <cell r="AV109" t="str">
            <v xml:space="preserve"> </v>
          </cell>
          <cell r="AW109" t="str">
            <v xml:space="preserve"> </v>
          </cell>
        </row>
        <row r="110">
          <cell r="C110" t="str">
            <v>MENDOCINO-LAKE Subtotal</v>
          </cell>
          <cell r="H110">
            <v>5641150</v>
          </cell>
          <cell r="I110">
            <v>33295</v>
          </cell>
          <cell r="J110">
            <v>182054</v>
          </cell>
          <cell r="K110">
            <v>34934</v>
          </cell>
          <cell r="L110">
            <v>16594</v>
          </cell>
          <cell r="M110">
            <v>0</v>
          </cell>
          <cell r="N110">
            <v>0</v>
          </cell>
          <cell r="O110">
            <v>395226</v>
          </cell>
          <cell r="P110">
            <v>0</v>
          </cell>
          <cell r="Q110">
            <v>3140</v>
          </cell>
          <cell r="R110">
            <v>14097</v>
          </cell>
          <cell r="S110">
            <v>70351</v>
          </cell>
          <cell r="T110">
            <v>15955</v>
          </cell>
          <cell r="U110">
            <v>-29172</v>
          </cell>
          <cell r="V110">
            <v>0</v>
          </cell>
          <cell r="W110">
            <v>6342690</v>
          </cell>
          <cell r="X110">
            <v>0</v>
          </cell>
          <cell r="Y110">
            <v>0</v>
          </cell>
          <cell r="Z110">
            <v>0</v>
          </cell>
          <cell r="AA110">
            <v>0</v>
          </cell>
          <cell r="AB110">
            <v>5685316</v>
          </cell>
          <cell r="AC110">
            <v>7671</v>
          </cell>
          <cell r="AD110">
            <v>191729</v>
          </cell>
          <cell r="AE110">
            <v>34860</v>
          </cell>
          <cell r="AF110">
            <v>16559</v>
          </cell>
          <cell r="AG110">
            <v>0</v>
          </cell>
          <cell r="AH110">
            <v>0</v>
          </cell>
          <cell r="AI110">
            <v>286080</v>
          </cell>
          <cell r="AJ110">
            <v>0</v>
          </cell>
          <cell r="AK110">
            <v>8427</v>
          </cell>
          <cell r="AL110">
            <v>14740</v>
          </cell>
          <cell r="AM110">
            <v>68631</v>
          </cell>
          <cell r="AN110">
            <v>15955</v>
          </cell>
          <cell r="AO110">
            <v>133606</v>
          </cell>
          <cell r="AP110">
            <v>6428714</v>
          </cell>
          <cell r="AQ110">
            <v>0</v>
          </cell>
          <cell r="AR110">
            <v>0</v>
          </cell>
          <cell r="AS110">
            <v>0</v>
          </cell>
          <cell r="AT110">
            <v>0</v>
          </cell>
          <cell r="AU110">
            <v>0</v>
          </cell>
          <cell r="AV110">
            <v>0</v>
          </cell>
          <cell r="AW110">
            <v>0</v>
          </cell>
        </row>
        <row r="112">
          <cell r="C112" t="str">
            <v xml:space="preserve"> MERCED            </v>
          </cell>
          <cell r="D112" t="str">
            <v xml:space="preserve"> FRESNO            </v>
          </cell>
          <cell r="E112">
            <v>530</v>
          </cell>
          <cell r="F112" t="str">
            <v xml:space="preserve"> 2015-2016</v>
          </cell>
          <cell r="G112" t="str">
            <v xml:space="preserve"> 11/15/2015</v>
          </cell>
          <cell r="H112">
            <v>58530</v>
          </cell>
          <cell r="I112">
            <v>821</v>
          </cell>
          <cell r="J112">
            <v>2601</v>
          </cell>
          <cell r="K112">
            <v>0</v>
          </cell>
          <cell r="L112">
            <v>0</v>
          </cell>
          <cell r="M112">
            <v>0</v>
          </cell>
          <cell r="N112">
            <v>0</v>
          </cell>
          <cell r="O112">
            <v>0</v>
          </cell>
          <cell r="P112">
            <v>0</v>
          </cell>
          <cell r="Q112">
            <v>1306</v>
          </cell>
          <cell r="R112">
            <v>0</v>
          </cell>
          <cell r="S112">
            <v>692</v>
          </cell>
          <cell r="T112">
            <v>0</v>
          </cell>
          <cell r="U112">
            <v>-9819</v>
          </cell>
          <cell r="V112" t="str">
            <v xml:space="preserve"> </v>
          </cell>
          <cell r="W112">
            <v>54131</v>
          </cell>
          <cell r="X112">
            <v>0</v>
          </cell>
          <cell r="Y112">
            <v>0</v>
          </cell>
          <cell r="Z112">
            <v>0</v>
          </cell>
          <cell r="AA112">
            <v>0</v>
          </cell>
          <cell r="AB112">
            <v>59700</v>
          </cell>
          <cell r="AC112">
            <v>821</v>
          </cell>
          <cell r="AD112">
            <v>2601</v>
          </cell>
          <cell r="AE112">
            <v>0</v>
          </cell>
          <cell r="AF112">
            <v>0</v>
          </cell>
          <cell r="AG112">
            <v>0</v>
          </cell>
          <cell r="AH112">
            <v>0</v>
          </cell>
          <cell r="AI112">
            <v>0</v>
          </cell>
          <cell r="AJ112">
            <v>0</v>
          </cell>
          <cell r="AK112">
            <v>1306</v>
          </cell>
          <cell r="AL112">
            <v>0</v>
          </cell>
          <cell r="AM112">
            <v>692</v>
          </cell>
          <cell r="AN112">
            <v>0</v>
          </cell>
          <cell r="AO112">
            <v>-4136</v>
          </cell>
          <cell r="AP112">
            <v>60984</v>
          </cell>
          <cell r="AQ112">
            <v>0</v>
          </cell>
          <cell r="AR112">
            <v>0</v>
          </cell>
          <cell r="AS112">
            <v>0</v>
          </cell>
          <cell r="AT112">
            <v>0</v>
          </cell>
          <cell r="AU112" t="str">
            <v xml:space="preserve"> </v>
          </cell>
          <cell r="AV112" t="str">
            <v xml:space="preserve"> </v>
          </cell>
          <cell r="AW112" t="str">
            <v xml:space="preserve"> </v>
          </cell>
        </row>
        <row r="113">
          <cell r="C113" t="str">
            <v xml:space="preserve"> MERCED            </v>
          </cell>
          <cell r="D113" t="str">
            <v xml:space="preserve"> MADERA            </v>
          </cell>
          <cell r="E113">
            <v>530</v>
          </cell>
          <cell r="F113" t="str">
            <v xml:space="preserve"> 2015-2016</v>
          </cell>
          <cell r="G113" t="str">
            <v xml:space="preserve"> 11/15/2015</v>
          </cell>
          <cell r="H113">
            <v>1207896</v>
          </cell>
          <cell r="I113">
            <v>7840</v>
          </cell>
          <cell r="J113">
            <v>24745</v>
          </cell>
          <cell r="K113">
            <v>22892</v>
          </cell>
          <cell r="L113">
            <v>10874</v>
          </cell>
          <cell r="M113">
            <v>0</v>
          </cell>
          <cell r="N113">
            <v>0</v>
          </cell>
          <cell r="O113">
            <v>34356</v>
          </cell>
          <cell r="P113">
            <v>0</v>
          </cell>
          <cell r="Q113">
            <v>-7617</v>
          </cell>
          <cell r="R113">
            <v>0</v>
          </cell>
          <cell r="S113">
            <v>14386</v>
          </cell>
          <cell r="T113">
            <v>0</v>
          </cell>
          <cell r="U113">
            <v>-222855</v>
          </cell>
          <cell r="V113" t="str">
            <v xml:space="preserve"> </v>
          </cell>
          <cell r="W113">
            <v>1069625</v>
          </cell>
          <cell r="X113">
            <v>0</v>
          </cell>
          <cell r="Y113">
            <v>0</v>
          </cell>
          <cell r="Z113">
            <v>0</v>
          </cell>
          <cell r="AA113">
            <v>0</v>
          </cell>
          <cell r="AB113">
            <v>1284154</v>
          </cell>
          <cell r="AC113">
            <v>0</v>
          </cell>
          <cell r="AD113">
            <v>32680</v>
          </cell>
          <cell r="AE113">
            <v>23926</v>
          </cell>
          <cell r="AF113">
            <v>11365</v>
          </cell>
          <cell r="AG113">
            <v>0</v>
          </cell>
          <cell r="AH113">
            <v>0</v>
          </cell>
          <cell r="AI113">
            <v>0</v>
          </cell>
          <cell r="AJ113">
            <v>0</v>
          </cell>
          <cell r="AK113">
            <v>-34328</v>
          </cell>
          <cell r="AL113">
            <v>0</v>
          </cell>
          <cell r="AM113">
            <v>14409</v>
          </cell>
          <cell r="AN113">
            <v>0</v>
          </cell>
          <cell r="AO113">
            <v>-172884</v>
          </cell>
          <cell r="AP113">
            <v>1135396</v>
          </cell>
          <cell r="AQ113">
            <v>0</v>
          </cell>
          <cell r="AR113">
            <v>0</v>
          </cell>
          <cell r="AS113">
            <v>0</v>
          </cell>
          <cell r="AT113">
            <v>0</v>
          </cell>
          <cell r="AU113" t="str">
            <v xml:space="preserve"> </v>
          </cell>
          <cell r="AV113" t="str">
            <v xml:space="preserve"> </v>
          </cell>
          <cell r="AW113" t="str">
            <v xml:space="preserve"> </v>
          </cell>
        </row>
        <row r="114">
          <cell r="C114" t="str">
            <v xml:space="preserve"> MERCED            </v>
          </cell>
          <cell r="D114" t="str">
            <v xml:space="preserve"> MERCED            </v>
          </cell>
          <cell r="E114">
            <v>530</v>
          </cell>
          <cell r="F114" t="str">
            <v xml:space="preserve"> 2015-2016</v>
          </cell>
          <cell r="G114" t="str">
            <v xml:space="preserve"> 11/15/2015</v>
          </cell>
          <cell r="H114">
            <v>7829381</v>
          </cell>
          <cell r="I114">
            <v>159563</v>
          </cell>
          <cell r="J114">
            <v>606279</v>
          </cell>
          <cell r="K114">
            <v>135662</v>
          </cell>
          <cell r="L114">
            <v>64439</v>
          </cell>
          <cell r="M114">
            <v>0</v>
          </cell>
          <cell r="N114">
            <v>0</v>
          </cell>
          <cell r="O114">
            <v>168621</v>
          </cell>
          <cell r="P114">
            <v>0</v>
          </cell>
          <cell r="Q114">
            <v>21588</v>
          </cell>
          <cell r="R114">
            <v>8</v>
          </cell>
          <cell r="S114">
            <v>94176</v>
          </cell>
          <cell r="T114">
            <v>7024</v>
          </cell>
          <cell r="U114">
            <v>-630733</v>
          </cell>
          <cell r="V114" t="str">
            <v xml:space="preserve"> </v>
          </cell>
          <cell r="W114">
            <v>8320346</v>
          </cell>
          <cell r="X114">
            <v>0</v>
          </cell>
          <cell r="Y114">
            <v>0</v>
          </cell>
          <cell r="Z114">
            <v>0</v>
          </cell>
          <cell r="AA114">
            <v>0</v>
          </cell>
          <cell r="AB114">
            <v>8220850</v>
          </cell>
          <cell r="AC114">
            <v>167541</v>
          </cell>
          <cell r="AD114">
            <v>636592</v>
          </cell>
          <cell r="AE114">
            <v>142445</v>
          </cell>
          <cell r="AF114">
            <v>67661</v>
          </cell>
          <cell r="AG114">
            <v>0</v>
          </cell>
          <cell r="AH114">
            <v>0</v>
          </cell>
          <cell r="AI114">
            <v>177052</v>
          </cell>
          <cell r="AJ114">
            <v>0</v>
          </cell>
          <cell r="AK114">
            <v>22667</v>
          </cell>
          <cell r="AL114">
            <v>9</v>
          </cell>
          <cell r="AM114">
            <v>98884</v>
          </cell>
          <cell r="AN114">
            <v>7375</v>
          </cell>
          <cell r="AO114">
            <v>-662269</v>
          </cell>
          <cell r="AP114">
            <v>8736362</v>
          </cell>
          <cell r="AQ114">
            <v>0</v>
          </cell>
          <cell r="AR114">
            <v>0</v>
          </cell>
          <cell r="AS114">
            <v>0</v>
          </cell>
          <cell r="AT114">
            <v>0</v>
          </cell>
          <cell r="AU114" t="str">
            <v xml:space="preserve"> </v>
          </cell>
          <cell r="AV114" t="str">
            <v xml:space="preserve"> </v>
          </cell>
          <cell r="AW114" t="str">
            <v xml:space="preserve"> </v>
          </cell>
        </row>
        <row r="115">
          <cell r="C115" t="str">
            <v xml:space="preserve">MERCED Subtotal            </v>
          </cell>
          <cell r="H115">
            <v>9095807</v>
          </cell>
          <cell r="I115">
            <v>168224</v>
          </cell>
          <cell r="J115">
            <v>633625</v>
          </cell>
          <cell r="K115">
            <v>158554</v>
          </cell>
          <cell r="L115">
            <v>75313</v>
          </cell>
          <cell r="M115">
            <v>0</v>
          </cell>
          <cell r="N115">
            <v>0</v>
          </cell>
          <cell r="O115">
            <v>202977</v>
          </cell>
          <cell r="P115">
            <v>0</v>
          </cell>
          <cell r="Q115">
            <v>15277</v>
          </cell>
          <cell r="R115">
            <v>8</v>
          </cell>
          <cell r="S115">
            <v>109254</v>
          </cell>
          <cell r="T115">
            <v>7024</v>
          </cell>
          <cell r="U115">
            <v>-863407</v>
          </cell>
          <cell r="V115">
            <v>0</v>
          </cell>
          <cell r="W115">
            <v>9444102</v>
          </cell>
          <cell r="X115">
            <v>0</v>
          </cell>
          <cell r="Y115">
            <v>0</v>
          </cell>
          <cell r="Z115">
            <v>0</v>
          </cell>
          <cell r="AA115">
            <v>0</v>
          </cell>
          <cell r="AB115">
            <v>9564704</v>
          </cell>
          <cell r="AC115">
            <v>168362</v>
          </cell>
          <cell r="AD115">
            <v>671873</v>
          </cell>
          <cell r="AE115">
            <v>166371</v>
          </cell>
          <cell r="AF115">
            <v>79026</v>
          </cell>
          <cell r="AG115">
            <v>0</v>
          </cell>
          <cell r="AH115">
            <v>0</v>
          </cell>
          <cell r="AI115">
            <v>177052</v>
          </cell>
          <cell r="AJ115">
            <v>0</v>
          </cell>
          <cell r="AK115">
            <v>-10355</v>
          </cell>
          <cell r="AL115">
            <v>9</v>
          </cell>
          <cell r="AM115">
            <v>113985</v>
          </cell>
          <cell r="AN115">
            <v>7375</v>
          </cell>
          <cell r="AO115">
            <v>-839289</v>
          </cell>
          <cell r="AP115">
            <v>9932742</v>
          </cell>
          <cell r="AQ115">
            <v>0</v>
          </cell>
          <cell r="AR115">
            <v>0</v>
          </cell>
          <cell r="AS115">
            <v>0</v>
          </cell>
          <cell r="AT115">
            <v>0</v>
          </cell>
          <cell r="AU115">
            <v>0</v>
          </cell>
          <cell r="AV115">
            <v>0</v>
          </cell>
          <cell r="AW115">
            <v>0</v>
          </cell>
        </row>
        <row r="117">
          <cell r="C117" t="str">
            <v xml:space="preserve"> MIRA COSTA        </v>
          </cell>
          <cell r="D117" t="str">
            <v xml:space="preserve"> SAN DIEGO         </v>
          </cell>
          <cell r="E117">
            <v>50</v>
          </cell>
          <cell r="F117" t="str">
            <v xml:space="preserve"> 2015-2016</v>
          </cell>
          <cell r="G117" t="str">
            <v xml:space="preserve"> 11/15/2015</v>
          </cell>
          <cell r="H117">
            <v>78286425</v>
          </cell>
          <cell r="I117">
            <v>1813146</v>
          </cell>
          <cell r="J117">
            <v>2670801</v>
          </cell>
          <cell r="K117">
            <v>188113</v>
          </cell>
          <cell r="L117">
            <v>89354</v>
          </cell>
          <cell r="M117">
            <v>0</v>
          </cell>
          <cell r="N117">
            <v>0</v>
          </cell>
          <cell r="O117">
            <v>658003</v>
          </cell>
          <cell r="P117">
            <v>0</v>
          </cell>
          <cell r="Q117">
            <v>-65292</v>
          </cell>
          <cell r="R117">
            <v>0</v>
          </cell>
          <cell r="S117">
            <v>674712</v>
          </cell>
          <cell r="T117">
            <v>0</v>
          </cell>
          <cell r="U117">
            <v>0</v>
          </cell>
          <cell r="V117" t="str">
            <v xml:space="preserve"> </v>
          </cell>
          <cell r="W117">
            <v>84127149</v>
          </cell>
          <cell r="X117">
            <v>0</v>
          </cell>
          <cell r="Y117">
            <v>0</v>
          </cell>
          <cell r="Z117">
            <v>0</v>
          </cell>
          <cell r="AA117">
            <v>0</v>
          </cell>
          <cell r="AB117">
            <v>81851774</v>
          </cell>
          <cell r="AC117">
            <v>1715539</v>
          </cell>
          <cell r="AD117">
            <v>2722653</v>
          </cell>
          <cell r="AE117">
            <v>93860</v>
          </cell>
          <cell r="AF117">
            <v>44584</v>
          </cell>
          <cell r="AG117">
            <v>0</v>
          </cell>
          <cell r="AH117">
            <v>0</v>
          </cell>
          <cell r="AI117">
            <v>0</v>
          </cell>
          <cell r="AJ117">
            <v>0</v>
          </cell>
          <cell r="AK117">
            <v>-40547</v>
          </cell>
          <cell r="AL117">
            <v>0</v>
          </cell>
          <cell r="AM117">
            <v>665182</v>
          </cell>
          <cell r="AN117">
            <v>0</v>
          </cell>
          <cell r="AO117">
            <v>0</v>
          </cell>
          <cell r="AP117">
            <v>86959185</v>
          </cell>
          <cell r="AQ117">
            <v>0</v>
          </cell>
          <cell r="AR117">
            <v>0</v>
          </cell>
          <cell r="AS117">
            <v>0</v>
          </cell>
          <cell r="AT117">
            <v>0</v>
          </cell>
          <cell r="AU117" t="str">
            <v xml:space="preserve"> </v>
          </cell>
          <cell r="AV117" t="str">
            <v xml:space="preserve"> </v>
          </cell>
          <cell r="AW117" t="str">
            <v xml:space="preserve"> </v>
          </cell>
        </row>
        <row r="118">
          <cell r="C118" t="str">
            <v>MIRA COSTA Subtotal</v>
          </cell>
          <cell r="H118">
            <v>78286425</v>
          </cell>
          <cell r="I118">
            <v>1813146</v>
          </cell>
          <cell r="J118">
            <v>2670801</v>
          </cell>
          <cell r="K118">
            <v>188113</v>
          </cell>
          <cell r="L118">
            <v>89354</v>
          </cell>
          <cell r="M118">
            <v>0</v>
          </cell>
          <cell r="N118">
            <v>0</v>
          </cell>
          <cell r="O118">
            <v>658003</v>
          </cell>
          <cell r="P118">
            <v>0</v>
          </cell>
          <cell r="Q118">
            <v>-65292</v>
          </cell>
          <cell r="R118">
            <v>0</v>
          </cell>
          <cell r="S118">
            <v>674712</v>
          </cell>
          <cell r="T118">
            <v>0</v>
          </cell>
          <cell r="U118">
            <v>0</v>
          </cell>
          <cell r="V118">
            <v>0</v>
          </cell>
          <cell r="W118">
            <v>84127149</v>
          </cell>
          <cell r="X118">
            <v>0</v>
          </cell>
          <cell r="Y118">
            <v>0</v>
          </cell>
          <cell r="Z118">
            <v>0</v>
          </cell>
          <cell r="AA118">
            <v>0</v>
          </cell>
          <cell r="AB118">
            <v>81851774</v>
          </cell>
          <cell r="AC118">
            <v>1715539</v>
          </cell>
          <cell r="AD118">
            <v>2722653</v>
          </cell>
          <cell r="AE118">
            <v>93860</v>
          </cell>
          <cell r="AF118">
            <v>44584</v>
          </cell>
          <cell r="AG118">
            <v>0</v>
          </cell>
          <cell r="AH118">
            <v>0</v>
          </cell>
          <cell r="AI118">
            <v>0</v>
          </cell>
          <cell r="AJ118">
            <v>0</v>
          </cell>
          <cell r="AK118">
            <v>-40547</v>
          </cell>
          <cell r="AL118">
            <v>0</v>
          </cell>
          <cell r="AM118">
            <v>665182</v>
          </cell>
          <cell r="AN118">
            <v>0</v>
          </cell>
          <cell r="AO118">
            <v>0</v>
          </cell>
          <cell r="AP118">
            <v>86959185</v>
          </cell>
          <cell r="AQ118">
            <v>0</v>
          </cell>
          <cell r="AR118">
            <v>0</v>
          </cell>
          <cell r="AS118">
            <v>0</v>
          </cell>
          <cell r="AT118">
            <v>0</v>
          </cell>
          <cell r="AU118">
            <v>0</v>
          </cell>
          <cell r="AV118">
            <v>0</v>
          </cell>
          <cell r="AW118">
            <v>0</v>
          </cell>
        </row>
        <row r="120">
          <cell r="C120" t="str">
            <v xml:space="preserve"> MONTEREY PENINSULA</v>
          </cell>
          <cell r="D120" t="str">
            <v xml:space="preserve"> MONTEREY          </v>
          </cell>
          <cell r="E120">
            <v>460</v>
          </cell>
          <cell r="F120" t="str">
            <v xml:space="preserve"> 2015-2016</v>
          </cell>
          <cell r="G120" t="str">
            <v xml:space="preserve"> 11/15/2015</v>
          </cell>
          <cell r="H120">
            <v>14577695</v>
          </cell>
          <cell r="I120">
            <v>284586</v>
          </cell>
          <cell r="J120">
            <v>581584</v>
          </cell>
          <cell r="K120">
            <v>87121</v>
          </cell>
          <cell r="L120">
            <v>41382</v>
          </cell>
          <cell r="M120">
            <v>0</v>
          </cell>
          <cell r="N120">
            <v>0</v>
          </cell>
          <cell r="O120">
            <v>630780</v>
          </cell>
          <cell r="P120">
            <v>2332</v>
          </cell>
          <cell r="Q120">
            <v>246709</v>
          </cell>
          <cell r="R120">
            <v>0</v>
          </cell>
          <cell r="S120">
            <v>86817</v>
          </cell>
          <cell r="T120">
            <v>0</v>
          </cell>
          <cell r="U120">
            <v>539540</v>
          </cell>
          <cell r="V120" t="str">
            <v xml:space="preserve"> </v>
          </cell>
          <cell r="W120">
            <v>16991425</v>
          </cell>
          <cell r="X120">
            <v>0</v>
          </cell>
          <cell r="Y120">
            <v>0</v>
          </cell>
          <cell r="Z120">
            <v>0</v>
          </cell>
          <cell r="AA120">
            <v>0</v>
          </cell>
          <cell r="AB120">
            <v>14934101</v>
          </cell>
          <cell r="AC120">
            <v>176023</v>
          </cell>
          <cell r="AD120">
            <v>607391</v>
          </cell>
          <cell r="AE120">
            <v>87121</v>
          </cell>
          <cell r="AF120">
            <v>41382</v>
          </cell>
          <cell r="AG120">
            <v>0</v>
          </cell>
          <cell r="AH120">
            <v>0</v>
          </cell>
          <cell r="AI120">
            <v>630780</v>
          </cell>
          <cell r="AJ120">
            <v>0</v>
          </cell>
          <cell r="AK120">
            <v>142754</v>
          </cell>
          <cell r="AL120">
            <v>0</v>
          </cell>
          <cell r="AM120">
            <v>86904</v>
          </cell>
          <cell r="AN120">
            <v>0</v>
          </cell>
          <cell r="AO120">
            <v>768731</v>
          </cell>
          <cell r="AP120">
            <v>17388066</v>
          </cell>
          <cell r="AQ120">
            <v>0</v>
          </cell>
          <cell r="AR120">
            <v>0</v>
          </cell>
          <cell r="AS120">
            <v>0</v>
          </cell>
          <cell r="AT120">
            <v>0</v>
          </cell>
          <cell r="AU120" t="str">
            <v xml:space="preserve"> </v>
          </cell>
          <cell r="AV120" t="str">
            <v xml:space="preserve"> </v>
          </cell>
          <cell r="AW120" t="str">
            <v xml:space="preserve"> </v>
          </cell>
        </row>
        <row r="121">
          <cell r="C121" t="str">
            <v>MONTEREY PENINSULA Subtotal</v>
          </cell>
          <cell r="H121">
            <v>14577695</v>
          </cell>
          <cell r="I121">
            <v>284586</v>
          </cell>
          <cell r="J121">
            <v>581584</v>
          </cell>
          <cell r="K121">
            <v>87121</v>
          </cell>
          <cell r="L121">
            <v>41382</v>
          </cell>
          <cell r="M121">
            <v>0</v>
          </cell>
          <cell r="N121">
            <v>0</v>
          </cell>
          <cell r="O121">
            <v>630780</v>
          </cell>
          <cell r="P121">
            <v>2332</v>
          </cell>
          <cell r="Q121">
            <v>246709</v>
          </cell>
          <cell r="R121">
            <v>0</v>
          </cell>
          <cell r="S121">
            <v>86817</v>
          </cell>
          <cell r="T121">
            <v>0</v>
          </cell>
          <cell r="U121">
            <v>539540</v>
          </cell>
          <cell r="V121">
            <v>0</v>
          </cell>
          <cell r="W121">
            <v>16991425</v>
          </cell>
          <cell r="X121">
            <v>0</v>
          </cell>
          <cell r="Y121">
            <v>0</v>
          </cell>
          <cell r="Z121">
            <v>0</v>
          </cell>
          <cell r="AA121">
            <v>0</v>
          </cell>
          <cell r="AB121">
            <v>14934101</v>
          </cell>
          <cell r="AC121">
            <v>176023</v>
          </cell>
          <cell r="AD121">
            <v>607391</v>
          </cell>
          <cell r="AE121">
            <v>87121</v>
          </cell>
          <cell r="AF121">
            <v>41382</v>
          </cell>
          <cell r="AG121">
            <v>0</v>
          </cell>
          <cell r="AH121">
            <v>0</v>
          </cell>
          <cell r="AI121">
            <v>630780</v>
          </cell>
          <cell r="AJ121">
            <v>0</v>
          </cell>
          <cell r="AK121">
            <v>142754</v>
          </cell>
          <cell r="AL121">
            <v>0</v>
          </cell>
          <cell r="AM121">
            <v>86904</v>
          </cell>
          <cell r="AN121">
            <v>0</v>
          </cell>
          <cell r="AO121">
            <v>768731</v>
          </cell>
          <cell r="AP121">
            <v>17388066</v>
          </cell>
          <cell r="AQ121">
            <v>0</v>
          </cell>
          <cell r="AR121">
            <v>0</v>
          </cell>
          <cell r="AS121">
            <v>0</v>
          </cell>
          <cell r="AT121">
            <v>0</v>
          </cell>
          <cell r="AU121">
            <v>0</v>
          </cell>
          <cell r="AV121">
            <v>0</v>
          </cell>
          <cell r="AW121">
            <v>0</v>
          </cell>
        </row>
        <row r="123">
          <cell r="C123" t="str">
            <v xml:space="preserve"> MT SAN ANTONIO    </v>
          </cell>
          <cell r="D123" t="str">
            <v xml:space="preserve"> LOS ANGELES       </v>
          </cell>
          <cell r="E123">
            <v>850</v>
          </cell>
          <cell r="F123" t="str">
            <v xml:space="preserve"> 2015-2016</v>
          </cell>
          <cell r="G123" t="str">
            <v xml:space="preserve"> 11/15/2015</v>
          </cell>
          <cell r="H123">
            <v>17324120</v>
          </cell>
          <cell r="I123">
            <v>516172</v>
          </cell>
          <cell r="J123">
            <v>417380</v>
          </cell>
          <cell r="K123">
            <v>820619</v>
          </cell>
          <cell r="L123">
            <v>389794</v>
          </cell>
          <cell r="M123">
            <v>0</v>
          </cell>
          <cell r="N123">
            <v>0</v>
          </cell>
          <cell r="O123">
            <v>809150</v>
          </cell>
          <cell r="P123">
            <v>0</v>
          </cell>
          <cell r="Q123">
            <v>412153</v>
          </cell>
          <cell r="R123">
            <v>0</v>
          </cell>
          <cell r="S123">
            <v>129721</v>
          </cell>
          <cell r="T123">
            <v>0</v>
          </cell>
          <cell r="U123">
            <v>3898947</v>
          </cell>
          <cell r="V123" t="str">
            <v xml:space="preserve"> </v>
          </cell>
          <cell r="W123">
            <v>23897437</v>
          </cell>
          <cell r="X123">
            <v>0</v>
          </cell>
          <cell r="Y123">
            <v>0</v>
          </cell>
          <cell r="Z123">
            <v>0</v>
          </cell>
          <cell r="AA123">
            <v>0</v>
          </cell>
          <cell r="AB123">
            <v>18164340</v>
          </cell>
          <cell r="AC123">
            <v>645215</v>
          </cell>
          <cell r="AD123">
            <v>417000</v>
          </cell>
          <cell r="AE123">
            <v>171495</v>
          </cell>
          <cell r="AF123">
            <v>81460</v>
          </cell>
          <cell r="AG123">
            <v>0</v>
          </cell>
          <cell r="AH123">
            <v>0</v>
          </cell>
          <cell r="AI123">
            <v>958836</v>
          </cell>
          <cell r="AJ123">
            <v>0</v>
          </cell>
          <cell r="AK123">
            <v>419313</v>
          </cell>
          <cell r="AL123">
            <v>0</v>
          </cell>
          <cell r="AM123">
            <v>129700</v>
          </cell>
          <cell r="AN123">
            <v>0</v>
          </cell>
          <cell r="AO123">
            <v>0</v>
          </cell>
          <cell r="AP123">
            <v>20815864</v>
          </cell>
          <cell r="AQ123">
            <v>0</v>
          </cell>
          <cell r="AR123">
            <v>0</v>
          </cell>
          <cell r="AS123">
            <v>0</v>
          </cell>
          <cell r="AT123">
            <v>0</v>
          </cell>
          <cell r="AU123" t="str">
            <v xml:space="preserve"> </v>
          </cell>
          <cell r="AV123" t="str">
            <v xml:space="preserve"> </v>
          </cell>
          <cell r="AW123" t="str">
            <v xml:space="preserve"> </v>
          </cell>
        </row>
        <row r="124">
          <cell r="C124" t="str">
            <v xml:space="preserve">MT SAN ANTONIO Subtotal    </v>
          </cell>
          <cell r="H124">
            <v>17324120</v>
          </cell>
          <cell r="I124">
            <v>516172</v>
          </cell>
          <cell r="J124">
            <v>417380</v>
          </cell>
          <cell r="K124">
            <v>820619</v>
          </cell>
          <cell r="L124">
            <v>389794</v>
          </cell>
          <cell r="M124">
            <v>0</v>
          </cell>
          <cell r="N124">
            <v>0</v>
          </cell>
          <cell r="O124">
            <v>809150</v>
          </cell>
          <cell r="P124">
            <v>0</v>
          </cell>
          <cell r="Q124">
            <v>412153</v>
          </cell>
          <cell r="R124">
            <v>0</v>
          </cell>
          <cell r="S124">
            <v>129721</v>
          </cell>
          <cell r="T124">
            <v>0</v>
          </cell>
          <cell r="U124">
            <v>3898947</v>
          </cell>
          <cell r="V124">
            <v>0</v>
          </cell>
          <cell r="W124">
            <v>23897437</v>
          </cell>
          <cell r="X124">
            <v>0</v>
          </cell>
          <cell r="Y124">
            <v>0</v>
          </cell>
          <cell r="Z124">
            <v>0</v>
          </cell>
          <cell r="AA124">
            <v>0</v>
          </cell>
          <cell r="AB124">
            <v>18164340</v>
          </cell>
          <cell r="AC124">
            <v>645215</v>
          </cell>
          <cell r="AD124">
            <v>417000</v>
          </cell>
          <cell r="AE124">
            <v>171495</v>
          </cell>
          <cell r="AF124">
            <v>81460</v>
          </cell>
          <cell r="AG124">
            <v>0</v>
          </cell>
          <cell r="AH124">
            <v>0</v>
          </cell>
          <cell r="AI124">
            <v>958836</v>
          </cell>
          <cell r="AJ124">
            <v>0</v>
          </cell>
          <cell r="AK124">
            <v>419313</v>
          </cell>
          <cell r="AL124">
            <v>0</v>
          </cell>
          <cell r="AM124">
            <v>129700</v>
          </cell>
          <cell r="AN124">
            <v>0</v>
          </cell>
          <cell r="AO124">
            <v>0</v>
          </cell>
          <cell r="AP124">
            <v>20815864</v>
          </cell>
          <cell r="AQ124">
            <v>0</v>
          </cell>
          <cell r="AR124">
            <v>0</v>
          </cell>
          <cell r="AS124">
            <v>0</v>
          </cell>
          <cell r="AT124">
            <v>0</v>
          </cell>
          <cell r="AU124">
            <v>0</v>
          </cell>
          <cell r="AV124">
            <v>0</v>
          </cell>
          <cell r="AW124">
            <v>0</v>
          </cell>
        </row>
        <row r="126">
          <cell r="C126" t="str">
            <v xml:space="preserve"> MT SAN JACINTO    </v>
          </cell>
          <cell r="D126" t="str">
            <v xml:space="preserve"> RIVERSIDE         </v>
          </cell>
          <cell r="E126">
            <v>940</v>
          </cell>
          <cell r="F126" t="str">
            <v xml:space="preserve"> 2015-2016</v>
          </cell>
          <cell r="G126" t="str">
            <v xml:space="preserve"> 11/15/2015</v>
          </cell>
          <cell r="H126">
            <v>23125086</v>
          </cell>
          <cell r="I126">
            <v>491256</v>
          </cell>
          <cell r="J126">
            <v>1034248</v>
          </cell>
          <cell r="K126">
            <v>458653</v>
          </cell>
          <cell r="L126">
            <v>217860</v>
          </cell>
          <cell r="M126">
            <v>0</v>
          </cell>
          <cell r="N126">
            <v>0</v>
          </cell>
          <cell r="O126">
            <v>1159214</v>
          </cell>
          <cell r="P126">
            <v>0</v>
          </cell>
          <cell r="Q126">
            <v>719499</v>
          </cell>
          <cell r="R126">
            <v>0</v>
          </cell>
          <cell r="S126">
            <v>319001</v>
          </cell>
          <cell r="T126">
            <v>461</v>
          </cell>
          <cell r="U126">
            <v>-4407735</v>
          </cell>
          <cell r="V126" t="str">
            <v xml:space="preserve"> </v>
          </cell>
          <cell r="W126">
            <v>22658890</v>
          </cell>
          <cell r="X126">
            <v>0</v>
          </cell>
          <cell r="Y126">
            <v>0</v>
          </cell>
          <cell r="Z126">
            <v>0</v>
          </cell>
          <cell r="AA126">
            <v>0</v>
          </cell>
          <cell r="AB126">
            <v>23548746</v>
          </cell>
          <cell r="AC126">
            <v>572373</v>
          </cell>
          <cell r="AD126">
            <v>1023790</v>
          </cell>
          <cell r="AE126">
            <v>480236</v>
          </cell>
          <cell r="AF126">
            <v>228112</v>
          </cell>
          <cell r="AG126">
            <v>0</v>
          </cell>
          <cell r="AH126">
            <v>0</v>
          </cell>
          <cell r="AI126">
            <v>0</v>
          </cell>
          <cell r="AJ126">
            <v>13529</v>
          </cell>
          <cell r="AK126">
            <v>631591</v>
          </cell>
          <cell r="AL126">
            <v>0</v>
          </cell>
          <cell r="AM126">
            <v>319968</v>
          </cell>
          <cell r="AN126">
            <v>0</v>
          </cell>
          <cell r="AO126">
            <v>-3292597</v>
          </cell>
          <cell r="AP126">
            <v>23045512</v>
          </cell>
          <cell r="AQ126">
            <v>0</v>
          </cell>
          <cell r="AR126">
            <v>0</v>
          </cell>
          <cell r="AS126">
            <v>0</v>
          </cell>
          <cell r="AT126">
            <v>0</v>
          </cell>
          <cell r="AU126" t="str">
            <v xml:space="preserve"> </v>
          </cell>
          <cell r="AV126" t="str">
            <v xml:space="preserve"> </v>
          </cell>
          <cell r="AW126" t="str">
            <v xml:space="preserve"> </v>
          </cell>
        </row>
        <row r="127">
          <cell r="C127" t="str">
            <v>MT SAN JACINTO Subtotal</v>
          </cell>
          <cell r="H127">
            <v>23125086</v>
          </cell>
          <cell r="I127">
            <v>491256</v>
          </cell>
          <cell r="J127">
            <v>1034248</v>
          </cell>
          <cell r="K127">
            <v>458653</v>
          </cell>
          <cell r="L127">
            <v>217860</v>
          </cell>
          <cell r="M127">
            <v>0</v>
          </cell>
          <cell r="N127">
            <v>0</v>
          </cell>
          <cell r="O127">
            <v>1159214</v>
          </cell>
          <cell r="P127">
            <v>0</v>
          </cell>
          <cell r="Q127">
            <v>719499</v>
          </cell>
          <cell r="R127">
            <v>0</v>
          </cell>
          <cell r="S127">
            <v>319001</v>
          </cell>
          <cell r="T127">
            <v>461</v>
          </cell>
          <cell r="U127">
            <v>-4407735</v>
          </cell>
          <cell r="V127">
            <v>0</v>
          </cell>
          <cell r="W127">
            <v>22658890</v>
          </cell>
          <cell r="X127">
            <v>0</v>
          </cell>
          <cell r="Y127">
            <v>0</v>
          </cell>
          <cell r="Z127">
            <v>0</v>
          </cell>
          <cell r="AA127">
            <v>0</v>
          </cell>
          <cell r="AB127">
            <v>23548746</v>
          </cell>
          <cell r="AC127">
            <v>572373</v>
          </cell>
          <cell r="AD127">
            <v>1023790</v>
          </cell>
          <cell r="AE127">
            <v>480236</v>
          </cell>
          <cell r="AF127">
            <v>228112</v>
          </cell>
          <cell r="AG127">
            <v>0</v>
          </cell>
          <cell r="AH127">
            <v>0</v>
          </cell>
          <cell r="AI127">
            <v>0</v>
          </cell>
          <cell r="AJ127">
            <v>13529</v>
          </cell>
          <cell r="AK127">
            <v>631591</v>
          </cell>
          <cell r="AL127">
            <v>0</v>
          </cell>
          <cell r="AM127">
            <v>319968</v>
          </cell>
          <cell r="AN127">
            <v>0</v>
          </cell>
          <cell r="AO127">
            <v>-3292597</v>
          </cell>
          <cell r="AP127">
            <v>23045512</v>
          </cell>
          <cell r="AQ127">
            <v>0</v>
          </cell>
          <cell r="AR127">
            <v>0</v>
          </cell>
          <cell r="AS127">
            <v>0</v>
          </cell>
          <cell r="AT127">
            <v>0</v>
          </cell>
          <cell r="AU127">
            <v>0</v>
          </cell>
          <cell r="AV127">
            <v>0</v>
          </cell>
          <cell r="AW127">
            <v>0</v>
          </cell>
        </row>
        <row r="129">
          <cell r="C129" t="str">
            <v xml:space="preserve"> NAPA VALLEY       </v>
          </cell>
          <cell r="D129" t="str">
            <v xml:space="preserve"> NAPA              </v>
          </cell>
          <cell r="E129">
            <v>240</v>
          </cell>
          <cell r="F129" t="str">
            <v xml:space="preserve"> 2015-2016</v>
          </cell>
          <cell r="G129" t="str">
            <v xml:space="preserve"> 11/15/2015</v>
          </cell>
          <cell r="H129">
            <v>23691093</v>
          </cell>
          <cell r="I129">
            <v>473487</v>
          </cell>
          <cell r="J129">
            <v>966556</v>
          </cell>
          <cell r="K129">
            <v>85347</v>
          </cell>
          <cell r="L129">
            <v>40540</v>
          </cell>
          <cell r="M129">
            <v>0</v>
          </cell>
          <cell r="N129">
            <v>0</v>
          </cell>
          <cell r="O129">
            <v>228303</v>
          </cell>
          <cell r="P129">
            <v>0</v>
          </cell>
          <cell r="Q129">
            <v>15856</v>
          </cell>
          <cell r="R129">
            <v>0</v>
          </cell>
          <cell r="S129">
            <v>126664</v>
          </cell>
          <cell r="T129">
            <v>174</v>
          </cell>
          <cell r="U129">
            <v>-3426603</v>
          </cell>
          <cell r="V129" t="str">
            <v xml:space="preserve"> </v>
          </cell>
          <cell r="W129">
            <v>22116070</v>
          </cell>
          <cell r="X129">
            <v>0</v>
          </cell>
          <cell r="Y129">
            <v>0</v>
          </cell>
          <cell r="Z129">
            <v>0</v>
          </cell>
          <cell r="AA129">
            <v>0</v>
          </cell>
          <cell r="AB129">
            <v>24827233</v>
          </cell>
          <cell r="AC129">
            <v>0</v>
          </cell>
          <cell r="AD129">
            <v>906654</v>
          </cell>
          <cell r="AE129">
            <v>85347</v>
          </cell>
          <cell r="AF129">
            <v>40540</v>
          </cell>
          <cell r="AG129">
            <v>0</v>
          </cell>
          <cell r="AH129">
            <v>0</v>
          </cell>
          <cell r="AI129">
            <v>228300</v>
          </cell>
          <cell r="AJ129">
            <v>0</v>
          </cell>
          <cell r="AK129">
            <v>0</v>
          </cell>
          <cell r="AL129">
            <v>0</v>
          </cell>
          <cell r="AM129">
            <v>122634</v>
          </cell>
          <cell r="AN129">
            <v>0</v>
          </cell>
          <cell r="AO129">
            <v>-2617227</v>
          </cell>
          <cell r="AP129">
            <v>23508134</v>
          </cell>
          <cell r="AQ129">
            <v>0</v>
          </cell>
          <cell r="AR129">
            <v>0</v>
          </cell>
          <cell r="AS129">
            <v>0</v>
          </cell>
          <cell r="AT129">
            <v>0</v>
          </cell>
          <cell r="AU129" t="str">
            <v xml:space="preserve"> </v>
          </cell>
          <cell r="AV129" t="str">
            <v xml:space="preserve"> </v>
          </cell>
          <cell r="AW129" t="str">
            <v xml:space="preserve"> </v>
          </cell>
        </row>
        <row r="130">
          <cell r="C130" t="str">
            <v xml:space="preserve"> NAPA VALLEY       </v>
          </cell>
          <cell r="D130" t="str">
            <v xml:space="preserve"> SONOMA            </v>
          </cell>
          <cell r="E130">
            <v>240</v>
          </cell>
          <cell r="F130" t="str">
            <v xml:space="preserve"> 2015-2016</v>
          </cell>
          <cell r="G130" t="str">
            <v xml:space="preserve"> 11/15/2015</v>
          </cell>
          <cell r="H130">
            <v>266653</v>
          </cell>
          <cell r="I130">
            <v>2509</v>
          </cell>
          <cell r="J130">
            <v>9586</v>
          </cell>
          <cell r="K130">
            <v>0</v>
          </cell>
          <cell r="L130">
            <v>0</v>
          </cell>
          <cell r="M130">
            <v>0</v>
          </cell>
          <cell r="N130">
            <v>0</v>
          </cell>
          <cell r="O130">
            <v>0</v>
          </cell>
          <cell r="P130">
            <v>0</v>
          </cell>
          <cell r="Q130">
            <v>81</v>
          </cell>
          <cell r="R130">
            <v>1798</v>
          </cell>
          <cell r="S130">
            <v>0</v>
          </cell>
          <cell r="T130">
            <v>0</v>
          </cell>
          <cell r="U130">
            <v>0</v>
          </cell>
          <cell r="V130" t="str">
            <v xml:space="preserve"> </v>
          </cell>
          <cell r="W130">
            <v>280627</v>
          </cell>
          <cell r="X130">
            <v>0</v>
          </cell>
          <cell r="Y130">
            <v>0</v>
          </cell>
          <cell r="Z130">
            <v>0</v>
          </cell>
          <cell r="AA130">
            <v>0</v>
          </cell>
          <cell r="AB130">
            <v>209979</v>
          </cell>
          <cell r="AC130">
            <v>2509</v>
          </cell>
          <cell r="AD130">
            <v>6851</v>
          </cell>
          <cell r="AE130">
            <v>0</v>
          </cell>
          <cell r="AF130">
            <v>0</v>
          </cell>
          <cell r="AG130">
            <v>0</v>
          </cell>
          <cell r="AH130">
            <v>0</v>
          </cell>
          <cell r="AI130">
            <v>0</v>
          </cell>
          <cell r="AJ130">
            <v>0</v>
          </cell>
          <cell r="AK130">
            <v>0</v>
          </cell>
          <cell r="AL130">
            <v>1630</v>
          </cell>
          <cell r="AM130">
            <v>0</v>
          </cell>
          <cell r="AN130">
            <v>0</v>
          </cell>
          <cell r="AO130">
            <v>0</v>
          </cell>
          <cell r="AP130">
            <v>220969</v>
          </cell>
          <cell r="AQ130">
            <v>0</v>
          </cell>
          <cell r="AR130">
            <v>0</v>
          </cell>
          <cell r="AS130">
            <v>0</v>
          </cell>
          <cell r="AT130">
            <v>0</v>
          </cell>
          <cell r="AU130" t="str">
            <v xml:space="preserve"> </v>
          </cell>
          <cell r="AV130" t="str">
            <v xml:space="preserve"> </v>
          </cell>
          <cell r="AW130" t="str">
            <v xml:space="preserve"> </v>
          </cell>
        </row>
        <row r="131">
          <cell r="C131" t="str">
            <v xml:space="preserve">NAPA VALLEY Subtotal       </v>
          </cell>
          <cell r="H131">
            <v>23957746</v>
          </cell>
          <cell r="I131">
            <v>475996</v>
          </cell>
          <cell r="J131">
            <v>976142</v>
          </cell>
          <cell r="K131">
            <v>85347</v>
          </cell>
          <cell r="L131">
            <v>40540</v>
          </cell>
          <cell r="M131">
            <v>0</v>
          </cell>
          <cell r="N131">
            <v>0</v>
          </cell>
          <cell r="O131">
            <v>228303</v>
          </cell>
          <cell r="P131">
            <v>0</v>
          </cell>
          <cell r="Q131">
            <v>15937</v>
          </cell>
          <cell r="R131">
            <v>1798</v>
          </cell>
          <cell r="S131">
            <v>126664</v>
          </cell>
          <cell r="T131">
            <v>174</v>
          </cell>
          <cell r="U131">
            <v>-3426603</v>
          </cell>
          <cell r="V131">
            <v>0</v>
          </cell>
          <cell r="W131">
            <v>22396697</v>
          </cell>
          <cell r="X131">
            <v>0</v>
          </cell>
          <cell r="Y131">
            <v>0</v>
          </cell>
          <cell r="Z131">
            <v>0</v>
          </cell>
          <cell r="AA131">
            <v>0</v>
          </cell>
          <cell r="AB131">
            <v>25037212</v>
          </cell>
          <cell r="AC131">
            <v>2509</v>
          </cell>
          <cell r="AD131">
            <v>913505</v>
          </cell>
          <cell r="AE131">
            <v>85347</v>
          </cell>
          <cell r="AF131">
            <v>40540</v>
          </cell>
          <cell r="AG131">
            <v>0</v>
          </cell>
          <cell r="AH131">
            <v>0</v>
          </cell>
          <cell r="AI131">
            <v>228300</v>
          </cell>
          <cell r="AJ131">
            <v>0</v>
          </cell>
          <cell r="AK131">
            <v>0</v>
          </cell>
          <cell r="AL131">
            <v>1630</v>
          </cell>
          <cell r="AM131">
            <v>122634</v>
          </cell>
          <cell r="AN131">
            <v>0</v>
          </cell>
          <cell r="AO131">
            <v>-2617227</v>
          </cell>
          <cell r="AP131">
            <v>23729103</v>
          </cell>
          <cell r="AQ131">
            <v>0</v>
          </cell>
          <cell r="AR131">
            <v>0</v>
          </cell>
          <cell r="AS131">
            <v>0</v>
          </cell>
          <cell r="AT131">
            <v>0</v>
          </cell>
          <cell r="AU131">
            <v>0</v>
          </cell>
          <cell r="AV131">
            <v>0</v>
          </cell>
          <cell r="AW131">
            <v>0</v>
          </cell>
        </row>
        <row r="133">
          <cell r="C133" t="str">
            <v xml:space="preserve"> NORTH ORANGE      </v>
          </cell>
          <cell r="D133" t="str">
            <v xml:space="preserve"> LOS ANGELES       </v>
          </cell>
          <cell r="E133">
            <v>860</v>
          </cell>
          <cell r="F133" t="str">
            <v xml:space="preserve"> 2015-2016</v>
          </cell>
          <cell r="G133" t="str">
            <v xml:space="preserve"> 11/15/2015</v>
          </cell>
          <cell r="H133">
            <v>632490</v>
          </cell>
          <cell r="I133">
            <v>17518</v>
          </cell>
          <cell r="J133">
            <v>25089</v>
          </cell>
          <cell r="K133">
            <v>0</v>
          </cell>
          <cell r="L133">
            <v>0</v>
          </cell>
          <cell r="M133">
            <v>0</v>
          </cell>
          <cell r="N133">
            <v>0</v>
          </cell>
          <cell r="O133">
            <v>0</v>
          </cell>
          <cell r="P133">
            <v>0</v>
          </cell>
          <cell r="Q133">
            <v>17596</v>
          </cell>
          <cell r="R133">
            <v>0</v>
          </cell>
          <cell r="S133">
            <v>4826</v>
          </cell>
          <cell r="T133">
            <v>0</v>
          </cell>
          <cell r="U133">
            <v>0</v>
          </cell>
          <cell r="V133" t="str">
            <v xml:space="preserve"> </v>
          </cell>
          <cell r="W133">
            <v>697519</v>
          </cell>
          <cell r="X133">
            <v>0</v>
          </cell>
          <cell r="Y133">
            <v>0</v>
          </cell>
          <cell r="Z133">
            <v>0</v>
          </cell>
          <cell r="AA133">
            <v>0</v>
          </cell>
          <cell r="AB133">
            <v>662217</v>
          </cell>
          <cell r="AC133">
            <v>21898</v>
          </cell>
          <cell r="AD133">
            <v>25000</v>
          </cell>
          <cell r="AE133">
            <v>455</v>
          </cell>
          <cell r="AF133">
            <v>216</v>
          </cell>
          <cell r="AG133">
            <v>0</v>
          </cell>
          <cell r="AH133">
            <v>0</v>
          </cell>
          <cell r="AI133">
            <v>0</v>
          </cell>
          <cell r="AJ133">
            <v>0</v>
          </cell>
          <cell r="AK133">
            <v>19660</v>
          </cell>
          <cell r="AL133">
            <v>0</v>
          </cell>
          <cell r="AM133">
            <v>4800</v>
          </cell>
          <cell r="AN133">
            <v>0</v>
          </cell>
          <cell r="AO133">
            <v>0</v>
          </cell>
          <cell r="AP133">
            <v>733791</v>
          </cell>
          <cell r="AQ133">
            <v>0</v>
          </cell>
          <cell r="AR133">
            <v>0</v>
          </cell>
          <cell r="AS133">
            <v>0</v>
          </cell>
          <cell r="AT133">
            <v>0</v>
          </cell>
          <cell r="AU133" t="str">
            <v xml:space="preserve"> </v>
          </cell>
          <cell r="AV133" t="str">
            <v xml:space="preserve"> </v>
          </cell>
          <cell r="AW133" t="str">
            <v xml:space="preserve"> </v>
          </cell>
        </row>
        <row r="134">
          <cell r="C134" t="str">
            <v xml:space="preserve"> NORTH ORANGE      </v>
          </cell>
          <cell r="D134" t="str">
            <v xml:space="preserve"> ORANGE            </v>
          </cell>
          <cell r="E134">
            <v>860</v>
          </cell>
          <cell r="F134" t="str">
            <v xml:space="preserve"> 2015-2016</v>
          </cell>
          <cell r="G134" t="str">
            <v xml:space="preserve"> 11/15/2015</v>
          </cell>
          <cell r="H134">
            <v>56103025</v>
          </cell>
          <cell r="I134">
            <v>1609064</v>
          </cell>
          <cell r="J134">
            <v>2151203</v>
          </cell>
          <cell r="K134">
            <v>1465918</v>
          </cell>
          <cell r="L134">
            <v>696311</v>
          </cell>
          <cell r="M134">
            <v>0</v>
          </cell>
          <cell r="N134">
            <v>0</v>
          </cell>
          <cell r="O134">
            <v>5114241</v>
          </cell>
          <cell r="P134">
            <v>71279</v>
          </cell>
          <cell r="Q134">
            <v>1800078</v>
          </cell>
          <cell r="R134">
            <v>9</v>
          </cell>
          <cell r="S134">
            <v>415058</v>
          </cell>
          <cell r="T134">
            <v>697519</v>
          </cell>
          <cell r="U134">
            <v>394772</v>
          </cell>
          <cell r="V134" t="str">
            <v xml:space="preserve"> </v>
          </cell>
          <cell r="W134">
            <v>69052559</v>
          </cell>
          <cell r="X134">
            <v>0</v>
          </cell>
          <cell r="Y134">
            <v>0</v>
          </cell>
          <cell r="Z134">
            <v>0</v>
          </cell>
          <cell r="AA134">
            <v>0</v>
          </cell>
          <cell r="AB134">
            <v>59825828</v>
          </cell>
          <cell r="AC134">
            <v>1477193</v>
          </cell>
          <cell r="AD134">
            <v>1928146</v>
          </cell>
          <cell r="AE134">
            <v>1327853</v>
          </cell>
          <cell r="AF134">
            <v>630730</v>
          </cell>
          <cell r="AG134">
            <v>0</v>
          </cell>
          <cell r="AH134">
            <v>0</v>
          </cell>
          <cell r="AI134">
            <v>4345954</v>
          </cell>
          <cell r="AJ134">
            <v>0</v>
          </cell>
          <cell r="AK134">
            <v>2046942</v>
          </cell>
          <cell r="AL134">
            <v>9</v>
          </cell>
          <cell r="AM134">
            <v>409715</v>
          </cell>
          <cell r="AN134">
            <v>0</v>
          </cell>
          <cell r="AO134">
            <v>3895798</v>
          </cell>
          <cell r="AP134">
            <v>74560315</v>
          </cell>
          <cell r="AQ134">
            <v>0</v>
          </cell>
          <cell r="AR134">
            <v>0</v>
          </cell>
          <cell r="AS134">
            <v>0</v>
          </cell>
          <cell r="AT134">
            <v>0</v>
          </cell>
          <cell r="AU134" t="str">
            <v xml:space="preserve"> </v>
          </cell>
          <cell r="AV134" t="str">
            <v xml:space="preserve"> </v>
          </cell>
          <cell r="AW134" t="str">
            <v xml:space="preserve"> </v>
          </cell>
        </row>
        <row r="135">
          <cell r="C135" t="str">
            <v xml:space="preserve">NORTH ORANGE Subtotal     </v>
          </cell>
          <cell r="H135">
            <v>56735515</v>
          </cell>
          <cell r="I135">
            <v>1626582</v>
          </cell>
          <cell r="J135">
            <v>2176292</v>
          </cell>
          <cell r="K135">
            <v>1465918</v>
          </cell>
          <cell r="L135">
            <v>696311</v>
          </cell>
          <cell r="M135">
            <v>0</v>
          </cell>
          <cell r="N135">
            <v>0</v>
          </cell>
          <cell r="O135">
            <v>5114241</v>
          </cell>
          <cell r="P135">
            <v>71279</v>
          </cell>
          <cell r="Q135">
            <v>1817674</v>
          </cell>
          <cell r="R135">
            <v>9</v>
          </cell>
          <cell r="S135">
            <v>419884</v>
          </cell>
          <cell r="T135">
            <v>697519</v>
          </cell>
          <cell r="U135">
            <v>394772</v>
          </cell>
          <cell r="V135">
            <v>0</v>
          </cell>
          <cell r="W135">
            <v>69750078</v>
          </cell>
          <cell r="X135">
            <v>0</v>
          </cell>
          <cell r="Y135">
            <v>0</v>
          </cell>
          <cell r="Z135">
            <v>0</v>
          </cell>
          <cell r="AA135">
            <v>0</v>
          </cell>
          <cell r="AB135">
            <v>60488045</v>
          </cell>
          <cell r="AC135">
            <v>1499091</v>
          </cell>
          <cell r="AD135">
            <v>1953146</v>
          </cell>
          <cell r="AE135">
            <v>1328308</v>
          </cell>
          <cell r="AF135">
            <v>630946</v>
          </cell>
          <cell r="AG135">
            <v>0</v>
          </cell>
          <cell r="AH135">
            <v>0</v>
          </cell>
          <cell r="AI135">
            <v>4345954</v>
          </cell>
          <cell r="AJ135">
            <v>0</v>
          </cell>
          <cell r="AK135">
            <v>2066602</v>
          </cell>
          <cell r="AL135">
            <v>9</v>
          </cell>
          <cell r="AM135">
            <v>414515</v>
          </cell>
          <cell r="AN135">
            <v>0</v>
          </cell>
          <cell r="AO135">
            <v>3895798</v>
          </cell>
          <cell r="AP135">
            <v>75294106</v>
          </cell>
          <cell r="AQ135">
            <v>0</v>
          </cell>
          <cell r="AR135">
            <v>0</v>
          </cell>
          <cell r="AS135">
            <v>0</v>
          </cell>
          <cell r="AT135">
            <v>0</v>
          </cell>
          <cell r="AU135">
            <v>0</v>
          </cell>
          <cell r="AV135">
            <v>0</v>
          </cell>
          <cell r="AW135">
            <v>0</v>
          </cell>
        </row>
        <row r="137">
          <cell r="C137" t="str">
            <v xml:space="preserve"> OHLONE</v>
          </cell>
          <cell r="D137" t="str">
            <v xml:space="preserve"> ALAMEDA           </v>
          </cell>
          <cell r="E137">
            <v>430</v>
          </cell>
          <cell r="F137" t="str">
            <v xml:space="preserve"> 2015-2016</v>
          </cell>
          <cell r="G137" t="str">
            <v xml:space="preserve"> 11/15/2015</v>
          </cell>
          <cell r="H137">
            <v>14460540</v>
          </cell>
          <cell r="I137">
            <v>424956</v>
          </cell>
          <cell r="J137">
            <v>835323</v>
          </cell>
          <cell r="K137">
            <v>127344</v>
          </cell>
          <cell r="L137">
            <v>60488</v>
          </cell>
          <cell r="M137">
            <v>0</v>
          </cell>
          <cell r="N137">
            <v>0</v>
          </cell>
          <cell r="O137">
            <v>474122</v>
          </cell>
          <cell r="P137">
            <v>123781</v>
          </cell>
          <cell r="Q137">
            <v>-357649</v>
          </cell>
          <cell r="R137">
            <v>0</v>
          </cell>
          <cell r="S137">
            <v>127404</v>
          </cell>
          <cell r="T137">
            <v>5314</v>
          </cell>
          <cell r="U137">
            <v>1566979</v>
          </cell>
          <cell r="V137" t="str">
            <v xml:space="preserve"> </v>
          </cell>
          <cell r="W137">
            <v>17721258</v>
          </cell>
          <cell r="X137">
            <v>0</v>
          </cell>
          <cell r="Y137">
            <v>0</v>
          </cell>
          <cell r="Z137">
            <v>0</v>
          </cell>
          <cell r="AA137">
            <v>0</v>
          </cell>
          <cell r="AB137">
            <v>16272583</v>
          </cell>
          <cell r="AC137">
            <v>461106</v>
          </cell>
          <cell r="AD137">
            <v>1055359</v>
          </cell>
          <cell r="AE137">
            <v>72876</v>
          </cell>
          <cell r="AF137">
            <v>34616</v>
          </cell>
          <cell r="AG137">
            <v>0</v>
          </cell>
          <cell r="AH137">
            <v>0</v>
          </cell>
          <cell r="AI137">
            <v>1403</v>
          </cell>
          <cell r="AJ137">
            <v>0</v>
          </cell>
          <cell r="AK137">
            <v>-357649</v>
          </cell>
          <cell r="AL137">
            <v>0</v>
          </cell>
          <cell r="AM137">
            <v>126175</v>
          </cell>
          <cell r="AN137">
            <v>5314</v>
          </cell>
          <cell r="AO137">
            <v>2626736</v>
          </cell>
          <cell r="AP137">
            <v>20225643</v>
          </cell>
          <cell r="AQ137">
            <v>0</v>
          </cell>
          <cell r="AR137">
            <v>0</v>
          </cell>
          <cell r="AS137">
            <v>0</v>
          </cell>
          <cell r="AT137">
            <v>0</v>
          </cell>
          <cell r="AU137" t="str">
            <v xml:space="preserve"> </v>
          </cell>
          <cell r="AV137" t="str">
            <v xml:space="preserve"> </v>
          </cell>
          <cell r="AW137" t="str">
            <v xml:space="preserve"> </v>
          </cell>
        </row>
        <row r="138">
          <cell r="C138" t="str">
            <v>OHLONE Subtotal</v>
          </cell>
          <cell r="H138">
            <v>14460540</v>
          </cell>
          <cell r="I138">
            <v>424956</v>
          </cell>
          <cell r="J138">
            <v>835323</v>
          </cell>
          <cell r="K138">
            <v>127344</v>
          </cell>
          <cell r="L138">
            <v>60488</v>
          </cell>
          <cell r="M138">
            <v>0</v>
          </cell>
          <cell r="N138">
            <v>0</v>
          </cell>
          <cell r="O138">
            <v>474122</v>
          </cell>
          <cell r="P138">
            <v>123781</v>
          </cell>
          <cell r="Q138">
            <v>-357649</v>
          </cell>
          <cell r="R138">
            <v>0</v>
          </cell>
          <cell r="S138">
            <v>127404</v>
          </cell>
          <cell r="T138">
            <v>5314</v>
          </cell>
          <cell r="U138">
            <v>1566979</v>
          </cell>
          <cell r="V138">
            <v>0</v>
          </cell>
          <cell r="W138">
            <v>17721258</v>
          </cell>
          <cell r="X138">
            <v>0</v>
          </cell>
          <cell r="Y138">
            <v>0</v>
          </cell>
          <cell r="Z138">
            <v>0</v>
          </cell>
          <cell r="AA138">
            <v>0</v>
          </cell>
          <cell r="AB138">
            <v>16272583</v>
          </cell>
          <cell r="AC138">
            <v>461106</v>
          </cell>
          <cell r="AD138">
            <v>1055359</v>
          </cell>
          <cell r="AE138">
            <v>72876</v>
          </cell>
          <cell r="AF138">
            <v>34616</v>
          </cell>
          <cell r="AG138">
            <v>0</v>
          </cell>
          <cell r="AH138">
            <v>0</v>
          </cell>
          <cell r="AI138">
            <v>1403</v>
          </cell>
          <cell r="AJ138">
            <v>0</v>
          </cell>
          <cell r="AK138">
            <v>-357649</v>
          </cell>
          <cell r="AL138">
            <v>0</v>
          </cell>
          <cell r="AM138">
            <v>126175</v>
          </cell>
          <cell r="AN138">
            <v>5314</v>
          </cell>
          <cell r="AO138">
            <v>2626736</v>
          </cell>
          <cell r="AP138">
            <v>20225643</v>
          </cell>
          <cell r="AQ138">
            <v>0</v>
          </cell>
          <cell r="AR138">
            <v>0</v>
          </cell>
          <cell r="AS138">
            <v>0</v>
          </cell>
          <cell r="AT138">
            <v>0</v>
          </cell>
          <cell r="AU138">
            <v>0</v>
          </cell>
          <cell r="AV138">
            <v>0</v>
          </cell>
          <cell r="AW138">
            <v>0</v>
          </cell>
        </row>
        <row r="140">
          <cell r="C140" t="str">
            <v xml:space="preserve"> PALO VERDE        </v>
          </cell>
          <cell r="D140" t="str">
            <v xml:space="preserve"> RIVERSIDE         </v>
          </cell>
          <cell r="E140">
            <v>950</v>
          </cell>
          <cell r="F140" t="str">
            <v xml:space="preserve"> 2015-2016</v>
          </cell>
          <cell r="G140" t="str">
            <v xml:space="preserve"> 11/15/2015</v>
          </cell>
          <cell r="H140">
            <v>909499</v>
          </cell>
          <cell r="I140">
            <v>18200</v>
          </cell>
          <cell r="J140">
            <v>38791</v>
          </cell>
          <cell r="K140">
            <v>155672</v>
          </cell>
          <cell r="L140">
            <v>73944</v>
          </cell>
          <cell r="M140">
            <v>0</v>
          </cell>
          <cell r="N140">
            <v>0</v>
          </cell>
          <cell r="O140">
            <v>209656</v>
          </cell>
          <cell r="P140">
            <v>0</v>
          </cell>
          <cell r="Q140">
            <v>27007</v>
          </cell>
          <cell r="R140">
            <v>0</v>
          </cell>
          <cell r="S140">
            <v>11626</v>
          </cell>
          <cell r="T140">
            <v>17</v>
          </cell>
          <cell r="U140">
            <v>-160396</v>
          </cell>
          <cell r="V140" t="str">
            <v xml:space="preserve"> </v>
          </cell>
          <cell r="W140">
            <v>1128344</v>
          </cell>
          <cell r="X140">
            <v>0</v>
          </cell>
          <cell r="Y140">
            <v>0</v>
          </cell>
          <cell r="Z140">
            <v>0</v>
          </cell>
          <cell r="AA140">
            <v>0</v>
          </cell>
          <cell r="AB140">
            <v>887663</v>
          </cell>
          <cell r="AC140">
            <v>20204</v>
          </cell>
          <cell r="AD140">
            <v>35661</v>
          </cell>
          <cell r="AE140">
            <v>88242</v>
          </cell>
          <cell r="AF140">
            <v>41915</v>
          </cell>
          <cell r="AG140">
            <v>0</v>
          </cell>
          <cell r="AH140">
            <v>0</v>
          </cell>
          <cell r="AI140">
            <v>0</v>
          </cell>
          <cell r="AJ140">
            <v>0</v>
          </cell>
          <cell r="AK140">
            <v>23133</v>
          </cell>
          <cell r="AL140">
            <v>0</v>
          </cell>
          <cell r="AM140">
            <v>11145</v>
          </cell>
          <cell r="AN140">
            <v>0</v>
          </cell>
          <cell r="AO140">
            <v>-114689</v>
          </cell>
          <cell r="AP140">
            <v>905032</v>
          </cell>
          <cell r="AQ140">
            <v>0</v>
          </cell>
          <cell r="AR140">
            <v>0</v>
          </cell>
          <cell r="AS140">
            <v>0</v>
          </cell>
          <cell r="AT140">
            <v>0</v>
          </cell>
          <cell r="AU140" t="str">
            <v xml:space="preserve"> </v>
          </cell>
          <cell r="AV140" t="str">
            <v xml:space="preserve"> </v>
          </cell>
          <cell r="AW140" t="str">
            <v xml:space="preserve"> </v>
          </cell>
        </row>
        <row r="141">
          <cell r="C141" t="str">
            <v xml:space="preserve"> PALO VERDE        </v>
          </cell>
          <cell r="D141" t="str">
            <v xml:space="preserve"> SAN BERNARDINO    </v>
          </cell>
          <cell r="E141">
            <v>950</v>
          </cell>
          <cell r="F141" t="str">
            <v xml:space="preserve"> 2015-2016</v>
          </cell>
          <cell r="G141" t="str">
            <v xml:space="preserve"> 11/15/2015</v>
          </cell>
          <cell r="H141">
            <v>359978</v>
          </cell>
          <cell r="I141">
            <v>5527</v>
          </cell>
          <cell r="J141">
            <v>11410</v>
          </cell>
          <cell r="K141">
            <v>0</v>
          </cell>
          <cell r="L141">
            <v>0</v>
          </cell>
          <cell r="M141">
            <v>0</v>
          </cell>
          <cell r="N141">
            <v>0</v>
          </cell>
          <cell r="O141">
            <v>0</v>
          </cell>
          <cell r="P141">
            <v>0</v>
          </cell>
          <cell r="Q141">
            <v>9822</v>
          </cell>
          <cell r="R141">
            <v>0</v>
          </cell>
          <cell r="S141">
            <v>3069</v>
          </cell>
          <cell r="T141">
            <v>0</v>
          </cell>
          <cell r="U141">
            <v>0</v>
          </cell>
          <cell r="V141" t="str">
            <v xml:space="preserve"> </v>
          </cell>
          <cell r="W141">
            <v>389806</v>
          </cell>
          <cell r="X141">
            <v>0</v>
          </cell>
          <cell r="Y141">
            <v>0</v>
          </cell>
          <cell r="Z141">
            <v>0</v>
          </cell>
          <cell r="AA141">
            <v>0</v>
          </cell>
          <cell r="AB141">
            <v>362833</v>
          </cell>
          <cell r="AC141">
            <v>5527</v>
          </cell>
          <cell r="AD141">
            <v>10550</v>
          </cell>
          <cell r="AE141">
            <v>0</v>
          </cell>
          <cell r="AF141">
            <v>0</v>
          </cell>
          <cell r="AG141">
            <v>0</v>
          </cell>
          <cell r="AH141">
            <v>0</v>
          </cell>
          <cell r="AI141">
            <v>0</v>
          </cell>
          <cell r="AJ141">
            <v>0</v>
          </cell>
          <cell r="AK141">
            <v>6663</v>
          </cell>
          <cell r="AL141">
            <v>0</v>
          </cell>
          <cell r="AM141">
            <v>2942</v>
          </cell>
          <cell r="AN141">
            <v>0</v>
          </cell>
          <cell r="AO141">
            <v>0</v>
          </cell>
          <cell r="AP141">
            <v>388515</v>
          </cell>
          <cell r="AQ141">
            <v>0</v>
          </cell>
          <cell r="AR141">
            <v>0</v>
          </cell>
          <cell r="AS141">
            <v>0</v>
          </cell>
          <cell r="AT141">
            <v>0</v>
          </cell>
          <cell r="AU141" t="str">
            <v xml:space="preserve"> </v>
          </cell>
          <cell r="AV141" t="str">
            <v xml:space="preserve"> </v>
          </cell>
          <cell r="AW141" t="str">
            <v xml:space="preserve"> </v>
          </cell>
        </row>
        <row r="142">
          <cell r="C142" t="str">
            <v>PALO VERDE Subtotal</v>
          </cell>
          <cell r="H142">
            <v>1269477</v>
          </cell>
          <cell r="I142">
            <v>23727</v>
          </cell>
          <cell r="J142">
            <v>50201</v>
          </cell>
          <cell r="K142">
            <v>155672</v>
          </cell>
          <cell r="L142">
            <v>73944</v>
          </cell>
          <cell r="M142">
            <v>0</v>
          </cell>
          <cell r="N142">
            <v>0</v>
          </cell>
          <cell r="O142">
            <v>209656</v>
          </cell>
          <cell r="P142">
            <v>0</v>
          </cell>
          <cell r="Q142">
            <v>36829</v>
          </cell>
          <cell r="R142">
            <v>0</v>
          </cell>
          <cell r="S142">
            <v>14695</v>
          </cell>
          <cell r="T142">
            <v>17</v>
          </cell>
          <cell r="U142">
            <v>-160396</v>
          </cell>
          <cell r="V142">
            <v>0</v>
          </cell>
          <cell r="W142">
            <v>1518150</v>
          </cell>
          <cell r="X142">
            <v>0</v>
          </cell>
          <cell r="Y142">
            <v>0</v>
          </cell>
          <cell r="Z142">
            <v>0</v>
          </cell>
          <cell r="AA142">
            <v>0</v>
          </cell>
          <cell r="AB142">
            <v>1250496</v>
          </cell>
          <cell r="AC142">
            <v>25731</v>
          </cell>
          <cell r="AD142">
            <v>46211</v>
          </cell>
          <cell r="AE142">
            <v>88242</v>
          </cell>
          <cell r="AF142">
            <v>41915</v>
          </cell>
          <cell r="AG142">
            <v>0</v>
          </cell>
          <cell r="AH142">
            <v>0</v>
          </cell>
          <cell r="AI142">
            <v>0</v>
          </cell>
          <cell r="AJ142">
            <v>0</v>
          </cell>
          <cell r="AK142">
            <v>29796</v>
          </cell>
          <cell r="AL142">
            <v>0</v>
          </cell>
          <cell r="AM142">
            <v>14087</v>
          </cell>
          <cell r="AN142">
            <v>0</v>
          </cell>
          <cell r="AO142">
            <v>-114689</v>
          </cell>
          <cell r="AP142">
            <v>1293547</v>
          </cell>
          <cell r="AQ142">
            <v>0</v>
          </cell>
          <cell r="AR142">
            <v>0</v>
          </cell>
          <cell r="AS142">
            <v>0</v>
          </cell>
          <cell r="AT142">
            <v>0</v>
          </cell>
          <cell r="AU142">
            <v>0</v>
          </cell>
          <cell r="AV142">
            <v>0</v>
          </cell>
          <cell r="AW142">
            <v>0</v>
          </cell>
        </row>
        <row r="144">
          <cell r="C144" t="str">
            <v xml:space="preserve"> PALOMAR           </v>
          </cell>
          <cell r="D144" t="str">
            <v xml:space="preserve"> SAN DIEGO         </v>
          </cell>
          <cell r="E144">
            <v>60</v>
          </cell>
          <cell r="F144" t="str">
            <v xml:space="preserve"> 2015-2016</v>
          </cell>
          <cell r="G144" t="str">
            <v xml:space="preserve"> 11/15/2015</v>
          </cell>
          <cell r="H144">
            <v>57684761</v>
          </cell>
          <cell r="I144">
            <v>1474140</v>
          </cell>
          <cell r="J144">
            <v>1889840</v>
          </cell>
          <cell r="K144">
            <v>0</v>
          </cell>
          <cell r="L144">
            <v>0</v>
          </cell>
          <cell r="M144">
            <v>0</v>
          </cell>
          <cell r="N144">
            <v>0</v>
          </cell>
          <cell r="O144">
            <v>2882524</v>
          </cell>
          <cell r="P144">
            <v>196026</v>
          </cell>
          <cell r="Q144">
            <v>-45827</v>
          </cell>
          <cell r="R144">
            <v>0</v>
          </cell>
          <cell r="S144">
            <v>477535</v>
          </cell>
          <cell r="T144">
            <v>0</v>
          </cell>
          <cell r="U144">
            <v>-5257393</v>
          </cell>
          <cell r="V144" t="str">
            <v xml:space="preserve"> </v>
          </cell>
          <cell r="W144">
            <v>59301606</v>
          </cell>
          <cell r="X144">
            <v>0</v>
          </cell>
          <cell r="Y144">
            <v>0</v>
          </cell>
          <cell r="Z144">
            <v>0</v>
          </cell>
          <cell r="AA144">
            <v>0</v>
          </cell>
          <cell r="AB144">
            <v>60260595</v>
          </cell>
          <cell r="AC144">
            <v>1395341</v>
          </cell>
          <cell r="AD144">
            <v>1926961</v>
          </cell>
          <cell r="AE144">
            <v>2246</v>
          </cell>
          <cell r="AF144">
            <v>1067</v>
          </cell>
          <cell r="AG144">
            <v>0</v>
          </cell>
          <cell r="AH144">
            <v>0</v>
          </cell>
          <cell r="AI144">
            <v>0</v>
          </cell>
          <cell r="AJ144">
            <v>0</v>
          </cell>
          <cell r="AK144">
            <v>-28678</v>
          </cell>
          <cell r="AL144">
            <v>0</v>
          </cell>
          <cell r="AM144">
            <v>470785</v>
          </cell>
          <cell r="AN144">
            <v>0</v>
          </cell>
          <cell r="AO144">
            <v>-2265897</v>
          </cell>
          <cell r="AP144">
            <v>61760174</v>
          </cell>
          <cell r="AQ144">
            <v>0</v>
          </cell>
          <cell r="AR144">
            <v>0</v>
          </cell>
          <cell r="AS144">
            <v>0</v>
          </cell>
          <cell r="AT144">
            <v>0</v>
          </cell>
          <cell r="AU144" t="str">
            <v xml:space="preserve"> </v>
          </cell>
          <cell r="AV144" t="str">
            <v xml:space="preserve"> </v>
          </cell>
          <cell r="AW144" t="str">
            <v xml:space="preserve"> </v>
          </cell>
        </row>
        <row r="145">
          <cell r="C145" t="str">
            <v xml:space="preserve">PALOMAR Subtotal         </v>
          </cell>
          <cell r="H145">
            <v>57684761</v>
          </cell>
          <cell r="I145">
            <v>1474140</v>
          </cell>
          <cell r="J145">
            <v>1889840</v>
          </cell>
          <cell r="K145">
            <v>0</v>
          </cell>
          <cell r="L145">
            <v>0</v>
          </cell>
          <cell r="M145">
            <v>0</v>
          </cell>
          <cell r="N145">
            <v>0</v>
          </cell>
          <cell r="O145">
            <v>2882524</v>
          </cell>
          <cell r="P145">
            <v>196026</v>
          </cell>
          <cell r="Q145">
            <v>-45827</v>
          </cell>
          <cell r="R145">
            <v>0</v>
          </cell>
          <cell r="S145">
            <v>477535</v>
          </cell>
          <cell r="T145">
            <v>0</v>
          </cell>
          <cell r="U145">
            <v>-5257393</v>
          </cell>
          <cell r="V145">
            <v>0</v>
          </cell>
          <cell r="W145">
            <v>59301606</v>
          </cell>
          <cell r="X145">
            <v>0</v>
          </cell>
          <cell r="Y145">
            <v>0</v>
          </cell>
          <cell r="Z145">
            <v>0</v>
          </cell>
          <cell r="AA145">
            <v>0</v>
          </cell>
          <cell r="AB145">
            <v>60260595</v>
          </cell>
          <cell r="AC145">
            <v>1395341</v>
          </cell>
          <cell r="AD145">
            <v>1926961</v>
          </cell>
          <cell r="AE145">
            <v>2246</v>
          </cell>
          <cell r="AF145">
            <v>1067</v>
          </cell>
          <cell r="AG145">
            <v>0</v>
          </cell>
          <cell r="AH145">
            <v>0</v>
          </cell>
          <cell r="AI145">
            <v>0</v>
          </cell>
          <cell r="AJ145">
            <v>0</v>
          </cell>
          <cell r="AK145">
            <v>-28678</v>
          </cell>
          <cell r="AL145">
            <v>0</v>
          </cell>
          <cell r="AM145">
            <v>470785</v>
          </cell>
          <cell r="AN145">
            <v>0</v>
          </cell>
          <cell r="AO145">
            <v>-2265897</v>
          </cell>
          <cell r="AP145">
            <v>61760174</v>
          </cell>
          <cell r="AQ145">
            <v>0</v>
          </cell>
          <cell r="AR145">
            <v>0</v>
          </cell>
          <cell r="AS145">
            <v>0</v>
          </cell>
          <cell r="AT145">
            <v>0</v>
          </cell>
          <cell r="AU145">
            <v>0</v>
          </cell>
          <cell r="AV145">
            <v>0</v>
          </cell>
          <cell r="AW145">
            <v>0</v>
          </cell>
        </row>
        <row r="147">
          <cell r="C147" t="str">
            <v xml:space="preserve"> PASADENA          </v>
          </cell>
          <cell r="D147" t="str">
            <v xml:space="preserve"> LOS ANGELES       </v>
          </cell>
          <cell r="E147">
            <v>770</v>
          </cell>
          <cell r="F147" t="str">
            <v xml:space="preserve"> 2015-2016</v>
          </cell>
          <cell r="G147" t="str">
            <v xml:space="preserve"> 11/15/2015</v>
          </cell>
          <cell r="H147">
            <v>20974101</v>
          </cell>
          <cell r="I147">
            <v>550882</v>
          </cell>
          <cell r="J147">
            <v>821242</v>
          </cell>
          <cell r="K147">
            <v>63451</v>
          </cell>
          <cell r="L147">
            <v>30139</v>
          </cell>
          <cell r="M147">
            <v>0</v>
          </cell>
          <cell r="N147">
            <v>0</v>
          </cell>
          <cell r="O147">
            <v>1584935</v>
          </cell>
          <cell r="P147">
            <v>1239</v>
          </cell>
          <cell r="Q147">
            <v>482203</v>
          </cell>
          <cell r="R147">
            <v>0</v>
          </cell>
          <cell r="S147">
            <v>161165</v>
          </cell>
          <cell r="T147">
            <v>0</v>
          </cell>
          <cell r="U147">
            <v>0</v>
          </cell>
          <cell r="V147" t="str">
            <v xml:space="preserve"> </v>
          </cell>
          <cell r="W147">
            <v>24605906</v>
          </cell>
          <cell r="X147">
            <v>0</v>
          </cell>
          <cell r="Y147">
            <v>0</v>
          </cell>
          <cell r="Z147">
            <v>0</v>
          </cell>
          <cell r="AA147">
            <v>0</v>
          </cell>
          <cell r="AB147">
            <v>22354197</v>
          </cell>
          <cell r="AC147">
            <v>688603</v>
          </cell>
          <cell r="AD147">
            <v>821000</v>
          </cell>
          <cell r="AE147">
            <v>23868</v>
          </cell>
          <cell r="AF147">
            <v>11337</v>
          </cell>
          <cell r="AG147">
            <v>0</v>
          </cell>
          <cell r="AH147">
            <v>0</v>
          </cell>
          <cell r="AI147">
            <v>74503</v>
          </cell>
          <cell r="AJ147">
            <v>0</v>
          </cell>
          <cell r="AK147">
            <v>513497</v>
          </cell>
          <cell r="AL147">
            <v>0</v>
          </cell>
          <cell r="AM147">
            <v>161200</v>
          </cell>
          <cell r="AN147">
            <v>0</v>
          </cell>
          <cell r="AO147">
            <v>0</v>
          </cell>
          <cell r="AP147">
            <v>24624337</v>
          </cell>
          <cell r="AQ147">
            <v>0</v>
          </cell>
          <cell r="AR147">
            <v>0</v>
          </cell>
          <cell r="AS147">
            <v>0</v>
          </cell>
          <cell r="AT147">
            <v>0</v>
          </cell>
          <cell r="AU147" t="str">
            <v xml:space="preserve"> </v>
          </cell>
          <cell r="AV147" t="str">
            <v xml:space="preserve"> </v>
          </cell>
          <cell r="AW147" t="str">
            <v xml:space="preserve"> </v>
          </cell>
        </row>
        <row r="148">
          <cell r="C148" t="str">
            <v xml:space="preserve">PASADENA Subtotal         </v>
          </cell>
          <cell r="H148">
            <v>20974101</v>
          </cell>
          <cell r="I148">
            <v>550882</v>
          </cell>
          <cell r="J148">
            <v>821242</v>
          </cell>
          <cell r="K148">
            <v>63451</v>
          </cell>
          <cell r="L148">
            <v>30139</v>
          </cell>
          <cell r="M148">
            <v>0</v>
          </cell>
          <cell r="N148">
            <v>0</v>
          </cell>
          <cell r="O148">
            <v>1584935</v>
          </cell>
          <cell r="P148">
            <v>1239</v>
          </cell>
          <cell r="Q148">
            <v>482203</v>
          </cell>
          <cell r="R148">
            <v>0</v>
          </cell>
          <cell r="S148">
            <v>161165</v>
          </cell>
          <cell r="T148">
            <v>0</v>
          </cell>
          <cell r="U148">
            <v>0</v>
          </cell>
          <cell r="V148">
            <v>0</v>
          </cell>
          <cell r="W148">
            <v>24605906</v>
          </cell>
          <cell r="X148">
            <v>0</v>
          </cell>
          <cell r="Y148">
            <v>0</v>
          </cell>
          <cell r="Z148">
            <v>0</v>
          </cell>
          <cell r="AA148">
            <v>0</v>
          </cell>
          <cell r="AB148">
            <v>22354197</v>
          </cell>
          <cell r="AC148">
            <v>688603</v>
          </cell>
          <cell r="AD148">
            <v>821000</v>
          </cell>
          <cell r="AE148">
            <v>23868</v>
          </cell>
          <cell r="AF148">
            <v>11337</v>
          </cell>
          <cell r="AG148">
            <v>0</v>
          </cell>
          <cell r="AH148">
            <v>0</v>
          </cell>
          <cell r="AI148">
            <v>74503</v>
          </cell>
          <cell r="AJ148">
            <v>0</v>
          </cell>
          <cell r="AK148">
            <v>513497</v>
          </cell>
          <cell r="AL148">
            <v>0</v>
          </cell>
          <cell r="AM148">
            <v>161200</v>
          </cell>
          <cell r="AN148">
            <v>0</v>
          </cell>
          <cell r="AO148">
            <v>0</v>
          </cell>
          <cell r="AP148">
            <v>24624337</v>
          </cell>
          <cell r="AQ148">
            <v>0</v>
          </cell>
          <cell r="AR148">
            <v>0</v>
          </cell>
          <cell r="AS148">
            <v>0</v>
          </cell>
          <cell r="AT148">
            <v>0</v>
          </cell>
          <cell r="AU148">
            <v>0</v>
          </cell>
          <cell r="AV148">
            <v>0</v>
          </cell>
          <cell r="AW148">
            <v>0</v>
          </cell>
        </row>
        <row r="150">
          <cell r="C150" t="str">
            <v xml:space="preserve"> PERALTA</v>
          </cell>
          <cell r="D150" t="str">
            <v xml:space="preserve"> ALAMEDA           </v>
          </cell>
          <cell r="E150">
            <v>340</v>
          </cell>
          <cell r="F150" t="str">
            <v xml:space="preserve"> 2015-2016</v>
          </cell>
          <cell r="G150" t="str">
            <v xml:space="preserve"> 11/15/2015</v>
          </cell>
          <cell r="H150">
            <v>15513026</v>
          </cell>
          <cell r="I150">
            <v>424618</v>
          </cell>
          <cell r="J150">
            <v>1103118</v>
          </cell>
          <cell r="K150">
            <v>1301492</v>
          </cell>
          <cell r="L150">
            <v>618209</v>
          </cell>
          <cell r="M150">
            <v>0</v>
          </cell>
          <cell r="N150">
            <v>0</v>
          </cell>
          <cell r="O150">
            <v>1973063</v>
          </cell>
          <cell r="P150">
            <v>19535</v>
          </cell>
          <cell r="Q150">
            <v>-477813</v>
          </cell>
          <cell r="R150">
            <v>0</v>
          </cell>
          <cell r="S150">
            <v>168246</v>
          </cell>
          <cell r="T150">
            <v>0</v>
          </cell>
          <cell r="U150">
            <v>14197660</v>
          </cell>
          <cell r="V150" t="str">
            <v xml:space="preserve"> </v>
          </cell>
          <cell r="W150">
            <v>33539662</v>
          </cell>
          <cell r="X150">
            <v>0</v>
          </cell>
          <cell r="Y150">
            <v>0</v>
          </cell>
          <cell r="Z150">
            <v>0</v>
          </cell>
          <cell r="AA150">
            <v>0</v>
          </cell>
          <cell r="AB150">
            <v>16564210</v>
          </cell>
          <cell r="AC150">
            <v>336905</v>
          </cell>
          <cell r="AD150">
            <v>1408719</v>
          </cell>
          <cell r="AE150">
            <v>1262592</v>
          </cell>
          <cell r="AF150">
            <v>599731</v>
          </cell>
          <cell r="AG150">
            <v>0</v>
          </cell>
          <cell r="AH150">
            <v>0</v>
          </cell>
          <cell r="AI150">
            <v>1964144</v>
          </cell>
          <cell r="AJ150">
            <v>0</v>
          </cell>
          <cell r="AK150">
            <v>-477813</v>
          </cell>
          <cell r="AL150">
            <v>0</v>
          </cell>
          <cell r="AM150">
            <v>168422</v>
          </cell>
          <cell r="AN150">
            <v>0</v>
          </cell>
          <cell r="AO150">
            <v>23799617</v>
          </cell>
          <cell r="AP150">
            <v>44363935</v>
          </cell>
          <cell r="AQ150">
            <v>0</v>
          </cell>
          <cell r="AR150">
            <v>0</v>
          </cell>
          <cell r="AS150">
            <v>0</v>
          </cell>
          <cell r="AT150">
            <v>0</v>
          </cell>
          <cell r="AU150" t="str">
            <v xml:space="preserve"> </v>
          </cell>
          <cell r="AV150" t="str">
            <v xml:space="preserve"> </v>
          </cell>
          <cell r="AW150" t="str">
            <v xml:space="preserve"> </v>
          </cell>
        </row>
        <row r="151">
          <cell r="C151" t="str">
            <v>PERALTA Subtotal</v>
          </cell>
          <cell r="H151">
            <v>15513026</v>
          </cell>
          <cell r="I151">
            <v>424618</v>
          </cell>
          <cell r="J151">
            <v>1103118</v>
          </cell>
          <cell r="K151">
            <v>1301492</v>
          </cell>
          <cell r="L151">
            <v>618209</v>
          </cell>
          <cell r="M151">
            <v>0</v>
          </cell>
          <cell r="N151">
            <v>0</v>
          </cell>
          <cell r="O151">
            <v>1973063</v>
          </cell>
          <cell r="P151">
            <v>19535</v>
          </cell>
          <cell r="Q151">
            <v>-477813</v>
          </cell>
          <cell r="R151">
            <v>0</v>
          </cell>
          <cell r="S151">
            <v>168246</v>
          </cell>
          <cell r="T151">
            <v>0</v>
          </cell>
          <cell r="U151">
            <v>14197660</v>
          </cell>
          <cell r="V151">
            <v>0</v>
          </cell>
          <cell r="W151">
            <v>33539662</v>
          </cell>
          <cell r="X151">
            <v>0</v>
          </cell>
          <cell r="Y151">
            <v>0</v>
          </cell>
          <cell r="Z151">
            <v>0</v>
          </cell>
          <cell r="AA151">
            <v>0</v>
          </cell>
          <cell r="AB151">
            <v>16564210</v>
          </cell>
          <cell r="AC151">
            <v>336905</v>
          </cell>
          <cell r="AD151">
            <v>1408719</v>
          </cell>
          <cell r="AE151">
            <v>1262592</v>
          </cell>
          <cell r="AF151">
            <v>599731</v>
          </cell>
          <cell r="AG151">
            <v>0</v>
          </cell>
          <cell r="AH151">
            <v>0</v>
          </cell>
          <cell r="AI151">
            <v>1964144</v>
          </cell>
          <cell r="AJ151">
            <v>0</v>
          </cell>
          <cell r="AK151">
            <v>-477813</v>
          </cell>
          <cell r="AL151">
            <v>0</v>
          </cell>
          <cell r="AM151">
            <v>168422</v>
          </cell>
          <cell r="AN151">
            <v>0</v>
          </cell>
          <cell r="AO151">
            <v>23799617</v>
          </cell>
          <cell r="AP151">
            <v>44363935</v>
          </cell>
          <cell r="AQ151">
            <v>0</v>
          </cell>
          <cell r="AR151">
            <v>0</v>
          </cell>
          <cell r="AS151">
            <v>0</v>
          </cell>
          <cell r="AT151">
            <v>0</v>
          </cell>
          <cell r="AU151">
            <v>0</v>
          </cell>
          <cell r="AV151">
            <v>0</v>
          </cell>
          <cell r="AW151">
            <v>0</v>
          </cell>
        </row>
        <row r="153">
          <cell r="C153" t="str">
            <v xml:space="preserve"> RANCHO SANTIAGO   </v>
          </cell>
          <cell r="D153" t="str">
            <v xml:space="preserve"> ORANGE            </v>
          </cell>
          <cell r="E153">
            <v>870</v>
          </cell>
          <cell r="F153" t="str">
            <v xml:space="preserve"> 2015-2016</v>
          </cell>
          <cell r="G153" t="str">
            <v xml:space="preserve"> 11/15/2015</v>
          </cell>
          <cell r="H153">
            <v>39961546</v>
          </cell>
          <cell r="I153">
            <v>1144948</v>
          </cell>
          <cell r="J153">
            <v>1529150</v>
          </cell>
          <cell r="K153">
            <v>310048</v>
          </cell>
          <cell r="L153">
            <v>147273</v>
          </cell>
          <cell r="M153">
            <v>0</v>
          </cell>
          <cell r="N153">
            <v>0</v>
          </cell>
          <cell r="O153">
            <v>3673735</v>
          </cell>
          <cell r="P153">
            <v>2111500</v>
          </cell>
          <cell r="Q153">
            <v>662064</v>
          </cell>
          <cell r="R153">
            <v>6</v>
          </cell>
          <cell r="S153">
            <v>295240</v>
          </cell>
          <cell r="T153">
            <v>0</v>
          </cell>
          <cell r="U153">
            <v>281777</v>
          </cell>
          <cell r="V153" t="str">
            <v xml:space="preserve"> </v>
          </cell>
          <cell r="W153">
            <v>49807239</v>
          </cell>
          <cell r="X153">
            <v>0</v>
          </cell>
          <cell r="Y153">
            <v>0</v>
          </cell>
          <cell r="Z153">
            <v>0</v>
          </cell>
          <cell r="AA153">
            <v>0</v>
          </cell>
          <cell r="AB153">
            <v>42753754</v>
          </cell>
          <cell r="AC153">
            <v>1054067</v>
          </cell>
          <cell r="AD153">
            <v>1376106</v>
          </cell>
          <cell r="AE153">
            <v>385611</v>
          </cell>
          <cell r="AF153">
            <v>183165</v>
          </cell>
          <cell r="AG153">
            <v>0</v>
          </cell>
          <cell r="AH153">
            <v>0</v>
          </cell>
          <cell r="AI153">
            <v>2723321</v>
          </cell>
          <cell r="AJ153">
            <v>0</v>
          </cell>
          <cell r="AK153">
            <v>628048</v>
          </cell>
          <cell r="AL153">
            <v>6</v>
          </cell>
          <cell r="AM153">
            <v>292411</v>
          </cell>
          <cell r="AN153">
            <v>0</v>
          </cell>
          <cell r="AO153">
            <v>7126684</v>
          </cell>
          <cell r="AP153">
            <v>56137562</v>
          </cell>
          <cell r="AQ153">
            <v>0</v>
          </cell>
          <cell r="AR153">
            <v>0</v>
          </cell>
          <cell r="AS153">
            <v>0</v>
          </cell>
          <cell r="AT153">
            <v>0</v>
          </cell>
          <cell r="AU153" t="str">
            <v xml:space="preserve"> </v>
          </cell>
          <cell r="AV153" t="str">
            <v xml:space="preserve"> </v>
          </cell>
          <cell r="AW153" t="str">
            <v xml:space="preserve"> </v>
          </cell>
        </row>
        <row r="154">
          <cell r="C154" t="str">
            <v xml:space="preserve">RANCHO SANTIAGO Subtotal   </v>
          </cell>
          <cell r="H154">
            <v>39961546</v>
          </cell>
          <cell r="I154">
            <v>1144948</v>
          </cell>
          <cell r="J154">
            <v>1529150</v>
          </cell>
          <cell r="K154">
            <v>310048</v>
          </cell>
          <cell r="L154">
            <v>147273</v>
          </cell>
          <cell r="M154">
            <v>0</v>
          </cell>
          <cell r="N154">
            <v>0</v>
          </cell>
          <cell r="O154">
            <v>3673735</v>
          </cell>
          <cell r="P154">
            <v>2111500</v>
          </cell>
          <cell r="Q154">
            <v>662064</v>
          </cell>
          <cell r="R154">
            <v>6</v>
          </cell>
          <cell r="S154">
            <v>295240</v>
          </cell>
          <cell r="T154">
            <v>0</v>
          </cell>
          <cell r="U154">
            <v>281777</v>
          </cell>
          <cell r="V154">
            <v>0</v>
          </cell>
          <cell r="W154">
            <v>49807239</v>
          </cell>
          <cell r="X154">
            <v>0</v>
          </cell>
          <cell r="Y154">
            <v>0</v>
          </cell>
          <cell r="Z154">
            <v>0</v>
          </cell>
          <cell r="AA154">
            <v>0</v>
          </cell>
          <cell r="AB154">
            <v>42753754</v>
          </cell>
          <cell r="AC154">
            <v>1054067</v>
          </cell>
          <cell r="AD154">
            <v>1376106</v>
          </cell>
          <cell r="AE154">
            <v>385611</v>
          </cell>
          <cell r="AF154">
            <v>183165</v>
          </cell>
          <cell r="AG154">
            <v>0</v>
          </cell>
          <cell r="AH154">
            <v>0</v>
          </cell>
          <cell r="AI154">
            <v>2723321</v>
          </cell>
          <cell r="AJ154">
            <v>0</v>
          </cell>
          <cell r="AK154">
            <v>628048</v>
          </cell>
          <cell r="AL154">
            <v>6</v>
          </cell>
          <cell r="AM154">
            <v>292411</v>
          </cell>
          <cell r="AN154">
            <v>0</v>
          </cell>
          <cell r="AO154">
            <v>7126684</v>
          </cell>
          <cell r="AP154">
            <v>56137562</v>
          </cell>
          <cell r="AQ154">
            <v>0</v>
          </cell>
          <cell r="AR154">
            <v>0</v>
          </cell>
          <cell r="AS154">
            <v>0</v>
          </cell>
          <cell r="AT154">
            <v>0</v>
          </cell>
          <cell r="AU154">
            <v>0</v>
          </cell>
          <cell r="AV154">
            <v>0</v>
          </cell>
          <cell r="AW154">
            <v>0</v>
          </cell>
        </row>
        <row r="156">
          <cell r="C156" t="str">
            <v xml:space="preserve"> REDWOODS          </v>
          </cell>
          <cell r="D156" t="str">
            <v xml:space="preserve"> DEL NORTE         </v>
          </cell>
          <cell r="E156">
            <v>160</v>
          </cell>
          <cell r="F156" t="str">
            <v xml:space="preserve"> 2015-2016</v>
          </cell>
          <cell r="G156" t="str">
            <v xml:space="preserve"> 11/15/2015</v>
          </cell>
          <cell r="H156">
            <v>0</v>
          </cell>
          <cell r="I156">
            <v>0</v>
          </cell>
          <cell r="J156">
            <v>0</v>
          </cell>
          <cell r="K156">
            <v>0</v>
          </cell>
          <cell r="L156">
            <v>0</v>
          </cell>
          <cell r="M156">
            <v>0</v>
          </cell>
          <cell r="N156">
            <v>0</v>
          </cell>
          <cell r="O156">
            <v>0</v>
          </cell>
          <cell r="P156">
            <v>0</v>
          </cell>
          <cell r="Q156">
            <v>0</v>
          </cell>
          <cell r="R156">
            <v>22508</v>
          </cell>
          <cell r="S156">
            <v>0</v>
          </cell>
          <cell r="T156">
            <v>0</v>
          </cell>
          <cell r="U156">
            <v>0</v>
          </cell>
          <cell r="V156" t="str">
            <v xml:space="preserve"> </v>
          </cell>
          <cell r="W156">
            <v>22508</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18006</v>
          </cell>
          <cell r="AM156">
            <v>0</v>
          </cell>
          <cell r="AN156">
            <v>0</v>
          </cell>
          <cell r="AO156">
            <v>0</v>
          </cell>
          <cell r="AP156">
            <v>18006</v>
          </cell>
          <cell r="AQ156">
            <v>0</v>
          </cell>
          <cell r="AR156">
            <v>0</v>
          </cell>
          <cell r="AS156">
            <v>0</v>
          </cell>
          <cell r="AT156">
            <v>0</v>
          </cell>
          <cell r="AU156" t="str">
            <v xml:space="preserve"> </v>
          </cell>
          <cell r="AV156" t="str">
            <v xml:space="preserve"> </v>
          </cell>
          <cell r="AW156" t="str">
            <v xml:space="preserve"> </v>
          </cell>
        </row>
        <row r="157">
          <cell r="C157" t="str">
            <v xml:space="preserve"> REDWOODS          </v>
          </cell>
          <cell r="D157" t="str">
            <v xml:space="preserve"> HUMBOLDT          </v>
          </cell>
          <cell r="E157">
            <v>160</v>
          </cell>
          <cell r="F157" t="str">
            <v xml:space="preserve"> 2015-2016</v>
          </cell>
          <cell r="G157" t="str">
            <v xml:space="preserve"> 11/15/2015</v>
          </cell>
          <cell r="H157">
            <v>6651841</v>
          </cell>
          <cell r="I157">
            <v>59156</v>
          </cell>
          <cell r="J157">
            <v>291172</v>
          </cell>
          <cell r="K157">
            <v>0</v>
          </cell>
          <cell r="L157">
            <v>0</v>
          </cell>
          <cell r="M157">
            <v>0</v>
          </cell>
          <cell r="N157">
            <v>0</v>
          </cell>
          <cell r="O157">
            <v>312352</v>
          </cell>
          <cell r="P157">
            <v>104740</v>
          </cell>
          <cell r="Q157">
            <v>8658</v>
          </cell>
          <cell r="R157">
            <v>205319</v>
          </cell>
          <cell r="S157">
            <v>110163</v>
          </cell>
          <cell r="T157">
            <v>0</v>
          </cell>
          <cell r="U157">
            <v>-429401</v>
          </cell>
          <cell r="V157" t="str">
            <v xml:space="preserve"> </v>
          </cell>
          <cell r="W157">
            <v>7314000</v>
          </cell>
          <cell r="X157">
            <v>0</v>
          </cell>
          <cell r="Y157">
            <v>0</v>
          </cell>
          <cell r="Z157">
            <v>0</v>
          </cell>
          <cell r="AA157">
            <v>0</v>
          </cell>
          <cell r="AB157">
            <v>6932712</v>
          </cell>
          <cell r="AC157">
            <v>59156</v>
          </cell>
          <cell r="AD157">
            <v>294692</v>
          </cell>
          <cell r="AE157">
            <v>0</v>
          </cell>
          <cell r="AF157">
            <v>0</v>
          </cell>
          <cell r="AG157">
            <v>0</v>
          </cell>
          <cell r="AH157">
            <v>0</v>
          </cell>
          <cell r="AI157">
            <v>312352</v>
          </cell>
          <cell r="AJ157">
            <v>140447</v>
          </cell>
          <cell r="AK157">
            <v>8658</v>
          </cell>
          <cell r="AL157">
            <v>205319</v>
          </cell>
          <cell r="AM157">
            <v>105918</v>
          </cell>
          <cell r="AN157">
            <v>0</v>
          </cell>
          <cell r="AO157">
            <v>-429401</v>
          </cell>
          <cell r="AP157">
            <v>7629853</v>
          </cell>
          <cell r="AQ157">
            <v>0</v>
          </cell>
          <cell r="AR157">
            <v>0</v>
          </cell>
          <cell r="AS157">
            <v>0</v>
          </cell>
          <cell r="AT157">
            <v>0</v>
          </cell>
          <cell r="AU157" t="str">
            <v xml:space="preserve"> </v>
          </cell>
          <cell r="AV157" t="str">
            <v xml:space="preserve"> </v>
          </cell>
          <cell r="AW157" t="str">
            <v xml:space="preserve"> </v>
          </cell>
        </row>
        <row r="158">
          <cell r="C158" t="str">
            <v xml:space="preserve"> REDWOODS          </v>
          </cell>
          <cell r="D158" t="str">
            <v xml:space="preserve"> MENDOCINO         </v>
          </cell>
          <cell r="E158">
            <v>160</v>
          </cell>
          <cell r="F158" t="str">
            <v xml:space="preserve"> 2015-2016</v>
          </cell>
          <cell r="G158" t="str">
            <v xml:space="preserve"> 11/15/2015</v>
          </cell>
          <cell r="H158">
            <v>1794610</v>
          </cell>
          <cell r="I158">
            <v>14251</v>
          </cell>
          <cell r="J158">
            <v>62793</v>
          </cell>
          <cell r="K158">
            <v>0</v>
          </cell>
          <cell r="L158">
            <v>0</v>
          </cell>
          <cell r="M158">
            <v>0</v>
          </cell>
          <cell r="N158">
            <v>0</v>
          </cell>
          <cell r="O158">
            <v>0</v>
          </cell>
          <cell r="P158">
            <v>0</v>
          </cell>
          <cell r="Q158">
            <v>-381</v>
          </cell>
          <cell r="R158">
            <v>53288</v>
          </cell>
          <cell r="S158">
            <v>19826</v>
          </cell>
          <cell r="T158">
            <v>0</v>
          </cell>
          <cell r="U158">
            <v>125172</v>
          </cell>
          <cell r="V158" t="str">
            <v xml:space="preserve"> </v>
          </cell>
          <cell r="W158">
            <v>2069559</v>
          </cell>
          <cell r="X158">
            <v>0</v>
          </cell>
          <cell r="Y158">
            <v>0</v>
          </cell>
          <cell r="Z158">
            <v>0</v>
          </cell>
          <cell r="AA158">
            <v>0</v>
          </cell>
          <cell r="AB158">
            <v>1808432</v>
          </cell>
          <cell r="AC158">
            <v>2444</v>
          </cell>
          <cell r="AD158">
            <v>66918</v>
          </cell>
          <cell r="AE158">
            <v>0</v>
          </cell>
          <cell r="AF158">
            <v>0</v>
          </cell>
          <cell r="AG158">
            <v>0</v>
          </cell>
          <cell r="AH158">
            <v>0</v>
          </cell>
          <cell r="AI158">
            <v>0</v>
          </cell>
          <cell r="AJ158">
            <v>0</v>
          </cell>
          <cell r="AK158">
            <v>3261</v>
          </cell>
          <cell r="AL158">
            <v>42836</v>
          </cell>
          <cell r="AM158">
            <v>19229</v>
          </cell>
          <cell r="AN158">
            <v>0</v>
          </cell>
          <cell r="AO158">
            <v>422695</v>
          </cell>
          <cell r="AP158">
            <v>2365815</v>
          </cell>
          <cell r="AQ158">
            <v>0</v>
          </cell>
          <cell r="AR158">
            <v>0</v>
          </cell>
          <cell r="AS158">
            <v>0</v>
          </cell>
          <cell r="AT158">
            <v>0</v>
          </cell>
          <cell r="AU158" t="str">
            <v xml:space="preserve"> </v>
          </cell>
          <cell r="AV158" t="str">
            <v xml:space="preserve"> </v>
          </cell>
          <cell r="AW158" t="str">
            <v xml:space="preserve"> </v>
          </cell>
        </row>
        <row r="159">
          <cell r="C159" t="str">
            <v xml:space="preserve"> REDWOODS          </v>
          </cell>
          <cell r="D159" t="str">
            <v xml:space="preserve"> TRINITY           </v>
          </cell>
          <cell r="E159">
            <v>160</v>
          </cell>
          <cell r="F159" t="str">
            <v xml:space="preserve"> 2015-2016</v>
          </cell>
          <cell r="G159" t="str">
            <v xml:space="preserve"> 11/15/2015</v>
          </cell>
          <cell r="H159">
            <v>47915</v>
          </cell>
          <cell r="I159">
            <v>1894</v>
          </cell>
          <cell r="J159">
            <v>1116</v>
          </cell>
          <cell r="K159">
            <v>0</v>
          </cell>
          <cell r="L159">
            <v>0</v>
          </cell>
          <cell r="M159">
            <v>0</v>
          </cell>
          <cell r="N159">
            <v>0</v>
          </cell>
          <cell r="O159">
            <v>0</v>
          </cell>
          <cell r="P159">
            <v>0</v>
          </cell>
          <cell r="Q159">
            <v>35</v>
          </cell>
          <cell r="R159">
            <v>151</v>
          </cell>
          <cell r="S159">
            <v>715</v>
          </cell>
          <cell r="T159">
            <v>0</v>
          </cell>
          <cell r="U159">
            <v>0</v>
          </cell>
          <cell r="V159" t="str">
            <v xml:space="preserve"> </v>
          </cell>
          <cell r="W159">
            <v>51826</v>
          </cell>
          <cell r="X159">
            <v>0</v>
          </cell>
          <cell r="Y159">
            <v>0</v>
          </cell>
          <cell r="Z159">
            <v>0</v>
          </cell>
          <cell r="AA159">
            <v>0</v>
          </cell>
          <cell r="AB159">
            <v>50000</v>
          </cell>
          <cell r="AC159">
            <v>1000</v>
          </cell>
          <cell r="AD159">
            <v>1500</v>
          </cell>
          <cell r="AE159">
            <v>0</v>
          </cell>
          <cell r="AF159">
            <v>0</v>
          </cell>
          <cell r="AG159">
            <v>0</v>
          </cell>
          <cell r="AH159">
            <v>0</v>
          </cell>
          <cell r="AI159">
            <v>0</v>
          </cell>
          <cell r="AJ159">
            <v>0</v>
          </cell>
          <cell r="AK159">
            <v>10</v>
          </cell>
          <cell r="AL159">
            <v>150</v>
          </cell>
          <cell r="AM159">
            <v>619</v>
          </cell>
          <cell r="AN159">
            <v>0</v>
          </cell>
          <cell r="AO159">
            <v>0</v>
          </cell>
          <cell r="AP159">
            <v>53279</v>
          </cell>
          <cell r="AQ159">
            <v>0</v>
          </cell>
          <cell r="AR159">
            <v>0</v>
          </cell>
          <cell r="AS159">
            <v>0</v>
          </cell>
          <cell r="AT159">
            <v>0</v>
          </cell>
          <cell r="AU159" t="str">
            <v xml:space="preserve"> </v>
          </cell>
          <cell r="AV159" t="str">
            <v xml:space="preserve"> </v>
          </cell>
          <cell r="AW159" t="str">
            <v xml:space="preserve"> </v>
          </cell>
        </row>
        <row r="160">
          <cell r="C160" t="str">
            <v xml:space="preserve">REDWOODS Subtotal         </v>
          </cell>
          <cell r="H160">
            <v>8494366</v>
          </cell>
          <cell r="I160">
            <v>75301</v>
          </cell>
          <cell r="J160">
            <v>355081</v>
          </cell>
          <cell r="K160">
            <v>0</v>
          </cell>
          <cell r="L160">
            <v>0</v>
          </cell>
          <cell r="M160">
            <v>0</v>
          </cell>
          <cell r="N160">
            <v>0</v>
          </cell>
          <cell r="O160">
            <v>312352</v>
          </cell>
          <cell r="P160">
            <v>104740</v>
          </cell>
          <cell r="Q160">
            <v>8312</v>
          </cell>
          <cell r="R160">
            <v>281266</v>
          </cell>
          <cell r="S160">
            <v>130704</v>
          </cell>
          <cell r="T160">
            <v>0</v>
          </cell>
          <cell r="U160">
            <v>-304229</v>
          </cell>
          <cell r="V160">
            <v>0</v>
          </cell>
          <cell r="W160">
            <v>9457893</v>
          </cell>
          <cell r="X160">
            <v>0</v>
          </cell>
          <cell r="Y160">
            <v>0</v>
          </cell>
          <cell r="Z160">
            <v>0</v>
          </cell>
          <cell r="AA160">
            <v>0</v>
          </cell>
          <cell r="AB160">
            <v>8791144</v>
          </cell>
          <cell r="AC160">
            <v>62600</v>
          </cell>
          <cell r="AD160">
            <v>363110</v>
          </cell>
          <cell r="AE160">
            <v>0</v>
          </cell>
          <cell r="AF160">
            <v>0</v>
          </cell>
          <cell r="AG160">
            <v>0</v>
          </cell>
          <cell r="AH160">
            <v>0</v>
          </cell>
          <cell r="AI160">
            <v>312352</v>
          </cell>
          <cell r="AJ160">
            <v>140447</v>
          </cell>
          <cell r="AK160">
            <v>11929</v>
          </cell>
          <cell r="AL160">
            <v>266311</v>
          </cell>
          <cell r="AM160">
            <v>125766</v>
          </cell>
          <cell r="AN160">
            <v>0</v>
          </cell>
          <cell r="AO160">
            <v>-6706</v>
          </cell>
          <cell r="AP160">
            <v>10066953</v>
          </cell>
          <cell r="AQ160">
            <v>0</v>
          </cell>
          <cell r="AR160">
            <v>0</v>
          </cell>
          <cell r="AS160">
            <v>0</v>
          </cell>
          <cell r="AT160">
            <v>0</v>
          </cell>
          <cell r="AU160">
            <v>0</v>
          </cell>
          <cell r="AV160">
            <v>0</v>
          </cell>
          <cell r="AW160">
            <v>0</v>
          </cell>
        </row>
        <row r="162">
          <cell r="C162" t="str">
            <v xml:space="preserve"> RIO HONDO         </v>
          </cell>
          <cell r="D162" t="str">
            <v xml:space="preserve"> LOS ANGELES       </v>
          </cell>
          <cell r="E162">
            <v>880</v>
          </cell>
          <cell r="F162" t="str">
            <v xml:space="preserve"> 2015-2016</v>
          </cell>
          <cell r="G162" t="str">
            <v xml:space="preserve"> 11/15/2015</v>
          </cell>
          <cell r="H162">
            <v>5185926</v>
          </cell>
          <cell r="I162">
            <v>148141</v>
          </cell>
          <cell r="J162">
            <v>124061</v>
          </cell>
          <cell r="K162">
            <v>144664</v>
          </cell>
          <cell r="L162">
            <v>68715</v>
          </cell>
          <cell r="M162">
            <v>0</v>
          </cell>
          <cell r="N162">
            <v>0</v>
          </cell>
          <cell r="O162">
            <v>555289</v>
          </cell>
          <cell r="P162">
            <v>-1005</v>
          </cell>
          <cell r="Q162">
            <v>46341</v>
          </cell>
          <cell r="R162">
            <v>0</v>
          </cell>
          <cell r="S162">
            <v>38697</v>
          </cell>
          <cell r="T162">
            <v>0</v>
          </cell>
          <cell r="U162">
            <v>0</v>
          </cell>
          <cell r="V162" t="str">
            <v xml:space="preserve"> </v>
          </cell>
          <cell r="W162">
            <v>6166165</v>
          </cell>
          <cell r="X162">
            <v>0</v>
          </cell>
          <cell r="Y162">
            <v>0</v>
          </cell>
          <cell r="Z162">
            <v>0</v>
          </cell>
          <cell r="AA162">
            <v>0</v>
          </cell>
          <cell r="AB162">
            <v>5419293</v>
          </cell>
          <cell r="AC162">
            <v>185176</v>
          </cell>
          <cell r="AD162">
            <v>124000</v>
          </cell>
          <cell r="AE162">
            <v>60167</v>
          </cell>
          <cell r="AF162">
            <v>28579</v>
          </cell>
          <cell r="AG162">
            <v>0</v>
          </cell>
          <cell r="AH162">
            <v>0</v>
          </cell>
          <cell r="AI162">
            <v>83957</v>
          </cell>
          <cell r="AJ162">
            <v>0</v>
          </cell>
          <cell r="AK162">
            <v>97413</v>
          </cell>
          <cell r="AL162">
            <v>0</v>
          </cell>
          <cell r="AM162">
            <v>38700</v>
          </cell>
          <cell r="AN162">
            <v>0</v>
          </cell>
          <cell r="AO162">
            <v>0</v>
          </cell>
          <cell r="AP162">
            <v>5977118</v>
          </cell>
          <cell r="AQ162">
            <v>0</v>
          </cell>
          <cell r="AR162">
            <v>0</v>
          </cell>
          <cell r="AS162">
            <v>0</v>
          </cell>
          <cell r="AT162">
            <v>0</v>
          </cell>
          <cell r="AU162" t="str">
            <v xml:space="preserve"> </v>
          </cell>
          <cell r="AV162" t="str">
            <v xml:space="preserve"> </v>
          </cell>
          <cell r="AW162" t="str">
            <v xml:space="preserve"> </v>
          </cell>
        </row>
        <row r="163">
          <cell r="C163" t="str">
            <v xml:space="preserve">RIO HONDO Subtotal        </v>
          </cell>
          <cell r="H163">
            <v>5185926</v>
          </cell>
          <cell r="I163">
            <v>148141</v>
          </cell>
          <cell r="J163">
            <v>124061</v>
          </cell>
          <cell r="K163">
            <v>144664</v>
          </cell>
          <cell r="L163">
            <v>68715</v>
          </cell>
          <cell r="M163">
            <v>0</v>
          </cell>
          <cell r="N163">
            <v>0</v>
          </cell>
          <cell r="O163">
            <v>555289</v>
          </cell>
          <cell r="P163">
            <v>-1005</v>
          </cell>
          <cell r="Q163">
            <v>46341</v>
          </cell>
          <cell r="R163">
            <v>0</v>
          </cell>
          <cell r="S163">
            <v>38697</v>
          </cell>
          <cell r="T163">
            <v>0</v>
          </cell>
          <cell r="U163">
            <v>0</v>
          </cell>
          <cell r="V163">
            <v>0</v>
          </cell>
          <cell r="W163">
            <v>6166165</v>
          </cell>
          <cell r="X163">
            <v>0</v>
          </cell>
          <cell r="Y163">
            <v>0</v>
          </cell>
          <cell r="Z163">
            <v>0</v>
          </cell>
          <cell r="AA163">
            <v>0</v>
          </cell>
          <cell r="AB163">
            <v>5419293</v>
          </cell>
          <cell r="AC163">
            <v>185176</v>
          </cell>
          <cell r="AD163">
            <v>124000</v>
          </cell>
          <cell r="AE163">
            <v>60167</v>
          </cell>
          <cell r="AF163">
            <v>28579</v>
          </cell>
          <cell r="AG163">
            <v>0</v>
          </cell>
          <cell r="AH163">
            <v>0</v>
          </cell>
          <cell r="AI163">
            <v>83957</v>
          </cell>
          <cell r="AJ163">
            <v>0</v>
          </cell>
          <cell r="AK163">
            <v>97413</v>
          </cell>
          <cell r="AL163">
            <v>0</v>
          </cell>
          <cell r="AM163">
            <v>38700</v>
          </cell>
          <cell r="AN163">
            <v>0</v>
          </cell>
          <cell r="AO163">
            <v>0</v>
          </cell>
          <cell r="AP163">
            <v>5977118</v>
          </cell>
          <cell r="AQ163">
            <v>0</v>
          </cell>
          <cell r="AR163">
            <v>0</v>
          </cell>
          <cell r="AS163">
            <v>0</v>
          </cell>
          <cell r="AT163">
            <v>0</v>
          </cell>
          <cell r="AU163">
            <v>0</v>
          </cell>
          <cell r="AV163">
            <v>0</v>
          </cell>
          <cell r="AW163">
            <v>0</v>
          </cell>
        </row>
        <row r="165">
          <cell r="C165" t="str">
            <v xml:space="preserve"> RIVERSIDE         </v>
          </cell>
          <cell r="D165" t="str">
            <v xml:space="preserve"> RIVERSIDE         </v>
          </cell>
          <cell r="E165">
            <v>960</v>
          </cell>
          <cell r="F165" t="str">
            <v xml:space="preserve"> 2015-2016</v>
          </cell>
          <cell r="G165" t="str">
            <v xml:space="preserve"> 11/15/2015</v>
          </cell>
          <cell r="H165">
            <v>32178177</v>
          </cell>
          <cell r="I165">
            <v>690713</v>
          </cell>
          <cell r="J165">
            <v>1469561</v>
          </cell>
          <cell r="K165">
            <v>1583185</v>
          </cell>
          <cell r="L165">
            <v>752013</v>
          </cell>
          <cell r="M165">
            <v>0</v>
          </cell>
          <cell r="N165">
            <v>0</v>
          </cell>
          <cell r="O165">
            <v>3396483</v>
          </cell>
          <cell r="P165">
            <v>68378</v>
          </cell>
          <cell r="Q165">
            <v>1023567</v>
          </cell>
          <cell r="R165">
            <v>0</v>
          </cell>
          <cell r="S165">
            <v>443409</v>
          </cell>
          <cell r="T165">
            <v>641</v>
          </cell>
          <cell r="U165">
            <v>-6119488</v>
          </cell>
          <cell r="V165" t="str">
            <v xml:space="preserve"> </v>
          </cell>
          <cell r="W165">
            <v>33903454</v>
          </cell>
          <cell r="X165">
            <v>0</v>
          </cell>
          <cell r="Y165">
            <v>0</v>
          </cell>
          <cell r="Z165">
            <v>0</v>
          </cell>
          <cell r="AA165">
            <v>0</v>
          </cell>
          <cell r="AB165">
            <v>32399576</v>
          </cell>
          <cell r="AC165">
            <v>789105</v>
          </cell>
          <cell r="AD165">
            <v>1406733</v>
          </cell>
          <cell r="AE165">
            <v>1420341</v>
          </cell>
          <cell r="AF165">
            <v>674662</v>
          </cell>
          <cell r="AG165">
            <v>0</v>
          </cell>
          <cell r="AH165">
            <v>0</v>
          </cell>
          <cell r="AI165">
            <v>0</v>
          </cell>
          <cell r="AJ165">
            <v>0</v>
          </cell>
          <cell r="AK165">
            <v>881245</v>
          </cell>
          <cell r="AL165">
            <v>0</v>
          </cell>
          <cell r="AM165">
            <v>439651</v>
          </cell>
          <cell r="AN165">
            <v>0</v>
          </cell>
          <cell r="AO165">
            <v>-4524175</v>
          </cell>
          <cell r="AP165">
            <v>32066797</v>
          </cell>
          <cell r="AQ165">
            <v>0</v>
          </cell>
          <cell r="AR165">
            <v>0</v>
          </cell>
          <cell r="AS165">
            <v>0</v>
          </cell>
          <cell r="AT165">
            <v>0</v>
          </cell>
          <cell r="AU165" t="str">
            <v xml:space="preserve"> </v>
          </cell>
          <cell r="AV165" t="str">
            <v xml:space="preserve"> </v>
          </cell>
          <cell r="AW165" t="str">
            <v xml:space="preserve"> </v>
          </cell>
        </row>
        <row r="166">
          <cell r="C166" t="str">
            <v xml:space="preserve">RIVERSIDE Subtotal         </v>
          </cell>
          <cell r="H166">
            <v>32178177</v>
          </cell>
          <cell r="I166">
            <v>690713</v>
          </cell>
          <cell r="J166">
            <v>1469561</v>
          </cell>
          <cell r="K166">
            <v>1583185</v>
          </cell>
          <cell r="L166">
            <v>752013</v>
          </cell>
          <cell r="M166">
            <v>0</v>
          </cell>
          <cell r="N166">
            <v>0</v>
          </cell>
          <cell r="O166">
            <v>3396483</v>
          </cell>
          <cell r="P166">
            <v>68378</v>
          </cell>
          <cell r="Q166">
            <v>1023567</v>
          </cell>
          <cell r="R166">
            <v>0</v>
          </cell>
          <cell r="S166">
            <v>443409</v>
          </cell>
          <cell r="T166">
            <v>641</v>
          </cell>
          <cell r="U166">
            <v>-6119488</v>
          </cell>
          <cell r="V166">
            <v>0</v>
          </cell>
          <cell r="W166">
            <v>33903454</v>
          </cell>
          <cell r="X166">
            <v>0</v>
          </cell>
          <cell r="Y166">
            <v>0</v>
          </cell>
          <cell r="Z166">
            <v>0</v>
          </cell>
          <cell r="AA166">
            <v>0</v>
          </cell>
          <cell r="AB166">
            <v>32399576</v>
          </cell>
          <cell r="AC166">
            <v>789105</v>
          </cell>
          <cell r="AD166">
            <v>1406733</v>
          </cell>
          <cell r="AE166">
            <v>1420341</v>
          </cell>
          <cell r="AF166">
            <v>674662</v>
          </cell>
          <cell r="AG166">
            <v>0</v>
          </cell>
          <cell r="AH166">
            <v>0</v>
          </cell>
          <cell r="AI166">
            <v>0</v>
          </cell>
          <cell r="AJ166">
            <v>0</v>
          </cell>
          <cell r="AK166">
            <v>881245</v>
          </cell>
          <cell r="AL166">
            <v>0</v>
          </cell>
          <cell r="AM166">
            <v>439651</v>
          </cell>
          <cell r="AN166">
            <v>0</v>
          </cell>
          <cell r="AO166">
            <v>-4524175</v>
          </cell>
          <cell r="AP166">
            <v>32066797</v>
          </cell>
          <cell r="AQ166">
            <v>0</v>
          </cell>
          <cell r="AR166">
            <v>0</v>
          </cell>
          <cell r="AS166">
            <v>0</v>
          </cell>
          <cell r="AT166">
            <v>0</v>
          </cell>
          <cell r="AU166">
            <v>0</v>
          </cell>
          <cell r="AV166">
            <v>0</v>
          </cell>
          <cell r="AW166">
            <v>0</v>
          </cell>
        </row>
        <row r="168">
          <cell r="C168" t="str">
            <v xml:space="preserve"> SAN BERNARDINO    </v>
          </cell>
          <cell r="D168" t="str">
            <v xml:space="preserve"> RIVERSIDE         </v>
          </cell>
          <cell r="E168">
            <v>980</v>
          </cell>
          <cell r="F168" t="str">
            <v xml:space="preserve"> 2015-2016</v>
          </cell>
          <cell r="G168" t="str">
            <v xml:space="preserve"> 11/15/2015</v>
          </cell>
          <cell r="H168">
            <v>300257</v>
          </cell>
          <cell r="I168">
            <v>6391</v>
          </cell>
          <cell r="J168">
            <v>13594</v>
          </cell>
          <cell r="K168">
            <v>0</v>
          </cell>
          <cell r="L168">
            <v>0</v>
          </cell>
          <cell r="M168">
            <v>0</v>
          </cell>
          <cell r="N168">
            <v>0</v>
          </cell>
          <cell r="O168">
            <v>12018</v>
          </cell>
          <cell r="P168">
            <v>0</v>
          </cell>
          <cell r="Q168">
            <v>9506</v>
          </cell>
          <cell r="R168">
            <v>0</v>
          </cell>
          <cell r="S168">
            <v>4099</v>
          </cell>
          <cell r="T168">
            <v>6</v>
          </cell>
          <cell r="U168">
            <v>-56570</v>
          </cell>
          <cell r="V168" t="str">
            <v xml:space="preserve"> </v>
          </cell>
          <cell r="W168">
            <v>289301</v>
          </cell>
          <cell r="X168">
            <v>0</v>
          </cell>
          <cell r="Y168">
            <v>0</v>
          </cell>
          <cell r="Z168">
            <v>0</v>
          </cell>
          <cell r="AA168">
            <v>0</v>
          </cell>
          <cell r="AB168">
            <v>302584</v>
          </cell>
          <cell r="AC168">
            <v>7300</v>
          </cell>
          <cell r="AD168">
            <v>13017</v>
          </cell>
          <cell r="AE168">
            <v>0</v>
          </cell>
          <cell r="AF168">
            <v>0</v>
          </cell>
          <cell r="AG168">
            <v>0</v>
          </cell>
          <cell r="AH168">
            <v>0</v>
          </cell>
          <cell r="AI168">
            <v>0</v>
          </cell>
          <cell r="AJ168">
            <v>0</v>
          </cell>
          <cell r="AK168">
            <v>8148</v>
          </cell>
          <cell r="AL168">
            <v>0</v>
          </cell>
          <cell r="AM168">
            <v>4068</v>
          </cell>
          <cell r="AN168">
            <v>0</v>
          </cell>
          <cell r="AO168">
            <v>-41864</v>
          </cell>
          <cell r="AP168">
            <v>293253</v>
          </cell>
          <cell r="AQ168">
            <v>0</v>
          </cell>
          <cell r="AR168">
            <v>0</v>
          </cell>
          <cell r="AS168">
            <v>0</v>
          </cell>
          <cell r="AT168">
            <v>0</v>
          </cell>
          <cell r="AU168" t="str">
            <v xml:space="preserve"> </v>
          </cell>
          <cell r="AV168" t="str">
            <v xml:space="preserve"> </v>
          </cell>
          <cell r="AW168" t="str">
            <v xml:space="preserve"> </v>
          </cell>
        </row>
        <row r="169">
          <cell r="C169" t="str">
            <v xml:space="preserve"> SAN BERNARDINO    </v>
          </cell>
          <cell r="D169" t="str">
            <v xml:space="preserve"> SAN BERNARDINO    </v>
          </cell>
          <cell r="E169">
            <v>980</v>
          </cell>
          <cell r="F169" t="str">
            <v xml:space="preserve"> 2015-2016</v>
          </cell>
          <cell r="G169" t="str">
            <v xml:space="preserve"> 11/15/2015</v>
          </cell>
          <cell r="H169">
            <v>19644194</v>
          </cell>
          <cell r="I169">
            <v>387457</v>
          </cell>
          <cell r="J169">
            <v>821432</v>
          </cell>
          <cell r="K169">
            <v>783910</v>
          </cell>
          <cell r="L169">
            <v>372357</v>
          </cell>
          <cell r="M169">
            <v>0</v>
          </cell>
          <cell r="N169">
            <v>0</v>
          </cell>
          <cell r="O169">
            <v>4676296</v>
          </cell>
          <cell r="P169">
            <v>0</v>
          </cell>
          <cell r="Q169">
            <v>10019</v>
          </cell>
          <cell r="R169">
            <v>0</v>
          </cell>
          <cell r="S169">
            <v>220922</v>
          </cell>
          <cell r="T169">
            <v>0</v>
          </cell>
          <cell r="U169">
            <v>-8130431</v>
          </cell>
          <cell r="V169" t="str">
            <v xml:space="preserve"> </v>
          </cell>
          <cell r="W169">
            <v>18002246</v>
          </cell>
          <cell r="X169">
            <v>0</v>
          </cell>
          <cell r="Y169">
            <v>0</v>
          </cell>
          <cell r="Z169">
            <v>0</v>
          </cell>
          <cell r="AA169">
            <v>0</v>
          </cell>
          <cell r="AB169">
            <v>20311891</v>
          </cell>
          <cell r="AC169">
            <v>387457</v>
          </cell>
          <cell r="AD169">
            <v>792033</v>
          </cell>
          <cell r="AE169">
            <v>817427</v>
          </cell>
          <cell r="AF169">
            <v>388278</v>
          </cell>
          <cell r="AG169">
            <v>0</v>
          </cell>
          <cell r="AH169">
            <v>0</v>
          </cell>
          <cell r="AI169">
            <v>0</v>
          </cell>
          <cell r="AJ169">
            <v>0</v>
          </cell>
          <cell r="AK169">
            <v>25099</v>
          </cell>
          <cell r="AL169">
            <v>0</v>
          </cell>
          <cell r="AM169">
            <v>220843</v>
          </cell>
          <cell r="AN169">
            <v>0</v>
          </cell>
          <cell r="AO169">
            <v>-5872162</v>
          </cell>
          <cell r="AP169">
            <v>16253439</v>
          </cell>
          <cell r="AQ169">
            <v>0</v>
          </cell>
          <cell r="AR169">
            <v>0</v>
          </cell>
          <cell r="AS169">
            <v>0</v>
          </cell>
          <cell r="AT169">
            <v>0</v>
          </cell>
          <cell r="AU169" t="str">
            <v xml:space="preserve"> </v>
          </cell>
          <cell r="AV169" t="str">
            <v xml:space="preserve"> </v>
          </cell>
          <cell r="AW169" t="str">
            <v xml:space="preserve"> </v>
          </cell>
        </row>
        <row r="170">
          <cell r="C170" t="str">
            <v xml:space="preserve">SAN BERNARDINO Subtotal    </v>
          </cell>
          <cell r="H170">
            <v>19944451</v>
          </cell>
          <cell r="I170">
            <v>393848</v>
          </cell>
          <cell r="J170">
            <v>835026</v>
          </cell>
          <cell r="K170">
            <v>783910</v>
          </cell>
          <cell r="L170">
            <v>372357</v>
          </cell>
          <cell r="M170">
            <v>0</v>
          </cell>
          <cell r="N170">
            <v>0</v>
          </cell>
          <cell r="O170">
            <v>4688314</v>
          </cell>
          <cell r="P170">
            <v>0</v>
          </cell>
          <cell r="Q170">
            <v>19525</v>
          </cell>
          <cell r="R170">
            <v>0</v>
          </cell>
          <cell r="S170">
            <v>225021</v>
          </cell>
          <cell r="T170">
            <v>6</v>
          </cell>
          <cell r="U170">
            <v>-8187001</v>
          </cell>
          <cell r="V170">
            <v>0</v>
          </cell>
          <cell r="W170">
            <v>18291547</v>
          </cell>
          <cell r="X170">
            <v>0</v>
          </cell>
          <cell r="Y170">
            <v>0</v>
          </cell>
          <cell r="Z170">
            <v>0</v>
          </cell>
          <cell r="AA170">
            <v>0</v>
          </cell>
          <cell r="AB170">
            <v>20614475</v>
          </cell>
          <cell r="AC170">
            <v>394757</v>
          </cell>
          <cell r="AD170">
            <v>805050</v>
          </cell>
          <cell r="AE170">
            <v>817427</v>
          </cell>
          <cell r="AF170">
            <v>388278</v>
          </cell>
          <cell r="AG170">
            <v>0</v>
          </cell>
          <cell r="AH170">
            <v>0</v>
          </cell>
          <cell r="AI170">
            <v>0</v>
          </cell>
          <cell r="AJ170">
            <v>0</v>
          </cell>
          <cell r="AK170">
            <v>33247</v>
          </cell>
          <cell r="AL170">
            <v>0</v>
          </cell>
          <cell r="AM170">
            <v>224911</v>
          </cell>
          <cell r="AN170">
            <v>0</v>
          </cell>
          <cell r="AO170">
            <v>-5914026</v>
          </cell>
          <cell r="AP170">
            <v>16546692</v>
          </cell>
          <cell r="AQ170">
            <v>0</v>
          </cell>
          <cell r="AR170">
            <v>0</v>
          </cell>
          <cell r="AS170">
            <v>0</v>
          </cell>
          <cell r="AT170">
            <v>0</v>
          </cell>
          <cell r="AU170">
            <v>0</v>
          </cell>
          <cell r="AV170">
            <v>0</v>
          </cell>
          <cell r="AW170">
            <v>0</v>
          </cell>
        </row>
        <row r="172">
          <cell r="C172" t="str">
            <v xml:space="preserve"> SAN DIEGO         </v>
          </cell>
          <cell r="D172" t="str">
            <v xml:space="preserve"> SAN DIEGO         </v>
          </cell>
          <cell r="E172">
            <v>70</v>
          </cell>
          <cell r="F172" t="str">
            <v xml:space="preserve"> 2015-2016</v>
          </cell>
          <cell r="G172" t="str">
            <v xml:space="preserve"> 11/15/2015</v>
          </cell>
          <cell r="H172">
            <v>81305339</v>
          </cell>
          <cell r="I172">
            <v>2102506</v>
          </cell>
          <cell r="J172">
            <v>2761743</v>
          </cell>
          <cell r="K172">
            <v>568001</v>
          </cell>
          <cell r="L172">
            <v>269800</v>
          </cell>
          <cell r="M172">
            <v>0</v>
          </cell>
          <cell r="N172">
            <v>0</v>
          </cell>
          <cell r="O172">
            <v>4891394</v>
          </cell>
          <cell r="P172">
            <v>0</v>
          </cell>
          <cell r="Q172">
            <v>-67603</v>
          </cell>
          <cell r="R172">
            <v>0</v>
          </cell>
          <cell r="S172">
            <v>697670</v>
          </cell>
          <cell r="T172">
            <v>0</v>
          </cell>
          <cell r="U172">
            <v>-7681045</v>
          </cell>
          <cell r="V172" t="str">
            <v xml:space="preserve"> </v>
          </cell>
          <cell r="W172">
            <v>84279804</v>
          </cell>
          <cell r="X172">
            <v>0</v>
          </cell>
          <cell r="Y172">
            <v>0</v>
          </cell>
          <cell r="Z172">
            <v>0</v>
          </cell>
          <cell r="AA172">
            <v>0</v>
          </cell>
          <cell r="AB172">
            <v>85012724</v>
          </cell>
          <cell r="AC172">
            <v>1989621</v>
          </cell>
          <cell r="AD172">
            <v>2815302</v>
          </cell>
          <cell r="AE172">
            <v>282237</v>
          </cell>
          <cell r="AF172">
            <v>134063</v>
          </cell>
          <cell r="AG172">
            <v>0</v>
          </cell>
          <cell r="AH172">
            <v>0</v>
          </cell>
          <cell r="AI172">
            <v>0</v>
          </cell>
          <cell r="AJ172">
            <v>0</v>
          </cell>
          <cell r="AK172">
            <v>-41921</v>
          </cell>
          <cell r="AL172">
            <v>0</v>
          </cell>
          <cell r="AM172">
            <v>687817</v>
          </cell>
          <cell r="AN172">
            <v>0</v>
          </cell>
          <cell r="AO172">
            <v>-3310474</v>
          </cell>
          <cell r="AP172">
            <v>87287132</v>
          </cell>
          <cell r="AQ172">
            <v>0</v>
          </cell>
          <cell r="AR172">
            <v>0</v>
          </cell>
          <cell r="AS172">
            <v>0</v>
          </cell>
          <cell r="AT172">
            <v>0</v>
          </cell>
          <cell r="AU172" t="str">
            <v xml:space="preserve"> </v>
          </cell>
          <cell r="AV172" t="str">
            <v xml:space="preserve"> </v>
          </cell>
          <cell r="AW172" t="str">
            <v xml:space="preserve"> </v>
          </cell>
        </row>
        <row r="173">
          <cell r="C173" t="str">
            <v xml:space="preserve">SAN DIEGO Subtotal        </v>
          </cell>
          <cell r="H173">
            <v>81305339</v>
          </cell>
          <cell r="I173">
            <v>2102506</v>
          </cell>
          <cell r="J173">
            <v>2761743</v>
          </cell>
          <cell r="K173">
            <v>568001</v>
          </cell>
          <cell r="L173">
            <v>269800</v>
          </cell>
          <cell r="M173">
            <v>0</v>
          </cell>
          <cell r="N173">
            <v>0</v>
          </cell>
          <cell r="O173">
            <v>4891394</v>
          </cell>
          <cell r="P173">
            <v>0</v>
          </cell>
          <cell r="Q173">
            <v>-67603</v>
          </cell>
          <cell r="R173">
            <v>0</v>
          </cell>
          <cell r="S173">
            <v>697670</v>
          </cell>
          <cell r="T173">
            <v>0</v>
          </cell>
          <cell r="U173">
            <v>-7681045</v>
          </cell>
          <cell r="V173">
            <v>0</v>
          </cell>
          <cell r="W173">
            <v>84279804</v>
          </cell>
          <cell r="X173">
            <v>0</v>
          </cell>
          <cell r="Y173">
            <v>0</v>
          </cell>
          <cell r="Z173">
            <v>0</v>
          </cell>
          <cell r="AA173">
            <v>0</v>
          </cell>
          <cell r="AB173">
            <v>85012724</v>
          </cell>
          <cell r="AC173">
            <v>1989621</v>
          </cell>
          <cell r="AD173">
            <v>2815302</v>
          </cell>
          <cell r="AE173">
            <v>282237</v>
          </cell>
          <cell r="AF173">
            <v>134063</v>
          </cell>
          <cell r="AG173">
            <v>0</v>
          </cell>
          <cell r="AH173">
            <v>0</v>
          </cell>
          <cell r="AI173">
            <v>0</v>
          </cell>
          <cell r="AJ173">
            <v>0</v>
          </cell>
          <cell r="AK173">
            <v>-41921</v>
          </cell>
          <cell r="AL173">
            <v>0</v>
          </cell>
          <cell r="AM173">
            <v>687817</v>
          </cell>
          <cell r="AN173">
            <v>0</v>
          </cell>
          <cell r="AO173">
            <v>-3310474</v>
          </cell>
          <cell r="AP173">
            <v>87287132</v>
          </cell>
          <cell r="AQ173">
            <v>0</v>
          </cell>
          <cell r="AR173">
            <v>0</v>
          </cell>
          <cell r="AS173">
            <v>0</v>
          </cell>
          <cell r="AT173">
            <v>0</v>
          </cell>
          <cell r="AU173">
            <v>0</v>
          </cell>
          <cell r="AV173">
            <v>0</v>
          </cell>
          <cell r="AW173">
            <v>0</v>
          </cell>
        </row>
        <row r="175">
          <cell r="C175" t="str">
            <v xml:space="preserve"> SAN FRANCISCO     </v>
          </cell>
          <cell r="D175" t="str">
            <v xml:space="preserve"> SAN FRANCISCO     </v>
          </cell>
          <cell r="E175">
            <v>360</v>
          </cell>
          <cell r="F175" t="str">
            <v xml:space="preserve"> 2015-2016</v>
          </cell>
          <cell r="G175" t="str">
            <v xml:space="preserve"> 11/15/2015</v>
          </cell>
          <cell r="H175">
            <v>22091366</v>
          </cell>
          <cell r="I175">
            <v>759603</v>
          </cell>
          <cell r="J175">
            <v>1420251</v>
          </cell>
          <cell r="K175">
            <v>526704</v>
          </cell>
          <cell r="L175">
            <v>250184</v>
          </cell>
          <cell r="M175">
            <v>0</v>
          </cell>
          <cell r="N175">
            <v>0</v>
          </cell>
          <cell r="O175">
            <v>489520</v>
          </cell>
          <cell r="P175">
            <v>0</v>
          </cell>
          <cell r="Q175">
            <v>12982</v>
          </cell>
          <cell r="R175">
            <v>0</v>
          </cell>
          <cell r="S175">
            <v>96817</v>
          </cell>
          <cell r="T175">
            <v>0</v>
          </cell>
          <cell r="U175">
            <v>31477310</v>
          </cell>
          <cell r="V175" t="str">
            <v xml:space="preserve"> </v>
          </cell>
          <cell r="W175">
            <v>56598033</v>
          </cell>
          <cell r="X175">
            <v>0</v>
          </cell>
          <cell r="Y175">
            <v>0</v>
          </cell>
          <cell r="Z175">
            <v>0</v>
          </cell>
          <cell r="AA175">
            <v>0</v>
          </cell>
          <cell r="AB175">
            <v>22699617</v>
          </cell>
          <cell r="AC175">
            <v>725094</v>
          </cell>
          <cell r="AD175">
            <v>1425404</v>
          </cell>
          <cell r="AE175">
            <v>555205</v>
          </cell>
          <cell r="AF175">
            <v>263722</v>
          </cell>
          <cell r="AG175">
            <v>0</v>
          </cell>
          <cell r="AH175">
            <v>0</v>
          </cell>
          <cell r="AI175">
            <v>489520</v>
          </cell>
          <cell r="AJ175">
            <v>0</v>
          </cell>
          <cell r="AK175">
            <v>9944</v>
          </cell>
          <cell r="AL175">
            <v>0</v>
          </cell>
          <cell r="AM175">
            <v>93315</v>
          </cell>
          <cell r="AN175">
            <v>0</v>
          </cell>
          <cell r="AO175">
            <v>37100571</v>
          </cell>
          <cell r="AP175">
            <v>62807187</v>
          </cell>
          <cell r="AQ175">
            <v>0</v>
          </cell>
          <cell r="AR175">
            <v>0</v>
          </cell>
          <cell r="AS175">
            <v>0</v>
          </cell>
          <cell r="AT175">
            <v>0</v>
          </cell>
          <cell r="AU175" t="str">
            <v xml:space="preserve"> </v>
          </cell>
          <cell r="AV175" t="str">
            <v xml:space="preserve"> </v>
          </cell>
          <cell r="AW175" t="str">
            <v xml:space="preserve"> </v>
          </cell>
        </row>
        <row r="176">
          <cell r="C176" t="str">
            <v xml:space="preserve">SAN FRANCISCO Subtotal     </v>
          </cell>
          <cell r="H176">
            <v>22091366</v>
          </cell>
          <cell r="I176">
            <v>759603</v>
          </cell>
          <cell r="J176">
            <v>1420251</v>
          </cell>
          <cell r="K176">
            <v>526704</v>
          </cell>
          <cell r="L176">
            <v>250184</v>
          </cell>
          <cell r="M176">
            <v>0</v>
          </cell>
          <cell r="N176">
            <v>0</v>
          </cell>
          <cell r="O176">
            <v>489520</v>
          </cell>
          <cell r="P176">
            <v>0</v>
          </cell>
          <cell r="Q176">
            <v>12982</v>
          </cell>
          <cell r="R176">
            <v>0</v>
          </cell>
          <cell r="S176">
            <v>96817</v>
          </cell>
          <cell r="T176">
            <v>0</v>
          </cell>
          <cell r="U176">
            <v>31477310</v>
          </cell>
          <cell r="V176">
            <v>0</v>
          </cell>
          <cell r="W176">
            <v>56598033</v>
          </cell>
          <cell r="X176">
            <v>0</v>
          </cell>
          <cell r="Y176">
            <v>0</v>
          </cell>
          <cell r="Z176">
            <v>0</v>
          </cell>
          <cell r="AA176">
            <v>0</v>
          </cell>
          <cell r="AB176">
            <v>22699617</v>
          </cell>
          <cell r="AC176">
            <v>725094</v>
          </cell>
          <cell r="AD176">
            <v>1425404</v>
          </cell>
          <cell r="AE176">
            <v>555205</v>
          </cell>
          <cell r="AF176">
            <v>263722</v>
          </cell>
          <cell r="AG176">
            <v>0</v>
          </cell>
          <cell r="AH176">
            <v>0</v>
          </cell>
          <cell r="AI176">
            <v>489520</v>
          </cell>
          <cell r="AJ176">
            <v>0</v>
          </cell>
          <cell r="AK176">
            <v>9944</v>
          </cell>
          <cell r="AL176">
            <v>0</v>
          </cell>
          <cell r="AM176">
            <v>93315</v>
          </cell>
          <cell r="AN176">
            <v>0</v>
          </cell>
          <cell r="AO176">
            <v>37100571</v>
          </cell>
          <cell r="AP176">
            <v>62807187</v>
          </cell>
          <cell r="AQ176">
            <v>0</v>
          </cell>
          <cell r="AR176">
            <v>0</v>
          </cell>
          <cell r="AS176">
            <v>0</v>
          </cell>
          <cell r="AT176">
            <v>0</v>
          </cell>
          <cell r="AU176">
            <v>0</v>
          </cell>
          <cell r="AV176">
            <v>0</v>
          </cell>
          <cell r="AW176">
            <v>0</v>
          </cell>
        </row>
        <row r="178">
          <cell r="C178" t="str">
            <v xml:space="preserve"> SAN JOAQUIN DELTA </v>
          </cell>
          <cell r="D178" t="str">
            <v xml:space="preserve"> ALAMEDA           </v>
          </cell>
          <cell r="E178">
            <v>550</v>
          </cell>
          <cell r="F178" t="str">
            <v xml:space="preserve"> 2015-2016</v>
          </cell>
          <cell r="G178" t="str">
            <v xml:space="preserve"> 11/15/2015</v>
          </cell>
          <cell r="H178">
            <v>126295</v>
          </cell>
          <cell r="I178">
            <v>2690</v>
          </cell>
          <cell r="J178">
            <v>7373</v>
          </cell>
          <cell r="K178">
            <v>0</v>
          </cell>
          <cell r="L178">
            <v>0</v>
          </cell>
          <cell r="M178">
            <v>0</v>
          </cell>
          <cell r="N178">
            <v>0</v>
          </cell>
          <cell r="O178">
            <v>0</v>
          </cell>
          <cell r="P178">
            <v>0</v>
          </cell>
          <cell r="Q178">
            <v>-1760</v>
          </cell>
          <cell r="R178">
            <v>0</v>
          </cell>
          <cell r="S178">
            <v>576</v>
          </cell>
          <cell r="T178">
            <v>0</v>
          </cell>
          <cell r="U178">
            <v>0</v>
          </cell>
          <cell r="V178" t="str">
            <v xml:space="preserve"> </v>
          </cell>
          <cell r="W178">
            <v>135174</v>
          </cell>
          <cell r="X178">
            <v>0</v>
          </cell>
          <cell r="Y178">
            <v>0</v>
          </cell>
          <cell r="Z178">
            <v>0</v>
          </cell>
          <cell r="AA178">
            <v>0</v>
          </cell>
          <cell r="AB178">
            <v>76113</v>
          </cell>
          <cell r="AC178">
            <v>1846</v>
          </cell>
          <cell r="AD178">
            <v>4060</v>
          </cell>
          <cell r="AE178">
            <v>0</v>
          </cell>
          <cell r="AF178">
            <v>0</v>
          </cell>
          <cell r="AG178">
            <v>0</v>
          </cell>
          <cell r="AH178">
            <v>0</v>
          </cell>
          <cell r="AI178">
            <v>0</v>
          </cell>
          <cell r="AJ178">
            <v>0</v>
          </cell>
          <cell r="AK178">
            <v>-1760</v>
          </cell>
          <cell r="AL178">
            <v>0</v>
          </cell>
          <cell r="AM178">
            <v>485</v>
          </cell>
          <cell r="AN178">
            <v>0</v>
          </cell>
          <cell r="AO178">
            <v>0</v>
          </cell>
          <cell r="AP178">
            <v>80744</v>
          </cell>
          <cell r="AQ178">
            <v>0</v>
          </cell>
          <cell r="AR178">
            <v>0</v>
          </cell>
          <cell r="AS178">
            <v>0</v>
          </cell>
          <cell r="AT178">
            <v>0</v>
          </cell>
          <cell r="AU178" t="str">
            <v xml:space="preserve"> </v>
          </cell>
          <cell r="AV178" t="str">
            <v xml:space="preserve"> </v>
          </cell>
          <cell r="AW178" t="str">
            <v xml:space="preserve"> </v>
          </cell>
        </row>
        <row r="179">
          <cell r="C179" t="str">
            <v xml:space="preserve"> SAN JOAQUIN DELTA </v>
          </cell>
          <cell r="D179" t="str">
            <v xml:space="preserve"> CALAVERAS         </v>
          </cell>
          <cell r="E179">
            <v>550</v>
          </cell>
          <cell r="F179" t="str">
            <v xml:space="preserve"> 2015-2016</v>
          </cell>
          <cell r="G179" t="str">
            <v xml:space="preserve"> 11/15/2015</v>
          </cell>
          <cell r="H179">
            <v>985197</v>
          </cell>
          <cell r="I179">
            <v>17576</v>
          </cell>
          <cell r="J179">
            <v>16541</v>
          </cell>
          <cell r="K179">
            <v>0</v>
          </cell>
          <cell r="L179">
            <v>0</v>
          </cell>
          <cell r="M179">
            <v>0</v>
          </cell>
          <cell r="N179">
            <v>0</v>
          </cell>
          <cell r="O179">
            <v>0</v>
          </cell>
          <cell r="P179">
            <v>0</v>
          </cell>
          <cell r="Q179">
            <v>1051</v>
          </cell>
          <cell r="R179">
            <v>64</v>
          </cell>
          <cell r="S179">
            <v>13492</v>
          </cell>
          <cell r="T179">
            <v>0</v>
          </cell>
          <cell r="U179">
            <v>196690</v>
          </cell>
          <cell r="V179" t="str">
            <v xml:space="preserve"> </v>
          </cell>
          <cell r="W179">
            <v>1230611</v>
          </cell>
          <cell r="X179">
            <v>0</v>
          </cell>
          <cell r="Y179">
            <v>0</v>
          </cell>
          <cell r="Z179">
            <v>0</v>
          </cell>
          <cell r="AA179">
            <v>0</v>
          </cell>
          <cell r="AB179">
            <v>1039713</v>
          </cell>
          <cell r="AC179">
            <v>17000</v>
          </cell>
          <cell r="AD179">
            <v>16500</v>
          </cell>
          <cell r="AE179">
            <v>0</v>
          </cell>
          <cell r="AF179">
            <v>0</v>
          </cell>
          <cell r="AG179">
            <v>0</v>
          </cell>
          <cell r="AH179">
            <v>0</v>
          </cell>
          <cell r="AI179">
            <v>0</v>
          </cell>
          <cell r="AJ179">
            <v>0</v>
          </cell>
          <cell r="AK179">
            <v>780</v>
          </cell>
          <cell r="AL179">
            <v>64</v>
          </cell>
          <cell r="AM179">
            <v>13300</v>
          </cell>
          <cell r="AN179">
            <v>0</v>
          </cell>
          <cell r="AO179">
            <v>232130</v>
          </cell>
          <cell r="AP179">
            <v>1319487</v>
          </cell>
          <cell r="AQ179">
            <v>0</v>
          </cell>
          <cell r="AR179">
            <v>0</v>
          </cell>
          <cell r="AS179">
            <v>0</v>
          </cell>
          <cell r="AT179">
            <v>0</v>
          </cell>
          <cell r="AU179" t="str">
            <v xml:space="preserve"> </v>
          </cell>
          <cell r="AV179" t="str">
            <v xml:space="preserve"> </v>
          </cell>
          <cell r="AW179" t="str">
            <v xml:space="preserve"> </v>
          </cell>
        </row>
        <row r="180">
          <cell r="C180" t="str">
            <v xml:space="preserve"> SAN JOAQUIN DELTA </v>
          </cell>
          <cell r="D180" t="str">
            <v xml:space="preserve"> SACRAMENTO        </v>
          </cell>
          <cell r="E180">
            <v>550</v>
          </cell>
          <cell r="F180" t="str">
            <v xml:space="preserve"> 2015-2016</v>
          </cell>
          <cell r="G180" t="str">
            <v xml:space="preserve"> 11/15/2015</v>
          </cell>
          <cell r="H180">
            <v>830494</v>
          </cell>
          <cell r="I180">
            <v>14793</v>
          </cell>
          <cell r="J180">
            <v>35069</v>
          </cell>
          <cell r="K180">
            <v>5150</v>
          </cell>
          <cell r="L180">
            <v>2446</v>
          </cell>
          <cell r="M180">
            <v>0</v>
          </cell>
          <cell r="N180">
            <v>0</v>
          </cell>
          <cell r="O180">
            <v>28893</v>
          </cell>
          <cell r="P180">
            <v>0</v>
          </cell>
          <cell r="Q180">
            <v>0</v>
          </cell>
          <cell r="R180">
            <v>0</v>
          </cell>
          <cell r="S180">
            <v>10934</v>
          </cell>
          <cell r="T180">
            <v>0</v>
          </cell>
          <cell r="U180">
            <v>0</v>
          </cell>
          <cell r="V180" t="str">
            <v xml:space="preserve"> </v>
          </cell>
          <cell r="W180">
            <v>922629</v>
          </cell>
          <cell r="X180">
            <v>0</v>
          </cell>
          <cell r="Y180">
            <v>0</v>
          </cell>
          <cell r="Z180">
            <v>0</v>
          </cell>
          <cell r="AA180">
            <v>0</v>
          </cell>
          <cell r="AB180">
            <v>844800</v>
          </cell>
          <cell r="AC180">
            <v>28833</v>
          </cell>
          <cell r="AD180">
            <v>26789</v>
          </cell>
          <cell r="AE180">
            <v>6819</v>
          </cell>
          <cell r="AF180">
            <v>3239</v>
          </cell>
          <cell r="AG180">
            <v>0</v>
          </cell>
          <cell r="AH180">
            <v>0</v>
          </cell>
          <cell r="AI180">
            <v>33711</v>
          </cell>
          <cell r="AJ180">
            <v>0</v>
          </cell>
          <cell r="AK180">
            <v>0</v>
          </cell>
          <cell r="AL180">
            <v>0</v>
          </cell>
          <cell r="AM180">
            <v>12007</v>
          </cell>
          <cell r="AN180">
            <v>0</v>
          </cell>
          <cell r="AO180">
            <v>0</v>
          </cell>
          <cell r="AP180">
            <v>949379</v>
          </cell>
          <cell r="AQ180">
            <v>0</v>
          </cell>
          <cell r="AR180">
            <v>0</v>
          </cell>
          <cell r="AS180">
            <v>0</v>
          </cell>
          <cell r="AT180">
            <v>0</v>
          </cell>
          <cell r="AU180" t="str">
            <v xml:space="preserve"> </v>
          </cell>
          <cell r="AV180" t="str">
            <v xml:space="preserve"> </v>
          </cell>
          <cell r="AW180" t="str">
            <v xml:space="preserve"> </v>
          </cell>
        </row>
        <row r="181">
          <cell r="C181" t="str">
            <v xml:space="preserve"> SAN JOAQUIN DELTA </v>
          </cell>
          <cell r="D181" t="str">
            <v xml:space="preserve"> SAN JOAQUIN       </v>
          </cell>
          <cell r="E181">
            <v>550</v>
          </cell>
          <cell r="F181" t="str">
            <v xml:space="preserve"> 2015-2016</v>
          </cell>
          <cell r="G181" t="str">
            <v xml:space="preserve"> 11/15/2015</v>
          </cell>
          <cell r="H181">
            <v>18255442</v>
          </cell>
          <cell r="I181">
            <v>190220</v>
          </cell>
          <cell r="J181">
            <v>1103937</v>
          </cell>
          <cell r="K181">
            <v>241526</v>
          </cell>
          <cell r="L181">
            <v>114725</v>
          </cell>
          <cell r="M181">
            <v>0</v>
          </cell>
          <cell r="N181">
            <v>0</v>
          </cell>
          <cell r="O181">
            <v>858061</v>
          </cell>
          <cell r="P181">
            <v>15499</v>
          </cell>
          <cell r="Q181">
            <v>18779</v>
          </cell>
          <cell r="R181">
            <v>0</v>
          </cell>
          <cell r="S181">
            <v>204992</v>
          </cell>
          <cell r="T181">
            <v>57</v>
          </cell>
          <cell r="U181">
            <v>2020723</v>
          </cell>
          <cell r="V181" t="str">
            <v xml:space="preserve"> </v>
          </cell>
          <cell r="W181">
            <v>22782435</v>
          </cell>
          <cell r="X181">
            <v>0</v>
          </cell>
          <cell r="Y181">
            <v>0</v>
          </cell>
          <cell r="Z181">
            <v>0</v>
          </cell>
          <cell r="AA181">
            <v>0</v>
          </cell>
          <cell r="AB181">
            <v>19449096</v>
          </cell>
          <cell r="AC181">
            <v>195926</v>
          </cell>
          <cell r="AD181">
            <v>1105689</v>
          </cell>
          <cell r="AE181">
            <v>307807</v>
          </cell>
          <cell r="AF181">
            <v>146208</v>
          </cell>
          <cell r="AG181">
            <v>0</v>
          </cell>
          <cell r="AH181">
            <v>0</v>
          </cell>
          <cell r="AI181">
            <v>48085</v>
          </cell>
          <cell r="AJ181">
            <v>0</v>
          </cell>
          <cell r="AK181">
            <v>18779</v>
          </cell>
          <cell r="AL181">
            <v>0</v>
          </cell>
          <cell r="AM181">
            <v>200881</v>
          </cell>
          <cell r="AN181">
            <v>0</v>
          </cell>
          <cell r="AO181">
            <v>4594977</v>
          </cell>
          <cell r="AP181">
            <v>25759641</v>
          </cell>
          <cell r="AQ181">
            <v>0</v>
          </cell>
          <cell r="AR181">
            <v>0</v>
          </cell>
          <cell r="AS181">
            <v>0</v>
          </cell>
          <cell r="AT181">
            <v>0</v>
          </cell>
          <cell r="AU181" t="str">
            <v xml:space="preserve"> </v>
          </cell>
          <cell r="AV181" t="str">
            <v xml:space="preserve"> </v>
          </cell>
          <cell r="AW181" t="str">
            <v xml:space="preserve"> </v>
          </cell>
        </row>
        <row r="182">
          <cell r="C182" t="str">
            <v xml:space="preserve"> SAN JOAQUIN DELTA </v>
          </cell>
          <cell r="D182" t="str">
            <v xml:space="preserve"> SOLANO            </v>
          </cell>
          <cell r="E182">
            <v>550</v>
          </cell>
          <cell r="F182" t="str">
            <v xml:space="preserve"> 2015-2016</v>
          </cell>
          <cell r="G182" t="str">
            <v xml:space="preserve"> 11/15/2015</v>
          </cell>
          <cell r="H182">
            <v>1176173</v>
          </cell>
          <cell r="I182">
            <v>20473</v>
          </cell>
          <cell r="J182">
            <v>74119</v>
          </cell>
          <cell r="K182">
            <v>0</v>
          </cell>
          <cell r="L182">
            <v>0</v>
          </cell>
          <cell r="M182">
            <v>0</v>
          </cell>
          <cell r="N182">
            <v>0</v>
          </cell>
          <cell r="O182">
            <v>55191</v>
          </cell>
          <cell r="P182">
            <v>2505</v>
          </cell>
          <cell r="Q182">
            <v>-13307</v>
          </cell>
          <cell r="R182">
            <v>0</v>
          </cell>
          <cell r="S182">
            <v>11986</v>
          </cell>
          <cell r="T182">
            <v>-8</v>
          </cell>
          <cell r="U182">
            <v>0</v>
          </cell>
          <cell r="V182" t="str">
            <v xml:space="preserve"> </v>
          </cell>
          <cell r="W182">
            <v>1327132</v>
          </cell>
          <cell r="X182">
            <v>0</v>
          </cell>
          <cell r="Y182">
            <v>0</v>
          </cell>
          <cell r="Z182">
            <v>0</v>
          </cell>
          <cell r="AA182">
            <v>0</v>
          </cell>
          <cell r="AB182">
            <v>1175909</v>
          </cell>
          <cell r="AC182">
            <v>19279</v>
          </cell>
          <cell r="AD182">
            <v>68646</v>
          </cell>
          <cell r="AE182">
            <v>524</v>
          </cell>
          <cell r="AF182">
            <v>249</v>
          </cell>
          <cell r="AG182">
            <v>0</v>
          </cell>
          <cell r="AH182">
            <v>0</v>
          </cell>
          <cell r="AI182">
            <v>51233</v>
          </cell>
          <cell r="AJ182">
            <v>0</v>
          </cell>
          <cell r="AK182">
            <v>0</v>
          </cell>
          <cell r="AL182">
            <v>0</v>
          </cell>
          <cell r="AM182">
            <v>11150</v>
          </cell>
          <cell r="AN182">
            <v>0</v>
          </cell>
          <cell r="AO182">
            <v>0</v>
          </cell>
          <cell r="AP182">
            <v>1326466</v>
          </cell>
          <cell r="AQ182">
            <v>0</v>
          </cell>
          <cell r="AR182">
            <v>0</v>
          </cell>
          <cell r="AS182">
            <v>0</v>
          </cell>
          <cell r="AT182">
            <v>0</v>
          </cell>
          <cell r="AU182" t="str">
            <v xml:space="preserve"> </v>
          </cell>
          <cell r="AV182" t="str">
            <v xml:space="preserve"> </v>
          </cell>
          <cell r="AW182" t="str">
            <v xml:space="preserve"> </v>
          </cell>
        </row>
        <row r="183">
          <cell r="C183" t="str">
            <v>SAN JOAQUIN DELTA Subtotal</v>
          </cell>
          <cell r="H183">
            <v>21373601</v>
          </cell>
          <cell r="I183">
            <v>245752</v>
          </cell>
          <cell r="J183">
            <v>1237039</v>
          </cell>
          <cell r="K183">
            <v>246676</v>
          </cell>
          <cell r="L183">
            <v>117171</v>
          </cell>
          <cell r="M183">
            <v>0</v>
          </cell>
          <cell r="N183">
            <v>0</v>
          </cell>
          <cell r="O183">
            <v>942145</v>
          </cell>
          <cell r="P183">
            <v>18004</v>
          </cell>
          <cell r="Q183">
            <v>4763</v>
          </cell>
          <cell r="R183">
            <v>64</v>
          </cell>
          <cell r="S183">
            <v>241980</v>
          </cell>
          <cell r="T183">
            <v>49</v>
          </cell>
          <cell r="U183">
            <v>2217413</v>
          </cell>
          <cell r="V183">
            <v>0</v>
          </cell>
          <cell r="W183">
            <v>26397981</v>
          </cell>
          <cell r="X183">
            <v>0</v>
          </cell>
          <cell r="Y183">
            <v>0</v>
          </cell>
          <cell r="Z183">
            <v>0</v>
          </cell>
          <cell r="AA183">
            <v>0</v>
          </cell>
          <cell r="AB183">
            <v>22585631</v>
          </cell>
          <cell r="AC183">
            <v>262884</v>
          </cell>
          <cell r="AD183">
            <v>1221684</v>
          </cell>
          <cell r="AE183">
            <v>315150</v>
          </cell>
          <cell r="AF183">
            <v>149696</v>
          </cell>
          <cell r="AG183">
            <v>0</v>
          </cell>
          <cell r="AH183">
            <v>0</v>
          </cell>
          <cell r="AI183">
            <v>133029</v>
          </cell>
          <cell r="AJ183">
            <v>0</v>
          </cell>
          <cell r="AK183">
            <v>17799</v>
          </cell>
          <cell r="AL183">
            <v>64</v>
          </cell>
          <cell r="AM183">
            <v>237823</v>
          </cell>
          <cell r="AN183">
            <v>0</v>
          </cell>
          <cell r="AO183">
            <v>4827107</v>
          </cell>
          <cell r="AP183">
            <v>29435717</v>
          </cell>
          <cell r="AQ183">
            <v>0</v>
          </cell>
          <cell r="AR183">
            <v>0</v>
          </cell>
          <cell r="AS183">
            <v>0</v>
          </cell>
          <cell r="AT183">
            <v>0</v>
          </cell>
          <cell r="AU183">
            <v>0</v>
          </cell>
          <cell r="AV183">
            <v>0</v>
          </cell>
          <cell r="AW183">
            <v>0</v>
          </cell>
        </row>
        <row r="185">
          <cell r="C185" t="str">
            <v xml:space="preserve"> SAN JOSE          </v>
          </cell>
          <cell r="D185" t="str">
            <v xml:space="preserve"> SANTA CLARA       </v>
          </cell>
          <cell r="E185">
            <v>470</v>
          </cell>
          <cell r="F185" t="str">
            <v xml:space="preserve"> 2015-2016</v>
          </cell>
          <cell r="G185" t="str">
            <v xml:space="preserve"> 11/15/2015</v>
          </cell>
          <cell r="H185">
            <v>67320287</v>
          </cell>
          <cell r="I185">
            <v>2782207</v>
          </cell>
          <cell r="J185">
            <v>5911482</v>
          </cell>
          <cell r="K185">
            <v>1563717</v>
          </cell>
          <cell r="L185">
            <v>742766</v>
          </cell>
          <cell r="M185">
            <v>0</v>
          </cell>
          <cell r="N185">
            <v>0</v>
          </cell>
          <cell r="O185">
            <v>1693148</v>
          </cell>
          <cell r="P185">
            <v>0</v>
          </cell>
          <cell r="Q185">
            <v>0</v>
          </cell>
          <cell r="R185">
            <v>0</v>
          </cell>
          <cell r="S185">
            <v>462037</v>
          </cell>
          <cell r="T185">
            <v>0</v>
          </cell>
          <cell r="U185">
            <v>0</v>
          </cell>
          <cell r="V185" t="str">
            <v xml:space="preserve"> </v>
          </cell>
          <cell r="W185">
            <v>78911927</v>
          </cell>
          <cell r="X185">
            <v>0</v>
          </cell>
          <cell r="Y185">
            <v>0</v>
          </cell>
          <cell r="Z185">
            <v>0</v>
          </cell>
          <cell r="AA185">
            <v>0</v>
          </cell>
          <cell r="AB185">
            <v>71213075</v>
          </cell>
          <cell r="AC185">
            <v>1669000</v>
          </cell>
          <cell r="AD185">
            <v>6258000</v>
          </cell>
          <cell r="AE185">
            <v>1686141</v>
          </cell>
          <cell r="AF185">
            <v>800917</v>
          </cell>
          <cell r="AG185">
            <v>0</v>
          </cell>
          <cell r="AH185">
            <v>0</v>
          </cell>
          <cell r="AI185">
            <v>1646770</v>
          </cell>
          <cell r="AJ185">
            <v>0</v>
          </cell>
          <cell r="AK185">
            <v>0</v>
          </cell>
          <cell r="AL185">
            <v>0</v>
          </cell>
          <cell r="AM185">
            <v>446340</v>
          </cell>
          <cell r="AN185">
            <v>0</v>
          </cell>
          <cell r="AO185">
            <v>0</v>
          </cell>
          <cell r="AP185">
            <v>82034102</v>
          </cell>
          <cell r="AQ185">
            <v>0</v>
          </cell>
          <cell r="AR185">
            <v>0</v>
          </cell>
          <cell r="AS185">
            <v>0</v>
          </cell>
          <cell r="AT185">
            <v>0</v>
          </cell>
          <cell r="AU185" t="str">
            <v xml:space="preserve"> </v>
          </cell>
          <cell r="AV185" t="str">
            <v xml:space="preserve"> </v>
          </cell>
          <cell r="AW185" t="str">
            <v xml:space="preserve"> </v>
          </cell>
        </row>
        <row r="186">
          <cell r="C186" t="str">
            <v xml:space="preserve">SAN JOSE Subtotal    </v>
          </cell>
          <cell r="H186">
            <v>67320287</v>
          </cell>
          <cell r="I186">
            <v>2782207</v>
          </cell>
          <cell r="J186">
            <v>5911482</v>
          </cell>
          <cell r="K186">
            <v>1563717</v>
          </cell>
          <cell r="L186">
            <v>742766</v>
          </cell>
          <cell r="M186">
            <v>0</v>
          </cell>
          <cell r="N186">
            <v>0</v>
          </cell>
          <cell r="O186">
            <v>1693148</v>
          </cell>
          <cell r="P186">
            <v>0</v>
          </cell>
          <cell r="Q186">
            <v>0</v>
          </cell>
          <cell r="R186">
            <v>0</v>
          </cell>
          <cell r="S186">
            <v>462037</v>
          </cell>
          <cell r="T186">
            <v>0</v>
          </cell>
          <cell r="U186">
            <v>0</v>
          </cell>
          <cell r="V186">
            <v>0</v>
          </cell>
          <cell r="W186">
            <v>78911927</v>
          </cell>
          <cell r="X186">
            <v>0</v>
          </cell>
          <cell r="Y186">
            <v>0</v>
          </cell>
          <cell r="Z186">
            <v>0</v>
          </cell>
          <cell r="AA186">
            <v>0</v>
          </cell>
          <cell r="AB186">
            <v>71213075</v>
          </cell>
          <cell r="AC186">
            <v>1669000</v>
          </cell>
          <cell r="AD186">
            <v>6258000</v>
          </cell>
          <cell r="AE186">
            <v>1686141</v>
          </cell>
          <cell r="AF186">
            <v>800917</v>
          </cell>
          <cell r="AG186">
            <v>0</v>
          </cell>
          <cell r="AH186">
            <v>0</v>
          </cell>
          <cell r="AI186">
            <v>1646770</v>
          </cell>
          <cell r="AJ186">
            <v>0</v>
          </cell>
          <cell r="AK186">
            <v>0</v>
          </cell>
          <cell r="AL186">
            <v>0</v>
          </cell>
          <cell r="AM186">
            <v>446340</v>
          </cell>
          <cell r="AN186">
            <v>0</v>
          </cell>
          <cell r="AO186">
            <v>0</v>
          </cell>
          <cell r="AP186">
            <v>82034102</v>
          </cell>
          <cell r="AQ186">
            <v>0</v>
          </cell>
          <cell r="AR186">
            <v>0</v>
          </cell>
          <cell r="AS186">
            <v>0</v>
          </cell>
          <cell r="AT186">
            <v>0</v>
          </cell>
          <cell r="AU186">
            <v>0</v>
          </cell>
          <cell r="AV186">
            <v>0</v>
          </cell>
          <cell r="AW186">
            <v>0</v>
          </cell>
        </row>
        <row r="188">
          <cell r="C188" t="str">
            <v xml:space="preserve"> SAN LUIS OBISPO   </v>
          </cell>
          <cell r="D188" t="str">
            <v xml:space="preserve"> MONTEREY          </v>
          </cell>
          <cell r="E188">
            <v>640</v>
          </cell>
          <cell r="F188" t="str">
            <v xml:space="preserve"> 2015-2016</v>
          </cell>
          <cell r="G188" t="str">
            <v xml:space="preserve"> 11/15/2015</v>
          </cell>
          <cell r="H188">
            <v>183595</v>
          </cell>
          <cell r="I188">
            <v>3517</v>
          </cell>
          <cell r="J188">
            <v>7465</v>
          </cell>
          <cell r="K188">
            <v>0</v>
          </cell>
          <cell r="L188">
            <v>0</v>
          </cell>
          <cell r="M188">
            <v>0</v>
          </cell>
          <cell r="N188">
            <v>0</v>
          </cell>
          <cell r="O188">
            <v>0</v>
          </cell>
          <cell r="P188">
            <v>0</v>
          </cell>
          <cell r="Q188">
            <v>2687</v>
          </cell>
          <cell r="R188">
            <v>0</v>
          </cell>
          <cell r="S188">
            <v>1096</v>
          </cell>
          <cell r="T188">
            <v>0</v>
          </cell>
          <cell r="U188">
            <v>0</v>
          </cell>
          <cell r="V188" t="str">
            <v xml:space="preserve"> </v>
          </cell>
          <cell r="W188">
            <v>198360</v>
          </cell>
          <cell r="X188">
            <v>0</v>
          </cell>
          <cell r="Y188">
            <v>0</v>
          </cell>
          <cell r="Z188">
            <v>0</v>
          </cell>
          <cell r="AA188">
            <v>0</v>
          </cell>
          <cell r="AB188">
            <v>205047</v>
          </cell>
          <cell r="AC188">
            <v>2110</v>
          </cell>
          <cell r="AD188">
            <v>8340</v>
          </cell>
          <cell r="AE188">
            <v>0</v>
          </cell>
          <cell r="AF188">
            <v>0</v>
          </cell>
          <cell r="AG188">
            <v>0</v>
          </cell>
          <cell r="AH188">
            <v>0</v>
          </cell>
          <cell r="AI188">
            <v>0</v>
          </cell>
          <cell r="AJ188">
            <v>0</v>
          </cell>
          <cell r="AK188">
            <v>1612</v>
          </cell>
          <cell r="AL188">
            <v>0</v>
          </cell>
          <cell r="AM188">
            <v>1192</v>
          </cell>
          <cell r="AN188">
            <v>0</v>
          </cell>
          <cell r="AO188">
            <v>0</v>
          </cell>
          <cell r="AP188">
            <v>218301</v>
          </cell>
          <cell r="AQ188">
            <v>0</v>
          </cell>
          <cell r="AR188">
            <v>0</v>
          </cell>
          <cell r="AS188">
            <v>0</v>
          </cell>
          <cell r="AT188">
            <v>0</v>
          </cell>
          <cell r="AU188" t="str">
            <v xml:space="preserve"> </v>
          </cell>
          <cell r="AV188" t="str">
            <v xml:space="preserve"> </v>
          </cell>
          <cell r="AW188" t="str">
            <v xml:space="preserve"> </v>
          </cell>
        </row>
        <row r="189">
          <cell r="C189" t="str">
            <v xml:space="preserve"> SAN LUIS OBISPO   </v>
          </cell>
          <cell r="D189" t="str">
            <v xml:space="preserve"> SAN LUIS OBISPO   </v>
          </cell>
          <cell r="E189">
            <v>640</v>
          </cell>
          <cell r="F189" t="str">
            <v xml:space="preserve"> 2015-2016</v>
          </cell>
          <cell r="G189" t="str">
            <v xml:space="preserve"> 11/15/2015</v>
          </cell>
          <cell r="H189">
            <v>30410315</v>
          </cell>
          <cell r="I189">
            <v>706688</v>
          </cell>
          <cell r="J189">
            <v>736344</v>
          </cell>
          <cell r="K189">
            <v>284293</v>
          </cell>
          <cell r="L189">
            <v>135039</v>
          </cell>
          <cell r="M189">
            <v>0</v>
          </cell>
          <cell r="N189">
            <v>0</v>
          </cell>
          <cell r="O189">
            <v>211369</v>
          </cell>
          <cell r="P189">
            <v>0</v>
          </cell>
          <cell r="Q189">
            <v>-15952</v>
          </cell>
          <cell r="R189">
            <v>0</v>
          </cell>
          <cell r="S189">
            <v>231037</v>
          </cell>
          <cell r="T189">
            <v>0</v>
          </cell>
          <cell r="U189">
            <v>353740</v>
          </cell>
          <cell r="V189" t="str">
            <v xml:space="preserve"> </v>
          </cell>
          <cell r="W189">
            <v>32768580</v>
          </cell>
          <cell r="X189">
            <v>0</v>
          </cell>
          <cell r="Y189">
            <v>0</v>
          </cell>
          <cell r="Z189">
            <v>0</v>
          </cell>
          <cell r="AA189">
            <v>0</v>
          </cell>
          <cell r="AB189">
            <v>33020021</v>
          </cell>
          <cell r="AC189">
            <v>706688</v>
          </cell>
          <cell r="AD189">
            <v>759558</v>
          </cell>
          <cell r="AE189">
            <v>128397</v>
          </cell>
          <cell r="AF189">
            <v>60989</v>
          </cell>
          <cell r="AG189">
            <v>0</v>
          </cell>
          <cell r="AH189">
            <v>0</v>
          </cell>
          <cell r="AI189">
            <v>229884</v>
          </cell>
          <cell r="AJ189">
            <v>0</v>
          </cell>
          <cell r="AK189">
            <v>-19773</v>
          </cell>
          <cell r="AL189">
            <v>0</v>
          </cell>
          <cell r="AM189">
            <v>227912</v>
          </cell>
          <cell r="AN189">
            <v>0</v>
          </cell>
          <cell r="AO189">
            <v>1228738</v>
          </cell>
          <cell r="AP189">
            <v>36214017</v>
          </cell>
          <cell r="AQ189">
            <v>0</v>
          </cell>
          <cell r="AR189">
            <v>0</v>
          </cell>
          <cell r="AS189">
            <v>0</v>
          </cell>
          <cell r="AT189">
            <v>0</v>
          </cell>
          <cell r="AU189" t="str">
            <v xml:space="preserve"> </v>
          </cell>
          <cell r="AV189" t="str">
            <v xml:space="preserve"> </v>
          </cell>
          <cell r="AW189" t="str">
            <v xml:space="preserve"> </v>
          </cell>
        </row>
        <row r="190">
          <cell r="C190" t="str">
            <v>SAN LUIS OBISPO Subtotal</v>
          </cell>
          <cell r="H190">
            <v>30593910</v>
          </cell>
          <cell r="I190">
            <v>710205</v>
          </cell>
          <cell r="J190">
            <v>743809</v>
          </cell>
          <cell r="K190">
            <v>284293</v>
          </cell>
          <cell r="L190">
            <v>135039</v>
          </cell>
          <cell r="M190">
            <v>0</v>
          </cell>
          <cell r="N190">
            <v>0</v>
          </cell>
          <cell r="O190">
            <v>211369</v>
          </cell>
          <cell r="P190">
            <v>0</v>
          </cell>
          <cell r="Q190">
            <v>-13265</v>
          </cell>
          <cell r="R190">
            <v>0</v>
          </cell>
          <cell r="S190">
            <v>232133</v>
          </cell>
          <cell r="T190">
            <v>0</v>
          </cell>
          <cell r="U190">
            <v>353740</v>
          </cell>
          <cell r="V190">
            <v>0</v>
          </cell>
          <cell r="W190">
            <v>32966940</v>
          </cell>
          <cell r="X190">
            <v>0</v>
          </cell>
          <cell r="Y190">
            <v>0</v>
          </cell>
          <cell r="Z190">
            <v>0</v>
          </cell>
          <cell r="AA190">
            <v>0</v>
          </cell>
          <cell r="AB190">
            <v>33225068</v>
          </cell>
          <cell r="AC190">
            <v>708798</v>
          </cell>
          <cell r="AD190">
            <v>767898</v>
          </cell>
          <cell r="AE190">
            <v>128397</v>
          </cell>
          <cell r="AF190">
            <v>60989</v>
          </cell>
          <cell r="AG190">
            <v>0</v>
          </cell>
          <cell r="AH190">
            <v>0</v>
          </cell>
          <cell r="AI190">
            <v>229884</v>
          </cell>
          <cell r="AJ190">
            <v>0</v>
          </cell>
          <cell r="AK190">
            <v>-18161</v>
          </cell>
          <cell r="AL190">
            <v>0</v>
          </cell>
          <cell r="AM190">
            <v>229104</v>
          </cell>
          <cell r="AN190">
            <v>0</v>
          </cell>
          <cell r="AO190">
            <v>1228738</v>
          </cell>
          <cell r="AP190">
            <v>36432318</v>
          </cell>
          <cell r="AQ190">
            <v>0</v>
          </cell>
          <cell r="AR190">
            <v>0</v>
          </cell>
          <cell r="AS190">
            <v>0</v>
          </cell>
          <cell r="AT190">
            <v>0</v>
          </cell>
          <cell r="AU190">
            <v>0</v>
          </cell>
          <cell r="AV190">
            <v>0</v>
          </cell>
          <cell r="AW190">
            <v>0</v>
          </cell>
        </row>
        <row r="192">
          <cell r="C192" t="str">
            <v xml:space="preserve"> SAN MATEO         </v>
          </cell>
          <cell r="D192" t="str">
            <v xml:space="preserve"> SAN MATEO         </v>
          </cell>
          <cell r="E192">
            <v>370</v>
          </cell>
          <cell r="F192" t="str">
            <v xml:space="preserve"> 2015-2016</v>
          </cell>
          <cell r="G192" t="str">
            <v xml:space="preserve"> 11/15/2015</v>
          </cell>
          <cell r="H192">
            <v>100167215</v>
          </cell>
          <cell r="I192">
            <v>3381066</v>
          </cell>
          <cell r="J192">
            <v>5161836</v>
          </cell>
          <cell r="K192">
            <v>507640</v>
          </cell>
          <cell r="L192">
            <v>241129</v>
          </cell>
          <cell r="M192">
            <v>0</v>
          </cell>
          <cell r="N192">
            <v>0</v>
          </cell>
          <cell r="O192">
            <v>4726520</v>
          </cell>
          <cell r="P192">
            <v>340154</v>
          </cell>
          <cell r="Q192">
            <v>-22057</v>
          </cell>
          <cell r="R192">
            <v>8380</v>
          </cell>
          <cell r="S192">
            <v>619015</v>
          </cell>
          <cell r="T192">
            <v>0</v>
          </cell>
          <cell r="U192">
            <v>0</v>
          </cell>
          <cell r="V192" t="str">
            <v xml:space="preserve"> </v>
          </cell>
          <cell r="W192">
            <v>114623258</v>
          </cell>
          <cell r="X192">
            <v>0</v>
          </cell>
          <cell r="Y192">
            <v>0</v>
          </cell>
          <cell r="Z192">
            <v>0</v>
          </cell>
          <cell r="AA192">
            <v>0</v>
          </cell>
          <cell r="AB192">
            <v>107547399</v>
          </cell>
          <cell r="AC192">
            <v>3904646</v>
          </cell>
          <cell r="AD192">
            <v>5346948</v>
          </cell>
          <cell r="AE192">
            <v>525594</v>
          </cell>
          <cell r="AF192">
            <v>249657</v>
          </cell>
          <cell r="AG192">
            <v>0</v>
          </cell>
          <cell r="AH192">
            <v>0</v>
          </cell>
          <cell r="AI192">
            <v>4703246</v>
          </cell>
          <cell r="AJ192">
            <v>0</v>
          </cell>
          <cell r="AK192">
            <v>102313</v>
          </cell>
          <cell r="AL192">
            <v>0</v>
          </cell>
          <cell r="AM192">
            <v>602326</v>
          </cell>
          <cell r="AN192">
            <v>0</v>
          </cell>
          <cell r="AO192">
            <v>0</v>
          </cell>
          <cell r="AP192">
            <v>122456535</v>
          </cell>
          <cell r="AQ192">
            <v>0</v>
          </cell>
          <cell r="AR192">
            <v>0</v>
          </cell>
          <cell r="AS192">
            <v>0</v>
          </cell>
          <cell r="AT192">
            <v>0</v>
          </cell>
          <cell r="AU192" t="str">
            <v xml:space="preserve"> </v>
          </cell>
          <cell r="AV192" t="str">
            <v xml:space="preserve"> </v>
          </cell>
          <cell r="AW192" t="str">
            <v xml:space="preserve"> </v>
          </cell>
        </row>
        <row r="193">
          <cell r="C193" t="str">
            <v xml:space="preserve">SAN MATEO Subtotal         </v>
          </cell>
          <cell r="H193">
            <v>100167215</v>
          </cell>
          <cell r="I193">
            <v>3381066</v>
          </cell>
          <cell r="J193">
            <v>5161836</v>
          </cell>
          <cell r="K193">
            <v>507640</v>
          </cell>
          <cell r="L193">
            <v>241129</v>
          </cell>
          <cell r="M193">
            <v>0</v>
          </cell>
          <cell r="N193">
            <v>0</v>
          </cell>
          <cell r="O193">
            <v>4726520</v>
          </cell>
          <cell r="P193">
            <v>340154</v>
          </cell>
          <cell r="Q193">
            <v>-22057</v>
          </cell>
          <cell r="R193">
            <v>8380</v>
          </cell>
          <cell r="S193">
            <v>619015</v>
          </cell>
          <cell r="T193">
            <v>0</v>
          </cell>
          <cell r="U193">
            <v>0</v>
          </cell>
          <cell r="V193">
            <v>0</v>
          </cell>
          <cell r="W193">
            <v>114623258</v>
          </cell>
          <cell r="X193">
            <v>0</v>
          </cell>
          <cell r="Y193">
            <v>0</v>
          </cell>
          <cell r="Z193">
            <v>0</v>
          </cell>
          <cell r="AA193">
            <v>0</v>
          </cell>
          <cell r="AB193">
            <v>107547399</v>
          </cell>
          <cell r="AC193">
            <v>3904646</v>
          </cell>
          <cell r="AD193">
            <v>5346948</v>
          </cell>
          <cell r="AE193">
            <v>525594</v>
          </cell>
          <cell r="AF193">
            <v>249657</v>
          </cell>
          <cell r="AG193">
            <v>0</v>
          </cell>
          <cell r="AH193">
            <v>0</v>
          </cell>
          <cell r="AI193">
            <v>4703246</v>
          </cell>
          <cell r="AJ193">
            <v>0</v>
          </cell>
          <cell r="AK193">
            <v>102313</v>
          </cell>
          <cell r="AL193">
            <v>0</v>
          </cell>
          <cell r="AM193">
            <v>602326</v>
          </cell>
          <cell r="AN193">
            <v>0</v>
          </cell>
          <cell r="AO193">
            <v>0</v>
          </cell>
          <cell r="AP193">
            <v>122456535</v>
          </cell>
          <cell r="AQ193">
            <v>0</v>
          </cell>
          <cell r="AR193">
            <v>0</v>
          </cell>
          <cell r="AS193">
            <v>0</v>
          </cell>
          <cell r="AT193">
            <v>0</v>
          </cell>
          <cell r="AU193">
            <v>0</v>
          </cell>
          <cell r="AV193">
            <v>0</v>
          </cell>
          <cell r="AW193">
            <v>0</v>
          </cell>
        </row>
        <row r="195">
          <cell r="C195" t="str">
            <v xml:space="preserve"> SANTA BARBARA     </v>
          </cell>
          <cell r="D195" t="str">
            <v xml:space="preserve"> SANTA BARBARA     </v>
          </cell>
          <cell r="E195">
            <v>650</v>
          </cell>
          <cell r="F195" t="str">
            <v xml:space="preserve"> 2015-2016</v>
          </cell>
          <cell r="G195" t="str">
            <v xml:space="preserve"> 11/15/2015</v>
          </cell>
          <cell r="H195">
            <v>23244718</v>
          </cell>
          <cell r="I195">
            <v>414696</v>
          </cell>
          <cell r="J195">
            <v>1096915</v>
          </cell>
          <cell r="K195">
            <v>67244</v>
          </cell>
          <cell r="L195">
            <v>31941</v>
          </cell>
          <cell r="M195">
            <v>0</v>
          </cell>
          <cell r="N195">
            <v>0</v>
          </cell>
          <cell r="O195">
            <v>1008574</v>
          </cell>
          <cell r="P195">
            <v>0</v>
          </cell>
          <cell r="Q195">
            <v>-189127</v>
          </cell>
          <cell r="R195">
            <v>0</v>
          </cell>
          <cell r="S195">
            <v>150050</v>
          </cell>
          <cell r="T195">
            <v>0</v>
          </cell>
          <cell r="U195">
            <v>0</v>
          </cell>
          <cell r="V195" t="str">
            <v xml:space="preserve"> </v>
          </cell>
          <cell r="W195">
            <v>25757767</v>
          </cell>
          <cell r="X195">
            <v>0</v>
          </cell>
          <cell r="Y195">
            <v>0</v>
          </cell>
          <cell r="Z195">
            <v>0</v>
          </cell>
          <cell r="AA195">
            <v>0</v>
          </cell>
          <cell r="AB195">
            <v>24312165</v>
          </cell>
          <cell r="AC195">
            <v>414696</v>
          </cell>
          <cell r="AD195">
            <v>998601</v>
          </cell>
          <cell r="AE195">
            <v>70453</v>
          </cell>
          <cell r="AF195">
            <v>33465</v>
          </cell>
          <cell r="AG195">
            <v>0</v>
          </cell>
          <cell r="AH195">
            <v>0</v>
          </cell>
          <cell r="AI195">
            <v>1054916</v>
          </cell>
          <cell r="AJ195">
            <v>0</v>
          </cell>
          <cell r="AK195">
            <v>-52524</v>
          </cell>
          <cell r="AL195">
            <v>0</v>
          </cell>
          <cell r="AM195">
            <v>148004</v>
          </cell>
          <cell r="AN195">
            <v>0</v>
          </cell>
          <cell r="AO195">
            <v>0</v>
          </cell>
          <cell r="AP195">
            <v>26909323</v>
          </cell>
          <cell r="AQ195">
            <v>0</v>
          </cell>
          <cell r="AR195">
            <v>0</v>
          </cell>
          <cell r="AS195">
            <v>0</v>
          </cell>
          <cell r="AT195">
            <v>0</v>
          </cell>
          <cell r="AU195" t="str">
            <v xml:space="preserve"> </v>
          </cell>
          <cell r="AV195" t="str">
            <v xml:space="preserve"> </v>
          </cell>
          <cell r="AW195" t="str">
            <v xml:space="preserve"> </v>
          </cell>
        </row>
        <row r="196">
          <cell r="C196" t="str">
            <v xml:space="preserve">SANTA BARBARA Subtotal   </v>
          </cell>
          <cell r="H196">
            <v>23244718</v>
          </cell>
          <cell r="I196">
            <v>414696</v>
          </cell>
          <cell r="J196">
            <v>1096915</v>
          </cell>
          <cell r="K196">
            <v>67244</v>
          </cell>
          <cell r="L196">
            <v>31941</v>
          </cell>
          <cell r="M196">
            <v>0</v>
          </cell>
          <cell r="N196">
            <v>0</v>
          </cell>
          <cell r="O196">
            <v>1008574</v>
          </cell>
          <cell r="P196">
            <v>0</v>
          </cell>
          <cell r="Q196">
            <v>-189127</v>
          </cell>
          <cell r="R196">
            <v>0</v>
          </cell>
          <cell r="S196">
            <v>150050</v>
          </cell>
          <cell r="T196">
            <v>0</v>
          </cell>
          <cell r="U196">
            <v>0</v>
          </cell>
          <cell r="V196">
            <v>0</v>
          </cell>
          <cell r="W196">
            <v>25757767</v>
          </cell>
          <cell r="X196">
            <v>0</v>
          </cell>
          <cell r="Y196">
            <v>0</v>
          </cell>
          <cell r="Z196">
            <v>0</v>
          </cell>
          <cell r="AA196">
            <v>0</v>
          </cell>
          <cell r="AB196">
            <v>24312165</v>
          </cell>
          <cell r="AC196">
            <v>414696</v>
          </cell>
          <cell r="AD196">
            <v>998601</v>
          </cell>
          <cell r="AE196">
            <v>70453</v>
          </cell>
          <cell r="AF196">
            <v>33465</v>
          </cell>
          <cell r="AG196">
            <v>0</v>
          </cell>
          <cell r="AH196">
            <v>0</v>
          </cell>
          <cell r="AI196">
            <v>1054916</v>
          </cell>
          <cell r="AJ196">
            <v>0</v>
          </cell>
          <cell r="AK196">
            <v>-52524</v>
          </cell>
          <cell r="AL196">
            <v>0</v>
          </cell>
          <cell r="AM196">
            <v>148004</v>
          </cell>
          <cell r="AN196">
            <v>0</v>
          </cell>
          <cell r="AO196">
            <v>0</v>
          </cell>
          <cell r="AP196">
            <v>26909323</v>
          </cell>
          <cell r="AQ196">
            <v>0</v>
          </cell>
          <cell r="AR196">
            <v>0</v>
          </cell>
          <cell r="AS196">
            <v>0</v>
          </cell>
          <cell r="AT196">
            <v>0</v>
          </cell>
          <cell r="AU196">
            <v>0</v>
          </cell>
          <cell r="AV196">
            <v>0</v>
          </cell>
          <cell r="AW196">
            <v>0</v>
          </cell>
        </row>
        <row r="198">
          <cell r="C198" t="str">
            <v xml:space="preserve"> SANTA CLARITA     </v>
          </cell>
          <cell r="D198" t="str">
            <v xml:space="preserve"> LOS ANGELES       </v>
          </cell>
          <cell r="E198">
            <v>660</v>
          </cell>
          <cell r="F198" t="str">
            <v xml:space="preserve"> 2015-2016</v>
          </cell>
          <cell r="G198" t="str">
            <v xml:space="preserve"> 11/15/2015</v>
          </cell>
          <cell r="H198">
            <v>13092561</v>
          </cell>
          <cell r="I198">
            <v>356276</v>
          </cell>
          <cell r="J198">
            <v>509826</v>
          </cell>
          <cell r="K198">
            <v>24436</v>
          </cell>
          <cell r="L198">
            <v>11607</v>
          </cell>
          <cell r="M198">
            <v>0</v>
          </cell>
          <cell r="N198">
            <v>0</v>
          </cell>
          <cell r="O198">
            <v>1639</v>
          </cell>
          <cell r="P198">
            <v>0</v>
          </cell>
          <cell r="Q198">
            <v>282684</v>
          </cell>
          <cell r="R198">
            <v>0</v>
          </cell>
          <cell r="S198">
            <v>100044</v>
          </cell>
          <cell r="T198">
            <v>0</v>
          </cell>
          <cell r="U198">
            <v>0</v>
          </cell>
          <cell r="V198" t="str">
            <v xml:space="preserve"> </v>
          </cell>
          <cell r="W198">
            <v>14354637</v>
          </cell>
          <cell r="X198">
            <v>0</v>
          </cell>
          <cell r="Y198">
            <v>0</v>
          </cell>
          <cell r="Z198">
            <v>0</v>
          </cell>
          <cell r="AA198">
            <v>0</v>
          </cell>
          <cell r="AB198">
            <v>13803487</v>
          </cell>
          <cell r="AC198">
            <v>445345</v>
          </cell>
          <cell r="AD198">
            <v>510000</v>
          </cell>
          <cell r="AE198">
            <v>11842</v>
          </cell>
          <cell r="AF198">
            <v>5625</v>
          </cell>
          <cell r="AG198">
            <v>0</v>
          </cell>
          <cell r="AH198">
            <v>0</v>
          </cell>
          <cell r="AI198">
            <v>0</v>
          </cell>
          <cell r="AJ198">
            <v>0</v>
          </cell>
          <cell r="AK198">
            <v>313501</v>
          </cell>
          <cell r="AL198">
            <v>0</v>
          </cell>
          <cell r="AM198">
            <v>100000</v>
          </cell>
          <cell r="AN198">
            <v>0</v>
          </cell>
          <cell r="AO198">
            <v>0</v>
          </cell>
          <cell r="AP198">
            <v>15177958</v>
          </cell>
          <cell r="AQ198">
            <v>0</v>
          </cell>
          <cell r="AR198">
            <v>0</v>
          </cell>
          <cell r="AS198">
            <v>0</v>
          </cell>
          <cell r="AT198">
            <v>0</v>
          </cell>
          <cell r="AU198" t="str">
            <v xml:space="preserve"> </v>
          </cell>
          <cell r="AV198" t="str">
            <v xml:space="preserve"> </v>
          </cell>
          <cell r="AW198" t="str">
            <v xml:space="preserve"> </v>
          </cell>
        </row>
        <row r="199">
          <cell r="C199" t="str">
            <v xml:space="preserve">SANTA CLARITA Subtotal  </v>
          </cell>
          <cell r="H199">
            <v>13092561</v>
          </cell>
          <cell r="I199">
            <v>356276</v>
          </cell>
          <cell r="J199">
            <v>509826</v>
          </cell>
          <cell r="K199">
            <v>24436</v>
          </cell>
          <cell r="L199">
            <v>11607</v>
          </cell>
          <cell r="M199">
            <v>0</v>
          </cell>
          <cell r="N199">
            <v>0</v>
          </cell>
          <cell r="O199">
            <v>1639</v>
          </cell>
          <cell r="P199">
            <v>0</v>
          </cell>
          <cell r="Q199">
            <v>282684</v>
          </cell>
          <cell r="R199">
            <v>0</v>
          </cell>
          <cell r="S199">
            <v>100044</v>
          </cell>
          <cell r="T199">
            <v>0</v>
          </cell>
          <cell r="U199">
            <v>0</v>
          </cell>
          <cell r="V199">
            <v>0</v>
          </cell>
          <cell r="W199">
            <v>14354637</v>
          </cell>
          <cell r="X199">
            <v>0</v>
          </cell>
          <cell r="Y199">
            <v>0</v>
          </cell>
          <cell r="Z199">
            <v>0</v>
          </cell>
          <cell r="AA199">
            <v>0</v>
          </cell>
          <cell r="AB199">
            <v>13803487</v>
          </cell>
          <cell r="AC199">
            <v>445345</v>
          </cell>
          <cell r="AD199">
            <v>510000</v>
          </cell>
          <cell r="AE199">
            <v>11842</v>
          </cell>
          <cell r="AF199">
            <v>5625</v>
          </cell>
          <cell r="AG199">
            <v>0</v>
          </cell>
          <cell r="AH199">
            <v>0</v>
          </cell>
          <cell r="AI199">
            <v>0</v>
          </cell>
          <cell r="AJ199">
            <v>0</v>
          </cell>
          <cell r="AK199">
            <v>313501</v>
          </cell>
          <cell r="AL199">
            <v>0</v>
          </cell>
          <cell r="AM199">
            <v>100000</v>
          </cell>
          <cell r="AN199">
            <v>0</v>
          </cell>
          <cell r="AO199">
            <v>0</v>
          </cell>
          <cell r="AP199">
            <v>15177958</v>
          </cell>
          <cell r="AQ199">
            <v>0</v>
          </cell>
          <cell r="AR199">
            <v>0</v>
          </cell>
          <cell r="AS199">
            <v>0</v>
          </cell>
          <cell r="AT199">
            <v>0</v>
          </cell>
          <cell r="AU199">
            <v>0</v>
          </cell>
          <cell r="AV199">
            <v>0</v>
          </cell>
          <cell r="AW199">
            <v>0</v>
          </cell>
        </row>
        <row r="201">
          <cell r="C201" t="str">
            <v xml:space="preserve"> SANTA MONICA      </v>
          </cell>
          <cell r="D201" t="str">
            <v xml:space="preserve"> LOS ANGELES       </v>
          </cell>
          <cell r="E201">
            <v>780</v>
          </cell>
          <cell r="F201" t="str">
            <v xml:space="preserve"> 2015-2016</v>
          </cell>
          <cell r="G201" t="str">
            <v xml:space="preserve"> 11/15/2015</v>
          </cell>
          <cell r="H201">
            <v>12711869</v>
          </cell>
          <cell r="I201">
            <v>347025</v>
          </cell>
          <cell r="J201">
            <v>520962</v>
          </cell>
          <cell r="K201">
            <v>1079357</v>
          </cell>
          <cell r="L201">
            <v>512695</v>
          </cell>
          <cell r="M201">
            <v>0</v>
          </cell>
          <cell r="N201">
            <v>0</v>
          </cell>
          <cell r="O201">
            <v>1442071</v>
          </cell>
          <cell r="P201">
            <v>1812575</v>
          </cell>
          <cell r="Q201">
            <v>489691</v>
          </cell>
          <cell r="R201">
            <v>0</v>
          </cell>
          <cell r="S201">
            <v>97865</v>
          </cell>
          <cell r="T201">
            <v>0</v>
          </cell>
          <cell r="U201">
            <v>1630112</v>
          </cell>
          <cell r="V201" t="str">
            <v xml:space="preserve"> </v>
          </cell>
          <cell r="W201">
            <v>19564865</v>
          </cell>
          <cell r="X201">
            <v>0</v>
          </cell>
          <cell r="Y201">
            <v>0</v>
          </cell>
          <cell r="Z201">
            <v>0</v>
          </cell>
          <cell r="AA201">
            <v>0</v>
          </cell>
          <cell r="AB201">
            <v>13451700</v>
          </cell>
          <cell r="AC201">
            <v>433781</v>
          </cell>
          <cell r="AD201">
            <v>521000</v>
          </cell>
          <cell r="AE201">
            <v>464613</v>
          </cell>
          <cell r="AF201">
            <v>220691</v>
          </cell>
          <cell r="AG201">
            <v>0</v>
          </cell>
          <cell r="AH201">
            <v>0</v>
          </cell>
          <cell r="AI201">
            <v>413987</v>
          </cell>
          <cell r="AJ201">
            <v>0</v>
          </cell>
          <cell r="AK201">
            <v>448317</v>
          </cell>
          <cell r="AL201">
            <v>0</v>
          </cell>
          <cell r="AM201">
            <v>97900</v>
          </cell>
          <cell r="AN201">
            <v>0</v>
          </cell>
          <cell r="AO201">
            <v>0</v>
          </cell>
          <cell r="AP201">
            <v>15587376</v>
          </cell>
          <cell r="AQ201">
            <v>0</v>
          </cell>
          <cell r="AR201">
            <v>0</v>
          </cell>
          <cell r="AS201">
            <v>0</v>
          </cell>
          <cell r="AT201">
            <v>0</v>
          </cell>
          <cell r="AU201" t="str">
            <v xml:space="preserve"> </v>
          </cell>
          <cell r="AV201" t="str">
            <v xml:space="preserve"> </v>
          </cell>
          <cell r="AW201" t="str">
            <v xml:space="preserve"> </v>
          </cell>
        </row>
        <row r="202">
          <cell r="C202" t="str">
            <v xml:space="preserve">SANTA MONICA Subtotal    </v>
          </cell>
          <cell r="H202">
            <v>12711869</v>
          </cell>
          <cell r="I202">
            <v>347025</v>
          </cell>
          <cell r="J202">
            <v>520962</v>
          </cell>
          <cell r="K202">
            <v>1079357</v>
          </cell>
          <cell r="L202">
            <v>512695</v>
          </cell>
          <cell r="M202">
            <v>0</v>
          </cell>
          <cell r="N202">
            <v>0</v>
          </cell>
          <cell r="O202">
            <v>1442071</v>
          </cell>
          <cell r="P202">
            <v>1812575</v>
          </cell>
          <cell r="Q202">
            <v>489691</v>
          </cell>
          <cell r="R202">
            <v>0</v>
          </cell>
          <cell r="S202">
            <v>97865</v>
          </cell>
          <cell r="T202">
            <v>0</v>
          </cell>
          <cell r="U202">
            <v>1630112</v>
          </cell>
          <cell r="V202">
            <v>0</v>
          </cell>
          <cell r="W202">
            <v>19564865</v>
          </cell>
          <cell r="X202">
            <v>0</v>
          </cell>
          <cell r="Y202">
            <v>0</v>
          </cell>
          <cell r="Z202">
            <v>0</v>
          </cell>
          <cell r="AA202">
            <v>0</v>
          </cell>
          <cell r="AB202">
            <v>13451700</v>
          </cell>
          <cell r="AC202">
            <v>433781</v>
          </cell>
          <cell r="AD202">
            <v>521000</v>
          </cell>
          <cell r="AE202">
            <v>464613</v>
          </cell>
          <cell r="AF202">
            <v>220691</v>
          </cell>
          <cell r="AG202">
            <v>0</v>
          </cell>
          <cell r="AH202">
            <v>0</v>
          </cell>
          <cell r="AI202">
            <v>413987</v>
          </cell>
          <cell r="AJ202">
            <v>0</v>
          </cell>
          <cell r="AK202">
            <v>448317</v>
          </cell>
          <cell r="AL202">
            <v>0</v>
          </cell>
          <cell r="AM202">
            <v>97900</v>
          </cell>
          <cell r="AN202">
            <v>0</v>
          </cell>
          <cell r="AO202">
            <v>0</v>
          </cell>
          <cell r="AP202">
            <v>15587376</v>
          </cell>
          <cell r="AQ202">
            <v>0</v>
          </cell>
          <cell r="AR202">
            <v>0</v>
          </cell>
          <cell r="AS202">
            <v>0</v>
          </cell>
          <cell r="AT202">
            <v>0</v>
          </cell>
          <cell r="AU202">
            <v>0</v>
          </cell>
          <cell r="AV202">
            <v>0</v>
          </cell>
          <cell r="AW202">
            <v>0</v>
          </cell>
        </row>
        <row r="204">
          <cell r="C204" t="str">
            <v xml:space="preserve"> SEQUOIAS          </v>
          </cell>
          <cell r="D204" t="str">
            <v xml:space="preserve"> FRESNO            </v>
          </cell>
          <cell r="E204">
            <v>560</v>
          </cell>
          <cell r="F204" t="str">
            <v xml:space="preserve"> 2015-2016</v>
          </cell>
          <cell r="G204" t="str">
            <v xml:space="preserve"> 11/15/2015</v>
          </cell>
          <cell r="H204">
            <v>24833</v>
          </cell>
          <cell r="I204">
            <v>369</v>
          </cell>
          <cell r="J204">
            <v>1129</v>
          </cell>
          <cell r="K204">
            <v>0</v>
          </cell>
          <cell r="L204">
            <v>0</v>
          </cell>
          <cell r="M204">
            <v>0</v>
          </cell>
          <cell r="N204">
            <v>0</v>
          </cell>
          <cell r="O204">
            <v>0</v>
          </cell>
          <cell r="P204">
            <v>0</v>
          </cell>
          <cell r="Q204">
            <v>166</v>
          </cell>
          <cell r="R204">
            <v>0</v>
          </cell>
          <cell r="S204">
            <v>302</v>
          </cell>
          <cell r="T204">
            <v>0</v>
          </cell>
          <cell r="U204">
            <v>-4123</v>
          </cell>
          <cell r="V204" t="str">
            <v xml:space="preserve"> </v>
          </cell>
          <cell r="W204">
            <v>22676</v>
          </cell>
          <cell r="X204">
            <v>0</v>
          </cell>
          <cell r="Y204">
            <v>0</v>
          </cell>
          <cell r="Z204">
            <v>0</v>
          </cell>
          <cell r="AA204">
            <v>0</v>
          </cell>
          <cell r="AB204">
            <v>25329</v>
          </cell>
          <cell r="AC204">
            <v>369</v>
          </cell>
          <cell r="AD204">
            <v>1129</v>
          </cell>
          <cell r="AE204">
            <v>0</v>
          </cell>
          <cell r="AF204">
            <v>0</v>
          </cell>
          <cell r="AG204">
            <v>0</v>
          </cell>
          <cell r="AH204">
            <v>0</v>
          </cell>
          <cell r="AI204">
            <v>0</v>
          </cell>
          <cell r="AJ204">
            <v>0</v>
          </cell>
          <cell r="AK204">
            <v>166</v>
          </cell>
          <cell r="AL204">
            <v>0</v>
          </cell>
          <cell r="AM204">
            <v>302</v>
          </cell>
          <cell r="AN204">
            <v>0</v>
          </cell>
          <cell r="AO204">
            <v>-1737</v>
          </cell>
          <cell r="AP204">
            <v>25558</v>
          </cell>
          <cell r="AQ204">
            <v>0</v>
          </cell>
          <cell r="AR204">
            <v>0</v>
          </cell>
          <cell r="AS204">
            <v>0</v>
          </cell>
          <cell r="AT204">
            <v>0</v>
          </cell>
          <cell r="AU204" t="str">
            <v xml:space="preserve"> </v>
          </cell>
          <cell r="AV204" t="str">
            <v xml:space="preserve"> </v>
          </cell>
          <cell r="AW204" t="str">
            <v xml:space="preserve"> </v>
          </cell>
        </row>
        <row r="205">
          <cell r="C205" t="str">
            <v xml:space="preserve"> SEQUOIAS          </v>
          </cell>
          <cell r="D205" t="str">
            <v xml:space="preserve"> KINGS             </v>
          </cell>
          <cell r="E205">
            <v>560</v>
          </cell>
          <cell r="F205" t="str">
            <v xml:space="preserve"> 2015-2016</v>
          </cell>
          <cell r="G205" t="str">
            <v xml:space="preserve"> 11/15/2015</v>
          </cell>
          <cell r="H205">
            <v>2483139</v>
          </cell>
          <cell r="I205">
            <v>32693</v>
          </cell>
          <cell r="J205">
            <v>114610</v>
          </cell>
          <cell r="K205">
            <v>27643</v>
          </cell>
          <cell r="L205">
            <v>13130</v>
          </cell>
          <cell r="M205">
            <v>0</v>
          </cell>
          <cell r="N205">
            <v>0</v>
          </cell>
          <cell r="O205">
            <v>99950</v>
          </cell>
          <cell r="P205">
            <v>7632</v>
          </cell>
          <cell r="Q205">
            <v>28199</v>
          </cell>
          <cell r="R205">
            <v>0</v>
          </cell>
          <cell r="S205">
            <v>31813</v>
          </cell>
          <cell r="T205">
            <v>0</v>
          </cell>
          <cell r="U205">
            <v>-1234806</v>
          </cell>
          <cell r="V205" t="str">
            <v xml:space="preserve"> </v>
          </cell>
          <cell r="W205">
            <v>1576360</v>
          </cell>
          <cell r="X205">
            <v>0</v>
          </cell>
          <cell r="Y205">
            <v>0</v>
          </cell>
          <cell r="Z205">
            <v>0</v>
          </cell>
          <cell r="AA205">
            <v>0</v>
          </cell>
          <cell r="AB205">
            <v>2666827</v>
          </cell>
          <cell r="AC205">
            <v>15000</v>
          </cell>
          <cell r="AD205">
            <v>119000</v>
          </cell>
          <cell r="AE205">
            <v>28000</v>
          </cell>
          <cell r="AF205">
            <v>13300</v>
          </cell>
          <cell r="AG205">
            <v>0</v>
          </cell>
          <cell r="AH205">
            <v>0</v>
          </cell>
          <cell r="AI205">
            <v>99950</v>
          </cell>
          <cell r="AJ205">
            <v>0</v>
          </cell>
          <cell r="AK205">
            <v>29000</v>
          </cell>
          <cell r="AL205">
            <v>0</v>
          </cell>
          <cell r="AM205">
            <v>31040</v>
          </cell>
          <cell r="AN205">
            <v>0</v>
          </cell>
          <cell r="AO205">
            <v>-1099430</v>
          </cell>
          <cell r="AP205">
            <v>1874687</v>
          </cell>
          <cell r="AQ205">
            <v>0</v>
          </cell>
          <cell r="AR205">
            <v>0</v>
          </cell>
          <cell r="AS205">
            <v>0</v>
          </cell>
          <cell r="AT205">
            <v>0</v>
          </cell>
          <cell r="AU205" t="str">
            <v xml:space="preserve"> </v>
          </cell>
          <cell r="AV205" t="str">
            <v xml:space="preserve"> </v>
          </cell>
          <cell r="AW205" t="str">
            <v xml:space="preserve"> </v>
          </cell>
        </row>
        <row r="206">
          <cell r="C206" t="str">
            <v xml:space="preserve"> SEQUOIAS          </v>
          </cell>
          <cell r="D206" t="str">
            <v xml:space="preserve"> TULARE            </v>
          </cell>
          <cell r="E206">
            <v>560</v>
          </cell>
          <cell r="F206" t="str">
            <v xml:space="preserve"> 2015-2016</v>
          </cell>
          <cell r="G206" t="str">
            <v xml:space="preserve"> 11/15/2015</v>
          </cell>
          <cell r="H206">
            <v>9705277</v>
          </cell>
          <cell r="I206">
            <v>104428</v>
          </cell>
          <cell r="J206">
            <v>574431</v>
          </cell>
          <cell r="K206">
            <v>137381</v>
          </cell>
          <cell r="L206">
            <v>65256</v>
          </cell>
          <cell r="M206">
            <v>0</v>
          </cell>
          <cell r="N206">
            <v>0</v>
          </cell>
          <cell r="O206">
            <v>520919</v>
          </cell>
          <cell r="P206">
            <v>5253</v>
          </cell>
          <cell r="Q206">
            <v>346534</v>
          </cell>
          <cell r="R206">
            <v>37</v>
          </cell>
          <cell r="S206">
            <v>115269</v>
          </cell>
          <cell r="T206">
            <v>0</v>
          </cell>
          <cell r="U206">
            <v>-1562563</v>
          </cell>
          <cell r="V206" t="str">
            <v xml:space="preserve"> </v>
          </cell>
          <cell r="W206">
            <v>9874841</v>
          </cell>
          <cell r="X206">
            <v>0</v>
          </cell>
          <cell r="Y206">
            <v>0</v>
          </cell>
          <cell r="Z206">
            <v>0</v>
          </cell>
          <cell r="AA206">
            <v>0</v>
          </cell>
          <cell r="AB206">
            <v>10224990</v>
          </cell>
          <cell r="AC206">
            <v>29438</v>
          </cell>
          <cell r="AD206">
            <v>256898</v>
          </cell>
          <cell r="AE206">
            <v>137381</v>
          </cell>
          <cell r="AF206">
            <v>65256</v>
          </cell>
          <cell r="AG206">
            <v>0</v>
          </cell>
          <cell r="AH206">
            <v>0</v>
          </cell>
          <cell r="AI206">
            <v>0</v>
          </cell>
          <cell r="AJ206">
            <v>0</v>
          </cell>
          <cell r="AK206">
            <v>0</v>
          </cell>
          <cell r="AL206">
            <v>0</v>
          </cell>
          <cell r="AM206">
            <v>109842</v>
          </cell>
          <cell r="AN206">
            <v>0</v>
          </cell>
          <cell r="AO206">
            <v>-1170553</v>
          </cell>
          <cell r="AP206">
            <v>9515871</v>
          </cell>
          <cell r="AQ206">
            <v>0</v>
          </cell>
          <cell r="AR206">
            <v>0</v>
          </cell>
          <cell r="AS206">
            <v>0</v>
          </cell>
          <cell r="AT206">
            <v>0</v>
          </cell>
          <cell r="AU206" t="str">
            <v xml:space="preserve"> </v>
          </cell>
          <cell r="AV206" t="str">
            <v xml:space="preserve"> </v>
          </cell>
          <cell r="AW206" t="str">
            <v xml:space="preserve"> </v>
          </cell>
        </row>
        <row r="207">
          <cell r="C207" t="str">
            <v xml:space="preserve">SEQUOIAS Subtotal         </v>
          </cell>
          <cell r="H207">
            <v>12213249</v>
          </cell>
          <cell r="I207">
            <v>137490</v>
          </cell>
          <cell r="J207">
            <v>690170</v>
          </cell>
          <cell r="K207">
            <v>165024</v>
          </cell>
          <cell r="L207">
            <v>78386</v>
          </cell>
          <cell r="M207">
            <v>0</v>
          </cell>
          <cell r="N207">
            <v>0</v>
          </cell>
          <cell r="O207">
            <v>620869</v>
          </cell>
          <cell r="P207">
            <v>12885</v>
          </cell>
          <cell r="Q207">
            <v>374899</v>
          </cell>
          <cell r="R207">
            <v>37</v>
          </cell>
          <cell r="S207">
            <v>147384</v>
          </cell>
          <cell r="T207">
            <v>0</v>
          </cell>
          <cell r="U207">
            <v>-2801492</v>
          </cell>
          <cell r="V207">
            <v>0</v>
          </cell>
          <cell r="W207">
            <v>11473877</v>
          </cell>
          <cell r="X207">
            <v>0</v>
          </cell>
          <cell r="Y207">
            <v>0</v>
          </cell>
          <cell r="Z207">
            <v>0</v>
          </cell>
          <cell r="AA207">
            <v>0</v>
          </cell>
          <cell r="AB207">
            <v>12917146</v>
          </cell>
          <cell r="AC207">
            <v>44807</v>
          </cell>
          <cell r="AD207">
            <v>377027</v>
          </cell>
          <cell r="AE207">
            <v>165381</v>
          </cell>
          <cell r="AF207">
            <v>78556</v>
          </cell>
          <cell r="AG207">
            <v>0</v>
          </cell>
          <cell r="AH207">
            <v>0</v>
          </cell>
          <cell r="AI207">
            <v>99950</v>
          </cell>
          <cell r="AJ207">
            <v>0</v>
          </cell>
          <cell r="AK207">
            <v>29166</v>
          </cell>
          <cell r="AL207">
            <v>0</v>
          </cell>
          <cell r="AM207">
            <v>141184</v>
          </cell>
          <cell r="AN207">
            <v>0</v>
          </cell>
          <cell r="AO207">
            <v>-2271720</v>
          </cell>
          <cell r="AP207">
            <v>11416116</v>
          </cell>
          <cell r="AQ207">
            <v>0</v>
          </cell>
          <cell r="AR207">
            <v>0</v>
          </cell>
          <cell r="AS207">
            <v>0</v>
          </cell>
          <cell r="AT207">
            <v>0</v>
          </cell>
          <cell r="AU207">
            <v>0</v>
          </cell>
          <cell r="AV207">
            <v>0</v>
          </cell>
          <cell r="AW207">
            <v>0</v>
          </cell>
        </row>
        <row r="209">
          <cell r="C209" t="str">
            <v xml:space="preserve"> SHASTA            </v>
          </cell>
          <cell r="D209" t="str">
            <v xml:space="preserve"> HUMBOLDT          </v>
          </cell>
          <cell r="E209">
            <v>170</v>
          </cell>
          <cell r="F209" t="str">
            <v xml:space="preserve"> 2015-2016</v>
          </cell>
          <cell r="G209" t="str">
            <v xml:space="preserve"> 11/15/2015</v>
          </cell>
          <cell r="H209">
            <v>19420</v>
          </cell>
          <cell r="I209">
            <v>150</v>
          </cell>
          <cell r="J209">
            <v>729</v>
          </cell>
          <cell r="K209">
            <v>0</v>
          </cell>
          <cell r="L209">
            <v>0</v>
          </cell>
          <cell r="M209">
            <v>0</v>
          </cell>
          <cell r="N209">
            <v>0</v>
          </cell>
          <cell r="O209">
            <v>0</v>
          </cell>
          <cell r="P209">
            <v>0</v>
          </cell>
          <cell r="Q209">
            <v>22</v>
          </cell>
          <cell r="R209">
            <v>140</v>
          </cell>
          <cell r="S209">
            <v>283</v>
          </cell>
          <cell r="T209">
            <v>0</v>
          </cell>
          <cell r="U209">
            <v>-1102</v>
          </cell>
          <cell r="V209" t="str">
            <v xml:space="preserve"> </v>
          </cell>
          <cell r="W209">
            <v>19642</v>
          </cell>
          <cell r="X209">
            <v>0</v>
          </cell>
          <cell r="Y209">
            <v>0</v>
          </cell>
          <cell r="Z209">
            <v>0</v>
          </cell>
          <cell r="AA209">
            <v>0</v>
          </cell>
          <cell r="AB209">
            <v>21118</v>
          </cell>
          <cell r="AC209">
            <v>150</v>
          </cell>
          <cell r="AD209">
            <v>793</v>
          </cell>
          <cell r="AE209">
            <v>0</v>
          </cell>
          <cell r="AF209">
            <v>0</v>
          </cell>
          <cell r="AG209">
            <v>0</v>
          </cell>
          <cell r="AH209">
            <v>0</v>
          </cell>
          <cell r="AI209">
            <v>0</v>
          </cell>
          <cell r="AJ209">
            <v>0</v>
          </cell>
          <cell r="AK209">
            <v>22</v>
          </cell>
          <cell r="AL209">
            <v>140</v>
          </cell>
          <cell r="AM209">
            <v>285</v>
          </cell>
          <cell r="AN209">
            <v>0</v>
          </cell>
          <cell r="AO209">
            <v>-1102</v>
          </cell>
          <cell r="AP209">
            <v>21406</v>
          </cell>
          <cell r="AQ209">
            <v>0</v>
          </cell>
          <cell r="AR209">
            <v>0</v>
          </cell>
          <cell r="AS209">
            <v>0</v>
          </cell>
          <cell r="AT209">
            <v>0</v>
          </cell>
          <cell r="AU209" t="str">
            <v xml:space="preserve"> </v>
          </cell>
          <cell r="AV209" t="str">
            <v xml:space="preserve"> </v>
          </cell>
          <cell r="AW209" t="str">
            <v xml:space="preserve"> </v>
          </cell>
        </row>
        <row r="210">
          <cell r="C210" t="str">
            <v xml:space="preserve"> SHASTA            </v>
          </cell>
          <cell r="D210" t="str">
            <v xml:space="preserve"> LASSEN            </v>
          </cell>
          <cell r="E210">
            <v>170</v>
          </cell>
          <cell r="F210" t="str">
            <v xml:space="preserve"> 2015-2016</v>
          </cell>
          <cell r="G210" t="str">
            <v xml:space="preserve"> 11/15/2015</v>
          </cell>
          <cell r="H210">
            <v>78086</v>
          </cell>
          <cell r="I210">
            <v>242</v>
          </cell>
          <cell r="J210">
            <v>3918</v>
          </cell>
          <cell r="K210">
            <v>0</v>
          </cell>
          <cell r="L210">
            <v>0</v>
          </cell>
          <cell r="M210">
            <v>0</v>
          </cell>
          <cell r="N210">
            <v>0</v>
          </cell>
          <cell r="O210">
            <v>0</v>
          </cell>
          <cell r="P210">
            <v>0</v>
          </cell>
          <cell r="Q210">
            <v>27</v>
          </cell>
          <cell r="R210">
            <v>475</v>
          </cell>
          <cell r="S210">
            <v>1408</v>
          </cell>
          <cell r="T210">
            <v>0</v>
          </cell>
          <cell r="U210">
            <v>-17767</v>
          </cell>
          <cell r="V210" t="str">
            <v xml:space="preserve"> </v>
          </cell>
          <cell r="W210">
            <v>66389</v>
          </cell>
          <cell r="X210">
            <v>0</v>
          </cell>
          <cell r="Y210">
            <v>0</v>
          </cell>
          <cell r="Z210">
            <v>0</v>
          </cell>
          <cell r="AA210">
            <v>0</v>
          </cell>
          <cell r="AB210">
            <v>76524</v>
          </cell>
          <cell r="AC210">
            <v>265</v>
          </cell>
          <cell r="AD210">
            <v>3840</v>
          </cell>
          <cell r="AE210">
            <v>0</v>
          </cell>
          <cell r="AF210">
            <v>0</v>
          </cell>
          <cell r="AG210">
            <v>0</v>
          </cell>
          <cell r="AH210">
            <v>0</v>
          </cell>
          <cell r="AI210">
            <v>0</v>
          </cell>
          <cell r="AJ210">
            <v>0</v>
          </cell>
          <cell r="AK210">
            <v>26</v>
          </cell>
          <cell r="AL210">
            <v>452</v>
          </cell>
          <cell r="AM210">
            <v>1380</v>
          </cell>
          <cell r="AN210">
            <v>0</v>
          </cell>
          <cell r="AO210">
            <v>-16849</v>
          </cell>
          <cell r="AP210">
            <v>65638</v>
          </cell>
          <cell r="AQ210">
            <v>0</v>
          </cell>
          <cell r="AR210">
            <v>0</v>
          </cell>
          <cell r="AS210">
            <v>0</v>
          </cell>
          <cell r="AT210">
            <v>0</v>
          </cell>
          <cell r="AU210" t="str">
            <v xml:space="preserve"> </v>
          </cell>
          <cell r="AV210" t="str">
            <v xml:space="preserve"> </v>
          </cell>
          <cell r="AW210" t="str">
            <v xml:space="preserve"> </v>
          </cell>
        </row>
        <row r="211">
          <cell r="C211" t="str">
            <v xml:space="preserve"> SHASTA            </v>
          </cell>
          <cell r="D211" t="str">
            <v xml:space="preserve"> MODOC             </v>
          </cell>
          <cell r="E211">
            <v>170</v>
          </cell>
          <cell r="F211" t="str">
            <v xml:space="preserve"> 2015-2016</v>
          </cell>
          <cell r="G211" t="str">
            <v xml:space="preserve"> 11/15/2015</v>
          </cell>
          <cell r="H211">
            <v>12132</v>
          </cell>
          <cell r="I211">
            <v>79</v>
          </cell>
          <cell r="J211">
            <v>496</v>
          </cell>
          <cell r="K211">
            <v>0</v>
          </cell>
          <cell r="L211">
            <v>0</v>
          </cell>
          <cell r="M211">
            <v>0</v>
          </cell>
          <cell r="N211">
            <v>0</v>
          </cell>
          <cell r="O211">
            <v>0</v>
          </cell>
          <cell r="P211">
            <v>0</v>
          </cell>
          <cell r="Q211">
            <v>1167</v>
          </cell>
          <cell r="R211">
            <v>31</v>
          </cell>
          <cell r="S211">
            <v>210</v>
          </cell>
          <cell r="T211">
            <v>0</v>
          </cell>
          <cell r="U211">
            <v>-830</v>
          </cell>
          <cell r="V211" t="str">
            <v xml:space="preserve"> </v>
          </cell>
          <cell r="W211">
            <v>13285</v>
          </cell>
          <cell r="X211">
            <v>0</v>
          </cell>
          <cell r="Y211">
            <v>0</v>
          </cell>
          <cell r="Z211">
            <v>0</v>
          </cell>
          <cell r="AA211">
            <v>0</v>
          </cell>
          <cell r="AB211">
            <v>12100</v>
          </cell>
          <cell r="AC211">
            <v>80</v>
          </cell>
          <cell r="AD211">
            <v>495</v>
          </cell>
          <cell r="AE211">
            <v>0</v>
          </cell>
          <cell r="AF211">
            <v>0</v>
          </cell>
          <cell r="AG211">
            <v>0</v>
          </cell>
          <cell r="AH211">
            <v>0</v>
          </cell>
          <cell r="AI211">
            <v>0</v>
          </cell>
          <cell r="AJ211">
            <v>0</v>
          </cell>
          <cell r="AK211">
            <v>1000</v>
          </cell>
          <cell r="AL211">
            <v>25</v>
          </cell>
          <cell r="AM211">
            <v>200</v>
          </cell>
          <cell r="AN211">
            <v>0</v>
          </cell>
          <cell r="AO211">
            <v>-691</v>
          </cell>
          <cell r="AP211">
            <v>13209</v>
          </cell>
          <cell r="AQ211">
            <v>0</v>
          </cell>
          <cell r="AR211">
            <v>0</v>
          </cell>
          <cell r="AS211">
            <v>0</v>
          </cell>
          <cell r="AT211">
            <v>0</v>
          </cell>
          <cell r="AU211" t="str">
            <v xml:space="preserve"> </v>
          </cell>
          <cell r="AV211" t="str">
            <v xml:space="preserve"> </v>
          </cell>
          <cell r="AW211" t="str">
            <v xml:space="preserve"> </v>
          </cell>
        </row>
        <row r="212">
          <cell r="C212" t="str">
            <v xml:space="preserve"> SHASTA            </v>
          </cell>
          <cell r="D212" t="str">
            <v xml:space="preserve"> SHASTA            </v>
          </cell>
          <cell r="E212">
            <v>170</v>
          </cell>
          <cell r="F212" t="str">
            <v xml:space="preserve"> 2015-2016</v>
          </cell>
          <cell r="G212" t="str">
            <v xml:space="preserve"> 11/15/2015</v>
          </cell>
          <cell r="H212">
            <v>8794185</v>
          </cell>
          <cell r="I212">
            <v>127545</v>
          </cell>
          <cell r="J212">
            <v>447943</v>
          </cell>
          <cell r="K212">
            <v>57080</v>
          </cell>
          <cell r="L212">
            <v>27113</v>
          </cell>
          <cell r="M212">
            <v>0</v>
          </cell>
          <cell r="N212">
            <v>0</v>
          </cell>
          <cell r="O212">
            <v>627050</v>
          </cell>
          <cell r="P212">
            <v>0</v>
          </cell>
          <cell r="Q212">
            <v>4612</v>
          </cell>
          <cell r="R212">
            <v>88101</v>
          </cell>
          <cell r="S212">
            <v>154914</v>
          </cell>
          <cell r="T212">
            <v>611</v>
          </cell>
          <cell r="U212">
            <v>-1380613</v>
          </cell>
          <cell r="V212" t="str">
            <v xml:space="preserve"> </v>
          </cell>
          <cell r="W212">
            <v>8891461</v>
          </cell>
          <cell r="X212">
            <v>0</v>
          </cell>
          <cell r="Y212">
            <v>0</v>
          </cell>
          <cell r="Z212">
            <v>0</v>
          </cell>
          <cell r="AA212">
            <v>0</v>
          </cell>
          <cell r="AB212">
            <v>8441118</v>
          </cell>
          <cell r="AC212">
            <v>110495</v>
          </cell>
          <cell r="AD212">
            <v>404467</v>
          </cell>
          <cell r="AE212">
            <v>38802</v>
          </cell>
          <cell r="AF212">
            <v>18431</v>
          </cell>
          <cell r="AG212">
            <v>0</v>
          </cell>
          <cell r="AH212">
            <v>0</v>
          </cell>
          <cell r="AI212">
            <v>525499</v>
          </cell>
          <cell r="AJ212">
            <v>0</v>
          </cell>
          <cell r="AK212">
            <v>4151</v>
          </cell>
          <cell r="AL212">
            <v>70481</v>
          </cell>
          <cell r="AM212">
            <v>154323</v>
          </cell>
          <cell r="AN212">
            <v>0</v>
          </cell>
          <cell r="AO212">
            <v>-580319</v>
          </cell>
          <cell r="AP212">
            <v>9148646</v>
          </cell>
          <cell r="AQ212">
            <v>0</v>
          </cell>
          <cell r="AR212">
            <v>0</v>
          </cell>
          <cell r="AS212">
            <v>0</v>
          </cell>
          <cell r="AT212">
            <v>0</v>
          </cell>
          <cell r="AU212" t="str">
            <v xml:space="preserve"> </v>
          </cell>
          <cell r="AV212" t="str">
            <v xml:space="preserve"> </v>
          </cell>
          <cell r="AW212" t="str">
            <v xml:space="preserve"> </v>
          </cell>
        </row>
        <row r="213">
          <cell r="C213" t="str">
            <v xml:space="preserve"> SHASTA            </v>
          </cell>
          <cell r="D213" t="str">
            <v xml:space="preserve"> TEHAMA            </v>
          </cell>
          <cell r="E213">
            <v>170</v>
          </cell>
          <cell r="F213" t="str">
            <v xml:space="preserve"> 2015-2016</v>
          </cell>
          <cell r="G213" t="str">
            <v xml:space="preserve"> 11/15/2015</v>
          </cell>
          <cell r="H213">
            <v>2465625</v>
          </cell>
          <cell r="I213">
            <v>24753</v>
          </cell>
          <cell r="J213">
            <v>98207</v>
          </cell>
          <cell r="K213">
            <v>0</v>
          </cell>
          <cell r="L213">
            <v>0</v>
          </cell>
          <cell r="M213">
            <v>0</v>
          </cell>
          <cell r="N213">
            <v>0</v>
          </cell>
          <cell r="O213">
            <v>0</v>
          </cell>
          <cell r="P213">
            <v>0</v>
          </cell>
          <cell r="Q213">
            <v>4345</v>
          </cell>
          <cell r="R213">
            <v>22307</v>
          </cell>
          <cell r="S213">
            <v>54797</v>
          </cell>
          <cell r="T213">
            <v>1036</v>
          </cell>
          <cell r="U213">
            <v>-1020</v>
          </cell>
          <cell r="V213" t="str">
            <v xml:space="preserve"> </v>
          </cell>
          <cell r="W213">
            <v>2670050</v>
          </cell>
          <cell r="X213">
            <v>0</v>
          </cell>
          <cell r="Y213">
            <v>0</v>
          </cell>
          <cell r="Z213">
            <v>0</v>
          </cell>
          <cell r="AA213">
            <v>0</v>
          </cell>
          <cell r="AB213">
            <v>2823137</v>
          </cell>
          <cell r="AC213">
            <v>25000</v>
          </cell>
          <cell r="AD213">
            <v>101908</v>
          </cell>
          <cell r="AE213">
            <v>0</v>
          </cell>
          <cell r="AF213">
            <v>0</v>
          </cell>
          <cell r="AG213">
            <v>0</v>
          </cell>
          <cell r="AH213">
            <v>0</v>
          </cell>
          <cell r="AI213">
            <v>0</v>
          </cell>
          <cell r="AJ213">
            <v>0</v>
          </cell>
          <cell r="AK213">
            <v>5000</v>
          </cell>
          <cell r="AL213">
            <v>15000</v>
          </cell>
          <cell r="AM213">
            <v>52353</v>
          </cell>
          <cell r="AN213">
            <v>500</v>
          </cell>
          <cell r="AO213">
            <v>5166</v>
          </cell>
          <cell r="AP213">
            <v>3028064</v>
          </cell>
          <cell r="AQ213">
            <v>0</v>
          </cell>
          <cell r="AR213">
            <v>0</v>
          </cell>
          <cell r="AS213">
            <v>0</v>
          </cell>
          <cell r="AT213">
            <v>0</v>
          </cell>
          <cell r="AU213" t="str">
            <v xml:space="preserve"> </v>
          </cell>
          <cell r="AV213" t="str">
            <v xml:space="preserve"> </v>
          </cell>
          <cell r="AW213" t="str">
            <v xml:space="preserve"> </v>
          </cell>
        </row>
        <row r="214">
          <cell r="C214" t="str">
            <v xml:space="preserve"> SHASTA            </v>
          </cell>
          <cell r="D214" t="str">
            <v xml:space="preserve"> TRINITY           </v>
          </cell>
          <cell r="E214">
            <v>170</v>
          </cell>
          <cell r="F214" t="str">
            <v xml:space="preserve"> 2015-2016</v>
          </cell>
          <cell r="G214" t="str">
            <v xml:space="preserve"> 11/15/2015</v>
          </cell>
          <cell r="H214">
            <v>1335386</v>
          </cell>
          <cell r="I214">
            <v>52916</v>
          </cell>
          <cell r="J214">
            <v>31176</v>
          </cell>
          <cell r="K214">
            <v>0</v>
          </cell>
          <cell r="L214">
            <v>0</v>
          </cell>
          <cell r="M214">
            <v>0</v>
          </cell>
          <cell r="N214">
            <v>0</v>
          </cell>
          <cell r="O214">
            <v>0</v>
          </cell>
          <cell r="P214">
            <v>0</v>
          </cell>
          <cell r="Q214">
            <v>984</v>
          </cell>
          <cell r="R214">
            <v>15009</v>
          </cell>
          <cell r="S214">
            <v>17916</v>
          </cell>
          <cell r="T214">
            <v>0</v>
          </cell>
          <cell r="U214">
            <v>0</v>
          </cell>
          <cell r="V214" t="str">
            <v xml:space="preserve"> </v>
          </cell>
          <cell r="W214">
            <v>1453387</v>
          </cell>
          <cell r="X214">
            <v>0</v>
          </cell>
          <cell r="Y214">
            <v>0</v>
          </cell>
          <cell r="Z214">
            <v>0</v>
          </cell>
          <cell r="AA214">
            <v>0</v>
          </cell>
          <cell r="AB214">
            <v>1340000</v>
          </cell>
          <cell r="AC214">
            <v>40000</v>
          </cell>
          <cell r="AD214">
            <v>32000</v>
          </cell>
          <cell r="AE214">
            <v>0</v>
          </cell>
          <cell r="AF214">
            <v>0</v>
          </cell>
          <cell r="AG214">
            <v>0</v>
          </cell>
          <cell r="AH214">
            <v>0</v>
          </cell>
          <cell r="AI214">
            <v>0</v>
          </cell>
          <cell r="AJ214">
            <v>0</v>
          </cell>
          <cell r="AK214">
            <v>400</v>
          </cell>
          <cell r="AL214">
            <v>15000</v>
          </cell>
          <cell r="AM214">
            <v>17102</v>
          </cell>
          <cell r="AN214">
            <v>0</v>
          </cell>
          <cell r="AO214">
            <v>0</v>
          </cell>
          <cell r="AP214">
            <v>1444502</v>
          </cell>
          <cell r="AQ214">
            <v>0</v>
          </cell>
          <cell r="AR214">
            <v>0</v>
          </cell>
          <cell r="AS214">
            <v>0</v>
          </cell>
          <cell r="AT214">
            <v>0</v>
          </cell>
          <cell r="AU214" t="str">
            <v xml:space="preserve"> </v>
          </cell>
          <cell r="AV214" t="str">
            <v xml:space="preserve"> </v>
          </cell>
          <cell r="AW214" t="str">
            <v xml:space="preserve"> </v>
          </cell>
        </row>
        <row r="215">
          <cell r="C215" t="str">
            <v xml:space="preserve">SHASTA Subtotal            </v>
          </cell>
          <cell r="H215">
            <v>12704834</v>
          </cell>
          <cell r="I215">
            <v>205685</v>
          </cell>
          <cell r="J215">
            <v>582469</v>
          </cell>
          <cell r="K215">
            <v>57080</v>
          </cell>
          <cell r="L215">
            <v>27113</v>
          </cell>
          <cell r="M215">
            <v>0</v>
          </cell>
          <cell r="N215">
            <v>0</v>
          </cell>
          <cell r="O215">
            <v>627050</v>
          </cell>
          <cell r="P215">
            <v>0</v>
          </cell>
          <cell r="Q215">
            <v>11157</v>
          </cell>
          <cell r="R215">
            <v>126063</v>
          </cell>
          <cell r="S215">
            <v>229528</v>
          </cell>
          <cell r="T215">
            <v>1647</v>
          </cell>
          <cell r="U215">
            <v>-1401332</v>
          </cell>
          <cell r="V215">
            <v>0</v>
          </cell>
          <cell r="W215">
            <v>13114214</v>
          </cell>
          <cell r="X215">
            <v>0</v>
          </cell>
          <cell r="Y215">
            <v>0</v>
          </cell>
          <cell r="Z215">
            <v>0</v>
          </cell>
          <cell r="AA215">
            <v>0</v>
          </cell>
          <cell r="AB215">
            <v>12713997</v>
          </cell>
          <cell r="AC215">
            <v>175990</v>
          </cell>
          <cell r="AD215">
            <v>543503</v>
          </cell>
          <cell r="AE215">
            <v>38802</v>
          </cell>
          <cell r="AF215">
            <v>18431</v>
          </cell>
          <cell r="AG215">
            <v>0</v>
          </cell>
          <cell r="AH215">
            <v>0</v>
          </cell>
          <cell r="AI215">
            <v>525499</v>
          </cell>
          <cell r="AJ215">
            <v>0</v>
          </cell>
          <cell r="AK215">
            <v>10599</v>
          </cell>
          <cell r="AL215">
            <v>101098</v>
          </cell>
          <cell r="AM215">
            <v>225643</v>
          </cell>
          <cell r="AN215">
            <v>500</v>
          </cell>
          <cell r="AO215">
            <v>-593795</v>
          </cell>
          <cell r="AP215">
            <v>13721465</v>
          </cell>
          <cell r="AQ215">
            <v>0</v>
          </cell>
          <cell r="AR215">
            <v>0</v>
          </cell>
          <cell r="AS215">
            <v>0</v>
          </cell>
          <cell r="AT215">
            <v>0</v>
          </cell>
          <cell r="AU215">
            <v>0</v>
          </cell>
          <cell r="AV215">
            <v>0</v>
          </cell>
          <cell r="AW215">
            <v>0</v>
          </cell>
        </row>
        <row r="217">
          <cell r="C217" t="str">
            <v xml:space="preserve"> SIERRA            </v>
          </cell>
          <cell r="D217" t="str">
            <v xml:space="preserve"> EL DORADO         </v>
          </cell>
          <cell r="E217">
            <v>270</v>
          </cell>
          <cell r="F217" t="str">
            <v xml:space="preserve"> 2015-2016</v>
          </cell>
          <cell r="G217" t="str">
            <v xml:space="preserve"> 11/15/2015</v>
          </cell>
          <cell r="H217">
            <v>488518</v>
          </cell>
          <cell r="I217">
            <v>8614</v>
          </cell>
          <cell r="J217">
            <v>10460</v>
          </cell>
          <cell r="K217">
            <v>0</v>
          </cell>
          <cell r="L217">
            <v>0</v>
          </cell>
          <cell r="M217">
            <v>0</v>
          </cell>
          <cell r="N217">
            <v>0</v>
          </cell>
          <cell r="O217">
            <v>0</v>
          </cell>
          <cell r="P217">
            <v>0</v>
          </cell>
          <cell r="Q217">
            <v>494</v>
          </cell>
          <cell r="R217">
            <v>0</v>
          </cell>
          <cell r="S217">
            <v>5174</v>
          </cell>
          <cell r="T217">
            <v>0</v>
          </cell>
          <cell r="U217">
            <v>0</v>
          </cell>
          <cell r="V217" t="str">
            <v xml:space="preserve"> </v>
          </cell>
          <cell r="W217">
            <v>513260</v>
          </cell>
          <cell r="X217">
            <v>0</v>
          </cell>
          <cell r="Y217">
            <v>0</v>
          </cell>
          <cell r="Z217">
            <v>0</v>
          </cell>
          <cell r="AA217">
            <v>0</v>
          </cell>
          <cell r="AB217">
            <v>512455</v>
          </cell>
          <cell r="AC217">
            <v>8614</v>
          </cell>
          <cell r="AD217">
            <v>9990</v>
          </cell>
          <cell r="AE217">
            <v>0</v>
          </cell>
          <cell r="AF217">
            <v>0</v>
          </cell>
          <cell r="AG217">
            <v>0</v>
          </cell>
          <cell r="AH217">
            <v>0</v>
          </cell>
          <cell r="AI217">
            <v>0</v>
          </cell>
          <cell r="AJ217">
            <v>0</v>
          </cell>
          <cell r="AK217">
            <v>1</v>
          </cell>
          <cell r="AL217">
            <v>0</v>
          </cell>
          <cell r="AM217">
            <v>5088</v>
          </cell>
          <cell r="AN217">
            <v>0</v>
          </cell>
          <cell r="AO217">
            <v>0</v>
          </cell>
          <cell r="AP217">
            <v>536148</v>
          </cell>
          <cell r="AQ217">
            <v>0</v>
          </cell>
          <cell r="AR217">
            <v>0</v>
          </cell>
          <cell r="AS217">
            <v>0</v>
          </cell>
          <cell r="AT217">
            <v>0</v>
          </cell>
          <cell r="AU217" t="str">
            <v xml:space="preserve"> </v>
          </cell>
          <cell r="AV217" t="str">
            <v xml:space="preserve"> </v>
          </cell>
          <cell r="AW217" t="str">
            <v xml:space="preserve"> </v>
          </cell>
        </row>
        <row r="218">
          <cell r="C218" t="str">
            <v xml:space="preserve"> SIERRA            </v>
          </cell>
          <cell r="D218" t="str">
            <v xml:space="preserve"> NEVADA            </v>
          </cell>
          <cell r="E218">
            <v>270</v>
          </cell>
          <cell r="F218" t="str">
            <v xml:space="preserve"> 2015-2016</v>
          </cell>
          <cell r="G218" t="str">
            <v xml:space="preserve"> 11/15/2015</v>
          </cell>
          <cell r="H218">
            <v>13107010</v>
          </cell>
          <cell r="I218">
            <v>206719</v>
          </cell>
          <cell r="J218">
            <v>260008</v>
          </cell>
          <cell r="K218">
            <v>32380</v>
          </cell>
          <cell r="L218">
            <v>15381</v>
          </cell>
          <cell r="M218">
            <v>0</v>
          </cell>
          <cell r="N218">
            <v>0</v>
          </cell>
          <cell r="O218">
            <v>99329</v>
          </cell>
          <cell r="P218">
            <v>0</v>
          </cell>
          <cell r="Q218">
            <v>4407</v>
          </cell>
          <cell r="R218">
            <v>3787</v>
          </cell>
          <cell r="S218">
            <v>140235</v>
          </cell>
          <cell r="T218">
            <v>0</v>
          </cell>
          <cell r="U218">
            <v>607452</v>
          </cell>
          <cell r="V218" t="str">
            <v xml:space="preserve"> </v>
          </cell>
          <cell r="W218">
            <v>14444328</v>
          </cell>
          <cell r="X218">
            <v>0</v>
          </cell>
          <cell r="Y218">
            <v>0</v>
          </cell>
          <cell r="Z218">
            <v>0</v>
          </cell>
          <cell r="AA218">
            <v>0</v>
          </cell>
          <cell r="AB218">
            <v>13796580</v>
          </cell>
          <cell r="AC218">
            <v>200000</v>
          </cell>
          <cell r="AD218">
            <v>243736</v>
          </cell>
          <cell r="AE218">
            <v>32217</v>
          </cell>
          <cell r="AF218">
            <v>15303</v>
          </cell>
          <cell r="AG218">
            <v>0</v>
          </cell>
          <cell r="AH218">
            <v>0</v>
          </cell>
          <cell r="AI218">
            <v>84318</v>
          </cell>
          <cell r="AJ218">
            <v>0</v>
          </cell>
          <cell r="AK218">
            <v>4000</v>
          </cell>
          <cell r="AL218">
            <v>4000</v>
          </cell>
          <cell r="AM218">
            <v>140077</v>
          </cell>
          <cell r="AN218">
            <v>0</v>
          </cell>
          <cell r="AO218">
            <v>1049123</v>
          </cell>
          <cell r="AP218">
            <v>15537137</v>
          </cell>
          <cell r="AQ218">
            <v>0</v>
          </cell>
          <cell r="AR218">
            <v>0</v>
          </cell>
          <cell r="AS218">
            <v>0</v>
          </cell>
          <cell r="AT218">
            <v>0</v>
          </cell>
          <cell r="AU218" t="str">
            <v xml:space="preserve"> </v>
          </cell>
          <cell r="AV218" t="str">
            <v xml:space="preserve"> </v>
          </cell>
          <cell r="AW218" t="str">
            <v xml:space="preserve"> </v>
          </cell>
        </row>
        <row r="219">
          <cell r="C219" t="str">
            <v xml:space="preserve"> SIERRA            </v>
          </cell>
          <cell r="D219" t="str">
            <v xml:space="preserve"> PLACER            </v>
          </cell>
          <cell r="E219">
            <v>270</v>
          </cell>
          <cell r="F219" t="str">
            <v xml:space="preserve"> 2015-2016</v>
          </cell>
          <cell r="G219" t="str">
            <v xml:space="preserve"> 11/15/2015</v>
          </cell>
          <cell r="H219">
            <v>42476421</v>
          </cell>
          <cell r="I219">
            <v>1031008</v>
          </cell>
          <cell r="J219">
            <v>1046218</v>
          </cell>
          <cell r="K219">
            <v>340784</v>
          </cell>
          <cell r="L219">
            <v>161872</v>
          </cell>
          <cell r="M219">
            <v>0</v>
          </cell>
          <cell r="N219">
            <v>0</v>
          </cell>
          <cell r="O219">
            <v>453406</v>
          </cell>
          <cell r="P219">
            <v>124296</v>
          </cell>
          <cell r="Q219">
            <v>22132</v>
          </cell>
          <cell r="R219">
            <v>30352</v>
          </cell>
          <cell r="S219">
            <v>404681</v>
          </cell>
          <cell r="T219">
            <v>0</v>
          </cell>
          <cell r="U219">
            <v>847975</v>
          </cell>
          <cell r="V219" t="str">
            <v xml:space="preserve"> </v>
          </cell>
          <cell r="W219">
            <v>46598361</v>
          </cell>
          <cell r="X219">
            <v>-3307</v>
          </cell>
          <cell r="Y219">
            <v>0</v>
          </cell>
          <cell r="Z219">
            <v>0</v>
          </cell>
          <cell r="AA219">
            <v>0</v>
          </cell>
          <cell r="AB219">
            <v>46412492</v>
          </cell>
          <cell r="AC219">
            <v>1053267</v>
          </cell>
          <cell r="AD219">
            <v>1089627</v>
          </cell>
          <cell r="AE219">
            <v>0</v>
          </cell>
          <cell r="AF219">
            <v>0</v>
          </cell>
          <cell r="AG219">
            <v>0</v>
          </cell>
          <cell r="AH219">
            <v>0</v>
          </cell>
          <cell r="AI219">
            <v>0</v>
          </cell>
          <cell r="AJ219">
            <v>0</v>
          </cell>
          <cell r="AK219">
            <v>22132</v>
          </cell>
          <cell r="AL219">
            <v>30352</v>
          </cell>
          <cell r="AM219">
            <v>396690</v>
          </cell>
          <cell r="AN219">
            <v>0</v>
          </cell>
          <cell r="AO219">
            <v>3471056</v>
          </cell>
          <cell r="AP219">
            <v>52475616</v>
          </cell>
          <cell r="AQ219">
            <v>0</v>
          </cell>
          <cell r="AR219">
            <v>0</v>
          </cell>
          <cell r="AS219">
            <v>0</v>
          </cell>
          <cell r="AT219">
            <v>0</v>
          </cell>
          <cell r="AU219" t="str">
            <v xml:space="preserve"> </v>
          </cell>
          <cell r="AV219" t="str">
            <v xml:space="preserve"> </v>
          </cell>
          <cell r="AW219" t="str">
            <v xml:space="preserve"> </v>
          </cell>
        </row>
        <row r="220">
          <cell r="C220" t="str">
            <v xml:space="preserve"> SIERRA            </v>
          </cell>
          <cell r="D220" t="str">
            <v xml:space="preserve"> SACRAMENTO        </v>
          </cell>
          <cell r="E220">
            <v>270</v>
          </cell>
          <cell r="F220" t="str">
            <v xml:space="preserve"> 2015-2016</v>
          </cell>
          <cell r="G220" t="str">
            <v xml:space="preserve"> 11/15/2015</v>
          </cell>
          <cell r="H220">
            <v>1248989</v>
          </cell>
          <cell r="I220">
            <v>22415</v>
          </cell>
          <cell r="J220">
            <v>53249</v>
          </cell>
          <cell r="K220">
            <v>0</v>
          </cell>
          <cell r="L220">
            <v>0</v>
          </cell>
          <cell r="M220">
            <v>0</v>
          </cell>
          <cell r="N220">
            <v>0</v>
          </cell>
          <cell r="O220">
            <v>0</v>
          </cell>
          <cell r="P220">
            <v>0</v>
          </cell>
          <cell r="Q220">
            <v>0</v>
          </cell>
          <cell r="R220">
            <v>0</v>
          </cell>
          <cell r="S220">
            <v>16602</v>
          </cell>
          <cell r="T220">
            <v>0</v>
          </cell>
          <cell r="U220">
            <v>0</v>
          </cell>
          <cell r="V220" t="str">
            <v xml:space="preserve"> </v>
          </cell>
          <cell r="W220">
            <v>1341255</v>
          </cell>
          <cell r="X220">
            <v>0</v>
          </cell>
          <cell r="Y220">
            <v>0</v>
          </cell>
          <cell r="Z220">
            <v>0</v>
          </cell>
          <cell r="AA220">
            <v>0</v>
          </cell>
          <cell r="AB220">
            <v>1290816</v>
          </cell>
          <cell r="AC220">
            <v>44056</v>
          </cell>
          <cell r="AD220">
            <v>40932</v>
          </cell>
          <cell r="AE220">
            <v>0</v>
          </cell>
          <cell r="AF220">
            <v>0</v>
          </cell>
          <cell r="AG220">
            <v>0</v>
          </cell>
          <cell r="AH220">
            <v>0</v>
          </cell>
          <cell r="AI220">
            <v>0</v>
          </cell>
          <cell r="AJ220">
            <v>0</v>
          </cell>
          <cell r="AK220">
            <v>0</v>
          </cell>
          <cell r="AL220">
            <v>0</v>
          </cell>
          <cell r="AM220">
            <v>18347</v>
          </cell>
          <cell r="AN220">
            <v>0</v>
          </cell>
          <cell r="AO220">
            <v>0</v>
          </cell>
          <cell r="AP220">
            <v>1394151</v>
          </cell>
          <cell r="AQ220">
            <v>0</v>
          </cell>
          <cell r="AR220">
            <v>0</v>
          </cell>
          <cell r="AS220">
            <v>0</v>
          </cell>
          <cell r="AT220">
            <v>0</v>
          </cell>
          <cell r="AU220" t="str">
            <v xml:space="preserve"> </v>
          </cell>
          <cell r="AV220" t="str">
            <v xml:space="preserve"> </v>
          </cell>
          <cell r="AW220" t="str">
            <v xml:space="preserve"> </v>
          </cell>
        </row>
        <row r="221">
          <cell r="C221" t="str">
            <v xml:space="preserve">SIERRA Subtotal         </v>
          </cell>
          <cell r="H221">
            <v>57320938</v>
          </cell>
          <cell r="I221">
            <v>1268756</v>
          </cell>
          <cell r="J221">
            <v>1369935</v>
          </cell>
          <cell r="K221">
            <v>373164</v>
          </cell>
          <cell r="L221">
            <v>177253</v>
          </cell>
          <cell r="M221">
            <v>0</v>
          </cell>
          <cell r="N221">
            <v>0</v>
          </cell>
          <cell r="O221">
            <v>552735</v>
          </cell>
          <cell r="P221">
            <v>124296</v>
          </cell>
          <cell r="Q221">
            <v>27033</v>
          </cell>
          <cell r="R221">
            <v>34139</v>
          </cell>
          <cell r="S221">
            <v>566692</v>
          </cell>
          <cell r="T221">
            <v>0</v>
          </cell>
          <cell r="U221">
            <v>1455427</v>
          </cell>
          <cell r="V221">
            <v>0</v>
          </cell>
          <cell r="W221">
            <v>62897204</v>
          </cell>
          <cell r="X221">
            <v>-3307</v>
          </cell>
          <cell r="Y221">
            <v>0</v>
          </cell>
          <cell r="Z221">
            <v>0</v>
          </cell>
          <cell r="AA221">
            <v>0</v>
          </cell>
          <cell r="AB221">
            <v>62012343</v>
          </cell>
          <cell r="AC221">
            <v>1305937</v>
          </cell>
          <cell r="AD221">
            <v>1384285</v>
          </cell>
          <cell r="AE221">
            <v>32217</v>
          </cell>
          <cell r="AF221">
            <v>15303</v>
          </cell>
          <cell r="AG221">
            <v>0</v>
          </cell>
          <cell r="AH221">
            <v>0</v>
          </cell>
          <cell r="AI221">
            <v>84318</v>
          </cell>
          <cell r="AJ221">
            <v>0</v>
          </cell>
          <cell r="AK221">
            <v>26133</v>
          </cell>
          <cell r="AL221">
            <v>34352</v>
          </cell>
          <cell r="AM221">
            <v>560202</v>
          </cell>
          <cell r="AN221">
            <v>0</v>
          </cell>
          <cell r="AO221">
            <v>4520179</v>
          </cell>
          <cell r="AP221">
            <v>69943052</v>
          </cell>
          <cell r="AQ221">
            <v>0</v>
          </cell>
          <cell r="AR221">
            <v>0</v>
          </cell>
          <cell r="AS221">
            <v>0</v>
          </cell>
          <cell r="AT221">
            <v>0</v>
          </cell>
          <cell r="AU221">
            <v>0</v>
          </cell>
          <cell r="AV221">
            <v>0</v>
          </cell>
          <cell r="AW221">
            <v>0</v>
          </cell>
        </row>
        <row r="223">
          <cell r="C223" t="str">
            <v xml:space="preserve"> SISKIYOU          </v>
          </cell>
          <cell r="D223" t="str">
            <v xml:space="preserve"> SHASTA            </v>
          </cell>
          <cell r="E223">
            <v>180</v>
          </cell>
          <cell r="F223" t="str">
            <v xml:space="preserve"> 2015-2016</v>
          </cell>
          <cell r="G223" t="str">
            <v xml:space="preserve"> 11/15/2015</v>
          </cell>
          <cell r="H223">
            <v>49414</v>
          </cell>
          <cell r="I223">
            <v>30059</v>
          </cell>
          <cell r="J223">
            <v>2059</v>
          </cell>
          <cell r="K223">
            <v>0</v>
          </cell>
          <cell r="L223">
            <v>0</v>
          </cell>
          <cell r="M223">
            <v>0</v>
          </cell>
          <cell r="N223">
            <v>0</v>
          </cell>
          <cell r="O223">
            <v>0</v>
          </cell>
          <cell r="P223">
            <v>0</v>
          </cell>
          <cell r="Q223">
            <v>21</v>
          </cell>
          <cell r="R223">
            <v>6560</v>
          </cell>
          <cell r="S223">
            <v>712</v>
          </cell>
          <cell r="T223">
            <v>0</v>
          </cell>
          <cell r="U223">
            <v>-6346</v>
          </cell>
          <cell r="V223" t="str">
            <v xml:space="preserve"> </v>
          </cell>
          <cell r="W223">
            <v>82479</v>
          </cell>
          <cell r="X223">
            <v>0</v>
          </cell>
          <cell r="Y223">
            <v>0</v>
          </cell>
          <cell r="Z223">
            <v>0</v>
          </cell>
          <cell r="AA223">
            <v>0</v>
          </cell>
          <cell r="AB223">
            <v>47945</v>
          </cell>
          <cell r="AC223">
            <v>24082</v>
          </cell>
          <cell r="AD223">
            <v>1887</v>
          </cell>
          <cell r="AE223">
            <v>0</v>
          </cell>
          <cell r="AF223">
            <v>0</v>
          </cell>
          <cell r="AG223">
            <v>0</v>
          </cell>
          <cell r="AH223">
            <v>0</v>
          </cell>
          <cell r="AI223">
            <v>0</v>
          </cell>
          <cell r="AJ223">
            <v>0</v>
          </cell>
          <cell r="AK223">
            <v>19</v>
          </cell>
          <cell r="AL223">
            <v>5248</v>
          </cell>
          <cell r="AM223">
            <v>710</v>
          </cell>
          <cell r="AN223">
            <v>0</v>
          </cell>
          <cell r="AO223">
            <v>2707</v>
          </cell>
          <cell r="AP223">
            <v>82598</v>
          </cell>
          <cell r="AQ223">
            <v>0</v>
          </cell>
          <cell r="AR223">
            <v>0</v>
          </cell>
          <cell r="AS223">
            <v>0</v>
          </cell>
          <cell r="AT223">
            <v>0</v>
          </cell>
          <cell r="AU223" t="str">
            <v xml:space="preserve"> </v>
          </cell>
          <cell r="AV223" t="str">
            <v xml:space="preserve"> </v>
          </cell>
          <cell r="AW223" t="str">
            <v xml:space="preserve"> </v>
          </cell>
        </row>
        <row r="224">
          <cell r="C224" t="str">
            <v xml:space="preserve"> SISKIYOU          </v>
          </cell>
          <cell r="D224" t="str">
            <v xml:space="preserve"> SISKIYOU          </v>
          </cell>
          <cell r="E224">
            <v>180</v>
          </cell>
          <cell r="F224" t="str">
            <v xml:space="preserve"> 2015-2016</v>
          </cell>
          <cell r="G224" t="str">
            <v xml:space="preserve"> 11/15/2015</v>
          </cell>
          <cell r="H224">
            <v>3298220</v>
          </cell>
          <cell r="I224">
            <v>14646</v>
          </cell>
          <cell r="J224">
            <v>177690</v>
          </cell>
          <cell r="K224">
            <v>0</v>
          </cell>
          <cell r="L224">
            <v>0</v>
          </cell>
          <cell r="M224">
            <v>0</v>
          </cell>
          <cell r="N224">
            <v>0</v>
          </cell>
          <cell r="O224">
            <v>0</v>
          </cell>
          <cell r="P224">
            <v>0</v>
          </cell>
          <cell r="Q224">
            <v>6029</v>
          </cell>
          <cell r="R224">
            <v>84829</v>
          </cell>
          <cell r="S224">
            <v>56826</v>
          </cell>
          <cell r="T224">
            <v>0</v>
          </cell>
          <cell r="U224">
            <v>-197244</v>
          </cell>
          <cell r="V224" t="str">
            <v xml:space="preserve"> </v>
          </cell>
          <cell r="W224">
            <v>3440996</v>
          </cell>
          <cell r="X224">
            <v>0</v>
          </cell>
          <cell r="Y224">
            <v>0</v>
          </cell>
          <cell r="Z224">
            <v>0</v>
          </cell>
          <cell r="AA224">
            <v>0</v>
          </cell>
          <cell r="AB224">
            <v>3400000</v>
          </cell>
          <cell r="AC224">
            <v>15000</v>
          </cell>
          <cell r="AD224">
            <v>180000</v>
          </cell>
          <cell r="AE224">
            <v>0</v>
          </cell>
          <cell r="AF224">
            <v>0</v>
          </cell>
          <cell r="AG224">
            <v>0</v>
          </cell>
          <cell r="AH224">
            <v>0</v>
          </cell>
          <cell r="AI224">
            <v>0</v>
          </cell>
          <cell r="AJ224">
            <v>0</v>
          </cell>
          <cell r="AK224">
            <v>6100</v>
          </cell>
          <cell r="AL224">
            <v>85000</v>
          </cell>
          <cell r="AM224">
            <v>56164</v>
          </cell>
          <cell r="AN224">
            <v>0</v>
          </cell>
          <cell r="AO224">
            <v>-197244</v>
          </cell>
          <cell r="AP224">
            <v>3545020</v>
          </cell>
          <cell r="AQ224">
            <v>0</v>
          </cell>
          <cell r="AR224">
            <v>0</v>
          </cell>
          <cell r="AS224">
            <v>0</v>
          </cell>
          <cell r="AT224">
            <v>0</v>
          </cell>
          <cell r="AU224" t="str">
            <v xml:space="preserve"> </v>
          </cell>
          <cell r="AV224" t="str">
            <v xml:space="preserve"> </v>
          </cell>
          <cell r="AW224" t="str">
            <v xml:space="preserve"> </v>
          </cell>
        </row>
        <row r="225">
          <cell r="C225" t="str">
            <v xml:space="preserve">SISKIYOU Subtotal       </v>
          </cell>
          <cell r="H225">
            <v>3347634</v>
          </cell>
          <cell r="I225">
            <v>44705</v>
          </cell>
          <cell r="J225">
            <v>179749</v>
          </cell>
          <cell r="K225">
            <v>0</v>
          </cell>
          <cell r="L225">
            <v>0</v>
          </cell>
          <cell r="M225">
            <v>0</v>
          </cell>
          <cell r="N225">
            <v>0</v>
          </cell>
          <cell r="O225">
            <v>0</v>
          </cell>
          <cell r="P225">
            <v>0</v>
          </cell>
          <cell r="Q225">
            <v>6050</v>
          </cell>
          <cell r="R225">
            <v>91389</v>
          </cell>
          <cell r="S225">
            <v>57538</v>
          </cell>
          <cell r="T225">
            <v>0</v>
          </cell>
          <cell r="U225">
            <v>-203590</v>
          </cell>
          <cell r="V225">
            <v>0</v>
          </cell>
          <cell r="W225">
            <v>3523475</v>
          </cell>
          <cell r="X225">
            <v>0</v>
          </cell>
          <cell r="Y225">
            <v>0</v>
          </cell>
          <cell r="Z225">
            <v>0</v>
          </cell>
          <cell r="AA225">
            <v>0</v>
          </cell>
          <cell r="AB225">
            <v>3447945</v>
          </cell>
          <cell r="AC225">
            <v>39082</v>
          </cell>
          <cell r="AD225">
            <v>181887</v>
          </cell>
          <cell r="AE225">
            <v>0</v>
          </cell>
          <cell r="AF225">
            <v>0</v>
          </cell>
          <cell r="AG225">
            <v>0</v>
          </cell>
          <cell r="AH225">
            <v>0</v>
          </cell>
          <cell r="AI225">
            <v>0</v>
          </cell>
          <cell r="AJ225">
            <v>0</v>
          </cell>
          <cell r="AK225">
            <v>6119</v>
          </cell>
          <cell r="AL225">
            <v>90248</v>
          </cell>
          <cell r="AM225">
            <v>56874</v>
          </cell>
          <cell r="AN225">
            <v>0</v>
          </cell>
          <cell r="AO225">
            <v>-194537</v>
          </cell>
          <cell r="AP225">
            <v>3627618</v>
          </cell>
          <cell r="AQ225">
            <v>0</v>
          </cell>
          <cell r="AR225">
            <v>0</v>
          </cell>
          <cell r="AS225">
            <v>0</v>
          </cell>
          <cell r="AT225">
            <v>0</v>
          </cell>
          <cell r="AU225">
            <v>0</v>
          </cell>
          <cell r="AV225">
            <v>0</v>
          </cell>
          <cell r="AW225">
            <v>0</v>
          </cell>
        </row>
        <row r="227">
          <cell r="C227" t="str">
            <v xml:space="preserve"> SOLANO            </v>
          </cell>
          <cell r="D227" t="str">
            <v xml:space="preserve"> SOLANO            </v>
          </cell>
          <cell r="E227">
            <v>280</v>
          </cell>
          <cell r="F227" t="str">
            <v xml:space="preserve"> 2015-2016</v>
          </cell>
          <cell r="G227" t="str">
            <v xml:space="preserve"> 11/15/2015</v>
          </cell>
          <cell r="H227">
            <v>9648202</v>
          </cell>
          <cell r="I227">
            <v>171512</v>
          </cell>
          <cell r="J227">
            <v>630616</v>
          </cell>
          <cell r="K227">
            <v>132359</v>
          </cell>
          <cell r="L227">
            <v>62871</v>
          </cell>
          <cell r="M227">
            <v>0</v>
          </cell>
          <cell r="N227">
            <v>0</v>
          </cell>
          <cell r="O227">
            <v>2372208</v>
          </cell>
          <cell r="P227">
            <v>292502</v>
          </cell>
          <cell r="Q227">
            <v>-26217</v>
          </cell>
          <cell r="R227">
            <v>0</v>
          </cell>
          <cell r="S227">
            <v>122922</v>
          </cell>
          <cell r="T227">
            <v>35</v>
          </cell>
          <cell r="U227">
            <v>-232127</v>
          </cell>
          <cell r="V227" t="str">
            <v xml:space="preserve"> </v>
          </cell>
          <cell r="W227">
            <v>13042524</v>
          </cell>
          <cell r="X227">
            <v>0</v>
          </cell>
          <cell r="Y227">
            <v>0</v>
          </cell>
          <cell r="Z227">
            <v>0</v>
          </cell>
          <cell r="AA227">
            <v>0</v>
          </cell>
          <cell r="AB227">
            <v>10276498</v>
          </cell>
          <cell r="AC227">
            <v>210020</v>
          </cell>
          <cell r="AD227">
            <v>607811</v>
          </cell>
          <cell r="AE227">
            <v>149628</v>
          </cell>
          <cell r="AF227">
            <v>71073</v>
          </cell>
          <cell r="AG227">
            <v>0</v>
          </cell>
          <cell r="AH227">
            <v>0</v>
          </cell>
          <cell r="AI227">
            <v>2486417</v>
          </cell>
          <cell r="AJ227">
            <v>0</v>
          </cell>
          <cell r="AK227">
            <v>0</v>
          </cell>
          <cell r="AL227">
            <v>0</v>
          </cell>
          <cell r="AM227">
            <v>121464</v>
          </cell>
          <cell r="AN227">
            <v>0</v>
          </cell>
          <cell r="AO227">
            <v>790787</v>
          </cell>
          <cell r="AP227">
            <v>14564070</v>
          </cell>
          <cell r="AQ227">
            <v>0</v>
          </cell>
          <cell r="AR227">
            <v>0</v>
          </cell>
          <cell r="AS227">
            <v>0</v>
          </cell>
          <cell r="AT227">
            <v>0</v>
          </cell>
          <cell r="AU227" t="str">
            <v xml:space="preserve"> </v>
          </cell>
          <cell r="AV227" t="str">
            <v xml:space="preserve"> </v>
          </cell>
          <cell r="AW227" t="str">
            <v xml:space="preserve"> </v>
          </cell>
        </row>
        <row r="228">
          <cell r="C228" t="str">
            <v xml:space="preserve"> SOLANO            </v>
          </cell>
          <cell r="D228" t="str">
            <v xml:space="preserve"> YOLO              </v>
          </cell>
          <cell r="E228">
            <v>280</v>
          </cell>
          <cell r="F228" t="str">
            <v xml:space="preserve"> 2015-2016</v>
          </cell>
          <cell r="G228" t="str">
            <v xml:space="preserve"> 11/15/2015</v>
          </cell>
          <cell r="H228">
            <v>209278</v>
          </cell>
          <cell r="I228">
            <v>2583</v>
          </cell>
          <cell r="J228">
            <v>9192</v>
          </cell>
          <cell r="K228">
            <v>0</v>
          </cell>
          <cell r="L228">
            <v>0</v>
          </cell>
          <cell r="M228">
            <v>0</v>
          </cell>
          <cell r="N228">
            <v>0</v>
          </cell>
          <cell r="O228">
            <v>0</v>
          </cell>
          <cell r="P228">
            <v>25520</v>
          </cell>
          <cell r="Q228">
            <v>72</v>
          </cell>
          <cell r="R228">
            <v>0</v>
          </cell>
          <cell r="S228">
            <v>2596</v>
          </cell>
          <cell r="T228">
            <v>1605</v>
          </cell>
          <cell r="U228">
            <v>0</v>
          </cell>
          <cell r="V228" t="str">
            <v xml:space="preserve"> </v>
          </cell>
          <cell r="W228">
            <v>250846</v>
          </cell>
          <cell r="X228">
            <v>0</v>
          </cell>
          <cell r="Y228">
            <v>0</v>
          </cell>
          <cell r="Z228">
            <v>0</v>
          </cell>
          <cell r="AA228">
            <v>0</v>
          </cell>
          <cell r="AB228">
            <v>230658</v>
          </cell>
          <cell r="AC228">
            <v>2000</v>
          </cell>
          <cell r="AD228">
            <v>12042</v>
          </cell>
          <cell r="AE228">
            <v>0</v>
          </cell>
          <cell r="AF228">
            <v>0</v>
          </cell>
          <cell r="AG228">
            <v>0</v>
          </cell>
          <cell r="AH228">
            <v>0</v>
          </cell>
          <cell r="AI228">
            <v>0</v>
          </cell>
          <cell r="AJ228">
            <v>0</v>
          </cell>
          <cell r="AK228">
            <v>70</v>
          </cell>
          <cell r="AL228">
            <v>0</v>
          </cell>
          <cell r="AM228">
            <v>2574</v>
          </cell>
          <cell r="AN228">
            <v>1500</v>
          </cell>
          <cell r="AO228">
            <v>0</v>
          </cell>
          <cell r="AP228">
            <v>248844</v>
          </cell>
          <cell r="AQ228">
            <v>0</v>
          </cell>
          <cell r="AR228">
            <v>0</v>
          </cell>
          <cell r="AS228">
            <v>0</v>
          </cell>
          <cell r="AT228">
            <v>0</v>
          </cell>
          <cell r="AU228" t="str">
            <v xml:space="preserve"> </v>
          </cell>
          <cell r="AV228" t="str">
            <v xml:space="preserve"> </v>
          </cell>
          <cell r="AW228" t="str">
            <v xml:space="preserve"> </v>
          </cell>
        </row>
        <row r="229">
          <cell r="C229" t="str">
            <v xml:space="preserve">SOLANO Subtotal            </v>
          </cell>
          <cell r="H229">
            <v>9857480</v>
          </cell>
          <cell r="I229">
            <v>174095</v>
          </cell>
          <cell r="J229">
            <v>639808</v>
          </cell>
          <cell r="K229">
            <v>132359</v>
          </cell>
          <cell r="L229">
            <v>62871</v>
          </cell>
          <cell r="M229">
            <v>0</v>
          </cell>
          <cell r="N229">
            <v>0</v>
          </cell>
          <cell r="O229">
            <v>2372208</v>
          </cell>
          <cell r="P229">
            <v>318022</v>
          </cell>
          <cell r="Q229">
            <v>-26145</v>
          </cell>
          <cell r="R229">
            <v>0</v>
          </cell>
          <cell r="S229">
            <v>125518</v>
          </cell>
          <cell r="T229">
            <v>1640</v>
          </cell>
          <cell r="U229">
            <v>-232127</v>
          </cell>
          <cell r="V229">
            <v>0</v>
          </cell>
          <cell r="W229">
            <v>13293370</v>
          </cell>
          <cell r="X229">
            <v>0</v>
          </cell>
          <cell r="Y229">
            <v>0</v>
          </cell>
          <cell r="Z229">
            <v>0</v>
          </cell>
          <cell r="AA229">
            <v>0</v>
          </cell>
          <cell r="AB229">
            <v>10507156</v>
          </cell>
          <cell r="AC229">
            <v>212020</v>
          </cell>
          <cell r="AD229">
            <v>619853</v>
          </cell>
          <cell r="AE229">
            <v>149628</v>
          </cell>
          <cell r="AF229">
            <v>71073</v>
          </cell>
          <cell r="AG229">
            <v>0</v>
          </cell>
          <cell r="AH229">
            <v>0</v>
          </cell>
          <cell r="AI229">
            <v>2486417</v>
          </cell>
          <cell r="AJ229">
            <v>0</v>
          </cell>
          <cell r="AK229">
            <v>70</v>
          </cell>
          <cell r="AL229">
            <v>0</v>
          </cell>
          <cell r="AM229">
            <v>124038</v>
          </cell>
          <cell r="AN229">
            <v>1500</v>
          </cell>
          <cell r="AO229">
            <v>790787</v>
          </cell>
          <cell r="AP229">
            <v>14812914</v>
          </cell>
          <cell r="AQ229">
            <v>0</v>
          </cell>
          <cell r="AR229">
            <v>0</v>
          </cell>
          <cell r="AS229">
            <v>0</v>
          </cell>
          <cell r="AT229">
            <v>0</v>
          </cell>
          <cell r="AU229">
            <v>0</v>
          </cell>
          <cell r="AV229">
            <v>0</v>
          </cell>
          <cell r="AW229">
            <v>0</v>
          </cell>
        </row>
        <row r="231">
          <cell r="C231" t="str">
            <v xml:space="preserve"> SONOMA</v>
          </cell>
          <cell r="D231" t="str">
            <v xml:space="preserve"> SONOMA            </v>
          </cell>
          <cell r="E231">
            <v>260</v>
          </cell>
          <cell r="F231" t="str">
            <v xml:space="preserve"> 2015-2016</v>
          </cell>
          <cell r="G231" t="str">
            <v xml:space="preserve"> 11/15/2015</v>
          </cell>
          <cell r="H231">
            <v>40932068</v>
          </cell>
          <cell r="I231">
            <v>823429</v>
          </cell>
          <cell r="J231">
            <v>1148881</v>
          </cell>
          <cell r="K231">
            <v>678045</v>
          </cell>
          <cell r="L231">
            <v>322071</v>
          </cell>
          <cell r="M231">
            <v>0</v>
          </cell>
          <cell r="N231">
            <v>0</v>
          </cell>
          <cell r="O231">
            <v>1904849</v>
          </cell>
          <cell r="P231">
            <v>175573</v>
          </cell>
          <cell r="Q231">
            <v>18587</v>
          </cell>
          <cell r="R231">
            <v>9388</v>
          </cell>
          <cell r="S231">
            <v>373166</v>
          </cell>
          <cell r="T231">
            <v>3497</v>
          </cell>
          <cell r="U231">
            <v>591171</v>
          </cell>
          <cell r="V231" t="str">
            <v xml:space="preserve"> </v>
          </cell>
          <cell r="W231">
            <v>46302680</v>
          </cell>
          <cell r="X231">
            <v>0</v>
          </cell>
          <cell r="Y231">
            <v>0</v>
          </cell>
          <cell r="Z231">
            <v>0</v>
          </cell>
          <cell r="AA231">
            <v>0</v>
          </cell>
          <cell r="AB231">
            <v>42881798</v>
          </cell>
          <cell r="AC231">
            <v>691680</v>
          </cell>
          <cell r="AD231">
            <v>1220801</v>
          </cell>
          <cell r="AE231">
            <v>820331</v>
          </cell>
          <cell r="AF231">
            <v>389657</v>
          </cell>
          <cell r="AG231">
            <v>0</v>
          </cell>
          <cell r="AH231">
            <v>0</v>
          </cell>
          <cell r="AI231">
            <v>952425</v>
          </cell>
          <cell r="AJ231">
            <v>0</v>
          </cell>
          <cell r="AK231">
            <v>0</v>
          </cell>
          <cell r="AL231">
            <v>9388</v>
          </cell>
          <cell r="AM231">
            <v>358464</v>
          </cell>
          <cell r="AN231">
            <v>0</v>
          </cell>
          <cell r="AO231">
            <v>2561770</v>
          </cell>
          <cell r="AP231">
            <v>49065983</v>
          </cell>
          <cell r="AQ231">
            <v>0</v>
          </cell>
          <cell r="AR231">
            <v>0</v>
          </cell>
          <cell r="AS231">
            <v>0</v>
          </cell>
          <cell r="AT231">
            <v>0</v>
          </cell>
          <cell r="AU231" t="str">
            <v xml:space="preserve"> </v>
          </cell>
          <cell r="AV231" t="str">
            <v xml:space="preserve"> </v>
          </cell>
          <cell r="AW231" t="str">
            <v xml:space="preserve"> </v>
          </cell>
        </row>
        <row r="232">
          <cell r="C232" t="str">
            <v xml:space="preserve"> SONOMA            </v>
          </cell>
          <cell r="D232" t="str">
            <v xml:space="preserve"> MARIN             </v>
          </cell>
          <cell r="E232">
            <v>260</v>
          </cell>
          <cell r="F232" t="str">
            <v xml:space="preserve"> 2015-2016</v>
          </cell>
          <cell r="G232" t="str">
            <v xml:space="preserve"> 11/15/2015</v>
          </cell>
          <cell r="H232">
            <v>73579</v>
          </cell>
          <cell r="I232">
            <v>1809</v>
          </cell>
          <cell r="J232">
            <v>1438</v>
          </cell>
          <cell r="K232">
            <v>0</v>
          </cell>
          <cell r="L232">
            <v>0</v>
          </cell>
          <cell r="M232">
            <v>0</v>
          </cell>
          <cell r="N232">
            <v>0</v>
          </cell>
          <cell r="O232">
            <v>0</v>
          </cell>
          <cell r="P232">
            <v>0</v>
          </cell>
          <cell r="Q232">
            <v>154</v>
          </cell>
          <cell r="R232">
            <v>0</v>
          </cell>
          <cell r="S232">
            <v>410</v>
          </cell>
          <cell r="T232">
            <v>0</v>
          </cell>
          <cell r="U232">
            <v>0</v>
          </cell>
          <cell r="V232" t="str">
            <v xml:space="preserve"> </v>
          </cell>
          <cell r="W232">
            <v>77390</v>
          </cell>
          <cell r="X232">
            <v>0</v>
          </cell>
          <cell r="Y232">
            <v>0</v>
          </cell>
          <cell r="Z232">
            <v>0</v>
          </cell>
          <cell r="AA232">
            <v>0</v>
          </cell>
          <cell r="AB232">
            <v>73631</v>
          </cell>
          <cell r="AC232">
            <v>1808</v>
          </cell>
          <cell r="AD232">
            <v>1342</v>
          </cell>
          <cell r="AE232">
            <v>0</v>
          </cell>
          <cell r="AF232">
            <v>0</v>
          </cell>
          <cell r="AG232">
            <v>0</v>
          </cell>
          <cell r="AH232">
            <v>0</v>
          </cell>
          <cell r="AI232">
            <v>0</v>
          </cell>
          <cell r="AJ232">
            <v>0</v>
          </cell>
          <cell r="AK232">
            <v>155</v>
          </cell>
          <cell r="AL232">
            <v>0</v>
          </cell>
          <cell r="AM232">
            <v>384</v>
          </cell>
          <cell r="AN232">
            <v>0</v>
          </cell>
          <cell r="AO232">
            <v>0</v>
          </cell>
          <cell r="AP232">
            <v>77320</v>
          </cell>
          <cell r="AQ232">
            <v>0</v>
          </cell>
          <cell r="AR232">
            <v>0</v>
          </cell>
          <cell r="AS232">
            <v>0</v>
          </cell>
          <cell r="AT232">
            <v>0</v>
          </cell>
          <cell r="AU232" t="str">
            <v xml:space="preserve"> </v>
          </cell>
          <cell r="AV232" t="str">
            <v xml:space="preserve"> </v>
          </cell>
          <cell r="AW232" t="str">
            <v xml:space="preserve"> </v>
          </cell>
        </row>
        <row r="233">
          <cell r="C233" t="str">
            <v xml:space="preserve"> SONOMA            </v>
          </cell>
          <cell r="D233" t="str">
            <v xml:space="preserve"> MENDOCINO         </v>
          </cell>
          <cell r="E233">
            <v>260</v>
          </cell>
          <cell r="F233" t="str">
            <v xml:space="preserve"> 2015-2016</v>
          </cell>
          <cell r="G233" t="str">
            <v xml:space="preserve"> 11/15/2015</v>
          </cell>
          <cell r="H233">
            <v>627624</v>
          </cell>
          <cell r="I233">
            <v>4598</v>
          </cell>
          <cell r="J233">
            <v>20474</v>
          </cell>
          <cell r="K233">
            <v>0</v>
          </cell>
          <cell r="L233">
            <v>0</v>
          </cell>
          <cell r="M233">
            <v>0</v>
          </cell>
          <cell r="N233">
            <v>0</v>
          </cell>
          <cell r="O233">
            <v>0</v>
          </cell>
          <cell r="P233">
            <v>0</v>
          </cell>
          <cell r="Q233">
            <v>-124</v>
          </cell>
          <cell r="R233">
            <v>2409</v>
          </cell>
          <cell r="S233">
            <v>6465</v>
          </cell>
          <cell r="T233">
            <v>0</v>
          </cell>
          <cell r="U233">
            <v>0</v>
          </cell>
          <cell r="V233" t="str">
            <v xml:space="preserve"> </v>
          </cell>
          <cell r="W233">
            <v>661446</v>
          </cell>
          <cell r="X233">
            <v>0</v>
          </cell>
          <cell r="Y233">
            <v>0</v>
          </cell>
          <cell r="Z233">
            <v>0</v>
          </cell>
          <cell r="AA233">
            <v>0</v>
          </cell>
          <cell r="AB233">
            <v>627908</v>
          </cell>
          <cell r="AC233">
            <v>786</v>
          </cell>
          <cell r="AD233">
            <v>21525</v>
          </cell>
          <cell r="AE233">
            <v>0</v>
          </cell>
          <cell r="AF233">
            <v>0</v>
          </cell>
          <cell r="AG233">
            <v>0</v>
          </cell>
          <cell r="AH233">
            <v>0</v>
          </cell>
          <cell r="AI233">
            <v>0</v>
          </cell>
          <cell r="AJ233">
            <v>0</v>
          </cell>
          <cell r="AK233">
            <v>1049</v>
          </cell>
          <cell r="AL233">
            <v>1937</v>
          </cell>
          <cell r="AM233">
            <v>6185</v>
          </cell>
          <cell r="AN233">
            <v>0</v>
          </cell>
          <cell r="AO233">
            <v>0</v>
          </cell>
          <cell r="AP233">
            <v>659390</v>
          </cell>
          <cell r="AQ233">
            <v>0</v>
          </cell>
          <cell r="AR233">
            <v>0</v>
          </cell>
          <cell r="AS233">
            <v>0</v>
          </cell>
          <cell r="AT233">
            <v>0</v>
          </cell>
          <cell r="AU233" t="str">
            <v xml:space="preserve"> </v>
          </cell>
          <cell r="AV233" t="str">
            <v xml:space="preserve"> </v>
          </cell>
          <cell r="AW233" t="str">
            <v xml:space="preserve"> </v>
          </cell>
        </row>
        <row r="234">
          <cell r="C234" t="str">
            <v xml:space="preserve">SONOMA Subtotal        </v>
          </cell>
          <cell r="H234">
            <v>41633271</v>
          </cell>
          <cell r="I234">
            <v>829836</v>
          </cell>
          <cell r="J234">
            <v>1170793</v>
          </cell>
          <cell r="K234">
            <v>678045</v>
          </cell>
          <cell r="L234">
            <v>322071</v>
          </cell>
          <cell r="M234">
            <v>0</v>
          </cell>
          <cell r="N234">
            <v>0</v>
          </cell>
          <cell r="O234">
            <v>1904849</v>
          </cell>
          <cell r="P234">
            <v>175573</v>
          </cell>
          <cell r="Q234">
            <v>18617</v>
          </cell>
          <cell r="R234">
            <v>11797</v>
          </cell>
          <cell r="S234">
            <v>380041</v>
          </cell>
          <cell r="T234">
            <v>3497</v>
          </cell>
          <cell r="U234">
            <v>591171</v>
          </cell>
          <cell r="V234">
            <v>0</v>
          </cell>
          <cell r="W234">
            <v>47041516</v>
          </cell>
          <cell r="X234">
            <v>0</v>
          </cell>
          <cell r="Y234">
            <v>0</v>
          </cell>
          <cell r="Z234">
            <v>0</v>
          </cell>
          <cell r="AA234">
            <v>0</v>
          </cell>
          <cell r="AB234">
            <v>43583337</v>
          </cell>
          <cell r="AC234">
            <v>694274</v>
          </cell>
          <cell r="AD234">
            <v>1243668</v>
          </cell>
          <cell r="AE234">
            <v>820331</v>
          </cell>
          <cell r="AF234">
            <v>389657</v>
          </cell>
          <cell r="AG234">
            <v>0</v>
          </cell>
          <cell r="AH234">
            <v>0</v>
          </cell>
          <cell r="AI234">
            <v>952425</v>
          </cell>
          <cell r="AJ234">
            <v>0</v>
          </cell>
          <cell r="AK234">
            <v>1204</v>
          </cell>
          <cell r="AL234">
            <v>11325</v>
          </cell>
          <cell r="AM234">
            <v>365033</v>
          </cell>
          <cell r="AN234">
            <v>0</v>
          </cell>
          <cell r="AO234">
            <v>2561770</v>
          </cell>
          <cell r="AP234">
            <v>49802693</v>
          </cell>
          <cell r="AQ234">
            <v>0</v>
          </cell>
          <cell r="AR234">
            <v>0</v>
          </cell>
          <cell r="AS234">
            <v>0</v>
          </cell>
          <cell r="AT234">
            <v>0</v>
          </cell>
          <cell r="AU234">
            <v>0</v>
          </cell>
          <cell r="AV234">
            <v>0</v>
          </cell>
          <cell r="AW234">
            <v>0</v>
          </cell>
        </row>
        <row r="236">
          <cell r="C236" t="str">
            <v xml:space="preserve"> SOUTH ORANGE CO.</v>
          </cell>
          <cell r="D236" t="str">
            <v xml:space="preserve"> ORANGE            </v>
          </cell>
          <cell r="E236">
            <v>890</v>
          </cell>
          <cell r="F236" t="str">
            <v xml:space="preserve"> 2015-2016</v>
          </cell>
          <cell r="G236" t="str">
            <v xml:space="preserve"> 11/15/2015</v>
          </cell>
          <cell r="H236">
            <v>159348955</v>
          </cell>
          <cell r="I236">
            <v>4586112</v>
          </cell>
          <cell r="J236">
            <v>6160059</v>
          </cell>
          <cell r="K236">
            <v>656530</v>
          </cell>
          <cell r="L236">
            <v>311852</v>
          </cell>
          <cell r="M236">
            <v>0</v>
          </cell>
          <cell r="N236">
            <v>0</v>
          </cell>
          <cell r="O236">
            <v>3562937</v>
          </cell>
          <cell r="P236">
            <v>771930</v>
          </cell>
          <cell r="Q236">
            <v>2605084</v>
          </cell>
          <cell r="R236">
            <v>25</v>
          </cell>
          <cell r="S236">
            <v>1184736</v>
          </cell>
          <cell r="T236">
            <v>0</v>
          </cell>
          <cell r="U236">
            <v>0</v>
          </cell>
          <cell r="V236" t="str">
            <v xml:space="preserve"> </v>
          </cell>
          <cell r="W236">
            <v>178531690</v>
          </cell>
          <cell r="X236">
            <v>0</v>
          </cell>
          <cell r="Y236">
            <v>0</v>
          </cell>
          <cell r="Z236">
            <v>0</v>
          </cell>
          <cell r="AA236">
            <v>0</v>
          </cell>
          <cell r="AB236">
            <v>173769671</v>
          </cell>
          <cell r="AC236">
            <v>4303209</v>
          </cell>
          <cell r="AD236">
            <v>5629887</v>
          </cell>
          <cell r="AE236">
            <v>611858</v>
          </cell>
          <cell r="AF236">
            <v>290633</v>
          </cell>
          <cell r="AG236">
            <v>0</v>
          </cell>
          <cell r="AH236">
            <v>0</v>
          </cell>
          <cell r="AI236">
            <v>2216880</v>
          </cell>
          <cell r="AJ236">
            <v>0</v>
          </cell>
          <cell r="AK236">
            <v>2518832</v>
          </cell>
          <cell r="AL236">
            <v>25</v>
          </cell>
          <cell r="AM236">
            <v>1196303</v>
          </cell>
          <cell r="AN236">
            <v>0</v>
          </cell>
          <cell r="AO236">
            <v>11375126</v>
          </cell>
          <cell r="AP236">
            <v>201300566</v>
          </cell>
          <cell r="AQ236">
            <v>0</v>
          </cell>
          <cell r="AR236">
            <v>0</v>
          </cell>
          <cell r="AS236">
            <v>0</v>
          </cell>
          <cell r="AT236">
            <v>0</v>
          </cell>
          <cell r="AU236" t="str">
            <v xml:space="preserve"> </v>
          </cell>
          <cell r="AV236" t="str">
            <v xml:space="preserve"> </v>
          </cell>
          <cell r="AW236" t="str">
            <v xml:space="preserve"> </v>
          </cell>
        </row>
        <row r="237">
          <cell r="C237" t="str">
            <v>SOUTH ORANGE CO. Subtotal</v>
          </cell>
          <cell r="H237">
            <v>159348955</v>
          </cell>
          <cell r="I237">
            <v>4586112</v>
          </cell>
          <cell r="J237">
            <v>6160059</v>
          </cell>
          <cell r="K237">
            <v>656530</v>
          </cell>
          <cell r="L237">
            <v>311852</v>
          </cell>
          <cell r="M237">
            <v>0</v>
          </cell>
          <cell r="N237">
            <v>0</v>
          </cell>
          <cell r="O237">
            <v>3562937</v>
          </cell>
          <cell r="P237">
            <v>771930</v>
          </cell>
          <cell r="Q237">
            <v>2605084</v>
          </cell>
          <cell r="R237">
            <v>25</v>
          </cell>
          <cell r="S237">
            <v>1184736</v>
          </cell>
          <cell r="T237">
            <v>0</v>
          </cell>
          <cell r="U237">
            <v>0</v>
          </cell>
          <cell r="V237">
            <v>0</v>
          </cell>
          <cell r="W237">
            <v>178531690</v>
          </cell>
          <cell r="X237">
            <v>0</v>
          </cell>
          <cell r="Y237">
            <v>0</v>
          </cell>
          <cell r="Z237">
            <v>0</v>
          </cell>
          <cell r="AA237">
            <v>0</v>
          </cell>
          <cell r="AB237">
            <v>173769671</v>
          </cell>
          <cell r="AC237">
            <v>4303209</v>
          </cell>
          <cell r="AD237">
            <v>5629887</v>
          </cell>
          <cell r="AE237">
            <v>611858</v>
          </cell>
          <cell r="AF237">
            <v>290633</v>
          </cell>
          <cell r="AG237">
            <v>0</v>
          </cell>
          <cell r="AH237">
            <v>0</v>
          </cell>
          <cell r="AI237">
            <v>2216880</v>
          </cell>
          <cell r="AJ237">
            <v>0</v>
          </cell>
          <cell r="AK237">
            <v>2518832</v>
          </cell>
          <cell r="AL237">
            <v>25</v>
          </cell>
          <cell r="AM237">
            <v>1196303</v>
          </cell>
          <cell r="AN237">
            <v>0</v>
          </cell>
          <cell r="AO237">
            <v>11375126</v>
          </cell>
          <cell r="AP237">
            <v>201300566</v>
          </cell>
          <cell r="AQ237">
            <v>0</v>
          </cell>
          <cell r="AR237">
            <v>0</v>
          </cell>
          <cell r="AS237">
            <v>0</v>
          </cell>
          <cell r="AT237">
            <v>0</v>
          </cell>
          <cell r="AU237">
            <v>0</v>
          </cell>
          <cell r="AV237">
            <v>0</v>
          </cell>
          <cell r="AW237">
            <v>0</v>
          </cell>
        </row>
        <row r="239">
          <cell r="C239" t="str">
            <v xml:space="preserve"> SOUTHWESTERN      </v>
          </cell>
          <cell r="D239" t="str">
            <v xml:space="preserve"> SAN DIEGO         </v>
          </cell>
          <cell r="E239">
            <v>90</v>
          </cell>
          <cell r="F239" t="str">
            <v xml:space="preserve"> 2015-2016</v>
          </cell>
          <cell r="G239" t="str">
            <v xml:space="preserve"> 11/15/2015</v>
          </cell>
          <cell r="H239">
            <v>20808361</v>
          </cell>
          <cell r="I239">
            <v>517038</v>
          </cell>
          <cell r="J239">
            <v>710050</v>
          </cell>
          <cell r="K239">
            <v>290613</v>
          </cell>
          <cell r="L239">
            <v>138041</v>
          </cell>
          <cell r="M239">
            <v>0</v>
          </cell>
          <cell r="N239">
            <v>0</v>
          </cell>
          <cell r="O239">
            <v>580557</v>
          </cell>
          <cell r="P239">
            <v>15687</v>
          </cell>
          <cell r="Q239">
            <v>-17370</v>
          </cell>
          <cell r="R239">
            <v>0</v>
          </cell>
          <cell r="S239">
            <v>179371</v>
          </cell>
          <cell r="T239">
            <v>0</v>
          </cell>
          <cell r="U239">
            <v>-1974792</v>
          </cell>
          <cell r="V239" t="str">
            <v xml:space="preserve"> </v>
          </cell>
          <cell r="W239">
            <v>20956943</v>
          </cell>
          <cell r="X239">
            <v>0</v>
          </cell>
          <cell r="Y239">
            <v>0</v>
          </cell>
          <cell r="Z239">
            <v>0</v>
          </cell>
          <cell r="AA239">
            <v>0</v>
          </cell>
          <cell r="AB239">
            <v>21754858</v>
          </cell>
          <cell r="AC239">
            <v>489094</v>
          </cell>
          <cell r="AD239">
            <v>723813</v>
          </cell>
          <cell r="AE239">
            <v>134781</v>
          </cell>
          <cell r="AF239">
            <v>64021</v>
          </cell>
          <cell r="AG239">
            <v>0</v>
          </cell>
          <cell r="AH239">
            <v>0</v>
          </cell>
          <cell r="AI239">
            <v>0</v>
          </cell>
          <cell r="AJ239">
            <v>0</v>
          </cell>
          <cell r="AK239">
            <v>-10779</v>
          </cell>
          <cell r="AL239">
            <v>0</v>
          </cell>
          <cell r="AM239">
            <v>176837</v>
          </cell>
          <cell r="AN239">
            <v>0</v>
          </cell>
          <cell r="AO239">
            <v>-851121</v>
          </cell>
          <cell r="AP239">
            <v>22346723</v>
          </cell>
          <cell r="AQ239">
            <v>0</v>
          </cell>
          <cell r="AR239">
            <v>0</v>
          </cell>
          <cell r="AS239">
            <v>0</v>
          </cell>
          <cell r="AT239">
            <v>0</v>
          </cell>
          <cell r="AU239" t="str">
            <v xml:space="preserve"> </v>
          </cell>
          <cell r="AV239" t="str">
            <v xml:space="preserve"> </v>
          </cell>
          <cell r="AW239" t="str">
            <v xml:space="preserve"> </v>
          </cell>
        </row>
        <row r="240">
          <cell r="C240" t="str">
            <v xml:space="preserve">SOUTHWESTERN Subtotal     </v>
          </cell>
          <cell r="H240">
            <v>20808361</v>
          </cell>
          <cell r="I240">
            <v>517038</v>
          </cell>
          <cell r="J240">
            <v>710050</v>
          </cell>
          <cell r="K240">
            <v>290613</v>
          </cell>
          <cell r="L240">
            <v>138041</v>
          </cell>
          <cell r="M240">
            <v>0</v>
          </cell>
          <cell r="N240">
            <v>0</v>
          </cell>
          <cell r="O240">
            <v>580557</v>
          </cell>
          <cell r="P240">
            <v>15687</v>
          </cell>
          <cell r="Q240">
            <v>-17370</v>
          </cell>
          <cell r="R240">
            <v>0</v>
          </cell>
          <cell r="S240">
            <v>179371</v>
          </cell>
          <cell r="T240">
            <v>0</v>
          </cell>
          <cell r="U240">
            <v>-1974792</v>
          </cell>
          <cell r="V240">
            <v>0</v>
          </cell>
          <cell r="W240">
            <v>20956943</v>
          </cell>
          <cell r="X240">
            <v>0</v>
          </cell>
          <cell r="Y240">
            <v>0</v>
          </cell>
          <cell r="Z240">
            <v>0</v>
          </cell>
          <cell r="AA240">
            <v>0</v>
          </cell>
          <cell r="AB240">
            <v>21754858</v>
          </cell>
          <cell r="AC240">
            <v>489094</v>
          </cell>
          <cell r="AD240">
            <v>723813</v>
          </cell>
          <cell r="AE240">
            <v>134781</v>
          </cell>
          <cell r="AF240">
            <v>64021</v>
          </cell>
          <cell r="AG240">
            <v>0</v>
          </cell>
          <cell r="AH240">
            <v>0</v>
          </cell>
          <cell r="AI240">
            <v>0</v>
          </cell>
          <cell r="AJ240">
            <v>0</v>
          </cell>
          <cell r="AK240">
            <v>-10779</v>
          </cell>
          <cell r="AL240">
            <v>0</v>
          </cell>
          <cell r="AM240">
            <v>176837</v>
          </cell>
          <cell r="AN240">
            <v>0</v>
          </cell>
          <cell r="AO240">
            <v>-851121</v>
          </cell>
          <cell r="AP240">
            <v>22346723</v>
          </cell>
          <cell r="AQ240">
            <v>0</v>
          </cell>
          <cell r="AR240">
            <v>0</v>
          </cell>
          <cell r="AS240">
            <v>0</v>
          </cell>
          <cell r="AT240">
            <v>0</v>
          </cell>
          <cell r="AU240">
            <v>0</v>
          </cell>
          <cell r="AV240">
            <v>0</v>
          </cell>
          <cell r="AW240">
            <v>0</v>
          </cell>
        </row>
        <row r="242">
          <cell r="C242" t="str">
            <v xml:space="preserve"> STATE CENTER      </v>
          </cell>
          <cell r="D242" t="str">
            <v xml:space="preserve"> FRESNO            </v>
          </cell>
          <cell r="E242">
            <v>570</v>
          </cell>
          <cell r="F242" t="str">
            <v xml:space="preserve"> 2015-2016</v>
          </cell>
          <cell r="G242" t="str">
            <v xml:space="preserve"> 11/15/2015</v>
          </cell>
          <cell r="H242">
            <v>28217152</v>
          </cell>
          <cell r="I242">
            <v>420448</v>
          </cell>
          <cell r="J242">
            <v>1271701</v>
          </cell>
          <cell r="K242">
            <v>157149</v>
          </cell>
          <cell r="L242">
            <v>74646</v>
          </cell>
          <cell r="M242">
            <v>0</v>
          </cell>
          <cell r="N242">
            <v>0</v>
          </cell>
          <cell r="O242">
            <v>1606764</v>
          </cell>
          <cell r="P242">
            <v>23365</v>
          </cell>
          <cell r="Q242">
            <v>188302</v>
          </cell>
          <cell r="R242">
            <v>6254</v>
          </cell>
          <cell r="S242">
            <v>339989</v>
          </cell>
          <cell r="T242">
            <v>0</v>
          </cell>
          <cell r="U242">
            <v>-4723538</v>
          </cell>
          <cell r="V242" t="str">
            <v xml:space="preserve"> </v>
          </cell>
          <cell r="W242">
            <v>27425083</v>
          </cell>
          <cell r="X242">
            <v>0</v>
          </cell>
          <cell r="Y242">
            <v>0</v>
          </cell>
          <cell r="Z242">
            <v>0</v>
          </cell>
          <cell r="AA242">
            <v>0</v>
          </cell>
          <cell r="AB242">
            <v>28781495</v>
          </cell>
          <cell r="AC242">
            <v>420448</v>
          </cell>
          <cell r="AD242">
            <v>1271701</v>
          </cell>
          <cell r="AE242">
            <v>157149</v>
          </cell>
          <cell r="AF242">
            <v>74646</v>
          </cell>
          <cell r="AG242">
            <v>0</v>
          </cell>
          <cell r="AH242">
            <v>0</v>
          </cell>
          <cell r="AI242">
            <v>1606764</v>
          </cell>
          <cell r="AJ242">
            <v>23365</v>
          </cell>
          <cell r="AK242">
            <v>188302</v>
          </cell>
          <cell r="AL242">
            <v>6254</v>
          </cell>
          <cell r="AM242">
            <v>339989</v>
          </cell>
          <cell r="AN242">
            <v>0</v>
          </cell>
          <cell r="AO242">
            <v>-1989822</v>
          </cell>
          <cell r="AP242">
            <v>30723142</v>
          </cell>
          <cell r="AQ242">
            <v>0</v>
          </cell>
          <cell r="AR242">
            <v>0</v>
          </cell>
          <cell r="AS242">
            <v>0</v>
          </cell>
          <cell r="AT242">
            <v>0</v>
          </cell>
          <cell r="AU242" t="str">
            <v xml:space="preserve"> </v>
          </cell>
          <cell r="AV242" t="str">
            <v xml:space="preserve"> </v>
          </cell>
          <cell r="AW242" t="str">
            <v xml:space="preserve"> </v>
          </cell>
        </row>
        <row r="243">
          <cell r="C243" t="str">
            <v xml:space="preserve"> STATE CENTER      </v>
          </cell>
          <cell r="D243" t="str">
            <v xml:space="preserve"> KINGS             </v>
          </cell>
          <cell r="E243">
            <v>570</v>
          </cell>
          <cell r="F243" t="str">
            <v xml:space="preserve"> 2015-2016</v>
          </cell>
          <cell r="G243" t="str">
            <v xml:space="preserve"> 11/15/2015</v>
          </cell>
          <cell r="H243">
            <v>54281</v>
          </cell>
          <cell r="I243">
            <v>712</v>
          </cell>
          <cell r="J243">
            <v>2574</v>
          </cell>
          <cell r="K243">
            <v>0</v>
          </cell>
          <cell r="L243">
            <v>0</v>
          </cell>
          <cell r="M243">
            <v>0</v>
          </cell>
          <cell r="N243">
            <v>0</v>
          </cell>
          <cell r="O243">
            <v>0</v>
          </cell>
          <cell r="P243">
            <v>0</v>
          </cell>
          <cell r="Q243">
            <v>633</v>
          </cell>
          <cell r="R243">
            <v>0</v>
          </cell>
          <cell r="S243">
            <v>693</v>
          </cell>
          <cell r="T243">
            <v>0</v>
          </cell>
          <cell r="U243">
            <v>-26908</v>
          </cell>
          <cell r="V243" t="str">
            <v xml:space="preserve"> </v>
          </cell>
          <cell r="W243">
            <v>31985</v>
          </cell>
          <cell r="X243">
            <v>0</v>
          </cell>
          <cell r="Y243">
            <v>0</v>
          </cell>
          <cell r="Z243">
            <v>0</v>
          </cell>
          <cell r="AA243">
            <v>0</v>
          </cell>
          <cell r="AB243">
            <v>57027</v>
          </cell>
          <cell r="AC243">
            <v>712</v>
          </cell>
          <cell r="AD243">
            <v>2600</v>
          </cell>
          <cell r="AE243">
            <v>0</v>
          </cell>
          <cell r="AF243">
            <v>0</v>
          </cell>
          <cell r="AG243">
            <v>0</v>
          </cell>
          <cell r="AH243">
            <v>0</v>
          </cell>
          <cell r="AI243">
            <v>0</v>
          </cell>
          <cell r="AJ243">
            <v>0</v>
          </cell>
          <cell r="AK243">
            <v>650</v>
          </cell>
          <cell r="AL243">
            <v>0</v>
          </cell>
          <cell r="AM243">
            <v>660</v>
          </cell>
          <cell r="AN243">
            <v>0</v>
          </cell>
          <cell r="AO243">
            <v>-23508</v>
          </cell>
          <cell r="AP243">
            <v>38141</v>
          </cell>
          <cell r="AQ243">
            <v>0</v>
          </cell>
          <cell r="AR243">
            <v>0</v>
          </cell>
          <cell r="AS243">
            <v>0</v>
          </cell>
          <cell r="AT243">
            <v>0</v>
          </cell>
          <cell r="AU243" t="str">
            <v xml:space="preserve"> </v>
          </cell>
          <cell r="AV243" t="str">
            <v xml:space="preserve"> </v>
          </cell>
          <cell r="AW243" t="str">
            <v xml:space="preserve"> </v>
          </cell>
        </row>
        <row r="244">
          <cell r="C244" t="str">
            <v xml:space="preserve"> STATE CENTER      </v>
          </cell>
          <cell r="D244" t="str">
            <v xml:space="preserve"> MADERA            </v>
          </cell>
          <cell r="E244">
            <v>570</v>
          </cell>
          <cell r="F244" t="str">
            <v xml:space="preserve"> 2015-2016</v>
          </cell>
          <cell r="G244" t="str">
            <v xml:space="preserve"> 11/15/2015</v>
          </cell>
          <cell r="H244">
            <v>7204851</v>
          </cell>
          <cell r="I244">
            <v>93380</v>
          </cell>
          <cell r="J244">
            <v>262803</v>
          </cell>
          <cell r="K244">
            <v>44073</v>
          </cell>
          <cell r="L244">
            <v>20935</v>
          </cell>
          <cell r="M244">
            <v>0</v>
          </cell>
          <cell r="N244">
            <v>0</v>
          </cell>
          <cell r="O244">
            <v>94149</v>
          </cell>
          <cell r="P244">
            <v>0</v>
          </cell>
          <cell r="Q244">
            <v>-46332</v>
          </cell>
          <cell r="R244">
            <v>5717</v>
          </cell>
          <cell r="S244">
            <v>81843</v>
          </cell>
          <cell r="T244">
            <v>0</v>
          </cell>
          <cell r="U244">
            <v>0</v>
          </cell>
          <cell r="V244" t="str">
            <v xml:space="preserve"> </v>
          </cell>
          <cell r="W244">
            <v>7717346</v>
          </cell>
          <cell r="X244">
            <v>0</v>
          </cell>
          <cell r="Y244">
            <v>0</v>
          </cell>
          <cell r="Z244">
            <v>0</v>
          </cell>
          <cell r="AA244">
            <v>0</v>
          </cell>
          <cell r="AB244">
            <v>7416997</v>
          </cell>
          <cell r="AC244">
            <v>0</v>
          </cell>
          <cell r="AD244">
            <v>274628</v>
          </cell>
          <cell r="AE244">
            <v>42685</v>
          </cell>
          <cell r="AF244">
            <v>20275</v>
          </cell>
          <cell r="AG244">
            <v>0</v>
          </cell>
          <cell r="AH244">
            <v>0</v>
          </cell>
          <cell r="AI244">
            <v>0</v>
          </cell>
          <cell r="AJ244">
            <v>0</v>
          </cell>
          <cell r="AK244">
            <v>0</v>
          </cell>
          <cell r="AL244">
            <v>0</v>
          </cell>
          <cell r="AM244">
            <v>79836</v>
          </cell>
          <cell r="AN244">
            <v>0</v>
          </cell>
          <cell r="AO244">
            <v>0</v>
          </cell>
          <cell r="AP244">
            <v>7791736</v>
          </cell>
          <cell r="AQ244">
            <v>0</v>
          </cell>
          <cell r="AR244">
            <v>0</v>
          </cell>
          <cell r="AS244">
            <v>0</v>
          </cell>
          <cell r="AT244">
            <v>0</v>
          </cell>
          <cell r="AU244" t="str">
            <v xml:space="preserve"> </v>
          </cell>
          <cell r="AV244" t="str">
            <v xml:space="preserve"> </v>
          </cell>
          <cell r="AW244" t="str">
            <v xml:space="preserve"> </v>
          </cell>
        </row>
        <row r="245">
          <cell r="C245" t="str">
            <v xml:space="preserve"> STATE CENTER      </v>
          </cell>
          <cell r="D245" t="str">
            <v xml:space="preserve"> TULARE            </v>
          </cell>
          <cell r="E245">
            <v>570</v>
          </cell>
          <cell r="F245" t="str">
            <v xml:space="preserve"> 2015-2016</v>
          </cell>
          <cell r="G245" t="str">
            <v xml:space="preserve"> 11/15/2015</v>
          </cell>
          <cell r="H245">
            <v>695965</v>
          </cell>
          <cell r="I245">
            <v>9363</v>
          </cell>
          <cell r="J245">
            <v>40955</v>
          </cell>
          <cell r="K245">
            <v>39599</v>
          </cell>
          <cell r="L245">
            <v>18810</v>
          </cell>
          <cell r="M245">
            <v>0</v>
          </cell>
          <cell r="N245">
            <v>0</v>
          </cell>
          <cell r="O245">
            <v>42308</v>
          </cell>
          <cell r="P245">
            <v>0</v>
          </cell>
          <cell r="Q245">
            <v>29599</v>
          </cell>
          <cell r="R245">
            <v>0</v>
          </cell>
          <cell r="S245">
            <v>8236</v>
          </cell>
          <cell r="T245">
            <v>0</v>
          </cell>
          <cell r="U245">
            <v>-111669</v>
          </cell>
          <cell r="V245" t="str">
            <v xml:space="preserve"> </v>
          </cell>
          <cell r="W245">
            <v>733567</v>
          </cell>
          <cell r="X245">
            <v>0</v>
          </cell>
          <cell r="Y245">
            <v>0</v>
          </cell>
          <cell r="Z245">
            <v>0</v>
          </cell>
          <cell r="AA245">
            <v>0</v>
          </cell>
          <cell r="AB245">
            <v>674222</v>
          </cell>
          <cell r="AC245">
            <v>6394</v>
          </cell>
          <cell r="AD245">
            <v>37736</v>
          </cell>
          <cell r="AE245">
            <v>39599</v>
          </cell>
          <cell r="AF245">
            <v>18810</v>
          </cell>
          <cell r="AG245">
            <v>0</v>
          </cell>
          <cell r="AH245">
            <v>0</v>
          </cell>
          <cell r="AI245">
            <v>0</v>
          </cell>
          <cell r="AJ245">
            <v>0</v>
          </cell>
          <cell r="AK245">
            <v>0</v>
          </cell>
          <cell r="AL245">
            <v>0</v>
          </cell>
          <cell r="AM245">
            <v>7184</v>
          </cell>
          <cell r="AN245">
            <v>0</v>
          </cell>
          <cell r="AO245">
            <v>-76310</v>
          </cell>
          <cell r="AP245">
            <v>668036</v>
          </cell>
          <cell r="AQ245">
            <v>0</v>
          </cell>
          <cell r="AR245">
            <v>0</v>
          </cell>
          <cell r="AS245">
            <v>0</v>
          </cell>
          <cell r="AT245">
            <v>0</v>
          </cell>
          <cell r="AU245" t="str">
            <v xml:space="preserve"> </v>
          </cell>
          <cell r="AV245" t="str">
            <v xml:space="preserve"> </v>
          </cell>
          <cell r="AW245" t="str">
            <v xml:space="preserve"> </v>
          </cell>
        </row>
        <row r="246">
          <cell r="C246" t="str">
            <v xml:space="preserve">STATE CENTER Subtotal     </v>
          </cell>
          <cell r="H246">
            <v>36172249</v>
          </cell>
          <cell r="I246">
            <v>523903</v>
          </cell>
          <cell r="J246">
            <v>1578033</v>
          </cell>
          <cell r="K246">
            <v>240821</v>
          </cell>
          <cell r="L246">
            <v>114391</v>
          </cell>
          <cell r="M246">
            <v>0</v>
          </cell>
          <cell r="N246">
            <v>0</v>
          </cell>
          <cell r="O246">
            <v>1743221</v>
          </cell>
          <cell r="P246">
            <v>23365</v>
          </cell>
          <cell r="Q246">
            <v>172202</v>
          </cell>
          <cell r="R246">
            <v>11971</v>
          </cell>
          <cell r="S246">
            <v>430761</v>
          </cell>
          <cell r="T246">
            <v>0</v>
          </cell>
          <cell r="U246">
            <v>-4862115</v>
          </cell>
          <cell r="V246">
            <v>0</v>
          </cell>
          <cell r="W246">
            <v>35907981</v>
          </cell>
          <cell r="X246">
            <v>0</v>
          </cell>
          <cell r="Y246">
            <v>0</v>
          </cell>
          <cell r="Z246">
            <v>0</v>
          </cell>
          <cell r="AA246">
            <v>0</v>
          </cell>
          <cell r="AB246">
            <v>36929741</v>
          </cell>
          <cell r="AC246">
            <v>427554</v>
          </cell>
          <cell r="AD246">
            <v>1586665</v>
          </cell>
          <cell r="AE246">
            <v>239433</v>
          </cell>
          <cell r="AF246">
            <v>113731</v>
          </cell>
          <cell r="AG246">
            <v>0</v>
          </cell>
          <cell r="AH246">
            <v>0</v>
          </cell>
          <cell r="AI246">
            <v>1606764</v>
          </cell>
          <cell r="AJ246">
            <v>23365</v>
          </cell>
          <cell r="AK246">
            <v>188952</v>
          </cell>
          <cell r="AL246">
            <v>6254</v>
          </cell>
          <cell r="AM246">
            <v>427669</v>
          </cell>
          <cell r="AN246">
            <v>0</v>
          </cell>
          <cell r="AO246">
            <v>-2089640</v>
          </cell>
          <cell r="AP246">
            <v>39221055</v>
          </cell>
          <cell r="AQ246">
            <v>0</v>
          </cell>
          <cell r="AR246">
            <v>0</v>
          </cell>
          <cell r="AS246">
            <v>0</v>
          </cell>
          <cell r="AT246">
            <v>0</v>
          </cell>
          <cell r="AU246">
            <v>0</v>
          </cell>
          <cell r="AV246">
            <v>0</v>
          </cell>
          <cell r="AW246">
            <v>0</v>
          </cell>
        </row>
        <row r="248">
          <cell r="C248" t="str">
            <v xml:space="preserve"> VENTURA           </v>
          </cell>
          <cell r="D248" t="str">
            <v xml:space="preserve"> VENTURA           </v>
          </cell>
          <cell r="E248">
            <v>680</v>
          </cell>
          <cell r="F248" t="str">
            <v xml:space="preserve"> 2015-2016</v>
          </cell>
          <cell r="G248" t="str">
            <v xml:space="preserve"> 11/15/2015</v>
          </cell>
          <cell r="H248">
            <v>53979751</v>
          </cell>
          <cell r="I248">
            <v>832087</v>
          </cell>
          <cell r="J248">
            <v>1506404</v>
          </cell>
          <cell r="K248">
            <v>1529800</v>
          </cell>
          <cell r="L248">
            <v>726655</v>
          </cell>
          <cell r="M248">
            <v>0</v>
          </cell>
          <cell r="N248">
            <v>0</v>
          </cell>
          <cell r="O248">
            <v>2673715</v>
          </cell>
          <cell r="P248">
            <v>97365</v>
          </cell>
          <cell r="Q248">
            <v>95819</v>
          </cell>
          <cell r="R248">
            <v>0</v>
          </cell>
          <cell r="S248">
            <v>480921</v>
          </cell>
          <cell r="T248">
            <v>2735</v>
          </cell>
          <cell r="U248">
            <v>-6947257</v>
          </cell>
          <cell r="V248" t="str">
            <v xml:space="preserve"> </v>
          </cell>
          <cell r="W248">
            <v>53448195</v>
          </cell>
          <cell r="X248">
            <v>0</v>
          </cell>
          <cell r="Y248">
            <v>0</v>
          </cell>
          <cell r="Z248">
            <v>0</v>
          </cell>
          <cell r="AA248">
            <v>0</v>
          </cell>
          <cell r="AB248">
            <v>53858316</v>
          </cell>
          <cell r="AC248">
            <v>624065</v>
          </cell>
          <cell r="AD248">
            <v>1741438</v>
          </cell>
          <cell r="AE248">
            <v>0</v>
          </cell>
          <cell r="AF248">
            <v>0</v>
          </cell>
          <cell r="AG248">
            <v>0</v>
          </cell>
          <cell r="AH248">
            <v>0</v>
          </cell>
          <cell r="AI248">
            <v>450</v>
          </cell>
          <cell r="AJ248">
            <v>0</v>
          </cell>
          <cell r="AK248">
            <v>76655</v>
          </cell>
          <cell r="AL248">
            <v>0</v>
          </cell>
          <cell r="AM248">
            <v>456875</v>
          </cell>
          <cell r="AN248">
            <v>2461</v>
          </cell>
          <cell r="AO248">
            <v>-6944534</v>
          </cell>
          <cell r="AP248">
            <v>49815726</v>
          </cell>
          <cell r="AQ248">
            <v>0</v>
          </cell>
          <cell r="AR248">
            <v>0</v>
          </cell>
          <cell r="AS248">
            <v>0</v>
          </cell>
          <cell r="AT248">
            <v>0</v>
          </cell>
          <cell r="AU248" t="str">
            <v xml:space="preserve"> </v>
          </cell>
          <cell r="AV248" t="str">
            <v xml:space="preserve"> </v>
          </cell>
          <cell r="AW248" t="str">
            <v xml:space="preserve"> </v>
          </cell>
        </row>
        <row r="249">
          <cell r="C249" t="str">
            <v xml:space="preserve">VENTURA Subtotal           </v>
          </cell>
          <cell r="H249">
            <v>53979751</v>
          </cell>
          <cell r="I249">
            <v>832087</v>
          </cell>
          <cell r="J249">
            <v>1506404</v>
          </cell>
          <cell r="K249">
            <v>1529800</v>
          </cell>
          <cell r="L249">
            <v>726655</v>
          </cell>
          <cell r="M249">
            <v>0</v>
          </cell>
          <cell r="N249">
            <v>0</v>
          </cell>
          <cell r="O249">
            <v>2673715</v>
          </cell>
          <cell r="P249">
            <v>97365</v>
          </cell>
          <cell r="Q249">
            <v>95819</v>
          </cell>
          <cell r="R249">
            <v>0</v>
          </cell>
          <cell r="S249">
            <v>480921</v>
          </cell>
          <cell r="T249">
            <v>2735</v>
          </cell>
          <cell r="U249">
            <v>-6947257</v>
          </cell>
          <cell r="V249">
            <v>0</v>
          </cell>
          <cell r="W249">
            <v>53448195</v>
          </cell>
          <cell r="X249">
            <v>0</v>
          </cell>
          <cell r="Y249">
            <v>0</v>
          </cell>
          <cell r="Z249">
            <v>0</v>
          </cell>
          <cell r="AA249">
            <v>0</v>
          </cell>
          <cell r="AB249">
            <v>53858316</v>
          </cell>
          <cell r="AC249">
            <v>624065</v>
          </cell>
          <cell r="AD249">
            <v>1741438</v>
          </cell>
          <cell r="AE249">
            <v>0</v>
          </cell>
          <cell r="AF249">
            <v>0</v>
          </cell>
          <cell r="AG249">
            <v>0</v>
          </cell>
          <cell r="AH249">
            <v>0</v>
          </cell>
          <cell r="AI249">
            <v>450</v>
          </cell>
          <cell r="AJ249">
            <v>0</v>
          </cell>
          <cell r="AK249">
            <v>76655</v>
          </cell>
          <cell r="AL249">
            <v>0</v>
          </cell>
          <cell r="AM249">
            <v>456875</v>
          </cell>
          <cell r="AN249">
            <v>2461</v>
          </cell>
          <cell r="AO249">
            <v>-6944534</v>
          </cell>
          <cell r="AP249">
            <v>49815726</v>
          </cell>
          <cell r="AQ249">
            <v>0</v>
          </cell>
          <cell r="AR249">
            <v>0</v>
          </cell>
          <cell r="AS249">
            <v>0</v>
          </cell>
          <cell r="AT249">
            <v>0</v>
          </cell>
          <cell r="AU249">
            <v>0</v>
          </cell>
          <cell r="AV249">
            <v>0</v>
          </cell>
          <cell r="AW249">
            <v>0</v>
          </cell>
        </row>
        <row r="251">
          <cell r="C251" t="str">
            <v xml:space="preserve"> VICTOR VALLEY     </v>
          </cell>
          <cell r="D251" t="str">
            <v xml:space="preserve"> LOS ANGELES       </v>
          </cell>
          <cell r="E251">
            <v>990</v>
          </cell>
          <cell r="F251" t="str">
            <v xml:space="preserve"> 2015-2016</v>
          </cell>
          <cell r="G251" t="str">
            <v xml:space="preserve"> 11/15/2015</v>
          </cell>
          <cell r="H251">
            <v>18790</v>
          </cell>
          <cell r="I251">
            <v>459</v>
          </cell>
          <cell r="J251">
            <v>658</v>
          </cell>
          <cell r="K251">
            <v>0</v>
          </cell>
          <cell r="L251">
            <v>0</v>
          </cell>
          <cell r="M251">
            <v>0</v>
          </cell>
          <cell r="N251">
            <v>0</v>
          </cell>
          <cell r="O251">
            <v>0</v>
          </cell>
          <cell r="P251">
            <v>0</v>
          </cell>
          <cell r="Q251">
            <v>580</v>
          </cell>
          <cell r="R251">
            <v>0</v>
          </cell>
          <cell r="S251">
            <v>126</v>
          </cell>
          <cell r="T251">
            <v>0</v>
          </cell>
          <cell r="U251">
            <v>0</v>
          </cell>
          <cell r="V251" t="str">
            <v xml:space="preserve"> </v>
          </cell>
          <cell r="W251">
            <v>20613</v>
          </cell>
          <cell r="X251">
            <v>0</v>
          </cell>
          <cell r="Y251">
            <v>0</v>
          </cell>
          <cell r="Z251">
            <v>0</v>
          </cell>
          <cell r="AA251">
            <v>0</v>
          </cell>
          <cell r="AB251">
            <v>19617</v>
          </cell>
          <cell r="AC251">
            <v>574</v>
          </cell>
          <cell r="AD251">
            <v>700</v>
          </cell>
          <cell r="AE251">
            <v>0</v>
          </cell>
          <cell r="AF251">
            <v>0</v>
          </cell>
          <cell r="AG251">
            <v>0</v>
          </cell>
          <cell r="AH251">
            <v>0</v>
          </cell>
          <cell r="AI251">
            <v>0</v>
          </cell>
          <cell r="AJ251">
            <v>0</v>
          </cell>
          <cell r="AK251">
            <v>894</v>
          </cell>
          <cell r="AL251">
            <v>0</v>
          </cell>
          <cell r="AM251">
            <v>100</v>
          </cell>
          <cell r="AN251">
            <v>0</v>
          </cell>
          <cell r="AO251">
            <v>0</v>
          </cell>
          <cell r="AP251">
            <v>21885</v>
          </cell>
          <cell r="AQ251">
            <v>0</v>
          </cell>
          <cell r="AR251">
            <v>0</v>
          </cell>
          <cell r="AS251">
            <v>0</v>
          </cell>
          <cell r="AT251">
            <v>0</v>
          </cell>
          <cell r="AU251" t="str">
            <v xml:space="preserve"> </v>
          </cell>
          <cell r="AV251" t="str">
            <v xml:space="preserve"> </v>
          </cell>
          <cell r="AW251" t="str">
            <v xml:space="preserve"> </v>
          </cell>
        </row>
        <row r="252">
          <cell r="C252" t="str">
            <v xml:space="preserve"> VICTOR VALLEY     </v>
          </cell>
          <cell r="D252" t="str">
            <v xml:space="preserve"> SAN BERNARDINO    </v>
          </cell>
          <cell r="E252">
            <v>990</v>
          </cell>
          <cell r="F252" t="str">
            <v xml:space="preserve"> 2015-2016</v>
          </cell>
          <cell r="G252" t="str">
            <v xml:space="preserve"> 11/15/2015</v>
          </cell>
          <cell r="H252">
            <v>11120440</v>
          </cell>
          <cell r="I252">
            <v>222756</v>
          </cell>
          <cell r="J252">
            <v>463844</v>
          </cell>
          <cell r="K252">
            <v>205296</v>
          </cell>
          <cell r="L252">
            <v>97516</v>
          </cell>
          <cell r="M252">
            <v>0</v>
          </cell>
          <cell r="N252">
            <v>0</v>
          </cell>
          <cell r="O252">
            <v>388890</v>
          </cell>
          <cell r="P252">
            <v>0</v>
          </cell>
          <cell r="Q252">
            <v>5720</v>
          </cell>
          <cell r="R252">
            <v>0</v>
          </cell>
          <cell r="S252">
            <v>124750</v>
          </cell>
          <cell r="T252">
            <v>0</v>
          </cell>
          <cell r="U252">
            <v>-4591069</v>
          </cell>
          <cell r="V252" t="str">
            <v xml:space="preserve"> </v>
          </cell>
          <cell r="W252">
            <v>7832847</v>
          </cell>
          <cell r="X252">
            <v>0</v>
          </cell>
          <cell r="Y252">
            <v>0</v>
          </cell>
          <cell r="Z252">
            <v>0</v>
          </cell>
          <cell r="AA252">
            <v>0</v>
          </cell>
          <cell r="AB252">
            <v>11492735</v>
          </cell>
          <cell r="AC252">
            <v>222756</v>
          </cell>
          <cell r="AD252">
            <v>447052</v>
          </cell>
          <cell r="AE252">
            <v>253299</v>
          </cell>
          <cell r="AF252">
            <v>120317</v>
          </cell>
          <cell r="AG252">
            <v>0</v>
          </cell>
          <cell r="AH252">
            <v>0</v>
          </cell>
          <cell r="AI252">
            <v>0</v>
          </cell>
          <cell r="AJ252">
            <v>0</v>
          </cell>
          <cell r="AK252">
            <v>14330</v>
          </cell>
          <cell r="AL252">
            <v>0</v>
          </cell>
          <cell r="AM252">
            <v>124652</v>
          </cell>
          <cell r="AN252">
            <v>0</v>
          </cell>
          <cell r="AO252">
            <v>-3314459</v>
          </cell>
          <cell r="AP252">
            <v>9107383</v>
          </cell>
          <cell r="AQ252">
            <v>0</v>
          </cell>
          <cell r="AR252">
            <v>0</v>
          </cell>
          <cell r="AS252">
            <v>0</v>
          </cell>
          <cell r="AT252">
            <v>0</v>
          </cell>
          <cell r="AU252" t="str">
            <v xml:space="preserve"> </v>
          </cell>
          <cell r="AV252" t="str">
            <v xml:space="preserve"> </v>
          </cell>
          <cell r="AW252" t="str">
            <v xml:space="preserve"> </v>
          </cell>
        </row>
        <row r="253">
          <cell r="C253" t="str">
            <v>VICTOR VALLEY Subtotal</v>
          </cell>
          <cell r="H253">
            <v>11139230</v>
          </cell>
          <cell r="I253">
            <v>223215</v>
          </cell>
          <cell r="J253">
            <v>464502</v>
          </cell>
          <cell r="K253">
            <v>205296</v>
          </cell>
          <cell r="L253">
            <v>97516</v>
          </cell>
          <cell r="M253">
            <v>0</v>
          </cell>
          <cell r="N253">
            <v>0</v>
          </cell>
          <cell r="O253">
            <v>388890</v>
          </cell>
          <cell r="P253">
            <v>0</v>
          </cell>
          <cell r="Q253">
            <v>6300</v>
          </cell>
          <cell r="R253">
            <v>0</v>
          </cell>
          <cell r="S253">
            <v>124876</v>
          </cell>
          <cell r="T253">
            <v>0</v>
          </cell>
          <cell r="U253">
            <v>-4591069</v>
          </cell>
          <cell r="V253">
            <v>0</v>
          </cell>
          <cell r="W253">
            <v>7853460</v>
          </cell>
          <cell r="X253">
            <v>0</v>
          </cell>
          <cell r="Y253">
            <v>0</v>
          </cell>
          <cell r="Z253">
            <v>0</v>
          </cell>
          <cell r="AA253">
            <v>0</v>
          </cell>
          <cell r="AB253">
            <v>11512352</v>
          </cell>
          <cell r="AC253">
            <v>223330</v>
          </cell>
          <cell r="AD253">
            <v>447752</v>
          </cell>
          <cell r="AE253">
            <v>253299</v>
          </cell>
          <cell r="AF253">
            <v>120317</v>
          </cell>
          <cell r="AG253">
            <v>0</v>
          </cell>
          <cell r="AH253">
            <v>0</v>
          </cell>
          <cell r="AI253">
            <v>0</v>
          </cell>
          <cell r="AJ253">
            <v>0</v>
          </cell>
          <cell r="AK253">
            <v>15224</v>
          </cell>
          <cell r="AL253">
            <v>0</v>
          </cell>
          <cell r="AM253">
            <v>124752</v>
          </cell>
          <cell r="AN253">
            <v>0</v>
          </cell>
          <cell r="AO253">
            <v>-3314459</v>
          </cell>
          <cell r="AP253">
            <v>9129268</v>
          </cell>
          <cell r="AQ253">
            <v>0</v>
          </cell>
          <cell r="AR253">
            <v>0</v>
          </cell>
          <cell r="AS253">
            <v>0</v>
          </cell>
          <cell r="AT253">
            <v>0</v>
          </cell>
          <cell r="AU253">
            <v>0</v>
          </cell>
          <cell r="AV253">
            <v>0</v>
          </cell>
          <cell r="AW253">
            <v>0</v>
          </cell>
        </row>
        <row r="255">
          <cell r="C255" t="str">
            <v xml:space="preserve"> WEST HILLS        </v>
          </cell>
          <cell r="D255" t="str">
            <v xml:space="preserve"> FRESNO            </v>
          </cell>
          <cell r="E255">
            <v>580</v>
          </cell>
          <cell r="F255" t="str">
            <v xml:space="preserve"> 2015-2016</v>
          </cell>
          <cell r="G255" t="str">
            <v xml:space="preserve"> 11/15/2015</v>
          </cell>
          <cell r="H255">
            <v>4009173</v>
          </cell>
          <cell r="I255">
            <v>59862</v>
          </cell>
          <cell r="J255">
            <v>188449</v>
          </cell>
          <cell r="K255">
            <v>18112</v>
          </cell>
          <cell r="L255">
            <v>8603</v>
          </cell>
          <cell r="M255">
            <v>0</v>
          </cell>
          <cell r="N255">
            <v>0</v>
          </cell>
          <cell r="O255">
            <v>150488</v>
          </cell>
          <cell r="P255">
            <v>0</v>
          </cell>
          <cell r="Q255">
            <v>27173</v>
          </cell>
          <cell r="R255">
            <v>0</v>
          </cell>
          <cell r="S255">
            <v>50183</v>
          </cell>
          <cell r="T255">
            <v>0</v>
          </cell>
          <cell r="U255">
            <v>-669821</v>
          </cell>
          <cell r="V255" t="str">
            <v xml:space="preserve"> </v>
          </cell>
          <cell r="W255">
            <v>3824110</v>
          </cell>
          <cell r="X255">
            <v>0</v>
          </cell>
          <cell r="Y255">
            <v>0</v>
          </cell>
          <cell r="Z255">
            <v>0</v>
          </cell>
          <cell r="AA255">
            <v>0</v>
          </cell>
          <cell r="AB255">
            <v>4089356</v>
          </cell>
          <cell r="AC255">
            <v>59862</v>
          </cell>
          <cell r="AD255">
            <v>188449</v>
          </cell>
          <cell r="AE255">
            <v>18112</v>
          </cell>
          <cell r="AF255">
            <v>8603</v>
          </cell>
          <cell r="AG255">
            <v>0</v>
          </cell>
          <cell r="AH255">
            <v>0</v>
          </cell>
          <cell r="AI255">
            <v>150488</v>
          </cell>
          <cell r="AJ255">
            <v>0</v>
          </cell>
          <cell r="AK255">
            <v>27173</v>
          </cell>
          <cell r="AL255">
            <v>0</v>
          </cell>
          <cell r="AM255">
            <v>50183</v>
          </cell>
          <cell r="AN255">
            <v>0</v>
          </cell>
          <cell r="AO255">
            <v>-282167</v>
          </cell>
          <cell r="AP255">
            <v>4291947</v>
          </cell>
          <cell r="AQ255">
            <v>0</v>
          </cell>
          <cell r="AR255">
            <v>0</v>
          </cell>
          <cell r="AS255">
            <v>0</v>
          </cell>
          <cell r="AT255">
            <v>0</v>
          </cell>
          <cell r="AU255" t="str">
            <v xml:space="preserve"> </v>
          </cell>
          <cell r="AV255" t="str">
            <v xml:space="preserve"> </v>
          </cell>
          <cell r="AW255" t="str">
            <v xml:space="preserve"> </v>
          </cell>
        </row>
        <row r="256">
          <cell r="C256" t="str">
            <v xml:space="preserve"> WEST HILLS        </v>
          </cell>
          <cell r="D256" t="str">
            <v xml:space="preserve"> KINGS             </v>
          </cell>
          <cell r="E256">
            <v>580</v>
          </cell>
          <cell r="F256" t="str">
            <v xml:space="preserve"> 2015-2016</v>
          </cell>
          <cell r="G256" t="str">
            <v xml:space="preserve"> 11/15/2015</v>
          </cell>
          <cell r="H256">
            <v>1029248</v>
          </cell>
          <cell r="I256">
            <v>13461</v>
          </cell>
          <cell r="J256">
            <v>44869</v>
          </cell>
          <cell r="K256">
            <v>58746</v>
          </cell>
          <cell r="L256">
            <v>27904</v>
          </cell>
          <cell r="M256">
            <v>0</v>
          </cell>
          <cell r="N256">
            <v>0</v>
          </cell>
          <cell r="O256">
            <v>259229</v>
          </cell>
          <cell r="P256">
            <v>419</v>
          </cell>
          <cell r="Q256">
            <v>11040</v>
          </cell>
          <cell r="R256">
            <v>0</v>
          </cell>
          <cell r="S256">
            <v>13100</v>
          </cell>
          <cell r="T256">
            <v>0</v>
          </cell>
          <cell r="U256">
            <v>-508450</v>
          </cell>
          <cell r="V256" t="str">
            <v xml:space="preserve"> </v>
          </cell>
          <cell r="W256">
            <v>890820</v>
          </cell>
          <cell r="X256">
            <v>0</v>
          </cell>
          <cell r="Y256">
            <v>0</v>
          </cell>
          <cell r="Z256">
            <v>0</v>
          </cell>
          <cell r="AA256">
            <v>0</v>
          </cell>
          <cell r="AB256">
            <v>1078117</v>
          </cell>
          <cell r="AC256">
            <v>13000</v>
          </cell>
          <cell r="AD256">
            <v>44000</v>
          </cell>
          <cell r="AE256">
            <v>58000</v>
          </cell>
          <cell r="AF256">
            <v>27550</v>
          </cell>
          <cell r="AG256">
            <v>0</v>
          </cell>
          <cell r="AH256">
            <v>0</v>
          </cell>
          <cell r="AI256">
            <v>259229</v>
          </cell>
          <cell r="AJ256">
            <v>0</v>
          </cell>
          <cell r="AK256">
            <v>11040</v>
          </cell>
          <cell r="AL256">
            <v>0</v>
          </cell>
          <cell r="AM256">
            <v>12462</v>
          </cell>
          <cell r="AN256">
            <v>0</v>
          </cell>
          <cell r="AO256">
            <v>-444400</v>
          </cell>
          <cell r="AP256">
            <v>1000998</v>
          </cell>
          <cell r="AQ256">
            <v>0</v>
          </cell>
          <cell r="AR256">
            <v>0</v>
          </cell>
          <cell r="AS256">
            <v>0</v>
          </cell>
          <cell r="AT256">
            <v>0</v>
          </cell>
          <cell r="AU256" t="str">
            <v xml:space="preserve"> </v>
          </cell>
          <cell r="AV256" t="str">
            <v xml:space="preserve"> </v>
          </cell>
          <cell r="AW256" t="str">
            <v xml:space="preserve"> </v>
          </cell>
        </row>
        <row r="257">
          <cell r="C257" t="str">
            <v xml:space="preserve"> WEST HILLS        </v>
          </cell>
          <cell r="D257" t="str">
            <v xml:space="preserve"> MADERA            </v>
          </cell>
          <cell r="E257">
            <v>580</v>
          </cell>
          <cell r="F257" t="str">
            <v xml:space="preserve"> 2015-2016</v>
          </cell>
          <cell r="G257" t="str">
            <v xml:space="preserve"> 11/15/2015</v>
          </cell>
          <cell r="H257">
            <v>314617</v>
          </cell>
          <cell r="I257">
            <v>3664</v>
          </cell>
          <cell r="J257">
            <v>13329</v>
          </cell>
          <cell r="K257">
            <v>0</v>
          </cell>
          <cell r="L257">
            <v>0</v>
          </cell>
          <cell r="M257">
            <v>0</v>
          </cell>
          <cell r="N257">
            <v>0</v>
          </cell>
          <cell r="O257">
            <v>0</v>
          </cell>
          <cell r="P257">
            <v>0</v>
          </cell>
          <cell r="Q257">
            <v>-1571</v>
          </cell>
          <cell r="R257">
            <v>0</v>
          </cell>
          <cell r="S257">
            <v>3447</v>
          </cell>
          <cell r="T257">
            <v>0</v>
          </cell>
          <cell r="U257">
            <v>0</v>
          </cell>
          <cell r="V257" t="str">
            <v xml:space="preserve"> </v>
          </cell>
          <cell r="W257">
            <v>333486</v>
          </cell>
          <cell r="X257">
            <v>0</v>
          </cell>
          <cell r="Y257">
            <v>0</v>
          </cell>
          <cell r="Z257">
            <v>0</v>
          </cell>
          <cell r="AA257">
            <v>0</v>
          </cell>
          <cell r="AB257">
            <v>373639</v>
          </cell>
          <cell r="AC257">
            <v>0</v>
          </cell>
          <cell r="AD257">
            <v>15933</v>
          </cell>
          <cell r="AE257">
            <v>0</v>
          </cell>
          <cell r="AF257">
            <v>0</v>
          </cell>
          <cell r="AG257">
            <v>0</v>
          </cell>
          <cell r="AH257">
            <v>0</v>
          </cell>
          <cell r="AI257">
            <v>0</v>
          </cell>
          <cell r="AJ257">
            <v>0</v>
          </cell>
          <cell r="AK257">
            <v>0</v>
          </cell>
          <cell r="AL257">
            <v>0</v>
          </cell>
          <cell r="AM257">
            <v>3900</v>
          </cell>
          <cell r="AN257">
            <v>0</v>
          </cell>
          <cell r="AO257">
            <v>0</v>
          </cell>
          <cell r="AP257">
            <v>393472</v>
          </cell>
          <cell r="AQ257">
            <v>0</v>
          </cell>
          <cell r="AR257">
            <v>0</v>
          </cell>
          <cell r="AS257">
            <v>0</v>
          </cell>
          <cell r="AT257">
            <v>0</v>
          </cell>
          <cell r="AU257" t="str">
            <v xml:space="preserve"> </v>
          </cell>
          <cell r="AV257" t="str">
            <v xml:space="preserve"> </v>
          </cell>
          <cell r="AW257" t="str">
            <v xml:space="preserve"> </v>
          </cell>
        </row>
        <row r="258">
          <cell r="C258" t="str">
            <v xml:space="preserve"> WEST HILLS        </v>
          </cell>
          <cell r="D258" t="str">
            <v xml:space="preserve"> MONTEREY          </v>
          </cell>
          <cell r="E258">
            <v>580</v>
          </cell>
          <cell r="F258" t="str">
            <v xml:space="preserve"> 2015-2016</v>
          </cell>
          <cell r="G258" t="str">
            <v xml:space="preserve"> 11/15/2015</v>
          </cell>
          <cell r="H258">
            <v>7534</v>
          </cell>
          <cell r="I258">
            <v>145</v>
          </cell>
          <cell r="J258">
            <v>305</v>
          </cell>
          <cell r="K258">
            <v>0</v>
          </cell>
          <cell r="L258">
            <v>0</v>
          </cell>
          <cell r="M258">
            <v>0</v>
          </cell>
          <cell r="N258">
            <v>0</v>
          </cell>
          <cell r="O258">
            <v>0</v>
          </cell>
          <cell r="P258">
            <v>0</v>
          </cell>
          <cell r="Q258">
            <v>121</v>
          </cell>
          <cell r="R258">
            <v>0</v>
          </cell>
          <cell r="S258">
            <v>45</v>
          </cell>
          <cell r="T258">
            <v>0</v>
          </cell>
          <cell r="U258">
            <v>0</v>
          </cell>
          <cell r="V258" t="str">
            <v xml:space="preserve"> </v>
          </cell>
          <cell r="W258">
            <v>8150</v>
          </cell>
          <cell r="X258">
            <v>0</v>
          </cell>
          <cell r="Y258">
            <v>0</v>
          </cell>
          <cell r="Z258">
            <v>0</v>
          </cell>
          <cell r="AA258">
            <v>0</v>
          </cell>
          <cell r="AB258">
            <v>7892</v>
          </cell>
          <cell r="AC258">
            <v>87</v>
          </cell>
          <cell r="AD258">
            <v>319</v>
          </cell>
          <cell r="AE258">
            <v>0</v>
          </cell>
          <cell r="AF258">
            <v>0</v>
          </cell>
          <cell r="AG258">
            <v>0</v>
          </cell>
          <cell r="AH258">
            <v>0</v>
          </cell>
          <cell r="AI258">
            <v>0</v>
          </cell>
          <cell r="AJ258">
            <v>0</v>
          </cell>
          <cell r="AK258">
            <v>72</v>
          </cell>
          <cell r="AL258">
            <v>0</v>
          </cell>
          <cell r="AM258">
            <v>46</v>
          </cell>
          <cell r="AN258">
            <v>0</v>
          </cell>
          <cell r="AO258">
            <v>0</v>
          </cell>
          <cell r="AP258">
            <v>8416</v>
          </cell>
          <cell r="AQ258">
            <v>0</v>
          </cell>
          <cell r="AR258">
            <v>0</v>
          </cell>
          <cell r="AS258">
            <v>0</v>
          </cell>
          <cell r="AT258">
            <v>0</v>
          </cell>
          <cell r="AU258" t="str">
            <v xml:space="preserve"> </v>
          </cell>
          <cell r="AV258" t="str">
            <v xml:space="preserve"> </v>
          </cell>
          <cell r="AW258" t="str">
            <v xml:space="preserve"> </v>
          </cell>
        </row>
        <row r="259">
          <cell r="C259" t="str">
            <v xml:space="preserve"> WEST HILLS        </v>
          </cell>
          <cell r="D259" t="str">
            <v xml:space="preserve"> SAN BENITO        </v>
          </cell>
          <cell r="E259">
            <v>580</v>
          </cell>
          <cell r="F259" t="str">
            <v xml:space="preserve"> 2015-2016</v>
          </cell>
          <cell r="G259" t="str">
            <v xml:space="preserve"> 11/15/2015</v>
          </cell>
          <cell r="H259">
            <v>1320</v>
          </cell>
          <cell r="I259">
            <v>18</v>
          </cell>
          <cell r="J259">
            <v>71</v>
          </cell>
          <cell r="K259">
            <v>0</v>
          </cell>
          <cell r="L259">
            <v>0</v>
          </cell>
          <cell r="M259">
            <v>0</v>
          </cell>
          <cell r="N259">
            <v>0</v>
          </cell>
          <cell r="O259">
            <v>0</v>
          </cell>
          <cell r="P259">
            <v>0</v>
          </cell>
          <cell r="Q259">
            <v>1</v>
          </cell>
          <cell r="R259">
            <v>0</v>
          </cell>
          <cell r="S259">
            <v>12</v>
          </cell>
          <cell r="T259">
            <v>0</v>
          </cell>
          <cell r="U259">
            <v>-38</v>
          </cell>
          <cell r="V259" t="str">
            <v xml:space="preserve"> </v>
          </cell>
          <cell r="W259">
            <v>1384</v>
          </cell>
          <cell r="X259">
            <v>0</v>
          </cell>
          <cell r="Y259">
            <v>0</v>
          </cell>
          <cell r="Z259">
            <v>0</v>
          </cell>
          <cell r="AA259">
            <v>0</v>
          </cell>
          <cell r="AB259">
            <v>1380</v>
          </cell>
          <cell r="AC259">
            <v>21</v>
          </cell>
          <cell r="AD259">
            <v>66</v>
          </cell>
          <cell r="AE259">
            <v>0</v>
          </cell>
          <cell r="AF259">
            <v>0</v>
          </cell>
          <cell r="AG259">
            <v>0</v>
          </cell>
          <cell r="AH259">
            <v>0</v>
          </cell>
          <cell r="AI259">
            <v>0</v>
          </cell>
          <cell r="AJ259">
            <v>0</v>
          </cell>
          <cell r="AK259">
            <v>1</v>
          </cell>
          <cell r="AL259">
            <v>0</v>
          </cell>
          <cell r="AM259">
            <v>12</v>
          </cell>
          <cell r="AN259">
            <v>0</v>
          </cell>
          <cell r="AO259">
            <v>-7</v>
          </cell>
          <cell r="AP259">
            <v>1473</v>
          </cell>
          <cell r="AQ259">
            <v>0</v>
          </cell>
          <cell r="AR259">
            <v>0</v>
          </cell>
          <cell r="AS259">
            <v>0</v>
          </cell>
          <cell r="AT259">
            <v>0</v>
          </cell>
          <cell r="AU259" t="str">
            <v xml:space="preserve"> </v>
          </cell>
          <cell r="AV259" t="str">
            <v xml:space="preserve"> </v>
          </cell>
          <cell r="AW259" t="str">
            <v xml:space="preserve"> </v>
          </cell>
        </row>
        <row r="260">
          <cell r="C260" t="str">
            <v>WEST HILLS Subtotal</v>
          </cell>
          <cell r="H260">
            <v>5361892</v>
          </cell>
          <cell r="I260">
            <v>77150</v>
          </cell>
          <cell r="J260">
            <v>247023</v>
          </cell>
          <cell r="K260">
            <v>76858</v>
          </cell>
          <cell r="L260">
            <v>36507</v>
          </cell>
          <cell r="M260">
            <v>0</v>
          </cell>
          <cell r="N260">
            <v>0</v>
          </cell>
          <cell r="O260">
            <v>409717</v>
          </cell>
          <cell r="P260">
            <v>419</v>
          </cell>
          <cell r="Q260">
            <v>36764</v>
          </cell>
          <cell r="R260">
            <v>0</v>
          </cell>
          <cell r="S260">
            <v>66787</v>
          </cell>
          <cell r="T260">
            <v>0</v>
          </cell>
          <cell r="U260">
            <v>-1178309</v>
          </cell>
          <cell r="V260">
            <v>0</v>
          </cell>
          <cell r="W260">
            <v>5057950</v>
          </cell>
          <cell r="X260">
            <v>0</v>
          </cell>
          <cell r="Y260">
            <v>0</v>
          </cell>
          <cell r="Z260">
            <v>0</v>
          </cell>
          <cell r="AA260">
            <v>0</v>
          </cell>
          <cell r="AB260">
            <v>5550384</v>
          </cell>
          <cell r="AC260">
            <v>72970</v>
          </cell>
          <cell r="AD260">
            <v>248767</v>
          </cell>
          <cell r="AE260">
            <v>76112</v>
          </cell>
          <cell r="AF260">
            <v>36153</v>
          </cell>
          <cell r="AG260">
            <v>0</v>
          </cell>
          <cell r="AH260">
            <v>0</v>
          </cell>
          <cell r="AI260">
            <v>409717</v>
          </cell>
          <cell r="AJ260">
            <v>0</v>
          </cell>
          <cell r="AK260">
            <v>38286</v>
          </cell>
          <cell r="AL260">
            <v>0</v>
          </cell>
          <cell r="AM260">
            <v>66603</v>
          </cell>
          <cell r="AN260">
            <v>0</v>
          </cell>
          <cell r="AO260">
            <v>-726574</v>
          </cell>
          <cell r="AP260">
            <v>5696306</v>
          </cell>
          <cell r="AQ260">
            <v>0</v>
          </cell>
          <cell r="AR260">
            <v>0</v>
          </cell>
          <cell r="AS260">
            <v>0</v>
          </cell>
          <cell r="AT260">
            <v>0</v>
          </cell>
          <cell r="AU260">
            <v>0</v>
          </cell>
          <cell r="AV260">
            <v>0</v>
          </cell>
          <cell r="AW260">
            <v>0</v>
          </cell>
        </row>
        <row r="262">
          <cell r="C262" t="str">
            <v xml:space="preserve"> WEST KERN         </v>
          </cell>
          <cell r="D262" t="str">
            <v xml:space="preserve"> KERN              </v>
          </cell>
          <cell r="E262">
            <v>690</v>
          </cell>
          <cell r="F262" t="str">
            <v xml:space="preserve"> 2015-2016</v>
          </cell>
          <cell r="G262" t="str">
            <v xml:space="preserve"> 11/15/2015</v>
          </cell>
          <cell r="H262">
            <v>8111958</v>
          </cell>
          <cell r="I262">
            <v>381617</v>
          </cell>
          <cell r="J262">
            <v>993315</v>
          </cell>
          <cell r="K262">
            <v>0</v>
          </cell>
          <cell r="L262">
            <v>0</v>
          </cell>
          <cell r="M262">
            <v>0</v>
          </cell>
          <cell r="N262">
            <v>0</v>
          </cell>
          <cell r="O262">
            <v>0</v>
          </cell>
          <cell r="P262">
            <v>0</v>
          </cell>
          <cell r="Q262">
            <v>0</v>
          </cell>
          <cell r="R262">
            <v>0</v>
          </cell>
          <cell r="S262">
            <v>94213</v>
          </cell>
          <cell r="T262">
            <v>0</v>
          </cell>
          <cell r="U262">
            <v>0</v>
          </cell>
          <cell r="V262" t="str">
            <v xml:space="preserve"> </v>
          </cell>
          <cell r="W262">
            <v>9581103</v>
          </cell>
          <cell r="X262">
            <v>3268961</v>
          </cell>
          <cell r="Y262">
            <v>0</v>
          </cell>
          <cell r="Z262">
            <v>0</v>
          </cell>
          <cell r="AA262">
            <v>0</v>
          </cell>
          <cell r="AB262">
            <v>7389579</v>
          </cell>
          <cell r="AC262">
            <v>192308</v>
          </cell>
          <cell r="AD262">
            <v>754462</v>
          </cell>
          <cell r="AE262">
            <v>0</v>
          </cell>
          <cell r="AF262">
            <v>0</v>
          </cell>
          <cell r="AG262">
            <v>0</v>
          </cell>
          <cell r="AH262">
            <v>0</v>
          </cell>
          <cell r="AI262">
            <v>0</v>
          </cell>
          <cell r="AJ262">
            <v>0</v>
          </cell>
          <cell r="AK262">
            <v>0</v>
          </cell>
          <cell r="AL262">
            <v>0</v>
          </cell>
          <cell r="AM262">
            <v>66165</v>
          </cell>
          <cell r="AN262">
            <v>0</v>
          </cell>
          <cell r="AO262">
            <v>0</v>
          </cell>
          <cell r="AP262">
            <v>8402514</v>
          </cell>
          <cell r="AQ262">
            <v>0</v>
          </cell>
          <cell r="AR262">
            <v>0</v>
          </cell>
          <cell r="AS262">
            <v>0</v>
          </cell>
          <cell r="AT262">
            <v>0</v>
          </cell>
          <cell r="AU262" t="str">
            <v xml:space="preserve"> </v>
          </cell>
          <cell r="AV262" t="str">
            <v xml:space="preserve"> </v>
          </cell>
          <cell r="AW262" t="str">
            <v xml:space="preserve"> </v>
          </cell>
        </row>
        <row r="263">
          <cell r="C263" t="str">
            <v xml:space="preserve">WEST KERN Subtotal       </v>
          </cell>
          <cell r="H263">
            <v>8111958</v>
          </cell>
          <cell r="I263">
            <v>381617</v>
          </cell>
          <cell r="J263">
            <v>993315</v>
          </cell>
          <cell r="K263">
            <v>0</v>
          </cell>
          <cell r="L263">
            <v>0</v>
          </cell>
          <cell r="M263">
            <v>0</v>
          </cell>
          <cell r="N263">
            <v>0</v>
          </cell>
          <cell r="O263">
            <v>0</v>
          </cell>
          <cell r="P263">
            <v>0</v>
          </cell>
          <cell r="Q263">
            <v>0</v>
          </cell>
          <cell r="R263">
            <v>0</v>
          </cell>
          <cell r="S263">
            <v>94213</v>
          </cell>
          <cell r="T263">
            <v>0</v>
          </cell>
          <cell r="U263">
            <v>0</v>
          </cell>
          <cell r="V263">
            <v>0</v>
          </cell>
          <cell r="W263">
            <v>9581103</v>
          </cell>
          <cell r="X263">
            <v>3268961</v>
          </cell>
          <cell r="Y263">
            <v>0</v>
          </cell>
          <cell r="Z263">
            <v>0</v>
          </cell>
          <cell r="AA263">
            <v>0</v>
          </cell>
          <cell r="AB263">
            <v>7389579</v>
          </cell>
          <cell r="AC263">
            <v>192308</v>
          </cell>
          <cell r="AD263">
            <v>754462</v>
          </cell>
          <cell r="AE263">
            <v>0</v>
          </cell>
          <cell r="AF263">
            <v>0</v>
          </cell>
          <cell r="AG263">
            <v>0</v>
          </cell>
          <cell r="AH263">
            <v>0</v>
          </cell>
          <cell r="AI263">
            <v>0</v>
          </cell>
          <cell r="AJ263">
            <v>0</v>
          </cell>
          <cell r="AK263">
            <v>0</v>
          </cell>
          <cell r="AL263">
            <v>0</v>
          </cell>
          <cell r="AM263">
            <v>66165</v>
          </cell>
          <cell r="AN263">
            <v>0</v>
          </cell>
          <cell r="AO263">
            <v>0</v>
          </cell>
          <cell r="AP263">
            <v>8402514</v>
          </cell>
          <cell r="AQ263">
            <v>0</v>
          </cell>
          <cell r="AR263">
            <v>0</v>
          </cell>
          <cell r="AS263">
            <v>0</v>
          </cell>
          <cell r="AT263">
            <v>0</v>
          </cell>
          <cell r="AU263">
            <v>0</v>
          </cell>
          <cell r="AV263">
            <v>0</v>
          </cell>
          <cell r="AW263">
            <v>0</v>
          </cell>
        </row>
        <row r="265">
          <cell r="C265" t="str">
            <v xml:space="preserve"> WEST VALLEY       </v>
          </cell>
          <cell r="D265" t="str">
            <v xml:space="preserve"> SANTA CLARA       </v>
          </cell>
          <cell r="E265">
            <v>490</v>
          </cell>
          <cell r="F265" t="str">
            <v xml:space="preserve"> 2015-2016</v>
          </cell>
          <cell r="G265" t="str">
            <v xml:space="preserve"> 11/15/2015</v>
          </cell>
          <cell r="H265">
            <v>70755752</v>
          </cell>
          <cell r="I265">
            <v>3027475</v>
          </cell>
          <cell r="J265">
            <v>6452410</v>
          </cell>
          <cell r="K265">
            <v>1396386</v>
          </cell>
          <cell r="L265">
            <v>663283</v>
          </cell>
          <cell r="M265">
            <v>0</v>
          </cell>
          <cell r="N265">
            <v>0</v>
          </cell>
          <cell r="O265">
            <v>2438184</v>
          </cell>
          <cell r="P265">
            <v>2544780</v>
          </cell>
          <cell r="Q265">
            <v>0</v>
          </cell>
          <cell r="R265">
            <v>83</v>
          </cell>
          <cell r="S265">
            <v>504285</v>
          </cell>
          <cell r="T265">
            <v>0</v>
          </cell>
          <cell r="U265">
            <v>0</v>
          </cell>
          <cell r="V265" t="str">
            <v xml:space="preserve"> </v>
          </cell>
          <cell r="W265">
            <v>86386252</v>
          </cell>
          <cell r="X265">
            <v>0</v>
          </cell>
          <cell r="Y265">
            <v>0</v>
          </cell>
          <cell r="Z265">
            <v>0</v>
          </cell>
          <cell r="AA265">
            <v>0</v>
          </cell>
          <cell r="AB265">
            <v>76096002</v>
          </cell>
          <cell r="AC265">
            <v>1816000</v>
          </cell>
          <cell r="AD265">
            <v>7051000</v>
          </cell>
          <cell r="AE265">
            <v>2160408</v>
          </cell>
          <cell r="AF265">
            <v>1026194</v>
          </cell>
          <cell r="AG265">
            <v>0</v>
          </cell>
          <cell r="AH265">
            <v>0</v>
          </cell>
          <cell r="AI265">
            <v>4608895</v>
          </cell>
          <cell r="AJ265">
            <v>0</v>
          </cell>
          <cell r="AK265">
            <v>0</v>
          </cell>
          <cell r="AL265">
            <v>83</v>
          </cell>
          <cell r="AM265">
            <v>506753</v>
          </cell>
          <cell r="AN265">
            <v>0</v>
          </cell>
          <cell r="AO265">
            <v>0</v>
          </cell>
          <cell r="AP265">
            <v>91104927</v>
          </cell>
          <cell r="AQ265">
            <v>0</v>
          </cell>
          <cell r="AR265">
            <v>0</v>
          </cell>
          <cell r="AS265">
            <v>0</v>
          </cell>
          <cell r="AT265">
            <v>0</v>
          </cell>
          <cell r="AU265" t="str">
            <v xml:space="preserve"> </v>
          </cell>
          <cell r="AV265" t="str">
            <v xml:space="preserve"> </v>
          </cell>
          <cell r="AW265" t="str">
            <v xml:space="preserve"> </v>
          </cell>
        </row>
        <row r="266">
          <cell r="C266" t="str">
            <v xml:space="preserve"> WEST VALLEY       </v>
          </cell>
          <cell r="D266" t="str">
            <v xml:space="preserve"> SANTA CRUZ        </v>
          </cell>
          <cell r="E266">
            <v>490</v>
          </cell>
          <cell r="F266" t="str">
            <v xml:space="preserve"> 2015-2016</v>
          </cell>
          <cell r="G266" t="str">
            <v xml:space="preserve"> 11/15/2015</v>
          </cell>
          <cell r="H266">
            <v>963318</v>
          </cell>
          <cell r="I266">
            <v>0</v>
          </cell>
          <cell r="J266">
            <v>19858</v>
          </cell>
          <cell r="K266">
            <v>0</v>
          </cell>
          <cell r="L266">
            <v>0</v>
          </cell>
          <cell r="M266">
            <v>0</v>
          </cell>
          <cell r="N266">
            <v>0</v>
          </cell>
          <cell r="O266">
            <v>0</v>
          </cell>
          <cell r="P266">
            <v>0</v>
          </cell>
          <cell r="Q266">
            <v>2550</v>
          </cell>
          <cell r="R266">
            <v>0</v>
          </cell>
          <cell r="S266">
            <v>7455</v>
          </cell>
          <cell r="T266">
            <v>0</v>
          </cell>
          <cell r="U266">
            <v>0</v>
          </cell>
          <cell r="V266" t="str">
            <v xml:space="preserve"> </v>
          </cell>
          <cell r="W266">
            <v>993181</v>
          </cell>
          <cell r="X266">
            <v>0</v>
          </cell>
          <cell r="Y266">
            <v>0</v>
          </cell>
          <cell r="Z266">
            <v>0</v>
          </cell>
          <cell r="AA266">
            <v>0</v>
          </cell>
          <cell r="AB266">
            <v>1041369</v>
          </cell>
          <cell r="AC266">
            <v>0</v>
          </cell>
          <cell r="AD266">
            <v>22944</v>
          </cell>
          <cell r="AE266">
            <v>0</v>
          </cell>
          <cell r="AF266">
            <v>0</v>
          </cell>
          <cell r="AG266">
            <v>0</v>
          </cell>
          <cell r="AH266">
            <v>0</v>
          </cell>
          <cell r="AI266">
            <v>0</v>
          </cell>
          <cell r="AJ266">
            <v>0</v>
          </cell>
          <cell r="AK266">
            <v>0</v>
          </cell>
          <cell r="AL266">
            <v>0</v>
          </cell>
          <cell r="AM266">
            <v>7240</v>
          </cell>
          <cell r="AN266">
            <v>0</v>
          </cell>
          <cell r="AO266">
            <v>0</v>
          </cell>
          <cell r="AP266">
            <v>1071553</v>
          </cell>
          <cell r="AQ266">
            <v>0</v>
          </cell>
          <cell r="AR266">
            <v>0</v>
          </cell>
          <cell r="AS266">
            <v>0</v>
          </cell>
          <cell r="AT266">
            <v>0</v>
          </cell>
          <cell r="AU266" t="str">
            <v xml:space="preserve"> </v>
          </cell>
          <cell r="AV266" t="str">
            <v xml:space="preserve"> </v>
          </cell>
          <cell r="AW266" t="str">
            <v xml:space="preserve"> </v>
          </cell>
        </row>
        <row r="267">
          <cell r="C267" t="str">
            <v xml:space="preserve">WEST VALLEY Subtotal       </v>
          </cell>
          <cell r="H267">
            <v>71719070</v>
          </cell>
          <cell r="I267">
            <v>3027475</v>
          </cell>
          <cell r="J267">
            <v>6472268</v>
          </cell>
          <cell r="K267">
            <v>1396386</v>
          </cell>
          <cell r="L267">
            <v>663283</v>
          </cell>
          <cell r="M267">
            <v>0</v>
          </cell>
          <cell r="N267">
            <v>0</v>
          </cell>
          <cell r="O267">
            <v>2438184</v>
          </cell>
          <cell r="P267">
            <v>2544780</v>
          </cell>
          <cell r="Q267">
            <v>2550</v>
          </cell>
          <cell r="R267">
            <v>83</v>
          </cell>
          <cell r="S267">
            <v>511740</v>
          </cell>
          <cell r="T267">
            <v>0</v>
          </cell>
          <cell r="U267">
            <v>0</v>
          </cell>
          <cell r="V267">
            <v>0</v>
          </cell>
          <cell r="W267">
            <v>87379433</v>
          </cell>
          <cell r="X267">
            <v>0</v>
          </cell>
          <cell r="Y267">
            <v>0</v>
          </cell>
          <cell r="Z267">
            <v>0</v>
          </cell>
          <cell r="AA267">
            <v>0</v>
          </cell>
          <cell r="AB267">
            <v>77137371</v>
          </cell>
          <cell r="AC267">
            <v>1816000</v>
          </cell>
          <cell r="AD267">
            <v>7073944</v>
          </cell>
          <cell r="AE267">
            <v>2160408</v>
          </cell>
          <cell r="AF267">
            <v>1026194</v>
          </cell>
          <cell r="AG267">
            <v>0</v>
          </cell>
          <cell r="AH267">
            <v>0</v>
          </cell>
          <cell r="AI267">
            <v>4608895</v>
          </cell>
          <cell r="AJ267">
            <v>0</v>
          </cell>
          <cell r="AK267">
            <v>0</v>
          </cell>
          <cell r="AL267">
            <v>83</v>
          </cell>
          <cell r="AM267">
            <v>513993</v>
          </cell>
          <cell r="AN267">
            <v>0</v>
          </cell>
          <cell r="AO267">
            <v>0</v>
          </cell>
          <cell r="AP267">
            <v>92176480</v>
          </cell>
          <cell r="AQ267">
            <v>0</v>
          </cell>
          <cell r="AR267">
            <v>0</v>
          </cell>
          <cell r="AS267">
            <v>0</v>
          </cell>
          <cell r="AT267">
            <v>0</v>
          </cell>
          <cell r="AU267">
            <v>0</v>
          </cell>
          <cell r="AV267">
            <v>0</v>
          </cell>
          <cell r="AW267">
            <v>0</v>
          </cell>
        </row>
        <row r="269">
          <cell r="C269" t="str">
            <v xml:space="preserve"> YOSEMITE          </v>
          </cell>
          <cell r="D269" t="str">
            <v xml:space="preserve"> CALAVERAS         </v>
          </cell>
          <cell r="E269">
            <v>590</v>
          </cell>
          <cell r="F269" t="str">
            <v xml:space="preserve"> 2015-2016</v>
          </cell>
          <cell r="G269" t="str">
            <v xml:space="preserve"> 11/15/2015</v>
          </cell>
          <cell r="H269">
            <v>1902625</v>
          </cell>
          <cell r="I269">
            <v>34099</v>
          </cell>
          <cell r="J269">
            <v>32089</v>
          </cell>
          <cell r="K269">
            <v>0</v>
          </cell>
          <cell r="L269">
            <v>0</v>
          </cell>
          <cell r="M269">
            <v>0</v>
          </cell>
          <cell r="N269">
            <v>0</v>
          </cell>
          <cell r="O269">
            <v>0</v>
          </cell>
          <cell r="P269">
            <v>0</v>
          </cell>
          <cell r="Q269">
            <v>2069</v>
          </cell>
          <cell r="R269">
            <v>108</v>
          </cell>
          <cell r="S269">
            <v>26175</v>
          </cell>
          <cell r="T269">
            <v>0</v>
          </cell>
          <cell r="U269">
            <v>0</v>
          </cell>
          <cell r="V269" t="str">
            <v xml:space="preserve"> </v>
          </cell>
          <cell r="W269">
            <v>1997165</v>
          </cell>
          <cell r="X269">
            <v>0</v>
          </cell>
          <cell r="Y269">
            <v>0</v>
          </cell>
          <cell r="Z269">
            <v>0</v>
          </cell>
          <cell r="AA269">
            <v>0</v>
          </cell>
          <cell r="AB269">
            <v>1999881</v>
          </cell>
          <cell r="AC269">
            <v>33000</v>
          </cell>
          <cell r="AD269">
            <v>32100</v>
          </cell>
          <cell r="AE269">
            <v>0</v>
          </cell>
          <cell r="AF269">
            <v>0</v>
          </cell>
          <cell r="AG269">
            <v>0</v>
          </cell>
          <cell r="AH269">
            <v>0</v>
          </cell>
          <cell r="AI269">
            <v>0</v>
          </cell>
          <cell r="AJ269">
            <v>0</v>
          </cell>
          <cell r="AK269">
            <v>1500</v>
          </cell>
          <cell r="AL269">
            <v>108</v>
          </cell>
          <cell r="AM269">
            <v>25700</v>
          </cell>
          <cell r="AN269">
            <v>0</v>
          </cell>
          <cell r="AO269">
            <v>0</v>
          </cell>
          <cell r="AP269">
            <v>2092289</v>
          </cell>
          <cell r="AQ269">
            <v>0</v>
          </cell>
          <cell r="AR269">
            <v>0</v>
          </cell>
          <cell r="AS269">
            <v>0</v>
          </cell>
          <cell r="AT269">
            <v>0</v>
          </cell>
          <cell r="AU269" t="str">
            <v xml:space="preserve"> </v>
          </cell>
          <cell r="AV269" t="str">
            <v xml:space="preserve"> </v>
          </cell>
          <cell r="AW269" t="str">
            <v xml:space="preserve"> </v>
          </cell>
        </row>
        <row r="270">
          <cell r="C270" t="str">
            <v xml:space="preserve"> YOSEMITE          </v>
          </cell>
          <cell r="D270" t="str">
            <v xml:space="preserve"> MERCED            </v>
          </cell>
          <cell r="E270">
            <v>590</v>
          </cell>
          <cell r="F270" t="str">
            <v xml:space="preserve"> 2015-2016</v>
          </cell>
          <cell r="G270" t="str">
            <v xml:space="preserve"> 11/15/2015</v>
          </cell>
          <cell r="H270">
            <v>1509558</v>
          </cell>
          <cell r="I270">
            <v>33833</v>
          </cell>
          <cell r="J270">
            <v>117257</v>
          </cell>
          <cell r="K270">
            <v>0</v>
          </cell>
          <cell r="L270">
            <v>0</v>
          </cell>
          <cell r="M270">
            <v>0</v>
          </cell>
          <cell r="N270">
            <v>0</v>
          </cell>
          <cell r="O270">
            <v>0</v>
          </cell>
          <cell r="P270">
            <v>0</v>
          </cell>
          <cell r="Q270">
            <v>4238</v>
          </cell>
          <cell r="R270">
            <v>2</v>
          </cell>
          <cell r="S270">
            <v>18210</v>
          </cell>
          <cell r="T270">
            <v>1868</v>
          </cell>
          <cell r="U270">
            <v>-121997</v>
          </cell>
          <cell r="V270" t="str">
            <v xml:space="preserve"> </v>
          </cell>
          <cell r="W270">
            <v>1562969</v>
          </cell>
          <cell r="X270">
            <v>0</v>
          </cell>
          <cell r="Y270">
            <v>0</v>
          </cell>
          <cell r="Z270">
            <v>0</v>
          </cell>
          <cell r="AA270">
            <v>0</v>
          </cell>
          <cell r="AB270">
            <v>1585036</v>
          </cell>
          <cell r="AC270">
            <v>35525</v>
          </cell>
          <cell r="AD270">
            <v>123120</v>
          </cell>
          <cell r="AE270">
            <v>0</v>
          </cell>
          <cell r="AF270">
            <v>0</v>
          </cell>
          <cell r="AG270">
            <v>0</v>
          </cell>
          <cell r="AH270">
            <v>0</v>
          </cell>
          <cell r="AI270">
            <v>0</v>
          </cell>
          <cell r="AJ270">
            <v>0</v>
          </cell>
          <cell r="AK270">
            <v>4450</v>
          </cell>
          <cell r="AL270">
            <v>2</v>
          </cell>
          <cell r="AM270">
            <v>19120</v>
          </cell>
          <cell r="AN270">
            <v>1961</v>
          </cell>
          <cell r="AO270">
            <v>-128097</v>
          </cell>
          <cell r="AP270">
            <v>1641117</v>
          </cell>
          <cell r="AQ270">
            <v>0</v>
          </cell>
          <cell r="AR270">
            <v>0</v>
          </cell>
          <cell r="AS270">
            <v>0</v>
          </cell>
          <cell r="AT270">
            <v>0</v>
          </cell>
          <cell r="AU270" t="str">
            <v xml:space="preserve"> </v>
          </cell>
          <cell r="AV270" t="str">
            <v xml:space="preserve"> </v>
          </cell>
          <cell r="AW270" t="str">
            <v xml:space="preserve"> </v>
          </cell>
        </row>
        <row r="271">
          <cell r="C271" t="str">
            <v xml:space="preserve"> YOSEMITE          </v>
          </cell>
          <cell r="D271" t="str">
            <v xml:space="preserve"> SAN JOAQUIN       </v>
          </cell>
          <cell r="E271">
            <v>590</v>
          </cell>
          <cell r="F271" t="str">
            <v xml:space="preserve"> 2015-2016</v>
          </cell>
          <cell r="G271" t="str">
            <v xml:space="preserve"> 11/15/2015</v>
          </cell>
          <cell r="H271">
            <v>975012</v>
          </cell>
          <cell r="I271">
            <v>10627</v>
          </cell>
          <cell r="J271">
            <v>59834</v>
          </cell>
          <cell r="K271">
            <v>42103</v>
          </cell>
          <cell r="L271">
            <v>19999</v>
          </cell>
          <cell r="M271">
            <v>0</v>
          </cell>
          <cell r="N271">
            <v>0</v>
          </cell>
          <cell r="O271">
            <v>248616</v>
          </cell>
          <cell r="P271">
            <v>0</v>
          </cell>
          <cell r="Q271">
            <v>1031</v>
          </cell>
          <cell r="R271">
            <v>0</v>
          </cell>
          <cell r="S271">
            <v>11116</v>
          </cell>
          <cell r="T271">
            <v>0</v>
          </cell>
          <cell r="U271">
            <v>0</v>
          </cell>
          <cell r="V271" t="str">
            <v xml:space="preserve"> </v>
          </cell>
          <cell r="W271">
            <v>1326235</v>
          </cell>
          <cell r="X271">
            <v>0</v>
          </cell>
          <cell r="Y271">
            <v>0</v>
          </cell>
          <cell r="Z271">
            <v>0</v>
          </cell>
          <cell r="AA271">
            <v>0</v>
          </cell>
          <cell r="AB271">
            <v>1054129</v>
          </cell>
          <cell r="AC271">
            <v>10946</v>
          </cell>
          <cell r="AD271">
            <v>60844</v>
          </cell>
          <cell r="AE271">
            <v>48687</v>
          </cell>
          <cell r="AF271">
            <v>23126</v>
          </cell>
          <cell r="AG271">
            <v>0</v>
          </cell>
          <cell r="AH271">
            <v>0</v>
          </cell>
          <cell r="AI271">
            <v>51762</v>
          </cell>
          <cell r="AJ271">
            <v>0</v>
          </cell>
          <cell r="AK271">
            <v>1031</v>
          </cell>
          <cell r="AL271">
            <v>0</v>
          </cell>
          <cell r="AM271">
            <v>11048</v>
          </cell>
          <cell r="AN271">
            <v>0</v>
          </cell>
          <cell r="AO271">
            <v>0</v>
          </cell>
          <cell r="AP271">
            <v>1212886</v>
          </cell>
          <cell r="AQ271">
            <v>0</v>
          </cell>
          <cell r="AR271">
            <v>0</v>
          </cell>
          <cell r="AS271">
            <v>0</v>
          </cell>
          <cell r="AT271">
            <v>0</v>
          </cell>
          <cell r="AU271" t="str">
            <v xml:space="preserve"> </v>
          </cell>
          <cell r="AV271" t="str">
            <v xml:space="preserve"> </v>
          </cell>
          <cell r="AW271" t="str">
            <v xml:space="preserve"> </v>
          </cell>
        </row>
        <row r="272">
          <cell r="C272" t="str">
            <v xml:space="preserve"> YOSEMITE          </v>
          </cell>
          <cell r="D272" t="str">
            <v xml:space="preserve"> SANTA CLARA       </v>
          </cell>
          <cell r="E272">
            <v>590</v>
          </cell>
          <cell r="F272" t="str">
            <v xml:space="preserve"> 2015-2016</v>
          </cell>
          <cell r="G272" t="str">
            <v xml:space="preserve"> 11/15/2015</v>
          </cell>
          <cell r="H272">
            <v>22696</v>
          </cell>
          <cell r="I272">
            <v>702</v>
          </cell>
          <cell r="J272">
            <v>1599</v>
          </cell>
          <cell r="K272">
            <v>0</v>
          </cell>
          <cell r="L272">
            <v>0</v>
          </cell>
          <cell r="M272">
            <v>0</v>
          </cell>
          <cell r="N272">
            <v>0</v>
          </cell>
          <cell r="O272">
            <v>0</v>
          </cell>
          <cell r="P272">
            <v>0</v>
          </cell>
          <cell r="Q272">
            <v>0</v>
          </cell>
          <cell r="R272">
            <v>0</v>
          </cell>
          <cell r="S272">
            <v>125</v>
          </cell>
          <cell r="T272">
            <v>0</v>
          </cell>
          <cell r="U272">
            <v>0</v>
          </cell>
          <cell r="V272" t="str">
            <v xml:space="preserve"> </v>
          </cell>
          <cell r="W272">
            <v>25122</v>
          </cell>
          <cell r="X272">
            <v>0</v>
          </cell>
          <cell r="Y272">
            <v>0</v>
          </cell>
          <cell r="Z272">
            <v>0</v>
          </cell>
          <cell r="AA272">
            <v>0</v>
          </cell>
          <cell r="AB272">
            <v>23540</v>
          </cell>
          <cell r="AC272">
            <v>400</v>
          </cell>
          <cell r="AD272">
            <v>1700</v>
          </cell>
          <cell r="AE272">
            <v>0</v>
          </cell>
          <cell r="AF272">
            <v>0</v>
          </cell>
          <cell r="AG272">
            <v>0</v>
          </cell>
          <cell r="AH272">
            <v>0</v>
          </cell>
          <cell r="AI272">
            <v>0</v>
          </cell>
          <cell r="AJ272">
            <v>0</v>
          </cell>
          <cell r="AK272">
            <v>0</v>
          </cell>
          <cell r="AL272">
            <v>0</v>
          </cell>
          <cell r="AM272">
            <v>118</v>
          </cell>
          <cell r="AN272">
            <v>0</v>
          </cell>
          <cell r="AO272">
            <v>0</v>
          </cell>
          <cell r="AP272">
            <v>25758</v>
          </cell>
          <cell r="AQ272">
            <v>0</v>
          </cell>
          <cell r="AR272">
            <v>0</v>
          </cell>
          <cell r="AS272">
            <v>0</v>
          </cell>
          <cell r="AT272">
            <v>0</v>
          </cell>
          <cell r="AU272" t="str">
            <v xml:space="preserve"> </v>
          </cell>
          <cell r="AV272" t="str">
            <v xml:space="preserve"> </v>
          </cell>
          <cell r="AW272" t="str">
            <v xml:space="preserve"> </v>
          </cell>
        </row>
        <row r="273">
          <cell r="C273" t="str">
            <v xml:space="preserve"> YOSEMITE          </v>
          </cell>
          <cell r="D273" t="str">
            <v xml:space="preserve"> STANISLAUS        </v>
          </cell>
          <cell r="E273">
            <v>590</v>
          </cell>
          <cell r="F273" t="str">
            <v xml:space="preserve"> 2015-2016</v>
          </cell>
          <cell r="G273" t="str">
            <v xml:space="preserve"> 11/15/2015</v>
          </cell>
          <cell r="H273">
            <v>26775456</v>
          </cell>
          <cell r="I273">
            <v>415695</v>
          </cell>
          <cell r="J273">
            <v>1446012</v>
          </cell>
          <cell r="K273">
            <v>176292</v>
          </cell>
          <cell r="L273">
            <v>83739</v>
          </cell>
          <cell r="M273">
            <v>0</v>
          </cell>
          <cell r="N273">
            <v>0</v>
          </cell>
          <cell r="O273">
            <v>486944</v>
          </cell>
          <cell r="P273">
            <v>0</v>
          </cell>
          <cell r="Q273">
            <v>38763</v>
          </cell>
          <cell r="R273">
            <v>0</v>
          </cell>
          <cell r="S273">
            <v>389032</v>
          </cell>
          <cell r="T273">
            <v>24298</v>
          </cell>
          <cell r="U273">
            <v>-5719213</v>
          </cell>
          <cell r="V273" t="str">
            <v xml:space="preserve"> </v>
          </cell>
          <cell r="W273">
            <v>23940726</v>
          </cell>
          <cell r="X273">
            <v>0</v>
          </cell>
          <cell r="Y273">
            <v>0</v>
          </cell>
          <cell r="Z273">
            <v>0</v>
          </cell>
          <cell r="AA273">
            <v>0</v>
          </cell>
          <cell r="AB273">
            <v>28114229</v>
          </cell>
          <cell r="AC273">
            <v>436480</v>
          </cell>
          <cell r="AD273">
            <v>1518313</v>
          </cell>
          <cell r="AE273">
            <v>185107</v>
          </cell>
          <cell r="AF273">
            <v>87926</v>
          </cell>
          <cell r="AG273">
            <v>0</v>
          </cell>
          <cell r="AH273">
            <v>0</v>
          </cell>
          <cell r="AI273">
            <v>0</v>
          </cell>
          <cell r="AJ273">
            <v>0</v>
          </cell>
          <cell r="AK273">
            <v>46851</v>
          </cell>
          <cell r="AL273">
            <v>0</v>
          </cell>
          <cell r="AM273">
            <v>408484</v>
          </cell>
          <cell r="AN273">
            <v>12149</v>
          </cell>
          <cell r="AO273">
            <v>-3759961</v>
          </cell>
          <cell r="AP273">
            <v>26864471</v>
          </cell>
          <cell r="AQ273">
            <v>0</v>
          </cell>
          <cell r="AR273">
            <v>0</v>
          </cell>
          <cell r="AS273">
            <v>0</v>
          </cell>
          <cell r="AT273">
            <v>0</v>
          </cell>
          <cell r="AU273" t="str">
            <v xml:space="preserve"> </v>
          </cell>
          <cell r="AV273" t="str">
            <v xml:space="preserve"> </v>
          </cell>
          <cell r="AW273" t="str">
            <v xml:space="preserve"> </v>
          </cell>
        </row>
        <row r="274">
          <cell r="C274" t="str">
            <v xml:space="preserve"> YOSEMITE          </v>
          </cell>
          <cell r="D274" t="str">
            <v xml:space="preserve"> TUOLUMNE          </v>
          </cell>
          <cell r="E274">
            <v>590</v>
          </cell>
          <cell r="F274" t="str">
            <v xml:space="preserve"> 2015-2016</v>
          </cell>
          <cell r="G274" t="str">
            <v xml:space="preserve"> 11/15/2015</v>
          </cell>
          <cell r="H274">
            <v>4216403</v>
          </cell>
          <cell r="I274">
            <v>47759</v>
          </cell>
          <cell r="J274">
            <v>120570</v>
          </cell>
          <cell r="K274">
            <v>0</v>
          </cell>
          <cell r="L274">
            <v>0</v>
          </cell>
          <cell r="M274">
            <v>0</v>
          </cell>
          <cell r="N274">
            <v>0</v>
          </cell>
          <cell r="O274">
            <v>0</v>
          </cell>
          <cell r="P274">
            <v>0</v>
          </cell>
          <cell r="Q274">
            <v>2458</v>
          </cell>
          <cell r="R274">
            <v>26962</v>
          </cell>
          <cell r="S274">
            <v>61860</v>
          </cell>
          <cell r="T274">
            <v>0</v>
          </cell>
          <cell r="U274">
            <v>52732</v>
          </cell>
          <cell r="V274" t="str">
            <v xml:space="preserve"> </v>
          </cell>
          <cell r="W274">
            <v>4528744</v>
          </cell>
          <cell r="X274">
            <v>0</v>
          </cell>
          <cell r="Y274">
            <v>0</v>
          </cell>
          <cell r="Z274">
            <v>0</v>
          </cell>
          <cell r="AA274">
            <v>0</v>
          </cell>
          <cell r="AB274">
            <v>4442528</v>
          </cell>
          <cell r="AC274">
            <v>17444</v>
          </cell>
          <cell r="AD274">
            <v>121208</v>
          </cell>
          <cell r="AE274">
            <v>0</v>
          </cell>
          <cell r="AF274">
            <v>0</v>
          </cell>
          <cell r="AG274">
            <v>0</v>
          </cell>
          <cell r="AH274">
            <v>0</v>
          </cell>
          <cell r="AI274">
            <v>0</v>
          </cell>
          <cell r="AJ274">
            <v>0</v>
          </cell>
          <cell r="AK274">
            <v>1967</v>
          </cell>
          <cell r="AL274">
            <v>21569</v>
          </cell>
          <cell r="AM274">
            <v>61144</v>
          </cell>
          <cell r="AN274">
            <v>0</v>
          </cell>
          <cell r="AO274">
            <v>163476</v>
          </cell>
          <cell r="AP274">
            <v>4829336</v>
          </cell>
          <cell r="AQ274">
            <v>0</v>
          </cell>
          <cell r="AR274">
            <v>0</v>
          </cell>
          <cell r="AS274">
            <v>0</v>
          </cell>
          <cell r="AT274">
            <v>0</v>
          </cell>
          <cell r="AU274" t="str">
            <v xml:space="preserve"> </v>
          </cell>
          <cell r="AV274" t="str">
            <v xml:space="preserve"> </v>
          </cell>
          <cell r="AW274" t="str">
            <v xml:space="preserve"> </v>
          </cell>
        </row>
        <row r="275">
          <cell r="C275" t="str">
            <v xml:space="preserve">YOSEMITE Subtotal          </v>
          </cell>
          <cell r="H275">
            <v>35401750</v>
          </cell>
          <cell r="I275">
            <v>542715</v>
          </cell>
          <cell r="J275">
            <v>1777361</v>
          </cell>
          <cell r="K275">
            <v>218395</v>
          </cell>
          <cell r="L275">
            <v>103738</v>
          </cell>
          <cell r="M275">
            <v>0</v>
          </cell>
          <cell r="N275">
            <v>0</v>
          </cell>
          <cell r="O275">
            <v>735560</v>
          </cell>
          <cell r="P275">
            <v>0</v>
          </cell>
          <cell r="Q275">
            <v>48559</v>
          </cell>
          <cell r="R275">
            <v>27072</v>
          </cell>
          <cell r="S275">
            <v>506518</v>
          </cell>
          <cell r="T275">
            <v>26166</v>
          </cell>
          <cell r="U275">
            <v>-5788478</v>
          </cell>
          <cell r="V275">
            <v>0</v>
          </cell>
          <cell r="W275">
            <v>33380961</v>
          </cell>
          <cell r="X275">
            <v>0</v>
          </cell>
          <cell r="Y275">
            <v>0</v>
          </cell>
          <cell r="Z275">
            <v>0</v>
          </cell>
          <cell r="AA275">
            <v>0</v>
          </cell>
          <cell r="AB275">
            <v>37219343</v>
          </cell>
          <cell r="AC275">
            <v>533795</v>
          </cell>
          <cell r="AD275">
            <v>1857285</v>
          </cell>
          <cell r="AE275">
            <v>233794</v>
          </cell>
          <cell r="AF275">
            <v>111052</v>
          </cell>
          <cell r="AG275">
            <v>0</v>
          </cell>
          <cell r="AH275">
            <v>0</v>
          </cell>
          <cell r="AI275">
            <v>51762</v>
          </cell>
          <cell r="AJ275">
            <v>0</v>
          </cell>
          <cell r="AK275">
            <v>55799</v>
          </cell>
          <cell r="AL275">
            <v>21679</v>
          </cell>
          <cell r="AM275">
            <v>525614</v>
          </cell>
          <cell r="AN275">
            <v>14110</v>
          </cell>
          <cell r="AO275">
            <v>-3724582</v>
          </cell>
          <cell r="AP275">
            <v>36665857</v>
          </cell>
          <cell r="AQ275">
            <v>0</v>
          </cell>
          <cell r="AR275">
            <v>0</v>
          </cell>
          <cell r="AS275">
            <v>0</v>
          </cell>
          <cell r="AT275">
            <v>0</v>
          </cell>
          <cell r="AU275">
            <v>0</v>
          </cell>
          <cell r="AV275">
            <v>0</v>
          </cell>
          <cell r="AW275">
            <v>0</v>
          </cell>
        </row>
        <row r="277">
          <cell r="C277" t="str">
            <v xml:space="preserve"> YUBA              </v>
          </cell>
          <cell r="D277" t="str">
            <v xml:space="preserve"> BUTTE             </v>
          </cell>
          <cell r="E277">
            <v>290</v>
          </cell>
          <cell r="F277" t="str">
            <v xml:space="preserve"> 2015-2016</v>
          </cell>
          <cell r="G277" t="str">
            <v xml:space="preserve"> 11/15/2015</v>
          </cell>
          <cell r="H277">
            <v>51011</v>
          </cell>
          <cell r="I277">
            <v>365</v>
          </cell>
          <cell r="J277">
            <v>1925</v>
          </cell>
          <cell r="K277">
            <v>0</v>
          </cell>
          <cell r="L277">
            <v>0</v>
          </cell>
          <cell r="M277">
            <v>0</v>
          </cell>
          <cell r="N277">
            <v>0</v>
          </cell>
          <cell r="O277">
            <v>0</v>
          </cell>
          <cell r="P277">
            <v>0</v>
          </cell>
          <cell r="Q277">
            <v>67</v>
          </cell>
          <cell r="R277">
            <v>1078</v>
          </cell>
          <cell r="S277">
            <v>812</v>
          </cell>
          <cell r="T277">
            <v>1</v>
          </cell>
          <cell r="U277">
            <v>-9073</v>
          </cell>
          <cell r="V277" t="str">
            <v xml:space="preserve"> </v>
          </cell>
          <cell r="W277">
            <v>46186</v>
          </cell>
          <cell r="X277">
            <v>0</v>
          </cell>
          <cell r="Y277">
            <v>0</v>
          </cell>
          <cell r="Z277">
            <v>0</v>
          </cell>
          <cell r="AA277">
            <v>0</v>
          </cell>
          <cell r="AB277">
            <v>39370</v>
          </cell>
          <cell r="AC277">
            <v>310</v>
          </cell>
          <cell r="AD277">
            <v>2000</v>
          </cell>
          <cell r="AE277">
            <v>0</v>
          </cell>
          <cell r="AF277">
            <v>0</v>
          </cell>
          <cell r="AG277">
            <v>0</v>
          </cell>
          <cell r="AH277">
            <v>0</v>
          </cell>
          <cell r="AI277">
            <v>0</v>
          </cell>
          <cell r="AJ277">
            <v>0</v>
          </cell>
          <cell r="AK277">
            <v>100</v>
          </cell>
          <cell r="AL277">
            <v>900</v>
          </cell>
          <cell r="AM277">
            <v>560</v>
          </cell>
          <cell r="AN277">
            <v>0</v>
          </cell>
          <cell r="AO277">
            <v>-3971</v>
          </cell>
          <cell r="AP277">
            <v>39269</v>
          </cell>
          <cell r="AQ277">
            <v>0</v>
          </cell>
          <cell r="AR277">
            <v>0</v>
          </cell>
          <cell r="AS277">
            <v>0</v>
          </cell>
          <cell r="AT277">
            <v>0</v>
          </cell>
          <cell r="AU277" t="str">
            <v xml:space="preserve"> </v>
          </cell>
          <cell r="AV277" t="str">
            <v xml:space="preserve"> </v>
          </cell>
          <cell r="AW277" t="str">
            <v xml:space="preserve"> </v>
          </cell>
        </row>
        <row r="278">
          <cell r="C278" t="str">
            <v xml:space="preserve"> YUBA              </v>
          </cell>
          <cell r="D278" t="str">
            <v xml:space="preserve"> COLUSA            </v>
          </cell>
          <cell r="E278">
            <v>290</v>
          </cell>
          <cell r="F278" t="str">
            <v xml:space="preserve"> 2015-2016</v>
          </cell>
          <cell r="G278" t="str">
            <v xml:space="preserve"> 11/15/2015</v>
          </cell>
          <cell r="H278">
            <v>4065088</v>
          </cell>
          <cell r="I278">
            <v>47820</v>
          </cell>
          <cell r="J278">
            <v>292915</v>
          </cell>
          <cell r="K278">
            <v>0</v>
          </cell>
          <cell r="L278">
            <v>0</v>
          </cell>
          <cell r="M278">
            <v>0</v>
          </cell>
          <cell r="N278">
            <v>0</v>
          </cell>
          <cell r="O278">
            <v>0</v>
          </cell>
          <cell r="P278">
            <v>0</v>
          </cell>
          <cell r="Q278">
            <v>-677</v>
          </cell>
          <cell r="R278">
            <v>34</v>
          </cell>
          <cell r="S278">
            <v>29045</v>
          </cell>
          <cell r="T278">
            <v>26855</v>
          </cell>
          <cell r="U278">
            <v>-262292</v>
          </cell>
          <cell r="V278" t="str">
            <v xml:space="preserve"> </v>
          </cell>
          <cell r="W278">
            <v>4198788</v>
          </cell>
          <cell r="X278">
            <v>0</v>
          </cell>
          <cell r="Y278">
            <v>0</v>
          </cell>
          <cell r="Z278">
            <v>0</v>
          </cell>
          <cell r="AA278">
            <v>0</v>
          </cell>
          <cell r="AB278">
            <v>4188000</v>
          </cell>
          <cell r="AC278">
            <v>23500</v>
          </cell>
          <cell r="AD278">
            <v>285000</v>
          </cell>
          <cell r="AE278">
            <v>0</v>
          </cell>
          <cell r="AF278">
            <v>0</v>
          </cell>
          <cell r="AG278">
            <v>0</v>
          </cell>
          <cell r="AH278">
            <v>0</v>
          </cell>
          <cell r="AI278">
            <v>0</v>
          </cell>
          <cell r="AJ278">
            <v>0</v>
          </cell>
          <cell r="AK278">
            <v>0</v>
          </cell>
          <cell r="AL278">
            <v>0</v>
          </cell>
          <cell r="AM278">
            <v>29280</v>
          </cell>
          <cell r="AN278">
            <v>12000</v>
          </cell>
          <cell r="AO278">
            <v>-120300</v>
          </cell>
          <cell r="AP278">
            <v>4417480</v>
          </cell>
          <cell r="AQ278">
            <v>0</v>
          </cell>
          <cell r="AR278">
            <v>0</v>
          </cell>
          <cell r="AS278">
            <v>0</v>
          </cell>
          <cell r="AT278">
            <v>0</v>
          </cell>
          <cell r="AU278" t="str">
            <v xml:space="preserve"> </v>
          </cell>
          <cell r="AV278" t="str">
            <v xml:space="preserve"> </v>
          </cell>
          <cell r="AW278" t="str">
            <v xml:space="preserve"> </v>
          </cell>
        </row>
        <row r="279">
          <cell r="C279" t="str">
            <v xml:space="preserve"> YUBA              </v>
          </cell>
          <cell r="D279" t="str">
            <v xml:space="preserve"> GLENN             </v>
          </cell>
          <cell r="E279">
            <v>290</v>
          </cell>
          <cell r="F279" t="str">
            <v xml:space="preserve"> 2015-2016</v>
          </cell>
          <cell r="G279" t="str">
            <v xml:space="preserve"> 11/15/2015</v>
          </cell>
          <cell r="H279">
            <v>65471</v>
          </cell>
          <cell r="I279">
            <v>1286</v>
          </cell>
          <cell r="J279">
            <v>3048</v>
          </cell>
          <cell r="K279">
            <v>0</v>
          </cell>
          <cell r="L279">
            <v>0</v>
          </cell>
          <cell r="M279">
            <v>0</v>
          </cell>
          <cell r="N279">
            <v>0</v>
          </cell>
          <cell r="O279">
            <v>0</v>
          </cell>
          <cell r="P279">
            <v>0</v>
          </cell>
          <cell r="Q279">
            <v>0</v>
          </cell>
          <cell r="R279">
            <v>0</v>
          </cell>
          <cell r="S279">
            <v>747</v>
          </cell>
          <cell r="T279">
            <v>0</v>
          </cell>
          <cell r="U279">
            <v>-6283</v>
          </cell>
          <cell r="V279" t="str">
            <v xml:space="preserve"> </v>
          </cell>
          <cell r="W279">
            <v>64269</v>
          </cell>
          <cell r="X279">
            <v>0</v>
          </cell>
          <cell r="Y279">
            <v>0</v>
          </cell>
          <cell r="Z279">
            <v>0</v>
          </cell>
          <cell r="AA279">
            <v>0</v>
          </cell>
          <cell r="AB279">
            <v>69585</v>
          </cell>
          <cell r="AC279">
            <v>0</v>
          </cell>
          <cell r="AD279">
            <v>3461</v>
          </cell>
          <cell r="AE279">
            <v>0</v>
          </cell>
          <cell r="AF279">
            <v>0</v>
          </cell>
          <cell r="AG279">
            <v>0</v>
          </cell>
          <cell r="AH279">
            <v>0</v>
          </cell>
          <cell r="AI279">
            <v>0</v>
          </cell>
          <cell r="AJ279">
            <v>0</v>
          </cell>
          <cell r="AK279">
            <v>0</v>
          </cell>
          <cell r="AL279">
            <v>0</v>
          </cell>
          <cell r="AM279">
            <v>739</v>
          </cell>
          <cell r="AN279">
            <v>0</v>
          </cell>
          <cell r="AO279">
            <v>-2142</v>
          </cell>
          <cell r="AP279">
            <v>71643</v>
          </cell>
          <cell r="AQ279">
            <v>0</v>
          </cell>
          <cell r="AR279">
            <v>0</v>
          </cell>
          <cell r="AS279">
            <v>0</v>
          </cell>
          <cell r="AT279">
            <v>0</v>
          </cell>
          <cell r="AU279" t="str">
            <v xml:space="preserve"> </v>
          </cell>
          <cell r="AV279" t="str">
            <v xml:space="preserve"> </v>
          </cell>
          <cell r="AW279" t="str">
            <v xml:space="preserve"> </v>
          </cell>
        </row>
        <row r="280">
          <cell r="C280" t="str">
            <v xml:space="preserve"> YUBA              </v>
          </cell>
          <cell r="D280" t="str">
            <v xml:space="preserve"> LAKE              </v>
          </cell>
          <cell r="E280">
            <v>290</v>
          </cell>
          <cell r="F280" t="str">
            <v xml:space="preserve"> 2015-2016</v>
          </cell>
          <cell r="G280" t="str">
            <v xml:space="preserve"> 11/15/2015</v>
          </cell>
          <cell r="H280">
            <v>2219802</v>
          </cell>
          <cell r="I280">
            <v>3660</v>
          </cell>
          <cell r="J280">
            <v>53849</v>
          </cell>
          <cell r="K280">
            <v>5354</v>
          </cell>
          <cell r="L280">
            <v>2543</v>
          </cell>
          <cell r="M280">
            <v>0</v>
          </cell>
          <cell r="N280">
            <v>0</v>
          </cell>
          <cell r="O280">
            <v>19825</v>
          </cell>
          <cell r="P280">
            <v>0</v>
          </cell>
          <cell r="Q280">
            <v>1642</v>
          </cell>
          <cell r="R280">
            <v>0</v>
          </cell>
          <cell r="S280">
            <v>31098</v>
          </cell>
          <cell r="T280">
            <v>1773</v>
          </cell>
          <cell r="U280">
            <v>0</v>
          </cell>
          <cell r="V280" t="str">
            <v xml:space="preserve"> </v>
          </cell>
          <cell r="W280">
            <v>2334192</v>
          </cell>
          <cell r="X280">
            <v>0</v>
          </cell>
          <cell r="Y280">
            <v>0</v>
          </cell>
          <cell r="Z280">
            <v>0</v>
          </cell>
          <cell r="AA280">
            <v>0</v>
          </cell>
          <cell r="AB280">
            <v>2305560</v>
          </cell>
          <cell r="AC280">
            <v>2745</v>
          </cell>
          <cell r="AD280">
            <v>54087</v>
          </cell>
          <cell r="AE280">
            <v>5643</v>
          </cell>
          <cell r="AF280">
            <v>2680</v>
          </cell>
          <cell r="AG280">
            <v>0</v>
          </cell>
          <cell r="AH280">
            <v>0</v>
          </cell>
          <cell r="AI280">
            <v>20260</v>
          </cell>
          <cell r="AJ280">
            <v>0</v>
          </cell>
          <cell r="AK280">
            <v>1642</v>
          </cell>
          <cell r="AL280">
            <v>0</v>
          </cell>
          <cell r="AM280">
            <v>30352</v>
          </cell>
          <cell r="AN280">
            <v>1773</v>
          </cell>
          <cell r="AO280">
            <v>0</v>
          </cell>
          <cell r="AP280">
            <v>2419099</v>
          </cell>
          <cell r="AQ280">
            <v>0</v>
          </cell>
          <cell r="AR280">
            <v>0</v>
          </cell>
          <cell r="AS280">
            <v>0</v>
          </cell>
          <cell r="AT280">
            <v>0</v>
          </cell>
          <cell r="AU280" t="str">
            <v xml:space="preserve"> </v>
          </cell>
          <cell r="AV280" t="str">
            <v xml:space="preserve"> </v>
          </cell>
          <cell r="AW280" t="str">
            <v xml:space="preserve"> </v>
          </cell>
        </row>
        <row r="281">
          <cell r="C281" t="str">
            <v xml:space="preserve"> YUBA              </v>
          </cell>
          <cell r="D281" t="str">
            <v xml:space="preserve"> PLACER            </v>
          </cell>
          <cell r="E281">
            <v>290</v>
          </cell>
          <cell r="F281" t="str">
            <v xml:space="preserve"> 2015-2016</v>
          </cell>
          <cell r="G281" t="str">
            <v xml:space="preserve"> 11/15/2015</v>
          </cell>
          <cell r="H281">
            <v>31180</v>
          </cell>
          <cell r="I281">
            <v>695</v>
          </cell>
          <cell r="J281">
            <v>744</v>
          </cell>
          <cell r="K281">
            <v>0</v>
          </cell>
          <cell r="L281">
            <v>0</v>
          </cell>
          <cell r="M281">
            <v>0</v>
          </cell>
          <cell r="N281">
            <v>0</v>
          </cell>
          <cell r="O281">
            <v>0</v>
          </cell>
          <cell r="P281">
            <v>0</v>
          </cell>
          <cell r="Q281">
            <v>15</v>
          </cell>
          <cell r="R281">
            <v>0</v>
          </cell>
          <cell r="S281">
            <v>288</v>
          </cell>
          <cell r="T281">
            <v>0</v>
          </cell>
          <cell r="U281">
            <v>0</v>
          </cell>
          <cell r="V281" t="str">
            <v xml:space="preserve"> </v>
          </cell>
          <cell r="W281">
            <v>32922</v>
          </cell>
          <cell r="X281">
            <v>-6</v>
          </cell>
          <cell r="Y281">
            <v>0</v>
          </cell>
          <cell r="Z281">
            <v>0</v>
          </cell>
          <cell r="AA281">
            <v>0</v>
          </cell>
          <cell r="AB281">
            <v>34467</v>
          </cell>
          <cell r="AC281">
            <v>729</v>
          </cell>
          <cell r="AD281">
            <v>786</v>
          </cell>
          <cell r="AE281">
            <v>0</v>
          </cell>
          <cell r="AF281">
            <v>0</v>
          </cell>
          <cell r="AG281">
            <v>0</v>
          </cell>
          <cell r="AH281">
            <v>0</v>
          </cell>
          <cell r="AI281">
            <v>0</v>
          </cell>
          <cell r="AJ281">
            <v>0</v>
          </cell>
          <cell r="AK281">
            <v>15</v>
          </cell>
          <cell r="AL281">
            <v>0</v>
          </cell>
          <cell r="AM281">
            <v>286</v>
          </cell>
          <cell r="AN281">
            <v>0</v>
          </cell>
          <cell r="AO281">
            <v>0</v>
          </cell>
          <cell r="AP281">
            <v>36283</v>
          </cell>
          <cell r="AQ281">
            <v>0</v>
          </cell>
          <cell r="AR281">
            <v>0</v>
          </cell>
          <cell r="AS281">
            <v>0</v>
          </cell>
          <cell r="AT281">
            <v>0</v>
          </cell>
          <cell r="AU281" t="str">
            <v xml:space="preserve"> </v>
          </cell>
          <cell r="AV281" t="str">
            <v xml:space="preserve"> </v>
          </cell>
          <cell r="AW281" t="str">
            <v xml:space="preserve"> </v>
          </cell>
        </row>
        <row r="282">
          <cell r="C282" t="str">
            <v xml:space="preserve"> YUBA              </v>
          </cell>
          <cell r="D282" t="str">
            <v xml:space="preserve"> SUTTER            </v>
          </cell>
          <cell r="E282">
            <v>290</v>
          </cell>
          <cell r="F282" t="str">
            <v xml:space="preserve"> 2015-2016</v>
          </cell>
          <cell r="G282" t="str">
            <v xml:space="preserve"> 11/15/2015</v>
          </cell>
          <cell r="H282">
            <v>6059875</v>
          </cell>
          <cell r="I282">
            <v>78465</v>
          </cell>
          <cell r="J282">
            <v>436136</v>
          </cell>
          <cell r="K282">
            <v>0</v>
          </cell>
          <cell r="L282">
            <v>0</v>
          </cell>
          <cell r="M282">
            <v>0</v>
          </cell>
          <cell r="N282">
            <v>0</v>
          </cell>
          <cell r="O282">
            <v>0</v>
          </cell>
          <cell r="P282">
            <v>0</v>
          </cell>
          <cell r="Q282">
            <v>11300</v>
          </cell>
          <cell r="R282">
            <v>0</v>
          </cell>
          <cell r="S282">
            <v>84700</v>
          </cell>
          <cell r="T282">
            <v>7130</v>
          </cell>
          <cell r="U282">
            <v>-724416</v>
          </cell>
          <cell r="V282" t="str">
            <v xml:space="preserve"> </v>
          </cell>
          <cell r="W282">
            <v>5953190</v>
          </cell>
          <cell r="X282">
            <v>0</v>
          </cell>
          <cell r="Y282">
            <v>0</v>
          </cell>
          <cell r="Z282">
            <v>0</v>
          </cell>
          <cell r="AA282">
            <v>0</v>
          </cell>
          <cell r="AB282">
            <v>6181000</v>
          </cell>
          <cell r="AC282">
            <v>75000</v>
          </cell>
          <cell r="AD282">
            <v>440000</v>
          </cell>
          <cell r="AE282">
            <v>0</v>
          </cell>
          <cell r="AF282">
            <v>0</v>
          </cell>
          <cell r="AG282">
            <v>0</v>
          </cell>
          <cell r="AH282">
            <v>0</v>
          </cell>
          <cell r="AI282">
            <v>0</v>
          </cell>
          <cell r="AJ282">
            <v>0</v>
          </cell>
          <cell r="AK282">
            <v>8500</v>
          </cell>
          <cell r="AL282">
            <v>0</v>
          </cell>
          <cell r="AM282">
            <v>83750</v>
          </cell>
          <cell r="AN282">
            <v>4500</v>
          </cell>
          <cell r="AO282">
            <v>-685000</v>
          </cell>
          <cell r="AP282">
            <v>6107750</v>
          </cell>
          <cell r="AQ282">
            <v>0</v>
          </cell>
          <cell r="AR282">
            <v>0</v>
          </cell>
          <cell r="AS282">
            <v>0</v>
          </cell>
          <cell r="AT282">
            <v>0</v>
          </cell>
          <cell r="AU282" t="str">
            <v xml:space="preserve"> </v>
          </cell>
          <cell r="AV282" t="str">
            <v xml:space="preserve"> </v>
          </cell>
          <cell r="AW282" t="str">
            <v xml:space="preserve"> </v>
          </cell>
        </row>
        <row r="283">
          <cell r="C283" t="str">
            <v xml:space="preserve"> YUBA              </v>
          </cell>
          <cell r="D283" t="str">
            <v xml:space="preserve"> YOLO              </v>
          </cell>
          <cell r="E283">
            <v>290</v>
          </cell>
          <cell r="F283" t="str">
            <v xml:space="preserve"> 2015-2016</v>
          </cell>
          <cell r="G283" t="str">
            <v xml:space="preserve"> 11/15/2015</v>
          </cell>
          <cell r="H283">
            <v>5118600</v>
          </cell>
          <cell r="I283">
            <v>88292</v>
          </cell>
          <cell r="J283">
            <v>289369</v>
          </cell>
          <cell r="K283">
            <v>0</v>
          </cell>
          <cell r="L283">
            <v>0</v>
          </cell>
          <cell r="M283">
            <v>0</v>
          </cell>
          <cell r="N283">
            <v>0</v>
          </cell>
          <cell r="O283">
            <v>0</v>
          </cell>
          <cell r="P283">
            <v>0</v>
          </cell>
          <cell r="Q283">
            <v>2263</v>
          </cell>
          <cell r="R283">
            <v>0</v>
          </cell>
          <cell r="S283">
            <v>49105</v>
          </cell>
          <cell r="T283">
            <v>16619</v>
          </cell>
          <cell r="U283">
            <v>0</v>
          </cell>
          <cell r="V283" t="str">
            <v xml:space="preserve"> </v>
          </cell>
          <cell r="W283">
            <v>5564248</v>
          </cell>
          <cell r="X283">
            <v>0</v>
          </cell>
          <cell r="Y283">
            <v>0</v>
          </cell>
          <cell r="Z283">
            <v>0</v>
          </cell>
          <cell r="AA283">
            <v>0</v>
          </cell>
          <cell r="AB283">
            <v>5572176</v>
          </cell>
          <cell r="AC283">
            <v>75000</v>
          </cell>
          <cell r="AD283">
            <v>325302</v>
          </cell>
          <cell r="AE283">
            <v>0</v>
          </cell>
          <cell r="AF283">
            <v>0</v>
          </cell>
          <cell r="AG283">
            <v>0</v>
          </cell>
          <cell r="AH283">
            <v>0</v>
          </cell>
          <cell r="AI283">
            <v>0</v>
          </cell>
          <cell r="AJ283">
            <v>0</v>
          </cell>
          <cell r="AK283">
            <v>2000</v>
          </cell>
          <cell r="AL283">
            <v>0</v>
          </cell>
          <cell r="AM283">
            <v>48805</v>
          </cell>
          <cell r="AN283">
            <v>16550</v>
          </cell>
          <cell r="AO283">
            <v>0</v>
          </cell>
          <cell r="AP283">
            <v>6039833</v>
          </cell>
          <cell r="AQ283">
            <v>0</v>
          </cell>
          <cell r="AR283">
            <v>0</v>
          </cell>
          <cell r="AS283">
            <v>0</v>
          </cell>
          <cell r="AT283">
            <v>0</v>
          </cell>
          <cell r="AU283" t="str">
            <v xml:space="preserve"> </v>
          </cell>
          <cell r="AV283" t="str">
            <v xml:space="preserve"> </v>
          </cell>
          <cell r="AW283" t="str">
            <v xml:space="preserve"> </v>
          </cell>
        </row>
        <row r="284">
          <cell r="C284" t="str">
            <v xml:space="preserve"> YUBA              </v>
          </cell>
          <cell r="D284" t="str">
            <v xml:space="preserve"> YUBA              </v>
          </cell>
          <cell r="E284">
            <v>290</v>
          </cell>
          <cell r="F284" t="str">
            <v xml:space="preserve"> 2015-2016</v>
          </cell>
          <cell r="G284" t="str">
            <v xml:space="preserve"> 11/15/2015</v>
          </cell>
          <cell r="H284">
            <v>3298638</v>
          </cell>
          <cell r="I284">
            <v>61043</v>
          </cell>
          <cell r="J284">
            <v>276512</v>
          </cell>
          <cell r="K284">
            <v>0</v>
          </cell>
          <cell r="L284">
            <v>0</v>
          </cell>
          <cell r="M284">
            <v>0</v>
          </cell>
          <cell r="N284">
            <v>0</v>
          </cell>
          <cell r="O284">
            <v>0</v>
          </cell>
          <cell r="P284">
            <v>0</v>
          </cell>
          <cell r="Q284">
            <v>0</v>
          </cell>
          <cell r="R284">
            <v>4801</v>
          </cell>
          <cell r="S284">
            <v>51911</v>
          </cell>
          <cell r="T284">
            <v>0</v>
          </cell>
          <cell r="U284">
            <v>340127</v>
          </cell>
          <cell r="V284" t="str">
            <v xml:space="preserve"> </v>
          </cell>
          <cell r="W284">
            <v>4033032</v>
          </cell>
          <cell r="X284">
            <v>0</v>
          </cell>
          <cell r="Y284">
            <v>0</v>
          </cell>
          <cell r="Z284">
            <v>0</v>
          </cell>
          <cell r="AA284">
            <v>0</v>
          </cell>
          <cell r="AB284">
            <v>3252072</v>
          </cell>
          <cell r="AC284">
            <v>0</v>
          </cell>
          <cell r="AD284">
            <v>172400</v>
          </cell>
          <cell r="AE284">
            <v>0</v>
          </cell>
          <cell r="AF284">
            <v>0</v>
          </cell>
          <cell r="AG284">
            <v>0</v>
          </cell>
          <cell r="AH284">
            <v>0</v>
          </cell>
          <cell r="AI284">
            <v>0</v>
          </cell>
          <cell r="AJ284">
            <v>0</v>
          </cell>
          <cell r="AK284">
            <v>0</v>
          </cell>
          <cell r="AL284">
            <v>4802</v>
          </cell>
          <cell r="AM284">
            <v>50700</v>
          </cell>
          <cell r="AN284">
            <v>0</v>
          </cell>
          <cell r="AO284">
            <v>3949641</v>
          </cell>
          <cell r="AP284">
            <v>7429615</v>
          </cell>
          <cell r="AQ284">
            <v>0</v>
          </cell>
          <cell r="AR284">
            <v>0</v>
          </cell>
          <cell r="AS284">
            <v>0</v>
          </cell>
          <cell r="AT284">
            <v>0</v>
          </cell>
          <cell r="AU284" t="str">
            <v xml:space="preserve"> </v>
          </cell>
          <cell r="AV284" t="str">
            <v xml:space="preserve"> </v>
          </cell>
          <cell r="AW284" t="str">
            <v xml:space="preserve"> </v>
          </cell>
        </row>
        <row r="285">
          <cell r="C285" t="str">
            <v xml:space="preserve">YUBA Subtotal            </v>
          </cell>
          <cell r="H285">
            <v>20909665</v>
          </cell>
          <cell r="I285">
            <v>281626</v>
          </cell>
          <cell r="J285">
            <v>1354498</v>
          </cell>
          <cell r="K285">
            <v>5354</v>
          </cell>
          <cell r="L285">
            <v>2543</v>
          </cell>
          <cell r="M285">
            <v>0</v>
          </cell>
          <cell r="N285">
            <v>0</v>
          </cell>
          <cell r="O285">
            <v>19825</v>
          </cell>
          <cell r="P285">
            <v>0</v>
          </cell>
          <cell r="Q285">
            <v>14610</v>
          </cell>
          <cell r="R285">
            <v>5913</v>
          </cell>
          <cell r="S285">
            <v>247706</v>
          </cell>
          <cell r="T285">
            <v>52378</v>
          </cell>
          <cell r="U285">
            <v>-661937</v>
          </cell>
          <cell r="V285">
            <v>0</v>
          </cell>
          <cell r="W285">
            <v>22226827</v>
          </cell>
          <cell r="X285">
            <v>-6</v>
          </cell>
          <cell r="Y285">
            <v>0</v>
          </cell>
          <cell r="Z285">
            <v>0</v>
          </cell>
          <cell r="AA285">
            <v>0</v>
          </cell>
          <cell r="AB285">
            <v>21642230</v>
          </cell>
          <cell r="AC285">
            <v>177284</v>
          </cell>
          <cell r="AD285">
            <v>1283036</v>
          </cell>
          <cell r="AE285">
            <v>5643</v>
          </cell>
          <cell r="AF285">
            <v>2680</v>
          </cell>
          <cell r="AG285">
            <v>0</v>
          </cell>
          <cell r="AH285">
            <v>0</v>
          </cell>
          <cell r="AI285">
            <v>20260</v>
          </cell>
          <cell r="AJ285">
            <v>0</v>
          </cell>
          <cell r="AK285">
            <v>12257</v>
          </cell>
          <cell r="AL285">
            <v>5702</v>
          </cell>
          <cell r="AM285">
            <v>244472</v>
          </cell>
          <cell r="AN285">
            <v>34823</v>
          </cell>
          <cell r="AO285">
            <v>3138228</v>
          </cell>
          <cell r="AP285">
            <v>26560972</v>
          </cell>
          <cell r="AQ285">
            <v>0</v>
          </cell>
          <cell r="AR285">
            <v>0</v>
          </cell>
          <cell r="AS285">
            <v>0</v>
          </cell>
          <cell r="AT285">
            <v>0</v>
          </cell>
          <cell r="AU285">
            <v>0</v>
          </cell>
          <cell r="AV285">
            <v>0</v>
          </cell>
          <cell r="AW285">
            <v>0</v>
          </cell>
        </row>
        <row r="287">
          <cell r="C287" t="str">
            <v>DISTRICT TOTAL</v>
          </cell>
          <cell r="H287">
            <v>2179584866</v>
          </cell>
          <cell r="I287">
            <v>55879359</v>
          </cell>
          <cell r="J287">
            <v>99783228</v>
          </cell>
          <cell r="K287">
            <v>28357605</v>
          </cell>
          <cell r="L287">
            <v>13469859</v>
          </cell>
          <cell r="M287">
            <v>0</v>
          </cell>
          <cell r="N287">
            <v>0</v>
          </cell>
          <cell r="O287">
            <v>111513691</v>
          </cell>
          <cell r="P287">
            <v>11664520</v>
          </cell>
          <cell r="Q287">
            <v>16055325</v>
          </cell>
          <cell r="R287">
            <v>737493</v>
          </cell>
          <cell r="S287">
            <v>18894057</v>
          </cell>
          <cell r="T287">
            <v>836101</v>
          </cell>
          <cell r="U287">
            <v>-26164897</v>
          </cell>
          <cell r="V287">
            <v>0</v>
          </cell>
          <cell r="W287">
            <v>2482253602</v>
          </cell>
          <cell r="X287">
            <v>7466898</v>
          </cell>
          <cell r="Y287">
            <v>4006</v>
          </cell>
          <cell r="Z287">
            <v>0</v>
          </cell>
          <cell r="AA287">
            <v>0</v>
          </cell>
          <cell r="AB287">
            <v>2305828502</v>
          </cell>
          <cell r="AC287">
            <v>52549840</v>
          </cell>
          <cell r="AD287">
            <v>100860654</v>
          </cell>
          <cell r="AE287">
            <v>22983894</v>
          </cell>
          <cell r="AF287">
            <v>10917348</v>
          </cell>
          <cell r="AG287">
            <v>0</v>
          </cell>
          <cell r="AH287">
            <v>0</v>
          </cell>
          <cell r="AI287">
            <v>47517076</v>
          </cell>
          <cell r="AJ287">
            <v>930095</v>
          </cell>
          <cell r="AK287">
            <v>16067717</v>
          </cell>
          <cell r="AL287">
            <v>655501</v>
          </cell>
          <cell r="AM287">
            <v>18703943</v>
          </cell>
          <cell r="AN287">
            <v>100879</v>
          </cell>
          <cell r="AO287">
            <v>69770406</v>
          </cell>
          <cell r="AP287">
            <v>2623901961</v>
          </cell>
          <cell r="AQ287">
            <v>0</v>
          </cell>
          <cell r="AR287">
            <v>0</v>
          </cell>
          <cell r="AS287">
            <v>0</v>
          </cell>
          <cell r="AT287">
            <v>0</v>
          </cell>
          <cell r="AU287">
            <v>0</v>
          </cell>
          <cell r="AV287">
            <v>0</v>
          </cell>
          <cell r="AW287">
            <v>0</v>
          </cell>
        </row>
      </sheetData>
      <sheetData sheetId="4">
        <row r="2">
          <cell r="D2" t="str">
            <v xml:space="preserve"> COUNTY</v>
          </cell>
          <cell r="E2" t="str">
            <v xml:space="preserve"> DISTCODE</v>
          </cell>
          <cell r="F2" t="str">
            <v xml:space="preserve"> FYear</v>
          </cell>
          <cell r="G2" t="str">
            <v xml:space="preserve"> Period</v>
          </cell>
          <cell r="H2" t="str">
            <v xml:space="preserve"> Sec_Roll_A</v>
          </cell>
          <cell r="I2" t="str">
            <v xml:space="preserve"> Sup_Roll_A</v>
          </cell>
          <cell r="J2" t="str">
            <v>Unsec_Roll_A</v>
          </cell>
          <cell r="K2" t="str">
            <v xml:space="preserve"> AB1290_A</v>
          </cell>
          <cell r="L2" t="str">
            <v xml:space="preserve"> ptax475_A</v>
          </cell>
          <cell r="M2" t="str">
            <v xml:space="preserve"> preAB1290_A</v>
          </cell>
          <cell r="N2" t="str">
            <v xml:space="preserve"> portionptax475_A</v>
          </cell>
          <cell r="O2" t="str">
            <v xml:space="preserve">  RDA_dev_1_A</v>
          </cell>
          <cell r="P2" t="str">
            <v xml:space="preserve"> RDA_dev_2_A</v>
          </cell>
          <cell r="Q2" t="str">
            <v xml:space="preserve"> Prior_Year_A</v>
          </cell>
          <cell r="R2" t="str">
            <v>Timber_Yield_A</v>
          </cell>
          <cell r="S2" t="str">
            <v xml:space="preserve"> Homeowner_PTR_A</v>
          </cell>
          <cell r="T2" t="str">
            <v xml:space="preserve"> Other_A</v>
          </cell>
          <cell r="U2" t="str">
            <v xml:space="preserve"> ERAF_A </v>
          </cell>
          <cell r="V2" t="str">
            <v xml:space="preserve"> Redevelop_A</v>
          </cell>
          <cell r="W2" t="str">
            <v xml:space="preserve"> TOT_PTR_A</v>
          </cell>
          <cell r="X2" t="str">
            <v xml:space="preserve"> Impd_Rev_A</v>
          </cell>
          <cell r="Y2" t="str">
            <v>FY1_A</v>
          </cell>
          <cell r="Z2" t="str">
            <v xml:space="preserve"> FY2_A</v>
          </cell>
          <cell r="AA2" t="str">
            <v xml:space="preserve"> FY3_A</v>
          </cell>
          <cell r="AB2" t="str">
            <v xml:space="preserve"> Sec_Roll_E</v>
          </cell>
          <cell r="AC2" t="str">
            <v xml:space="preserve"> Sup_Roll_E</v>
          </cell>
          <cell r="AD2" t="str">
            <v xml:space="preserve"> Unsec_Roll_E</v>
          </cell>
          <cell r="AE2" t="str">
            <v xml:space="preserve"> AB1290_E</v>
          </cell>
          <cell r="AF2" t="str">
            <v xml:space="preserve"> ptax475_E</v>
          </cell>
          <cell r="AG2" t="str">
            <v xml:space="preserve"> preAB1290_E</v>
          </cell>
          <cell r="AH2" t="str">
            <v>portionptax475_E</v>
          </cell>
          <cell r="AI2" t="str">
            <v xml:space="preserve"> RDA_dev_1_E</v>
          </cell>
          <cell r="AJ2" t="str">
            <v xml:space="preserve"> RDA_dev_2_E</v>
          </cell>
          <cell r="AK2" t="str">
            <v xml:space="preserve"> Prior_Year_E</v>
          </cell>
          <cell r="AL2" t="str">
            <v xml:space="preserve"> Timber_Yield_E</v>
          </cell>
          <cell r="AM2" t="str">
            <v xml:space="preserve"> Homeowner_PTR_E</v>
          </cell>
          <cell r="AN2" t="str">
            <v xml:space="preserve"> Other_E</v>
          </cell>
          <cell r="AO2" t="str">
            <v xml:space="preserve"> ERAF_E</v>
          </cell>
          <cell r="AP2" t="str">
            <v xml:space="preserve"> TOT_PTR_E</v>
          </cell>
        </row>
        <row r="3">
          <cell r="E3">
            <v>430</v>
          </cell>
          <cell r="F3" t="str">
            <v xml:space="preserve"> 2015-2016</v>
          </cell>
          <cell r="G3" t="str">
            <v xml:space="preserve"> 11/15/2015</v>
          </cell>
          <cell r="H3">
            <v>14460540</v>
          </cell>
          <cell r="I3">
            <v>424956</v>
          </cell>
          <cell r="J3">
            <v>835323</v>
          </cell>
          <cell r="K3">
            <v>127344</v>
          </cell>
          <cell r="L3">
            <v>60488</v>
          </cell>
          <cell r="M3">
            <v>0</v>
          </cell>
          <cell r="N3">
            <v>0</v>
          </cell>
          <cell r="O3">
            <v>474122</v>
          </cell>
          <cell r="P3">
            <v>123781</v>
          </cell>
          <cell r="Q3">
            <v>-357649</v>
          </cell>
          <cell r="R3">
            <v>0</v>
          </cell>
          <cell r="S3">
            <v>127404</v>
          </cell>
          <cell r="T3">
            <v>5314</v>
          </cell>
          <cell r="U3">
            <v>1566979</v>
          </cell>
          <cell r="V3" t="str">
            <v xml:space="preserve"> </v>
          </cell>
          <cell r="W3">
            <v>17721258</v>
          </cell>
          <cell r="X3">
            <v>0</v>
          </cell>
          <cell r="Y3">
            <v>0</v>
          </cell>
          <cell r="Z3">
            <v>0</v>
          </cell>
          <cell r="AA3">
            <v>0</v>
          </cell>
          <cell r="AB3">
            <v>16272583</v>
          </cell>
          <cell r="AC3">
            <v>461106</v>
          </cell>
          <cell r="AD3">
            <v>1055359</v>
          </cell>
          <cell r="AE3">
            <v>72876</v>
          </cell>
          <cell r="AF3">
            <v>34616</v>
          </cell>
          <cell r="AG3">
            <v>0</v>
          </cell>
          <cell r="AH3">
            <v>0</v>
          </cell>
          <cell r="AI3">
            <v>1403</v>
          </cell>
          <cell r="AJ3">
            <v>0</v>
          </cell>
          <cell r="AK3">
            <v>-357649</v>
          </cell>
          <cell r="AL3">
            <v>0</v>
          </cell>
          <cell r="AM3">
            <v>126175</v>
          </cell>
          <cell r="AN3">
            <v>5314</v>
          </cell>
          <cell r="AO3">
            <v>2626736</v>
          </cell>
          <cell r="AP3">
            <v>20225643</v>
          </cell>
        </row>
        <row r="4">
          <cell r="E4">
            <v>340</v>
          </cell>
          <cell r="F4" t="str">
            <v xml:space="preserve"> 2015-2016</v>
          </cell>
          <cell r="G4" t="str">
            <v xml:space="preserve"> 11/15/2015</v>
          </cell>
          <cell r="H4">
            <v>15513026</v>
          </cell>
          <cell r="I4">
            <v>424618</v>
          </cell>
          <cell r="J4">
            <v>1103118</v>
          </cell>
          <cell r="K4">
            <v>1301492</v>
          </cell>
          <cell r="L4">
            <v>618209</v>
          </cell>
          <cell r="M4">
            <v>0</v>
          </cell>
          <cell r="N4">
            <v>0</v>
          </cell>
          <cell r="O4">
            <v>1973063</v>
          </cell>
          <cell r="P4">
            <v>19535</v>
          </cell>
          <cell r="Q4">
            <v>-477813</v>
          </cell>
          <cell r="R4">
            <v>0</v>
          </cell>
          <cell r="S4">
            <v>168246</v>
          </cell>
          <cell r="T4">
            <v>0</v>
          </cell>
          <cell r="U4">
            <v>14197660</v>
          </cell>
          <cell r="V4" t="str">
            <v xml:space="preserve"> </v>
          </cell>
          <cell r="W4">
            <v>33539662</v>
          </cell>
          <cell r="X4">
            <v>0</v>
          </cell>
          <cell r="Y4">
            <v>0</v>
          </cell>
          <cell r="Z4">
            <v>0</v>
          </cell>
          <cell r="AA4">
            <v>0</v>
          </cell>
          <cell r="AB4">
            <v>16564210</v>
          </cell>
          <cell r="AC4">
            <v>336905</v>
          </cell>
          <cell r="AD4">
            <v>1408719</v>
          </cell>
          <cell r="AE4">
            <v>1262592</v>
          </cell>
          <cell r="AF4">
            <v>599731</v>
          </cell>
          <cell r="AG4">
            <v>0</v>
          </cell>
          <cell r="AH4">
            <v>0</v>
          </cell>
          <cell r="AI4">
            <v>1964144</v>
          </cell>
          <cell r="AJ4">
            <v>0</v>
          </cell>
          <cell r="AK4">
            <v>-477813</v>
          </cell>
          <cell r="AL4">
            <v>0</v>
          </cell>
          <cell r="AM4">
            <v>168422</v>
          </cell>
          <cell r="AN4">
            <v>0</v>
          </cell>
          <cell r="AO4">
            <v>23799617</v>
          </cell>
          <cell r="AP4">
            <v>44363935</v>
          </cell>
        </row>
        <row r="5">
          <cell r="E5">
            <v>480</v>
          </cell>
          <cell r="F5" t="str">
            <v xml:space="preserve"> 2015-2016</v>
          </cell>
          <cell r="G5" t="str">
            <v xml:space="preserve"> 11/15/2015</v>
          </cell>
          <cell r="H5">
            <v>23326587</v>
          </cell>
          <cell r="I5">
            <v>655572</v>
          </cell>
          <cell r="J5">
            <v>1405679</v>
          </cell>
          <cell r="K5">
            <v>682709</v>
          </cell>
          <cell r="L5">
            <v>324287</v>
          </cell>
          <cell r="M5">
            <v>0</v>
          </cell>
          <cell r="N5">
            <v>0</v>
          </cell>
          <cell r="O5">
            <v>1005411</v>
          </cell>
          <cell r="P5">
            <v>0</v>
          </cell>
          <cell r="Q5">
            <v>-602799</v>
          </cell>
          <cell r="R5">
            <v>0</v>
          </cell>
          <cell r="S5">
            <v>215296</v>
          </cell>
          <cell r="T5">
            <v>842</v>
          </cell>
          <cell r="U5">
            <v>3848416</v>
          </cell>
          <cell r="V5" t="str">
            <v xml:space="preserve"> </v>
          </cell>
          <cell r="W5">
            <v>30179291</v>
          </cell>
          <cell r="X5">
            <v>0</v>
          </cell>
          <cell r="Y5">
            <v>0</v>
          </cell>
          <cell r="Z5">
            <v>0</v>
          </cell>
          <cell r="AA5">
            <v>0</v>
          </cell>
          <cell r="AB5">
            <v>24579083</v>
          </cell>
          <cell r="AC5">
            <v>625418</v>
          </cell>
          <cell r="AD5">
            <v>1761412</v>
          </cell>
          <cell r="AE5">
            <v>682709</v>
          </cell>
          <cell r="AF5">
            <v>324287</v>
          </cell>
          <cell r="AG5">
            <v>0</v>
          </cell>
          <cell r="AH5">
            <v>0</v>
          </cell>
          <cell r="AI5">
            <v>1005411</v>
          </cell>
          <cell r="AJ5">
            <v>84347</v>
          </cell>
          <cell r="AK5">
            <v>-602799</v>
          </cell>
          <cell r="AL5">
            <v>0</v>
          </cell>
          <cell r="AM5">
            <v>210588</v>
          </cell>
          <cell r="AN5">
            <v>842</v>
          </cell>
          <cell r="AO5">
            <v>6451121</v>
          </cell>
          <cell r="AP5">
            <v>34439710</v>
          </cell>
        </row>
        <row r="6">
          <cell r="E6">
            <v>550</v>
          </cell>
          <cell r="F6" t="str">
            <v xml:space="preserve"> 2015-2016</v>
          </cell>
          <cell r="G6" t="str">
            <v xml:space="preserve"> 11/15/2015</v>
          </cell>
          <cell r="H6">
            <v>126295</v>
          </cell>
          <cell r="I6">
            <v>2690</v>
          </cell>
          <cell r="J6">
            <v>7373</v>
          </cell>
          <cell r="K6">
            <v>0</v>
          </cell>
          <cell r="L6">
            <v>0</v>
          </cell>
          <cell r="M6">
            <v>0</v>
          </cell>
          <cell r="N6">
            <v>0</v>
          </cell>
          <cell r="O6">
            <v>0</v>
          </cell>
          <cell r="P6">
            <v>0</v>
          </cell>
          <cell r="Q6">
            <v>-1760</v>
          </cell>
          <cell r="R6">
            <v>0</v>
          </cell>
          <cell r="S6">
            <v>576</v>
          </cell>
          <cell r="T6">
            <v>0</v>
          </cell>
          <cell r="U6">
            <v>0</v>
          </cell>
          <cell r="V6" t="str">
            <v xml:space="preserve"> </v>
          </cell>
          <cell r="W6">
            <v>135174</v>
          </cell>
          <cell r="X6">
            <v>0</v>
          </cell>
          <cell r="Y6">
            <v>0</v>
          </cell>
          <cell r="Z6">
            <v>0</v>
          </cell>
          <cell r="AA6">
            <v>0</v>
          </cell>
          <cell r="AB6">
            <v>76113</v>
          </cell>
          <cell r="AC6">
            <v>1846</v>
          </cell>
          <cell r="AD6">
            <v>4060</v>
          </cell>
          <cell r="AE6">
            <v>0</v>
          </cell>
          <cell r="AF6">
            <v>0</v>
          </cell>
          <cell r="AG6">
            <v>0</v>
          </cell>
          <cell r="AH6">
            <v>0</v>
          </cell>
          <cell r="AI6">
            <v>0</v>
          </cell>
          <cell r="AJ6">
            <v>0</v>
          </cell>
          <cell r="AK6">
            <v>-1760</v>
          </cell>
          <cell r="AL6">
            <v>0</v>
          </cell>
          <cell r="AM6">
            <v>485</v>
          </cell>
          <cell r="AN6">
            <v>0</v>
          </cell>
          <cell r="AO6">
            <v>0</v>
          </cell>
          <cell r="AP6">
            <v>80744</v>
          </cell>
        </row>
        <row r="7">
          <cell r="D7" t="str">
            <v xml:space="preserve"> ALAMEDA           </v>
          </cell>
          <cell r="AO7">
            <v>32877474</v>
          </cell>
          <cell r="AP7">
            <v>99110032</v>
          </cell>
        </row>
        <row r="9">
          <cell r="E9">
            <v>110</v>
          </cell>
          <cell r="F9" t="str">
            <v xml:space="preserve"> 2015-2016</v>
          </cell>
          <cell r="G9" t="str">
            <v xml:space="preserve"> 11/15/2015</v>
          </cell>
          <cell r="H9">
            <v>10974065</v>
          </cell>
          <cell r="I9">
            <v>130153</v>
          </cell>
          <cell r="J9">
            <v>701090</v>
          </cell>
          <cell r="K9">
            <v>64361</v>
          </cell>
          <cell r="L9">
            <v>30571</v>
          </cell>
          <cell r="M9">
            <v>0</v>
          </cell>
          <cell r="N9">
            <v>0</v>
          </cell>
          <cell r="O9">
            <v>1261701</v>
          </cell>
          <cell r="P9">
            <v>0</v>
          </cell>
          <cell r="Q9">
            <v>17249</v>
          </cell>
          <cell r="R9">
            <v>27330</v>
          </cell>
          <cell r="S9">
            <v>217443</v>
          </cell>
          <cell r="T9">
            <v>6307</v>
          </cell>
          <cell r="U9">
            <v>-3280345</v>
          </cell>
          <cell r="V9" t="str">
            <v xml:space="preserve"> </v>
          </cell>
          <cell r="W9">
            <v>10085564</v>
          </cell>
          <cell r="X9">
            <v>0</v>
          </cell>
          <cell r="Y9">
            <v>0</v>
          </cell>
          <cell r="Z9">
            <v>0</v>
          </cell>
          <cell r="AA9">
            <v>0</v>
          </cell>
          <cell r="AB9">
            <v>12533000</v>
          </cell>
          <cell r="AC9">
            <v>111000</v>
          </cell>
          <cell r="AD9">
            <v>757400</v>
          </cell>
          <cell r="AE9">
            <v>54707</v>
          </cell>
          <cell r="AF9">
            <v>25986</v>
          </cell>
          <cell r="AG9">
            <v>0</v>
          </cell>
          <cell r="AH9">
            <v>0</v>
          </cell>
          <cell r="AI9">
            <v>0</v>
          </cell>
          <cell r="AJ9">
            <v>0</v>
          </cell>
          <cell r="AK9">
            <v>15000</v>
          </cell>
          <cell r="AL9">
            <v>23200</v>
          </cell>
          <cell r="AM9">
            <v>213000</v>
          </cell>
          <cell r="AN9">
            <v>5400</v>
          </cell>
          <cell r="AO9">
            <v>-1505999</v>
          </cell>
          <cell r="AP9">
            <v>12177987</v>
          </cell>
        </row>
        <row r="10">
          <cell r="E10">
            <v>290</v>
          </cell>
          <cell r="F10" t="str">
            <v xml:space="preserve"> 2015-2016</v>
          </cell>
          <cell r="G10" t="str">
            <v xml:space="preserve"> 11/15/2015</v>
          </cell>
          <cell r="H10">
            <v>51011</v>
          </cell>
          <cell r="I10">
            <v>365</v>
          </cell>
          <cell r="J10">
            <v>1925</v>
          </cell>
          <cell r="K10">
            <v>0</v>
          </cell>
          <cell r="L10">
            <v>0</v>
          </cell>
          <cell r="M10">
            <v>0</v>
          </cell>
          <cell r="N10">
            <v>0</v>
          </cell>
          <cell r="O10">
            <v>0</v>
          </cell>
          <cell r="P10">
            <v>0</v>
          </cell>
          <cell r="Q10">
            <v>67</v>
          </cell>
          <cell r="R10">
            <v>1078</v>
          </cell>
          <cell r="S10">
            <v>812</v>
          </cell>
          <cell r="T10">
            <v>1</v>
          </cell>
          <cell r="U10">
            <v>-9073</v>
          </cell>
          <cell r="V10" t="str">
            <v xml:space="preserve"> </v>
          </cell>
          <cell r="W10">
            <v>46186</v>
          </cell>
          <cell r="X10">
            <v>0</v>
          </cell>
          <cell r="Y10">
            <v>0</v>
          </cell>
          <cell r="Z10">
            <v>0</v>
          </cell>
          <cell r="AA10">
            <v>0</v>
          </cell>
          <cell r="AB10">
            <v>39370</v>
          </cell>
          <cell r="AC10">
            <v>310</v>
          </cell>
          <cell r="AD10">
            <v>2000</v>
          </cell>
          <cell r="AE10">
            <v>0</v>
          </cell>
          <cell r="AF10">
            <v>0</v>
          </cell>
          <cell r="AG10">
            <v>0</v>
          </cell>
          <cell r="AH10">
            <v>0</v>
          </cell>
          <cell r="AI10">
            <v>0</v>
          </cell>
          <cell r="AJ10">
            <v>0</v>
          </cell>
          <cell r="AK10">
            <v>100</v>
          </cell>
          <cell r="AL10">
            <v>900</v>
          </cell>
          <cell r="AM10">
            <v>560</v>
          </cell>
          <cell r="AN10">
            <v>0</v>
          </cell>
          <cell r="AO10">
            <v>-3971</v>
          </cell>
          <cell r="AP10">
            <v>39269</v>
          </cell>
        </row>
        <row r="11">
          <cell r="D11" t="str">
            <v xml:space="preserve"> BUTTE             </v>
          </cell>
          <cell r="AO11">
            <v>-1509970</v>
          </cell>
          <cell r="AP11">
            <v>12217256</v>
          </cell>
        </row>
        <row r="13">
          <cell r="E13">
            <v>550</v>
          </cell>
          <cell r="F13" t="str">
            <v xml:space="preserve"> 2015-2016</v>
          </cell>
          <cell r="G13" t="str">
            <v xml:space="preserve"> 11/15/2015</v>
          </cell>
          <cell r="H13">
            <v>985197</v>
          </cell>
          <cell r="I13">
            <v>17576</v>
          </cell>
          <cell r="J13">
            <v>16541</v>
          </cell>
          <cell r="K13">
            <v>0</v>
          </cell>
          <cell r="L13">
            <v>0</v>
          </cell>
          <cell r="M13">
            <v>0</v>
          </cell>
          <cell r="N13">
            <v>0</v>
          </cell>
          <cell r="O13">
            <v>0</v>
          </cell>
          <cell r="P13">
            <v>0</v>
          </cell>
          <cell r="Q13">
            <v>1051</v>
          </cell>
          <cell r="R13">
            <v>64</v>
          </cell>
          <cell r="S13">
            <v>13492</v>
          </cell>
          <cell r="T13">
            <v>0</v>
          </cell>
          <cell r="U13">
            <v>196690</v>
          </cell>
          <cell r="V13" t="str">
            <v xml:space="preserve"> </v>
          </cell>
          <cell r="W13">
            <v>1230611</v>
          </cell>
          <cell r="X13">
            <v>0</v>
          </cell>
          <cell r="Y13">
            <v>0</v>
          </cell>
          <cell r="Z13">
            <v>0</v>
          </cell>
          <cell r="AA13">
            <v>0</v>
          </cell>
          <cell r="AB13">
            <v>1039713</v>
          </cell>
          <cell r="AC13">
            <v>17000</v>
          </cell>
          <cell r="AD13">
            <v>16500</v>
          </cell>
          <cell r="AE13">
            <v>0</v>
          </cell>
          <cell r="AF13">
            <v>0</v>
          </cell>
          <cell r="AG13">
            <v>0</v>
          </cell>
          <cell r="AH13">
            <v>0</v>
          </cell>
          <cell r="AI13">
            <v>0</v>
          </cell>
          <cell r="AJ13">
            <v>0</v>
          </cell>
          <cell r="AK13">
            <v>780</v>
          </cell>
          <cell r="AL13">
            <v>64</v>
          </cell>
          <cell r="AM13">
            <v>13300</v>
          </cell>
          <cell r="AN13">
            <v>0</v>
          </cell>
          <cell r="AO13">
            <v>232130</v>
          </cell>
          <cell r="AP13">
            <v>1319487</v>
          </cell>
        </row>
        <row r="14">
          <cell r="E14">
            <v>590</v>
          </cell>
          <cell r="F14" t="str">
            <v xml:space="preserve"> 2015-2016</v>
          </cell>
          <cell r="G14" t="str">
            <v xml:space="preserve"> 11/15/2015</v>
          </cell>
          <cell r="H14">
            <v>1902625</v>
          </cell>
          <cell r="I14">
            <v>34099</v>
          </cell>
          <cell r="J14">
            <v>32089</v>
          </cell>
          <cell r="K14">
            <v>0</v>
          </cell>
          <cell r="L14">
            <v>0</v>
          </cell>
          <cell r="M14">
            <v>0</v>
          </cell>
          <cell r="N14">
            <v>0</v>
          </cell>
          <cell r="O14">
            <v>0</v>
          </cell>
          <cell r="P14">
            <v>0</v>
          </cell>
          <cell r="Q14">
            <v>2069</v>
          </cell>
          <cell r="R14">
            <v>108</v>
          </cell>
          <cell r="S14">
            <v>26175</v>
          </cell>
          <cell r="T14">
            <v>0</v>
          </cell>
          <cell r="U14">
            <v>0</v>
          </cell>
          <cell r="V14" t="str">
            <v xml:space="preserve"> </v>
          </cell>
          <cell r="W14">
            <v>1997165</v>
          </cell>
          <cell r="X14">
            <v>0</v>
          </cell>
          <cell r="Y14">
            <v>0</v>
          </cell>
          <cell r="Z14">
            <v>0</v>
          </cell>
          <cell r="AA14">
            <v>0</v>
          </cell>
          <cell r="AB14">
            <v>1999881</v>
          </cell>
          <cell r="AC14">
            <v>33000</v>
          </cell>
          <cell r="AD14">
            <v>32100</v>
          </cell>
          <cell r="AE14">
            <v>0</v>
          </cell>
          <cell r="AF14">
            <v>0</v>
          </cell>
          <cell r="AG14">
            <v>0</v>
          </cell>
          <cell r="AH14">
            <v>0</v>
          </cell>
          <cell r="AI14">
            <v>0</v>
          </cell>
          <cell r="AJ14">
            <v>0</v>
          </cell>
          <cell r="AK14">
            <v>1500</v>
          </cell>
          <cell r="AL14">
            <v>108</v>
          </cell>
          <cell r="AM14">
            <v>25700</v>
          </cell>
          <cell r="AN14">
            <v>0</v>
          </cell>
          <cell r="AO14">
            <v>0</v>
          </cell>
          <cell r="AP14">
            <v>2092289</v>
          </cell>
        </row>
        <row r="15">
          <cell r="D15" t="str">
            <v xml:space="preserve"> CALAVERAS         </v>
          </cell>
          <cell r="AO15">
            <v>232130</v>
          </cell>
          <cell r="AP15">
            <v>3411776</v>
          </cell>
        </row>
        <row r="17">
          <cell r="E17">
            <v>290</v>
          </cell>
          <cell r="F17" t="str">
            <v xml:space="preserve"> 2015-2016</v>
          </cell>
          <cell r="G17" t="str">
            <v xml:space="preserve"> 11/15/2015</v>
          </cell>
          <cell r="H17">
            <v>4065088</v>
          </cell>
          <cell r="I17">
            <v>47820</v>
          </cell>
          <cell r="J17">
            <v>292915</v>
          </cell>
          <cell r="K17">
            <v>0</v>
          </cell>
          <cell r="L17">
            <v>0</v>
          </cell>
          <cell r="M17">
            <v>0</v>
          </cell>
          <cell r="N17">
            <v>0</v>
          </cell>
          <cell r="O17">
            <v>0</v>
          </cell>
          <cell r="P17">
            <v>0</v>
          </cell>
          <cell r="Q17">
            <v>-677</v>
          </cell>
          <cell r="R17">
            <v>34</v>
          </cell>
          <cell r="S17">
            <v>29045</v>
          </cell>
          <cell r="T17">
            <v>26855</v>
          </cell>
          <cell r="U17">
            <v>-262292</v>
          </cell>
          <cell r="V17" t="str">
            <v xml:space="preserve"> </v>
          </cell>
          <cell r="W17">
            <v>4198788</v>
          </cell>
          <cell r="X17">
            <v>0</v>
          </cell>
          <cell r="Y17">
            <v>0</v>
          </cell>
          <cell r="Z17">
            <v>0</v>
          </cell>
          <cell r="AA17">
            <v>0</v>
          </cell>
          <cell r="AB17">
            <v>4188000</v>
          </cell>
          <cell r="AC17">
            <v>23500</v>
          </cell>
          <cell r="AD17">
            <v>285000</v>
          </cell>
          <cell r="AE17">
            <v>0</v>
          </cell>
          <cell r="AF17">
            <v>0</v>
          </cell>
          <cell r="AG17">
            <v>0</v>
          </cell>
          <cell r="AH17">
            <v>0</v>
          </cell>
          <cell r="AI17">
            <v>0</v>
          </cell>
          <cell r="AJ17">
            <v>0</v>
          </cell>
          <cell r="AK17">
            <v>0</v>
          </cell>
          <cell r="AL17">
            <v>0</v>
          </cell>
          <cell r="AM17">
            <v>29280</v>
          </cell>
          <cell r="AN17">
            <v>12000</v>
          </cell>
          <cell r="AO17">
            <v>-120300</v>
          </cell>
          <cell r="AP17">
            <v>4417480</v>
          </cell>
        </row>
        <row r="18">
          <cell r="D18" t="str">
            <v xml:space="preserve"> COLUSA            </v>
          </cell>
          <cell r="AO18">
            <v>-120300</v>
          </cell>
          <cell r="AP18">
            <v>4417480</v>
          </cell>
        </row>
        <row r="20">
          <cell r="E20">
            <v>480</v>
          </cell>
          <cell r="F20" t="str">
            <v xml:space="preserve"> 2015-2016</v>
          </cell>
          <cell r="G20" t="str">
            <v xml:space="preserve"> 11/15/2015</v>
          </cell>
          <cell r="H20">
            <v>275604</v>
          </cell>
          <cell r="I20">
            <v>5378</v>
          </cell>
          <cell r="J20">
            <v>9450</v>
          </cell>
          <cell r="K20">
            <v>0</v>
          </cell>
          <cell r="L20">
            <v>0</v>
          </cell>
          <cell r="M20">
            <v>0</v>
          </cell>
          <cell r="N20">
            <v>0</v>
          </cell>
          <cell r="O20">
            <v>0</v>
          </cell>
          <cell r="P20">
            <v>0</v>
          </cell>
          <cell r="Q20">
            <v>0</v>
          </cell>
          <cell r="R20">
            <v>0</v>
          </cell>
          <cell r="S20">
            <v>2371</v>
          </cell>
          <cell r="T20">
            <v>27</v>
          </cell>
          <cell r="U20">
            <v>0</v>
          </cell>
          <cell r="V20" t="str">
            <v xml:space="preserve"> </v>
          </cell>
          <cell r="W20">
            <v>292830</v>
          </cell>
          <cell r="X20">
            <v>0</v>
          </cell>
          <cell r="Y20">
            <v>0</v>
          </cell>
          <cell r="Z20">
            <v>0</v>
          </cell>
          <cell r="AA20">
            <v>0</v>
          </cell>
          <cell r="AB20">
            <v>297399</v>
          </cell>
          <cell r="AC20">
            <v>5400</v>
          </cell>
          <cell r="AD20">
            <v>9110</v>
          </cell>
          <cell r="AE20">
            <v>0</v>
          </cell>
          <cell r="AF20">
            <v>0</v>
          </cell>
          <cell r="AG20">
            <v>0</v>
          </cell>
          <cell r="AH20">
            <v>0</v>
          </cell>
          <cell r="AI20">
            <v>0</v>
          </cell>
          <cell r="AJ20">
            <v>0</v>
          </cell>
          <cell r="AK20">
            <v>0</v>
          </cell>
          <cell r="AL20">
            <v>0</v>
          </cell>
          <cell r="AM20">
            <v>2315</v>
          </cell>
          <cell r="AN20">
            <v>0</v>
          </cell>
          <cell r="AO20">
            <v>0</v>
          </cell>
          <cell r="AP20">
            <v>314224</v>
          </cell>
        </row>
        <row r="21">
          <cell r="E21">
            <v>310</v>
          </cell>
          <cell r="F21" t="str">
            <v xml:space="preserve"> 2015-2016</v>
          </cell>
          <cell r="G21" t="str">
            <v xml:space="preserve"> 11/15/2015</v>
          </cell>
          <cell r="H21">
            <v>69222053</v>
          </cell>
          <cell r="I21">
            <v>871342</v>
          </cell>
          <cell r="J21">
            <v>2676580</v>
          </cell>
          <cell r="K21">
            <v>131539</v>
          </cell>
          <cell r="L21">
            <v>62481</v>
          </cell>
          <cell r="M21">
            <v>0</v>
          </cell>
          <cell r="N21">
            <v>0</v>
          </cell>
          <cell r="O21">
            <v>1689504</v>
          </cell>
          <cell r="P21">
            <v>556841</v>
          </cell>
          <cell r="Q21">
            <v>0</v>
          </cell>
          <cell r="R21">
            <v>0</v>
          </cell>
          <cell r="S21">
            <v>670831</v>
          </cell>
          <cell r="T21">
            <v>7536</v>
          </cell>
          <cell r="U21">
            <v>5099051</v>
          </cell>
          <cell r="V21" t="str">
            <v xml:space="preserve"> </v>
          </cell>
          <cell r="W21">
            <v>80856219</v>
          </cell>
          <cell r="X21">
            <v>0</v>
          </cell>
          <cell r="Y21">
            <v>0</v>
          </cell>
          <cell r="Z21">
            <v>0</v>
          </cell>
          <cell r="AA21">
            <v>0</v>
          </cell>
          <cell r="AB21">
            <v>75345580</v>
          </cell>
          <cell r="AC21">
            <v>871300</v>
          </cell>
          <cell r="AD21">
            <v>2577191</v>
          </cell>
          <cell r="AE21">
            <v>131500</v>
          </cell>
          <cell r="AF21">
            <v>62463</v>
          </cell>
          <cell r="AG21">
            <v>0</v>
          </cell>
          <cell r="AH21">
            <v>0</v>
          </cell>
          <cell r="AI21">
            <v>1689500</v>
          </cell>
          <cell r="AJ21">
            <v>556800</v>
          </cell>
          <cell r="AK21">
            <v>0</v>
          </cell>
          <cell r="AL21">
            <v>0</v>
          </cell>
          <cell r="AM21">
            <v>654845</v>
          </cell>
          <cell r="AN21">
            <v>7536</v>
          </cell>
          <cell r="AO21">
            <v>8053527</v>
          </cell>
          <cell r="AP21">
            <v>89818742</v>
          </cell>
        </row>
        <row r="22">
          <cell r="D22" t="str">
            <v xml:space="preserve"> CONTRA COSTA      </v>
          </cell>
          <cell r="AO22">
            <v>8053527</v>
          </cell>
          <cell r="AP22">
            <v>90132966</v>
          </cell>
        </row>
        <row r="24">
          <cell r="E24">
            <v>160</v>
          </cell>
          <cell r="F24" t="str">
            <v xml:space="preserve"> 2015-2016</v>
          </cell>
          <cell r="G24" t="str">
            <v xml:space="preserve"> 11/15/2015</v>
          </cell>
          <cell r="H24">
            <v>0</v>
          </cell>
          <cell r="I24">
            <v>0</v>
          </cell>
          <cell r="J24">
            <v>0</v>
          </cell>
          <cell r="K24">
            <v>0</v>
          </cell>
          <cell r="L24">
            <v>0</v>
          </cell>
          <cell r="M24">
            <v>0</v>
          </cell>
          <cell r="N24">
            <v>0</v>
          </cell>
          <cell r="O24">
            <v>0</v>
          </cell>
          <cell r="P24">
            <v>0</v>
          </cell>
          <cell r="Q24">
            <v>0</v>
          </cell>
          <cell r="R24">
            <v>22508</v>
          </cell>
          <cell r="S24">
            <v>0</v>
          </cell>
          <cell r="T24">
            <v>0</v>
          </cell>
          <cell r="U24">
            <v>0</v>
          </cell>
          <cell r="V24" t="str">
            <v xml:space="preserve"> </v>
          </cell>
          <cell r="W24">
            <v>22508</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18006</v>
          </cell>
          <cell r="AM24">
            <v>0</v>
          </cell>
          <cell r="AN24">
            <v>0</v>
          </cell>
          <cell r="AO24">
            <v>0</v>
          </cell>
          <cell r="AP24">
            <v>18006</v>
          </cell>
        </row>
        <row r="25">
          <cell r="D25" t="str">
            <v xml:space="preserve"> DEL NORTE         </v>
          </cell>
          <cell r="AO25">
            <v>0</v>
          </cell>
          <cell r="AP25">
            <v>18006</v>
          </cell>
        </row>
        <row r="27">
          <cell r="E27">
            <v>270</v>
          </cell>
          <cell r="F27" t="str">
            <v xml:space="preserve"> 2015-2016</v>
          </cell>
          <cell r="G27" t="str">
            <v xml:space="preserve"> 11/15/2015</v>
          </cell>
          <cell r="H27">
            <v>488518</v>
          </cell>
          <cell r="I27">
            <v>8614</v>
          </cell>
          <cell r="J27">
            <v>10460</v>
          </cell>
          <cell r="K27">
            <v>0</v>
          </cell>
          <cell r="L27">
            <v>0</v>
          </cell>
          <cell r="M27">
            <v>0</v>
          </cell>
          <cell r="N27">
            <v>0</v>
          </cell>
          <cell r="O27">
            <v>0</v>
          </cell>
          <cell r="P27">
            <v>0</v>
          </cell>
          <cell r="Q27">
            <v>494</v>
          </cell>
          <cell r="R27">
            <v>0</v>
          </cell>
          <cell r="S27">
            <v>5174</v>
          </cell>
          <cell r="T27">
            <v>0</v>
          </cell>
          <cell r="U27">
            <v>0</v>
          </cell>
          <cell r="V27" t="str">
            <v xml:space="preserve"> </v>
          </cell>
          <cell r="W27">
            <v>513260</v>
          </cell>
          <cell r="X27">
            <v>0</v>
          </cell>
          <cell r="Y27">
            <v>0</v>
          </cell>
          <cell r="Z27">
            <v>0</v>
          </cell>
          <cell r="AA27">
            <v>0</v>
          </cell>
          <cell r="AB27">
            <v>512455</v>
          </cell>
          <cell r="AC27">
            <v>8614</v>
          </cell>
          <cell r="AD27">
            <v>9990</v>
          </cell>
          <cell r="AE27">
            <v>0</v>
          </cell>
          <cell r="AF27">
            <v>0</v>
          </cell>
          <cell r="AG27">
            <v>0</v>
          </cell>
          <cell r="AH27">
            <v>0</v>
          </cell>
          <cell r="AI27">
            <v>0</v>
          </cell>
          <cell r="AJ27">
            <v>0</v>
          </cell>
          <cell r="AK27">
            <v>1</v>
          </cell>
          <cell r="AL27">
            <v>0</v>
          </cell>
          <cell r="AM27">
            <v>5088</v>
          </cell>
          <cell r="AN27">
            <v>0</v>
          </cell>
          <cell r="AO27">
            <v>0</v>
          </cell>
          <cell r="AP27">
            <v>536148</v>
          </cell>
        </row>
        <row r="28">
          <cell r="E28">
            <v>230</v>
          </cell>
          <cell r="F28" t="str">
            <v xml:space="preserve"> 2015-2016</v>
          </cell>
          <cell r="G28" t="str">
            <v xml:space="preserve"> 11/15/2015</v>
          </cell>
          <cell r="H28">
            <v>9548443</v>
          </cell>
          <cell r="I28">
            <v>167861</v>
          </cell>
          <cell r="J28">
            <v>204269</v>
          </cell>
          <cell r="K28">
            <v>0</v>
          </cell>
          <cell r="L28">
            <v>0</v>
          </cell>
          <cell r="M28">
            <v>0</v>
          </cell>
          <cell r="N28">
            <v>0</v>
          </cell>
          <cell r="O28">
            <v>0</v>
          </cell>
          <cell r="P28">
            <v>0</v>
          </cell>
          <cell r="Q28">
            <v>9586</v>
          </cell>
          <cell r="R28">
            <v>19593</v>
          </cell>
          <cell r="S28">
            <v>101044</v>
          </cell>
          <cell r="T28">
            <v>0</v>
          </cell>
          <cell r="U28">
            <v>858877</v>
          </cell>
          <cell r="V28" t="str">
            <v xml:space="preserve"> </v>
          </cell>
          <cell r="W28">
            <v>10909673</v>
          </cell>
          <cell r="X28">
            <v>0</v>
          </cell>
          <cell r="Y28">
            <v>0</v>
          </cell>
          <cell r="Z28">
            <v>0</v>
          </cell>
          <cell r="AA28">
            <v>0</v>
          </cell>
          <cell r="AB28">
            <v>10090779</v>
          </cell>
          <cell r="AC28">
            <v>167861</v>
          </cell>
          <cell r="AD28">
            <v>196575</v>
          </cell>
          <cell r="AE28">
            <v>0</v>
          </cell>
          <cell r="AF28">
            <v>0</v>
          </cell>
          <cell r="AG28">
            <v>0</v>
          </cell>
          <cell r="AH28">
            <v>0</v>
          </cell>
          <cell r="AI28">
            <v>0</v>
          </cell>
          <cell r="AJ28">
            <v>0</v>
          </cell>
          <cell r="AK28">
            <v>1</v>
          </cell>
          <cell r="AL28">
            <v>4898</v>
          </cell>
          <cell r="AM28">
            <v>100107</v>
          </cell>
          <cell r="AN28">
            <v>0</v>
          </cell>
          <cell r="AO28">
            <v>1413330</v>
          </cell>
          <cell r="AP28">
            <v>11973551</v>
          </cell>
        </row>
        <row r="29">
          <cell r="E29">
            <v>220</v>
          </cell>
          <cell r="F29" t="str">
            <v xml:space="preserve"> 2015-2016</v>
          </cell>
          <cell r="G29" t="str">
            <v xml:space="preserve"> 11/15/2015</v>
          </cell>
          <cell r="H29">
            <v>3504911</v>
          </cell>
          <cell r="I29">
            <v>66197</v>
          </cell>
          <cell r="J29">
            <v>80239</v>
          </cell>
          <cell r="K29">
            <v>0</v>
          </cell>
          <cell r="L29">
            <v>0</v>
          </cell>
          <cell r="M29">
            <v>0</v>
          </cell>
          <cell r="N29">
            <v>0</v>
          </cell>
          <cell r="O29">
            <v>0</v>
          </cell>
          <cell r="P29">
            <v>5157</v>
          </cell>
          <cell r="Q29">
            <v>3814</v>
          </cell>
          <cell r="R29">
            <v>205</v>
          </cell>
          <cell r="S29">
            <v>39699</v>
          </cell>
          <cell r="T29">
            <v>0</v>
          </cell>
          <cell r="U29">
            <v>0</v>
          </cell>
          <cell r="V29" t="str">
            <v xml:space="preserve"> </v>
          </cell>
          <cell r="W29">
            <v>3700222</v>
          </cell>
          <cell r="X29">
            <v>0</v>
          </cell>
          <cell r="Y29">
            <v>0</v>
          </cell>
          <cell r="Z29">
            <v>0</v>
          </cell>
          <cell r="AA29">
            <v>0</v>
          </cell>
          <cell r="AB29">
            <v>3722324</v>
          </cell>
          <cell r="AC29">
            <v>66197</v>
          </cell>
          <cell r="AD29">
            <v>77206</v>
          </cell>
          <cell r="AE29">
            <v>0</v>
          </cell>
          <cell r="AF29">
            <v>0</v>
          </cell>
          <cell r="AG29">
            <v>0</v>
          </cell>
          <cell r="AH29">
            <v>0</v>
          </cell>
          <cell r="AI29">
            <v>0</v>
          </cell>
          <cell r="AJ29">
            <v>0</v>
          </cell>
          <cell r="AK29">
            <v>1</v>
          </cell>
          <cell r="AL29">
            <v>51</v>
          </cell>
          <cell r="AM29">
            <v>39318</v>
          </cell>
          <cell r="AN29">
            <v>0</v>
          </cell>
          <cell r="AO29">
            <v>0</v>
          </cell>
          <cell r="AP29">
            <v>3905097</v>
          </cell>
        </row>
        <row r="30">
          <cell r="D30" t="str">
            <v xml:space="preserve"> EL DORADO         </v>
          </cell>
          <cell r="AO30">
            <v>1413330</v>
          </cell>
          <cell r="AP30">
            <v>16414796</v>
          </cell>
        </row>
        <row r="32">
          <cell r="E32">
            <v>580</v>
          </cell>
          <cell r="F32" t="str">
            <v xml:space="preserve"> 2015-2016</v>
          </cell>
          <cell r="G32" t="str">
            <v xml:space="preserve"> 11/15/2015</v>
          </cell>
          <cell r="H32">
            <v>4009173</v>
          </cell>
          <cell r="I32">
            <v>59862</v>
          </cell>
          <cell r="J32">
            <v>188449</v>
          </cell>
          <cell r="K32">
            <v>18112</v>
          </cell>
          <cell r="L32">
            <v>8603</v>
          </cell>
          <cell r="M32">
            <v>0</v>
          </cell>
          <cell r="N32">
            <v>0</v>
          </cell>
          <cell r="O32">
            <v>150488</v>
          </cell>
          <cell r="P32">
            <v>0</v>
          </cell>
          <cell r="Q32">
            <v>27173</v>
          </cell>
          <cell r="R32">
            <v>0</v>
          </cell>
          <cell r="S32">
            <v>50183</v>
          </cell>
          <cell r="T32">
            <v>0</v>
          </cell>
          <cell r="U32">
            <v>-669821</v>
          </cell>
          <cell r="V32" t="str">
            <v xml:space="preserve"> </v>
          </cell>
          <cell r="W32">
            <v>3824110</v>
          </cell>
          <cell r="X32">
            <v>0</v>
          </cell>
          <cell r="Y32">
            <v>0</v>
          </cell>
          <cell r="Z32">
            <v>0</v>
          </cell>
          <cell r="AA32">
            <v>0</v>
          </cell>
          <cell r="AB32">
            <v>4089356</v>
          </cell>
          <cell r="AC32">
            <v>59862</v>
          </cell>
          <cell r="AD32">
            <v>188449</v>
          </cell>
          <cell r="AE32">
            <v>18112</v>
          </cell>
          <cell r="AF32">
            <v>8603</v>
          </cell>
          <cell r="AG32">
            <v>0</v>
          </cell>
          <cell r="AH32">
            <v>0</v>
          </cell>
          <cell r="AI32">
            <v>150488</v>
          </cell>
          <cell r="AJ32">
            <v>0</v>
          </cell>
          <cell r="AK32">
            <v>27173</v>
          </cell>
          <cell r="AL32">
            <v>0</v>
          </cell>
          <cell r="AM32">
            <v>50183</v>
          </cell>
          <cell r="AN32">
            <v>0</v>
          </cell>
          <cell r="AO32">
            <v>-282167</v>
          </cell>
          <cell r="AP32">
            <v>4291947</v>
          </cell>
        </row>
        <row r="33">
          <cell r="E33">
            <v>570</v>
          </cell>
          <cell r="F33" t="str">
            <v xml:space="preserve"> 2015-2016</v>
          </cell>
          <cell r="G33" t="str">
            <v xml:space="preserve"> 11/15/2015</v>
          </cell>
          <cell r="H33">
            <v>28217152</v>
          </cell>
          <cell r="I33">
            <v>420448</v>
          </cell>
          <cell r="J33">
            <v>1271701</v>
          </cell>
          <cell r="K33">
            <v>157149</v>
          </cell>
          <cell r="L33">
            <v>74646</v>
          </cell>
          <cell r="M33">
            <v>0</v>
          </cell>
          <cell r="N33">
            <v>0</v>
          </cell>
          <cell r="O33">
            <v>1606764</v>
          </cell>
          <cell r="P33">
            <v>23365</v>
          </cell>
          <cell r="Q33">
            <v>188302</v>
          </cell>
          <cell r="R33">
            <v>6254</v>
          </cell>
          <cell r="S33">
            <v>339989</v>
          </cell>
          <cell r="T33">
            <v>0</v>
          </cell>
          <cell r="U33">
            <v>-4723538</v>
          </cell>
          <cell r="V33" t="str">
            <v xml:space="preserve"> </v>
          </cell>
          <cell r="W33">
            <v>27425083</v>
          </cell>
          <cell r="X33">
            <v>0</v>
          </cell>
          <cell r="Y33">
            <v>0</v>
          </cell>
          <cell r="Z33">
            <v>0</v>
          </cell>
          <cell r="AA33">
            <v>0</v>
          </cell>
          <cell r="AB33">
            <v>28781495</v>
          </cell>
          <cell r="AC33">
            <v>420448</v>
          </cell>
          <cell r="AD33">
            <v>1271701</v>
          </cell>
          <cell r="AE33">
            <v>157149</v>
          </cell>
          <cell r="AF33">
            <v>74646</v>
          </cell>
          <cell r="AG33">
            <v>0</v>
          </cell>
          <cell r="AH33">
            <v>0</v>
          </cell>
          <cell r="AI33">
            <v>1606764</v>
          </cell>
          <cell r="AJ33">
            <v>23365</v>
          </cell>
          <cell r="AK33">
            <v>188302</v>
          </cell>
          <cell r="AL33">
            <v>6254</v>
          </cell>
          <cell r="AM33">
            <v>339989</v>
          </cell>
          <cell r="AN33">
            <v>0</v>
          </cell>
          <cell r="AO33">
            <v>-1989822</v>
          </cell>
          <cell r="AP33">
            <v>30723142</v>
          </cell>
        </row>
        <row r="34">
          <cell r="E34">
            <v>530</v>
          </cell>
          <cell r="F34" t="str">
            <v xml:space="preserve"> 2015-2016</v>
          </cell>
          <cell r="G34" t="str">
            <v xml:space="preserve"> 11/15/2015</v>
          </cell>
          <cell r="H34">
            <v>58530</v>
          </cell>
          <cell r="I34">
            <v>821</v>
          </cell>
          <cell r="J34">
            <v>2601</v>
          </cell>
          <cell r="K34">
            <v>0</v>
          </cell>
          <cell r="L34">
            <v>0</v>
          </cell>
          <cell r="M34">
            <v>0</v>
          </cell>
          <cell r="N34">
            <v>0</v>
          </cell>
          <cell r="O34">
            <v>0</v>
          </cell>
          <cell r="P34">
            <v>0</v>
          </cell>
          <cell r="Q34">
            <v>1306</v>
          </cell>
          <cell r="R34">
            <v>0</v>
          </cell>
          <cell r="S34">
            <v>692</v>
          </cell>
          <cell r="T34">
            <v>0</v>
          </cell>
          <cell r="U34">
            <v>-9819</v>
          </cell>
          <cell r="V34" t="str">
            <v xml:space="preserve"> </v>
          </cell>
          <cell r="W34">
            <v>54131</v>
          </cell>
          <cell r="X34">
            <v>0</v>
          </cell>
          <cell r="Y34">
            <v>0</v>
          </cell>
          <cell r="Z34">
            <v>0</v>
          </cell>
          <cell r="AA34">
            <v>0</v>
          </cell>
          <cell r="AB34">
            <v>59700</v>
          </cell>
          <cell r="AC34">
            <v>821</v>
          </cell>
          <cell r="AD34">
            <v>2601</v>
          </cell>
          <cell r="AE34">
            <v>0</v>
          </cell>
          <cell r="AF34">
            <v>0</v>
          </cell>
          <cell r="AG34">
            <v>0</v>
          </cell>
          <cell r="AH34">
            <v>0</v>
          </cell>
          <cell r="AI34">
            <v>0</v>
          </cell>
          <cell r="AJ34">
            <v>0</v>
          </cell>
          <cell r="AK34">
            <v>1306</v>
          </cell>
          <cell r="AL34">
            <v>0</v>
          </cell>
          <cell r="AM34">
            <v>692</v>
          </cell>
          <cell r="AN34">
            <v>0</v>
          </cell>
          <cell r="AO34">
            <v>-4136</v>
          </cell>
          <cell r="AP34">
            <v>60984</v>
          </cell>
        </row>
        <row r="35">
          <cell r="E35">
            <v>560</v>
          </cell>
          <cell r="F35" t="str">
            <v xml:space="preserve"> 2015-2016</v>
          </cell>
          <cell r="G35" t="str">
            <v xml:space="preserve"> 11/15/2015</v>
          </cell>
          <cell r="H35">
            <v>24833</v>
          </cell>
          <cell r="I35">
            <v>369</v>
          </cell>
          <cell r="J35">
            <v>1129</v>
          </cell>
          <cell r="K35">
            <v>0</v>
          </cell>
          <cell r="L35">
            <v>0</v>
          </cell>
          <cell r="M35">
            <v>0</v>
          </cell>
          <cell r="N35">
            <v>0</v>
          </cell>
          <cell r="O35">
            <v>0</v>
          </cell>
          <cell r="P35">
            <v>0</v>
          </cell>
          <cell r="Q35">
            <v>166</v>
          </cell>
          <cell r="R35">
            <v>0</v>
          </cell>
          <cell r="S35">
            <v>302</v>
          </cell>
          <cell r="T35">
            <v>0</v>
          </cell>
          <cell r="U35">
            <v>-4123</v>
          </cell>
          <cell r="V35" t="str">
            <v xml:space="preserve"> </v>
          </cell>
          <cell r="W35">
            <v>22676</v>
          </cell>
          <cell r="X35">
            <v>0</v>
          </cell>
          <cell r="Y35">
            <v>0</v>
          </cell>
          <cell r="Z35">
            <v>0</v>
          </cell>
          <cell r="AA35">
            <v>0</v>
          </cell>
          <cell r="AB35">
            <v>25329</v>
          </cell>
          <cell r="AC35">
            <v>369</v>
          </cell>
          <cell r="AD35">
            <v>1129</v>
          </cell>
          <cell r="AE35">
            <v>0</v>
          </cell>
          <cell r="AF35">
            <v>0</v>
          </cell>
          <cell r="AG35">
            <v>0</v>
          </cell>
          <cell r="AH35">
            <v>0</v>
          </cell>
          <cell r="AI35">
            <v>0</v>
          </cell>
          <cell r="AJ35">
            <v>0</v>
          </cell>
          <cell r="AK35">
            <v>166</v>
          </cell>
          <cell r="AL35">
            <v>0</v>
          </cell>
          <cell r="AM35">
            <v>302</v>
          </cell>
          <cell r="AN35">
            <v>0</v>
          </cell>
          <cell r="AO35">
            <v>-1737</v>
          </cell>
          <cell r="AP35">
            <v>25558</v>
          </cell>
        </row>
        <row r="36">
          <cell r="D36" t="str">
            <v xml:space="preserve"> FRESNO            </v>
          </cell>
          <cell r="AO36">
            <v>-2277862</v>
          </cell>
          <cell r="AP36">
            <v>35101631</v>
          </cell>
        </row>
        <row r="38">
          <cell r="E38">
            <v>110</v>
          </cell>
          <cell r="F38" t="str">
            <v xml:space="preserve"> 2015-2016</v>
          </cell>
          <cell r="G38" t="str">
            <v xml:space="preserve"> 11/15/2015</v>
          </cell>
          <cell r="H38">
            <v>2223968</v>
          </cell>
          <cell r="I38">
            <v>47256</v>
          </cell>
          <cell r="J38">
            <v>112663</v>
          </cell>
          <cell r="K38">
            <v>0</v>
          </cell>
          <cell r="L38">
            <v>0</v>
          </cell>
          <cell r="M38">
            <v>0</v>
          </cell>
          <cell r="N38">
            <v>0</v>
          </cell>
          <cell r="O38">
            <v>0</v>
          </cell>
          <cell r="P38">
            <v>0</v>
          </cell>
          <cell r="Q38">
            <v>0</v>
          </cell>
          <cell r="R38">
            <v>0</v>
          </cell>
          <cell r="S38">
            <v>27631</v>
          </cell>
          <cell r="T38">
            <v>0</v>
          </cell>
          <cell r="U38">
            <v>-214450</v>
          </cell>
          <cell r="V38" t="str">
            <v xml:space="preserve"> </v>
          </cell>
          <cell r="W38">
            <v>2197068</v>
          </cell>
          <cell r="X38">
            <v>0</v>
          </cell>
          <cell r="Y38">
            <v>0</v>
          </cell>
          <cell r="Z38">
            <v>0</v>
          </cell>
          <cell r="AA38">
            <v>0</v>
          </cell>
          <cell r="AB38">
            <v>2403427</v>
          </cell>
          <cell r="AC38">
            <v>0</v>
          </cell>
          <cell r="AD38">
            <v>122632</v>
          </cell>
          <cell r="AE38">
            <v>0</v>
          </cell>
          <cell r="AF38">
            <v>0</v>
          </cell>
          <cell r="AG38">
            <v>0</v>
          </cell>
          <cell r="AH38">
            <v>0</v>
          </cell>
          <cell r="AI38">
            <v>0</v>
          </cell>
          <cell r="AJ38">
            <v>0</v>
          </cell>
          <cell r="AK38">
            <v>0</v>
          </cell>
          <cell r="AL38">
            <v>0</v>
          </cell>
          <cell r="AM38">
            <v>27675</v>
          </cell>
          <cell r="AN38">
            <v>0</v>
          </cell>
          <cell r="AO38">
            <v>-74334</v>
          </cell>
          <cell r="AP38">
            <v>2479400</v>
          </cell>
        </row>
        <row r="39">
          <cell r="E39">
            <v>290</v>
          </cell>
          <cell r="F39" t="str">
            <v xml:space="preserve"> 2015-2016</v>
          </cell>
          <cell r="G39" t="str">
            <v xml:space="preserve"> 11/15/2015</v>
          </cell>
          <cell r="H39">
            <v>65471</v>
          </cell>
          <cell r="I39">
            <v>1286</v>
          </cell>
          <cell r="J39">
            <v>3048</v>
          </cell>
          <cell r="K39">
            <v>0</v>
          </cell>
          <cell r="L39">
            <v>0</v>
          </cell>
          <cell r="M39">
            <v>0</v>
          </cell>
          <cell r="N39">
            <v>0</v>
          </cell>
          <cell r="O39">
            <v>0</v>
          </cell>
          <cell r="P39">
            <v>0</v>
          </cell>
          <cell r="Q39">
            <v>0</v>
          </cell>
          <cell r="R39">
            <v>0</v>
          </cell>
          <cell r="S39">
            <v>747</v>
          </cell>
          <cell r="T39">
            <v>0</v>
          </cell>
          <cell r="U39">
            <v>-6283</v>
          </cell>
          <cell r="V39" t="str">
            <v xml:space="preserve"> </v>
          </cell>
          <cell r="W39">
            <v>64269</v>
          </cell>
          <cell r="X39">
            <v>0</v>
          </cell>
          <cell r="Y39">
            <v>0</v>
          </cell>
          <cell r="Z39">
            <v>0</v>
          </cell>
          <cell r="AA39">
            <v>0</v>
          </cell>
          <cell r="AB39">
            <v>69585</v>
          </cell>
          <cell r="AC39">
            <v>0</v>
          </cell>
          <cell r="AD39">
            <v>3461</v>
          </cell>
          <cell r="AE39">
            <v>0</v>
          </cell>
          <cell r="AF39">
            <v>0</v>
          </cell>
          <cell r="AG39">
            <v>0</v>
          </cell>
          <cell r="AH39">
            <v>0</v>
          </cell>
          <cell r="AI39">
            <v>0</v>
          </cell>
          <cell r="AJ39">
            <v>0</v>
          </cell>
          <cell r="AK39">
            <v>0</v>
          </cell>
          <cell r="AL39">
            <v>0</v>
          </cell>
          <cell r="AM39">
            <v>739</v>
          </cell>
          <cell r="AN39">
            <v>0</v>
          </cell>
          <cell r="AO39">
            <v>-2142</v>
          </cell>
          <cell r="AP39">
            <v>71643</v>
          </cell>
        </row>
        <row r="40">
          <cell r="D40" t="str">
            <v xml:space="preserve"> GLENN             </v>
          </cell>
          <cell r="AO40">
            <v>-76476</v>
          </cell>
          <cell r="AP40">
            <v>2551043</v>
          </cell>
        </row>
        <row r="42">
          <cell r="E42">
            <v>160</v>
          </cell>
          <cell r="F42" t="str">
            <v xml:space="preserve"> 2015-2016</v>
          </cell>
          <cell r="G42" t="str">
            <v xml:space="preserve"> 11/15/2015</v>
          </cell>
          <cell r="H42">
            <v>6651841</v>
          </cell>
          <cell r="I42">
            <v>59156</v>
          </cell>
          <cell r="J42">
            <v>291172</v>
          </cell>
          <cell r="K42">
            <v>0</v>
          </cell>
          <cell r="L42">
            <v>0</v>
          </cell>
          <cell r="M42">
            <v>0</v>
          </cell>
          <cell r="N42">
            <v>0</v>
          </cell>
          <cell r="O42">
            <v>312352</v>
          </cell>
          <cell r="P42">
            <v>104740</v>
          </cell>
          <cell r="Q42">
            <v>8658</v>
          </cell>
          <cell r="R42">
            <v>205319</v>
          </cell>
          <cell r="S42">
            <v>110163</v>
          </cell>
          <cell r="T42">
            <v>0</v>
          </cell>
          <cell r="U42">
            <v>-429401</v>
          </cell>
          <cell r="V42" t="str">
            <v xml:space="preserve"> </v>
          </cell>
          <cell r="W42">
            <v>7314000</v>
          </cell>
          <cell r="X42">
            <v>0</v>
          </cell>
          <cell r="Y42">
            <v>0</v>
          </cell>
          <cell r="Z42">
            <v>0</v>
          </cell>
          <cell r="AA42">
            <v>0</v>
          </cell>
          <cell r="AB42">
            <v>6932712</v>
          </cell>
          <cell r="AC42">
            <v>59156</v>
          </cell>
          <cell r="AD42">
            <v>294692</v>
          </cell>
          <cell r="AE42">
            <v>0</v>
          </cell>
          <cell r="AF42">
            <v>0</v>
          </cell>
          <cell r="AG42">
            <v>0</v>
          </cell>
          <cell r="AH42">
            <v>0</v>
          </cell>
          <cell r="AI42">
            <v>312352</v>
          </cell>
          <cell r="AJ42">
            <v>140447</v>
          </cell>
          <cell r="AK42">
            <v>8658</v>
          </cell>
          <cell r="AL42">
            <v>205319</v>
          </cell>
          <cell r="AM42">
            <v>105918</v>
          </cell>
          <cell r="AN42">
            <v>0</v>
          </cell>
          <cell r="AO42">
            <v>-429401</v>
          </cell>
          <cell r="AP42">
            <v>7629853</v>
          </cell>
        </row>
        <row r="43">
          <cell r="E43">
            <v>170</v>
          </cell>
          <cell r="F43" t="str">
            <v xml:space="preserve"> 2015-2016</v>
          </cell>
          <cell r="G43" t="str">
            <v xml:space="preserve"> 11/15/2015</v>
          </cell>
          <cell r="H43">
            <v>19420</v>
          </cell>
          <cell r="I43">
            <v>150</v>
          </cell>
          <cell r="J43">
            <v>729</v>
          </cell>
          <cell r="K43">
            <v>0</v>
          </cell>
          <cell r="L43">
            <v>0</v>
          </cell>
          <cell r="M43">
            <v>0</v>
          </cell>
          <cell r="N43">
            <v>0</v>
          </cell>
          <cell r="O43">
            <v>0</v>
          </cell>
          <cell r="P43">
            <v>0</v>
          </cell>
          <cell r="Q43">
            <v>22</v>
          </cell>
          <cell r="R43">
            <v>140</v>
          </cell>
          <cell r="S43">
            <v>283</v>
          </cell>
          <cell r="T43">
            <v>0</v>
          </cell>
          <cell r="U43">
            <v>-1102</v>
          </cell>
          <cell r="V43" t="str">
            <v xml:space="preserve"> </v>
          </cell>
          <cell r="W43">
            <v>19642</v>
          </cell>
          <cell r="X43">
            <v>0</v>
          </cell>
          <cell r="Y43">
            <v>0</v>
          </cell>
          <cell r="Z43">
            <v>0</v>
          </cell>
          <cell r="AA43">
            <v>0</v>
          </cell>
          <cell r="AB43">
            <v>21118</v>
          </cell>
          <cell r="AC43">
            <v>150</v>
          </cell>
          <cell r="AD43">
            <v>793</v>
          </cell>
          <cell r="AE43">
            <v>0</v>
          </cell>
          <cell r="AF43">
            <v>0</v>
          </cell>
          <cell r="AG43">
            <v>0</v>
          </cell>
          <cell r="AH43">
            <v>0</v>
          </cell>
          <cell r="AI43">
            <v>0</v>
          </cell>
          <cell r="AJ43">
            <v>0</v>
          </cell>
          <cell r="AK43">
            <v>22</v>
          </cell>
          <cell r="AL43">
            <v>140</v>
          </cell>
          <cell r="AM43">
            <v>285</v>
          </cell>
          <cell r="AN43">
            <v>0</v>
          </cell>
          <cell r="AO43">
            <v>-1102</v>
          </cell>
          <cell r="AP43">
            <v>21406</v>
          </cell>
        </row>
        <row r="44">
          <cell r="D44" t="str">
            <v xml:space="preserve"> HUMBOLDT          </v>
          </cell>
          <cell r="AO44">
            <v>-430503</v>
          </cell>
          <cell r="AP44">
            <v>7651259</v>
          </cell>
        </row>
        <row r="46">
          <cell r="E46">
            <v>30</v>
          </cell>
          <cell r="F46" t="str">
            <v xml:space="preserve"> 2015-2016</v>
          </cell>
          <cell r="G46" t="str">
            <v xml:space="preserve"> 11/15/2015</v>
          </cell>
          <cell r="H46">
            <v>6891290</v>
          </cell>
          <cell r="I46">
            <v>119926</v>
          </cell>
          <cell r="J46">
            <v>867452</v>
          </cell>
          <cell r="K46">
            <v>119234</v>
          </cell>
          <cell r="L46">
            <v>56636</v>
          </cell>
          <cell r="M46">
            <v>0</v>
          </cell>
          <cell r="N46">
            <v>0</v>
          </cell>
          <cell r="O46">
            <v>429045</v>
          </cell>
          <cell r="P46">
            <v>0</v>
          </cell>
          <cell r="Q46">
            <v>0</v>
          </cell>
          <cell r="R46">
            <v>0</v>
          </cell>
          <cell r="S46">
            <v>81610</v>
          </cell>
          <cell r="T46">
            <v>0</v>
          </cell>
          <cell r="U46">
            <v>-3379042</v>
          </cell>
          <cell r="V46" t="str">
            <v xml:space="preserve"> </v>
          </cell>
          <cell r="W46">
            <v>5066917</v>
          </cell>
          <cell r="X46">
            <v>0</v>
          </cell>
          <cell r="Y46">
            <v>0</v>
          </cell>
          <cell r="Z46">
            <v>0</v>
          </cell>
          <cell r="AA46">
            <v>0</v>
          </cell>
          <cell r="AB46">
            <v>7540129</v>
          </cell>
          <cell r="AC46">
            <v>0</v>
          </cell>
          <cell r="AD46">
            <v>859597</v>
          </cell>
          <cell r="AE46">
            <v>162009</v>
          </cell>
          <cell r="AF46">
            <v>76954</v>
          </cell>
          <cell r="AG46">
            <v>0</v>
          </cell>
          <cell r="AH46">
            <v>0</v>
          </cell>
          <cell r="AI46">
            <v>0</v>
          </cell>
          <cell r="AJ46">
            <v>0</v>
          </cell>
          <cell r="AK46">
            <v>0</v>
          </cell>
          <cell r="AL46">
            <v>0</v>
          </cell>
          <cell r="AM46">
            <v>80876</v>
          </cell>
          <cell r="AN46">
            <v>0</v>
          </cell>
          <cell r="AO46">
            <v>-2247889</v>
          </cell>
          <cell r="AP46">
            <v>6309667</v>
          </cell>
        </row>
        <row r="47">
          <cell r="E47">
            <v>930</v>
          </cell>
          <cell r="F47" t="str">
            <v xml:space="preserve"> 2015-2016</v>
          </cell>
          <cell r="G47" t="str">
            <v xml:space="preserve"> 11/15/2015</v>
          </cell>
          <cell r="H47">
            <v>146578</v>
          </cell>
          <cell r="I47">
            <v>2839</v>
          </cell>
          <cell r="J47">
            <v>19097</v>
          </cell>
          <cell r="K47">
            <v>0</v>
          </cell>
          <cell r="L47">
            <v>0</v>
          </cell>
          <cell r="M47">
            <v>0</v>
          </cell>
          <cell r="N47">
            <v>0</v>
          </cell>
          <cell r="O47">
            <v>0</v>
          </cell>
          <cell r="P47">
            <v>0</v>
          </cell>
          <cell r="Q47">
            <v>0</v>
          </cell>
          <cell r="R47">
            <v>0</v>
          </cell>
          <cell r="S47">
            <v>1797</v>
          </cell>
          <cell r="T47">
            <v>0</v>
          </cell>
          <cell r="U47">
            <v>0</v>
          </cell>
          <cell r="V47" t="str">
            <v xml:space="preserve"> </v>
          </cell>
          <cell r="W47">
            <v>170311</v>
          </cell>
          <cell r="X47">
            <v>0</v>
          </cell>
          <cell r="Y47">
            <v>0</v>
          </cell>
          <cell r="Z47">
            <v>0</v>
          </cell>
          <cell r="AA47">
            <v>0</v>
          </cell>
          <cell r="AB47">
            <v>172555</v>
          </cell>
          <cell r="AC47">
            <v>0</v>
          </cell>
          <cell r="AD47">
            <v>19029</v>
          </cell>
          <cell r="AE47">
            <v>0</v>
          </cell>
          <cell r="AF47">
            <v>0</v>
          </cell>
          <cell r="AG47">
            <v>0</v>
          </cell>
          <cell r="AH47">
            <v>0</v>
          </cell>
          <cell r="AI47">
            <v>0</v>
          </cell>
          <cell r="AJ47">
            <v>0</v>
          </cell>
          <cell r="AK47">
            <v>0</v>
          </cell>
          <cell r="AL47">
            <v>0</v>
          </cell>
          <cell r="AM47">
            <v>1790</v>
          </cell>
          <cell r="AN47">
            <v>0</v>
          </cell>
          <cell r="AO47">
            <v>0</v>
          </cell>
          <cell r="AP47">
            <v>193374</v>
          </cell>
        </row>
        <row r="48">
          <cell r="D48" t="str">
            <v xml:space="preserve"> IMPERIAL          </v>
          </cell>
          <cell r="AO48">
            <v>-2247889</v>
          </cell>
          <cell r="AP48">
            <v>6503041</v>
          </cell>
        </row>
        <row r="50">
          <cell r="E50">
            <v>520</v>
          </cell>
          <cell r="F50" t="str">
            <v xml:space="preserve"> 2015-2016</v>
          </cell>
          <cell r="G50" t="str">
            <v xml:space="preserve"> 11/15/2015</v>
          </cell>
          <cell r="H50">
            <v>320387</v>
          </cell>
          <cell r="I50">
            <v>2616</v>
          </cell>
          <cell r="J50">
            <v>41396</v>
          </cell>
          <cell r="K50">
            <v>0</v>
          </cell>
          <cell r="L50">
            <v>0</v>
          </cell>
          <cell r="M50">
            <v>0</v>
          </cell>
          <cell r="N50">
            <v>0</v>
          </cell>
          <cell r="O50">
            <v>0</v>
          </cell>
          <cell r="P50">
            <v>0</v>
          </cell>
          <cell r="Q50">
            <v>3625</v>
          </cell>
          <cell r="R50">
            <v>0</v>
          </cell>
          <cell r="S50">
            <v>2331</v>
          </cell>
          <cell r="T50">
            <v>0</v>
          </cell>
          <cell r="U50">
            <v>0</v>
          </cell>
          <cell r="V50" t="str">
            <v xml:space="preserve"> </v>
          </cell>
          <cell r="W50">
            <v>370355</v>
          </cell>
          <cell r="X50">
            <v>0</v>
          </cell>
          <cell r="Y50">
            <v>0</v>
          </cell>
          <cell r="Z50">
            <v>0</v>
          </cell>
          <cell r="AA50">
            <v>0</v>
          </cell>
          <cell r="AB50">
            <v>323856</v>
          </cell>
          <cell r="AC50">
            <v>0</v>
          </cell>
          <cell r="AD50">
            <v>36327</v>
          </cell>
          <cell r="AE50">
            <v>0</v>
          </cell>
          <cell r="AF50">
            <v>0</v>
          </cell>
          <cell r="AG50">
            <v>0</v>
          </cell>
          <cell r="AH50">
            <v>0</v>
          </cell>
          <cell r="AI50">
            <v>0</v>
          </cell>
          <cell r="AJ50">
            <v>0</v>
          </cell>
          <cell r="AK50">
            <v>4721</v>
          </cell>
          <cell r="AL50">
            <v>0</v>
          </cell>
          <cell r="AM50">
            <v>2218</v>
          </cell>
          <cell r="AN50">
            <v>0</v>
          </cell>
          <cell r="AO50">
            <v>0</v>
          </cell>
          <cell r="AP50">
            <v>367122</v>
          </cell>
        </row>
        <row r="51">
          <cell r="D51" t="str">
            <v xml:space="preserve"> INYO              </v>
          </cell>
          <cell r="AO51">
            <v>0</v>
          </cell>
          <cell r="AP51">
            <v>367122</v>
          </cell>
        </row>
        <row r="53">
          <cell r="E53">
            <v>520</v>
          </cell>
          <cell r="F53" t="str">
            <v xml:space="preserve"> 2015-2016</v>
          </cell>
          <cell r="G53" t="str">
            <v xml:space="preserve"> 11/15/2015</v>
          </cell>
          <cell r="H53">
            <v>43807562</v>
          </cell>
          <cell r="I53">
            <v>1607842</v>
          </cell>
          <cell r="J53">
            <v>4173384</v>
          </cell>
          <cell r="K53">
            <v>291096</v>
          </cell>
          <cell r="L53">
            <v>138271</v>
          </cell>
          <cell r="M53">
            <v>0</v>
          </cell>
          <cell r="N53">
            <v>0</v>
          </cell>
          <cell r="O53">
            <v>325266</v>
          </cell>
          <cell r="P53">
            <v>0</v>
          </cell>
          <cell r="Q53">
            <v>0</v>
          </cell>
          <cell r="R53">
            <v>451</v>
          </cell>
          <cell r="S53">
            <v>390581</v>
          </cell>
          <cell r="T53">
            <v>0</v>
          </cell>
          <cell r="U53">
            <v>-8494615</v>
          </cell>
          <cell r="V53" t="str">
            <v xml:space="preserve"> </v>
          </cell>
          <cell r="W53">
            <v>41948742</v>
          </cell>
          <cell r="X53">
            <v>4022469</v>
          </cell>
          <cell r="Y53">
            <v>0</v>
          </cell>
          <cell r="Z53">
            <v>0</v>
          </cell>
          <cell r="AA53">
            <v>0</v>
          </cell>
          <cell r="AB53">
            <v>45633051</v>
          </cell>
          <cell r="AC53">
            <v>803921</v>
          </cell>
          <cell r="AD53">
            <v>4680452</v>
          </cell>
          <cell r="AE53">
            <v>0</v>
          </cell>
          <cell r="AF53">
            <v>0</v>
          </cell>
          <cell r="AG53">
            <v>0</v>
          </cell>
          <cell r="AH53">
            <v>0</v>
          </cell>
          <cell r="AI53">
            <v>0</v>
          </cell>
          <cell r="AJ53">
            <v>0</v>
          </cell>
          <cell r="AK53">
            <v>0</v>
          </cell>
          <cell r="AL53">
            <v>0</v>
          </cell>
          <cell r="AM53">
            <v>410465</v>
          </cell>
          <cell r="AN53">
            <v>0</v>
          </cell>
          <cell r="AO53">
            <v>-5237730</v>
          </cell>
          <cell r="AP53">
            <v>46290159</v>
          </cell>
        </row>
        <row r="54">
          <cell r="E54">
            <v>690</v>
          </cell>
          <cell r="F54" t="str">
            <v xml:space="preserve"> 2015-2016</v>
          </cell>
          <cell r="G54" t="str">
            <v xml:space="preserve"> 11/15/2015</v>
          </cell>
          <cell r="H54">
            <v>8111958</v>
          </cell>
          <cell r="I54">
            <v>381617</v>
          </cell>
          <cell r="J54">
            <v>993315</v>
          </cell>
          <cell r="K54">
            <v>0</v>
          </cell>
          <cell r="L54">
            <v>0</v>
          </cell>
          <cell r="M54">
            <v>0</v>
          </cell>
          <cell r="N54">
            <v>0</v>
          </cell>
          <cell r="O54">
            <v>0</v>
          </cell>
          <cell r="P54">
            <v>0</v>
          </cell>
          <cell r="Q54">
            <v>0</v>
          </cell>
          <cell r="R54">
            <v>0</v>
          </cell>
          <cell r="S54">
            <v>94213</v>
          </cell>
          <cell r="T54">
            <v>0</v>
          </cell>
          <cell r="U54">
            <v>0</v>
          </cell>
          <cell r="V54" t="str">
            <v xml:space="preserve"> </v>
          </cell>
          <cell r="W54">
            <v>9581103</v>
          </cell>
          <cell r="X54">
            <v>3268961</v>
          </cell>
          <cell r="Y54">
            <v>0</v>
          </cell>
          <cell r="Z54">
            <v>0</v>
          </cell>
          <cell r="AA54">
            <v>0</v>
          </cell>
          <cell r="AB54">
            <v>7389579</v>
          </cell>
          <cell r="AC54">
            <v>192308</v>
          </cell>
          <cell r="AD54">
            <v>754462</v>
          </cell>
          <cell r="AE54">
            <v>0</v>
          </cell>
          <cell r="AF54">
            <v>0</v>
          </cell>
          <cell r="AG54">
            <v>0</v>
          </cell>
          <cell r="AH54">
            <v>0</v>
          </cell>
          <cell r="AI54">
            <v>0</v>
          </cell>
          <cell r="AJ54">
            <v>0</v>
          </cell>
          <cell r="AK54">
            <v>0</v>
          </cell>
          <cell r="AL54">
            <v>0</v>
          </cell>
          <cell r="AM54">
            <v>66165</v>
          </cell>
          <cell r="AN54">
            <v>0</v>
          </cell>
          <cell r="AO54">
            <v>0</v>
          </cell>
          <cell r="AP54">
            <v>8402514</v>
          </cell>
        </row>
        <row r="55">
          <cell r="E55">
            <v>620</v>
          </cell>
          <cell r="F55" t="str">
            <v xml:space="preserve"> 2015-2016</v>
          </cell>
          <cell r="G55" t="str">
            <v xml:space="preserve"> 11/15/2015</v>
          </cell>
          <cell r="H55">
            <v>728099</v>
          </cell>
          <cell r="I55">
            <v>448</v>
          </cell>
          <cell r="J55">
            <v>63198</v>
          </cell>
          <cell r="K55">
            <v>0</v>
          </cell>
          <cell r="L55">
            <v>0</v>
          </cell>
          <cell r="M55">
            <v>0</v>
          </cell>
          <cell r="N55">
            <v>0</v>
          </cell>
          <cell r="O55">
            <v>0</v>
          </cell>
          <cell r="P55">
            <v>0</v>
          </cell>
          <cell r="Q55">
            <v>3269</v>
          </cell>
          <cell r="R55">
            <v>0</v>
          </cell>
          <cell r="S55">
            <v>5831</v>
          </cell>
          <cell r="T55">
            <v>0</v>
          </cell>
          <cell r="U55">
            <v>0</v>
          </cell>
          <cell r="V55" t="str">
            <v xml:space="preserve"> </v>
          </cell>
          <cell r="W55">
            <v>800845</v>
          </cell>
          <cell r="X55">
            <v>0</v>
          </cell>
          <cell r="Y55">
            <v>0</v>
          </cell>
          <cell r="Z55">
            <v>0</v>
          </cell>
          <cell r="AA55">
            <v>0</v>
          </cell>
          <cell r="AB55">
            <v>790431</v>
          </cell>
          <cell r="AC55">
            <v>224</v>
          </cell>
          <cell r="AD55">
            <v>81576</v>
          </cell>
          <cell r="AE55">
            <v>0</v>
          </cell>
          <cell r="AF55">
            <v>0</v>
          </cell>
          <cell r="AG55">
            <v>0</v>
          </cell>
          <cell r="AH55">
            <v>0</v>
          </cell>
          <cell r="AI55">
            <v>0</v>
          </cell>
          <cell r="AJ55">
            <v>0</v>
          </cell>
          <cell r="AK55">
            <v>0</v>
          </cell>
          <cell r="AL55">
            <v>0</v>
          </cell>
          <cell r="AM55">
            <v>7154</v>
          </cell>
          <cell r="AN55">
            <v>0</v>
          </cell>
          <cell r="AO55">
            <v>0</v>
          </cell>
          <cell r="AP55">
            <v>879385</v>
          </cell>
        </row>
        <row r="56">
          <cell r="D56" t="str">
            <v xml:space="preserve"> KERN              </v>
          </cell>
          <cell r="AO56">
            <v>-5237730</v>
          </cell>
          <cell r="AP56">
            <v>55572058</v>
          </cell>
        </row>
        <row r="58">
          <cell r="E58">
            <v>580</v>
          </cell>
          <cell r="F58" t="str">
            <v xml:space="preserve"> 2015-2016</v>
          </cell>
          <cell r="G58" t="str">
            <v xml:space="preserve"> 11/15/2015</v>
          </cell>
          <cell r="H58">
            <v>1029248</v>
          </cell>
          <cell r="I58">
            <v>13461</v>
          </cell>
          <cell r="J58">
            <v>44869</v>
          </cell>
          <cell r="K58">
            <v>58746</v>
          </cell>
          <cell r="L58">
            <v>27904</v>
          </cell>
          <cell r="M58">
            <v>0</v>
          </cell>
          <cell r="N58">
            <v>0</v>
          </cell>
          <cell r="O58">
            <v>259229</v>
          </cell>
          <cell r="P58">
            <v>419</v>
          </cell>
          <cell r="Q58">
            <v>11040</v>
          </cell>
          <cell r="R58">
            <v>0</v>
          </cell>
          <cell r="S58">
            <v>13100</v>
          </cell>
          <cell r="T58">
            <v>0</v>
          </cell>
          <cell r="U58">
            <v>-508450</v>
          </cell>
          <cell r="V58" t="str">
            <v xml:space="preserve"> </v>
          </cell>
          <cell r="W58">
            <v>890820</v>
          </cell>
          <cell r="X58">
            <v>0</v>
          </cell>
          <cell r="Y58">
            <v>0</v>
          </cell>
          <cell r="Z58">
            <v>0</v>
          </cell>
          <cell r="AA58">
            <v>0</v>
          </cell>
          <cell r="AB58">
            <v>1078117</v>
          </cell>
          <cell r="AC58">
            <v>13000</v>
          </cell>
          <cell r="AD58">
            <v>44000</v>
          </cell>
          <cell r="AE58">
            <v>58000</v>
          </cell>
          <cell r="AF58">
            <v>27550</v>
          </cell>
          <cell r="AG58">
            <v>0</v>
          </cell>
          <cell r="AH58">
            <v>0</v>
          </cell>
          <cell r="AI58">
            <v>259229</v>
          </cell>
          <cell r="AJ58">
            <v>0</v>
          </cell>
          <cell r="AK58">
            <v>11040</v>
          </cell>
          <cell r="AL58">
            <v>0</v>
          </cell>
          <cell r="AM58">
            <v>12462</v>
          </cell>
          <cell r="AN58">
            <v>0</v>
          </cell>
          <cell r="AO58">
            <v>-444400</v>
          </cell>
          <cell r="AP58">
            <v>1000998</v>
          </cell>
        </row>
        <row r="59">
          <cell r="E59">
            <v>570</v>
          </cell>
          <cell r="F59" t="str">
            <v xml:space="preserve"> 2015-2016</v>
          </cell>
          <cell r="G59" t="str">
            <v xml:space="preserve"> 11/15/2015</v>
          </cell>
          <cell r="H59">
            <v>54281</v>
          </cell>
          <cell r="I59">
            <v>712</v>
          </cell>
          <cell r="J59">
            <v>2574</v>
          </cell>
          <cell r="K59">
            <v>0</v>
          </cell>
          <cell r="L59">
            <v>0</v>
          </cell>
          <cell r="M59">
            <v>0</v>
          </cell>
          <cell r="N59">
            <v>0</v>
          </cell>
          <cell r="O59">
            <v>0</v>
          </cell>
          <cell r="P59">
            <v>0</v>
          </cell>
          <cell r="Q59">
            <v>633</v>
          </cell>
          <cell r="R59">
            <v>0</v>
          </cell>
          <cell r="S59">
            <v>693</v>
          </cell>
          <cell r="T59">
            <v>0</v>
          </cell>
          <cell r="U59">
            <v>-26908</v>
          </cell>
          <cell r="V59" t="str">
            <v xml:space="preserve"> </v>
          </cell>
          <cell r="W59">
            <v>31985</v>
          </cell>
          <cell r="X59">
            <v>0</v>
          </cell>
          <cell r="Y59">
            <v>0</v>
          </cell>
          <cell r="Z59">
            <v>0</v>
          </cell>
          <cell r="AA59">
            <v>0</v>
          </cell>
          <cell r="AB59">
            <v>57027</v>
          </cell>
          <cell r="AC59">
            <v>712</v>
          </cell>
          <cell r="AD59">
            <v>2600</v>
          </cell>
          <cell r="AE59">
            <v>0</v>
          </cell>
          <cell r="AF59">
            <v>0</v>
          </cell>
          <cell r="AG59">
            <v>0</v>
          </cell>
          <cell r="AH59">
            <v>0</v>
          </cell>
          <cell r="AI59">
            <v>0</v>
          </cell>
          <cell r="AJ59">
            <v>0</v>
          </cell>
          <cell r="AK59">
            <v>650</v>
          </cell>
          <cell r="AL59">
            <v>0</v>
          </cell>
          <cell r="AM59">
            <v>660</v>
          </cell>
          <cell r="AN59">
            <v>0</v>
          </cell>
          <cell r="AO59">
            <v>-23508</v>
          </cell>
          <cell r="AP59">
            <v>38141</v>
          </cell>
        </row>
        <row r="60">
          <cell r="E60">
            <v>560</v>
          </cell>
          <cell r="F60" t="str">
            <v xml:space="preserve"> 2015-2016</v>
          </cell>
          <cell r="G60" t="str">
            <v xml:space="preserve"> 11/15/2015</v>
          </cell>
          <cell r="H60">
            <v>2483139</v>
          </cell>
          <cell r="I60">
            <v>32693</v>
          </cell>
          <cell r="J60">
            <v>114610</v>
          </cell>
          <cell r="K60">
            <v>27643</v>
          </cell>
          <cell r="L60">
            <v>13130</v>
          </cell>
          <cell r="M60">
            <v>0</v>
          </cell>
          <cell r="N60">
            <v>0</v>
          </cell>
          <cell r="O60">
            <v>99950</v>
          </cell>
          <cell r="P60">
            <v>7632</v>
          </cell>
          <cell r="Q60">
            <v>28199</v>
          </cell>
          <cell r="R60">
            <v>0</v>
          </cell>
          <cell r="S60">
            <v>31813</v>
          </cell>
          <cell r="T60">
            <v>0</v>
          </cell>
          <cell r="U60">
            <v>-1234806</v>
          </cell>
          <cell r="V60" t="str">
            <v xml:space="preserve"> </v>
          </cell>
          <cell r="W60">
            <v>1576360</v>
          </cell>
          <cell r="X60">
            <v>0</v>
          </cell>
          <cell r="Y60">
            <v>0</v>
          </cell>
          <cell r="Z60">
            <v>0</v>
          </cell>
          <cell r="AA60">
            <v>0</v>
          </cell>
          <cell r="AB60">
            <v>2666827</v>
          </cell>
          <cell r="AC60">
            <v>15000</v>
          </cell>
          <cell r="AD60">
            <v>119000</v>
          </cell>
          <cell r="AE60">
            <v>28000</v>
          </cell>
          <cell r="AF60">
            <v>13300</v>
          </cell>
          <cell r="AG60">
            <v>0</v>
          </cell>
          <cell r="AH60">
            <v>0</v>
          </cell>
          <cell r="AI60">
            <v>99950</v>
          </cell>
          <cell r="AJ60">
            <v>0</v>
          </cell>
          <cell r="AK60">
            <v>29000</v>
          </cell>
          <cell r="AL60">
            <v>0</v>
          </cell>
          <cell r="AM60">
            <v>31040</v>
          </cell>
          <cell r="AN60">
            <v>0</v>
          </cell>
          <cell r="AO60">
            <v>-1099430</v>
          </cell>
          <cell r="AP60">
            <v>1874687</v>
          </cell>
        </row>
        <row r="61">
          <cell r="D61" t="str">
            <v xml:space="preserve"> KINGS             </v>
          </cell>
          <cell r="AO61">
            <v>-1567338</v>
          </cell>
          <cell r="AP61">
            <v>2913826</v>
          </cell>
        </row>
        <row r="63">
          <cell r="E63">
            <v>290</v>
          </cell>
          <cell r="F63" t="str">
            <v xml:space="preserve"> 2015-2016</v>
          </cell>
          <cell r="G63" t="str">
            <v xml:space="preserve"> 11/15/2015</v>
          </cell>
          <cell r="H63">
            <v>2219802</v>
          </cell>
          <cell r="I63">
            <v>3660</v>
          </cell>
          <cell r="J63">
            <v>53849</v>
          </cell>
          <cell r="K63">
            <v>5354</v>
          </cell>
          <cell r="L63">
            <v>2543</v>
          </cell>
          <cell r="M63">
            <v>0</v>
          </cell>
          <cell r="N63">
            <v>0</v>
          </cell>
          <cell r="O63">
            <v>19825</v>
          </cell>
          <cell r="P63">
            <v>0</v>
          </cell>
          <cell r="Q63">
            <v>1642</v>
          </cell>
          <cell r="R63">
            <v>0</v>
          </cell>
          <cell r="S63">
            <v>31098</v>
          </cell>
          <cell r="T63">
            <v>1773</v>
          </cell>
          <cell r="U63">
            <v>0</v>
          </cell>
          <cell r="V63" t="str">
            <v xml:space="preserve"> </v>
          </cell>
          <cell r="W63">
            <v>2334192</v>
          </cell>
          <cell r="X63">
            <v>0</v>
          </cell>
          <cell r="Y63">
            <v>0</v>
          </cell>
          <cell r="Z63">
            <v>0</v>
          </cell>
          <cell r="AA63">
            <v>0</v>
          </cell>
          <cell r="AB63">
            <v>2305560</v>
          </cell>
          <cell r="AC63">
            <v>2745</v>
          </cell>
          <cell r="AD63">
            <v>54087</v>
          </cell>
          <cell r="AE63">
            <v>5643</v>
          </cell>
          <cell r="AF63">
            <v>2680</v>
          </cell>
          <cell r="AG63">
            <v>0</v>
          </cell>
          <cell r="AH63">
            <v>0</v>
          </cell>
          <cell r="AI63">
            <v>20260</v>
          </cell>
          <cell r="AJ63">
            <v>0</v>
          </cell>
          <cell r="AK63">
            <v>1642</v>
          </cell>
          <cell r="AL63">
            <v>0</v>
          </cell>
          <cell r="AM63">
            <v>30352</v>
          </cell>
          <cell r="AN63">
            <v>1773</v>
          </cell>
          <cell r="AO63">
            <v>0</v>
          </cell>
          <cell r="AP63">
            <v>2419099</v>
          </cell>
        </row>
        <row r="64">
          <cell r="E64">
            <v>140</v>
          </cell>
          <cell r="F64" t="str">
            <v xml:space="preserve"> 2015-2016</v>
          </cell>
          <cell r="G64" t="str">
            <v xml:space="preserve"> 11/15/2015</v>
          </cell>
          <cell r="H64">
            <v>2044123</v>
          </cell>
          <cell r="I64">
            <v>3298</v>
          </cell>
          <cell r="J64">
            <v>49162</v>
          </cell>
          <cell r="K64">
            <v>34934</v>
          </cell>
          <cell r="L64">
            <v>16594</v>
          </cell>
          <cell r="M64">
            <v>0</v>
          </cell>
          <cell r="N64">
            <v>0</v>
          </cell>
          <cell r="O64">
            <v>96411</v>
          </cell>
          <cell r="P64">
            <v>0</v>
          </cell>
          <cell r="Q64">
            <v>1494</v>
          </cell>
          <cell r="R64">
            <v>935</v>
          </cell>
          <cell r="S64">
            <v>28391</v>
          </cell>
          <cell r="T64">
            <v>15955</v>
          </cell>
          <cell r="U64">
            <v>-29172</v>
          </cell>
          <cell r="V64" t="str">
            <v xml:space="preserve"> </v>
          </cell>
          <cell r="W64">
            <v>2227191</v>
          </cell>
          <cell r="X64">
            <v>0</v>
          </cell>
          <cell r="Y64">
            <v>0</v>
          </cell>
          <cell r="Z64">
            <v>0</v>
          </cell>
          <cell r="AA64">
            <v>0</v>
          </cell>
          <cell r="AB64">
            <v>2075484</v>
          </cell>
          <cell r="AC64">
            <v>2473</v>
          </cell>
          <cell r="AD64">
            <v>49438</v>
          </cell>
          <cell r="AE64">
            <v>34860</v>
          </cell>
          <cell r="AF64">
            <v>16559</v>
          </cell>
          <cell r="AG64">
            <v>0</v>
          </cell>
          <cell r="AH64">
            <v>0</v>
          </cell>
          <cell r="AI64">
            <v>98728</v>
          </cell>
          <cell r="AJ64">
            <v>0</v>
          </cell>
          <cell r="AK64">
            <v>1494</v>
          </cell>
          <cell r="AL64">
            <v>935</v>
          </cell>
          <cell r="AM64">
            <v>27743</v>
          </cell>
          <cell r="AN64">
            <v>15955</v>
          </cell>
          <cell r="AO64">
            <v>133606</v>
          </cell>
          <cell r="AP64">
            <v>2422415</v>
          </cell>
        </row>
        <row r="65">
          <cell r="D65" t="str">
            <v xml:space="preserve"> LAKE              </v>
          </cell>
          <cell r="AO65">
            <v>133606</v>
          </cell>
          <cell r="AP65">
            <v>4841514</v>
          </cell>
        </row>
        <row r="67">
          <cell r="E67">
            <v>130</v>
          </cell>
          <cell r="F67" t="str">
            <v xml:space="preserve"> 2015-2016</v>
          </cell>
          <cell r="G67" t="str">
            <v xml:space="preserve"> 11/15/2015</v>
          </cell>
          <cell r="H67">
            <v>1775268</v>
          </cell>
          <cell r="I67">
            <v>5855</v>
          </cell>
          <cell r="J67">
            <v>87798</v>
          </cell>
          <cell r="K67">
            <v>0</v>
          </cell>
          <cell r="L67">
            <v>0</v>
          </cell>
          <cell r="M67">
            <v>0</v>
          </cell>
          <cell r="N67">
            <v>0</v>
          </cell>
          <cell r="O67">
            <v>0</v>
          </cell>
          <cell r="P67">
            <v>0</v>
          </cell>
          <cell r="Q67">
            <v>7618</v>
          </cell>
          <cell r="R67">
            <v>10741</v>
          </cell>
          <cell r="S67">
            <v>32504</v>
          </cell>
          <cell r="T67">
            <v>0</v>
          </cell>
          <cell r="U67">
            <v>-399103</v>
          </cell>
          <cell r="V67" t="str">
            <v xml:space="preserve"> </v>
          </cell>
          <cell r="W67">
            <v>1520681</v>
          </cell>
          <cell r="X67">
            <v>0</v>
          </cell>
          <cell r="Y67">
            <v>0</v>
          </cell>
          <cell r="Z67">
            <v>0</v>
          </cell>
          <cell r="AA67">
            <v>0</v>
          </cell>
          <cell r="AB67">
            <v>1789887</v>
          </cell>
          <cell r="AC67">
            <v>5842</v>
          </cell>
          <cell r="AD67">
            <v>86042</v>
          </cell>
          <cell r="AE67">
            <v>0</v>
          </cell>
          <cell r="AF67">
            <v>0</v>
          </cell>
          <cell r="AG67">
            <v>0</v>
          </cell>
          <cell r="AH67">
            <v>0</v>
          </cell>
          <cell r="AI67">
            <v>0</v>
          </cell>
          <cell r="AJ67">
            <v>0</v>
          </cell>
          <cell r="AK67">
            <v>7466</v>
          </cell>
          <cell r="AL67">
            <v>10038</v>
          </cell>
          <cell r="AM67">
            <v>31639</v>
          </cell>
          <cell r="AN67">
            <v>0</v>
          </cell>
          <cell r="AO67">
            <v>-340477</v>
          </cell>
          <cell r="AP67">
            <v>1590437</v>
          </cell>
        </row>
        <row r="68">
          <cell r="E68">
            <v>170</v>
          </cell>
          <cell r="F68" t="str">
            <v xml:space="preserve"> 2015-2016</v>
          </cell>
          <cell r="G68" t="str">
            <v xml:space="preserve"> 11/15/2015</v>
          </cell>
          <cell r="H68">
            <v>78086</v>
          </cell>
          <cell r="I68">
            <v>242</v>
          </cell>
          <cell r="J68">
            <v>3918</v>
          </cell>
          <cell r="K68">
            <v>0</v>
          </cell>
          <cell r="L68">
            <v>0</v>
          </cell>
          <cell r="M68">
            <v>0</v>
          </cell>
          <cell r="N68">
            <v>0</v>
          </cell>
          <cell r="O68">
            <v>0</v>
          </cell>
          <cell r="P68">
            <v>0</v>
          </cell>
          <cell r="Q68">
            <v>27</v>
          </cell>
          <cell r="R68">
            <v>475</v>
          </cell>
          <cell r="S68">
            <v>1408</v>
          </cell>
          <cell r="T68">
            <v>0</v>
          </cell>
          <cell r="U68">
            <v>-17767</v>
          </cell>
          <cell r="V68" t="str">
            <v xml:space="preserve"> </v>
          </cell>
          <cell r="W68">
            <v>66389</v>
          </cell>
          <cell r="X68">
            <v>0</v>
          </cell>
          <cell r="Y68">
            <v>0</v>
          </cell>
          <cell r="Z68">
            <v>0</v>
          </cell>
          <cell r="AA68">
            <v>0</v>
          </cell>
          <cell r="AB68">
            <v>76524</v>
          </cell>
          <cell r="AC68">
            <v>265</v>
          </cell>
          <cell r="AD68">
            <v>3840</v>
          </cell>
          <cell r="AE68">
            <v>0</v>
          </cell>
          <cell r="AF68">
            <v>0</v>
          </cell>
          <cell r="AG68">
            <v>0</v>
          </cell>
          <cell r="AH68">
            <v>0</v>
          </cell>
          <cell r="AI68">
            <v>0</v>
          </cell>
          <cell r="AJ68">
            <v>0</v>
          </cell>
          <cell r="AK68">
            <v>26</v>
          </cell>
          <cell r="AL68">
            <v>452</v>
          </cell>
          <cell r="AM68">
            <v>1380</v>
          </cell>
          <cell r="AN68">
            <v>0</v>
          </cell>
          <cell r="AO68">
            <v>-16849</v>
          </cell>
          <cell r="AP68">
            <v>65638</v>
          </cell>
        </row>
        <row r="69">
          <cell r="D69" t="str">
            <v xml:space="preserve"> LASSEN            </v>
          </cell>
          <cell r="AO69">
            <v>-357326</v>
          </cell>
          <cell r="AP69">
            <v>1656075</v>
          </cell>
        </row>
        <row r="71">
          <cell r="E71">
            <v>620</v>
          </cell>
          <cell r="F71" t="str">
            <v xml:space="preserve"> 2015-2016</v>
          </cell>
          <cell r="G71" t="str">
            <v xml:space="preserve"> 11/15/2015</v>
          </cell>
          <cell r="H71">
            <v>4446928</v>
          </cell>
          <cell r="I71">
            <v>145163</v>
          </cell>
          <cell r="J71">
            <v>168838</v>
          </cell>
          <cell r="K71">
            <v>8110</v>
          </cell>
          <cell r="L71">
            <v>3852</v>
          </cell>
          <cell r="M71">
            <v>0</v>
          </cell>
          <cell r="N71">
            <v>0</v>
          </cell>
          <cell r="O71">
            <v>182897</v>
          </cell>
          <cell r="P71">
            <v>0</v>
          </cell>
          <cell r="Q71">
            <v>92806</v>
          </cell>
          <cell r="R71">
            <v>0</v>
          </cell>
          <cell r="S71">
            <v>33622</v>
          </cell>
          <cell r="T71">
            <v>0</v>
          </cell>
          <cell r="U71">
            <v>0</v>
          </cell>
          <cell r="V71" t="str">
            <v xml:space="preserve"> </v>
          </cell>
          <cell r="W71">
            <v>5074106</v>
          </cell>
          <cell r="X71">
            <v>0</v>
          </cell>
          <cell r="Y71">
            <v>0</v>
          </cell>
          <cell r="Z71">
            <v>0</v>
          </cell>
          <cell r="AA71">
            <v>0</v>
          </cell>
          <cell r="AB71">
            <v>4701737</v>
          </cell>
          <cell r="AC71">
            <v>181454</v>
          </cell>
          <cell r="AD71">
            <v>169000</v>
          </cell>
          <cell r="AE71">
            <v>8059</v>
          </cell>
          <cell r="AF71">
            <v>3828</v>
          </cell>
          <cell r="AG71">
            <v>0</v>
          </cell>
          <cell r="AH71">
            <v>0</v>
          </cell>
          <cell r="AI71">
            <v>177810</v>
          </cell>
          <cell r="AJ71">
            <v>0</v>
          </cell>
          <cell r="AK71">
            <v>104470</v>
          </cell>
          <cell r="AL71">
            <v>0</v>
          </cell>
          <cell r="AM71">
            <v>33600</v>
          </cell>
          <cell r="AN71">
            <v>0</v>
          </cell>
          <cell r="AO71">
            <v>0</v>
          </cell>
          <cell r="AP71">
            <v>5371899</v>
          </cell>
        </row>
        <row r="72">
          <cell r="E72">
            <v>810</v>
          </cell>
          <cell r="F72" t="str">
            <v xml:space="preserve"> 2015-2016</v>
          </cell>
          <cell r="G72" t="str">
            <v xml:space="preserve"> 11/15/2015</v>
          </cell>
          <cell r="H72">
            <v>7501085</v>
          </cell>
          <cell r="I72">
            <v>241562</v>
          </cell>
          <cell r="J72">
            <v>212263</v>
          </cell>
          <cell r="K72">
            <v>158184</v>
          </cell>
          <cell r="L72">
            <v>75137</v>
          </cell>
          <cell r="M72">
            <v>0</v>
          </cell>
          <cell r="N72">
            <v>0</v>
          </cell>
          <cell r="O72">
            <v>847376</v>
          </cell>
          <cell r="P72">
            <v>-252</v>
          </cell>
          <cell r="Q72">
            <v>206755</v>
          </cell>
          <cell r="R72">
            <v>0</v>
          </cell>
          <cell r="S72">
            <v>56186</v>
          </cell>
          <cell r="T72">
            <v>0</v>
          </cell>
          <cell r="U72">
            <v>4207729</v>
          </cell>
          <cell r="V72" t="str">
            <v xml:space="preserve"> </v>
          </cell>
          <cell r="W72">
            <v>13347841</v>
          </cell>
          <cell r="X72">
            <v>0</v>
          </cell>
          <cell r="Y72">
            <v>0</v>
          </cell>
          <cell r="Z72">
            <v>0</v>
          </cell>
          <cell r="AA72">
            <v>0</v>
          </cell>
          <cell r="AB72">
            <v>7840134</v>
          </cell>
          <cell r="AC72">
            <v>301953</v>
          </cell>
          <cell r="AD72">
            <v>212000</v>
          </cell>
          <cell r="AE72">
            <v>74021</v>
          </cell>
          <cell r="AF72">
            <v>35160</v>
          </cell>
          <cell r="AG72">
            <v>0</v>
          </cell>
          <cell r="AH72">
            <v>0</v>
          </cell>
          <cell r="AI72">
            <v>205052</v>
          </cell>
          <cell r="AJ72">
            <v>0</v>
          </cell>
          <cell r="AK72">
            <v>244825</v>
          </cell>
          <cell r="AL72">
            <v>0</v>
          </cell>
          <cell r="AM72">
            <v>56200</v>
          </cell>
          <cell r="AN72">
            <v>0</v>
          </cell>
          <cell r="AO72">
            <v>0</v>
          </cell>
          <cell r="AP72">
            <v>8895324</v>
          </cell>
        </row>
        <row r="73">
          <cell r="E73">
            <v>820</v>
          </cell>
          <cell r="F73" t="str">
            <v xml:space="preserve"> 2015-2016</v>
          </cell>
          <cell r="G73" t="str">
            <v xml:space="preserve"> 11/15/2015</v>
          </cell>
          <cell r="H73">
            <v>4193110</v>
          </cell>
          <cell r="I73">
            <v>120255</v>
          </cell>
          <cell r="J73">
            <v>94581</v>
          </cell>
          <cell r="K73">
            <v>78708</v>
          </cell>
          <cell r="L73">
            <v>37386</v>
          </cell>
          <cell r="M73">
            <v>0</v>
          </cell>
          <cell r="N73">
            <v>0</v>
          </cell>
          <cell r="O73">
            <v>377151</v>
          </cell>
          <cell r="P73">
            <v>0</v>
          </cell>
          <cell r="Q73">
            <v>108472</v>
          </cell>
          <cell r="R73">
            <v>0</v>
          </cell>
          <cell r="S73">
            <v>31651</v>
          </cell>
          <cell r="T73">
            <v>0</v>
          </cell>
          <cell r="U73">
            <v>0</v>
          </cell>
          <cell r="V73" t="str">
            <v xml:space="preserve"> </v>
          </cell>
          <cell r="W73">
            <v>4962606</v>
          </cell>
          <cell r="X73">
            <v>0</v>
          </cell>
          <cell r="Y73">
            <v>0</v>
          </cell>
          <cell r="Z73">
            <v>0</v>
          </cell>
          <cell r="AA73">
            <v>0</v>
          </cell>
          <cell r="AB73">
            <v>4445535</v>
          </cell>
          <cell r="AC73">
            <v>150319</v>
          </cell>
          <cell r="AD73">
            <v>95000</v>
          </cell>
          <cell r="AE73">
            <v>33330</v>
          </cell>
          <cell r="AF73">
            <v>15832</v>
          </cell>
          <cell r="AG73">
            <v>0</v>
          </cell>
          <cell r="AH73">
            <v>0</v>
          </cell>
          <cell r="AI73">
            <v>174490</v>
          </cell>
          <cell r="AJ73">
            <v>0</v>
          </cell>
          <cell r="AK73">
            <v>112738</v>
          </cell>
          <cell r="AL73">
            <v>0</v>
          </cell>
          <cell r="AM73">
            <v>31700</v>
          </cell>
          <cell r="AN73">
            <v>0</v>
          </cell>
          <cell r="AO73">
            <v>0</v>
          </cell>
          <cell r="AP73">
            <v>5025614</v>
          </cell>
        </row>
        <row r="74">
          <cell r="E74">
            <v>710</v>
          </cell>
          <cell r="F74" t="str">
            <v xml:space="preserve"> 2015-2016</v>
          </cell>
          <cell r="G74" t="str">
            <v xml:space="preserve"> 11/15/2015</v>
          </cell>
          <cell r="H74">
            <v>3747506</v>
          </cell>
          <cell r="I74">
            <v>114816</v>
          </cell>
          <cell r="J74">
            <v>49447</v>
          </cell>
          <cell r="K74">
            <v>140688</v>
          </cell>
          <cell r="L74">
            <v>66827</v>
          </cell>
          <cell r="M74">
            <v>0</v>
          </cell>
          <cell r="N74">
            <v>0</v>
          </cell>
          <cell r="O74">
            <v>587581</v>
          </cell>
          <cell r="P74">
            <v>144290</v>
          </cell>
          <cell r="Q74">
            <v>94598</v>
          </cell>
          <cell r="R74">
            <v>0</v>
          </cell>
          <cell r="S74">
            <v>27701</v>
          </cell>
          <cell r="T74">
            <v>0</v>
          </cell>
          <cell r="U74">
            <v>0</v>
          </cell>
          <cell r="V74" t="str">
            <v xml:space="preserve"> </v>
          </cell>
          <cell r="W74">
            <v>4832766</v>
          </cell>
          <cell r="X74">
            <v>0</v>
          </cell>
          <cell r="Y74">
            <v>0</v>
          </cell>
          <cell r="Z74">
            <v>0</v>
          </cell>
          <cell r="AA74">
            <v>0</v>
          </cell>
          <cell r="AB74">
            <v>3933008</v>
          </cell>
          <cell r="AC74">
            <v>143520</v>
          </cell>
          <cell r="AD74">
            <v>49000</v>
          </cell>
          <cell r="AE74">
            <v>72654</v>
          </cell>
          <cell r="AF74">
            <v>34511</v>
          </cell>
          <cell r="AG74">
            <v>0</v>
          </cell>
          <cell r="AH74">
            <v>0</v>
          </cell>
          <cell r="AI74">
            <v>191482</v>
          </cell>
          <cell r="AJ74">
            <v>0</v>
          </cell>
          <cell r="AK74">
            <v>85270</v>
          </cell>
          <cell r="AL74">
            <v>0</v>
          </cell>
          <cell r="AM74">
            <v>27700</v>
          </cell>
          <cell r="AN74">
            <v>0</v>
          </cell>
          <cell r="AO74">
            <v>0</v>
          </cell>
          <cell r="AP74">
            <v>4464491</v>
          </cell>
        </row>
        <row r="75">
          <cell r="E75">
            <v>720</v>
          </cell>
          <cell r="F75" t="str">
            <v xml:space="preserve"> 2015-2016</v>
          </cell>
          <cell r="G75" t="str">
            <v xml:space="preserve"> 11/15/2015</v>
          </cell>
          <cell r="H75">
            <v>24635336</v>
          </cell>
          <cell r="I75">
            <v>698132</v>
          </cell>
          <cell r="J75">
            <v>974272</v>
          </cell>
          <cell r="K75">
            <v>91965</v>
          </cell>
          <cell r="L75">
            <v>43683</v>
          </cell>
          <cell r="M75">
            <v>0</v>
          </cell>
          <cell r="N75">
            <v>0</v>
          </cell>
          <cell r="O75">
            <v>353090</v>
          </cell>
          <cell r="P75">
            <v>704878</v>
          </cell>
          <cell r="Q75">
            <v>577276</v>
          </cell>
          <cell r="R75">
            <v>0</v>
          </cell>
          <cell r="S75">
            <v>187572</v>
          </cell>
          <cell r="T75">
            <v>0</v>
          </cell>
          <cell r="U75">
            <v>0</v>
          </cell>
          <cell r="V75" t="str">
            <v xml:space="preserve"> </v>
          </cell>
          <cell r="W75">
            <v>28174239</v>
          </cell>
          <cell r="X75">
            <v>0</v>
          </cell>
          <cell r="Y75">
            <v>0</v>
          </cell>
          <cell r="Z75">
            <v>0</v>
          </cell>
          <cell r="AA75">
            <v>0</v>
          </cell>
          <cell r="AB75">
            <v>25968108</v>
          </cell>
          <cell r="AC75">
            <v>872665</v>
          </cell>
          <cell r="AD75">
            <v>974000</v>
          </cell>
          <cell r="AE75">
            <v>41817</v>
          </cell>
          <cell r="AF75">
            <v>19863</v>
          </cell>
          <cell r="AG75">
            <v>0</v>
          </cell>
          <cell r="AH75">
            <v>0</v>
          </cell>
          <cell r="AI75">
            <v>249520</v>
          </cell>
          <cell r="AJ75">
            <v>0</v>
          </cell>
          <cell r="AK75">
            <v>661226</v>
          </cell>
          <cell r="AL75">
            <v>0</v>
          </cell>
          <cell r="AM75">
            <v>187600</v>
          </cell>
          <cell r="AN75">
            <v>0</v>
          </cell>
          <cell r="AO75">
            <v>0</v>
          </cell>
          <cell r="AP75">
            <v>28932982</v>
          </cell>
        </row>
        <row r="76">
          <cell r="E76">
            <v>740</v>
          </cell>
          <cell r="F76" t="str">
            <v xml:space="preserve"> 2015-2016</v>
          </cell>
          <cell r="G76" t="str">
            <v xml:space="preserve"> 11/15/2015</v>
          </cell>
          <cell r="H76">
            <v>156653302</v>
          </cell>
          <cell r="I76">
            <v>4245540</v>
          </cell>
          <cell r="J76">
            <v>5734245</v>
          </cell>
          <cell r="K76">
            <v>1950215</v>
          </cell>
          <cell r="L76">
            <v>926352</v>
          </cell>
          <cell r="M76">
            <v>0</v>
          </cell>
          <cell r="N76">
            <v>0</v>
          </cell>
          <cell r="O76">
            <v>7903537</v>
          </cell>
          <cell r="P76">
            <v>423356</v>
          </cell>
          <cell r="Q76">
            <v>3730432</v>
          </cell>
          <cell r="R76">
            <v>0</v>
          </cell>
          <cell r="S76">
            <v>1178509</v>
          </cell>
          <cell r="T76">
            <v>0</v>
          </cell>
          <cell r="U76">
            <v>0</v>
          </cell>
          <cell r="V76" t="str">
            <v xml:space="preserve"> </v>
          </cell>
          <cell r="W76">
            <v>180795273</v>
          </cell>
          <cell r="X76">
            <v>0</v>
          </cell>
          <cell r="Y76">
            <v>0</v>
          </cell>
          <cell r="Z76">
            <v>0</v>
          </cell>
          <cell r="AA76">
            <v>0</v>
          </cell>
          <cell r="AB76">
            <v>167008085</v>
          </cell>
          <cell r="AC76">
            <v>5306925</v>
          </cell>
          <cell r="AD76">
            <v>5734000</v>
          </cell>
          <cell r="AE76">
            <v>906779</v>
          </cell>
          <cell r="AF76">
            <v>430720</v>
          </cell>
          <cell r="AG76">
            <v>0</v>
          </cell>
          <cell r="AH76">
            <v>0</v>
          </cell>
          <cell r="AI76">
            <v>1755970</v>
          </cell>
          <cell r="AJ76">
            <v>0</v>
          </cell>
          <cell r="AK76">
            <v>4023440</v>
          </cell>
          <cell r="AL76">
            <v>0</v>
          </cell>
          <cell r="AM76">
            <v>1178500</v>
          </cell>
          <cell r="AN76">
            <v>0</v>
          </cell>
          <cell r="AO76">
            <v>0</v>
          </cell>
          <cell r="AP76">
            <v>185437640</v>
          </cell>
        </row>
        <row r="77">
          <cell r="E77">
            <v>850</v>
          </cell>
          <cell r="F77" t="str">
            <v xml:space="preserve"> 2015-2016</v>
          </cell>
          <cell r="G77" t="str">
            <v xml:space="preserve"> 11/15/2015</v>
          </cell>
          <cell r="H77">
            <v>17324120</v>
          </cell>
          <cell r="I77">
            <v>516172</v>
          </cell>
          <cell r="J77">
            <v>417380</v>
          </cell>
          <cell r="K77">
            <v>820619</v>
          </cell>
          <cell r="L77">
            <v>389794</v>
          </cell>
          <cell r="M77">
            <v>0</v>
          </cell>
          <cell r="N77">
            <v>0</v>
          </cell>
          <cell r="O77">
            <v>809150</v>
          </cell>
          <cell r="P77">
            <v>0</v>
          </cell>
          <cell r="Q77">
            <v>412153</v>
          </cell>
          <cell r="R77">
            <v>0</v>
          </cell>
          <cell r="S77">
            <v>129721</v>
          </cell>
          <cell r="T77">
            <v>0</v>
          </cell>
          <cell r="U77">
            <v>3898947</v>
          </cell>
          <cell r="V77" t="str">
            <v xml:space="preserve"> </v>
          </cell>
          <cell r="W77">
            <v>23897437</v>
          </cell>
          <cell r="X77">
            <v>0</v>
          </cell>
          <cell r="Y77">
            <v>0</v>
          </cell>
          <cell r="Z77">
            <v>0</v>
          </cell>
          <cell r="AA77">
            <v>0</v>
          </cell>
          <cell r="AB77">
            <v>18164340</v>
          </cell>
          <cell r="AC77">
            <v>645215</v>
          </cell>
          <cell r="AD77">
            <v>417000</v>
          </cell>
          <cell r="AE77">
            <v>171495</v>
          </cell>
          <cell r="AF77">
            <v>81460</v>
          </cell>
          <cell r="AG77">
            <v>0</v>
          </cell>
          <cell r="AH77">
            <v>0</v>
          </cell>
          <cell r="AI77">
            <v>958836</v>
          </cell>
          <cell r="AJ77">
            <v>0</v>
          </cell>
          <cell r="AK77">
            <v>419313</v>
          </cell>
          <cell r="AL77">
            <v>0</v>
          </cell>
          <cell r="AM77">
            <v>129700</v>
          </cell>
          <cell r="AN77">
            <v>0</v>
          </cell>
          <cell r="AO77">
            <v>0</v>
          </cell>
          <cell r="AP77">
            <v>20815864</v>
          </cell>
        </row>
        <row r="78">
          <cell r="E78">
            <v>770</v>
          </cell>
          <cell r="F78" t="str">
            <v xml:space="preserve"> 2015-2016</v>
          </cell>
          <cell r="G78" t="str">
            <v xml:space="preserve"> 11/15/2015</v>
          </cell>
          <cell r="H78">
            <v>20974101</v>
          </cell>
          <cell r="I78">
            <v>550882</v>
          </cell>
          <cell r="J78">
            <v>821242</v>
          </cell>
          <cell r="K78">
            <v>63451</v>
          </cell>
          <cell r="L78">
            <v>30139</v>
          </cell>
          <cell r="M78">
            <v>0</v>
          </cell>
          <cell r="N78">
            <v>0</v>
          </cell>
          <cell r="O78">
            <v>1584935</v>
          </cell>
          <cell r="P78">
            <v>1239</v>
          </cell>
          <cell r="Q78">
            <v>482203</v>
          </cell>
          <cell r="R78">
            <v>0</v>
          </cell>
          <cell r="S78">
            <v>161165</v>
          </cell>
          <cell r="T78">
            <v>0</v>
          </cell>
          <cell r="U78">
            <v>0</v>
          </cell>
          <cell r="V78" t="str">
            <v xml:space="preserve"> </v>
          </cell>
          <cell r="W78">
            <v>24605906</v>
          </cell>
          <cell r="X78">
            <v>0</v>
          </cell>
          <cell r="Y78">
            <v>0</v>
          </cell>
          <cell r="Z78">
            <v>0</v>
          </cell>
          <cell r="AA78">
            <v>0</v>
          </cell>
          <cell r="AB78">
            <v>22354197</v>
          </cell>
          <cell r="AC78">
            <v>688603</v>
          </cell>
          <cell r="AD78">
            <v>821000</v>
          </cell>
          <cell r="AE78">
            <v>23868</v>
          </cell>
          <cell r="AF78">
            <v>11337</v>
          </cell>
          <cell r="AG78">
            <v>0</v>
          </cell>
          <cell r="AH78">
            <v>0</v>
          </cell>
          <cell r="AI78">
            <v>74503</v>
          </cell>
          <cell r="AJ78">
            <v>0</v>
          </cell>
          <cell r="AK78">
            <v>513497</v>
          </cell>
          <cell r="AL78">
            <v>0</v>
          </cell>
          <cell r="AM78">
            <v>161200</v>
          </cell>
          <cell r="AN78">
            <v>0</v>
          </cell>
          <cell r="AO78">
            <v>0</v>
          </cell>
          <cell r="AP78">
            <v>24624337</v>
          </cell>
        </row>
        <row r="79">
          <cell r="E79">
            <v>880</v>
          </cell>
          <cell r="F79" t="str">
            <v xml:space="preserve"> 2015-2016</v>
          </cell>
          <cell r="G79" t="str">
            <v xml:space="preserve"> 11/15/2015</v>
          </cell>
          <cell r="H79">
            <v>5185926</v>
          </cell>
          <cell r="I79">
            <v>148141</v>
          </cell>
          <cell r="J79">
            <v>124061</v>
          </cell>
          <cell r="K79">
            <v>144664</v>
          </cell>
          <cell r="L79">
            <v>68715</v>
          </cell>
          <cell r="M79">
            <v>0</v>
          </cell>
          <cell r="N79">
            <v>0</v>
          </cell>
          <cell r="O79">
            <v>555289</v>
          </cell>
          <cell r="P79">
            <v>-1005</v>
          </cell>
          <cell r="Q79">
            <v>46341</v>
          </cell>
          <cell r="R79">
            <v>0</v>
          </cell>
          <cell r="S79">
            <v>38697</v>
          </cell>
          <cell r="T79">
            <v>0</v>
          </cell>
          <cell r="U79">
            <v>0</v>
          </cell>
          <cell r="V79" t="str">
            <v xml:space="preserve"> </v>
          </cell>
          <cell r="W79">
            <v>6166165</v>
          </cell>
          <cell r="X79">
            <v>0</v>
          </cell>
          <cell r="Y79">
            <v>0</v>
          </cell>
          <cell r="Z79">
            <v>0</v>
          </cell>
          <cell r="AA79">
            <v>0</v>
          </cell>
          <cell r="AB79">
            <v>5419293</v>
          </cell>
          <cell r="AC79">
            <v>185176</v>
          </cell>
          <cell r="AD79">
            <v>124000</v>
          </cell>
          <cell r="AE79">
            <v>60167</v>
          </cell>
          <cell r="AF79">
            <v>28579</v>
          </cell>
          <cell r="AG79">
            <v>0</v>
          </cell>
          <cell r="AH79">
            <v>0</v>
          </cell>
          <cell r="AI79">
            <v>83957</v>
          </cell>
          <cell r="AJ79">
            <v>0</v>
          </cell>
          <cell r="AK79">
            <v>97413</v>
          </cell>
          <cell r="AL79">
            <v>0</v>
          </cell>
          <cell r="AM79">
            <v>38700</v>
          </cell>
          <cell r="AN79">
            <v>0</v>
          </cell>
          <cell r="AO79">
            <v>0</v>
          </cell>
          <cell r="AP79">
            <v>5977118</v>
          </cell>
        </row>
        <row r="80">
          <cell r="E80">
            <v>660</v>
          </cell>
          <cell r="F80" t="str">
            <v xml:space="preserve"> 2015-2016</v>
          </cell>
          <cell r="G80" t="str">
            <v xml:space="preserve"> 11/15/2015</v>
          </cell>
          <cell r="H80">
            <v>13092561</v>
          </cell>
          <cell r="I80">
            <v>356276</v>
          </cell>
          <cell r="J80">
            <v>509826</v>
          </cell>
          <cell r="K80">
            <v>24436</v>
          </cell>
          <cell r="L80">
            <v>11607</v>
          </cell>
          <cell r="M80">
            <v>0</v>
          </cell>
          <cell r="N80">
            <v>0</v>
          </cell>
          <cell r="O80">
            <v>1639</v>
          </cell>
          <cell r="P80">
            <v>0</v>
          </cell>
          <cell r="Q80">
            <v>282684</v>
          </cell>
          <cell r="R80">
            <v>0</v>
          </cell>
          <cell r="S80">
            <v>100044</v>
          </cell>
          <cell r="T80">
            <v>0</v>
          </cell>
          <cell r="U80">
            <v>0</v>
          </cell>
          <cell r="V80" t="str">
            <v xml:space="preserve"> </v>
          </cell>
          <cell r="W80">
            <v>14354637</v>
          </cell>
          <cell r="X80">
            <v>0</v>
          </cell>
          <cell r="Y80">
            <v>0</v>
          </cell>
          <cell r="Z80">
            <v>0</v>
          </cell>
          <cell r="AA80">
            <v>0</v>
          </cell>
          <cell r="AB80">
            <v>13803487</v>
          </cell>
          <cell r="AC80">
            <v>445345</v>
          </cell>
          <cell r="AD80">
            <v>510000</v>
          </cell>
          <cell r="AE80">
            <v>11842</v>
          </cell>
          <cell r="AF80">
            <v>5625</v>
          </cell>
          <cell r="AG80">
            <v>0</v>
          </cell>
          <cell r="AH80">
            <v>0</v>
          </cell>
          <cell r="AI80">
            <v>0</v>
          </cell>
          <cell r="AJ80">
            <v>0</v>
          </cell>
          <cell r="AK80">
            <v>313501</v>
          </cell>
          <cell r="AL80">
            <v>0</v>
          </cell>
          <cell r="AM80">
            <v>100000</v>
          </cell>
          <cell r="AN80">
            <v>0</v>
          </cell>
          <cell r="AO80">
            <v>0</v>
          </cell>
          <cell r="AP80">
            <v>15177958</v>
          </cell>
        </row>
        <row r="81">
          <cell r="E81">
            <v>860</v>
          </cell>
          <cell r="F81" t="str">
            <v xml:space="preserve"> 2015-2016</v>
          </cell>
          <cell r="G81" t="str">
            <v xml:space="preserve"> 11/15/2015</v>
          </cell>
          <cell r="H81">
            <v>632490</v>
          </cell>
          <cell r="I81">
            <v>17518</v>
          </cell>
          <cell r="J81">
            <v>25089</v>
          </cell>
          <cell r="K81">
            <v>0</v>
          </cell>
          <cell r="L81">
            <v>0</v>
          </cell>
          <cell r="M81">
            <v>0</v>
          </cell>
          <cell r="N81">
            <v>0</v>
          </cell>
          <cell r="O81">
            <v>0</v>
          </cell>
          <cell r="P81">
            <v>0</v>
          </cell>
          <cell r="Q81">
            <v>17596</v>
          </cell>
          <cell r="R81">
            <v>0</v>
          </cell>
          <cell r="S81">
            <v>4826</v>
          </cell>
          <cell r="T81">
            <v>0</v>
          </cell>
          <cell r="U81">
            <v>0</v>
          </cell>
          <cell r="V81" t="str">
            <v xml:space="preserve"> </v>
          </cell>
          <cell r="W81">
            <v>697519</v>
          </cell>
          <cell r="X81">
            <v>0</v>
          </cell>
          <cell r="Y81">
            <v>0</v>
          </cell>
          <cell r="Z81">
            <v>0</v>
          </cell>
          <cell r="AA81">
            <v>0</v>
          </cell>
          <cell r="AB81">
            <v>662217</v>
          </cell>
          <cell r="AC81">
            <v>21898</v>
          </cell>
          <cell r="AD81">
            <v>25000</v>
          </cell>
          <cell r="AE81">
            <v>455</v>
          </cell>
          <cell r="AF81">
            <v>216</v>
          </cell>
          <cell r="AG81">
            <v>0</v>
          </cell>
          <cell r="AH81">
            <v>0</v>
          </cell>
          <cell r="AI81">
            <v>0</v>
          </cell>
          <cell r="AJ81">
            <v>0</v>
          </cell>
          <cell r="AK81">
            <v>19660</v>
          </cell>
          <cell r="AL81">
            <v>0</v>
          </cell>
          <cell r="AM81">
            <v>4800</v>
          </cell>
          <cell r="AN81">
            <v>0</v>
          </cell>
          <cell r="AO81">
            <v>0</v>
          </cell>
          <cell r="AP81">
            <v>733791</v>
          </cell>
        </row>
        <row r="82">
          <cell r="E82">
            <v>990</v>
          </cell>
          <cell r="F82" t="str">
            <v xml:space="preserve"> 2015-2016</v>
          </cell>
          <cell r="G82" t="str">
            <v xml:space="preserve"> 11/15/2015</v>
          </cell>
          <cell r="H82">
            <v>18790</v>
          </cell>
          <cell r="I82">
            <v>459</v>
          </cell>
          <cell r="J82">
            <v>658</v>
          </cell>
          <cell r="K82">
            <v>0</v>
          </cell>
          <cell r="L82">
            <v>0</v>
          </cell>
          <cell r="M82">
            <v>0</v>
          </cell>
          <cell r="N82">
            <v>0</v>
          </cell>
          <cell r="O82">
            <v>0</v>
          </cell>
          <cell r="P82">
            <v>0</v>
          </cell>
          <cell r="Q82">
            <v>580</v>
          </cell>
          <cell r="R82">
            <v>0</v>
          </cell>
          <cell r="S82">
            <v>126</v>
          </cell>
          <cell r="T82">
            <v>0</v>
          </cell>
          <cell r="U82">
            <v>0</v>
          </cell>
          <cell r="V82" t="str">
            <v xml:space="preserve"> </v>
          </cell>
          <cell r="W82">
            <v>20613</v>
          </cell>
          <cell r="X82">
            <v>0</v>
          </cell>
          <cell r="Y82">
            <v>0</v>
          </cell>
          <cell r="Z82">
            <v>0</v>
          </cell>
          <cell r="AA82">
            <v>0</v>
          </cell>
          <cell r="AB82">
            <v>19617</v>
          </cell>
          <cell r="AC82">
            <v>574</v>
          </cell>
          <cell r="AD82">
            <v>700</v>
          </cell>
          <cell r="AE82">
            <v>0</v>
          </cell>
          <cell r="AF82">
            <v>0</v>
          </cell>
          <cell r="AG82">
            <v>0</v>
          </cell>
          <cell r="AH82">
            <v>0</v>
          </cell>
          <cell r="AI82">
            <v>0</v>
          </cell>
          <cell r="AJ82">
            <v>0</v>
          </cell>
          <cell r="AK82">
            <v>894</v>
          </cell>
          <cell r="AL82">
            <v>0</v>
          </cell>
          <cell r="AM82">
            <v>100</v>
          </cell>
          <cell r="AN82">
            <v>0</v>
          </cell>
          <cell r="AO82">
            <v>0</v>
          </cell>
          <cell r="AP82">
            <v>21885</v>
          </cell>
        </row>
        <row r="83">
          <cell r="E83">
            <v>730</v>
          </cell>
          <cell r="F83" t="str">
            <v xml:space="preserve"> 2015-2016</v>
          </cell>
          <cell r="G83" t="str">
            <v xml:space="preserve"> 11/15/2015</v>
          </cell>
          <cell r="H83">
            <v>8613764</v>
          </cell>
          <cell r="I83">
            <v>256171</v>
          </cell>
          <cell r="J83">
            <v>240775</v>
          </cell>
          <cell r="K83">
            <v>128002</v>
          </cell>
          <cell r="L83">
            <v>60801</v>
          </cell>
          <cell r="M83">
            <v>0</v>
          </cell>
          <cell r="N83">
            <v>0</v>
          </cell>
          <cell r="O83">
            <v>1042707</v>
          </cell>
          <cell r="P83">
            <v>0</v>
          </cell>
          <cell r="Q83">
            <v>160867</v>
          </cell>
          <cell r="R83">
            <v>0</v>
          </cell>
          <cell r="S83">
            <v>66032</v>
          </cell>
          <cell r="T83">
            <v>0</v>
          </cell>
          <cell r="U83">
            <v>1927200</v>
          </cell>
          <cell r="V83" t="str">
            <v xml:space="preserve"> </v>
          </cell>
          <cell r="W83">
            <v>12368317</v>
          </cell>
          <cell r="X83">
            <v>0</v>
          </cell>
          <cell r="Y83">
            <v>0</v>
          </cell>
          <cell r="Z83">
            <v>0</v>
          </cell>
          <cell r="AA83">
            <v>0</v>
          </cell>
          <cell r="AB83">
            <v>9080630</v>
          </cell>
          <cell r="AC83">
            <v>320214</v>
          </cell>
          <cell r="AD83">
            <v>241000</v>
          </cell>
          <cell r="AE83">
            <v>54082</v>
          </cell>
          <cell r="AF83">
            <v>25689</v>
          </cell>
          <cell r="AG83">
            <v>0</v>
          </cell>
          <cell r="AH83">
            <v>0</v>
          </cell>
          <cell r="AI83">
            <v>381725</v>
          </cell>
          <cell r="AJ83">
            <v>0</v>
          </cell>
          <cell r="AK83">
            <v>297546</v>
          </cell>
          <cell r="AL83">
            <v>0</v>
          </cell>
          <cell r="AM83">
            <v>66000</v>
          </cell>
          <cell r="AN83">
            <v>0</v>
          </cell>
          <cell r="AO83">
            <v>0</v>
          </cell>
          <cell r="AP83">
            <v>10412804</v>
          </cell>
        </row>
        <row r="84">
          <cell r="E84">
            <v>840</v>
          </cell>
          <cell r="F84" t="str">
            <v xml:space="preserve"> 2015-2016</v>
          </cell>
          <cell r="G84" t="str">
            <v xml:space="preserve"> 11/15/2015</v>
          </cell>
          <cell r="H84">
            <v>10579494</v>
          </cell>
          <cell r="I84">
            <v>327778</v>
          </cell>
          <cell r="J84">
            <v>236126</v>
          </cell>
          <cell r="K84">
            <v>663287</v>
          </cell>
          <cell r="L84">
            <v>315061</v>
          </cell>
          <cell r="M84">
            <v>0</v>
          </cell>
          <cell r="N84">
            <v>0</v>
          </cell>
          <cell r="O84">
            <v>2078336</v>
          </cell>
          <cell r="P84">
            <v>0</v>
          </cell>
          <cell r="Q84">
            <v>305255</v>
          </cell>
          <cell r="R84">
            <v>0</v>
          </cell>
          <cell r="S84">
            <v>79006</v>
          </cell>
          <cell r="T84">
            <v>0</v>
          </cell>
          <cell r="U84">
            <v>3163097</v>
          </cell>
          <cell r="V84" t="str">
            <v xml:space="preserve"> </v>
          </cell>
          <cell r="W84">
            <v>17084153</v>
          </cell>
          <cell r="X84">
            <v>0</v>
          </cell>
          <cell r="Y84">
            <v>0</v>
          </cell>
          <cell r="Z84">
            <v>0</v>
          </cell>
          <cell r="AA84">
            <v>0</v>
          </cell>
          <cell r="AB84">
            <v>10726549</v>
          </cell>
          <cell r="AC84">
            <v>409723</v>
          </cell>
          <cell r="AD84">
            <v>236000</v>
          </cell>
          <cell r="AE84">
            <v>270327</v>
          </cell>
          <cell r="AF84">
            <v>128405</v>
          </cell>
          <cell r="AG84">
            <v>0</v>
          </cell>
          <cell r="AH84">
            <v>0</v>
          </cell>
          <cell r="AI84">
            <v>500422</v>
          </cell>
          <cell r="AJ84">
            <v>0</v>
          </cell>
          <cell r="AK84">
            <v>369986</v>
          </cell>
          <cell r="AL84">
            <v>0</v>
          </cell>
          <cell r="AM84">
            <v>79000</v>
          </cell>
          <cell r="AN84">
            <v>0</v>
          </cell>
          <cell r="AO84">
            <v>0</v>
          </cell>
          <cell r="AP84">
            <v>12450085</v>
          </cell>
        </row>
        <row r="85">
          <cell r="E85">
            <v>780</v>
          </cell>
          <cell r="F85" t="str">
            <v xml:space="preserve"> 2015-2016</v>
          </cell>
          <cell r="G85" t="str">
            <v xml:space="preserve"> 11/15/2015</v>
          </cell>
          <cell r="H85">
            <v>12711869</v>
          </cell>
          <cell r="I85">
            <v>347025</v>
          </cell>
          <cell r="J85">
            <v>520962</v>
          </cell>
          <cell r="K85">
            <v>1079357</v>
          </cell>
          <cell r="L85">
            <v>512695</v>
          </cell>
          <cell r="M85">
            <v>0</v>
          </cell>
          <cell r="N85">
            <v>0</v>
          </cell>
          <cell r="O85">
            <v>1442071</v>
          </cell>
          <cell r="P85">
            <v>1812575</v>
          </cell>
          <cell r="Q85">
            <v>489691</v>
          </cell>
          <cell r="R85">
            <v>0</v>
          </cell>
          <cell r="S85">
            <v>97865</v>
          </cell>
          <cell r="T85">
            <v>0</v>
          </cell>
          <cell r="U85">
            <v>1630112</v>
          </cell>
          <cell r="V85" t="str">
            <v xml:space="preserve"> </v>
          </cell>
          <cell r="W85">
            <v>19564865</v>
          </cell>
          <cell r="X85">
            <v>0</v>
          </cell>
          <cell r="Y85">
            <v>0</v>
          </cell>
          <cell r="Z85">
            <v>0</v>
          </cell>
          <cell r="AA85">
            <v>0</v>
          </cell>
          <cell r="AB85">
            <v>13451700</v>
          </cell>
          <cell r="AC85">
            <v>433781</v>
          </cell>
          <cell r="AD85">
            <v>521000</v>
          </cell>
          <cell r="AE85">
            <v>464613</v>
          </cell>
          <cell r="AF85">
            <v>220691</v>
          </cell>
          <cell r="AG85">
            <v>0</v>
          </cell>
          <cell r="AH85">
            <v>0</v>
          </cell>
          <cell r="AI85">
            <v>413987</v>
          </cell>
          <cell r="AJ85">
            <v>0</v>
          </cell>
          <cell r="AK85">
            <v>448317</v>
          </cell>
          <cell r="AL85">
            <v>0</v>
          </cell>
          <cell r="AM85">
            <v>97900</v>
          </cell>
          <cell r="AN85">
            <v>0</v>
          </cell>
          <cell r="AO85">
            <v>0</v>
          </cell>
          <cell r="AP85">
            <v>15587376</v>
          </cell>
        </row>
        <row r="86">
          <cell r="D86" t="str">
            <v xml:space="preserve"> LOS ANGELES       </v>
          </cell>
          <cell r="AO86">
            <v>0</v>
          </cell>
          <cell r="AP86">
            <v>343929168</v>
          </cell>
        </row>
        <row r="88">
          <cell r="E88">
            <v>580</v>
          </cell>
          <cell r="F88" t="str">
            <v xml:space="preserve"> 2015-2016</v>
          </cell>
          <cell r="G88" t="str">
            <v xml:space="preserve"> 11/15/2015</v>
          </cell>
          <cell r="H88">
            <v>314617</v>
          </cell>
          <cell r="I88">
            <v>3664</v>
          </cell>
          <cell r="J88">
            <v>13329</v>
          </cell>
          <cell r="K88">
            <v>0</v>
          </cell>
          <cell r="L88">
            <v>0</v>
          </cell>
          <cell r="M88">
            <v>0</v>
          </cell>
          <cell r="N88">
            <v>0</v>
          </cell>
          <cell r="O88">
            <v>0</v>
          </cell>
          <cell r="P88">
            <v>0</v>
          </cell>
          <cell r="Q88">
            <v>-1571</v>
          </cell>
          <cell r="R88">
            <v>0</v>
          </cell>
          <cell r="S88">
            <v>3447</v>
          </cell>
          <cell r="T88">
            <v>0</v>
          </cell>
          <cell r="U88">
            <v>0</v>
          </cell>
          <cell r="V88" t="str">
            <v xml:space="preserve"> </v>
          </cell>
          <cell r="W88">
            <v>333486</v>
          </cell>
          <cell r="X88">
            <v>0</v>
          </cell>
          <cell r="Y88">
            <v>0</v>
          </cell>
          <cell r="Z88">
            <v>0</v>
          </cell>
          <cell r="AA88">
            <v>0</v>
          </cell>
          <cell r="AB88">
            <v>373639</v>
          </cell>
          <cell r="AC88">
            <v>0</v>
          </cell>
          <cell r="AD88">
            <v>15933</v>
          </cell>
          <cell r="AE88">
            <v>0</v>
          </cell>
          <cell r="AF88">
            <v>0</v>
          </cell>
          <cell r="AG88">
            <v>0</v>
          </cell>
          <cell r="AH88">
            <v>0</v>
          </cell>
          <cell r="AI88">
            <v>0</v>
          </cell>
          <cell r="AJ88">
            <v>0</v>
          </cell>
          <cell r="AK88">
            <v>0</v>
          </cell>
          <cell r="AL88">
            <v>0</v>
          </cell>
          <cell r="AM88">
            <v>3900</v>
          </cell>
          <cell r="AN88">
            <v>0</v>
          </cell>
          <cell r="AO88">
            <v>0</v>
          </cell>
          <cell r="AP88">
            <v>393472</v>
          </cell>
        </row>
        <row r="89">
          <cell r="E89">
            <v>570</v>
          </cell>
          <cell r="F89" t="str">
            <v xml:space="preserve"> 2015-2016</v>
          </cell>
          <cell r="G89" t="str">
            <v xml:space="preserve"> 11/15/2015</v>
          </cell>
          <cell r="H89">
            <v>7204851</v>
          </cell>
          <cell r="I89">
            <v>93380</v>
          </cell>
          <cell r="J89">
            <v>262803</v>
          </cell>
          <cell r="K89">
            <v>44073</v>
          </cell>
          <cell r="L89">
            <v>20935</v>
          </cell>
          <cell r="M89">
            <v>0</v>
          </cell>
          <cell r="N89">
            <v>0</v>
          </cell>
          <cell r="O89">
            <v>94149</v>
          </cell>
          <cell r="P89">
            <v>0</v>
          </cell>
          <cell r="Q89">
            <v>-46332</v>
          </cell>
          <cell r="R89">
            <v>5717</v>
          </cell>
          <cell r="S89">
            <v>81843</v>
          </cell>
          <cell r="T89">
            <v>0</v>
          </cell>
          <cell r="U89">
            <v>0</v>
          </cell>
          <cell r="V89" t="str">
            <v xml:space="preserve"> </v>
          </cell>
          <cell r="W89">
            <v>7717346</v>
          </cell>
          <cell r="X89">
            <v>0</v>
          </cell>
          <cell r="Y89">
            <v>0</v>
          </cell>
          <cell r="Z89">
            <v>0</v>
          </cell>
          <cell r="AA89">
            <v>0</v>
          </cell>
          <cell r="AB89">
            <v>7416997</v>
          </cell>
          <cell r="AC89">
            <v>0</v>
          </cell>
          <cell r="AD89">
            <v>274628</v>
          </cell>
          <cell r="AE89">
            <v>42685</v>
          </cell>
          <cell r="AF89">
            <v>20275</v>
          </cell>
          <cell r="AG89">
            <v>0</v>
          </cell>
          <cell r="AH89">
            <v>0</v>
          </cell>
          <cell r="AI89">
            <v>0</v>
          </cell>
          <cell r="AJ89">
            <v>0</v>
          </cell>
          <cell r="AK89">
            <v>0</v>
          </cell>
          <cell r="AL89">
            <v>0</v>
          </cell>
          <cell r="AM89">
            <v>79836</v>
          </cell>
          <cell r="AN89">
            <v>0</v>
          </cell>
          <cell r="AO89">
            <v>0</v>
          </cell>
          <cell r="AP89">
            <v>7791736</v>
          </cell>
        </row>
        <row r="90">
          <cell r="E90">
            <v>530</v>
          </cell>
          <cell r="F90" t="str">
            <v xml:space="preserve"> 2015-2016</v>
          </cell>
          <cell r="G90" t="str">
            <v xml:space="preserve"> 11/15/2015</v>
          </cell>
          <cell r="H90">
            <v>1207896</v>
          </cell>
          <cell r="I90">
            <v>7840</v>
          </cell>
          <cell r="J90">
            <v>24745</v>
          </cell>
          <cell r="K90">
            <v>22892</v>
          </cell>
          <cell r="L90">
            <v>10874</v>
          </cell>
          <cell r="M90">
            <v>0</v>
          </cell>
          <cell r="N90">
            <v>0</v>
          </cell>
          <cell r="O90">
            <v>34356</v>
          </cell>
          <cell r="P90">
            <v>0</v>
          </cell>
          <cell r="Q90">
            <v>-7617</v>
          </cell>
          <cell r="R90">
            <v>0</v>
          </cell>
          <cell r="S90">
            <v>14386</v>
          </cell>
          <cell r="T90">
            <v>0</v>
          </cell>
          <cell r="U90">
            <v>-222855</v>
          </cell>
          <cell r="V90" t="str">
            <v xml:space="preserve"> </v>
          </cell>
          <cell r="W90">
            <v>1069625</v>
          </cell>
          <cell r="X90">
            <v>0</v>
          </cell>
          <cell r="Y90">
            <v>0</v>
          </cell>
          <cell r="Z90">
            <v>0</v>
          </cell>
          <cell r="AA90">
            <v>0</v>
          </cell>
          <cell r="AB90">
            <v>1284154</v>
          </cell>
          <cell r="AC90">
            <v>0</v>
          </cell>
          <cell r="AD90">
            <v>32680</v>
          </cell>
          <cell r="AE90">
            <v>23926</v>
          </cell>
          <cell r="AF90">
            <v>11365</v>
          </cell>
          <cell r="AG90">
            <v>0</v>
          </cell>
          <cell r="AH90">
            <v>0</v>
          </cell>
          <cell r="AI90">
            <v>0</v>
          </cell>
          <cell r="AJ90">
            <v>0</v>
          </cell>
          <cell r="AK90">
            <v>-34328</v>
          </cell>
          <cell r="AL90">
            <v>0</v>
          </cell>
          <cell r="AM90">
            <v>14409</v>
          </cell>
          <cell r="AN90">
            <v>0</v>
          </cell>
          <cell r="AO90">
            <v>-172884</v>
          </cell>
          <cell r="AP90">
            <v>1135396</v>
          </cell>
        </row>
        <row r="91">
          <cell r="D91" t="str">
            <v xml:space="preserve"> MADERA            </v>
          </cell>
          <cell r="AO91">
            <v>-172884</v>
          </cell>
          <cell r="AP91">
            <v>9320604</v>
          </cell>
        </row>
        <row r="93">
          <cell r="E93">
            <v>330</v>
          </cell>
          <cell r="F93" t="str">
            <v xml:space="preserve"> 2015-2016</v>
          </cell>
          <cell r="G93" t="str">
            <v xml:space="preserve"> 11/15/2015</v>
          </cell>
          <cell r="H93">
            <v>42739925</v>
          </cell>
          <cell r="I93">
            <v>1164582</v>
          </cell>
          <cell r="J93">
            <v>919932</v>
          </cell>
          <cell r="K93">
            <v>102265</v>
          </cell>
          <cell r="L93">
            <v>48576</v>
          </cell>
          <cell r="M93">
            <v>0</v>
          </cell>
          <cell r="N93">
            <v>0</v>
          </cell>
          <cell r="O93">
            <v>235798</v>
          </cell>
          <cell r="P93">
            <v>1989</v>
          </cell>
          <cell r="Q93">
            <v>130797</v>
          </cell>
          <cell r="R93">
            <v>0</v>
          </cell>
          <cell r="S93">
            <v>261987</v>
          </cell>
          <cell r="T93">
            <v>2448</v>
          </cell>
          <cell r="U93">
            <v>0</v>
          </cell>
          <cell r="V93" t="str">
            <v xml:space="preserve"> </v>
          </cell>
          <cell r="W93">
            <v>45506034</v>
          </cell>
          <cell r="X93">
            <v>0</v>
          </cell>
          <cell r="Y93">
            <v>0</v>
          </cell>
          <cell r="Z93">
            <v>0</v>
          </cell>
          <cell r="AA93">
            <v>0</v>
          </cell>
          <cell r="AB93">
            <v>45476890</v>
          </cell>
          <cell r="AC93">
            <v>1164582</v>
          </cell>
          <cell r="AD93">
            <v>907507</v>
          </cell>
          <cell r="AE93">
            <v>106658</v>
          </cell>
          <cell r="AF93">
            <v>50663</v>
          </cell>
          <cell r="AG93">
            <v>0</v>
          </cell>
          <cell r="AH93">
            <v>0</v>
          </cell>
          <cell r="AI93">
            <v>247744</v>
          </cell>
          <cell r="AJ93">
            <v>0</v>
          </cell>
          <cell r="AK93">
            <v>130797</v>
          </cell>
          <cell r="AL93">
            <v>0</v>
          </cell>
          <cell r="AM93">
            <v>259461</v>
          </cell>
          <cell r="AN93">
            <v>2180</v>
          </cell>
          <cell r="AO93">
            <v>0</v>
          </cell>
          <cell r="AP93">
            <v>48239824</v>
          </cell>
        </row>
        <row r="94">
          <cell r="E94">
            <v>260</v>
          </cell>
          <cell r="F94" t="str">
            <v xml:space="preserve"> 2015-2016</v>
          </cell>
          <cell r="G94" t="str">
            <v xml:space="preserve"> 11/15/2015</v>
          </cell>
          <cell r="H94">
            <v>73579</v>
          </cell>
          <cell r="I94">
            <v>1809</v>
          </cell>
          <cell r="J94">
            <v>1438</v>
          </cell>
          <cell r="K94">
            <v>0</v>
          </cell>
          <cell r="L94">
            <v>0</v>
          </cell>
          <cell r="M94">
            <v>0</v>
          </cell>
          <cell r="N94">
            <v>0</v>
          </cell>
          <cell r="O94">
            <v>0</v>
          </cell>
          <cell r="P94">
            <v>0</v>
          </cell>
          <cell r="Q94">
            <v>154</v>
          </cell>
          <cell r="R94">
            <v>0</v>
          </cell>
          <cell r="S94">
            <v>410</v>
          </cell>
          <cell r="T94">
            <v>0</v>
          </cell>
          <cell r="U94">
            <v>0</v>
          </cell>
          <cell r="V94" t="str">
            <v xml:space="preserve"> </v>
          </cell>
          <cell r="W94">
            <v>77390</v>
          </cell>
          <cell r="X94">
            <v>0</v>
          </cell>
          <cell r="Y94">
            <v>0</v>
          </cell>
          <cell r="Z94">
            <v>0</v>
          </cell>
          <cell r="AA94">
            <v>0</v>
          </cell>
          <cell r="AB94">
            <v>73631</v>
          </cell>
          <cell r="AC94">
            <v>1808</v>
          </cell>
          <cell r="AD94">
            <v>1342</v>
          </cell>
          <cell r="AE94">
            <v>0</v>
          </cell>
          <cell r="AF94">
            <v>0</v>
          </cell>
          <cell r="AG94">
            <v>0</v>
          </cell>
          <cell r="AH94">
            <v>0</v>
          </cell>
          <cell r="AI94">
            <v>0</v>
          </cell>
          <cell r="AJ94">
            <v>0</v>
          </cell>
          <cell r="AK94">
            <v>155</v>
          </cell>
          <cell r="AL94">
            <v>0</v>
          </cell>
          <cell r="AM94">
            <v>384</v>
          </cell>
          <cell r="AN94">
            <v>0</v>
          </cell>
          <cell r="AO94">
            <v>0</v>
          </cell>
          <cell r="AP94">
            <v>77320</v>
          </cell>
        </row>
        <row r="95">
          <cell r="D95" t="str">
            <v xml:space="preserve"> MARIN             </v>
          </cell>
          <cell r="AO95">
            <v>0</v>
          </cell>
          <cell r="AP95">
            <v>48317144</v>
          </cell>
        </row>
        <row r="97">
          <cell r="E97">
            <v>160</v>
          </cell>
          <cell r="F97" t="str">
            <v xml:space="preserve"> 2015-2016</v>
          </cell>
          <cell r="G97" t="str">
            <v xml:space="preserve"> 11/15/2015</v>
          </cell>
          <cell r="H97">
            <v>1794610</v>
          </cell>
          <cell r="I97">
            <v>14251</v>
          </cell>
          <cell r="J97">
            <v>62793</v>
          </cell>
          <cell r="K97">
            <v>0</v>
          </cell>
          <cell r="L97">
            <v>0</v>
          </cell>
          <cell r="M97">
            <v>0</v>
          </cell>
          <cell r="N97">
            <v>0</v>
          </cell>
          <cell r="O97">
            <v>0</v>
          </cell>
          <cell r="P97">
            <v>0</v>
          </cell>
          <cell r="Q97">
            <v>-381</v>
          </cell>
          <cell r="R97">
            <v>53288</v>
          </cell>
          <cell r="S97">
            <v>19826</v>
          </cell>
          <cell r="T97">
            <v>0</v>
          </cell>
          <cell r="U97">
            <v>125172</v>
          </cell>
          <cell r="V97" t="str">
            <v xml:space="preserve"> </v>
          </cell>
          <cell r="W97">
            <v>2069559</v>
          </cell>
          <cell r="X97">
            <v>0</v>
          </cell>
          <cell r="Y97">
            <v>0</v>
          </cell>
          <cell r="Z97">
            <v>0</v>
          </cell>
          <cell r="AA97">
            <v>0</v>
          </cell>
          <cell r="AB97">
            <v>1808432</v>
          </cell>
          <cell r="AC97">
            <v>2444</v>
          </cell>
          <cell r="AD97">
            <v>66918</v>
          </cell>
          <cell r="AE97">
            <v>0</v>
          </cell>
          <cell r="AF97">
            <v>0</v>
          </cell>
          <cell r="AG97">
            <v>0</v>
          </cell>
          <cell r="AH97">
            <v>0</v>
          </cell>
          <cell r="AI97">
            <v>0</v>
          </cell>
          <cell r="AJ97">
            <v>0</v>
          </cell>
          <cell r="AK97">
            <v>3261</v>
          </cell>
          <cell r="AL97">
            <v>42836</v>
          </cell>
          <cell r="AM97">
            <v>19229</v>
          </cell>
          <cell r="AN97">
            <v>0</v>
          </cell>
          <cell r="AO97">
            <v>422695</v>
          </cell>
          <cell r="AP97">
            <v>2365815</v>
          </cell>
        </row>
        <row r="98">
          <cell r="E98">
            <v>260</v>
          </cell>
          <cell r="F98" t="str">
            <v xml:space="preserve"> 2015-2016</v>
          </cell>
          <cell r="G98" t="str">
            <v xml:space="preserve"> 11/15/2015</v>
          </cell>
          <cell r="H98">
            <v>627624</v>
          </cell>
          <cell r="I98">
            <v>4598</v>
          </cell>
          <cell r="J98">
            <v>20474</v>
          </cell>
          <cell r="K98">
            <v>0</v>
          </cell>
          <cell r="L98">
            <v>0</v>
          </cell>
          <cell r="M98">
            <v>0</v>
          </cell>
          <cell r="N98">
            <v>0</v>
          </cell>
          <cell r="O98">
            <v>0</v>
          </cell>
          <cell r="P98">
            <v>0</v>
          </cell>
          <cell r="Q98">
            <v>-124</v>
          </cell>
          <cell r="R98">
            <v>2409</v>
          </cell>
          <cell r="S98">
            <v>6465</v>
          </cell>
          <cell r="T98">
            <v>0</v>
          </cell>
          <cell r="U98">
            <v>0</v>
          </cell>
          <cell r="V98" t="str">
            <v xml:space="preserve"> </v>
          </cell>
          <cell r="W98">
            <v>661446</v>
          </cell>
          <cell r="X98">
            <v>0</v>
          </cell>
          <cell r="Y98">
            <v>0</v>
          </cell>
          <cell r="Z98">
            <v>0</v>
          </cell>
          <cell r="AA98">
            <v>0</v>
          </cell>
          <cell r="AB98">
            <v>627908</v>
          </cell>
          <cell r="AC98">
            <v>786</v>
          </cell>
          <cell r="AD98">
            <v>21525</v>
          </cell>
          <cell r="AE98">
            <v>0</v>
          </cell>
          <cell r="AF98">
            <v>0</v>
          </cell>
          <cell r="AG98">
            <v>0</v>
          </cell>
          <cell r="AH98">
            <v>0</v>
          </cell>
          <cell r="AI98">
            <v>0</v>
          </cell>
          <cell r="AJ98">
            <v>0</v>
          </cell>
          <cell r="AK98">
            <v>1049</v>
          </cell>
          <cell r="AL98">
            <v>1937</v>
          </cell>
          <cell r="AM98">
            <v>6185</v>
          </cell>
          <cell r="AN98">
            <v>0</v>
          </cell>
          <cell r="AO98">
            <v>0</v>
          </cell>
          <cell r="AP98">
            <v>659390</v>
          </cell>
        </row>
        <row r="99">
          <cell r="E99">
            <v>140</v>
          </cell>
          <cell r="F99" t="str">
            <v xml:space="preserve"> 2015-2016</v>
          </cell>
          <cell r="G99" t="str">
            <v xml:space="preserve"> 11/15/2015</v>
          </cell>
          <cell r="H99">
            <v>3597027</v>
          </cell>
          <cell r="I99">
            <v>29997</v>
          </cell>
          <cell r="J99">
            <v>132892</v>
          </cell>
          <cell r="K99">
            <v>0</v>
          </cell>
          <cell r="L99">
            <v>0</v>
          </cell>
          <cell r="M99">
            <v>0</v>
          </cell>
          <cell r="N99">
            <v>0</v>
          </cell>
          <cell r="O99">
            <v>298815</v>
          </cell>
          <cell r="P99">
            <v>0</v>
          </cell>
          <cell r="Q99">
            <v>1646</v>
          </cell>
          <cell r="R99">
            <v>13162</v>
          </cell>
          <cell r="S99">
            <v>41960</v>
          </cell>
          <cell r="T99">
            <v>0</v>
          </cell>
          <cell r="U99">
            <v>0</v>
          </cell>
          <cell r="V99" t="str">
            <v xml:space="preserve"> </v>
          </cell>
          <cell r="W99">
            <v>4115499</v>
          </cell>
          <cell r="X99">
            <v>0</v>
          </cell>
          <cell r="Y99">
            <v>0</v>
          </cell>
          <cell r="Z99">
            <v>0</v>
          </cell>
          <cell r="AA99">
            <v>0</v>
          </cell>
          <cell r="AB99">
            <v>3609832</v>
          </cell>
          <cell r="AC99">
            <v>5198</v>
          </cell>
          <cell r="AD99">
            <v>142291</v>
          </cell>
          <cell r="AE99">
            <v>0</v>
          </cell>
          <cell r="AF99">
            <v>0</v>
          </cell>
          <cell r="AG99">
            <v>0</v>
          </cell>
          <cell r="AH99">
            <v>0</v>
          </cell>
          <cell r="AI99">
            <v>187352</v>
          </cell>
          <cell r="AJ99">
            <v>0</v>
          </cell>
          <cell r="AK99">
            <v>6933</v>
          </cell>
          <cell r="AL99">
            <v>13805</v>
          </cell>
          <cell r="AM99">
            <v>40888</v>
          </cell>
          <cell r="AN99">
            <v>0</v>
          </cell>
          <cell r="AO99">
            <v>0</v>
          </cell>
          <cell r="AP99">
            <v>4006299</v>
          </cell>
        </row>
        <row r="100">
          <cell r="D100" t="str">
            <v xml:space="preserve"> MENDOCINO         </v>
          </cell>
          <cell r="AO100">
            <v>422695</v>
          </cell>
          <cell r="AP100">
            <v>7031504</v>
          </cell>
        </row>
        <row r="102">
          <cell r="E102">
            <v>530</v>
          </cell>
          <cell r="F102" t="str">
            <v xml:space="preserve"> 2015-2016</v>
          </cell>
          <cell r="G102" t="str">
            <v xml:space="preserve"> 11/15/2015</v>
          </cell>
          <cell r="H102">
            <v>7829381</v>
          </cell>
          <cell r="I102">
            <v>159563</v>
          </cell>
          <cell r="J102">
            <v>606279</v>
          </cell>
          <cell r="K102">
            <v>135662</v>
          </cell>
          <cell r="L102">
            <v>64439</v>
          </cell>
          <cell r="M102">
            <v>0</v>
          </cell>
          <cell r="N102">
            <v>0</v>
          </cell>
          <cell r="O102">
            <v>168621</v>
          </cell>
          <cell r="P102">
            <v>0</v>
          </cell>
          <cell r="Q102">
            <v>21588</v>
          </cell>
          <cell r="R102">
            <v>8</v>
          </cell>
          <cell r="S102">
            <v>94176</v>
          </cell>
          <cell r="T102">
            <v>7024</v>
          </cell>
          <cell r="U102">
            <v>-630733</v>
          </cell>
          <cell r="V102" t="str">
            <v xml:space="preserve"> </v>
          </cell>
          <cell r="W102">
            <v>8320346</v>
          </cell>
          <cell r="X102">
            <v>0</v>
          </cell>
          <cell r="Y102">
            <v>0</v>
          </cell>
          <cell r="Z102">
            <v>0</v>
          </cell>
          <cell r="AA102">
            <v>0</v>
          </cell>
          <cell r="AB102">
            <v>8220850</v>
          </cell>
          <cell r="AC102">
            <v>167541</v>
          </cell>
          <cell r="AD102">
            <v>636592</v>
          </cell>
          <cell r="AE102">
            <v>142445</v>
          </cell>
          <cell r="AF102">
            <v>67661</v>
          </cell>
          <cell r="AG102">
            <v>0</v>
          </cell>
          <cell r="AH102">
            <v>0</v>
          </cell>
          <cell r="AI102">
            <v>177052</v>
          </cell>
          <cell r="AJ102">
            <v>0</v>
          </cell>
          <cell r="AK102">
            <v>22667</v>
          </cell>
          <cell r="AL102">
            <v>9</v>
          </cell>
          <cell r="AM102">
            <v>98884</v>
          </cell>
          <cell r="AN102">
            <v>7375</v>
          </cell>
          <cell r="AO102">
            <v>-662269</v>
          </cell>
          <cell r="AP102">
            <v>8736362</v>
          </cell>
        </row>
        <row r="103">
          <cell r="E103">
            <v>590</v>
          </cell>
          <cell r="F103" t="str">
            <v xml:space="preserve"> 2015-2016</v>
          </cell>
          <cell r="G103" t="str">
            <v xml:space="preserve"> 11/15/2015</v>
          </cell>
          <cell r="H103">
            <v>1509558</v>
          </cell>
          <cell r="I103">
            <v>33833</v>
          </cell>
          <cell r="J103">
            <v>117257</v>
          </cell>
          <cell r="K103">
            <v>0</v>
          </cell>
          <cell r="L103">
            <v>0</v>
          </cell>
          <cell r="M103">
            <v>0</v>
          </cell>
          <cell r="N103">
            <v>0</v>
          </cell>
          <cell r="O103">
            <v>0</v>
          </cell>
          <cell r="P103">
            <v>0</v>
          </cell>
          <cell r="Q103">
            <v>4238</v>
          </cell>
          <cell r="R103">
            <v>2</v>
          </cell>
          <cell r="S103">
            <v>18210</v>
          </cell>
          <cell r="T103">
            <v>1868</v>
          </cell>
          <cell r="U103">
            <v>-121997</v>
          </cell>
          <cell r="V103" t="str">
            <v xml:space="preserve"> </v>
          </cell>
          <cell r="W103">
            <v>1562969</v>
          </cell>
          <cell r="X103">
            <v>0</v>
          </cell>
          <cell r="Y103">
            <v>0</v>
          </cell>
          <cell r="Z103">
            <v>0</v>
          </cell>
          <cell r="AA103">
            <v>0</v>
          </cell>
          <cell r="AB103">
            <v>1585036</v>
          </cell>
          <cell r="AC103">
            <v>35525</v>
          </cell>
          <cell r="AD103">
            <v>123120</v>
          </cell>
          <cell r="AE103">
            <v>0</v>
          </cell>
          <cell r="AF103">
            <v>0</v>
          </cell>
          <cell r="AG103">
            <v>0</v>
          </cell>
          <cell r="AH103">
            <v>0</v>
          </cell>
          <cell r="AI103">
            <v>0</v>
          </cell>
          <cell r="AJ103">
            <v>0</v>
          </cell>
          <cell r="AK103">
            <v>4450</v>
          </cell>
          <cell r="AL103">
            <v>2</v>
          </cell>
          <cell r="AM103">
            <v>19120</v>
          </cell>
          <cell r="AN103">
            <v>1961</v>
          </cell>
          <cell r="AO103">
            <v>-128097</v>
          </cell>
          <cell r="AP103">
            <v>1641117</v>
          </cell>
        </row>
        <row r="104">
          <cell r="D104" t="str">
            <v xml:space="preserve"> MERCED            </v>
          </cell>
          <cell r="AO104">
            <v>-790366</v>
          </cell>
          <cell r="AP104">
            <v>10377479</v>
          </cell>
        </row>
        <row r="106">
          <cell r="E106">
            <v>130</v>
          </cell>
          <cell r="F106" t="str">
            <v xml:space="preserve"> 2015-2016</v>
          </cell>
          <cell r="G106" t="str">
            <v xml:space="preserve"> 11/15/2015</v>
          </cell>
          <cell r="AB106">
            <v>98000</v>
          </cell>
          <cell r="AC106">
            <v>540</v>
          </cell>
          <cell r="AD106">
            <v>3300</v>
          </cell>
          <cell r="AE106">
            <v>0</v>
          </cell>
          <cell r="AF106">
            <v>0</v>
          </cell>
          <cell r="AG106">
            <v>0</v>
          </cell>
          <cell r="AH106">
            <v>0</v>
          </cell>
          <cell r="AI106">
            <v>0</v>
          </cell>
          <cell r="AJ106">
            <v>0</v>
          </cell>
          <cell r="AK106">
            <v>6000</v>
          </cell>
          <cell r="AL106">
            <v>275</v>
          </cell>
          <cell r="AM106">
            <v>1400</v>
          </cell>
          <cell r="AN106">
            <v>0</v>
          </cell>
          <cell r="AO106">
            <v>-5305</v>
          </cell>
          <cell r="AP106">
            <v>104210</v>
          </cell>
        </row>
        <row r="107">
          <cell r="E107">
            <v>170</v>
          </cell>
          <cell r="F107" t="str">
            <v xml:space="preserve"> 2015-2016</v>
          </cell>
          <cell r="G107" t="str">
            <v xml:space="preserve"> 11/15/2015</v>
          </cell>
          <cell r="H107">
            <v>12132</v>
          </cell>
          <cell r="I107">
            <v>79</v>
          </cell>
          <cell r="J107">
            <v>496</v>
          </cell>
          <cell r="K107">
            <v>0</v>
          </cell>
          <cell r="L107">
            <v>0</v>
          </cell>
          <cell r="M107">
            <v>0</v>
          </cell>
          <cell r="N107">
            <v>0</v>
          </cell>
          <cell r="O107">
            <v>0</v>
          </cell>
          <cell r="P107">
            <v>0</v>
          </cell>
          <cell r="Q107">
            <v>1167</v>
          </cell>
          <cell r="R107">
            <v>31</v>
          </cell>
          <cell r="S107">
            <v>210</v>
          </cell>
          <cell r="T107">
            <v>0</v>
          </cell>
          <cell r="U107">
            <v>-830</v>
          </cell>
          <cell r="V107" t="str">
            <v xml:space="preserve"> </v>
          </cell>
          <cell r="W107">
            <v>13285</v>
          </cell>
          <cell r="X107">
            <v>0</v>
          </cell>
          <cell r="Y107">
            <v>0</v>
          </cell>
          <cell r="Z107">
            <v>0</v>
          </cell>
          <cell r="AA107">
            <v>0</v>
          </cell>
          <cell r="AB107">
            <v>12100</v>
          </cell>
          <cell r="AC107">
            <v>80</v>
          </cell>
          <cell r="AD107">
            <v>495</v>
          </cell>
          <cell r="AE107">
            <v>0</v>
          </cell>
          <cell r="AF107">
            <v>0</v>
          </cell>
          <cell r="AG107">
            <v>0</v>
          </cell>
          <cell r="AH107">
            <v>0</v>
          </cell>
          <cell r="AI107">
            <v>0</v>
          </cell>
          <cell r="AJ107">
            <v>0</v>
          </cell>
          <cell r="AK107">
            <v>1000</v>
          </cell>
          <cell r="AL107">
            <v>25</v>
          </cell>
          <cell r="AM107">
            <v>200</v>
          </cell>
          <cell r="AN107">
            <v>0</v>
          </cell>
          <cell r="AO107">
            <v>-691</v>
          </cell>
          <cell r="AP107">
            <v>13209</v>
          </cell>
        </row>
        <row r="108">
          <cell r="D108" t="str">
            <v xml:space="preserve"> MODOC             </v>
          </cell>
          <cell r="AO108">
            <v>-5996</v>
          </cell>
          <cell r="AP108">
            <v>117419</v>
          </cell>
        </row>
        <row r="110">
          <cell r="E110">
            <v>580</v>
          </cell>
          <cell r="F110" t="str">
            <v xml:space="preserve"> 2015-2016</v>
          </cell>
          <cell r="G110" t="str">
            <v xml:space="preserve"> 11/15/2015</v>
          </cell>
          <cell r="H110">
            <v>7534</v>
          </cell>
          <cell r="I110">
            <v>145</v>
          </cell>
          <cell r="J110">
            <v>305</v>
          </cell>
          <cell r="K110">
            <v>0</v>
          </cell>
          <cell r="L110">
            <v>0</v>
          </cell>
          <cell r="M110">
            <v>0</v>
          </cell>
          <cell r="N110">
            <v>0</v>
          </cell>
          <cell r="O110">
            <v>0</v>
          </cell>
          <cell r="P110">
            <v>0</v>
          </cell>
          <cell r="Q110">
            <v>121</v>
          </cell>
          <cell r="R110">
            <v>0</v>
          </cell>
          <cell r="S110">
            <v>45</v>
          </cell>
          <cell r="T110">
            <v>0</v>
          </cell>
          <cell r="U110">
            <v>0</v>
          </cell>
          <cell r="V110" t="str">
            <v xml:space="preserve"> </v>
          </cell>
          <cell r="W110">
            <v>8150</v>
          </cell>
          <cell r="X110">
            <v>0</v>
          </cell>
          <cell r="Y110">
            <v>0</v>
          </cell>
          <cell r="Z110">
            <v>0</v>
          </cell>
          <cell r="AA110">
            <v>0</v>
          </cell>
          <cell r="AB110">
            <v>7892</v>
          </cell>
          <cell r="AC110">
            <v>87</v>
          </cell>
          <cell r="AD110">
            <v>319</v>
          </cell>
          <cell r="AE110">
            <v>0</v>
          </cell>
          <cell r="AF110">
            <v>0</v>
          </cell>
          <cell r="AG110">
            <v>0</v>
          </cell>
          <cell r="AH110">
            <v>0</v>
          </cell>
          <cell r="AI110">
            <v>0</v>
          </cell>
          <cell r="AJ110">
            <v>0</v>
          </cell>
          <cell r="AK110">
            <v>72</v>
          </cell>
          <cell r="AL110">
            <v>0</v>
          </cell>
          <cell r="AM110">
            <v>46</v>
          </cell>
          <cell r="AN110">
            <v>0</v>
          </cell>
          <cell r="AO110">
            <v>0</v>
          </cell>
          <cell r="AP110">
            <v>8416</v>
          </cell>
        </row>
        <row r="111">
          <cell r="E111">
            <v>450</v>
          </cell>
          <cell r="F111" t="str">
            <v xml:space="preserve"> 2015-2016</v>
          </cell>
          <cell r="G111" t="str">
            <v xml:space="preserve"> 11/15/2015</v>
          </cell>
          <cell r="H111">
            <v>18519308</v>
          </cell>
          <cell r="I111">
            <v>360138</v>
          </cell>
          <cell r="J111">
            <v>737774</v>
          </cell>
          <cell r="K111">
            <v>82600</v>
          </cell>
          <cell r="L111">
            <v>39235</v>
          </cell>
          <cell r="M111">
            <v>0</v>
          </cell>
          <cell r="N111">
            <v>0</v>
          </cell>
          <cell r="O111">
            <v>795166</v>
          </cell>
          <cell r="P111">
            <v>0</v>
          </cell>
          <cell r="Q111">
            <v>310880</v>
          </cell>
          <cell r="R111">
            <v>0</v>
          </cell>
          <cell r="S111">
            <v>110282</v>
          </cell>
          <cell r="T111">
            <v>0</v>
          </cell>
          <cell r="U111">
            <v>-3749</v>
          </cell>
          <cell r="V111" t="str">
            <v xml:space="preserve"> </v>
          </cell>
          <cell r="W111">
            <v>20869034</v>
          </cell>
          <cell r="X111">
            <v>0</v>
          </cell>
          <cell r="Y111">
            <v>0</v>
          </cell>
          <cell r="Z111">
            <v>0</v>
          </cell>
          <cell r="AA111">
            <v>0</v>
          </cell>
          <cell r="AB111">
            <v>18654252</v>
          </cell>
          <cell r="AC111">
            <v>222761</v>
          </cell>
          <cell r="AD111">
            <v>756359</v>
          </cell>
          <cell r="AE111">
            <v>82600</v>
          </cell>
          <cell r="AF111">
            <v>39235</v>
          </cell>
          <cell r="AG111">
            <v>0</v>
          </cell>
          <cell r="AH111">
            <v>0</v>
          </cell>
          <cell r="AI111">
            <v>795166</v>
          </cell>
          <cell r="AJ111">
            <v>0</v>
          </cell>
          <cell r="AK111">
            <v>179849</v>
          </cell>
          <cell r="AL111">
            <v>0</v>
          </cell>
          <cell r="AM111">
            <v>108238</v>
          </cell>
          <cell r="AN111">
            <v>0</v>
          </cell>
          <cell r="AO111">
            <v>0</v>
          </cell>
          <cell r="AP111">
            <v>20755860</v>
          </cell>
        </row>
        <row r="112">
          <cell r="E112">
            <v>460</v>
          </cell>
          <cell r="F112" t="str">
            <v xml:space="preserve"> 2015-2016</v>
          </cell>
          <cell r="G112" t="str">
            <v xml:space="preserve"> 11/15/2015</v>
          </cell>
          <cell r="H112">
            <v>14577695</v>
          </cell>
          <cell r="I112">
            <v>284586</v>
          </cell>
          <cell r="J112">
            <v>581584</v>
          </cell>
          <cell r="K112">
            <v>87121</v>
          </cell>
          <cell r="L112">
            <v>41382</v>
          </cell>
          <cell r="M112">
            <v>0</v>
          </cell>
          <cell r="N112">
            <v>0</v>
          </cell>
          <cell r="O112">
            <v>630780</v>
          </cell>
          <cell r="P112">
            <v>2332</v>
          </cell>
          <cell r="Q112">
            <v>246709</v>
          </cell>
          <cell r="R112">
            <v>0</v>
          </cell>
          <cell r="S112">
            <v>86817</v>
          </cell>
          <cell r="T112">
            <v>0</v>
          </cell>
          <cell r="U112">
            <v>539540</v>
          </cell>
          <cell r="V112" t="str">
            <v xml:space="preserve"> </v>
          </cell>
          <cell r="W112">
            <v>16991425</v>
          </cell>
          <cell r="X112">
            <v>0</v>
          </cell>
          <cell r="Y112">
            <v>0</v>
          </cell>
          <cell r="Z112">
            <v>0</v>
          </cell>
          <cell r="AA112">
            <v>0</v>
          </cell>
          <cell r="AB112">
            <v>14934101</v>
          </cell>
          <cell r="AC112">
            <v>176023</v>
          </cell>
          <cell r="AD112">
            <v>607391</v>
          </cell>
          <cell r="AE112">
            <v>87121</v>
          </cell>
          <cell r="AF112">
            <v>41382</v>
          </cell>
          <cell r="AG112">
            <v>0</v>
          </cell>
          <cell r="AH112">
            <v>0</v>
          </cell>
          <cell r="AI112">
            <v>630780</v>
          </cell>
          <cell r="AJ112">
            <v>0</v>
          </cell>
          <cell r="AK112">
            <v>142754</v>
          </cell>
          <cell r="AL112">
            <v>0</v>
          </cell>
          <cell r="AM112">
            <v>86904</v>
          </cell>
          <cell r="AN112">
            <v>0</v>
          </cell>
          <cell r="AO112">
            <v>768731</v>
          </cell>
          <cell r="AP112">
            <v>17388066</v>
          </cell>
        </row>
        <row r="113">
          <cell r="E113">
            <v>640</v>
          </cell>
          <cell r="F113" t="str">
            <v xml:space="preserve"> 2015-2016</v>
          </cell>
          <cell r="G113" t="str">
            <v xml:space="preserve"> 11/15/2015</v>
          </cell>
          <cell r="H113">
            <v>183595</v>
          </cell>
          <cell r="I113">
            <v>3517</v>
          </cell>
          <cell r="J113">
            <v>7465</v>
          </cell>
          <cell r="K113">
            <v>0</v>
          </cell>
          <cell r="L113">
            <v>0</v>
          </cell>
          <cell r="M113">
            <v>0</v>
          </cell>
          <cell r="N113">
            <v>0</v>
          </cell>
          <cell r="O113">
            <v>0</v>
          </cell>
          <cell r="P113">
            <v>0</v>
          </cell>
          <cell r="Q113">
            <v>2687</v>
          </cell>
          <cell r="R113">
            <v>0</v>
          </cell>
          <cell r="S113">
            <v>1096</v>
          </cell>
          <cell r="T113">
            <v>0</v>
          </cell>
          <cell r="U113">
            <v>0</v>
          </cell>
          <cell r="V113" t="str">
            <v xml:space="preserve"> </v>
          </cell>
          <cell r="W113">
            <v>198360</v>
          </cell>
          <cell r="X113">
            <v>0</v>
          </cell>
          <cell r="Y113">
            <v>0</v>
          </cell>
          <cell r="Z113">
            <v>0</v>
          </cell>
          <cell r="AA113">
            <v>0</v>
          </cell>
          <cell r="AB113">
            <v>205047</v>
          </cell>
          <cell r="AC113">
            <v>2110</v>
          </cell>
          <cell r="AD113">
            <v>8340</v>
          </cell>
          <cell r="AE113">
            <v>0</v>
          </cell>
          <cell r="AF113">
            <v>0</v>
          </cell>
          <cell r="AG113">
            <v>0</v>
          </cell>
          <cell r="AH113">
            <v>0</v>
          </cell>
          <cell r="AI113">
            <v>0</v>
          </cell>
          <cell r="AJ113">
            <v>0</v>
          </cell>
          <cell r="AK113">
            <v>1612</v>
          </cell>
          <cell r="AL113">
            <v>0</v>
          </cell>
          <cell r="AM113">
            <v>1192</v>
          </cell>
          <cell r="AN113">
            <v>0</v>
          </cell>
          <cell r="AO113">
            <v>0</v>
          </cell>
          <cell r="AP113">
            <v>218301</v>
          </cell>
        </row>
        <row r="114">
          <cell r="E114">
            <v>410</v>
          </cell>
          <cell r="F114" t="str">
            <v xml:space="preserve"> 2015-2016</v>
          </cell>
          <cell r="G114" t="str">
            <v xml:space="preserve"> 11/15/2015</v>
          </cell>
          <cell r="H114">
            <v>712724</v>
          </cell>
          <cell r="I114">
            <v>13621</v>
          </cell>
          <cell r="J114">
            <v>28816</v>
          </cell>
          <cell r="K114">
            <v>1573</v>
          </cell>
          <cell r="L114">
            <v>747</v>
          </cell>
          <cell r="M114">
            <v>0</v>
          </cell>
          <cell r="N114">
            <v>0</v>
          </cell>
          <cell r="O114">
            <v>0</v>
          </cell>
          <cell r="P114">
            <v>0</v>
          </cell>
          <cell r="Q114">
            <v>10696</v>
          </cell>
          <cell r="R114">
            <v>0</v>
          </cell>
          <cell r="S114">
            <v>4228</v>
          </cell>
          <cell r="T114">
            <v>0</v>
          </cell>
          <cell r="U114">
            <v>0</v>
          </cell>
          <cell r="V114" t="str">
            <v xml:space="preserve"> </v>
          </cell>
          <cell r="W114">
            <v>770832</v>
          </cell>
          <cell r="X114">
            <v>0</v>
          </cell>
          <cell r="Y114">
            <v>0</v>
          </cell>
          <cell r="Z114">
            <v>0</v>
          </cell>
          <cell r="AA114">
            <v>0</v>
          </cell>
          <cell r="AB114">
            <v>728824</v>
          </cell>
          <cell r="AC114">
            <v>8173</v>
          </cell>
          <cell r="AD114">
            <v>29497</v>
          </cell>
          <cell r="AE114">
            <v>1573</v>
          </cell>
          <cell r="AF114">
            <v>747</v>
          </cell>
          <cell r="AG114">
            <v>0</v>
          </cell>
          <cell r="AH114">
            <v>0</v>
          </cell>
          <cell r="AI114">
            <v>0</v>
          </cell>
          <cell r="AJ114">
            <v>0</v>
          </cell>
          <cell r="AK114">
            <v>6418</v>
          </cell>
          <cell r="AL114">
            <v>0</v>
          </cell>
          <cell r="AM114">
            <v>4221</v>
          </cell>
          <cell r="AN114">
            <v>0</v>
          </cell>
          <cell r="AO114">
            <v>0</v>
          </cell>
          <cell r="AP114">
            <v>777880</v>
          </cell>
        </row>
        <row r="115">
          <cell r="D115" t="str">
            <v xml:space="preserve"> MONTEREY          </v>
          </cell>
          <cell r="AO115">
            <v>768731</v>
          </cell>
          <cell r="AP115">
            <v>39148523</v>
          </cell>
        </row>
        <row r="117">
          <cell r="E117">
            <v>240</v>
          </cell>
          <cell r="F117" t="str">
            <v xml:space="preserve"> 2015-2016</v>
          </cell>
          <cell r="G117" t="str">
            <v xml:space="preserve"> 11/15/2015</v>
          </cell>
          <cell r="H117">
            <v>23691093</v>
          </cell>
          <cell r="I117">
            <v>473487</v>
          </cell>
          <cell r="J117">
            <v>966556</v>
          </cell>
          <cell r="K117">
            <v>85347</v>
          </cell>
          <cell r="L117">
            <v>40540</v>
          </cell>
          <cell r="M117">
            <v>0</v>
          </cell>
          <cell r="N117">
            <v>0</v>
          </cell>
          <cell r="O117">
            <v>228303</v>
          </cell>
          <cell r="P117">
            <v>0</v>
          </cell>
          <cell r="Q117">
            <v>15856</v>
          </cell>
          <cell r="R117">
            <v>0</v>
          </cell>
          <cell r="S117">
            <v>126664</v>
          </cell>
          <cell r="T117">
            <v>174</v>
          </cell>
          <cell r="U117">
            <v>-3426603</v>
          </cell>
          <cell r="V117" t="str">
            <v xml:space="preserve"> </v>
          </cell>
          <cell r="W117">
            <v>22116070</v>
          </cell>
          <cell r="X117">
            <v>0</v>
          </cell>
          <cell r="Y117">
            <v>0</v>
          </cell>
          <cell r="Z117">
            <v>0</v>
          </cell>
          <cell r="AA117">
            <v>0</v>
          </cell>
          <cell r="AB117">
            <v>24827233</v>
          </cell>
          <cell r="AC117">
            <v>0</v>
          </cell>
          <cell r="AD117">
            <v>906654</v>
          </cell>
          <cell r="AE117">
            <v>85347</v>
          </cell>
          <cell r="AF117">
            <v>40540</v>
          </cell>
          <cell r="AG117">
            <v>0</v>
          </cell>
          <cell r="AH117">
            <v>0</v>
          </cell>
          <cell r="AI117">
            <v>228300</v>
          </cell>
          <cell r="AJ117">
            <v>0</v>
          </cell>
          <cell r="AK117">
            <v>0</v>
          </cell>
          <cell r="AL117">
            <v>0</v>
          </cell>
          <cell r="AM117">
            <v>122634</v>
          </cell>
          <cell r="AN117">
            <v>0</v>
          </cell>
          <cell r="AO117">
            <v>-2617227</v>
          </cell>
          <cell r="AP117">
            <v>23508134</v>
          </cell>
        </row>
        <row r="118">
          <cell r="D118" t="str">
            <v xml:space="preserve"> NAPA              </v>
          </cell>
          <cell r="AO118">
            <v>-2617227</v>
          </cell>
          <cell r="AP118">
            <v>23508134</v>
          </cell>
        </row>
        <row r="120">
          <cell r="E120">
            <v>270</v>
          </cell>
          <cell r="F120" t="str">
            <v xml:space="preserve"> 2015-2016</v>
          </cell>
          <cell r="G120" t="str">
            <v xml:space="preserve"> 11/15/2015</v>
          </cell>
          <cell r="H120">
            <v>13107010</v>
          </cell>
          <cell r="I120">
            <v>206719</v>
          </cell>
          <cell r="J120">
            <v>260008</v>
          </cell>
          <cell r="K120">
            <v>32380</v>
          </cell>
          <cell r="L120">
            <v>15381</v>
          </cell>
          <cell r="M120">
            <v>0</v>
          </cell>
          <cell r="N120">
            <v>0</v>
          </cell>
          <cell r="O120">
            <v>99329</v>
          </cell>
          <cell r="P120">
            <v>0</v>
          </cell>
          <cell r="Q120">
            <v>4407</v>
          </cell>
          <cell r="R120">
            <v>3787</v>
          </cell>
          <cell r="S120">
            <v>140235</v>
          </cell>
          <cell r="T120">
            <v>0</v>
          </cell>
          <cell r="U120">
            <v>607452</v>
          </cell>
          <cell r="V120" t="str">
            <v xml:space="preserve"> </v>
          </cell>
          <cell r="W120">
            <v>14444328</v>
          </cell>
          <cell r="X120">
            <v>0</v>
          </cell>
          <cell r="Y120">
            <v>0</v>
          </cell>
          <cell r="Z120">
            <v>0</v>
          </cell>
          <cell r="AA120">
            <v>0</v>
          </cell>
          <cell r="AB120">
            <v>13796580</v>
          </cell>
          <cell r="AC120">
            <v>200000</v>
          </cell>
          <cell r="AD120">
            <v>243736</v>
          </cell>
          <cell r="AE120">
            <v>32217</v>
          </cell>
          <cell r="AF120">
            <v>15303</v>
          </cell>
          <cell r="AG120">
            <v>0</v>
          </cell>
          <cell r="AH120">
            <v>0</v>
          </cell>
          <cell r="AI120">
            <v>84318</v>
          </cell>
          <cell r="AJ120">
            <v>0</v>
          </cell>
          <cell r="AK120">
            <v>4000</v>
          </cell>
          <cell r="AL120">
            <v>4000</v>
          </cell>
          <cell r="AM120">
            <v>140077</v>
          </cell>
          <cell r="AN120">
            <v>0</v>
          </cell>
          <cell r="AO120">
            <v>1049123</v>
          </cell>
          <cell r="AP120">
            <v>15537137</v>
          </cell>
        </row>
        <row r="121">
          <cell r="D121" t="str">
            <v xml:space="preserve"> NEVADA            </v>
          </cell>
          <cell r="AO121">
            <v>1049123</v>
          </cell>
          <cell r="AP121">
            <v>15537137</v>
          </cell>
        </row>
        <row r="123">
          <cell r="E123">
            <v>860</v>
          </cell>
          <cell r="F123" t="str">
            <v xml:space="preserve"> 2015-2016</v>
          </cell>
          <cell r="G123" t="str">
            <v xml:space="preserve"> 11/15/2015</v>
          </cell>
          <cell r="H123">
            <v>56103025</v>
          </cell>
          <cell r="I123">
            <v>1609064</v>
          </cell>
          <cell r="J123">
            <v>2151203</v>
          </cell>
          <cell r="K123">
            <v>1465918</v>
          </cell>
          <cell r="L123">
            <v>696311</v>
          </cell>
          <cell r="M123">
            <v>0</v>
          </cell>
          <cell r="N123">
            <v>0</v>
          </cell>
          <cell r="O123">
            <v>5114241</v>
          </cell>
          <cell r="P123">
            <v>71279</v>
          </cell>
          <cell r="Q123">
            <v>1800078</v>
          </cell>
          <cell r="R123">
            <v>9</v>
          </cell>
          <cell r="S123">
            <v>415058</v>
          </cell>
          <cell r="T123">
            <v>697519</v>
          </cell>
          <cell r="U123">
            <v>394772</v>
          </cell>
          <cell r="V123" t="str">
            <v xml:space="preserve"> </v>
          </cell>
          <cell r="W123">
            <v>69052559</v>
          </cell>
          <cell r="X123">
            <v>0</v>
          </cell>
          <cell r="Y123">
            <v>0</v>
          </cell>
          <cell r="Z123">
            <v>0</v>
          </cell>
          <cell r="AA123">
            <v>0</v>
          </cell>
          <cell r="AB123">
            <v>59825828</v>
          </cell>
          <cell r="AC123">
            <v>1477193</v>
          </cell>
          <cell r="AD123">
            <v>1928146</v>
          </cell>
          <cell r="AE123">
            <v>1327853</v>
          </cell>
          <cell r="AF123">
            <v>630730</v>
          </cell>
          <cell r="AG123">
            <v>0</v>
          </cell>
          <cell r="AH123">
            <v>0</v>
          </cell>
          <cell r="AI123">
            <v>4345954</v>
          </cell>
          <cell r="AJ123">
            <v>0</v>
          </cell>
          <cell r="AK123">
            <v>2046942</v>
          </cell>
          <cell r="AL123">
            <v>9</v>
          </cell>
          <cell r="AM123">
            <v>409715</v>
          </cell>
          <cell r="AN123">
            <v>0</v>
          </cell>
          <cell r="AO123">
            <v>3895798</v>
          </cell>
          <cell r="AP123">
            <v>74560315</v>
          </cell>
        </row>
        <row r="124">
          <cell r="E124">
            <v>830</v>
          </cell>
          <cell r="F124" t="str">
            <v xml:space="preserve"> 2015-2016</v>
          </cell>
          <cell r="G124" t="str">
            <v xml:space="preserve"> 11/15/2015</v>
          </cell>
          <cell r="H124">
            <v>93100524</v>
          </cell>
          <cell r="I124">
            <v>2674924</v>
          </cell>
          <cell r="J124">
            <v>3576660</v>
          </cell>
          <cell r="K124">
            <v>1534649</v>
          </cell>
          <cell r="L124">
            <v>728958</v>
          </cell>
          <cell r="M124">
            <v>0</v>
          </cell>
          <cell r="N124">
            <v>0</v>
          </cell>
          <cell r="O124">
            <v>4553465</v>
          </cell>
          <cell r="P124">
            <v>283394</v>
          </cell>
          <cell r="Q124">
            <v>1542715</v>
          </cell>
          <cell r="R124">
            <v>14</v>
          </cell>
          <cell r="S124">
            <v>690122</v>
          </cell>
          <cell r="T124">
            <v>0</v>
          </cell>
          <cell r="U124">
            <v>656554</v>
          </cell>
          <cell r="V124" t="str">
            <v xml:space="preserve"> </v>
          </cell>
          <cell r="W124">
            <v>107807330</v>
          </cell>
          <cell r="X124">
            <v>0</v>
          </cell>
          <cell r="Y124">
            <v>0</v>
          </cell>
          <cell r="Z124">
            <v>0</v>
          </cell>
          <cell r="AA124">
            <v>0</v>
          </cell>
          <cell r="AB124">
            <v>100126954</v>
          </cell>
          <cell r="AC124">
            <v>2475711</v>
          </cell>
          <cell r="AD124">
            <v>3233811</v>
          </cell>
          <cell r="AE124">
            <v>1305466</v>
          </cell>
          <cell r="AF124">
            <v>620096</v>
          </cell>
          <cell r="AG124">
            <v>0</v>
          </cell>
          <cell r="AH124">
            <v>0</v>
          </cell>
          <cell r="AI124">
            <v>3511525</v>
          </cell>
          <cell r="AJ124">
            <v>0</v>
          </cell>
          <cell r="AK124">
            <v>1467926</v>
          </cell>
          <cell r="AL124">
            <v>14</v>
          </cell>
          <cell r="AM124">
            <v>687158</v>
          </cell>
          <cell r="AN124">
            <v>0</v>
          </cell>
          <cell r="AO124">
            <v>6533880</v>
          </cell>
          <cell r="AP124">
            <v>118657075</v>
          </cell>
        </row>
        <row r="125">
          <cell r="E125">
            <v>890</v>
          </cell>
          <cell r="F125" t="str">
            <v xml:space="preserve"> 2015-2016</v>
          </cell>
          <cell r="G125" t="str">
            <v xml:space="preserve"> 11/15/2015</v>
          </cell>
          <cell r="H125">
            <v>159348955</v>
          </cell>
          <cell r="I125">
            <v>4586112</v>
          </cell>
          <cell r="J125">
            <v>6160059</v>
          </cell>
          <cell r="K125">
            <v>656530</v>
          </cell>
          <cell r="L125">
            <v>311852</v>
          </cell>
          <cell r="M125">
            <v>0</v>
          </cell>
          <cell r="N125">
            <v>0</v>
          </cell>
          <cell r="O125">
            <v>3562937</v>
          </cell>
          <cell r="P125">
            <v>771930</v>
          </cell>
          <cell r="Q125">
            <v>2605084</v>
          </cell>
          <cell r="R125">
            <v>25</v>
          </cell>
          <cell r="S125">
            <v>1184736</v>
          </cell>
          <cell r="T125">
            <v>0</v>
          </cell>
          <cell r="U125">
            <v>0</v>
          </cell>
          <cell r="V125" t="str">
            <v xml:space="preserve"> </v>
          </cell>
          <cell r="W125">
            <v>178531690</v>
          </cell>
          <cell r="X125">
            <v>0</v>
          </cell>
          <cell r="Y125">
            <v>0</v>
          </cell>
          <cell r="Z125">
            <v>0</v>
          </cell>
          <cell r="AA125">
            <v>0</v>
          </cell>
          <cell r="AB125">
            <v>173769671</v>
          </cell>
          <cell r="AC125">
            <v>4303209</v>
          </cell>
          <cell r="AD125">
            <v>5629887</v>
          </cell>
          <cell r="AE125">
            <v>611858</v>
          </cell>
          <cell r="AF125">
            <v>290633</v>
          </cell>
          <cell r="AG125">
            <v>0</v>
          </cell>
          <cell r="AH125">
            <v>0</v>
          </cell>
          <cell r="AI125">
            <v>2216880</v>
          </cell>
          <cell r="AJ125">
            <v>0</v>
          </cell>
          <cell r="AK125">
            <v>2518832</v>
          </cell>
          <cell r="AL125">
            <v>25</v>
          </cell>
          <cell r="AM125">
            <v>1196303</v>
          </cell>
          <cell r="AN125">
            <v>0</v>
          </cell>
          <cell r="AO125">
            <v>11375126</v>
          </cell>
          <cell r="AP125">
            <v>201300566</v>
          </cell>
        </row>
        <row r="126">
          <cell r="E126">
            <v>870</v>
          </cell>
          <cell r="F126" t="str">
            <v xml:space="preserve"> 2015-2016</v>
          </cell>
          <cell r="G126" t="str">
            <v xml:space="preserve"> 11/15/2015</v>
          </cell>
          <cell r="H126">
            <v>39961546</v>
          </cell>
          <cell r="I126">
            <v>1144948</v>
          </cell>
          <cell r="J126">
            <v>1529150</v>
          </cell>
          <cell r="K126">
            <v>310048</v>
          </cell>
          <cell r="L126">
            <v>147273</v>
          </cell>
          <cell r="M126">
            <v>0</v>
          </cell>
          <cell r="N126">
            <v>0</v>
          </cell>
          <cell r="O126">
            <v>3673735</v>
          </cell>
          <cell r="P126">
            <v>2111500</v>
          </cell>
          <cell r="Q126">
            <v>662064</v>
          </cell>
          <cell r="R126">
            <v>6</v>
          </cell>
          <cell r="S126">
            <v>295240</v>
          </cell>
          <cell r="T126">
            <v>0</v>
          </cell>
          <cell r="U126">
            <v>281777</v>
          </cell>
          <cell r="V126" t="str">
            <v xml:space="preserve"> </v>
          </cell>
          <cell r="W126">
            <v>49807239</v>
          </cell>
          <cell r="X126">
            <v>0</v>
          </cell>
          <cell r="Y126">
            <v>0</v>
          </cell>
          <cell r="Z126">
            <v>0</v>
          </cell>
          <cell r="AA126">
            <v>0</v>
          </cell>
          <cell r="AB126">
            <v>42753754</v>
          </cell>
          <cell r="AC126">
            <v>1054067</v>
          </cell>
          <cell r="AD126">
            <v>1376106</v>
          </cell>
          <cell r="AE126">
            <v>385611</v>
          </cell>
          <cell r="AF126">
            <v>183165</v>
          </cell>
          <cell r="AG126">
            <v>0</v>
          </cell>
          <cell r="AH126">
            <v>0</v>
          </cell>
          <cell r="AI126">
            <v>2723321</v>
          </cell>
          <cell r="AJ126">
            <v>0</v>
          </cell>
          <cell r="AK126">
            <v>628048</v>
          </cell>
          <cell r="AL126">
            <v>6</v>
          </cell>
          <cell r="AM126">
            <v>292411</v>
          </cell>
          <cell r="AN126">
            <v>0</v>
          </cell>
          <cell r="AO126">
            <v>7126684</v>
          </cell>
          <cell r="AP126">
            <v>56137562</v>
          </cell>
        </row>
        <row r="127">
          <cell r="D127" t="str">
            <v xml:space="preserve"> ORANGE            </v>
          </cell>
          <cell r="AO127">
            <v>28931488</v>
          </cell>
          <cell r="AP127">
            <v>450655518</v>
          </cell>
        </row>
        <row r="129">
          <cell r="E129">
            <v>270</v>
          </cell>
          <cell r="F129" t="str">
            <v xml:space="preserve"> 2015-2016</v>
          </cell>
          <cell r="G129" t="str">
            <v xml:space="preserve"> 11/15/2015</v>
          </cell>
          <cell r="H129">
            <v>42476421</v>
          </cell>
          <cell r="I129">
            <v>1031008</v>
          </cell>
          <cell r="J129">
            <v>1046218</v>
          </cell>
          <cell r="K129">
            <v>340784</v>
          </cell>
          <cell r="L129">
            <v>161872</v>
          </cell>
          <cell r="M129">
            <v>0</v>
          </cell>
          <cell r="N129">
            <v>0</v>
          </cell>
          <cell r="O129">
            <v>453406</v>
          </cell>
          <cell r="P129">
            <v>124296</v>
          </cell>
          <cell r="Q129">
            <v>22132</v>
          </cell>
          <cell r="R129">
            <v>30352</v>
          </cell>
          <cell r="S129">
            <v>404681</v>
          </cell>
          <cell r="T129">
            <v>0</v>
          </cell>
          <cell r="U129">
            <v>847975</v>
          </cell>
          <cell r="V129" t="str">
            <v xml:space="preserve"> </v>
          </cell>
          <cell r="W129">
            <v>46598361</v>
          </cell>
          <cell r="X129">
            <v>-3307</v>
          </cell>
          <cell r="Y129">
            <v>0</v>
          </cell>
          <cell r="Z129">
            <v>0</v>
          </cell>
          <cell r="AA129">
            <v>0</v>
          </cell>
          <cell r="AB129">
            <v>46412492</v>
          </cell>
          <cell r="AC129">
            <v>1053267</v>
          </cell>
          <cell r="AD129">
            <v>1089627</v>
          </cell>
          <cell r="AE129">
            <v>0</v>
          </cell>
          <cell r="AF129">
            <v>0</v>
          </cell>
          <cell r="AG129">
            <v>0</v>
          </cell>
          <cell r="AH129">
            <v>0</v>
          </cell>
          <cell r="AI129">
            <v>0</v>
          </cell>
          <cell r="AJ129">
            <v>0</v>
          </cell>
          <cell r="AK129">
            <v>22132</v>
          </cell>
          <cell r="AL129">
            <v>30352</v>
          </cell>
          <cell r="AM129">
            <v>396690</v>
          </cell>
          <cell r="AN129">
            <v>0</v>
          </cell>
          <cell r="AO129">
            <v>3471056</v>
          </cell>
          <cell r="AP129">
            <v>52475616</v>
          </cell>
        </row>
        <row r="130">
          <cell r="E130">
            <v>230</v>
          </cell>
          <cell r="F130" t="str">
            <v xml:space="preserve"> 2015-2016</v>
          </cell>
          <cell r="G130" t="str">
            <v xml:space="preserve"> 11/15/2015</v>
          </cell>
          <cell r="H130">
            <v>38073</v>
          </cell>
          <cell r="I130">
            <v>880</v>
          </cell>
          <cell r="J130">
            <v>926</v>
          </cell>
          <cell r="K130">
            <v>0</v>
          </cell>
          <cell r="L130">
            <v>0</v>
          </cell>
          <cell r="M130">
            <v>0</v>
          </cell>
          <cell r="N130">
            <v>0</v>
          </cell>
          <cell r="O130">
            <v>0</v>
          </cell>
          <cell r="P130">
            <v>0</v>
          </cell>
          <cell r="Q130">
            <v>20</v>
          </cell>
          <cell r="R130">
            <v>0</v>
          </cell>
          <cell r="S130">
            <v>358</v>
          </cell>
          <cell r="T130">
            <v>0</v>
          </cell>
          <cell r="U130">
            <v>0</v>
          </cell>
          <cell r="V130" t="str">
            <v xml:space="preserve"> </v>
          </cell>
          <cell r="W130">
            <v>40257</v>
          </cell>
          <cell r="X130">
            <v>-5</v>
          </cell>
          <cell r="Y130">
            <v>0</v>
          </cell>
          <cell r="Z130">
            <v>0</v>
          </cell>
          <cell r="AA130">
            <v>0</v>
          </cell>
          <cell r="AB130">
            <v>42815</v>
          </cell>
          <cell r="AC130">
            <v>922</v>
          </cell>
          <cell r="AD130">
            <v>994</v>
          </cell>
          <cell r="AE130">
            <v>0</v>
          </cell>
          <cell r="AF130">
            <v>0</v>
          </cell>
          <cell r="AG130">
            <v>0</v>
          </cell>
          <cell r="AH130">
            <v>0</v>
          </cell>
          <cell r="AI130">
            <v>0</v>
          </cell>
          <cell r="AJ130">
            <v>0</v>
          </cell>
          <cell r="AK130">
            <v>20</v>
          </cell>
          <cell r="AL130">
            <v>0</v>
          </cell>
          <cell r="AM130">
            <v>362</v>
          </cell>
          <cell r="AN130">
            <v>0</v>
          </cell>
          <cell r="AO130">
            <v>0</v>
          </cell>
          <cell r="AP130">
            <v>45113</v>
          </cell>
        </row>
        <row r="131">
          <cell r="E131">
            <v>290</v>
          </cell>
          <cell r="F131" t="str">
            <v xml:space="preserve"> 2015-2016</v>
          </cell>
          <cell r="G131" t="str">
            <v xml:space="preserve"> 11/15/2015</v>
          </cell>
          <cell r="H131">
            <v>31180</v>
          </cell>
          <cell r="I131">
            <v>695</v>
          </cell>
          <cell r="J131">
            <v>744</v>
          </cell>
          <cell r="K131">
            <v>0</v>
          </cell>
          <cell r="L131">
            <v>0</v>
          </cell>
          <cell r="M131">
            <v>0</v>
          </cell>
          <cell r="N131">
            <v>0</v>
          </cell>
          <cell r="O131">
            <v>0</v>
          </cell>
          <cell r="P131">
            <v>0</v>
          </cell>
          <cell r="Q131">
            <v>15</v>
          </cell>
          <cell r="R131">
            <v>0</v>
          </cell>
          <cell r="S131">
            <v>288</v>
          </cell>
          <cell r="T131">
            <v>0</v>
          </cell>
          <cell r="U131">
            <v>0</v>
          </cell>
          <cell r="V131" t="str">
            <v xml:space="preserve"> </v>
          </cell>
          <cell r="W131">
            <v>32922</v>
          </cell>
          <cell r="X131">
            <v>-6</v>
          </cell>
          <cell r="Y131">
            <v>0</v>
          </cell>
          <cell r="Z131">
            <v>0</v>
          </cell>
          <cell r="AA131">
            <v>0</v>
          </cell>
          <cell r="AB131">
            <v>34467</v>
          </cell>
          <cell r="AC131">
            <v>729</v>
          </cell>
          <cell r="AD131">
            <v>786</v>
          </cell>
          <cell r="AE131">
            <v>0</v>
          </cell>
          <cell r="AF131">
            <v>0</v>
          </cell>
          <cell r="AG131">
            <v>0</v>
          </cell>
          <cell r="AH131">
            <v>0</v>
          </cell>
          <cell r="AI131">
            <v>0</v>
          </cell>
          <cell r="AJ131">
            <v>0</v>
          </cell>
          <cell r="AK131">
            <v>15</v>
          </cell>
          <cell r="AL131">
            <v>0</v>
          </cell>
          <cell r="AM131">
            <v>286</v>
          </cell>
          <cell r="AN131">
            <v>0</v>
          </cell>
          <cell r="AO131">
            <v>0</v>
          </cell>
          <cell r="AP131">
            <v>36283</v>
          </cell>
        </row>
        <row r="132">
          <cell r="D132" t="str">
            <v xml:space="preserve"> PLACER            </v>
          </cell>
          <cell r="AO132">
            <v>3471056</v>
          </cell>
          <cell r="AP132">
            <v>52557012</v>
          </cell>
        </row>
        <row r="134">
          <cell r="E134">
            <v>120</v>
          </cell>
          <cell r="F134" t="str">
            <v xml:space="preserve"> 2015-2016</v>
          </cell>
          <cell r="G134" t="str">
            <v xml:space="preserve"> 11/15/2015</v>
          </cell>
          <cell r="H134">
            <v>4156514</v>
          </cell>
          <cell r="I134">
            <v>31371</v>
          </cell>
          <cell r="J134">
            <v>104294</v>
          </cell>
          <cell r="K134">
            <v>0</v>
          </cell>
          <cell r="L134">
            <v>0</v>
          </cell>
          <cell r="M134">
            <v>0</v>
          </cell>
          <cell r="N134">
            <v>0</v>
          </cell>
          <cell r="O134">
            <v>0</v>
          </cell>
          <cell r="P134">
            <v>0</v>
          </cell>
          <cell r="Q134">
            <v>5092</v>
          </cell>
          <cell r="R134">
            <v>55187</v>
          </cell>
          <cell r="S134">
            <v>38524</v>
          </cell>
          <cell r="T134">
            <v>0</v>
          </cell>
          <cell r="U134">
            <v>519931</v>
          </cell>
          <cell r="V134" t="str">
            <v xml:space="preserve"> </v>
          </cell>
          <cell r="W134">
            <v>4910913</v>
          </cell>
          <cell r="X134">
            <v>0</v>
          </cell>
          <cell r="Y134">
            <v>0</v>
          </cell>
          <cell r="Z134">
            <v>0</v>
          </cell>
          <cell r="AA134">
            <v>0</v>
          </cell>
          <cell r="AB134">
            <v>4156514</v>
          </cell>
          <cell r="AC134">
            <v>617424</v>
          </cell>
          <cell r="AD134">
            <v>104294</v>
          </cell>
          <cell r="AE134">
            <v>0</v>
          </cell>
          <cell r="AF134">
            <v>0</v>
          </cell>
          <cell r="AG134">
            <v>0</v>
          </cell>
          <cell r="AH134">
            <v>0</v>
          </cell>
          <cell r="AI134">
            <v>0</v>
          </cell>
          <cell r="AJ134">
            <v>0</v>
          </cell>
          <cell r="AK134">
            <v>5092</v>
          </cell>
          <cell r="AL134">
            <v>55187</v>
          </cell>
          <cell r="AM134">
            <v>37835</v>
          </cell>
          <cell r="AN134">
            <v>0</v>
          </cell>
          <cell r="AO134">
            <v>519931</v>
          </cell>
          <cell r="AP134">
            <v>5496277</v>
          </cell>
        </row>
        <row r="135">
          <cell r="D135" t="str">
            <v xml:space="preserve"> PLUMAS            </v>
          </cell>
          <cell r="AO135">
            <v>519931</v>
          </cell>
          <cell r="AP135">
            <v>5496277</v>
          </cell>
        </row>
        <row r="137">
          <cell r="E137">
            <v>930</v>
          </cell>
          <cell r="F137" t="str">
            <v xml:space="preserve"> 2015-2016</v>
          </cell>
          <cell r="G137" t="str">
            <v xml:space="preserve"> 11/15/2015</v>
          </cell>
          <cell r="H137">
            <v>23838334</v>
          </cell>
          <cell r="I137">
            <v>511933</v>
          </cell>
          <cell r="J137">
            <v>1099060</v>
          </cell>
          <cell r="K137">
            <v>541185</v>
          </cell>
          <cell r="L137">
            <v>257063</v>
          </cell>
          <cell r="M137">
            <v>0</v>
          </cell>
          <cell r="N137">
            <v>0</v>
          </cell>
          <cell r="O137">
            <v>8416846</v>
          </cell>
          <cell r="P137">
            <v>361226</v>
          </cell>
          <cell r="Q137">
            <v>765848</v>
          </cell>
          <cell r="R137">
            <v>0</v>
          </cell>
          <cell r="S137">
            <v>325740</v>
          </cell>
          <cell r="T137">
            <v>471</v>
          </cell>
          <cell r="U137">
            <v>-4491144</v>
          </cell>
          <cell r="V137" t="str">
            <v xml:space="preserve"> </v>
          </cell>
          <cell r="W137">
            <v>31085377</v>
          </cell>
          <cell r="X137">
            <v>0</v>
          </cell>
          <cell r="Y137">
            <v>0</v>
          </cell>
          <cell r="Z137">
            <v>0</v>
          </cell>
          <cell r="AA137">
            <v>0</v>
          </cell>
          <cell r="AB137">
            <v>23932853</v>
          </cell>
          <cell r="AC137">
            <v>578501</v>
          </cell>
          <cell r="AD137">
            <v>1030413</v>
          </cell>
          <cell r="AE137">
            <v>576470</v>
          </cell>
          <cell r="AF137">
            <v>273823</v>
          </cell>
          <cell r="AG137">
            <v>0</v>
          </cell>
          <cell r="AH137">
            <v>0</v>
          </cell>
          <cell r="AI137">
            <v>0</v>
          </cell>
          <cell r="AJ137">
            <v>10538</v>
          </cell>
          <cell r="AK137">
            <v>649422</v>
          </cell>
          <cell r="AL137">
            <v>0</v>
          </cell>
          <cell r="AM137">
            <v>322038</v>
          </cell>
          <cell r="AN137">
            <v>0</v>
          </cell>
          <cell r="AO137">
            <v>-3313898</v>
          </cell>
          <cell r="AP137">
            <v>23483690</v>
          </cell>
        </row>
        <row r="138">
          <cell r="E138">
            <v>940</v>
          </cell>
          <cell r="F138" t="str">
            <v xml:space="preserve"> 2015-2016</v>
          </cell>
          <cell r="G138" t="str">
            <v xml:space="preserve"> 11/15/2015</v>
          </cell>
          <cell r="H138">
            <v>23125086</v>
          </cell>
          <cell r="I138">
            <v>491256</v>
          </cell>
          <cell r="J138">
            <v>1034248</v>
          </cell>
          <cell r="K138">
            <v>458653</v>
          </cell>
          <cell r="L138">
            <v>217860</v>
          </cell>
          <cell r="M138">
            <v>0</v>
          </cell>
          <cell r="N138">
            <v>0</v>
          </cell>
          <cell r="O138">
            <v>1159214</v>
          </cell>
          <cell r="P138">
            <v>0</v>
          </cell>
          <cell r="Q138">
            <v>719499</v>
          </cell>
          <cell r="R138">
            <v>0</v>
          </cell>
          <cell r="S138">
            <v>319001</v>
          </cell>
          <cell r="T138">
            <v>461</v>
          </cell>
          <cell r="U138">
            <v>-4407735</v>
          </cell>
          <cell r="V138" t="str">
            <v xml:space="preserve"> </v>
          </cell>
          <cell r="W138">
            <v>22658890</v>
          </cell>
          <cell r="X138">
            <v>0</v>
          </cell>
          <cell r="Y138">
            <v>0</v>
          </cell>
          <cell r="Z138">
            <v>0</v>
          </cell>
          <cell r="AA138">
            <v>0</v>
          </cell>
          <cell r="AB138">
            <v>23548746</v>
          </cell>
          <cell r="AC138">
            <v>572373</v>
          </cell>
          <cell r="AD138">
            <v>1023790</v>
          </cell>
          <cell r="AE138">
            <v>480236</v>
          </cell>
          <cell r="AF138">
            <v>228112</v>
          </cell>
          <cell r="AG138">
            <v>0</v>
          </cell>
          <cell r="AH138">
            <v>0</v>
          </cell>
          <cell r="AI138">
            <v>0</v>
          </cell>
          <cell r="AJ138">
            <v>13529</v>
          </cell>
          <cell r="AK138">
            <v>631591</v>
          </cell>
          <cell r="AL138">
            <v>0</v>
          </cell>
          <cell r="AM138">
            <v>319968</v>
          </cell>
          <cell r="AN138">
            <v>0</v>
          </cell>
          <cell r="AO138">
            <v>-3292597</v>
          </cell>
          <cell r="AP138">
            <v>23045512</v>
          </cell>
        </row>
        <row r="139">
          <cell r="E139">
            <v>960</v>
          </cell>
          <cell r="F139" t="str">
            <v xml:space="preserve"> 2015-2016</v>
          </cell>
          <cell r="G139" t="str">
            <v xml:space="preserve"> 11/15/2015</v>
          </cell>
          <cell r="H139">
            <v>32178177</v>
          </cell>
          <cell r="I139">
            <v>690713</v>
          </cell>
          <cell r="J139">
            <v>1469561</v>
          </cell>
          <cell r="K139">
            <v>1583185</v>
          </cell>
          <cell r="L139">
            <v>752013</v>
          </cell>
          <cell r="M139">
            <v>0</v>
          </cell>
          <cell r="N139">
            <v>0</v>
          </cell>
          <cell r="O139">
            <v>3396483</v>
          </cell>
          <cell r="P139">
            <v>68378</v>
          </cell>
          <cell r="Q139">
            <v>1023567</v>
          </cell>
          <cell r="R139">
            <v>0</v>
          </cell>
          <cell r="S139">
            <v>443409</v>
          </cell>
          <cell r="T139">
            <v>641</v>
          </cell>
          <cell r="U139">
            <v>-6119488</v>
          </cell>
          <cell r="V139" t="str">
            <v xml:space="preserve"> </v>
          </cell>
          <cell r="W139">
            <v>33903454</v>
          </cell>
          <cell r="X139">
            <v>0</v>
          </cell>
          <cell r="Y139">
            <v>0</v>
          </cell>
          <cell r="Z139">
            <v>0</v>
          </cell>
          <cell r="AA139">
            <v>0</v>
          </cell>
          <cell r="AB139">
            <v>32399576</v>
          </cell>
          <cell r="AC139">
            <v>789105</v>
          </cell>
          <cell r="AD139">
            <v>1406733</v>
          </cell>
          <cell r="AE139">
            <v>1420341</v>
          </cell>
          <cell r="AF139">
            <v>674662</v>
          </cell>
          <cell r="AG139">
            <v>0</v>
          </cell>
          <cell r="AH139">
            <v>0</v>
          </cell>
          <cell r="AI139">
            <v>0</v>
          </cell>
          <cell r="AJ139">
            <v>0</v>
          </cell>
          <cell r="AK139">
            <v>881245</v>
          </cell>
          <cell r="AL139">
            <v>0</v>
          </cell>
          <cell r="AM139">
            <v>439651</v>
          </cell>
          <cell r="AN139">
            <v>0</v>
          </cell>
          <cell r="AO139">
            <v>-4524175</v>
          </cell>
          <cell r="AP139">
            <v>32066797</v>
          </cell>
        </row>
        <row r="140">
          <cell r="E140">
            <v>980</v>
          </cell>
          <cell r="F140" t="str">
            <v xml:space="preserve"> 2015-2016</v>
          </cell>
          <cell r="G140" t="str">
            <v xml:space="preserve"> 11/15/2015</v>
          </cell>
          <cell r="H140">
            <v>300257</v>
          </cell>
          <cell r="I140">
            <v>6391</v>
          </cell>
          <cell r="J140">
            <v>13594</v>
          </cell>
          <cell r="K140">
            <v>0</v>
          </cell>
          <cell r="L140">
            <v>0</v>
          </cell>
          <cell r="M140">
            <v>0</v>
          </cell>
          <cell r="N140">
            <v>0</v>
          </cell>
          <cell r="O140">
            <v>12018</v>
          </cell>
          <cell r="P140">
            <v>0</v>
          </cell>
          <cell r="Q140">
            <v>9506</v>
          </cell>
          <cell r="R140">
            <v>0</v>
          </cell>
          <cell r="S140">
            <v>4099</v>
          </cell>
          <cell r="T140">
            <v>6</v>
          </cell>
          <cell r="U140">
            <v>-56570</v>
          </cell>
          <cell r="V140" t="str">
            <v xml:space="preserve"> </v>
          </cell>
          <cell r="W140">
            <v>289301</v>
          </cell>
          <cell r="X140">
            <v>0</v>
          </cell>
          <cell r="Y140">
            <v>0</v>
          </cell>
          <cell r="Z140">
            <v>0</v>
          </cell>
          <cell r="AA140">
            <v>0</v>
          </cell>
          <cell r="AB140">
            <v>302584</v>
          </cell>
          <cell r="AC140">
            <v>7300</v>
          </cell>
          <cell r="AD140">
            <v>13017</v>
          </cell>
          <cell r="AE140">
            <v>0</v>
          </cell>
          <cell r="AF140">
            <v>0</v>
          </cell>
          <cell r="AG140">
            <v>0</v>
          </cell>
          <cell r="AH140">
            <v>0</v>
          </cell>
          <cell r="AI140">
            <v>0</v>
          </cell>
          <cell r="AJ140">
            <v>0</v>
          </cell>
          <cell r="AK140">
            <v>8148</v>
          </cell>
          <cell r="AL140">
            <v>0</v>
          </cell>
          <cell r="AM140">
            <v>4068</v>
          </cell>
          <cell r="AN140">
            <v>0</v>
          </cell>
          <cell r="AO140">
            <v>-41864</v>
          </cell>
          <cell r="AP140">
            <v>293253</v>
          </cell>
        </row>
        <row r="141">
          <cell r="E141">
            <v>950</v>
          </cell>
          <cell r="F141" t="str">
            <v xml:space="preserve"> 2015-2016</v>
          </cell>
          <cell r="G141" t="str">
            <v xml:space="preserve"> 11/15/2015</v>
          </cell>
          <cell r="H141">
            <v>909499</v>
          </cell>
          <cell r="I141">
            <v>18200</v>
          </cell>
          <cell r="J141">
            <v>38791</v>
          </cell>
          <cell r="K141">
            <v>155672</v>
          </cell>
          <cell r="L141">
            <v>73944</v>
          </cell>
          <cell r="M141">
            <v>0</v>
          </cell>
          <cell r="N141">
            <v>0</v>
          </cell>
          <cell r="O141">
            <v>209656</v>
          </cell>
          <cell r="P141">
            <v>0</v>
          </cell>
          <cell r="Q141">
            <v>27007</v>
          </cell>
          <cell r="R141">
            <v>0</v>
          </cell>
          <cell r="S141">
            <v>11626</v>
          </cell>
          <cell r="T141">
            <v>17</v>
          </cell>
          <cell r="U141">
            <v>-160396</v>
          </cell>
          <cell r="V141" t="str">
            <v xml:space="preserve"> </v>
          </cell>
          <cell r="W141">
            <v>1128344</v>
          </cell>
          <cell r="X141">
            <v>0</v>
          </cell>
          <cell r="Y141">
            <v>0</v>
          </cell>
          <cell r="Z141">
            <v>0</v>
          </cell>
          <cell r="AA141">
            <v>0</v>
          </cell>
          <cell r="AB141">
            <v>887663</v>
          </cell>
          <cell r="AC141">
            <v>20204</v>
          </cell>
          <cell r="AD141">
            <v>35661</v>
          </cell>
          <cell r="AE141">
            <v>88242</v>
          </cell>
          <cell r="AF141">
            <v>41915</v>
          </cell>
          <cell r="AG141">
            <v>0</v>
          </cell>
          <cell r="AH141">
            <v>0</v>
          </cell>
          <cell r="AI141">
            <v>0</v>
          </cell>
          <cell r="AJ141">
            <v>0</v>
          </cell>
          <cell r="AK141">
            <v>23133</v>
          </cell>
          <cell r="AL141">
            <v>0</v>
          </cell>
          <cell r="AM141">
            <v>11145</v>
          </cell>
          <cell r="AN141">
            <v>0</v>
          </cell>
          <cell r="AO141">
            <v>-114689</v>
          </cell>
          <cell r="AP141">
            <v>905032</v>
          </cell>
        </row>
        <row r="142">
          <cell r="D142" t="str">
            <v xml:space="preserve"> RIVERSIDE         </v>
          </cell>
          <cell r="AO142">
            <v>-11287223</v>
          </cell>
          <cell r="AP142">
            <v>79794284</v>
          </cell>
        </row>
        <row r="144">
          <cell r="E144">
            <v>270</v>
          </cell>
          <cell r="F144" t="str">
            <v xml:space="preserve"> 2015-2016</v>
          </cell>
          <cell r="G144" t="str">
            <v xml:space="preserve"> 11/15/2015</v>
          </cell>
          <cell r="H144">
            <v>1248989</v>
          </cell>
          <cell r="I144">
            <v>22415</v>
          </cell>
          <cell r="J144">
            <v>53249</v>
          </cell>
          <cell r="K144">
            <v>0</v>
          </cell>
          <cell r="L144">
            <v>0</v>
          </cell>
          <cell r="M144">
            <v>0</v>
          </cell>
          <cell r="N144">
            <v>0</v>
          </cell>
          <cell r="O144">
            <v>0</v>
          </cell>
          <cell r="P144">
            <v>0</v>
          </cell>
          <cell r="Q144">
            <v>0</v>
          </cell>
          <cell r="R144">
            <v>0</v>
          </cell>
          <cell r="S144">
            <v>16602</v>
          </cell>
          <cell r="T144">
            <v>0</v>
          </cell>
          <cell r="U144">
            <v>0</v>
          </cell>
          <cell r="V144" t="str">
            <v xml:space="preserve"> </v>
          </cell>
          <cell r="W144">
            <v>1341255</v>
          </cell>
          <cell r="X144">
            <v>0</v>
          </cell>
          <cell r="Y144">
            <v>0</v>
          </cell>
          <cell r="Z144">
            <v>0</v>
          </cell>
          <cell r="AA144">
            <v>0</v>
          </cell>
          <cell r="AB144">
            <v>1290816</v>
          </cell>
          <cell r="AC144">
            <v>44056</v>
          </cell>
          <cell r="AD144">
            <v>40932</v>
          </cell>
          <cell r="AE144">
            <v>0</v>
          </cell>
          <cell r="AF144">
            <v>0</v>
          </cell>
          <cell r="AG144">
            <v>0</v>
          </cell>
          <cell r="AH144">
            <v>0</v>
          </cell>
          <cell r="AI144">
            <v>0</v>
          </cell>
          <cell r="AJ144">
            <v>0</v>
          </cell>
          <cell r="AK144">
            <v>0</v>
          </cell>
          <cell r="AL144">
            <v>0</v>
          </cell>
          <cell r="AM144">
            <v>18347</v>
          </cell>
          <cell r="AN144">
            <v>0</v>
          </cell>
          <cell r="AO144">
            <v>0</v>
          </cell>
          <cell r="AP144">
            <v>1394151</v>
          </cell>
        </row>
        <row r="145">
          <cell r="E145">
            <v>230</v>
          </cell>
          <cell r="F145" t="str">
            <v xml:space="preserve"> 2015-2016</v>
          </cell>
          <cell r="G145" t="str">
            <v xml:space="preserve"> 11/15/2015</v>
          </cell>
          <cell r="H145">
            <v>35086267</v>
          </cell>
          <cell r="I145">
            <v>610872</v>
          </cell>
          <cell r="J145">
            <v>1496981</v>
          </cell>
          <cell r="K145">
            <v>287341</v>
          </cell>
          <cell r="L145">
            <v>136487</v>
          </cell>
          <cell r="M145">
            <v>0</v>
          </cell>
          <cell r="N145">
            <v>0</v>
          </cell>
          <cell r="O145">
            <v>628974</v>
          </cell>
          <cell r="P145">
            <v>0</v>
          </cell>
          <cell r="Q145">
            <v>0</v>
          </cell>
          <cell r="R145">
            <v>17</v>
          </cell>
          <cell r="S145">
            <v>466570</v>
          </cell>
          <cell r="T145">
            <v>1683</v>
          </cell>
          <cell r="U145">
            <v>3370123</v>
          </cell>
          <cell r="V145" t="str">
            <v xml:space="preserve"> </v>
          </cell>
          <cell r="W145">
            <v>41797974</v>
          </cell>
          <cell r="X145">
            <v>0</v>
          </cell>
          <cell r="Y145">
            <v>0</v>
          </cell>
          <cell r="Z145">
            <v>0</v>
          </cell>
          <cell r="AA145">
            <v>0</v>
          </cell>
          <cell r="AB145">
            <v>36291317</v>
          </cell>
          <cell r="AC145">
            <v>1238625</v>
          </cell>
          <cell r="AD145">
            <v>1150819</v>
          </cell>
          <cell r="AE145">
            <v>278304</v>
          </cell>
          <cell r="AF145">
            <v>132194</v>
          </cell>
          <cell r="AG145">
            <v>0</v>
          </cell>
          <cell r="AH145">
            <v>0</v>
          </cell>
          <cell r="AI145">
            <v>338805</v>
          </cell>
          <cell r="AJ145">
            <v>0</v>
          </cell>
          <cell r="AK145">
            <v>0</v>
          </cell>
          <cell r="AL145">
            <v>17</v>
          </cell>
          <cell r="AM145">
            <v>515823</v>
          </cell>
          <cell r="AN145">
            <v>1683</v>
          </cell>
          <cell r="AO145">
            <v>6899352</v>
          </cell>
          <cell r="AP145">
            <v>46568635</v>
          </cell>
        </row>
        <row r="146">
          <cell r="E146">
            <v>550</v>
          </cell>
          <cell r="F146" t="str">
            <v xml:space="preserve"> 2015-2016</v>
          </cell>
          <cell r="G146" t="str">
            <v xml:space="preserve"> 11/15/2015</v>
          </cell>
          <cell r="H146">
            <v>830494</v>
          </cell>
          <cell r="I146">
            <v>14793</v>
          </cell>
          <cell r="J146">
            <v>35069</v>
          </cell>
          <cell r="K146">
            <v>5150</v>
          </cell>
          <cell r="L146">
            <v>2446</v>
          </cell>
          <cell r="M146">
            <v>0</v>
          </cell>
          <cell r="N146">
            <v>0</v>
          </cell>
          <cell r="O146">
            <v>28893</v>
          </cell>
          <cell r="P146">
            <v>0</v>
          </cell>
          <cell r="Q146">
            <v>0</v>
          </cell>
          <cell r="R146">
            <v>0</v>
          </cell>
          <cell r="S146">
            <v>10934</v>
          </cell>
          <cell r="T146">
            <v>0</v>
          </cell>
          <cell r="U146">
            <v>0</v>
          </cell>
          <cell r="V146" t="str">
            <v xml:space="preserve"> </v>
          </cell>
          <cell r="W146">
            <v>922629</v>
          </cell>
          <cell r="X146">
            <v>0</v>
          </cell>
          <cell r="Y146">
            <v>0</v>
          </cell>
          <cell r="Z146">
            <v>0</v>
          </cell>
          <cell r="AA146">
            <v>0</v>
          </cell>
          <cell r="AB146">
            <v>844800</v>
          </cell>
          <cell r="AC146">
            <v>28833</v>
          </cell>
          <cell r="AD146">
            <v>26789</v>
          </cell>
          <cell r="AE146">
            <v>6819</v>
          </cell>
          <cell r="AF146">
            <v>3239</v>
          </cell>
          <cell r="AG146">
            <v>0</v>
          </cell>
          <cell r="AH146">
            <v>0</v>
          </cell>
          <cell r="AI146">
            <v>33711</v>
          </cell>
          <cell r="AJ146">
            <v>0</v>
          </cell>
          <cell r="AK146">
            <v>0</v>
          </cell>
          <cell r="AL146">
            <v>0</v>
          </cell>
          <cell r="AM146">
            <v>12007</v>
          </cell>
          <cell r="AN146">
            <v>0</v>
          </cell>
          <cell r="AO146">
            <v>0</v>
          </cell>
          <cell r="AP146">
            <v>949379</v>
          </cell>
        </row>
        <row r="147">
          <cell r="D147" t="str">
            <v xml:space="preserve"> SACRAMENTO        </v>
          </cell>
          <cell r="AO147">
            <v>6899352</v>
          </cell>
          <cell r="AP147">
            <v>48912165</v>
          </cell>
        </row>
        <row r="149">
          <cell r="E149">
            <v>580</v>
          </cell>
          <cell r="F149" t="str">
            <v xml:space="preserve"> 2015-2016</v>
          </cell>
          <cell r="G149" t="str">
            <v xml:space="preserve"> 11/15/2015</v>
          </cell>
          <cell r="H149">
            <v>1320</v>
          </cell>
          <cell r="I149">
            <v>18</v>
          </cell>
          <cell r="J149">
            <v>71</v>
          </cell>
          <cell r="K149">
            <v>0</v>
          </cell>
          <cell r="L149">
            <v>0</v>
          </cell>
          <cell r="M149">
            <v>0</v>
          </cell>
          <cell r="N149">
            <v>0</v>
          </cell>
          <cell r="O149">
            <v>0</v>
          </cell>
          <cell r="P149">
            <v>0</v>
          </cell>
          <cell r="Q149">
            <v>1</v>
          </cell>
          <cell r="R149">
            <v>0</v>
          </cell>
          <cell r="S149">
            <v>12</v>
          </cell>
          <cell r="T149">
            <v>0</v>
          </cell>
          <cell r="U149">
            <v>-38</v>
          </cell>
          <cell r="V149" t="str">
            <v xml:space="preserve"> </v>
          </cell>
          <cell r="W149">
            <v>1384</v>
          </cell>
          <cell r="X149">
            <v>0</v>
          </cell>
          <cell r="Y149">
            <v>0</v>
          </cell>
          <cell r="Z149">
            <v>0</v>
          </cell>
          <cell r="AA149">
            <v>0</v>
          </cell>
          <cell r="AB149">
            <v>1380</v>
          </cell>
          <cell r="AC149">
            <v>21</v>
          </cell>
          <cell r="AD149">
            <v>66</v>
          </cell>
          <cell r="AE149">
            <v>0</v>
          </cell>
          <cell r="AF149">
            <v>0</v>
          </cell>
          <cell r="AG149">
            <v>0</v>
          </cell>
          <cell r="AH149">
            <v>0</v>
          </cell>
          <cell r="AI149">
            <v>0</v>
          </cell>
          <cell r="AJ149">
            <v>0</v>
          </cell>
          <cell r="AK149">
            <v>1</v>
          </cell>
          <cell r="AL149">
            <v>0</v>
          </cell>
          <cell r="AM149">
            <v>12</v>
          </cell>
          <cell r="AN149">
            <v>0</v>
          </cell>
          <cell r="AO149">
            <v>-7</v>
          </cell>
          <cell r="AP149">
            <v>1473</v>
          </cell>
        </row>
        <row r="150">
          <cell r="E150">
            <v>450</v>
          </cell>
          <cell r="F150" t="str">
            <v xml:space="preserve"> 2015-2016</v>
          </cell>
          <cell r="G150" t="str">
            <v xml:space="preserve"> 11/15/2015</v>
          </cell>
          <cell r="H150">
            <v>67002</v>
          </cell>
          <cell r="I150">
            <v>923</v>
          </cell>
          <cell r="J150">
            <v>3674</v>
          </cell>
          <cell r="K150">
            <v>0</v>
          </cell>
          <cell r="L150">
            <v>0</v>
          </cell>
          <cell r="M150">
            <v>0</v>
          </cell>
          <cell r="N150">
            <v>0</v>
          </cell>
          <cell r="O150">
            <v>0</v>
          </cell>
          <cell r="P150">
            <v>0</v>
          </cell>
          <cell r="Q150">
            <v>59</v>
          </cell>
          <cell r="R150">
            <v>0</v>
          </cell>
          <cell r="S150">
            <v>617</v>
          </cell>
          <cell r="T150">
            <v>0</v>
          </cell>
          <cell r="U150">
            <v>-1938</v>
          </cell>
          <cell r="V150" t="str">
            <v xml:space="preserve"> </v>
          </cell>
          <cell r="W150">
            <v>70337</v>
          </cell>
          <cell r="X150">
            <v>0</v>
          </cell>
          <cell r="Y150">
            <v>0</v>
          </cell>
          <cell r="Z150">
            <v>0</v>
          </cell>
          <cell r="AA150">
            <v>0</v>
          </cell>
          <cell r="AB150">
            <v>70215</v>
          </cell>
          <cell r="AC150">
            <v>1094</v>
          </cell>
          <cell r="AD150">
            <v>3407</v>
          </cell>
          <cell r="AE150">
            <v>0</v>
          </cell>
          <cell r="AF150">
            <v>0</v>
          </cell>
          <cell r="AG150">
            <v>0</v>
          </cell>
          <cell r="AH150">
            <v>0</v>
          </cell>
          <cell r="AI150">
            <v>0</v>
          </cell>
          <cell r="AJ150">
            <v>0</v>
          </cell>
          <cell r="AK150">
            <v>60</v>
          </cell>
          <cell r="AL150">
            <v>0</v>
          </cell>
          <cell r="AM150">
            <v>598</v>
          </cell>
          <cell r="AN150">
            <v>0</v>
          </cell>
          <cell r="AO150">
            <v>-367</v>
          </cell>
          <cell r="AP150">
            <v>75007</v>
          </cell>
        </row>
        <row r="151">
          <cell r="E151">
            <v>440</v>
          </cell>
          <cell r="F151" t="str">
            <v xml:space="preserve"> 2015-2016</v>
          </cell>
          <cell r="G151" t="str">
            <v xml:space="preserve"> 11/15/2015</v>
          </cell>
          <cell r="H151">
            <v>4274379</v>
          </cell>
          <cell r="I151">
            <v>69994</v>
          </cell>
          <cell r="J151">
            <v>242520</v>
          </cell>
          <cell r="K151">
            <v>11731</v>
          </cell>
          <cell r="L151">
            <v>5572</v>
          </cell>
          <cell r="M151">
            <v>0</v>
          </cell>
          <cell r="N151">
            <v>0</v>
          </cell>
          <cell r="O151">
            <v>402504</v>
          </cell>
          <cell r="P151">
            <v>0</v>
          </cell>
          <cell r="Q151">
            <v>4842</v>
          </cell>
          <cell r="R151">
            <v>0</v>
          </cell>
          <cell r="S151">
            <v>40714</v>
          </cell>
          <cell r="T151">
            <v>0</v>
          </cell>
          <cell r="U151">
            <v>-127964</v>
          </cell>
          <cell r="V151" t="str">
            <v xml:space="preserve"> </v>
          </cell>
          <cell r="W151">
            <v>4912561</v>
          </cell>
          <cell r="X151">
            <v>0</v>
          </cell>
          <cell r="Y151">
            <v>0</v>
          </cell>
          <cell r="Z151">
            <v>0</v>
          </cell>
          <cell r="AA151">
            <v>0</v>
          </cell>
          <cell r="AB151">
            <v>4556159</v>
          </cell>
          <cell r="AC151">
            <v>88156</v>
          </cell>
          <cell r="AD151">
            <v>228624</v>
          </cell>
          <cell r="AE151">
            <v>12552</v>
          </cell>
          <cell r="AF151">
            <v>5962</v>
          </cell>
          <cell r="AG151">
            <v>0</v>
          </cell>
          <cell r="AH151">
            <v>0</v>
          </cell>
          <cell r="AI151">
            <v>430680</v>
          </cell>
          <cell r="AJ151">
            <v>0</v>
          </cell>
          <cell r="AK151">
            <v>5000</v>
          </cell>
          <cell r="AL151">
            <v>0</v>
          </cell>
          <cell r="AM151">
            <v>40097</v>
          </cell>
          <cell r="AN151">
            <v>0</v>
          </cell>
          <cell r="AO151">
            <v>-24647</v>
          </cell>
          <cell r="AP151">
            <v>5330031</v>
          </cell>
        </row>
        <row r="152">
          <cell r="E152">
            <v>410</v>
          </cell>
          <cell r="F152" t="str">
            <v xml:space="preserve"> 2015-2016</v>
          </cell>
          <cell r="G152" t="str">
            <v xml:space="preserve"> 11/15/2015</v>
          </cell>
          <cell r="H152">
            <v>150509</v>
          </cell>
          <cell r="I152">
            <v>2049</v>
          </cell>
          <cell r="J152">
            <v>8557</v>
          </cell>
          <cell r="K152">
            <v>0</v>
          </cell>
          <cell r="L152">
            <v>0</v>
          </cell>
          <cell r="M152">
            <v>0</v>
          </cell>
          <cell r="N152">
            <v>0</v>
          </cell>
          <cell r="O152">
            <v>0</v>
          </cell>
          <cell r="P152">
            <v>0</v>
          </cell>
          <cell r="Q152">
            <v>119</v>
          </cell>
          <cell r="R152">
            <v>0</v>
          </cell>
          <cell r="S152">
            <v>1436</v>
          </cell>
          <cell r="T152">
            <v>0</v>
          </cell>
          <cell r="U152">
            <v>-4515</v>
          </cell>
          <cell r="V152" t="str">
            <v xml:space="preserve"> </v>
          </cell>
          <cell r="W152">
            <v>158155</v>
          </cell>
          <cell r="X152">
            <v>0</v>
          </cell>
          <cell r="Y152">
            <v>0</v>
          </cell>
          <cell r="Z152">
            <v>0</v>
          </cell>
          <cell r="AA152">
            <v>0</v>
          </cell>
          <cell r="AB152">
            <v>165341</v>
          </cell>
          <cell r="AC152">
            <v>2671</v>
          </cell>
          <cell r="AD152">
            <v>8319</v>
          </cell>
          <cell r="AE152">
            <v>0</v>
          </cell>
          <cell r="AF152">
            <v>0</v>
          </cell>
          <cell r="AG152">
            <v>0</v>
          </cell>
          <cell r="AH152">
            <v>0</v>
          </cell>
          <cell r="AI152">
            <v>0</v>
          </cell>
          <cell r="AJ152">
            <v>0</v>
          </cell>
          <cell r="AK152">
            <v>0</v>
          </cell>
          <cell r="AL152">
            <v>0</v>
          </cell>
          <cell r="AM152">
            <v>1459</v>
          </cell>
          <cell r="AN152">
            <v>0</v>
          </cell>
          <cell r="AO152">
            <v>-897</v>
          </cell>
          <cell r="AP152">
            <v>176893</v>
          </cell>
        </row>
        <row r="153">
          <cell r="D153" t="str">
            <v xml:space="preserve"> SAN BENITO        </v>
          </cell>
          <cell r="AO153">
            <v>-25918</v>
          </cell>
          <cell r="AP153">
            <v>5583404</v>
          </cell>
        </row>
        <row r="155">
          <cell r="E155">
            <v>520</v>
          </cell>
          <cell r="F155" t="str">
            <v xml:space="preserve"> 2015-2016</v>
          </cell>
          <cell r="G155" t="str">
            <v xml:space="preserve"> 11/15/2015</v>
          </cell>
          <cell r="H155">
            <v>51416</v>
          </cell>
          <cell r="I155">
            <v>913</v>
          </cell>
          <cell r="J155">
            <v>1775</v>
          </cell>
          <cell r="K155">
            <v>0</v>
          </cell>
          <cell r="L155">
            <v>0</v>
          </cell>
          <cell r="M155">
            <v>0</v>
          </cell>
          <cell r="N155">
            <v>0</v>
          </cell>
          <cell r="O155">
            <v>0</v>
          </cell>
          <cell r="P155">
            <v>0</v>
          </cell>
          <cell r="Q155">
            <v>1423</v>
          </cell>
          <cell r="R155">
            <v>0</v>
          </cell>
          <cell r="S155">
            <v>477</v>
          </cell>
          <cell r="T155">
            <v>0</v>
          </cell>
          <cell r="U155">
            <v>0</v>
          </cell>
          <cell r="V155" t="str">
            <v xml:space="preserve"> </v>
          </cell>
          <cell r="W155">
            <v>56004</v>
          </cell>
          <cell r="X155">
            <v>0</v>
          </cell>
          <cell r="Y155">
            <v>0</v>
          </cell>
          <cell r="Z155">
            <v>0</v>
          </cell>
          <cell r="AA155">
            <v>0</v>
          </cell>
          <cell r="AB155">
            <v>48868</v>
          </cell>
          <cell r="AC155">
            <v>913</v>
          </cell>
          <cell r="AD155">
            <v>1521</v>
          </cell>
          <cell r="AE155">
            <v>0</v>
          </cell>
          <cell r="AF155">
            <v>0</v>
          </cell>
          <cell r="AG155">
            <v>0</v>
          </cell>
          <cell r="AH155">
            <v>0</v>
          </cell>
          <cell r="AI155">
            <v>0</v>
          </cell>
          <cell r="AJ155">
            <v>0</v>
          </cell>
          <cell r="AK155">
            <v>965</v>
          </cell>
          <cell r="AL155">
            <v>0</v>
          </cell>
          <cell r="AM155">
            <v>424</v>
          </cell>
          <cell r="AN155">
            <v>0</v>
          </cell>
          <cell r="AO155">
            <v>0</v>
          </cell>
          <cell r="AP155">
            <v>52691</v>
          </cell>
        </row>
        <row r="156">
          <cell r="E156">
            <v>910</v>
          </cell>
          <cell r="F156" t="str">
            <v xml:space="preserve"> 2015-2016</v>
          </cell>
          <cell r="G156" t="str">
            <v xml:space="preserve"> 11/15/2015</v>
          </cell>
          <cell r="H156">
            <v>4075213</v>
          </cell>
          <cell r="I156">
            <v>60892</v>
          </cell>
          <cell r="J156">
            <v>137714</v>
          </cell>
          <cell r="K156">
            <v>59685</v>
          </cell>
          <cell r="L156">
            <v>28350</v>
          </cell>
          <cell r="M156">
            <v>0</v>
          </cell>
          <cell r="N156">
            <v>0</v>
          </cell>
          <cell r="O156">
            <v>226333</v>
          </cell>
          <cell r="P156">
            <v>0</v>
          </cell>
          <cell r="Q156">
            <v>1699</v>
          </cell>
          <cell r="R156">
            <v>0</v>
          </cell>
          <cell r="S156">
            <v>37038</v>
          </cell>
          <cell r="T156">
            <v>0</v>
          </cell>
          <cell r="U156">
            <v>-1363078</v>
          </cell>
          <cell r="V156" t="str">
            <v xml:space="preserve"> </v>
          </cell>
          <cell r="W156">
            <v>3204161</v>
          </cell>
          <cell r="X156">
            <v>0</v>
          </cell>
          <cell r="Y156">
            <v>0</v>
          </cell>
          <cell r="Z156">
            <v>0</v>
          </cell>
          <cell r="AA156">
            <v>0</v>
          </cell>
          <cell r="AB156">
            <v>3794483</v>
          </cell>
          <cell r="AC156">
            <v>60892</v>
          </cell>
          <cell r="AD156">
            <v>117002</v>
          </cell>
          <cell r="AE156">
            <v>63472</v>
          </cell>
          <cell r="AF156">
            <v>30149</v>
          </cell>
          <cell r="AG156">
            <v>0</v>
          </cell>
          <cell r="AH156">
            <v>0</v>
          </cell>
          <cell r="AI156">
            <v>0</v>
          </cell>
          <cell r="AJ156">
            <v>0</v>
          </cell>
          <cell r="AK156">
            <v>4255</v>
          </cell>
          <cell r="AL156">
            <v>0</v>
          </cell>
          <cell r="AM156">
            <v>32624</v>
          </cell>
          <cell r="AN156">
            <v>0</v>
          </cell>
          <cell r="AO156">
            <v>-867458</v>
          </cell>
          <cell r="AP156">
            <v>3171947</v>
          </cell>
        </row>
        <row r="157">
          <cell r="E157">
            <v>920</v>
          </cell>
          <cell r="F157" t="str">
            <v xml:space="preserve"> 2015-2016</v>
          </cell>
          <cell r="G157" t="str">
            <v xml:space="preserve"> 11/15/2015</v>
          </cell>
          <cell r="H157">
            <v>24532234</v>
          </cell>
          <cell r="I157">
            <v>481045</v>
          </cell>
          <cell r="J157">
            <v>1035887</v>
          </cell>
          <cell r="K157">
            <v>1720409</v>
          </cell>
          <cell r="L157">
            <v>817194</v>
          </cell>
          <cell r="M157">
            <v>0</v>
          </cell>
          <cell r="N157">
            <v>0</v>
          </cell>
          <cell r="O157">
            <v>10358065</v>
          </cell>
          <cell r="P157">
            <v>0</v>
          </cell>
          <cell r="Q157">
            <v>12485</v>
          </cell>
          <cell r="R157">
            <v>0</v>
          </cell>
          <cell r="S157">
            <v>278599</v>
          </cell>
          <cell r="T157">
            <v>0</v>
          </cell>
          <cell r="U157">
            <v>-10253076</v>
          </cell>
          <cell r="V157" t="str">
            <v xml:space="preserve"> </v>
          </cell>
          <cell r="W157">
            <v>27262433</v>
          </cell>
          <cell r="X157">
            <v>0</v>
          </cell>
          <cell r="Y157">
            <v>0</v>
          </cell>
          <cell r="Z157">
            <v>0</v>
          </cell>
          <cell r="AA157">
            <v>0</v>
          </cell>
          <cell r="AB157">
            <v>25497935</v>
          </cell>
          <cell r="AC157">
            <v>481045</v>
          </cell>
          <cell r="AD157">
            <v>1003783</v>
          </cell>
          <cell r="AE157">
            <v>1786137</v>
          </cell>
          <cell r="AF157">
            <v>848415</v>
          </cell>
          <cell r="AG157">
            <v>0</v>
          </cell>
          <cell r="AH157">
            <v>0</v>
          </cell>
          <cell r="AI157">
            <v>0</v>
          </cell>
          <cell r="AJ157">
            <v>0</v>
          </cell>
          <cell r="AK157">
            <v>31277</v>
          </cell>
          <cell r="AL157">
            <v>0</v>
          </cell>
          <cell r="AM157">
            <v>279886</v>
          </cell>
          <cell r="AN157">
            <v>0</v>
          </cell>
          <cell r="AO157">
            <v>-7442093</v>
          </cell>
          <cell r="AP157">
            <v>20700248</v>
          </cell>
        </row>
        <row r="158">
          <cell r="E158">
            <v>980</v>
          </cell>
          <cell r="F158" t="str">
            <v xml:space="preserve"> 2015-2016</v>
          </cell>
          <cell r="G158" t="str">
            <v xml:space="preserve"> 11/15/2015</v>
          </cell>
          <cell r="H158">
            <v>19644194</v>
          </cell>
          <cell r="I158">
            <v>387457</v>
          </cell>
          <cell r="J158">
            <v>821432</v>
          </cell>
          <cell r="K158">
            <v>783910</v>
          </cell>
          <cell r="L158">
            <v>372357</v>
          </cell>
          <cell r="M158">
            <v>0</v>
          </cell>
          <cell r="N158">
            <v>0</v>
          </cell>
          <cell r="O158">
            <v>4676296</v>
          </cell>
          <cell r="P158">
            <v>0</v>
          </cell>
          <cell r="Q158">
            <v>10019</v>
          </cell>
          <cell r="R158">
            <v>0</v>
          </cell>
          <cell r="S158">
            <v>220922</v>
          </cell>
          <cell r="T158">
            <v>0</v>
          </cell>
          <cell r="U158">
            <v>-8130431</v>
          </cell>
          <cell r="V158" t="str">
            <v xml:space="preserve"> </v>
          </cell>
          <cell r="W158">
            <v>18002246</v>
          </cell>
          <cell r="X158">
            <v>0</v>
          </cell>
          <cell r="Y158">
            <v>0</v>
          </cell>
          <cell r="Z158">
            <v>0</v>
          </cell>
          <cell r="AA158">
            <v>0</v>
          </cell>
          <cell r="AB158">
            <v>20311891</v>
          </cell>
          <cell r="AC158">
            <v>387457</v>
          </cell>
          <cell r="AD158">
            <v>792033</v>
          </cell>
          <cell r="AE158">
            <v>817427</v>
          </cell>
          <cell r="AF158">
            <v>388278</v>
          </cell>
          <cell r="AG158">
            <v>0</v>
          </cell>
          <cell r="AH158">
            <v>0</v>
          </cell>
          <cell r="AI158">
            <v>0</v>
          </cell>
          <cell r="AJ158">
            <v>0</v>
          </cell>
          <cell r="AK158">
            <v>25099</v>
          </cell>
          <cell r="AL158">
            <v>0</v>
          </cell>
          <cell r="AM158">
            <v>220843</v>
          </cell>
          <cell r="AN158">
            <v>0</v>
          </cell>
          <cell r="AO158">
            <v>-5872162</v>
          </cell>
          <cell r="AP158">
            <v>16253439</v>
          </cell>
        </row>
        <row r="159">
          <cell r="E159">
            <v>990</v>
          </cell>
          <cell r="F159" t="str">
            <v xml:space="preserve"> 2015-2016</v>
          </cell>
          <cell r="G159" t="str">
            <v xml:space="preserve"> 11/15/2015</v>
          </cell>
          <cell r="H159">
            <v>11120440</v>
          </cell>
          <cell r="I159">
            <v>222756</v>
          </cell>
          <cell r="J159">
            <v>463844</v>
          </cell>
          <cell r="K159">
            <v>205296</v>
          </cell>
          <cell r="L159">
            <v>97516</v>
          </cell>
          <cell r="M159">
            <v>0</v>
          </cell>
          <cell r="N159">
            <v>0</v>
          </cell>
          <cell r="O159">
            <v>388890</v>
          </cell>
          <cell r="P159">
            <v>0</v>
          </cell>
          <cell r="Q159">
            <v>5720</v>
          </cell>
          <cell r="R159">
            <v>0</v>
          </cell>
          <cell r="S159">
            <v>124750</v>
          </cell>
          <cell r="T159">
            <v>0</v>
          </cell>
          <cell r="U159">
            <v>-4591069</v>
          </cell>
          <cell r="V159" t="str">
            <v xml:space="preserve"> </v>
          </cell>
          <cell r="W159">
            <v>7832847</v>
          </cell>
          <cell r="X159">
            <v>0</v>
          </cell>
          <cell r="Y159">
            <v>0</v>
          </cell>
          <cell r="Z159">
            <v>0</v>
          </cell>
          <cell r="AA159">
            <v>0</v>
          </cell>
          <cell r="AB159">
            <v>11492735</v>
          </cell>
          <cell r="AC159">
            <v>222756</v>
          </cell>
          <cell r="AD159">
            <v>447052</v>
          </cell>
          <cell r="AE159">
            <v>253299</v>
          </cell>
          <cell r="AF159">
            <v>120317</v>
          </cell>
          <cell r="AG159">
            <v>0</v>
          </cell>
          <cell r="AH159">
            <v>0</v>
          </cell>
          <cell r="AI159">
            <v>0</v>
          </cell>
          <cell r="AJ159">
            <v>0</v>
          </cell>
          <cell r="AK159">
            <v>14330</v>
          </cell>
          <cell r="AL159">
            <v>0</v>
          </cell>
          <cell r="AM159">
            <v>124652</v>
          </cell>
          <cell r="AN159">
            <v>0</v>
          </cell>
          <cell r="AO159">
            <v>-3314459</v>
          </cell>
          <cell r="AP159">
            <v>9107383</v>
          </cell>
        </row>
        <row r="160">
          <cell r="E160">
            <v>950</v>
          </cell>
          <cell r="F160" t="str">
            <v xml:space="preserve"> 2015-2016</v>
          </cell>
          <cell r="G160" t="str">
            <v xml:space="preserve"> 11/15/2015</v>
          </cell>
          <cell r="H160">
            <v>359978</v>
          </cell>
          <cell r="I160">
            <v>5527</v>
          </cell>
          <cell r="J160">
            <v>11410</v>
          </cell>
          <cell r="K160">
            <v>0</v>
          </cell>
          <cell r="L160">
            <v>0</v>
          </cell>
          <cell r="M160">
            <v>0</v>
          </cell>
          <cell r="N160">
            <v>0</v>
          </cell>
          <cell r="O160">
            <v>0</v>
          </cell>
          <cell r="P160">
            <v>0</v>
          </cell>
          <cell r="Q160">
            <v>9822</v>
          </cell>
          <cell r="R160">
            <v>0</v>
          </cell>
          <cell r="S160">
            <v>3069</v>
          </cell>
          <cell r="T160">
            <v>0</v>
          </cell>
          <cell r="U160">
            <v>0</v>
          </cell>
          <cell r="V160" t="str">
            <v xml:space="preserve"> </v>
          </cell>
          <cell r="W160">
            <v>389806</v>
          </cell>
          <cell r="X160">
            <v>0</v>
          </cell>
          <cell r="Y160">
            <v>0</v>
          </cell>
          <cell r="Z160">
            <v>0</v>
          </cell>
          <cell r="AA160">
            <v>0</v>
          </cell>
          <cell r="AB160">
            <v>362833</v>
          </cell>
          <cell r="AC160">
            <v>5527</v>
          </cell>
          <cell r="AD160">
            <v>10550</v>
          </cell>
          <cell r="AE160">
            <v>0</v>
          </cell>
          <cell r="AF160">
            <v>0</v>
          </cell>
          <cell r="AG160">
            <v>0</v>
          </cell>
          <cell r="AH160">
            <v>0</v>
          </cell>
          <cell r="AI160">
            <v>0</v>
          </cell>
          <cell r="AJ160">
            <v>0</v>
          </cell>
          <cell r="AK160">
            <v>6663</v>
          </cell>
          <cell r="AL160">
            <v>0</v>
          </cell>
          <cell r="AM160">
            <v>2942</v>
          </cell>
          <cell r="AN160">
            <v>0</v>
          </cell>
          <cell r="AO160">
            <v>0</v>
          </cell>
          <cell r="AP160">
            <v>388515</v>
          </cell>
        </row>
        <row r="161">
          <cell r="E161">
            <v>970</v>
          </cell>
          <cell r="F161" t="str">
            <v xml:space="preserve"> 2015-2016</v>
          </cell>
          <cell r="G161" t="str">
            <v xml:space="preserve"> 11/15/2015</v>
          </cell>
          <cell r="H161">
            <v>1618284</v>
          </cell>
          <cell r="I161">
            <v>31703</v>
          </cell>
          <cell r="J161">
            <v>66213</v>
          </cell>
          <cell r="K161">
            <v>0</v>
          </cell>
          <cell r="L161">
            <v>0</v>
          </cell>
          <cell r="M161">
            <v>0</v>
          </cell>
          <cell r="N161">
            <v>0</v>
          </cell>
          <cell r="O161">
            <v>69764</v>
          </cell>
          <cell r="P161">
            <v>0</v>
          </cell>
          <cell r="Q161">
            <v>824</v>
          </cell>
          <cell r="R161">
            <v>0</v>
          </cell>
          <cell r="S161">
            <v>17808</v>
          </cell>
          <cell r="T161">
            <v>0</v>
          </cell>
          <cell r="U161">
            <v>-655366</v>
          </cell>
          <cell r="V161" t="str">
            <v xml:space="preserve"> </v>
          </cell>
          <cell r="W161">
            <v>1149230</v>
          </cell>
          <cell r="X161">
            <v>0</v>
          </cell>
          <cell r="Y161">
            <v>0</v>
          </cell>
          <cell r="Z161">
            <v>0</v>
          </cell>
          <cell r="AA161">
            <v>0</v>
          </cell>
          <cell r="AB161">
            <v>1653473</v>
          </cell>
          <cell r="AC161">
            <v>31586</v>
          </cell>
          <cell r="AD161">
            <v>63094</v>
          </cell>
          <cell r="AE161">
            <v>0</v>
          </cell>
          <cell r="AF161">
            <v>0</v>
          </cell>
          <cell r="AG161">
            <v>0</v>
          </cell>
          <cell r="AH161">
            <v>0</v>
          </cell>
          <cell r="AI161">
            <v>0</v>
          </cell>
          <cell r="AJ161">
            <v>0</v>
          </cell>
          <cell r="AK161">
            <v>2065</v>
          </cell>
          <cell r="AL161">
            <v>0</v>
          </cell>
          <cell r="AM161">
            <v>17593</v>
          </cell>
          <cell r="AN161">
            <v>0</v>
          </cell>
          <cell r="AO161">
            <v>-467781</v>
          </cell>
          <cell r="AP161">
            <v>1300030</v>
          </cell>
        </row>
        <row r="162">
          <cell r="D162" t="str">
            <v xml:space="preserve"> SAN BERNARDINO    </v>
          </cell>
          <cell r="AO162">
            <v>-17963953</v>
          </cell>
          <cell r="AP162">
            <v>50974253</v>
          </cell>
        </row>
        <row r="164">
          <cell r="E164">
            <v>20</v>
          </cell>
          <cell r="F164" t="str">
            <v xml:space="preserve"> 2015-2016</v>
          </cell>
          <cell r="G164" t="str">
            <v xml:space="preserve"> 11/15/2015</v>
          </cell>
          <cell r="H164">
            <v>32211526</v>
          </cell>
          <cell r="I164">
            <v>805942</v>
          </cell>
          <cell r="J164">
            <v>1091526</v>
          </cell>
          <cell r="K164">
            <v>190991</v>
          </cell>
          <cell r="L164">
            <v>90721</v>
          </cell>
          <cell r="M164">
            <v>0</v>
          </cell>
          <cell r="N164">
            <v>0</v>
          </cell>
          <cell r="O164">
            <v>1173731</v>
          </cell>
          <cell r="P164">
            <v>183118</v>
          </cell>
          <cell r="Q164">
            <v>-27058</v>
          </cell>
          <cell r="R164">
            <v>0</v>
          </cell>
          <cell r="S164">
            <v>275633</v>
          </cell>
          <cell r="T164">
            <v>0</v>
          </cell>
          <cell r="U164">
            <v>-3034647</v>
          </cell>
          <cell r="V164" t="str">
            <v xml:space="preserve"> </v>
          </cell>
          <cell r="W164">
            <v>32770492</v>
          </cell>
          <cell r="X164">
            <v>0</v>
          </cell>
          <cell r="Y164">
            <v>0</v>
          </cell>
          <cell r="Z164">
            <v>0</v>
          </cell>
          <cell r="AA164">
            <v>0</v>
          </cell>
          <cell r="AB164">
            <v>33683189</v>
          </cell>
          <cell r="AC164">
            <v>761842</v>
          </cell>
          <cell r="AD164">
            <v>1112285</v>
          </cell>
          <cell r="AE164">
            <v>86779</v>
          </cell>
          <cell r="AF164">
            <v>41220</v>
          </cell>
          <cell r="AG164">
            <v>0</v>
          </cell>
          <cell r="AH164">
            <v>0</v>
          </cell>
          <cell r="AI164">
            <v>0</v>
          </cell>
          <cell r="AJ164">
            <v>0</v>
          </cell>
          <cell r="AK164">
            <v>-16555</v>
          </cell>
          <cell r="AL164">
            <v>0</v>
          </cell>
          <cell r="AM164">
            <v>271745</v>
          </cell>
          <cell r="AN164">
            <v>0</v>
          </cell>
          <cell r="AO164">
            <v>-1307911</v>
          </cell>
          <cell r="AP164">
            <v>34545815</v>
          </cell>
        </row>
        <row r="165">
          <cell r="E165">
            <v>50</v>
          </cell>
          <cell r="F165" t="str">
            <v xml:space="preserve"> 2015-2016</v>
          </cell>
          <cell r="G165" t="str">
            <v xml:space="preserve"> 11/15/2015</v>
          </cell>
          <cell r="H165">
            <v>78286425</v>
          </cell>
          <cell r="I165">
            <v>1813146</v>
          </cell>
          <cell r="J165">
            <v>2670801</v>
          </cell>
          <cell r="K165">
            <v>188113</v>
          </cell>
          <cell r="L165">
            <v>89354</v>
          </cell>
          <cell r="M165">
            <v>0</v>
          </cell>
          <cell r="N165">
            <v>0</v>
          </cell>
          <cell r="O165">
            <v>658003</v>
          </cell>
          <cell r="P165">
            <v>0</v>
          </cell>
          <cell r="Q165">
            <v>-65292</v>
          </cell>
          <cell r="R165">
            <v>0</v>
          </cell>
          <cell r="S165">
            <v>674712</v>
          </cell>
          <cell r="T165">
            <v>0</v>
          </cell>
          <cell r="U165">
            <v>0</v>
          </cell>
          <cell r="V165" t="str">
            <v xml:space="preserve"> </v>
          </cell>
          <cell r="W165">
            <v>84127149</v>
          </cell>
          <cell r="X165">
            <v>0</v>
          </cell>
          <cell r="Y165">
            <v>0</v>
          </cell>
          <cell r="Z165">
            <v>0</v>
          </cell>
          <cell r="AA165">
            <v>0</v>
          </cell>
          <cell r="AB165">
            <v>81851774</v>
          </cell>
          <cell r="AC165">
            <v>1715539</v>
          </cell>
          <cell r="AD165">
            <v>2722653</v>
          </cell>
          <cell r="AE165">
            <v>93860</v>
          </cell>
          <cell r="AF165">
            <v>44584</v>
          </cell>
          <cell r="AG165">
            <v>0</v>
          </cell>
          <cell r="AH165">
            <v>0</v>
          </cell>
          <cell r="AI165">
            <v>0</v>
          </cell>
          <cell r="AJ165">
            <v>0</v>
          </cell>
          <cell r="AK165">
            <v>-40547</v>
          </cell>
          <cell r="AL165">
            <v>0</v>
          </cell>
          <cell r="AM165">
            <v>665182</v>
          </cell>
          <cell r="AN165">
            <v>0</v>
          </cell>
          <cell r="AO165">
            <v>0</v>
          </cell>
          <cell r="AP165">
            <v>86959185</v>
          </cell>
        </row>
        <row r="166">
          <cell r="E166">
            <v>60</v>
          </cell>
          <cell r="F166" t="str">
            <v xml:space="preserve"> 2015-2016</v>
          </cell>
          <cell r="G166" t="str">
            <v xml:space="preserve"> 11/15/2015</v>
          </cell>
          <cell r="H166">
            <v>57684761</v>
          </cell>
          <cell r="I166">
            <v>1474140</v>
          </cell>
          <cell r="J166">
            <v>1889840</v>
          </cell>
          <cell r="K166">
            <v>0</v>
          </cell>
          <cell r="L166">
            <v>0</v>
          </cell>
          <cell r="M166">
            <v>0</v>
          </cell>
          <cell r="N166">
            <v>0</v>
          </cell>
          <cell r="O166">
            <v>2882524</v>
          </cell>
          <cell r="P166">
            <v>196026</v>
          </cell>
          <cell r="Q166">
            <v>-45827</v>
          </cell>
          <cell r="R166">
            <v>0</v>
          </cell>
          <cell r="S166">
            <v>477535</v>
          </cell>
          <cell r="T166">
            <v>0</v>
          </cell>
          <cell r="U166">
            <v>-5257393</v>
          </cell>
          <cell r="V166" t="str">
            <v xml:space="preserve"> </v>
          </cell>
          <cell r="W166">
            <v>59301606</v>
          </cell>
          <cell r="X166">
            <v>0</v>
          </cell>
          <cell r="Y166">
            <v>0</v>
          </cell>
          <cell r="Z166">
            <v>0</v>
          </cell>
          <cell r="AA166">
            <v>0</v>
          </cell>
          <cell r="AB166">
            <v>60260595</v>
          </cell>
          <cell r="AC166">
            <v>1395341</v>
          </cell>
          <cell r="AD166">
            <v>1926961</v>
          </cell>
          <cell r="AE166">
            <v>2246</v>
          </cell>
          <cell r="AF166">
            <v>1067</v>
          </cell>
          <cell r="AG166">
            <v>0</v>
          </cell>
          <cell r="AH166">
            <v>0</v>
          </cell>
          <cell r="AI166">
            <v>0</v>
          </cell>
          <cell r="AJ166">
            <v>0</v>
          </cell>
          <cell r="AK166">
            <v>-28678</v>
          </cell>
          <cell r="AL166">
            <v>0</v>
          </cell>
          <cell r="AM166">
            <v>470785</v>
          </cell>
          <cell r="AN166">
            <v>0</v>
          </cell>
          <cell r="AO166">
            <v>-2265897</v>
          </cell>
          <cell r="AP166">
            <v>61760174</v>
          </cell>
        </row>
        <row r="167">
          <cell r="E167">
            <v>90</v>
          </cell>
          <cell r="F167" t="str">
            <v xml:space="preserve"> 2015-2016</v>
          </cell>
          <cell r="G167" t="str">
            <v xml:space="preserve"> 11/15/2015</v>
          </cell>
          <cell r="H167">
            <v>20808361</v>
          </cell>
          <cell r="I167">
            <v>517038</v>
          </cell>
          <cell r="J167">
            <v>710050</v>
          </cell>
          <cell r="K167">
            <v>290613</v>
          </cell>
          <cell r="L167">
            <v>138041</v>
          </cell>
          <cell r="M167">
            <v>0</v>
          </cell>
          <cell r="N167">
            <v>0</v>
          </cell>
          <cell r="O167">
            <v>580557</v>
          </cell>
          <cell r="P167">
            <v>15687</v>
          </cell>
          <cell r="Q167">
            <v>-17370</v>
          </cell>
          <cell r="R167">
            <v>0</v>
          </cell>
          <cell r="S167">
            <v>179371</v>
          </cell>
          <cell r="T167">
            <v>0</v>
          </cell>
          <cell r="U167">
            <v>-1974792</v>
          </cell>
          <cell r="V167" t="str">
            <v xml:space="preserve"> </v>
          </cell>
          <cell r="W167">
            <v>20956943</v>
          </cell>
          <cell r="X167">
            <v>0</v>
          </cell>
          <cell r="Y167">
            <v>0</v>
          </cell>
          <cell r="Z167">
            <v>0</v>
          </cell>
          <cell r="AA167">
            <v>0</v>
          </cell>
          <cell r="AB167">
            <v>21754858</v>
          </cell>
          <cell r="AC167">
            <v>489094</v>
          </cell>
          <cell r="AD167">
            <v>723813</v>
          </cell>
          <cell r="AE167">
            <v>134781</v>
          </cell>
          <cell r="AF167">
            <v>64021</v>
          </cell>
          <cell r="AG167">
            <v>0</v>
          </cell>
          <cell r="AH167">
            <v>0</v>
          </cell>
          <cell r="AI167">
            <v>0</v>
          </cell>
          <cell r="AJ167">
            <v>0</v>
          </cell>
          <cell r="AK167">
            <v>-10779</v>
          </cell>
          <cell r="AL167">
            <v>0</v>
          </cell>
          <cell r="AM167">
            <v>176837</v>
          </cell>
          <cell r="AN167">
            <v>0</v>
          </cell>
          <cell r="AO167">
            <v>-851121</v>
          </cell>
          <cell r="AP167">
            <v>22346723</v>
          </cell>
        </row>
        <row r="168">
          <cell r="E168">
            <v>70</v>
          </cell>
          <cell r="F168" t="str">
            <v xml:space="preserve"> 2015-2016</v>
          </cell>
          <cell r="G168" t="str">
            <v xml:space="preserve"> 11/15/2015</v>
          </cell>
          <cell r="H168">
            <v>81305339</v>
          </cell>
          <cell r="I168">
            <v>2102506</v>
          </cell>
          <cell r="J168">
            <v>2761743</v>
          </cell>
          <cell r="K168">
            <v>568001</v>
          </cell>
          <cell r="L168">
            <v>269800</v>
          </cell>
          <cell r="M168">
            <v>0</v>
          </cell>
          <cell r="N168">
            <v>0</v>
          </cell>
          <cell r="O168">
            <v>4891394</v>
          </cell>
          <cell r="P168">
            <v>0</v>
          </cell>
          <cell r="Q168">
            <v>-67603</v>
          </cell>
          <cell r="R168">
            <v>0</v>
          </cell>
          <cell r="S168">
            <v>697670</v>
          </cell>
          <cell r="T168">
            <v>0</v>
          </cell>
          <cell r="U168">
            <v>-7681045</v>
          </cell>
          <cell r="V168" t="str">
            <v xml:space="preserve"> </v>
          </cell>
          <cell r="W168">
            <v>84279804</v>
          </cell>
          <cell r="X168">
            <v>0</v>
          </cell>
          <cell r="Y168">
            <v>0</v>
          </cell>
          <cell r="Z168">
            <v>0</v>
          </cell>
          <cell r="AA168">
            <v>0</v>
          </cell>
          <cell r="AB168">
            <v>85012724</v>
          </cell>
          <cell r="AC168">
            <v>1989621</v>
          </cell>
          <cell r="AD168">
            <v>2815302</v>
          </cell>
          <cell r="AE168">
            <v>282237</v>
          </cell>
          <cell r="AF168">
            <v>134063</v>
          </cell>
          <cell r="AG168">
            <v>0</v>
          </cell>
          <cell r="AH168">
            <v>0</v>
          </cell>
          <cell r="AI168">
            <v>0</v>
          </cell>
          <cell r="AJ168">
            <v>0</v>
          </cell>
          <cell r="AK168">
            <v>-41921</v>
          </cell>
          <cell r="AL168">
            <v>0</v>
          </cell>
          <cell r="AM168">
            <v>687817</v>
          </cell>
          <cell r="AN168">
            <v>0</v>
          </cell>
          <cell r="AO168">
            <v>-3310474</v>
          </cell>
          <cell r="AP168">
            <v>87287132</v>
          </cell>
        </row>
        <row r="169">
          <cell r="D169" t="str">
            <v xml:space="preserve"> SAN DIEGO         </v>
          </cell>
          <cell r="AO169">
            <v>-7735403</v>
          </cell>
          <cell r="AP169">
            <v>292899029</v>
          </cell>
        </row>
        <row r="171">
          <cell r="E171">
            <v>360</v>
          </cell>
          <cell r="F171" t="str">
            <v xml:space="preserve"> 2015-2016</v>
          </cell>
          <cell r="G171" t="str">
            <v xml:space="preserve"> 11/15/2015</v>
          </cell>
          <cell r="H171">
            <v>22091366</v>
          </cell>
          <cell r="I171">
            <v>759603</v>
          </cell>
          <cell r="J171">
            <v>1420251</v>
          </cell>
          <cell r="K171">
            <v>526704</v>
          </cell>
          <cell r="L171">
            <v>250184</v>
          </cell>
          <cell r="M171">
            <v>0</v>
          </cell>
          <cell r="N171">
            <v>0</v>
          </cell>
          <cell r="O171">
            <v>489520</v>
          </cell>
          <cell r="P171">
            <v>0</v>
          </cell>
          <cell r="Q171">
            <v>12982</v>
          </cell>
          <cell r="R171">
            <v>0</v>
          </cell>
          <cell r="S171">
            <v>96817</v>
          </cell>
          <cell r="T171">
            <v>0</v>
          </cell>
          <cell r="U171">
            <v>31477310</v>
          </cell>
          <cell r="V171" t="str">
            <v xml:space="preserve"> </v>
          </cell>
          <cell r="W171">
            <v>56598033</v>
          </cell>
          <cell r="X171">
            <v>0</v>
          </cell>
          <cell r="Y171">
            <v>0</v>
          </cell>
          <cell r="Z171">
            <v>0</v>
          </cell>
          <cell r="AA171">
            <v>0</v>
          </cell>
          <cell r="AB171">
            <v>22699617</v>
          </cell>
          <cell r="AC171">
            <v>725094</v>
          </cell>
          <cell r="AD171">
            <v>1425404</v>
          </cell>
          <cell r="AE171">
            <v>555205</v>
          </cell>
          <cell r="AF171">
            <v>263722</v>
          </cell>
          <cell r="AG171">
            <v>0</v>
          </cell>
          <cell r="AH171">
            <v>0</v>
          </cell>
          <cell r="AI171">
            <v>489520</v>
          </cell>
          <cell r="AJ171">
            <v>0</v>
          </cell>
          <cell r="AK171">
            <v>9944</v>
          </cell>
          <cell r="AL171">
            <v>0</v>
          </cell>
          <cell r="AM171">
            <v>93315</v>
          </cell>
          <cell r="AN171">
            <v>0</v>
          </cell>
          <cell r="AO171">
            <v>37100571</v>
          </cell>
          <cell r="AP171">
            <v>62807187</v>
          </cell>
        </row>
        <row r="172">
          <cell r="D172" t="str">
            <v xml:space="preserve"> SAN FRANCISCO     </v>
          </cell>
          <cell r="AO172">
            <v>37100571</v>
          </cell>
          <cell r="AP172">
            <v>62807187</v>
          </cell>
        </row>
        <row r="174">
          <cell r="E174">
            <v>550</v>
          </cell>
          <cell r="F174" t="str">
            <v xml:space="preserve"> 2015-2016</v>
          </cell>
          <cell r="G174" t="str">
            <v xml:space="preserve"> 11/15/2015</v>
          </cell>
          <cell r="H174">
            <v>18255442</v>
          </cell>
          <cell r="I174">
            <v>190220</v>
          </cell>
          <cell r="J174">
            <v>1103937</v>
          </cell>
          <cell r="K174">
            <v>241526</v>
          </cell>
          <cell r="L174">
            <v>114725</v>
          </cell>
          <cell r="M174">
            <v>0</v>
          </cell>
          <cell r="N174">
            <v>0</v>
          </cell>
          <cell r="O174">
            <v>858061</v>
          </cell>
          <cell r="P174">
            <v>15499</v>
          </cell>
          <cell r="Q174">
            <v>18779</v>
          </cell>
          <cell r="R174">
            <v>0</v>
          </cell>
          <cell r="S174">
            <v>204992</v>
          </cell>
          <cell r="T174">
            <v>57</v>
          </cell>
          <cell r="U174">
            <v>2020723</v>
          </cell>
          <cell r="V174" t="str">
            <v xml:space="preserve"> </v>
          </cell>
          <cell r="W174">
            <v>22782435</v>
          </cell>
          <cell r="X174">
            <v>0</v>
          </cell>
          <cell r="Y174">
            <v>0</v>
          </cell>
          <cell r="Z174">
            <v>0</v>
          </cell>
          <cell r="AA174">
            <v>0</v>
          </cell>
          <cell r="AB174">
            <v>19449096</v>
          </cell>
          <cell r="AC174">
            <v>195926</v>
          </cell>
          <cell r="AD174">
            <v>1105689</v>
          </cell>
          <cell r="AE174">
            <v>307807</v>
          </cell>
          <cell r="AF174">
            <v>146208</v>
          </cell>
          <cell r="AG174">
            <v>0</v>
          </cell>
          <cell r="AH174">
            <v>0</v>
          </cell>
          <cell r="AI174">
            <v>48085</v>
          </cell>
          <cell r="AJ174">
            <v>0</v>
          </cell>
          <cell r="AK174">
            <v>18779</v>
          </cell>
          <cell r="AL174">
            <v>0</v>
          </cell>
          <cell r="AM174">
            <v>200881</v>
          </cell>
          <cell r="AN174">
            <v>0</v>
          </cell>
          <cell r="AO174">
            <v>4594977</v>
          </cell>
          <cell r="AP174">
            <v>25759641</v>
          </cell>
        </row>
        <row r="175">
          <cell r="E175">
            <v>590</v>
          </cell>
          <cell r="F175" t="str">
            <v xml:space="preserve"> 2015-2016</v>
          </cell>
          <cell r="G175" t="str">
            <v xml:space="preserve"> 11/15/2015</v>
          </cell>
          <cell r="H175">
            <v>975012</v>
          </cell>
          <cell r="I175">
            <v>10627</v>
          </cell>
          <cell r="J175">
            <v>59834</v>
          </cell>
          <cell r="K175">
            <v>42103</v>
          </cell>
          <cell r="L175">
            <v>19999</v>
          </cell>
          <cell r="M175">
            <v>0</v>
          </cell>
          <cell r="N175">
            <v>0</v>
          </cell>
          <cell r="O175">
            <v>248616</v>
          </cell>
          <cell r="P175">
            <v>0</v>
          </cell>
          <cell r="Q175">
            <v>1031</v>
          </cell>
          <cell r="R175">
            <v>0</v>
          </cell>
          <cell r="S175">
            <v>11116</v>
          </cell>
          <cell r="T175">
            <v>0</v>
          </cell>
          <cell r="U175">
            <v>0</v>
          </cell>
          <cell r="V175" t="str">
            <v xml:space="preserve"> </v>
          </cell>
          <cell r="W175">
            <v>1326235</v>
          </cell>
          <cell r="X175">
            <v>0</v>
          </cell>
          <cell r="Y175">
            <v>0</v>
          </cell>
          <cell r="Z175">
            <v>0</v>
          </cell>
          <cell r="AA175">
            <v>0</v>
          </cell>
          <cell r="AB175">
            <v>1054129</v>
          </cell>
          <cell r="AC175">
            <v>10946</v>
          </cell>
          <cell r="AD175">
            <v>60844</v>
          </cell>
          <cell r="AE175">
            <v>48687</v>
          </cell>
          <cell r="AF175">
            <v>23126</v>
          </cell>
          <cell r="AG175">
            <v>0</v>
          </cell>
          <cell r="AH175">
            <v>0</v>
          </cell>
          <cell r="AI175">
            <v>51762</v>
          </cell>
          <cell r="AJ175">
            <v>0</v>
          </cell>
          <cell r="AK175">
            <v>1031</v>
          </cell>
          <cell r="AL175">
            <v>0</v>
          </cell>
          <cell r="AM175">
            <v>11048</v>
          </cell>
          <cell r="AN175">
            <v>0</v>
          </cell>
          <cell r="AO175">
            <v>0</v>
          </cell>
          <cell r="AP175">
            <v>1212886</v>
          </cell>
        </row>
        <row r="176">
          <cell r="D176" t="str">
            <v xml:space="preserve"> SAN JOAQUIN       </v>
          </cell>
          <cell r="AO176">
            <v>4594977</v>
          </cell>
          <cell r="AP176">
            <v>26972527</v>
          </cell>
        </row>
        <row r="178">
          <cell r="E178">
            <v>640</v>
          </cell>
          <cell r="F178" t="str">
            <v xml:space="preserve"> 2015-2016</v>
          </cell>
          <cell r="G178" t="str">
            <v xml:space="preserve"> 11/15/2015</v>
          </cell>
          <cell r="H178">
            <v>30410315</v>
          </cell>
          <cell r="I178">
            <v>706688</v>
          </cell>
          <cell r="J178">
            <v>736344</v>
          </cell>
          <cell r="K178">
            <v>284293</v>
          </cell>
          <cell r="L178">
            <v>135039</v>
          </cell>
          <cell r="M178">
            <v>0</v>
          </cell>
          <cell r="N178">
            <v>0</v>
          </cell>
          <cell r="O178">
            <v>211369</v>
          </cell>
          <cell r="P178">
            <v>0</v>
          </cell>
          <cell r="Q178">
            <v>-15952</v>
          </cell>
          <cell r="R178">
            <v>0</v>
          </cell>
          <cell r="S178">
            <v>231037</v>
          </cell>
          <cell r="T178">
            <v>0</v>
          </cell>
          <cell r="U178">
            <v>353740</v>
          </cell>
          <cell r="V178" t="str">
            <v xml:space="preserve"> </v>
          </cell>
          <cell r="W178">
            <v>32768580</v>
          </cell>
          <cell r="X178">
            <v>0</v>
          </cell>
          <cell r="Y178">
            <v>0</v>
          </cell>
          <cell r="Z178">
            <v>0</v>
          </cell>
          <cell r="AA178">
            <v>0</v>
          </cell>
          <cell r="AB178">
            <v>33020021</v>
          </cell>
          <cell r="AC178">
            <v>706688</v>
          </cell>
          <cell r="AD178">
            <v>759558</v>
          </cell>
          <cell r="AE178">
            <v>128397</v>
          </cell>
          <cell r="AF178">
            <v>60989</v>
          </cell>
          <cell r="AG178">
            <v>0</v>
          </cell>
          <cell r="AH178">
            <v>0</v>
          </cell>
          <cell r="AI178">
            <v>229884</v>
          </cell>
          <cell r="AJ178">
            <v>0</v>
          </cell>
          <cell r="AK178">
            <v>-19773</v>
          </cell>
          <cell r="AL178">
            <v>0</v>
          </cell>
          <cell r="AM178">
            <v>227912</v>
          </cell>
          <cell r="AN178">
            <v>0</v>
          </cell>
          <cell r="AO178">
            <v>1228738</v>
          </cell>
          <cell r="AP178">
            <v>36214017</v>
          </cell>
        </row>
        <row r="179">
          <cell r="E179">
            <v>610</v>
          </cell>
          <cell r="F179" t="str">
            <v xml:space="preserve"> 2015-2016</v>
          </cell>
          <cell r="G179" t="str">
            <v xml:space="preserve"> 11/15/2015</v>
          </cell>
          <cell r="H179">
            <v>34485</v>
          </cell>
          <cell r="I179">
            <v>0</v>
          </cell>
          <cell r="J179">
            <v>764</v>
          </cell>
          <cell r="K179">
            <v>0</v>
          </cell>
          <cell r="L179">
            <v>0</v>
          </cell>
          <cell r="M179">
            <v>0</v>
          </cell>
          <cell r="N179">
            <v>0</v>
          </cell>
          <cell r="O179">
            <v>0</v>
          </cell>
          <cell r="P179">
            <v>0</v>
          </cell>
          <cell r="Q179">
            <v>-24</v>
          </cell>
          <cell r="R179">
            <v>0</v>
          </cell>
          <cell r="S179">
            <v>243</v>
          </cell>
          <cell r="T179">
            <v>0</v>
          </cell>
          <cell r="U179">
            <v>0</v>
          </cell>
          <cell r="V179" t="str">
            <v xml:space="preserve"> </v>
          </cell>
          <cell r="W179">
            <v>35468</v>
          </cell>
          <cell r="X179">
            <v>0</v>
          </cell>
          <cell r="Y179">
            <v>0</v>
          </cell>
          <cell r="Z179">
            <v>0</v>
          </cell>
          <cell r="AA179">
            <v>0</v>
          </cell>
          <cell r="AB179">
            <v>37769</v>
          </cell>
          <cell r="AC179">
            <v>0</v>
          </cell>
          <cell r="AD179">
            <v>837</v>
          </cell>
          <cell r="AE179">
            <v>0</v>
          </cell>
          <cell r="AF179">
            <v>0</v>
          </cell>
          <cell r="AG179">
            <v>0</v>
          </cell>
          <cell r="AH179">
            <v>0</v>
          </cell>
          <cell r="AI179">
            <v>0</v>
          </cell>
          <cell r="AJ179">
            <v>0</v>
          </cell>
          <cell r="AK179">
            <v>-27</v>
          </cell>
          <cell r="AL179">
            <v>0</v>
          </cell>
          <cell r="AM179">
            <v>251</v>
          </cell>
          <cell r="AN179">
            <v>0</v>
          </cell>
          <cell r="AO179">
            <v>0</v>
          </cell>
          <cell r="AP179">
            <v>38830</v>
          </cell>
        </row>
        <row r="180">
          <cell r="D180" t="str">
            <v xml:space="preserve"> SAN LUIS OBISPO   </v>
          </cell>
          <cell r="AO180">
            <v>1228738</v>
          </cell>
          <cell r="AP180">
            <v>36252847</v>
          </cell>
        </row>
        <row r="182">
          <cell r="E182">
            <v>370</v>
          </cell>
          <cell r="F182" t="str">
            <v xml:space="preserve"> 2015-2016</v>
          </cell>
          <cell r="G182" t="str">
            <v xml:space="preserve"> 11/15/2015</v>
          </cell>
          <cell r="H182">
            <v>100167215</v>
          </cell>
          <cell r="I182">
            <v>3381066</v>
          </cell>
          <cell r="J182">
            <v>5161836</v>
          </cell>
          <cell r="K182">
            <v>507640</v>
          </cell>
          <cell r="L182">
            <v>241129</v>
          </cell>
          <cell r="M182">
            <v>0</v>
          </cell>
          <cell r="N182">
            <v>0</v>
          </cell>
          <cell r="O182">
            <v>4726520</v>
          </cell>
          <cell r="P182">
            <v>340154</v>
          </cell>
          <cell r="Q182">
            <v>-22057</v>
          </cell>
          <cell r="R182">
            <v>8380</v>
          </cell>
          <cell r="S182">
            <v>619015</v>
          </cell>
          <cell r="T182">
            <v>0</v>
          </cell>
          <cell r="U182">
            <v>0</v>
          </cell>
          <cell r="V182" t="str">
            <v xml:space="preserve"> </v>
          </cell>
          <cell r="W182">
            <v>114623258</v>
          </cell>
          <cell r="X182">
            <v>0</v>
          </cell>
          <cell r="Y182">
            <v>0</v>
          </cell>
          <cell r="Z182">
            <v>0</v>
          </cell>
          <cell r="AA182">
            <v>0</v>
          </cell>
          <cell r="AB182">
            <v>107547399</v>
          </cell>
          <cell r="AC182">
            <v>3904646</v>
          </cell>
          <cell r="AD182">
            <v>5346948</v>
          </cell>
          <cell r="AE182">
            <v>525594</v>
          </cell>
          <cell r="AF182">
            <v>249657</v>
          </cell>
          <cell r="AG182">
            <v>0</v>
          </cell>
          <cell r="AH182">
            <v>0</v>
          </cell>
          <cell r="AI182">
            <v>4703246</v>
          </cell>
          <cell r="AJ182">
            <v>0</v>
          </cell>
          <cell r="AK182">
            <v>102313</v>
          </cell>
          <cell r="AL182">
            <v>0</v>
          </cell>
          <cell r="AM182">
            <v>602326</v>
          </cell>
          <cell r="AN182">
            <v>0</v>
          </cell>
          <cell r="AO182">
            <v>0</v>
          </cell>
          <cell r="AP182">
            <v>122456535</v>
          </cell>
        </row>
        <row r="183">
          <cell r="D183" t="str">
            <v xml:space="preserve"> SAN MATEO         </v>
          </cell>
          <cell r="AO183">
            <v>0</v>
          </cell>
          <cell r="AP183">
            <v>122456535</v>
          </cell>
        </row>
        <row r="185">
          <cell r="E185">
            <v>610</v>
          </cell>
          <cell r="F185" t="str">
            <v xml:space="preserve"> 2015-2016</v>
          </cell>
          <cell r="G185" t="str">
            <v xml:space="preserve"> 11/15/2015</v>
          </cell>
          <cell r="H185">
            <v>12108195</v>
          </cell>
          <cell r="I185">
            <v>216243</v>
          </cell>
          <cell r="J185">
            <v>625417</v>
          </cell>
          <cell r="K185">
            <v>35408</v>
          </cell>
          <cell r="L185">
            <v>16819</v>
          </cell>
          <cell r="M185">
            <v>0</v>
          </cell>
          <cell r="N185">
            <v>0</v>
          </cell>
          <cell r="O185">
            <v>183805</v>
          </cell>
          <cell r="P185">
            <v>0</v>
          </cell>
          <cell r="Q185">
            <v>-98543</v>
          </cell>
          <cell r="R185">
            <v>0</v>
          </cell>
          <cell r="S185">
            <v>75843</v>
          </cell>
          <cell r="T185">
            <v>0</v>
          </cell>
          <cell r="U185">
            <v>381665</v>
          </cell>
          <cell r="V185" t="str">
            <v xml:space="preserve"> </v>
          </cell>
          <cell r="W185">
            <v>13509444</v>
          </cell>
          <cell r="X185">
            <v>178786</v>
          </cell>
          <cell r="Y185">
            <v>4006</v>
          </cell>
          <cell r="Z185">
            <v>0</v>
          </cell>
          <cell r="AA185">
            <v>0</v>
          </cell>
          <cell r="AB185">
            <v>12682375</v>
          </cell>
          <cell r="AC185">
            <v>216243</v>
          </cell>
          <cell r="AD185">
            <v>577031</v>
          </cell>
          <cell r="AE185">
            <v>37486</v>
          </cell>
          <cell r="AF185">
            <v>17806</v>
          </cell>
          <cell r="AG185">
            <v>0</v>
          </cell>
          <cell r="AH185">
            <v>0</v>
          </cell>
          <cell r="AI185">
            <v>130240</v>
          </cell>
          <cell r="AJ185">
            <v>0</v>
          </cell>
          <cell r="AK185">
            <v>-26676</v>
          </cell>
          <cell r="AL185">
            <v>0</v>
          </cell>
          <cell r="AM185">
            <v>73570</v>
          </cell>
          <cell r="AN185">
            <v>0</v>
          </cell>
          <cell r="AO185">
            <v>1711279</v>
          </cell>
          <cell r="AP185">
            <v>15381868</v>
          </cell>
        </row>
        <row r="186">
          <cell r="E186">
            <v>650</v>
          </cell>
          <cell r="F186" t="str">
            <v xml:space="preserve"> 2015-2016</v>
          </cell>
          <cell r="G186" t="str">
            <v xml:space="preserve"> 11/15/2015</v>
          </cell>
          <cell r="H186">
            <v>23244718</v>
          </cell>
          <cell r="I186">
            <v>414696</v>
          </cell>
          <cell r="J186">
            <v>1096915</v>
          </cell>
          <cell r="K186">
            <v>67244</v>
          </cell>
          <cell r="L186">
            <v>31941</v>
          </cell>
          <cell r="M186">
            <v>0</v>
          </cell>
          <cell r="N186">
            <v>0</v>
          </cell>
          <cell r="O186">
            <v>1008574</v>
          </cell>
          <cell r="P186">
            <v>0</v>
          </cell>
          <cell r="Q186">
            <v>-189127</v>
          </cell>
          <cell r="R186">
            <v>0</v>
          </cell>
          <cell r="S186">
            <v>150050</v>
          </cell>
          <cell r="T186">
            <v>0</v>
          </cell>
          <cell r="U186">
            <v>0</v>
          </cell>
          <cell r="V186" t="str">
            <v xml:space="preserve"> </v>
          </cell>
          <cell r="W186">
            <v>25757767</v>
          </cell>
          <cell r="X186">
            <v>0</v>
          </cell>
          <cell r="Y186">
            <v>0</v>
          </cell>
          <cell r="Z186">
            <v>0</v>
          </cell>
          <cell r="AA186">
            <v>0</v>
          </cell>
          <cell r="AB186">
            <v>24312165</v>
          </cell>
          <cell r="AC186">
            <v>414696</v>
          </cell>
          <cell r="AD186">
            <v>998601</v>
          </cell>
          <cell r="AE186">
            <v>70453</v>
          </cell>
          <cell r="AF186">
            <v>33465</v>
          </cell>
          <cell r="AG186">
            <v>0</v>
          </cell>
          <cell r="AH186">
            <v>0</v>
          </cell>
          <cell r="AI186">
            <v>1054916</v>
          </cell>
          <cell r="AJ186">
            <v>0</v>
          </cell>
          <cell r="AK186">
            <v>-52524</v>
          </cell>
          <cell r="AL186">
            <v>0</v>
          </cell>
          <cell r="AM186">
            <v>148004</v>
          </cell>
          <cell r="AN186">
            <v>0</v>
          </cell>
          <cell r="AO186">
            <v>0</v>
          </cell>
          <cell r="AP186">
            <v>26909323</v>
          </cell>
        </row>
        <row r="187">
          <cell r="D187" t="str">
            <v xml:space="preserve"> SANTA BARBARA     </v>
          </cell>
          <cell r="AO187">
            <v>1711279</v>
          </cell>
          <cell r="AP187">
            <v>42291191</v>
          </cell>
        </row>
        <row r="189">
          <cell r="E189">
            <v>420</v>
          </cell>
          <cell r="F189" t="str">
            <v xml:space="preserve"> 2015-2016</v>
          </cell>
          <cell r="G189" t="str">
            <v xml:space="preserve"> 11/15/2015</v>
          </cell>
          <cell r="H189">
            <v>75725408</v>
          </cell>
          <cell r="I189">
            <v>2767955</v>
          </cell>
          <cell r="J189">
            <v>5906898</v>
          </cell>
          <cell r="K189">
            <v>0</v>
          </cell>
          <cell r="L189">
            <v>0</v>
          </cell>
          <cell r="M189">
            <v>0</v>
          </cell>
          <cell r="N189">
            <v>0</v>
          </cell>
          <cell r="O189">
            <v>989950</v>
          </cell>
          <cell r="P189">
            <v>47663</v>
          </cell>
          <cell r="Q189">
            <v>0</v>
          </cell>
          <cell r="R189">
            <v>22</v>
          </cell>
          <cell r="S189">
            <v>461637</v>
          </cell>
          <cell r="T189">
            <v>0</v>
          </cell>
          <cell r="U189">
            <v>-4375052</v>
          </cell>
          <cell r="V189" t="str">
            <v xml:space="preserve"> </v>
          </cell>
          <cell r="W189">
            <v>81524481</v>
          </cell>
          <cell r="X189">
            <v>0</v>
          </cell>
          <cell r="Y189">
            <v>0</v>
          </cell>
          <cell r="Z189">
            <v>0</v>
          </cell>
          <cell r="AA189">
            <v>0</v>
          </cell>
          <cell r="AB189">
            <v>84149167</v>
          </cell>
          <cell r="AC189">
            <v>1661000</v>
          </cell>
          <cell r="AD189">
            <v>6442000</v>
          </cell>
          <cell r="AE189">
            <v>15909</v>
          </cell>
          <cell r="AF189">
            <v>7557</v>
          </cell>
          <cell r="AG189">
            <v>0</v>
          </cell>
          <cell r="AH189">
            <v>0</v>
          </cell>
          <cell r="AI189">
            <v>389209</v>
          </cell>
          <cell r="AJ189">
            <v>9074</v>
          </cell>
          <cell r="AK189">
            <v>0</v>
          </cell>
          <cell r="AL189">
            <v>22</v>
          </cell>
          <cell r="AM189">
            <v>462827</v>
          </cell>
          <cell r="AN189">
            <v>0</v>
          </cell>
          <cell r="AO189">
            <v>0</v>
          </cell>
          <cell r="AP189">
            <v>93120856</v>
          </cell>
        </row>
        <row r="190">
          <cell r="E190">
            <v>440</v>
          </cell>
          <cell r="F190" t="str">
            <v xml:space="preserve"> 2015-2016</v>
          </cell>
          <cell r="G190" t="str">
            <v xml:space="preserve"> 11/15/2015</v>
          </cell>
          <cell r="H190">
            <v>9271523</v>
          </cell>
          <cell r="I190">
            <v>369482</v>
          </cell>
          <cell r="J190">
            <v>780258</v>
          </cell>
          <cell r="K190">
            <v>199310</v>
          </cell>
          <cell r="L190">
            <v>94672</v>
          </cell>
          <cell r="M190">
            <v>0</v>
          </cell>
          <cell r="N190">
            <v>0</v>
          </cell>
          <cell r="O190">
            <v>711309</v>
          </cell>
          <cell r="P190">
            <v>0</v>
          </cell>
          <cell r="Q190">
            <v>11</v>
          </cell>
          <cell r="R190">
            <v>30</v>
          </cell>
          <cell r="S190">
            <v>61061</v>
          </cell>
          <cell r="T190">
            <v>0</v>
          </cell>
          <cell r="U190">
            <v>-575553</v>
          </cell>
          <cell r="V190" t="str">
            <v xml:space="preserve"> </v>
          </cell>
          <cell r="W190">
            <v>10712793</v>
          </cell>
          <cell r="X190">
            <v>0</v>
          </cell>
          <cell r="Y190">
            <v>0</v>
          </cell>
          <cell r="Z190">
            <v>0</v>
          </cell>
          <cell r="AA190">
            <v>0</v>
          </cell>
          <cell r="AB190">
            <v>9811205</v>
          </cell>
          <cell r="AC190">
            <v>222000</v>
          </cell>
          <cell r="AD190">
            <v>824000</v>
          </cell>
          <cell r="AE190">
            <v>213101</v>
          </cell>
          <cell r="AF190">
            <v>101223</v>
          </cell>
          <cell r="AG190">
            <v>0</v>
          </cell>
          <cell r="AH190">
            <v>0</v>
          </cell>
          <cell r="AI190">
            <v>592251</v>
          </cell>
          <cell r="AJ190">
            <v>91995</v>
          </cell>
          <cell r="AK190">
            <v>0</v>
          </cell>
          <cell r="AL190">
            <v>30</v>
          </cell>
          <cell r="AM190">
            <v>58737</v>
          </cell>
          <cell r="AN190">
            <v>0</v>
          </cell>
          <cell r="AO190">
            <v>0</v>
          </cell>
          <cell r="AP190">
            <v>11701441</v>
          </cell>
        </row>
        <row r="191">
          <cell r="E191">
            <v>470</v>
          </cell>
          <cell r="F191" t="str">
            <v xml:space="preserve"> 2015-2016</v>
          </cell>
          <cell r="G191" t="str">
            <v xml:space="preserve"> 11/15/2015</v>
          </cell>
          <cell r="H191">
            <v>67320287</v>
          </cell>
          <cell r="I191">
            <v>2782207</v>
          </cell>
          <cell r="J191">
            <v>5911482</v>
          </cell>
          <cell r="K191">
            <v>1563717</v>
          </cell>
          <cell r="L191">
            <v>742766</v>
          </cell>
          <cell r="M191">
            <v>0</v>
          </cell>
          <cell r="N191">
            <v>0</v>
          </cell>
          <cell r="O191">
            <v>1693148</v>
          </cell>
          <cell r="P191">
            <v>0</v>
          </cell>
          <cell r="Q191">
            <v>0</v>
          </cell>
          <cell r="R191">
            <v>0</v>
          </cell>
          <cell r="S191">
            <v>462037</v>
          </cell>
          <cell r="T191">
            <v>0</v>
          </cell>
          <cell r="U191">
            <v>0</v>
          </cell>
          <cell r="V191" t="str">
            <v xml:space="preserve"> </v>
          </cell>
          <cell r="W191">
            <v>78911927</v>
          </cell>
          <cell r="X191">
            <v>0</v>
          </cell>
          <cell r="Y191">
            <v>0</v>
          </cell>
          <cell r="Z191">
            <v>0</v>
          </cell>
          <cell r="AA191">
            <v>0</v>
          </cell>
          <cell r="AB191">
            <v>71213075</v>
          </cell>
          <cell r="AC191">
            <v>1669000</v>
          </cell>
          <cell r="AD191">
            <v>6258000</v>
          </cell>
          <cell r="AE191">
            <v>1686141</v>
          </cell>
          <cell r="AF191">
            <v>800917</v>
          </cell>
          <cell r="AG191">
            <v>0</v>
          </cell>
          <cell r="AH191">
            <v>0</v>
          </cell>
          <cell r="AI191">
            <v>1646770</v>
          </cell>
          <cell r="AJ191">
            <v>0</v>
          </cell>
          <cell r="AK191">
            <v>0</v>
          </cell>
          <cell r="AL191">
            <v>0</v>
          </cell>
          <cell r="AM191">
            <v>446340</v>
          </cell>
          <cell r="AN191">
            <v>0</v>
          </cell>
          <cell r="AO191">
            <v>0</v>
          </cell>
          <cell r="AP191">
            <v>82034102</v>
          </cell>
        </row>
        <row r="192">
          <cell r="E192">
            <v>490</v>
          </cell>
          <cell r="F192" t="str">
            <v xml:space="preserve"> 2015-2016</v>
          </cell>
          <cell r="G192" t="str">
            <v xml:space="preserve"> 11/15/2015</v>
          </cell>
          <cell r="H192">
            <v>70755752</v>
          </cell>
          <cell r="I192">
            <v>3027475</v>
          </cell>
          <cell r="J192">
            <v>6452410</v>
          </cell>
          <cell r="K192">
            <v>1396386</v>
          </cell>
          <cell r="L192">
            <v>663283</v>
          </cell>
          <cell r="M192">
            <v>0</v>
          </cell>
          <cell r="N192">
            <v>0</v>
          </cell>
          <cell r="O192">
            <v>2438184</v>
          </cell>
          <cell r="P192">
            <v>2544780</v>
          </cell>
          <cell r="Q192">
            <v>0</v>
          </cell>
          <cell r="R192">
            <v>83</v>
          </cell>
          <cell r="S192">
            <v>504285</v>
          </cell>
          <cell r="T192">
            <v>0</v>
          </cell>
          <cell r="U192">
            <v>0</v>
          </cell>
          <cell r="V192" t="str">
            <v xml:space="preserve"> </v>
          </cell>
          <cell r="W192">
            <v>86386252</v>
          </cell>
          <cell r="X192">
            <v>0</v>
          </cell>
          <cell r="Y192">
            <v>0</v>
          </cell>
          <cell r="Z192">
            <v>0</v>
          </cell>
          <cell r="AA192">
            <v>0</v>
          </cell>
          <cell r="AB192">
            <v>76096002</v>
          </cell>
          <cell r="AC192">
            <v>1816000</v>
          </cell>
          <cell r="AD192">
            <v>7051000</v>
          </cell>
          <cell r="AE192">
            <v>2160408</v>
          </cell>
          <cell r="AF192">
            <v>1026194</v>
          </cell>
          <cell r="AG192">
            <v>0</v>
          </cell>
          <cell r="AH192">
            <v>0</v>
          </cell>
          <cell r="AI192">
            <v>4608895</v>
          </cell>
          <cell r="AJ192">
            <v>0</v>
          </cell>
          <cell r="AK192">
            <v>0</v>
          </cell>
          <cell r="AL192">
            <v>83</v>
          </cell>
          <cell r="AM192">
            <v>506753</v>
          </cell>
          <cell r="AN192">
            <v>0</v>
          </cell>
          <cell r="AO192">
            <v>0</v>
          </cell>
          <cell r="AP192">
            <v>91104927</v>
          </cell>
        </row>
        <row r="193">
          <cell r="E193">
            <v>590</v>
          </cell>
          <cell r="F193" t="str">
            <v xml:space="preserve"> 2015-2016</v>
          </cell>
          <cell r="G193" t="str">
            <v xml:space="preserve"> 11/15/2015</v>
          </cell>
          <cell r="H193">
            <v>22696</v>
          </cell>
          <cell r="I193">
            <v>702</v>
          </cell>
          <cell r="J193">
            <v>1599</v>
          </cell>
          <cell r="K193">
            <v>0</v>
          </cell>
          <cell r="L193">
            <v>0</v>
          </cell>
          <cell r="M193">
            <v>0</v>
          </cell>
          <cell r="N193">
            <v>0</v>
          </cell>
          <cell r="O193">
            <v>0</v>
          </cell>
          <cell r="P193">
            <v>0</v>
          </cell>
          <cell r="Q193">
            <v>0</v>
          </cell>
          <cell r="R193">
            <v>0</v>
          </cell>
          <cell r="S193">
            <v>125</v>
          </cell>
          <cell r="T193">
            <v>0</v>
          </cell>
          <cell r="U193">
            <v>0</v>
          </cell>
          <cell r="V193" t="str">
            <v xml:space="preserve"> </v>
          </cell>
          <cell r="W193">
            <v>25122</v>
          </cell>
          <cell r="X193">
            <v>0</v>
          </cell>
          <cell r="Y193">
            <v>0</v>
          </cell>
          <cell r="Z193">
            <v>0</v>
          </cell>
          <cell r="AA193">
            <v>0</v>
          </cell>
          <cell r="AB193">
            <v>23540</v>
          </cell>
          <cell r="AC193">
            <v>400</v>
          </cell>
          <cell r="AD193">
            <v>1700</v>
          </cell>
          <cell r="AE193">
            <v>0</v>
          </cell>
          <cell r="AF193">
            <v>0</v>
          </cell>
          <cell r="AG193">
            <v>0</v>
          </cell>
          <cell r="AH193">
            <v>0</v>
          </cell>
          <cell r="AI193">
            <v>0</v>
          </cell>
          <cell r="AJ193">
            <v>0</v>
          </cell>
          <cell r="AK193">
            <v>0</v>
          </cell>
          <cell r="AL193">
            <v>0</v>
          </cell>
          <cell r="AM193">
            <v>118</v>
          </cell>
          <cell r="AN193">
            <v>0</v>
          </cell>
          <cell r="AO193">
            <v>0</v>
          </cell>
          <cell r="AP193">
            <v>25758</v>
          </cell>
        </row>
        <row r="194">
          <cell r="D194" t="str">
            <v xml:space="preserve"> SANTA CLARA       </v>
          </cell>
          <cell r="AO194">
            <v>0</v>
          </cell>
          <cell r="AP194">
            <v>277987084</v>
          </cell>
        </row>
        <row r="196">
          <cell r="E196">
            <v>490</v>
          </cell>
          <cell r="F196" t="str">
            <v xml:space="preserve"> 2015-2016</v>
          </cell>
          <cell r="G196" t="str">
            <v xml:space="preserve"> 11/15/2015</v>
          </cell>
          <cell r="H196">
            <v>963318</v>
          </cell>
          <cell r="I196">
            <v>0</v>
          </cell>
          <cell r="J196">
            <v>19858</v>
          </cell>
          <cell r="K196">
            <v>0</v>
          </cell>
          <cell r="L196">
            <v>0</v>
          </cell>
          <cell r="M196">
            <v>0</v>
          </cell>
          <cell r="N196">
            <v>0</v>
          </cell>
          <cell r="O196">
            <v>0</v>
          </cell>
          <cell r="P196">
            <v>0</v>
          </cell>
          <cell r="Q196">
            <v>2550</v>
          </cell>
          <cell r="R196">
            <v>0</v>
          </cell>
          <cell r="S196">
            <v>7455</v>
          </cell>
          <cell r="T196">
            <v>0</v>
          </cell>
          <cell r="U196">
            <v>0</v>
          </cell>
          <cell r="V196" t="str">
            <v xml:space="preserve"> </v>
          </cell>
          <cell r="W196">
            <v>993181</v>
          </cell>
          <cell r="X196">
            <v>0</v>
          </cell>
          <cell r="Y196">
            <v>0</v>
          </cell>
          <cell r="Z196">
            <v>0</v>
          </cell>
          <cell r="AA196">
            <v>0</v>
          </cell>
          <cell r="AB196">
            <v>1041369</v>
          </cell>
          <cell r="AC196">
            <v>0</v>
          </cell>
          <cell r="AD196">
            <v>22944</v>
          </cell>
          <cell r="AE196">
            <v>0</v>
          </cell>
          <cell r="AF196">
            <v>0</v>
          </cell>
          <cell r="AG196">
            <v>0</v>
          </cell>
          <cell r="AH196">
            <v>0</v>
          </cell>
          <cell r="AI196">
            <v>0</v>
          </cell>
          <cell r="AJ196">
            <v>0</v>
          </cell>
          <cell r="AK196">
            <v>0</v>
          </cell>
          <cell r="AL196">
            <v>0</v>
          </cell>
          <cell r="AM196">
            <v>7240</v>
          </cell>
          <cell r="AN196">
            <v>0</v>
          </cell>
          <cell r="AO196">
            <v>0</v>
          </cell>
          <cell r="AP196">
            <v>1071553</v>
          </cell>
        </row>
        <row r="197">
          <cell r="E197">
            <v>410</v>
          </cell>
          <cell r="F197" t="str">
            <v xml:space="preserve"> 2015-2016</v>
          </cell>
          <cell r="G197" t="str">
            <v xml:space="preserve"> 11/15/2015</v>
          </cell>
          <cell r="H197">
            <v>18805194</v>
          </cell>
          <cell r="I197">
            <v>235942</v>
          </cell>
          <cell r="J197">
            <v>386023</v>
          </cell>
          <cell r="K197">
            <v>291963</v>
          </cell>
          <cell r="L197">
            <v>138682</v>
          </cell>
          <cell r="M197">
            <v>0</v>
          </cell>
          <cell r="N197">
            <v>0</v>
          </cell>
          <cell r="O197">
            <v>1172958</v>
          </cell>
          <cell r="P197">
            <v>0</v>
          </cell>
          <cell r="Q197">
            <v>54663</v>
          </cell>
          <cell r="R197">
            <v>9687</v>
          </cell>
          <cell r="S197">
            <v>144905</v>
          </cell>
          <cell r="T197">
            <v>0</v>
          </cell>
          <cell r="U197">
            <v>15383</v>
          </cell>
          <cell r="V197" t="str">
            <v xml:space="preserve"> </v>
          </cell>
          <cell r="W197">
            <v>20963437</v>
          </cell>
          <cell r="X197">
            <v>0</v>
          </cell>
          <cell r="Y197">
            <v>0</v>
          </cell>
          <cell r="Z197">
            <v>0</v>
          </cell>
          <cell r="AA197">
            <v>0</v>
          </cell>
          <cell r="AB197">
            <v>19935783</v>
          </cell>
          <cell r="AC197">
            <v>200550</v>
          </cell>
          <cell r="AD197">
            <v>437421</v>
          </cell>
          <cell r="AE197">
            <v>248169</v>
          </cell>
          <cell r="AF197">
            <v>117880</v>
          </cell>
          <cell r="AG197">
            <v>0</v>
          </cell>
          <cell r="AH197">
            <v>0</v>
          </cell>
          <cell r="AI197">
            <v>997014</v>
          </cell>
          <cell r="AJ197">
            <v>0</v>
          </cell>
          <cell r="AK197">
            <v>0</v>
          </cell>
          <cell r="AL197">
            <v>8234</v>
          </cell>
          <cell r="AM197">
            <v>138027</v>
          </cell>
          <cell r="AN197">
            <v>0</v>
          </cell>
          <cell r="AO197">
            <v>862882</v>
          </cell>
          <cell r="AP197">
            <v>22697791</v>
          </cell>
        </row>
        <row r="198">
          <cell r="D198" t="str">
            <v xml:space="preserve"> SANTA CRUZ        </v>
          </cell>
          <cell r="AO198">
            <v>862882</v>
          </cell>
          <cell r="AP198">
            <v>23769344</v>
          </cell>
        </row>
        <row r="200">
          <cell r="E200">
            <v>170</v>
          </cell>
          <cell r="F200" t="str">
            <v xml:space="preserve"> 2015-2016</v>
          </cell>
          <cell r="G200" t="str">
            <v xml:space="preserve"> 11/15/2015</v>
          </cell>
          <cell r="H200">
            <v>8794185</v>
          </cell>
          <cell r="I200">
            <v>127545</v>
          </cell>
          <cell r="J200">
            <v>447943</v>
          </cell>
          <cell r="K200">
            <v>57080</v>
          </cell>
          <cell r="L200">
            <v>27113</v>
          </cell>
          <cell r="M200">
            <v>0</v>
          </cell>
          <cell r="N200">
            <v>0</v>
          </cell>
          <cell r="O200">
            <v>627050</v>
          </cell>
          <cell r="P200">
            <v>0</v>
          </cell>
          <cell r="Q200">
            <v>4612</v>
          </cell>
          <cell r="R200">
            <v>88101</v>
          </cell>
          <cell r="S200">
            <v>154914</v>
          </cell>
          <cell r="T200">
            <v>611</v>
          </cell>
          <cell r="U200">
            <v>-1380613</v>
          </cell>
          <cell r="V200" t="str">
            <v xml:space="preserve"> </v>
          </cell>
          <cell r="W200">
            <v>8891461</v>
          </cell>
          <cell r="X200">
            <v>0</v>
          </cell>
          <cell r="Y200">
            <v>0</v>
          </cell>
          <cell r="Z200">
            <v>0</v>
          </cell>
          <cell r="AA200">
            <v>0</v>
          </cell>
          <cell r="AB200">
            <v>8441118</v>
          </cell>
          <cell r="AC200">
            <v>110495</v>
          </cell>
          <cell r="AD200">
            <v>404467</v>
          </cell>
          <cell r="AE200">
            <v>38802</v>
          </cell>
          <cell r="AF200">
            <v>18431</v>
          </cell>
          <cell r="AG200">
            <v>0</v>
          </cell>
          <cell r="AH200">
            <v>0</v>
          </cell>
          <cell r="AI200">
            <v>525499</v>
          </cell>
          <cell r="AJ200">
            <v>0</v>
          </cell>
          <cell r="AK200">
            <v>4151</v>
          </cell>
          <cell r="AL200">
            <v>70481</v>
          </cell>
          <cell r="AM200">
            <v>154323</v>
          </cell>
          <cell r="AN200">
            <v>0</v>
          </cell>
          <cell r="AO200">
            <v>-580319</v>
          </cell>
          <cell r="AP200">
            <v>9148646</v>
          </cell>
        </row>
        <row r="201">
          <cell r="E201">
            <v>180</v>
          </cell>
          <cell r="F201" t="str">
            <v xml:space="preserve"> 2015-2016</v>
          </cell>
          <cell r="G201" t="str">
            <v xml:space="preserve"> 11/15/2015</v>
          </cell>
          <cell r="H201">
            <v>49414</v>
          </cell>
          <cell r="I201">
            <v>30059</v>
          </cell>
          <cell r="J201">
            <v>2059</v>
          </cell>
          <cell r="K201">
            <v>0</v>
          </cell>
          <cell r="L201">
            <v>0</v>
          </cell>
          <cell r="M201">
            <v>0</v>
          </cell>
          <cell r="N201">
            <v>0</v>
          </cell>
          <cell r="O201">
            <v>0</v>
          </cell>
          <cell r="P201">
            <v>0</v>
          </cell>
          <cell r="Q201">
            <v>21</v>
          </cell>
          <cell r="R201">
            <v>6560</v>
          </cell>
          <cell r="S201">
            <v>712</v>
          </cell>
          <cell r="T201">
            <v>0</v>
          </cell>
          <cell r="U201">
            <v>-6346</v>
          </cell>
          <cell r="V201" t="str">
            <v xml:space="preserve"> </v>
          </cell>
          <cell r="W201">
            <v>82479</v>
          </cell>
          <cell r="X201">
            <v>0</v>
          </cell>
          <cell r="Y201">
            <v>0</v>
          </cell>
          <cell r="Z201">
            <v>0</v>
          </cell>
          <cell r="AA201">
            <v>0</v>
          </cell>
          <cell r="AB201">
            <v>47945</v>
          </cell>
          <cell r="AC201">
            <v>24082</v>
          </cell>
          <cell r="AD201">
            <v>1887</v>
          </cell>
          <cell r="AE201">
            <v>0</v>
          </cell>
          <cell r="AF201">
            <v>0</v>
          </cell>
          <cell r="AG201">
            <v>0</v>
          </cell>
          <cell r="AH201">
            <v>0</v>
          </cell>
          <cell r="AI201">
            <v>0</v>
          </cell>
          <cell r="AJ201">
            <v>0</v>
          </cell>
          <cell r="AK201">
            <v>19</v>
          </cell>
          <cell r="AL201">
            <v>5248</v>
          </cell>
          <cell r="AM201">
            <v>710</v>
          </cell>
          <cell r="AN201">
            <v>0</v>
          </cell>
          <cell r="AO201">
            <v>2707</v>
          </cell>
          <cell r="AP201">
            <v>82598</v>
          </cell>
        </row>
        <row r="202">
          <cell r="D202" t="str">
            <v xml:space="preserve"> SHASTA            </v>
          </cell>
          <cell r="AO202">
            <v>-577612</v>
          </cell>
          <cell r="AP202">
            <v>9231244</v>
          </cell>
        </row>
        <row r="204">
          <cell r="E204">
            <v>180</v>
          </cell>
          <cell r="F204" t="str">
            <v xml:space="preserve"> 2015-2016</v>
          </cell>
          <cell r="G204" t="str">
            <v xml:space="preserve"> 11/15/2015</v>
          </cell>
          <cell r="H204">
            <v>3298220</v>
          </cell>
          <cell r="I204">
            <v>14646</v>
          </cell>
          <cell r="J204">
            <v>177690</v>
          </cell>
          <cell r="K204">
            <v>0</v>
          </cell>
          <cell r="L204">
            <v>0</v>
          </cell>
          <cell r="M204">
            <v>0</v>
          </cell>
          <cell r="N204">
            <v>0</v>
          </cell>
          <cell r="O204">
            <v>0</v>
          </cell>
          <cell r="P204">
            <v>0</v>
          </cell>
          <cell r="Q204">
            <v>6029</v>
          </cell>
          <cell r="R204">
            <v>84829</v>
          </cell>
          <cell r="S204">
            <v>56826</v>
          </cell>
          <cell r="T204">
            <v>0</v>
          </cell>
          <cell r="U204">
            <v>-197244</v>
          </cell>
          <cell r="V204" t="str">
            <v xml:space="preserve"> </v>
          </cell>
          <cell r="W204">
            <v>3440996</v>
          </cell>
          <cell r="X204">
            <v>0</v>
          </cell>
          <cell r="Y204">
            <v>0</v>
          </cell>
          <cell r="Z204">
            <v>0</v>
          </cell>
          <cell r="AA204">
            <v>0</v>
          </cell>
          <cell r="AB204">
            <v>3400000</v>
          </cell>
          <cell r="AC204">
            <v>15000</v>
          </cell>
          <cell r="AD204">
            <v>180000</v>
          </cell>
          <cell r="AE204">
            <v>0</v>
          </cell>
          <cell r="AF204">
            <v>0</v>
          </cell>
          <cell r="AG204">
            <v>0</v>
          </cell>
          <cell r="AH204">
            <v>0</v>
          </cell>
          <cell r="AI204">
            <v>0</v>
          </cell>
          <cell r="AJ204">
            <v>0</v>
          </cell>
          <cell r="AK204">
            <v>6100</v>
          </cell>
          <cell r="AL204">
            <v>85000</v>
          </cell>
          <cell r="AM204">
            <v>56164</v>
          </cell>
          <cell r="AN204">
            <v>0</v>
          </cell>
          <cell r="AO204">
            <v>-197244</v>
          </cell>
          <cell r="AP204">
            <v>3545020</v>
          </cell>
        </row>
        <row r="205">
          <cell r="D205" t="str">
            <v xml:space="preserve"> SISKIYOU          </v>
          </cell>
          <cell r="AO205">
            <v>-197244</v>
          </cell>
          <cell r="AP205">
            <v>3545020</v>
          </cell>
        </row>
        <row r="207">
          <cell r="E207">
            <v>230</v>
          </cell>
          <cell r="F207" t="str">
            <v xml:space="preserve"> 2015-2016</v>
          </cell>
          <cell r="G207" t="str">
            <v xml:space="preserve"> 11/15/2015</v>
          </cell>
          <cell r="H207">
            <v>9274</v>
          </cell>
          <cell r="I207">
            <v>150</v>
          </cell>
          <cell r="J207">
            <v>582</v>
          </cell>
          <cell r="K207">
            <v>0</v>
          </cell>
          <cell r="L207">
            <v>0</v>
          </cell>
          <cell r="M207">
            <v>0</v>
          </cell>
          <cell r="N207">
            <v>0</v>
          </cell>
          <cell r="O207">
            <v>0</v>
          </cell>
          <cell r="P207">
            <v>0</v>
          </cell>
          <cell r="Q207">
            <v>5</v>
          </cell>
          <cell r="R207">
            <v>0</v>
          </cell>
          <cell r="S207">
            <v>87</v>
          </cell>
          <cell r="T207">
            <v>0</v>
          </cell>
          <cell r="U207">
            <v>0</v>
          </cell>
          <cell r="V207" t="str">
            <v xml:space="preserve"> </v>
          </cell>
          <cell r="W207">
            <v>10098</v>
          </cell>
          <cell r="X207">
            <v>0</v>
          </cell>
          <cell r="Y207">
            <v>0</v>
          </cell>
          <cell r="Z207">
            <v>0</v>
          </cell>
          <cell r="AA207">
            <v>0</v>
          </cell>
          <cell r="AB207">
            <v>11504</v>
          </cell>
          <cell r="AC207">
            <v>176</v>
          </cell>
          <cell r="AD207">
            <v>683</v>
          </cell>
          <cell r="AE207">
            <v>0</v>
          </cell>
          <cell r="AF207">
            <v>0</v>
          </cell>
          <cell r="AG207">
            <v>0</v>
          </cell>
          <cell r="AH207">
            <v>0</v>
          </cell>
          <cell r="AI207">
            <v>0</v>
          </cell>
          <cell r="AJ207">
            <v>0</v>
          </cell>
          <cell r="AK207">
            <v>0</v>
          </cell>
          <cell r="AL207">
            <v>0</v>
          </cell>
          <cell r="AM207">
            <v>101</v>
          </cell>
          <cell r="AN207">
            <v>0</v>
          </cell>
          <cell r="AO207">
            <v>0</v>
          </cell>
          <cell r="AP207">
            <v>12464</v>
          </cell>
        </row>
        <row r="208">
          <cell r="E208">
            <v>550</v>
          </cell>
          <cell r="F208" t="str">
            <v xml:space="preserve"> 2015-2016</v>
          </cell>
          <cell r="G208" t="str">
            <v xml:space="preserve"> 11/15/2015</v>
          </cell>
          <cell r="H208">
            <v>1176173</v>
          </cell>
          <cell r="I208">
            <v>20473</v>
          </cell>
          <cell r="J208">
            <v>74119</v>
          </cell>
          <cell r="K208">
            <v>0</v>
          </cell>
          <cell r="L208">
            <v>0</v>
          </cell>
          <cell r="M208">
            <v>0</v>
          </cell>
          <cell r="N208">
            <v>0</v>
          </cell>
          <cell r="O208">
            <v>55191</v>
          </cell>
          <cell r="P208">
            <v>2505</v>
          </cell>
          <cell r="Q208">
            <v>-13307</v>
          </cell>
          <cell r="R208">
            <v>0</v>
          </cell>
          <cell r="S208">
            <v>11986</v>
          </cell>
          <cell r="T208">
            <v>-8</v>
          </cell>
          <cell r="U208">
            <v>0</v>
          </cell>
          <cell r="V208" t="str">
            <v xml:space="preserve"> </v>
          </cell>
          <cell r="W208">
            <v>1327132</v>
          </cell>
          <cell r="X208">
            <v>0</v>
          </cell>
          <cell r="Y208">
            <v>0</v>
          </cell>
          <cell r="Z208">
            <v>0</v>
          </cell>
          <cell r="AA208">
            <v>0</v>
          </cell>
          <cell r="AB208">
            <v>1175909</v>
          </cell>
          <cell r="AC208">
            <v>19279</v>
          </cell>
          <cell r="AD208">
            <v>68646</v>
          </cell>
          <cell r="AE208">
            <v>524</v>
          </cell>
          <cell r="AF208">
            <v>249</v>
          </cell>
          <cell r="AG208">
            <v>0</v>
          </cell>
          <cell r="AH208">
            <v>0</v>
          </cell>
          <cell r="AI208">
            <v>51233</v>
          </cell>
          <cell r="AJ208">
            <v>0</v>
          </cell>
          <cell r="AK208">
            <v>0</v>
          </cell>
          <cell r="AL208">
            <v>0</v>
          </cell>
          <cell r="AM208">
            <v>11150</v>
          </cell>
          <cell r="AN208">
            <v>0</v>
          </cell>
          <cell r="AO208">
            <v>0</v>
          </cell>
          <cell r="AP208">
            <v>1326466</v>
          </cell>
        </row>
        <row r="209">
          <cell r="E209">
            <v>280</v>
          </cell>
          <cell r="F209" t="str">
            <v xml:space="preserve"> 2015-2016</v>
          </cell>
          <cell r="G209" t="str">
            <v xml:space="preserve"> 11/15/2015</v>
          </cell>
          <cell r="H209">
            <v>9648202</v>
          </cell>
          <cell r="I209">
            <v>171512</v>
          </cell>
          <cell r="J209">
            <v>630616</v>
          </cell>
          <cell r="K209">
            <v>132359</v>
          </cell>
          <cell r="L209">
            <v>62871</v>
          </cell>
          <cell r="M209">
            <v>0</v>
          </cell>
          <cell r="N209">
            <v>0</v>
          </cell>
          <cell r="O209">
            <v>2372208</v>
          </cell>
          <cell r="P209">
            <v>292502</v>
          </cell>
          <cell r="Q209">
            <v>-26217</v>
          </cell>
          <cell r="R209">
            <v>0</v>
          </cell>
          <cell r="S209">
            <v>122922</v>
          </cell>
          <cell r="T209">
            <v>35</v>
          </cell>
          <cell r="U209">
            <v>-232127</v>
          </cell>
          <cell r="V209" t="str">
            <v xml:space="preserve"> </v>
          </cell>
          <cell r="W209">
            <v>13042524</v>
          </cell>
          <cell r="X209">
            <v>0</v>
          </cell>
          <cell r="Y209">
            <v>0</v>
          </cell>
          <cell r="Z209">
            <v>0</v>
          </cell>
          <cell r="AA209">
            <v>0</v>
          </cell>
          <cell r="AB209">
            <v>10276498</v>
          </cell>
          <cell r="AC209">
            <v>210020</v>
          </cell>
          <cell r="AD209">
            <v>607811</v>
          </cell>
          <cell r="AE209">
            <v>149628</v>
          </cell>
          <cell r="AF209">
            <v>71073</v>
          </cell>
          <cell r="AG209">
            <v>0</v>
          </cell>
          <cell r="AH209">
            <v>0</v>
          </cell>
          <cell r="AI209">
            <v>2486417</v>
          </cell>
          <cell r="AJ209">
            <v>0</v>
          </cell>
          <cell r="AK209">
            <v>0</v>
          </cell>
          <cell r="AL209">
            <v>0</v>
          </cell>
          <cell r="AM209">
            <v>121464</v>
          </cell>
          <cell r="AN209">
            <v>0</v>
          </cell>
          <cell r="AO209">
            <v>790787</v>
          </cell>
          <cell r="AP209">
            <v>14564070</v>
          </cell>
        </row>
        <row r="210">
          <cell r="D210" t="str">
            <v xml:space="preserve"> SOLANO            </v>
          </cell>
          <cell r="AO210">
            <v>790787</v>
          </cell>
          <cell r="AP210">
            <v>15903000</v>
          </cell>
        </row>
        <row r="212">
          <cell r="E212">
            <v>240</v>
          </cell>
          <cell r="F212" t="str">
            <v xml:space="preserve"> 2015-2016</v>
          </cell>
          <cell r="G212" t="str">
            <v xml:space="preserve"> 11/15/2015</v>
          </cell>
          <cell r="H212">
            <v>266653</v>
          </cell>
          <cell r="I212">
            <v>2509</v>
          </cell>
          <cell r="J212">
            <v>9586</v>
          </cell>
          <cell r="K212">
            <v>0</v>
          </cell>
          <cell r="L212">
            <v>0</v>
          </cell>
          <cell r="M212">
            <v>0</v>
          </cell>
          <cell r="N212">
            <v>0</v>
          </cell>
          <cell r="O212">
            <v>0</v>
          </cell>
          <cell r="P212">
            <v>0</v>
          </cell>
          <cell r="Q212">
            <v>81</v>
          </cell>
          <cell r="R212">
            <v>1798</v>
          </cell>
          <cell r="S212">
            <v>0</v>
          </cell>
          <cell r="T212">
            <v>0</v>
          </cell>
          <cell r="U212">
            <v>0</v>
          </cell>
          <cell r="V212" t="str">
            <v xml:space="preserve"> </v>
          </cell>
          <cell r="W212">
            <v>280627</v>
          </cell>
          <cell r="X212">
            <v>0</v>
          </cell>
          <cell r="Y212">
            <v>0</v>
          </cell>
          <cell r="Z212">
            <v>0</v>
          </cell>
          <cell r="AA212">
            <v>0</v>
          </cell>
          <cell r="AB212">
            <v>209979</v>
          </cell>
          <cell r="AC212">
            <v>2509</v>
          </cell>
          <cell r="AD212">
            <v>6851</v>
          </cell>
          <cell r="AE212">
            <v>0</v>
          </cell>
          <cell r="AF212">
            <v>0</v>
          </cell>
          <cell r="AG212">
            <v>0</v>
          </cell>
          <cell r="AH212">
            <v>0</v>
          </cell>
          <cell r="AI212">
            <v>0</v>
          </cell>
          <cell r="AJ212">
            <v>0</v>
          </cell>
          <cell r="AK212">
            <v>0</v>
          </cell>
          <cell r="AL212">
            <v>1630</v>
          </cell>
          <cell r="AM212">
            <v>0</v>
          </cell>
          <cell r="AN212">
            <v>0</v>
          </cell>
          <cell r="AO212">
            <v>0</v>
          </cell>
          <cell r="AP212">
            <v>220969</v>
          </cell>
        </row>
        <row r="213">
          <cell r="E213">
            <v>260</v>
          </cell>
          <cell r="F213" t="str">
            <v xml:space="preserve"> 2015-2016</v>
          </cell>
          <cell r="G213" t="str">
            <v xml:space="preserve"> 11/15/2015</v>
          </cell>
          <cell r="H213">
            <v>40932068</v>
          </cell>
          <cell r="I213">
            <v>823429</v>
          </cell>
          <cell r="J213">
            <v>1148881</v>
          </cell>
          <cell r="K213">
            <v>678045</v>
          </cell>
          <cell r="L213">
            <v>322071</v>
          </cell>
          <cell r="M213">
            <v>0</v>
          </cell>
          <cell r="N213">
            <v>0</v>
          </cell>
          <cell r="O213">
            <v>1904849</v>
          </cell>
          <cell r="P213">
            <v>175573</v>
          </cell>
          <cell r="Q213">
            <v>18587</v>
          </cell>
          <cell r="R213">
            <v>9388</v>
          </cell>
          <cell r="S213">
            <v>373166</v>
          </cell>
          <cell r="T213">
            <v>3497</v>
          </cell>
          <cell r="U213">
            <v>591171</v>
          </cell>
          <cell r="V213" t="str">
            <v xml:space="preserve"> </v>
          </cell>
          <cell r="W213">
            <v>46302680</v>
          </cell>
          <cell r="X213">
            <v>0</v>
          </cell>
          <cell r="Y213">
            <v>0</v>
          </cell>
          <cell r="Z213">
            <v>0</v>
          </cell>
          <cell r="AA213">
            <v>0</v>
          </cell>
          <cell r="AB213">
            <v>42881798</v>
          </cell>
          <cell r="AC213">
            <v>691680</v>
          </cell>
          <cell r="AD213">
            <v>1220801</v>
          </cell>
          <cell r="AE213">
            <v>820331</v>
          </cell>
          <cell r="AF213">
            <v>389657</v>
          </cell>
          <cell r="AG213">
            <v>0</v>
          </cell>
          <cell r="AH213">
            <v>0</v>
          </cell>
          <cell r="AI213">
            <v>952425</v>
          </cell>
          <cell r="AJ213">
            <v>0</v>
          </cell>
          <cell r="AK213">
            <v>0</v>
          </cell>
          <cell r="AL213">
            <v>9388</v>
          </cell>
          <cell r="AM213">
            <v>358464</v>
          </cell>
          <cell r="AN213">
            <v>0</v>
          </cell>
          <cell r="AO213">
            <v>2561770</v>
          </cell>
          <cell r="AP213">
            <v>49065983</v>
          </cell>
        </row>
        <row r="214">
          <cell r="D214" t="str">
            <v xml:space="preserve"> SONOMA            </v>
          </cell>
          <cell r="AO214">
            <v>2561770</v>
          </cell>
          <cell r="AP214">
            <v>49286952</v>
          </cell>
        </row>
        <row r="216">
          <cell r="E216">
            <v>590</v>
          </cell>
          <cell r="F216" t="str">
            <v xml:space="preserve"> 2015-2016</v>
          </cell>
          <cell r="G216" t="str">
            <v xml:space="preserve"> 11/15/2015</v>
          </cell>
          <cell r="H216">
            <v>26775456</v>
          </cell>
          <cell r="I216">
            <v>415695</v>
          </cell>
          <cell r="J216">
            <v>1446012</v>
          </cell>
          <cell r="K216">
            <v>176292</v>
          </cell>
          <cell r="L216">
            <v>83739</v>
          </cell>
          <cell r="M216">
            <v>0</v>
          </cell>
          <cell r="N216">
            <v>0</v>
          </cell>
          <cell r="O216">
            <v>486944</v>
          </cell>
          <cell r="P216">
            <v>0</v>
          </cell>
          <cell r="Q216">
            <v>38763</v>
          </cell>
          <cell r="R216">
            <v>0</v>
          </cell>
          <cell r="S216">
            <v>389032</v>
          </cell>
          <cell r="T216">
            <v>24298</v>
          </cell>
          <cell r="U216">
            <v>-5719213</v>
          </cell>
          <cell r="V216" t="str">
            <v xml:space="preserve"> </v>
          </cell>
          <cell r="W216">
            <v>23940726</v>
          </cell>
          <cell r="X216">
            <v>0</v>
          </cell>
          <cell r="Y216">
            <v>0</v>
          </cell>
          <cell r="Z216">
            <v>0</v>
          </cell>
          <cell r="AA216">
            <v>0</v>
          </cell>
          <cell r="AB216">
            <v>28114229</v>
          </cell>
          <cell r="AC216">
            <v>436480</v>
          </cell>
          <cell r="AD216">
            <v>1518313</v>
          </cell>
          <cell r="AE216">
            <v>185107</v>
          </cell>
          <cell r="AF216">
            <v>87926</v>
          </cell>
          <cell r="AG216">
            <v>0</v>
          </cell>
          <cell r="AH216">
            <v>0</v>
          </cell>
          <cell r="AI216">
            <v>0</v>
          </cell>
          <cell r="AJ216">
            <v>0</v>
          </cell>
          <cell r="AK216">
            <v>46851</v>
          </cell>
          <cell r="AL216">
            <v>0</v>
          </cell>
          <cell r="AM216">
            <v>408484</v>
          </cell>
          <cell r="AN216">
            <v>12149</v>
          </cell>
          <cell r="AO216">
            <v>-3759961</v>
          </cell>
          <cell r="AP216">
            <v>26864471</v>
          </cell>
        </row>
        <row r="217">
          <cell r="D217" t="str">
            <v xml:space="preserve"> STANISLAUS        </v>
          </cell>
          <cell r="AO217">
            <v>-3759961</v>
          </cell>
          <cell r="AP217">
            <v>26864471</v>
          </cell>
        </row>
        <row r="219">
          <cell r="E219">
            <v>290</v>
          </cell>
          <cell r="F219" t="str">
            <v xml:space="preserve"> 2015-2016</v>
          </cell>
          <cell r="G219" t="str">
            <v xml:space="preserve"> 11/15/2015</v>
          </cell>
          <cell r="H219">
            <v>6059875</v>
          </cell>
          <cell r="I219">
            <v>78465</v>
          </cell>
          <cell r="J219">
            <v>436136</v>
          </cell>
          <cell r="K219">
            <v>0</v>
          </cell>
          <cell r="L219">
            <v>0</v>
          </cell>
          <cell r="M219">
            <v>0</v>
          </cell>
          <cell r="N219">
            <v>0</v>
          </cell>
          <cell r="O219">
            <v>0</v>
          </cell>
          <cell r="P219">
            <v>0</v>
          </cell>
          <cell r="Q219">
            <v>11300</v>
          </cell>
          <cell r="R219">
            <v>0</v>
          </cell>
          <cell r="S219">
            <v>84700</v>
          </cell>
          <cell r="T219">
            <v>7130</v>
          </cell>
          <cell r="U219">
            <v>-724416</v>
          </cell>
          <cell r="V219" t="str">
            <v xml:space="preserve"> </v>
          </cell>
          <cell r="W219">
            <v>5953190</v>
          </cell>
          <cell r="X219">
            <v>0</v>
          </cell>
          <cell r="Y219">
            <v>0</v>
          </cell>
          <cell r="Z219">
            <v>0</v>
          </cell>
          <cell r="AA219">
            <v>0</v>
          </cell>
          <cell r="AB219">
            <v>6181000</v>
          </cell>
          <cell r="AC219">
            <v>75000</v>
          </cell>
          <cell r="AD219">
            <v>440000</v>
          </cell>
          <cell r="AE219">
            <v>0</v>
          </cell>
          <cell r="AF219">
            <v>0</v>
          </cell>
          <cell r="AG219">
            <v>0</v>
          </cell>
          <cell r="AH219">
            <v>0</v>
          </cell>
          <cell r="AI219">
            <v>0</v>
          </cell>
          <cell r="AJ219">
            <v>0</v>
          </cell>
          <cell r="AK219">
            <v>8500</v>
          </cell>
          <cell r="AL219">
            <v>0</v>
          </cell>
          <cell r="AM219">
            <v>83750</v>
          </cell>
          <cell r="AN219">
            <v>4500</v>
          </cell>
          <cell r="AO219">
            <v>-685000</v>
          </cell>
          <cell r="AP219">
            <v>6107750</v>
          </cell>
        </row>
        <row r="220">
          <cell r="D220" t="str">
            <v xml:space="preserve"> SUTTER            </v>
          </cell>
          <cell r="AO220">
            <v>-685000</v>
          </cell>
          <cell r="AP220">
            <v>6107750</v>
          </cell>
        </row>
        <row r="222">
          <cell r="E222">
            <v>170</v>
          </cell>
          <cell r="F222" t="str">
            <v xml:space="preserve"> 2015-2016</v>
          </cell>
          <cell r="G222" t="str">
            <v xml:space="preserve"> 11/15/2015</v>
          </cell>
          <cell r="H222">
            <v>2465625</v>
          </cell>
          <cell r="I222">
            <v>24753</v>
          </cell>
          <cell r="J222">
            <v>98207</v>
          </cell>
          <cell r="K222">
            <v>0</v>
          </cell>
          <cell r="L222">
            <v>0</v>
          </cell>
          <cell r="M222">
            <v>0</v>
          </cell>
          <cell r="N222">
            <v>0</v>
          </cell>
          <cell r="O222">
            <v>0</v>
          </cell>
          <cell r="P222">
            <v>0</v>
          </cell>
          <cell r="Q222">
            <v>4345</v>
          </cell>
          <cell r="R222">
            <v>22307</v>
          </cell>
          <cell r="S222">
            <v>54797</v>
          </cell>
          <cell r="T222">
            <v>1036</v>
          </cell>
          <cell r="U222">
            <v>-1020</v>
          </cell>
          <cell r="V222" t="str">
            <v xml:space="preserve"> </v>
          </cell>
          <cell r="W222">
            <v>2670050</v>
          </cell>
          <cell r="X222">
            <v>0</v>
          </cell>
          <cell r="Y222">
            <v>0</v>
          </cell>
          <cell r="Z222">
            <v>0</v>
          </cell>
          <cell r="AA222">
            <v>0</v>
          </cell>
          <cell r="AB222">
            <v>2823137</v>
          </cell>
          <cell r="AC222">
            <v>25000</v>
          </cell>
          <cell r="AD222">
            <v>101908</v>
          </cell>
          <cell r="AE222">
            <v>0</v>
          </cell>
          <cell r="AF222">
            <v>0</v>
          </cell>
          <cell r="AG222">
            <v>0</v>
          </cell>
          <cell r="AH222">
            <v>0</v>
          </cell>
          <cell r="AI222">
            <v>0</v>
          </cell>
          <cell r="AJ222">
            <v>0</v>
          </cell>
          <cell r="AK222">
            <v>5000</v>
          </cell>
          <cell r="AL222">
            <v>15000</v>
          </cell>
          <cell r="AM222">
            <v>52353</v>
          </cell>
          <cell r="AN222">
            <v>500</v>
          </cell>
          <cell r="AO222">
            <v>5166</v>
          </cell>
          <cell r="AP222">
            <v>3028064</v>
          </cell>
        </row>
        <row r="223">
          <cell r="D223" t="str">
            <v xml:space="preserve"> TEHAMA            </v>
          </cell>
          <cell r="AO223">
            <v>5166</v>
          </cell>
          <cell r="AP223">
            <v>3028064</v>
          </cell>
        </row>
        <row r="225">
          <cell r="E225">
            <v>160</v>
          </cell>
          <cell r="F225" t="str">
            <v xml:space="preserve"> 2015-2016</v>
          </cell>
          <cell r="G225" t="str">
            <v xml:space="preserve"> 11/15/2015</v>
          </cell>
          <cell r="H225">
            <v>47915</v>
          </cell>
          <cell r="I225">
            <v>1894</v>
          </cell>
          <cell r="J225">
            <v>1116</v>
          </cell>
          <cell r="K225">
            <v>0</v>
          </cell>
          <cell r="L225">
            <v>0</v>
          </cell>
          <cell r="M225">
            <v>0</v>
          </cell>
          <cell r="N225">
            <v>0</v>
          </cell>
          <cell r="O225">
            <v>0</v>
          </cell>
          <cell r="P225">
            <v>0</v>
          </cell>
          <cell r="Q225">
            <v>35</v>
          </cell>
          <cell r="R225">
            <v>151</v>
          </cell>
          <cell r="S225">
            <v>715</v>
          </cell>
          <cell r="T225">
            <v>0</v>
          </cell>
          <cell r="U225">
            <v>0</v>
          </cell>
          <cell r="V225" t="str">
            <v xml:space="preserve"> </v>
          </cell>
          <cell r="W225">
            <v>51826</v>
          </cell>
          <cell r="X225">
            <v>0</v>
          </cell>
          <cell r="Y225">
            <v>0</v>
          </cell>
          <cell r="Z225">
            <v>0</v>
          </cell>
          <cell r="AA225">
            <v>0</v>
          </cell>
          <cell r="AB225">
            <v>50000</v>
          </cell>
          <cell r="AC225">
            <v>1000</v>
          </cell>
          <cell r="AD225">
            <v>1500</v>
          </cell>
          <cell r="AE225">
            <v>0</v>
          </cell>
          <cell r="AF225">
            <v>0</v>
          </cell>
          <cell r="AG225">
            <v>0</v>
          </cell>
          <cell r="AH225">
            <v>0</v>
          </cell>
          <cell r="AI225">
            <v>0</v>
          </cell>
          <cell r="AJ225">
            <v>0</v>
          </cell>
          <cell r="AK225">
            <v>10</v>
          </cell>
          <cell r="AL225">
            <v>150</v>
          </cell>
          <cell r="AM225">
            <v>619</v>
          </cell>
          <cell r="AN225">
            <v>0</v>
          </cell>
          <cell r="AO225">
            <v>0</v>
          </cell>
          <cell r="AP225">
            <v>53279</v>
          </cell>
        </row>
        <row r="226">
          <cell r="E226">
            <v>170</v>
          </cell>
          <cell r="F226" t="str">
            <v xml:space="preserve"> 2015-2016</v>
          </cell>
          <cell r="G226" t="str">
            <v xml:space="preserve"> 11/15/2015</v>
          </cell>
          <cell r="H226">
            <v>1335386</v>
          </cell>
          <cell r="I226">
            <v>52916</v>
          </cell>
          <cell r="J226">
            <v>31176</v>
          </cell>
          <cell r="K226">
            <v>0</v>
          </cell>
          <cell r="L226">
            <v>0</v>
          </cell>
          <cell r="M226">
            <v>0</v>
          </cell>
          <cell r="N226">
            <v>0</v>
          </cell>
          <cell r="O226">
            <v>0</v>
          </cell>
          <cell r="P226">
            <v>0</v>
          </cell>
          <cell r="Q226">
            <v>984</v>
          </cell>
          <cell r="R226">
            <v>15009</v>
          </cell>
          <cell r="S226">
            <v>17916</v>
          </cell>
          <cell r="T226">
            <v>0</v>
          </cell>
          <cell r="U226">
            <v>0</v>
          </cell>
          <cell r="V226" t="str">
            <v xml:space="preserve"> </v>
          </cell>
          <cell r="W226">
            <v>1453387</v>
          </cell>
          <cell r="X226">
            <v>0</v>
          </cell>
          <cell r="Y226">
            <v>0</v>
          </cell>
          <cell r="Z226">
            <v>0</v>
          </cell>
          <cell r="AA226">
            <v>0</v>
          </cell>
          <cell r="AB226">
            <v>1340000</v>
          </cell>
          <cell r="AC226">
            <v>40000</v>
          </cell>
          <cell r="AD226">
            <v>32000</v>
          </cell>
          <cell r="AE226">
            <v>0</v>
          </cell>
          <cell r="AF226">
            <v>0</v>
          </cell>
          <cell r="AG226">
            <v>0</v>
          </cell>
          <cell r="AH226">
            <v>0</v>
          </cell>
          <cell r="AI226">
            <v>0</v>
          </cell>
          <cell r="AJ226">
            <v>0</v>
          </cell>
          <cell r="AK226">
            <v>400</v>
          </cell>
          <cell r="AL226">
            <v>15000</v>
          </cell>
          <cell r="AM226">
            <v>17102</v>
          </cell>
          <cell r="AN226">
            <v>0</v>
          </cell>
          <cell r="AO226">
            <v>0</v>
          </cell>
          <cell r="AP226">
            <v>1444502</v>
          </cell>
        </row>
        <row r="227">
          <cell r="D227" t="str">
            <v xml:space="preserve"> TRINITY           </v>
          </cell>
          <cell r="AO227">
            <v>0</v>
          </cell>
          <cell r="AP227">
            <v>1497781</v>
          </cell>
        </row>
        <row r="229">
          <cell r="E229">
            <v>570</v>
          </cell>
          <cell r="F229" t="str">
            <v xml:space="preserve"> 2015-2016</v>
          </cell>
          <cell r="G229" t="str">
            <v xml:space="preserve"> 11/15/2015</v>
          </cell>
          <cell r="H229">
            <v>695965</v>
          </cell>
          <cell r="I229">
            <v>9363</v>
          </cell>
          <cell r="J229">
            <v>40955</v>
          </cell>
          <cell r="K229">
            <v>39599</v>
          </cell>
          <cell r="L229">
            <v>18810</v>
          </cell>
          <cell r="M229">
            <v>0</v>
          </cell>
          <cell r="N229">
            <v>0</v>
          </cell>
          <cell r="O229">
            <v>42308</v>
          </cell>
          <cell r="P229">
            <v>0</v>
          </cell>
          <cell r="Q229">
            <v>29599</v>
          </cell>
          <cell r="R229">
            <v>0</v>
          </cell>
          <cell r="S229">
            <v>8236</v>
          </cell>
          <cell r="T229">
            <v>0</v>
          </cell>
          <cell r="U229">
            <v>-111669</v>
          </cell>
          <cell r="V229" t="str">
            <v xml:space="preserve"> </v>
          </cell>
          <cell r="W229">
            <v>733567</v>
          </cell>
          <cell r="X229">
            <v>0</v>
          </cell>
          <cell r="Y229">
            <v>0</v>
          </cell>
          <cell r="Z229">
            <v>0</v>
          </cell>
          <cell r="AA229">
            <v>0</v>
          </cell>
          <cell r="AB229">
            <v>674222</v>
          </cell>
          <cell r="AC229">
            <v>6394</v>
          </cell>
          <cell r="AD229">
            <v>37736</v>
          </cell>
          <cell r="AE229">
            <v>39599</v>
          </cell>
          <cell r="AF229">
            <v>18810</v>
          </cell>
          <cell r="AG229">
            <v>0</v>
          </cell>
          <cell r="AH229">
            <v>0</v>
          </cell>
          <cell r="AI229">
            <v>0</v>
          </cell>
          <cell r="AJ229">
            <v>0</v>
          </cell>
          <cell r="AK229">
            <v>0</v>
          </cell>
          <cell r="AL229">
            <v>0</v>
          </cell>
          <cell r="AM229">
            <v>7184</v>
          </cell>
          <cell r="AN229">
            <v>0</v>
          </cell>
          <cell r="AO229">
            <v>-76310</v>
          </cell>
          <cell r="AP229">
            <v>668036</v>
          </cell>
        </row>
        <row r="230">
          <cell r="E230">
            <v>520</v>
          </cell>
          <cell r="F230" t="str">
            <v xml:space="preserve"> 2015-2016</v>
          </cell>
          <cell r="G230" t="str">
            <v xml:space="preserve"> 11/15/2015</v>
          </cell>
          <cell r="H230">
            <v>4358632</v>
          </cell>
          <cell r="I230">
            <v>43934</v>
          </cell>
          <cell r="J230">
            <v>256399</v>
          </cell>
          <cell r="K230">
            <v>5920</v>
          </cell>
          <cell r="L230">
            <v>2812</v>
          </cell>
          <cell r="M230">
            <v>0</v>
          </cell>
          <cell r="N230">
            <v>0</v>
          </cell>
          <cell r="O230">
            <v>67958</v>
          </cell>
          <cell r="P230">
            <v>0</v>
          </cell>
          <cell r="Q230">
            <v>181660</v>
          </cell>
          <cell r="R230">
            <v>99</v>
          </cell>
          <cell r="S230">
            <v>51383</v>
          </cell>
          <cell r="T230">
            <v>0</v>
          </cell>
          <cell r="U230">
            <v>-699147</v>
          </cell>
          <cell r="V230" t="str">
            <v xml:space="preserve"> </v>
          </cell>
          <cell r="W230">
            <v>4263730</v>
          </cell>
          <cell r="X230">
            <v>0</v>
          </cell>
          <cell r="Y230">
            <v>0</v>
          </cell>
          <cell r="Z230">
            <v>0</v>
          </cell>
          <cell r="AA230">
            <v>0</v>
          </cell>
          <cell r="AB230">
            <v>4572131</v>
          </cell>
          <cell r="AC230">
            <v>29438</v>
          </cell>
          <cell r="AD230">
            <v>256898</v>
          </cell>
          <cell r="AE230">
            <v>5920</v>
          </cell>
          <cell r="AF230">
            <v>2812</v>
          </cell>
          <cell r="AG230">
            <v>0</v>
          </cell>
          <cell r="AH230">
            <v>0</v>
          </cell>
          <cell r="AI230">
            <v>0</v>
          </cell>
          <cell r="AJ230">
            <v>0</v>
          </cell>
          <cell r="AK230">
            <v>0</v>
          </cell>
          <cell r="AL230">
            <v>0</v>
          </cell>
          <cell r="AM230">
            <v>0</v>
          </cell>
          <cell r="AN230">
            <v>0</v>
          </cell>
          <cell r="AO230">
            <v>-519615</v>
          </cell>
          <cell r="AP230">
            <v>4341664</v>
          </cell>
        </row>
        <row r="231">
          <cell r="E231">
            <v>560</v>
          </cell>
          <cell r="F231" t="str">
            <v xml:space="preserve"> 2015-2016</v>
          </cell>
          <cell r="G231" t="str">
            <v xml:space="preserve"> 11/15/2015</v>
          </cell>
          <cell r="H231">
            <v>9705277</v>
          </cell>
          <cell r="I231">
            <v>104428</v>
          </cell>
          <cell r="J231">
            <v>574431</v>
          </cell>
          <cell r="K231">
            <v>137381</v>
          </cell>
          <cell r="L231">
            <v>65256</v>
          </cell>
          <cell r="M231">
            <v>0</v>
          </cell>
          <cell r="N231">
            <v>0</v>
          </cell>
          <cell r="O231">
            <v>520919</v>
          </cell>
          <cell r="P231">
            <v>5253</v>
          </cell>
          <cell r="Q231">
            <v>346534</v>
          </cell>
          <cell r="R231">
            <v>37</v>
          </cell>
          <cell r="S231">
            <v>115269</v>
          </cell>
          <cell r="T231">
            <v>0</v>
          </cell>
          <cell r="U231">
            <v>-1562563</v>
          </cell>
          <cell r="V231" t="str">
            <v xml:space="preserve"> </v>
          </cell>
          <cell r="W231">
            <v>9874841</v>
          </cell>
          <cell r="X231">
            <v>0</v>
          </cell>
          <cell r="Y231">
            <v>0</v>
          </cell>
          <cell r="Z231">
            <v>0</v>
          </cell>
          <cell r="AA231">
            <v>0</v>
          </cell>
          <cell r="AB231">
            <v>10224990</v>
          </cell>
          <cell r="AC231">
            <v>29438</v>
          </cell>
          <cell r="AD231">
            <v>256898</v>
          </cell>
          <cell r="AE231">
            <v>137381</v>
          </cell>
          <cell r="AF231">
            <v>65256</v>
          </cell>
          <cell r="AG231">
            <v>0</v>
          </cell>
          <cell r="AH231">
            <v>0</v>
          </cell>
          <cell r="AI231">
            <v>0</v>
          </cell>
          <cell r="AJ231">
            <v>0</v>
          </cell>
          <cell r="AK231">
            <v>0</v>
          </cell>
          <cell r="AL231">
            <v>0</v>
          </cell>
          <cell r="AM231">
            <v>109842</v>
          </cell>
          <cell r="AN231">
            <v>0</v>
          </cell>
          <cell r="AO231">
            <v>-1170553</v>
          </cell>
          <cell r="AP231">
            <v>9515871</v>
          </cell>
        </row>
        <row r="232">
          <cell r="D232" t="str">
            <v xml:space="preserve"> TULARE            </v>
          </cell>
          <cell r="AO232">
            <v>-1766478</v>
          </cell>
          <cell r="AP232">
            <v>14525571</v>
          </cell>
        </row>
        <row r="234">
          <cell r="E234">
            <v>590</v>
          </cell>
          <cell r="F234" t="str">
            <v xml:space="preserve"> 2015-2016</v>
          </cell>
          <cell r="G234" t="str">
            <v xml:space="preserve"> 11/15/2015</v>
          </cell>
          <cell r="H234">
            <v>4216403</v>
          </cell>
          <cell r="I234">
            <v>47759</v>
          </cell>
          <cell r="J234">
            <v>120570</v>
          </cell>
          <cell r="K234">
            <v>0</v>
          </cell>
          <cell r="L234">
            <v>0</v>
          </cell>
          <cell r="M234">
            <v>0</v>
          </cell>
          <cell r="N234">
            <v>0</v>
          </cell>
          <cell r="O234">
            <v>0</v>
          </cell>
          <cell r="P234">
            <v>0</v>
          </cell>
          <cell r="Q234">
            <v>2458</v>
          </cell>
          <cell r="R234">
            <v>26962</v>
          </cell>
          <cell r="S234">
            <v>61860</v>
          </cell>
          <cell r="T234">
            <v>0</v>
          </cell>
          <cell r="U234">
            <v>52732</v>
          </cell>
          <cell r="V234" t="str">
            <v xml:space="preserve"> </v>
          </cell>
          <cell r="W234">
            <v>4528744</v>
          </cell>
          <cell r="X234">
            <v>0</v>
          </cell>
          <cell r="Y234">
            <v>0</v>
          </cell>
          <cell r="Z234">
            <v>0</v>
          </cell>
          <cell r="AA234">
            <v>0</v>
          </cell>
          <cell r="AB234">
            <v>4442528</v>
          </cell>
          <cell r="AC234">
            <v>17444</v>
          </cell>
          <cell r="AD234">
            <v>121208</v>
          </cell>
          <cell r="AE234">
            <v>0</v>
          </cell>
          <cell r="AF234">
            <v>0</v>
          </cell>
          <cell r="AG234">
            <v>0</v>
          </cell>
          <cell r="AH234">
            <v>0</v>
          </cell>
          <cell r="AI234">
            <v>0</v>
          </cell>
          <cell r="AJ234">
            <v>0</v>
          </cell>
          <cell r="AK234">
            <v>1967</v>
          </cell>
          <cell r="AL234">
            <v>21569</v>
          </cell>
          <cell r="AM234">
            <v>61144</v>
          </cell>
          <cell r="AN234">
            <v>0</v>
          </cell>
          <cell r="AO234">
            <v>163476</v>
          </cell>
          <cell r="AP234">
            <v>4829336</v>
          </cell>
        </row>
        <row r="235">
          <cell r="D235" t="str">
            <v xml:space="preserve"> TUOLUMNE          </v>
          </cell>
          <cell r="AO235">
            <v>163476</v>
          </cell>
          <cell r="AP235">
            <v>4829336</v>
          </cell>
        </row>
        <row r="237">
          <cell r="E237">
            <v>610</v>
          </cell>
          <cell r="F237" t="str">
            <v xml:space="preserve"> 2015-2016</v>
          </cell>
          <cell r="G237" t="str">
            <v xml:space="preserve"> 11/15/2015</v>
          </cell>
          <cell r="H237">
            <v>20788</v>
          </cell>
          <cell r="I237">
            <v>301</v>
          </cell>
          <cell r="J237">
            <v>799</v>
          </cell>
          <cell r="K237">
            <v>0</v>
          </cell>
          <cell r="L237">
            <v>0</v>
          </cell>
          <cell r="M237">
            <v>0</v>
          </cell>
          <cell r="N237">
            <v>0</v>
          </cell>
          <cell r="O237">
            <v>0</v>
          </cell>
          <cell r="P237">
            <v>0</v>
          </cell>
          <cell r="Q237">
            <v>33</v>
          </cell>
          <cell r="R237">
            <v>0</v>
          </cell>
          <cell r="S237">
            <v>200</v>
          </cell>
          <cell r="T237">
            <v>0</v>
          </cell>
          <cell r="U237">
            <v>0</v>
          </cell>
          <cell r="V237" t="str">
            <v xml:space="preserve"> </v>
          </cell>
          <cell r="W237">
            <v>22121</v>
          </cell>
          <cell r="X237">
            <v>0</v>
          </cell>
          <cell r="Y237">
            <v>0</v>
          </cell>
          <cell r="Z237">
            <v>0</v>
          </cell>
          <cell r="AA237">
            <v>0</v>
          </cell>
          <cell r="AB237">
            <v>20634</v>
          </cell>
          <cell r="AC237">
            <v>301</v>
          </cell>
          <cell r="AD237">
            <v>873</v>
          </cell>
          <cell r="AE237">
            <v>0</v>
          </cell>
          <cell r="AF237">
            <v>0</v>
          </cell>
          <cell r="AG237">
            <v>0</v>
          </cell>
          <cell r="AH237">
            <v>0</v>
          </cell>
          <cell r="AI237">
            <v>0</v>
          </cell>
          <cell r="AJ237">
            <v>0</v>
          </cell>
          <cell r="AK237">
            <v>33</v>
          </cell>
          <cell r="AL237">
            <v>0</v>
          </cell>
          <cell r="AM237">
            <v>190</v>
          </cell>
          <cell r="AN237">
            <v>0</v>
          </cell>
          <cell r="AO237">
            <v>-2723</v>
          </cell>
          <cell r="AP237">
            <v>19308</v>
          </cell>
        </row>
        <row r="238">
          <cell r="E238">
            <v>680</v>
          </cell>
          <cell r="F238" t="str">
            <v xml:space="preserve"> 2015-2016</v>
          </cell>
          <cell r="G238" t="str">
            <v xml:space="preserve"> 11/15/2015</v>
          </cell>
          <cell r="H238">
            <v>53979751</v>
          </cell>
          <cell r="I238">
            <v>832087</v>
          </cell>
          <cell r="J238">
            <v>1506404</v>
          </cell>
          <cell r="K238">
            <v>1529800</v>
          </cell>
          <cell r="L238">
            <v>726655</v>
          </cell>
          <cell r="M238">
            <v>0</v>
          </cell>
          <cell r="N238">
            <v>0</v>
          </cell>
          <cell r="O238">
            <v>2673715</v>
          </cell>
          <cell r="P238">
            <v>97365</v>
          </cell>
          <cell r="Q238">
            <v>95819</v>
          </cell>
          <cell r="R238">
            <v>0</v>
          </cell>
          <cell r="S238">
            <v>480921</v>
          </cell>
          <cell r="T238">
            <v>2735</v>
          </cell>
          <cell r="U238">
            <v>-6947257</v>
          </cell>
          <cell r="V238" t="str">
            <v xml:space="preserve"> </v>
          </cell>
          <cell r="W238">
            <v>53448195</v>
          </cell>
          <cell r="X238">
            <v>0</v>
          </cell>
          <cell r="Y238">
            <v>0</v>
          </cell>
          <cell r="Z238">
            <v>0</v>
          </cell>
          <cell r="AA238">
            <v>0</v>
          </cell>
          <cell r="AB238">
            <v>53858316</v>
          </cell>
          <cell r="AC238">
            <v>624065</v>
          </cell>
          <cell r="AD238">
            <v>1741438</v>
          </cell>
          <cell r="AE238">
            <v>0</v>
          </cell>
          <cell r="AF238">
            <v>0</v>
          </cell>
          <cell r="AG238">
            <v>0</v>
          </cell>
          <cell r="AH238">
            <v>0</v>
          </cell>
          <cell r="AI238">
            <v>450</v>
          </cell>
          <cell r="AJ238">
            <v>0</v>
          </cell>
          <cell r="AK238">
            <v>76655</v>
          </cell>
          <cell r="AL238">
            <v>0</v>
          </cell>
          <cell r="AM238">
            <v>456875</v>
          </cell>
          <cell r="AN238">
            <v>2461</v>
          </cell>
          <cell r="AO238">
            <v>-6944534</v>
          </cell>
          <cell r="AP238">
            <v>49815726</v>
          </cell>
        </row>
        <row r="239">
          <cell r="D239" t="str">
            <v xml:space="preserve"> VENTURA           </v>
          </cell>
          <cell r="AO239">
            <v>-6947257</v>
          </cell>
          <cell r="AP239">
            <v>49835034</v>
          </cell>
        </row>
        <row r="241">
          <cell r="E241">
            <v>230</v>
          </cell>
          <cell r="F241" t="str">
            <v xml:space="preserve"> 2015-2016</v>
          </cell>
          <cell r="G241" t="str">
            <v xml:space="preserve"> 11/15/2015</v>
          </cell>
          <cell r="H241">
            <v>4622727</v>
          </cell>
          <cell r="I241">
            <v>77496</v>
          </cell>
          <cell r="J241">
            <v>175908</v>
          </cell>
          <cell r="K241">
            <v>121659</v>
          </cell>
          <cell r="L241">
            <v>57788</v>
          </cell>
          <cell r="M241">
            <v>0</v>
          </cell>
          <cell r="N241">
            <v>0</v>
          </cell>
          <cell r="O241">
            <v>458399</v>
          </cell>
          <cell r="P241">
            <v>0</v>
          </cell>
          <cell r="Q241">
            <v>1410</v>
          </cell>
          <cell r="R241">
            <v>0</v>
          </cell>
          <cell r="S241">
            <v>48856</v>
          </cell>
          <cell r="T241">
            <v>1564</v>
          </cell>
          <cell r="U241">
            <v>-386020</v>
          </cell>
          <cell r="V241" t="str">
            <v xml:space="preserve"> </v>
          </cell>
          <cell r="W241">
            <v>5058128</v>
          </cell>
          <cell r="X241">
            <v>0</v>
          </cell>
          <cell r="Y241">
            <v>0</v>
          </cell>
          <cell r="Z241">
            <v>0</v>
          </cell>
          <cell r="AA241">
            <v>0</v>
          </cell>
          <cell r="AB241">
            <v>4953369</v>
          </cell>
          <cell r="AC241">
            <v>75000</v>
          </cell>
          <cell r="AD241">
            <v>194888</v>
          </cell>
          <cell r="AE241">
            <v>129017</v>
          </cell>
          <cell r="AF241">
            <v>61283</v>
          </cell>
          <cell r="AG241">
            <v>0</v>
          </cell>
          <cell r="AH241">
            <v>0</v>
          </cell>
          <cell r="AI241">
            <v>231689</v>
          </cell>
          <cell r="AJ241">
            <v>0</v>
          </cell>
          <cell r="AK241">
            <v>1300</v>
          </cell>
          <cell r="AL241">
            <v>0</v>
          </cell>
          <cell r="AM241">
            <v>48475</v>
          </cell>
          <cell r="AN241">
            <v>1200</v>
          </cell>
          <cell r="AO241">
            <v>386592</v>
          </cell>
          <cell r="AP241">
            <v>5953796</v>
          </cell>
        </row>
        <row r="242">
          <cell r="E242">
            <v>280</v>
          </cell>
          <cell r="F242" t="str">
            <v xml:space="preserve"> 2015-2016</v>
          </cell>
          <cell r="G242" t="str">
            <v xml:space="preserve"> 11/15/2015</v>
          </cell>
          <cell r="H242">
            <v>209278</v>
          </cell>
          <cell r="I242">
            <v>2583</v>
          </cell>
          <cell r="J242">
            <v>9192</v>
          </cell>
          <cell r="K242">
            <v>0</v>
          </cell>
          <cell r="L242">
            <v>0</v>
          </cell>
          <cell r="M242">
            <v>0</v>
          </cell>
          <cell r="N242">
            <v>0</v>
          </cell>
          <cell r="O242">
            <v>0</v>
          </cell>
          <cell r="P242">
            <v>25520</v>
          </cell>
          <cell r="Q242">
            <v>72</v>
          </cell>
          <cell r="R242">
            <v>0</v>
          </cell>
          <cell r="S242">
            <v>2596</v>
          </cell>
          <cell r="T242">
            <v>1605</v>
          </cell>
          <cell r="U242">
            <v>0</v>
          </cell>
          <cell r="V242" t="str">
            <v xml:space="preserve"> </v>
          </cell>
          <cell r="W242">
            <v>250846</v>
          </cell>
          <cell r="X242">
            <v>0</v>
          </cell>
          <cell r="Y242">
            <v>0</v>
          </cell>
          <cell r="Z242">
            <v>0</v>
          </cell>
          <cell r="AA242">
            <v>0</v>
          </cell>
          <cell r="AB242">
            <v>230658</v>
          </cell>
          <cell r="AC242">
            <v>2000</v>
          </cell>
          <cell r="AD242">
            <v>12042</v>
          </cell>
          <cell r="AE242">
            <v>0</v>
          </cell>
          <cell r="AF242">
            <v>0</v>
          </cell>
          <cell r="AG242">
            <v>0</v>
          </cell>
          <cell r="AH242">
            <v>0</v>
          </cell>
          <cell r="AI242">
            <v>0</v>
          </cell>
          <cell r="AJ242">
            <v>0</v>
          </cell>
          <cell r="AK242">
            <v>70</v>
          </cell>
          <cell r="AL242">
            <v>0</v>
          </cell>
          <cell r="AM242">
            <v>2574</v>
          </cell>
          <cell r="AN242">
            <v>1500</v>
          </cell>
          <cell r="AO242">
            <v>0</v>
          </cell>
          <cell r="AP242">
            <v>248844</v>
          </cell>
        </row>
        <row r="243">
          <cell r="E243">
            <v>290</v>
          </cell>
          <cell r="F243" t="str">
            <v xml:space="preserve"> 2015-2016</v>
          </cell>
          <cell r="G243" t="str">
            <v xml:space="preserve"> 11/15/2015</v>
          </cell>
          <cell r="H243">
            <v>5118600</v>
          </cell>
          <cell r="I243">
            <v>88292</v>
          </cell>
          <cell r="J243">
            <v>289369</v>
          </cell>
          <cell r="K243">
            <v>0</v>
          </cell>
          <cell r="L243">
            <v>0</v>
          </cell>
          <cell r="M243">
            <v>0</v>
          </cell>
          <cell r="N243">
            <v>0</v>
          </cell>
          <cell r="O243">
            <v>0</v>
          </cell>
          <cell r="P243">
            <v>0</v>
          </cell>
          <cell r="Q243">
            <v>2263</v>
          </cell>
          <cell r="R243">
            <v>0</v>
          </cell>
          <cell r="S243">
            <v>49105</v>
          </cell>
          <cell r="T243">
            <v>16619</v>
          </cell>
          <cell r="U243">
            <v>0</v>
          </cell>
          <cell r="V243" t="str">
            <v xml:space="preserve"> </v>
          </cell>
          <cell r="W243">
            <v>5564248</v>
          </cell>
          <cell r="X243">
            <v>0</v>
          </cell>
          <cell r="Y243">
            <v>0</v>
          </cell>
          <cell r="Z243">
            <v>0</v>
          </cell>
          <cell r="AA243">
            <v>0</v>
          </cell>
          <cell r="AB243">
            <v>5572176</v>
          </cell>
          <cell r="AC243">
            <v>75000</v>
          </cell>
          <cell r="AD243">
            <v>325302</v>
          </cell>
          <cell r="AE243">
            <v>0</v>
          </cell>
          <cell r="AF243">
            <v>0</v>
          </cell>
          <cell r="AG243">
            <v>0</v>
          </cell>
          <cell r="AH243">
            <v>0</v>
          </cell>
          <cell r="AI243">
            <v>0</v>
          </cell>
          <cell r="AJ243">
            <v>0</v>
          </cell>
          <cell r="AK243">
            <v>2000</v>
          </cell>
          <cell r="AL243">
            <v>0</v>
          </cell>
          <cell r="AM243">
            <v>48805</v>
          </cell>
          <cell r="AN243">
            <v>16550</v>
          </cell>
          <cell r="AO243">
            <v>0</v>
          </cell>
          <cell r="AP243">
            <v>6039833</v>
          </cell>
        </row>
        <row r="244">
          <cell r="D244" t="str">
            <v xml:space="preserve"> YOLO              </v>
          </cell>
          <cell r="AO244">
            <v>386592</v>
          </cell>
          <cell r="AP244">
            <v>12242473</v>
          </cell>
        </row>
        <row r="246">
          <cell r="E246">
            <v>290</v>
          </cell>
          <cell r="F246" t="str">
            <v xml:space="preserve"> 2015-2016</v>
          </cell>
          <cell r="G246" t="str">
            <v xml:space="preserve"> 11/15/2015</v>
          </cell>
          <cell r="H246">
            <v>3298638</v>
          </cell>
          <cell r="I246">
            <v>61043</v>
          </cell>
          <cell r="J246">
            <v>276512</v>
          </cell>
          <cell r="K246">
            <v>0</v>
          </cell>
          <cell r="L246">
            <v>0</v>
          </cell>
          <cell r="M246">
            <v>0</v>
          </cell>
          <cell r="N246">
            <v>0</v>
          </cell>
          <cell r="O246">
            <v>0</v>
          </cell>
          <cell r="P246">
            <v>0</v>
          </cell>
          <cell r="Q246">
            <v>0</v>
          </cell>
          <cell r="R246">
            <v>4801</v>
          </cell>
          <cell r="S246">
            <v>51911</v>
          </cell>
          <cell r="T246">
            <v>0</v>
          </cell>
          <cell r="U246">
            <v>340127</v>
          </cell>
          <cell r="V246" t="str">
            <v xml:space="preserve"> </v>
          </cell>
          <cell r="W246">
            <v>4033032</v>
          </cell>
          <cell r="X246">
            <v>0</v>
          </cell>
          <cell r="Y246">
            <v>0</v>
          </cell>
          <cell r="Z246">
            <v>0</v>
          </cell>
          <cell r="AA246">
            <v>0</v>
          </cell>
          <cell r="AB246">
            <v>3252072</v>
          </cell>
          <cell r="AC246">
            <v>0</v>
          </cell>
          <cell r="AD246">
            <v>172400</v>
          </cell>
          <cell r="AE246">
            <v>0</v>
          </cell>
          <cell r="AF246">
            <v>0</v>
          </cell>
          <cell r="AG246">
            <v>0</v>
          </cell>
          <cell r="AH246">
            <v>0</v>
          </cell>
          <cell r="AI246">
            <v>0</v>
          </cell>
          <cell r="AJ246">
            <v>0</v>
          </cell>
          <cell r="AK246">
            <v>0</v>
          </cell>
          <cell r="AL246">
            <v>4802</v>
          </cell>
          <cell r="AM246">
            <v>50700</v>
          </cell>
          <cell r="AN246">
            <v>0</v>
          </cell>
          <cell r="AO246">
            <v>3949641</v>
          </cell>
          <cell r="AP246">
            <v>7429615</v>
          </cell>
        </row>
        <row r="247">
          <cell r="D247" t="str">
            <v xml:space="preserve"> YUBA              </v>
          </cell>
          <cell r="AO247">
            <v>3949641</v>
          </cell>
          <cell r="AP247">
            <v>7429615</v>
          </cell>
        </row>
      </sheetData>
      <sheetData sheetId="5"/>
      <sheetData sheetId="6"/>
      <sheetData sheetId="7">
        <row r="2">
          <cell r="C2" t="str">
            <v xml:space="preserve"> ALLAN HANCOCK     </v>
          </cell>
          <cell r="D2" t="str">
            <v>Allan Hancock</v>
          </cell>
          <cell r="E2">
            <v>15440006</v>
          </cell>
          <cell r="F2">
            <v>9194.77</v>
          </cell>
          <cell r="G2">
            <v>1679.2161000000001</v>
          </cell>
        </row>
        <row r="3">
          <cell r="C3" t="str">
            <v xml:space="preserve"> ANTELOPE VALLEY   </v>
          </cell>
          <cell r="D3" t="str">
            <v>Antelope Valley</v>
          </cell>
          <cell r="E3">
            <v>6251284</v>
          </cell>
          <cell r="F3">
            <v>11656.66</v>
          </cell>
          <cell r="G3">
            <v>536.28430000000003</v>
          </cell>
        </row>
        <row r="4">
          <cell r="C4" t="str">
            <v xml:space="preserve"> BARSTOW           </v>
          </cell>
          <cell r="D4" t="str">
            <v>Barstow</v>
          </cell>
          <cell r="E4">
            <v>3171947</v>
          </cell>
          <cell r="F4">
            <v>2487.4</v>
          </cell>
          <cell r="G4">
            <v>1275.2058</v>
          </cell>
        </row>
        <row r="5">
          <cell r="C5" t="str">
            <v xml:space="preserve"> BUTTE             </v>
          </cell>
          <cell r="D5" t="str">
            <v>Butte-Glenn</v>
          </cell>
          <cell r="E5">
            <v>14657387</v>
          </cell>
          <cell r="F5">
            <v>10927.490000000002</v>
          </cell>
          <cell r="G5">
            <v>1341.3315</v>
          </cell>
        </row>
        <row r="6">
          <cell r="C6" t="str">
            <v xml:space="preserve"> CABRILLO          </v>
          </cell>
          <cell r="D6" t="str">
            <v>Cabrillo</v>
          </cell>
          <cell r="E6">
            <v>23652564</v>
          </cell>
          <cell r="F6">
            <v>10022.5</v>
          </cell>
          <cell r="G6">
            <v>2359.9465</v>
          </cell>
        </row>
        <row r="7">
          <cell r="C7" t="str">
            <v xml:space="preserve"> CERRITOS          </v>
          </cell>
          <cell r="D7" t="str">
            <v>Cerritos</v>
          </cell>
          <cell r="E7">
            <v>8895324</v>
          </cell>
          <cell r="F7">
            <v>18131.350000000002</v>
          </cell>
          <cell r="G7">
            <v>490.6046</v>
          </cell>
        </row>
        <row r="8">
          <cell r="C8" t="str">
            <v xml:space="preserve"> CHABOT-LAS POSITAS</v>
          </cell>
          <cell r="D8" t="str">
            <v>Chabot-Las Positas</v>
          </cell>
          <cell r="E8">
            <v>34753934</v>
          </cell>
          <cell r="F8">
            <v>17190.88</v>
          </cell>
          <cell r="G8">
            <v>2021.6495</v>
          </cell>
        </row>
        <row r="9">
          <cell r="C9" t="str">
            <v xml:space="preserve"> CHAFFEY           </v>
          </cell>
          <cell r="D9" t="str">
            <v>Chaffey</v>
          </cell>
          <cell r="E9">
            <v>20700248</v>
          </cell>
          <cell r="F9">
            <v>15844.25</v>
          </cell>
          <cell r="G9">
            <v>1306.4833000000001</v>
          </cell>
        </row>
        <row r="10">
          <cell r="C10" t="str">
            <v xml:space="preserve"> CITRUS            </v>
          </cell>
          <cell r="D10" t="str">
            <v>Citrus</v>
          </cell>
          <cell r="E10">
            <v>5025614</v>
          </cell>
          <cell r="F10">
            <v>11851.23</v>
          </cell>
          <cell r="G10">
            <v>424.05840000000001</v>
          </cell>
        </row>
        <row r="11">
          <cell r="C11" t="str">
            <v xml:space="preserve"> COAST             </v>
          </cell>
          <cell r="D11" t="str">
            <v>Coast</v>
          </cell>
          <cell r="E11">
            <v>118657075</v>
          </cell>
          <cell r="F11">
            <v>32932.199999999997</v>
          </cell>
          <cell r="G11">
            <v>3603.0716000000002</v>
          </cell>
        </row>
        <row r="12">
          <cell r="C12" t="str">
            <v xml:space="preserve"> COMPTON           </v>
          </cell>
          <cell r="D12" t="str">
            <v>Compton</v>
          </cell>
          <cell r="E12">
            <v>4464491</v>
          </cell>
          <cell r="F12">
            <v>6060</v>
          </cell>
          <cell r="G12">
            <v>736.71469999999999</v>
          </cell>
        </row>
        <row r="13">
          <cell r="C13" t="str">
            <v xml:space="preserve"> CONTRA COSTA      </v>
          </cell>
          <cell r="D13" t="str">
            <v>Contra Costa</v>
          </cell>
          <cell r="E13">
            <v>89818742</v>
          </cell>
          <cell r="F13">
            <v>28367.679999999997</v>
          </cell>
          <cell r="G13">
            <v>3166.2350000000001</v>
          </cell>
        </row>
        <row r="14">
          <cell r="C14" t="str">
            <v xml:space="preserve"> COPPER MOUNTAIN</v>
          </cell>
          <cell r="D14" t="str">
            <v>Copper Mountain</v>
          </cell>
          <cell r="E14">
            <v>1300030</v>
          </cell>
          <cell r="F14">
            <v>1481.5</v>
          </cell>
          <cell r="G14">
            <v>877.50930000000005</v>
          </cell>
        </row>
        <row r="15">
          <cell r="C15" t="str">
            <v xml:space="preserve"> DESERT            </v>
          </cell>
          <cell r="D15" t="str">
            <v>Desert</v>
          </cell>
          <cell r="E15">
            <v>23677064</v>
          </cell>
          <cell r="F15">
            <v>8178.29</v>
          </cell>
          <cell r="G15">
            <v>2895.1118000000001</v>
          </cell>
        </row>
        <row r="16">
          <cell r="C16" t="str">
            <v xml:space="preserve"> EL CAMINO         </v>
          </cell>
          <cell r="D16" t="str">
            <v>El Camino</v>
          </cell>
          <cell r="E16">
            <v>28932982</v>
          </cell>
          <cell r="F16">
            <v>19539</v>
          </cell>
          <cell r="G16">
            <v>1480.7810999999999</v>
          </cell>
        </row>
        <row r="17">
          <cell r="C17" t="str">
            <v xml:space="preserve"> FEATHER RIVER     </v>
          </cell>
          <cell r="D17" t="str">
            <v>Feather River</v>
          </cell>
          <cell r="E17">
            <v>5496277</v>
          </cell>
          <cell r="F17">
            <v>1618.57</v>
          </cell>
          <cell r="G17">
            <v>3395.7611000000002</v>
          </cell>
        </row>
        <row r="18">
          <cell r="C18" t="str">
            <v xml:space="preserve"> FOOTHILL-DEANZA   </v>
          </cell>
          <cell r="D18" t="str">
            <v>Foothill-DeAnza</v>
          </cell>
          <cell r="E18">
            <v>93120856</v>
          </cell>
          <cell r="F18">
            <v>27106.45</v>
          </cell>
          <cell r="G18">
            <v>3435.3762999999999</v>
          </cell>
        </row>
        <row r="19">
          <cell r="C19" t="str">
            <v xml:space="preserve"> GAVILAN           </v>
          </cell>
          <cell r="D19" t="str">
            <v>Gavilan</v>
          </cell>
          <cell r="E19">
            <v>17031472</v>
          </cell>
          <cell r="F19">
            <v>5440.09</v>
          </cell>
          <cell r="G19">
            <v>3130.7334999999998</v>
          </cell>
        </row>
        <row r="20">
          <cell r="C20" t="str">
            <v xml:space="preserve"> GLENDALE          </v>
          </cell>
          <cell r="D20" t="str">
            <v>Glendale</v>
          </cell>
          <cell r="E20">
            <v>10412804</v>
          </cell>
          <cell r="F20">
            <v>14397.69</v>
          </cell>
          <cell r="G20">
            <v>723.22739999999999</v>
          </cell>
        </row>
        <row r="21">
          <cell r="C21" t="str">
            <v xml:space="preserve"> GROSSMONT-CUYAMACA</v>
          </cell>
          <cell r="D21" t="str">
            <v>Grossmont-Cuyamaca</v>
          </cell>
          <cell r="E21">
            <v>34545815</v>
          </cell>
          <cell r="F21">
            <v>18743</v>
          </cell>
          <cell r="G21">
            <v>1843.1315999999999</v>
          </cell>
        </row>
        <row r="22">
          <cell r="C22" t="str">
            <v xml:space="preserve"> HARTNELL          </v>
          </cell>
          <cell r="D22" t="str">
            <v>Hartnell</v>
          </cell>
          <cell r="E22">
            <v>20830867</v>
          </cell>
          <cell r="F22">
            <v>7450.8200000000006</v>
          </cell>
          <cell r="G22">
            <v>2795.7818000000002</v>
          </cell>
        </row>
        <row r="23">
          <cell r="C23" t="str">
            <v xml:space="preserve"> IMPERIAL          </v>
          </cell>
          <cell r="D23" t="str">
            <v>Imperial</v>
          </cell>
          <cell r="E23">
            <v>6309667</v>
          </cell>
          <cell r="F23">
            <v>6942</v>
          </cell>
          <cell r="G23">
            <v>908.91200000000003</v>
          </cell>
        </row>
        <row r="24">
          <cell r="C24" t="str">
            <v xml:space="preserve"> KERN              </v>
          </cell>
          <cell r="D24" t="str">
            <v>Kern</v>
          </cell>
          <cell r="E24">
            <v>51051636</v>
          </cell>
          <cell r="F24">
            <v>20467.329999999998</v>
          </cell>
          <cell r="G24">
            <v>2494.2988</v>
          </cell>
        </row>
        <row r="25">
          <cell r="C25" t="str">
            <v xml:space="preserve"> LAKE TAHOE        </v>
          </cell>
          <cell r="D25" t="str">
            <v>Lake Tahoe</v>
          </cell>
          <cell r="E25">
            <v>3905097</v>
          </cell>
          <cell r="F25">
            <v>1861.5000000000002</v>
          </cell>
          <cell r="G25">
            <v>2097.8227000000002</v>
          </cell>
        </row>
        <row r="26">
          <cell r="C26" t="str">
            <v xml:space="preserve"> LASSEN            </v>
          </cell>
          <cell r="D26" t="str">
            <v>Lassen</v>
          </cell>
          <cell r="E26">
            <v>1694647</v>
          </cell>
          <cell r="F26">
            <v>1550.41</v>
          </cell>
          <cell r="G26">
            <v>1093.0315000000001</v>
          </cell>
        </row>
        <row r="27">
          <cell r="C27" t="str">
            <v xml:space="preserve"> LONG BEACH        </v>
          </cell>
          <cell r="D27" t="str">
            <v>Long Beach</v>
          </cell>
          <cell r="E27">
            <v>12450085</v>
          </cell>
          <cell r="F27">
            <v>20775.579999999998</v>
          </cell>
          <cell r="G27">
            <v>599.26530000000002</v>
          </cell>
        </row>
        <row r="28">
          <cell r="C28" t="str">
            <v xml:space="preserve"> LOS ANGELES       </v>
          </cell>
          <cell r="D28" t="str">
            <v>Los Angeles</v>
          </cell>
          <cell r="E28">
            <v>185437640</v>
          </cell>
          <cell r="F28">
            <v>109180.49</v>
          </cell>
          <cell r="G28">
            <v>1698.4503</v>
          </cell>
        </row>
        <row r="29">
          <cell r="C29" t="str">
            <v xml:space="preserve"> LOS RIOS          </v>
          </cell>
          <cell r="D29" t="str">
            <v>Los Rios</v>
          </cell>
          <cell r="E29">
            <v>64553559</v>
          </cell>
          <cell r="F29">
            <v>52199.23</v>
          </cell>
          <cell r="G29">
            <v>1236.6765</v>
          </cell>
        </row>
        <row r="30">
          <cell r="C30" t="str">
            <v xml:space="preserve"> MARIN             </v>
          </cell>
          <cell r="D30" t="str">
            <v>Marin</v>
          </cell>
          <cell r="E30">
            <v>48239824</v>
          </cell>
          <cell r="F30">
            <v>3653.38</v>
          </cell>
          <cell r="G30">
            <v>13204.162700000001</v>
          </cell>
        </row>
        <row r="31">
          <cell r="C31" t="str">
            <v xml:space="preserve"> MENDOCINO-LAKE    </v>
          </cell>
          <cell r="D31" t="str">
            <v>Mendocino-Lake</v>
          </cell>
          <cell r="E31">
            <v>6428714</v>
          </cell>
          <cell r="F31">
            <v>2646.5299999999997</v>
          </cell>
          <cell r="G31">
            <v>2429.1106</v>
          </cell>
        </row>
        <row r="32">
          <cell r="C32" t="str">
            <v xml:space="preserve"> MERCED            </v>
          </cell>
          <cell r="D32" t="str">
            <v>Merced</v>
          </cell>
          <cell r="E32">
            <v>9932742</v>
          </cell>
          <cell r="F32">
            <v>9754.3700000000008</v>
          </cell>
          <cell r="G32">
            <v>1018.2864</v>
          </cell>
        </row>
        <row r="33">
          <cell r="C33" t="str">
            <v xml:space="preserve"> MIRA COSTA        </v>
          </cell>
          <cell r="D33" t="str">
            <v>Mira Costa</v>
          </cell>
          <cell r="E33">
            <v>86959185</v>
          </cell>
          <cell r="F33">
            <v>10983.83</v>
          </cell>
          <cell r="G33">
            <v>7917.0185000000001</v>
          </cell>
        </row>
        <row r="34">
          <cell r="C34" t="str">
            <v xml:space="preserve"> MONTEREY PENINSULA</v>
          </cell>
          <cell r="D34" t="str">
            <v>Monterey Peninsula</v>
          </cell>
          <cell r="E34">
            <v>17388066</v>
          </cell>
          <cell r="F34">
            <v>6478.78</v>
          </cell>
          <cell r="G34">
            <v>2683.8488000000002</v>
          </cell>
        </row>
        <row r="35">
          <cell r="C35" t="str">
            <v xml:space="preserve"> MT SAN ANTONIO    </v>
          </cell>
          <cell r="D35" t="str">
            <v>Mt. San Antonio</v>
          </cell>
          <cell r="E35">
            <v>20815864</v>
          </cell>
          <cell r="F35">
            <v>30992.84</v>
          </cell>
          <cell r="G35">
            <v>671.63459999999998</v>
          </cell>
        </row>
        <row r="36">
          <cell r="C36" t="str">
            <v xml:space="preserve"> MT SAN JACINTO    </v>
          </cell>
          <cell r="D36" t="str">
            <v>Mt. San Jacinto</v>
          </cell>
          <cell r="E36">
            <v>23045512</v>
          </cell>
          <cell r="F36">
            <v>11848.1</v>
          </cell>
          <cell r="G36">
            <v>1945.0808</v>
          </cell>
        </row>
        <row r="37">
          <cell r="C37" t="str">
            <v xml:space="preserve"> NAPA VALLEY       </v>
          </cell>
          <cell r="D37" t="str">
            <v>Napa Valley</v>
          </cell>
          <cell r="E37">
            <v>23729103</v>
          </cell>
          <cell r="F37">
            <v>5651.96</v>
          </cell>
          <cell r="G37">
            <v>4198.3847999999998</v>
          </cell>
        </row>
        <row r="38">
          <cell r="C38" t="str">
            <v xml:space="preserve"> NORTH ORANGE      </v>
          </cell>
          <cell r="D38" t="str">
            <v>North Orange County</v>
          </cell>
          <cell r="E38">
            <v>75294106</v>
          </cell>
          <cell r="F38">
            <v>36398.769999999997</v>
          </cell>
          <cell r="G38">
            <v>2068.5893000000001</v>
          </cell>
        </row>
        <row r="39">
          <cell r="C39" t="str">
            <v xml:space="preserve"> OHLONE</v>
          </cell>
          <cell r="D39" t="str">
            <v>Ohlone</v>
          </cell>
          <cell r="E39">
            <v>20225643</v>
          </cell>
          <cell r="F39">
            <v>8105.56</v>
          </cell>
          <cell r="G39">
            <v>2495.2802000000001</v>
          </cell>
        </row>
        <row r="40">
          <cell r="C40" t="str">
            <v xml:space="preserve"> PALO VERDE        </v>
          </cell>
          <cell r="D40" t="str">
            <v>Palo Verde</v>
          </cell>
          <cell r="E40">
            <v>1293547</v>
          </cell>
          <cell r="F40">
            <v>1900.4099999999999</v>
          </cell>
          <cell r="G40">
            <v>680.66729999999995</v>
          </cell>
        </row>
        <row r="41">
          <cell r="C41" t="str">
            <v xml:space="preserve"> PALOMAR           </v>
          </cell>
          <cell r="D41" t="str">
            <v>Palomar</v>
          </cell>
          <cell r="E41">
            <v>61760174</v>
          </cell>
          <cell r="F41">
            <v>16622.32</v>
          </cell>
          <cell r="G41">
            <v>3715.4965999999999</v>
          </cell>
        </row>
        <row r="42">
          <cell r="C42" t="str">
            <v xml:space="preserve"> PASADENA          </v>
          </cell>
          <cell r="D42" t="str">
            <v>Pasadena Area</v>
          </cell>
          <cell r="E42">
            <v>24624337</v>
          </cell>
          <cell r="F42">
            <v>23362.17</v>
          </cell>
          <cell r="G42">
            <v>1054.0261</v>
          </cell>
        </row>
        <row r="43">
          <cell r="C43" t="str">
            <v xml:space="preserve"> PERALTA</v>
          </cell>
          <cell r="D43" t="str">
            <v>Peralta</v>
          </cell>
          <cell r="E43">
            <v>44363935</v>
          </cell>
          <cell r="F43">
            <v>20609.060000000001</v>
          </cell>
          <cell r="G43">
            <v>2152.6423</v>
          </cell>
        </row>
        <row r="44">
          <cell r="C44" t="str">
            <v xml:space="preserve"> RANCHO SANTIAGO   </v>
          </cell>
          <cell r="D44" t="str">
            <v>Rancho Santiago</v>
          </cell>
          <cell r="E44">
            <v>56137562</v>
          </cell>
          <cell r="F44">
            <v>29290.93</v>
          </cell>
          <cell r="G44">
            <v>1916.5509999999999</v>
          </cell>
        </row>
        <row r="45">
          <cell r="C45" t="str">
            <v xml:space="preserve"> REDWOODS          </v>
          </cell>
          <cell r="D45" t="str">
            <v>Redwoods</v>
          </cell>
          <cell r="E45">
            <v>10066953</v>
          </cell>
          <cell r="F45">
            <v>3420.92</v>
          </cell>
          <cell r="G45">
            <v>2942.7619</v>
          </cell>
        </row>
        <row r="46">
          <cell r="C46" t="str">
            <v xml:space="preserve"> RIO HONDO         </v>
          </cell>
          <cell r="D46" t="str">
            <v>Rio Hondo</v>
          </cell>
          <cell r="E46">
            <v>5977118</v>
          </cell>
          <cell r="F46">
            <v>12744.15</v>
          </cell>
          <cell r="G46">
            <v>469.00880000000001</v>
          </cell>
        </row>
        <row r="47">
          <cell r="C47" t="str">
            <v xml:space="preserve"> RIVERSIDE         </v>
          </cell>
          <cell r="D47" t="str">
            <v>Riverside</v>
          </cell>
          <cell r="E47">
            <v>32066797</v>
          </cell>
          <cell r="F47">
            <v>28510.850000000002</v>
          </cell>
          <cell r="G47">
            <v>1124.7226000000001</v>
          </cell>
        </row>
        <row r="48">
          <cell r="C48" t="str">
            <v xml:space="preserve"> SAN BERNARDINO    </v>
          </cell>
          <cell r="D48" t="str">
            <v>San Bernardino</v>
          </cell>
          <cell r="E48">
            <v>16546692</v>
          </cell>
          <cell r="F48">
            <v>15457.11</v>
          </cell>
          <cell r="G48">
            <v>1070.4907000000001</v>
          </cell>
        </row>
        <row r="49">
          <cell r="C49" t="str">
            <v xml:space="preserve"> SAN DIEGO         </v>
          </cell>
          <cell r="D49" t="str">
            <v>San Diego</v>
          </cell>
          <cell r="E49">
            <v>87287132</v>
          </cell>
          <cell r="F49">
            <v>43500.56</v>
          </cell>
          <cell r="G49">
            <v>2006.5749000000001</v>
          </cell>
        </row>
        <row r="50">
          <cell r="C50" t="str">
            <v xml:space="preserve"> SAN FRANCISCO     </v>
          </cell>
          <cell r="D50" t="str">
            <v>San Francisco</v>
          </cell>
          <cell r="E50">
            <v>62807187</v>
          </cell>
          <cell r="F50">
            <v>21291.48</v>
          </cell>
          <cell r="G50">
            <v>2949.8742000000002</v>
          </cell>
        </row>
        <row r="51">
          <cell r="C51" t="str">
            <v xml:space="preserve"> SAN JOAQUIN DELTA </v>
          </cell>
          <cell r="D51" t="str">
            <v>San Joaquin Delta</v>
          </cell>
          <cell r="E51">
            <v>29435717</v>
          </cell>
          <cell r="F51">
            <v>16336.12</v>
          </cell>
          <cell r="G51">
            <v>1801.8793000000001</v>
          </cell>
        </row>
        <row r="52">
          <cell r="C52" t="str">
            <v xml:space="preserve"> SAN JOSE          </v>
          </cell>
          <cell r="D52" t="str">
            <v>San Jose-Evergreen</v>
          </cell>
          <cell r="E52">
            <v>82034102</v>
          </cell>
          <cell r="F52">
            <v>12031.57</v>
          </cell>
          <cell r="G52">
            <v>6818.2375000000002</v>
          </cell>
        </row>
        <row r="53">
          <cell r="C53" t="str">
            <v xml:space="preserve"> SAN LUIS OBISPO   </v>
          </cell>
          <cell r="D53" t="str">
            <v>San Luis Obispo County</v>
          </cell>
          <cell r="E53">
            <v>36432318</v>
          </cell>
          <cell r="F53">
            <v>8270</v>
          </cell>
          <cell r="G53">
            <v>4405.3589000000002</v>
          </cell>
        </row>
        <row r="54">
          <cell r="C54" t="str">
            <v xml:space="preserve"> SAN MATEO         </v>
          </cell>
          <cell r="D54" t="str">
            <v>San Mateo County</v>
          </cell>
          <cell r="E54">
            <v>122456535</v>
          </cell>
          <cell r="F54">
            <v>17019.509999999998</v>
          </cell>
          <cell r="G54">
            <v>7195.0681999999997</v>
          </cell>
        </row>
        <row r="55">
          <cell r="C55" t="str">
            <v xml:space="preserve"> SANTA BARBARA     </v>
          </cell>
          <cell r="D55" t="str">
            <v>Santa Barbara</v>
          </cell>
          <cell r="E55">
            <v>26909323</v>
          </cell>
          <cell r="F55">
            <v>13294.9</v>
          </cell>
          <cell r="G55">
            <v>2024.0335</v>
          </cell>
        </row>
        <row r="56">
          <cell r="C56" t="str">
            <v xml:space="preserve"> SANTA CLARITA     </v>
          </cell>
          <cell r="D56" t="str">
            <v>Santa Clarita</v>
          </cell>
          <cell r="E56">
            <v>15177958</v>
          </cell>
          <cell r="F56">
            <v>15771.34</v>
          </cell>
          <cell r="G56">
            <v>962.3759</v>
          </cell>
        </row>
        <row r="57">
          <cell r="C57" t="str">
            <v xml:space="preserve"> SANTA MONICA      </v>
          </cell>
          <cell r="D57" t="str">
            <v>Santa Monica</v>
          </cell>
          <cell r="E57">
            <v>15587376</v>
          </cell>
          <cell r="F57">
            <v>21772.160000000003</v>
          </cell>
          <cell r="G57">
            <v>715.93150000000003</v>
          </cell>
        </row>
        <row r="58">
          <cell r="C58" t="str">
            <v xml:space="preserve"> SEQUOIAS          </v>
          </cell>
          <cell r="D58" t="str">
            <v>Sequoias</v>
          </cell>
          <cell r="E58">
            <v>11416116</v>
          </cell>
          <cell r="F58">
            <v>9247.4399999999987</v>
          </cell>
          <cell r="G58">
            <v>1234.5164</v>
          </cell>
        </row>
        <row r="59">
          <cell r="C59" t="str">
            <v xml:space="preserve"> SHASTA            </v>
          </cell>
          <cell r="D59" t="str">
            <v>Shasta-Tehama-Trinity</v>
          </cell>
          <cell r="E59">
            <v>13721465</v>
          </cell>
          <cell r="F59">
            <v>6774.8</v>
          </cell>
          <cell r="G59">
            <v>2025.3683000000001</v>
          </cell>
        </row>
        <row r="60">
          <cell r="C60" t="str">
            <v xml:space="preserve"> SIERRA            </v>
          </cell>
          <cell r="D60" t="str">
            <v>Sierra</v>
          </cell>
          <cell r="E60">
            <v>69943052</v>
          </cell>
          <cell r="F60">
            <v>14711.81</v>
          </cell>
          <cell r="G60">
            <v>4754.2111999999997</v>
          </cell>
        </row>
        <row r="61">
          <cell r="C61" t="str">
            <v xml:space="preserve"> SISKIYOU          </v>
          </cell>
          <cell r="D61" t="str">
            <v>Siskiyou</v>
          </cell>
          <cell r="E61">
            <v>3627618</v>
          </cell>
          <cell r="F61">
            <v>2591.7000000000003</v>
          </cell>
          <cell r="G61">
            <v>1399.7059999999999</v>
          </cell>
        </row>
        <row r="62">
          <cell r="C62" t="str">
            <v xml:space="preserve"> SOLANO            </v>
          </cell>
          <cell r="D62" t="str">
            <v>Solano County</v>
          </cell>
          <cell r="E62">
            <v>14812914</v>
          </cell>
          <cell r="F62">
            <v>8576.3499999999985</v>
          </cell>
          <cell r="G62">
            <v>1727.1815999999999</v>
          </cell>
        </row>
        <row r="63">
          <cell r="C63" t="str">
            <v xml:space="preserve"> SONOMA</v>
          </cell>
          <cell r="D63" t="str">
            <v>Sonoma County</v>
          </cell>
          <cell r="E63">
            <v>49802693</v>
          </cell>
          <cell r="F63">
            <v>18679.68</v>
          </cell>
          <cell r="G63">
            <v>2666.1426999999999</v>
          </cell>
        </row>
        <row r="64">
          <cell r="C64" t="str">
            <v xml:space="preserve"> SOUTH ORANGE CO.</v>
          </cell>
          <cell r="D64" t="str">
            <v>South Orange County</v>
          </cell>
          <cell r="E64">
            <v>201300566</v>
          </cell>
          <cell r="F64">
            <v>24415.95</v>
          </cell>
          <cell r="G64">
            <v>8244.6337999999996</v>
          </cell>
        </row>
        <row r="65">
          <cell r="C65" t="str">
            <v xml:space="preserve"> SOUTHWESTERN      </v>
          </cell>
          <cell r="D65" t="str">
            <v>Southwestern</v>
          </cell>
          <cell r="E65">
            <v>22346723</v>
          </cell>
          <cell r="F65">
            <v>15427.999999999998</v>
          </cell>
          <cell r="G65">
            <v>1448.4523999999999</v>
          </cell>
        </row>
        <row r="66">
          <cell r="C66" t="str">
            <v xml:space="preserve"> STATE CENTER      </v>
          </cell>
          <cell r="D66" t="str">
            <v>State Center</v>
          </cell>
          <cell r="E66">
            <v>39221055</v>
          </cell>
          <cell r="F66">
            <v>29225.13</v>
          </cell>
          <cell r="G66">
            <v>1342.0318</v>
          </cell>
        </row>
        <row r="67">
          <cell r="C67" t="str">
            <v xml:space="preserve"> VENTURA           </v>
          </cell>
          <cell r="D67" t="str">
            <v>Ventura County</v>
          </cell>
          <cell r="E67">
            <v>49815726</v>
          </cell>
          <cell r="F67">
            <v>26466.639999999999</v>
          </cell>
          <cell r="G67">
            <v>1882.2082</v>
          </cell>
        </row>
        <row r="68">
          <cell r="C68" t="str">
            <v xml:space="preserve"> VICTOR VALLEY     </v>
          </cell>
          <cell r="D68" t="str">
            <v>Victor Valley</v>
          </cell>
          <cell r="E68">
            <v>9129268</v>
          </cell>
          <cell r="F68">
            <v>9245.64</v>
          </cell>
          <cell r="G68">
            <v>987.41330000000005</v>
          </cell>
        </row>
        <row r="69">
          <cell r="C69" t="str">
            <v xml:space="preserve"> WEST HILLS        </v>
          </cell>
          <cell r="D69" t="str">
            <v>West Hills</v>
          </cell>
          <cell r="E69">
            <v>5696306</v>
          </cell>
          <cell r="F69">
            <v>5281.0599999999995</v>
          </cell>
          <cell r="G69">
            <v>1078.6293000000001</v>
          </cell>
        </row>
        <row r="70">
          <cell r="C70" t="str">
            <v xml:space="preserve"> WEST KERN         </v>
          </cell>
          <cell r="D70" t="str">
            <v>West Kern</v>
          </cell>
          <cell r="E70">
            <v>8402514</v>
          </cell>
          <cell r="F70">
            <v>2557.2999999999997</v>
          </cell>
          <cell r="G70">
            <v>3285.6974</v>
          </cell>
        </row>
        <row r="71">
          <cell r="C71" t="str">
            <v xml:space="preserve"> WEST VALLEY       </v>
          </cell>
          <cell r="D71" t="str">
            <v>West Valley-Mission</v>
          </cell>
          <cell r="E71">
            <v>92176480</v>
          </cell>
          <cell r="F71">
            <v>14897.029999999999</v>
          </cell>
          <cell r="G71">
            <v>6187.5743000000002</v>
          </cell>
        </row>
        <row r="72">
          <cell r="C72" t="str">
            <v xml:space="preserve"> YOSEMITE          </v>
          </cell>
          <cell r="D72" t="str">
            <v>Yosemite</v>
          </cell>
          <cell r="E72">
            <v>36665857</v>
          </cell>
          <cell r="F72">
            <v>16987.920000000002</v>
          </cell>
          <cell r="G72">
            <v>2158.3488000000002</v>
          </cell>
        </row>
        <row r="73">
          <cell r="C73" t="str">
            <v xml:space="preserve"> YUBA              </v>
          </cell>
          <cell r="D73" t="str">
            <v>Yuba</v>
          </cell>
          <cell r="E73">
            <v>26560972</v>
          </cell>
          <cell r="F73">
            <v>7626</v>
          </cell>
          <cell r="G73">
            <v>3482.9494</v>
          </cell>
        </row>
      </sheetData>
      <sheetData sheetId="8">
        <row r="8">
          <cell r="A8" t="str">
            <v>Allan Hancock</v>
          </cell>
          <cell r="B8">
            <v>8263</v>
          </cell>
          <cell r="C8">
            <v>585.9</v>
          </cell>
          <cell r="D8">
            <v>345.87</v>
          </cell>
          <cell r="E8">
            <v>9194.77</v>
          </cell>
        </row>
        <row r="9">
          <cell r="A9" t="str">
            <v>Antelope Valley</v>
          </cell>
          <cell r="B9">
            <v>11632.97</v>
          </cell>
          <cell r="C9">
            <v>23.69</v>
          </cell>
          <cell r="D9">
            <v>0</v>
          </cell>
          <cell r="E9">
            <v>11656.66</v>
          </cell>
        </row>
        <row r="10">
          <cell r="A10" t="str">
            <v>Barstow</v>
          </cell>
          <cell r="B10">
            <v>2462.83</v>
          </cell>
          <cell r="C10">
            <v>24.57</v>
          </cell>
          <cell r="D10">
            <v>0</v>
          </cell>
          <cell r="E10">
            <v>2487.4</v>
          </cell>
        </row>
        <row r="11">
          <cell r="A11" t="str">
            <v>Butte-Glenn</v>
          </cell>
          <cell r="B11">
            <v>9741.5400000000009</v>
          </cell>
          <cell r="C11">
            <v>1154.28</v>
          </cell>
          <cell r="D11">
            <v>31.67</v>
          </cell>
          <cell r="E11">
            <v>10927.490000000002</v>
          </cell>
        </row>
        <row r="12">
          <cell r="A12" t="str">
            <v>Cabrillo</v>
          </cell>
          <cell r="B12">
            <v>9836.5400000000009</v>
          </cell>
          <cell r="C12">
            <v>185.96</v>
          </cell>
          <cell r="D12">
            <v>0</v>
          </cell>
          <cell r="E12">
            <v>10022.5</v>
          </cell>
        </row>
        <row r="13">
          <cell r="A13" t="str">
            <v>Cerritos</v>
          </cell>
          <cell r="B13">
            <v>17704.490000000002</v>
          </cell>
          <cell r="C13">
            <v>254.41000000000003</v>
          </cell>
          <cell r="D13">
            <v>172.45</v>
          </cell>
          <cell r="E13">
            <v>18131.350000000002</v>
          </cell>
        </row>
        <row r="14">
          <cell r="A14" t="str">
            <v>Chabot-Las Positas</v>
          </cell>
          <cell r="B14">
            <v>17071.39</v>
          </cell>
          <cell r="C14">
            <v>119.49</v>
          </cell>
          <cell r="D14">
            <v>0</v>
          </cell>
          <cell r="E14">
            <v>17190.88</v>
          </cell>
        </row>
        <row r="15">
          <cell r="A15" t="str">
            <v>Chaffey</v>
          </cell>
          <cell r="B15">
            <v>15487.19</v>
          </cell>
          <cell r="C15">
            <v>357.06</v>
          </cell>
          <cell r="D15">
            <v>0</v>
          </cell>
          <cell r="E15">
            <v>15844.25</v>
          </cell>
        </row>
        <row r="16">
          <cell r="A16" t="str">
            <v>Citrus</v>
          </cell>
          <cell r="B16">
            <v>11423.87</v>
          </cell>
          <cell r="C16">
            <v>354.13</v>
          </cell>
          <cell r="D16">
            <v>73.23</v>
          </cell>
          <cell r="E16">
            <v>11851.23</v>
          </cell>
        </row>
        <row r="17">
          <cell r="A17" t="str">
            <v>Coast</v>
          </cell>
          <cell r="B17">
            <v>32668.34</v>
          </cell>
          <cell r="C17">
            <v>263.86</v>
          </cell>
          <cell r="D17">
            <v>0</v>
          </cell>
          <cell r="E17">
            <v>32932.199999999997</v>
          </cell>
        </row>
        <row r="18">
          <cell r="A18" t="str">
            <v>Compton</v>
          </cell>
          <cell r="B18">
            <v>5990.1</v>
          </cell>
          <cell r="C18">
            <v>69.900000000000006</v>
          </cell>
          <cell r="D18">
            <v>0</v>
          </cell>
          <cell r="E18">
            <v>6060</v>
          </cell>
        </row>
        <row r="19">
          <cell r="A19" t="str">
            <v>Contra Costa</v>
          </cell>
          <cell r="B19">
            <v>28247.919999999998</v>
          </cell>
          <cell r="C19">
            <v>119.76</v>
          </cell>
          <cell r="D19">
            <v>0</v>
          </cell>
          <cell r="E19">
            <v>28367.679999999997</v>
          </cell>
        </row>
        <row r="20">
          <cell r="A20" t="str">
            <v>Copper Mountain</v>
          </cell>
          <cell r="B20">
            <v>1404.29</v>
          </cell>
          <cell r="C20">
            <v>74.919999999999987</v>
          </cell>
          <cell r="D20">
            <v>2.29</v>
          </cell>
          <cell r="E20">
            <v>1481.5</v>
          </cell>
        </row>
        <row r="21">
          <cell r="A21" t="str">
            <v>Desert</v>
          </cell>
          <cell r="B21">
            <v>7545.45</v>
          </cell>
          <cell r="C21">
            <v>328.04</v>
          </cell>
          <cell r="D21">
            <v>304.8</v>
          </cell>
          <cell r="E21">
            <v>8178.29</v>
          </cell>
        </row>
        <row r="22">
          <cell r="A22" t="str">
            <v>El Camino</v>
          </cell>
          <cell r="B22">
            <v>19519.05</v>
          </cell>
          <cell r="C22">
            <v>19.95</v>
          </cell>
          <cell r="D22">
            <v>0</v>
          </cell>
          <cell r="E22">
            <v>19539</v>
          </cell>
        </row>
        <row r="23">
          <cell r="A23" t="str">
            <v>Feather River</v>
          </cell>
          <cell r="B23">
            <v>1572.57</v>
          </cell>
          <cell r="C23">
            <v>46</v>
          </cell>
          <cell r="D23">
            <v>0</v>
          </cell>
          <cell r="E23">
            <v>1618.57</v>
          </cell>
        </row>
        <row r="24">
          <cell r="A24" t="str">
            <v>Foothill-DeAnza</v>
          </cell>
          <cell r="B24">
            <v>26757.52</v>
          </cell>
          <cell r="C24">
            <v>177.89000000000001</v>
          </cell>
          <cell r="D24">
            <v>171.04</v>
          </cell>
          <cell r="E24">
            <v>27106.45</v>
          </cell>
        </row>
        <row r="25">
          <cell r="A25" t="str">
            <v>Gavilan</v>
          </cell>
          <cell r="B25">
            <v>4936.97</v>
          </cell>
          <cell r="C25">
            <v>414.2</v>
          </cell>
          <cell r="D25">
            <v>88.92</v>
          </cell>
          <cell r="E25">
            <v>5440.09</v>
          </cell>
        </row>
        <row r="26">
          <cell r="A26" t="str">
            <v>Glendale</v>
          </cell>
          <cell r="B26">
            <v>11633.91</v>
          </cell>
          <cell r="C26">
            <v>321.47000000000025</v>
          </cell>
          <cell r="D26">
            <v>2442.31</v>
          </cell>
          <cell r="E26">
            <v>14397.69</v>
          </cell>
        </row>
        <row r="27">
          <cell r="A27" t="str">
            <v>Grossmont-Cuyamaca</v>
          </cell>
          <cell r="B27">
            <v>18720.61</v>
          </cell>
          <cell r="C27">
            <v>22.39</v>
          </cell>
          <cell r="D27">
            <v>0</v>
          </cell>
          <cell r="E27">
            <v>18743</v>
          </cell>
        </row>
        <row r="28">
          <cell r="A28" t="str">
            <v>Hartnell</v>
          </cell>
          <cell r="B28">
            <v>7433.93</v>
          </cell>
          <cell r="C28">
            <v>16.89</v>
          </cell>
          <cell r="D28">
            <v>0</v>
          </cell>
          <cell r="E28">
            <v>7450.8200000000006</v>
          </cell>
        </row>
        <row r="29">
          <cell r="A29" t="str">
            <v>Imperial</v>
          </cell>
          <cell r="B29">
            <v>6898.75</v>
          </cell>
          <cell r="C29">
            <v>35.06</v>
          </cell>
          <cell r="D29">
            <v>8.19</v>
          </cell>
          <cell r="E29">
            <v>6942</v>
          </cell>
        </row>
        <row r="30">
          <cell r="A30" t="str">
            <v>Kern</v>
          </cell>
          <cell r="B30">
            <v>20405.05</v>
          </cell>
          <cell r="C30">
            <v>62.28</v>
          </cell>
          <cell r="D30">
            <v>0</v>
          </cell>
          <cell r="E30">
            <v>20467.329999999998</v>
          </cell>
        </row>
        <row r="31">
          <cell r="A31" t="str">
            <v>Lake Tahoe</v>
          </cell>
          <cell r="B31">
            <v>1785.14</v>
          </cell>
          <cell r="C31">
            <v>47.980000000000004</v>
          </cell>
          <cell r="D31">
            <v>28.38</v>
          </cell>
          <cell r="E31">
            <v>1861.5000000000002</v>
          </cell>
        </row>
        <row r="32">
          <cell r="A32" t="str">
            <v>Lassen</v>
          </cell>
          <cell r="B32">
            <v>1527.95</v>
          </cell>
          <cell r="C32">
            <v>22.46</v>
          </cell>
          <cell r="D32">
            <v>0</v>
          </cell>
          <cell r="E32">
            <v>1550.41</v>
          </cell>
        </row>
        <row r="33">
          <cell r="A33" t="str">
            <v>Long Beach</v>
          </cell>
          <cell r="B33">
            <v>20349.669999999998</v>
          </cell>
          <cell r="C33">
            <v>14.32000000000005</v>
          </cell>
          <cell r="D33">
            <v>411.59</v>
          </cell>
          <cell r="E33">
            <v>20775.579999999998</v>
          </cell>
        </row>
        <row r="34">
          <cell r="A34" t="str">
            <v>Los Angeles</v>
          </cell>
          <cell r="B34">
            <v>103895.88</v>
          </cell>
          <cell r="C34">
            <v>1948.2399999999998</v>
          </cell>
          <cell r="D34">
            <v>3336.37</v>
          </cell>
          <cell r="E34">
            <v>109180.49</v>
          </cell>
        </row>
        <row r="35">
          <cell r="A35" t="str">
            <v>Los Rios</v>
          </cell>
          <cell r="B35">
            <v>51958.66</v>
          </cell>
          <cell r="C35">
            <v>240.57</v>
          </cell>
          <cell r="D35">
            <v>0</v>
          </cell>
          <cell r="E35">
            <v>52199.23</v>
          </cell>
        </row>
        <row r="36">
          <cell r="A36" t="str">
            <v>Marin</v>
          </cell>
          <cell r="B36">
            <v>3432.51</v>
          </cell>
          <cell r="C36">
            <v>220.87</v>
          </cell>
          <cell r="D36">
            <v>0</v>
          </cell>
          <cell r="E36">
            <v>3653.38</v>
          </cell>
        </row>
        <row r="37">
          <cell r="A37" t="str">
            <v>Mendocino-Lake</v>
          </cell>
          <cell r="B37">
            <v>2565.9299999999998</v>
          </cell>
          <cell r="C37">
            <v>37.239999999999995</v>
          </cell>
          <cell r="D37">
            <v>43.36</v>
          </cell>
          <cell r="E37">
            <v>2646.5299999999997</v>
          </cell>
        </row>
        <row r="38">
          <cell r="A38" t="str">
            <v>Merced</v>
          </cell>
          <cell r="B38">
            <v>8684.17</v>
          </cell>
          <cell r="C38">
            <v>477.94000000000005</v>
          </cell>
          <cell r="D38">
            <v>592.26</v>
          </cell>
          <cell r="E38">
            <v>9754.3700000000008</v>
          </cell>
        </row>
        <row r="39">
          <cell r="A39" t="str">
            <v>Mira Costa</v>
          </cell>
          <cell r="B39">
            <v>10342.5</v>
          </cell>
          <cell r="C39">
            <v>641.33000000000004</v>
          </cell>
          <cell r="D39">
            <v>0</v>
          </cell>
          <cell r="E39">
            <v>10983.83</v>
          </cell>
        </row>
        <row r="40">
          <cell r="A40" t="str">
            <v>Monterey Peninsula</v>
          </cell>
          <cell r="B40">
            <v>5972.98</v>
          </cell>
          <cell r="C40">
            <v>385.56</v>
          </cell>
          <cell r="D40">
            <v>120.24</v>
          </cell>
          <cell r="E40">
            <v>6478.78</v>
          </cell>
        </row>
        <row r="41">
          <cell r="A41" t="str">
            <v>Mt. San Antonio</v>
          </cell>
          <cell r="B41">
            <v>25477.89</v>
          </cell>
          <cell r="C41">
            <v>1323.4099999999999</v>
          </cell>
          <cell r="D41">
            <v>4191.54</v>
          </cell>
          <cell r="E41">
            <v>30992.84</v>
          </cell>
        </row>
        <row r="42">
          <cell r="A42" t="str">
            <v>Mt. San Jacinto</v>
          </cell>
          <cell r="B42">
            <v>11196.28</v>
          </cell>
          <cell r="C42">
            <v>421.06000000000006</v>
          </cell>
          <cell r="D42">
            <v>230.76</v>
          </cell>
          <cell r="E42">
            <v>11848.1</v>
          </cell>
        </row>
        <row r="43">
          <cell r="A43" t="str">
            <v>Napa Valley</v>
          </cell>
          <cell r="B43">
            <v>5142.1000000000004</v>
          </cell>
          <cell r="C43">
            <v>509.86</v>
          </cell>
          <cell r="D43">
            <v>0</v>
          </cell>
          <cell r="E43">
            <v>5651.96</v>
          </cell>
        </row>
        <row r="44">
          <cell r="A44" t="str">
            <v>North Orange County</v>
          </cell>
          <cell r="B44">
            <v>30574.19</v>
          </cell>
          <cell r="C44">
            <v>2845.27</v>
          </cell>
          <cell r="D44">
            <v>2979.31</v>
          </cell>
          <cell r="E44">
            <v>36398.769999999997</v>
          </cell>
        </row>
        <row r="45">
          <cell r="A45" t="str">
            <v>Ohlone</v>
          </cell>
          <cell r="B45">
            <v>8105.56</v>
          </cell>
          <cell r="C45">
            <v>0</v>
          </cell>
          <cell r="D45">
            <v>0</v>
          </cell>
          <cell r="E45">
            <v>8105.56</v>
          </cell>
        </row>
        <row r="46">
          <cell r="A46" t="str">
            <v>Palo Verde</v>
          </cell>
          <cell r="B46">
            <v>1801.06</v>
          </cell>
          <cell r="C46">
            <v>99.35</v>
          </cell>
          <cell r="D46">
            <v>0</v>
          </cell>
          <cell r="E46">
            <v>1900.4099999999999</v>
          </cell>
        </row>
        <row r="47">
          <cell r="A47" t="str">
            <v>Palomar</v>
          </cell>
          <cell r="B47">
            <v>15842.29</v>
          </cell>
          <cell r="C47">
            <v>256.52999999999997</v>
          </cell>
          <cell r="D47">
            <v>523.5</v>
          </cell>
          <cell r="E47">
            <v>16622.32</v>
          </cell>
        </row>
        <row r="48">
          <cell r="A48" t="str">
            <v>Pasadena Area</v>
          </cell>
          <cell r="B48">
            <v>22199.93</v>
          </cell>
          <cell r="C48">
            <v>318.23</v>
          </cell>
          <cell r="D48">
            <v>844.01</v>
          </cell>
          <cell r="E48">
            <v>23362.17</v>
          </cell>
        </row>
        <row r="49">
          <cell r="A49" t="str">
            <v>Peralta</v>
          </cell>
          <cell r="B49">
            <v>20539.900000000001</v>
          </cell>
          <cell r="C49">
            <v>69.16</v>
          </cell>
          <cell r="D49">
            <v>0</v>
          </cell>
          <cell r="E49">
            <v>20609.060000000001</v>
          </cell>
        </row>
        <row r="50">
          <cell r="A50" t="str">
            <v>Rancho Santiago</v>
          </cell>
          <cell r="B50">
            <v>22579.45</v>
          </cell>
          <cell r="C50">
            <v>780.32999999999993</v>
          </cell>
          <cell r="D50">
            <v>5931.15</v>
          </cell>
          <cell r="E50">
            <v>29290.93</v>
          </cell>
        </row>
        <row r="51">
          <cell r="A51" t="str">
            <v>Redwoods</v>
          </cell>
          <cell r="B51">
            <v>3374.13</v>
          </cell>
          <cell r="C51">
            <v>19.82</v>
          </cell>
          <cell r="D51">
            <v>26.97</v>
          </cell>
          <cell r="E51">
            <v>3420.92</v>
          </cell>
        </row>
        <row r="52">
          <cell r="A52" t="str">
            <v>Rio Hondo</v>
          </cell>
          <cell r="B52">
            <v>12488.92</v>
          </cell>
          <cell r="C52">
            <v>210.01999999999998</v>
          </cell>
          <cell r="D52">
            <v>45.21</v>
          </cell>
          <cell r="E52">
            <v>12744.15</v>
          </cell>
        </row>
        <row r="53">
          <cell r="A53" t="str">
            <v>Riverside</v>
          </cell>
          <cell r="B53">
            <v>28419.02</v>
          </cell>
          <cell r="C53">
            <v>91.83</v>
          </cell>
          <cell r="D53">
            <v>0</v>
          </cell>
          <cell r="E53">
            <v>28510.850000000002</v>
          </cell>
        </row>
        <row r="54">
          <cell r="A54" t="str">
            <v>San Bernardino</v>
          </cell>
          <cell r="B54">
            <v>15455.68</v>
          </cell>
          <cell r="C54">
            <v>1.43</v>
          </cell>
          <cell r="D54">
            <v>0</v>
          </cell>
          <cell r="E54">
            <v>15457.11</v>
          </cell>
        </row>
        <row r="55">
          <cell r="A55" t="str">
            <v>San Diego</v>
          </cell>
          <cell r="B55">
            <v>35088.589999999997</v>
          </cell>
          <cell r="C55">
            <v>2198.0499999999993</v>
          </cell>
          <cell r="D55">
            <v>6213.92</v>
          </cell>
          <cell r="E55">
            <v>43500.56</v>
          </cell>
        </row>
        <row r="56">
          <cell r="A56" t="str">
            <v>San Francisco</v>
          </cell>
          <cell r="B56">
            <v>14562.38</v>
          </cell>
          <cell r="C56">
            <v>1707.2800000000007</v>
          </cell>
          <cell r="D56">
            <v>5021.82</v>
          </cell>
          <cell r="E56">
            <v>21291.48</v>
          </cell>
        </row>
        <row r="57">
          <cell r="A57" t="str">
            <v>San Joaquin Delta</v>
          </cell>
          <cell r="B57">
            <v>16156.78</v>
          </cell>
          <cell r="C57">
            <v>179.34</v>
          </cell>
          <cell r="D57">
            <v>0</v>
          </cell>
          <cell r="E57">
            <v>16336.12</v>
          </cell>
        </row>
        <row r="58">
          <cell r="A58" t="str">
            <v>San Jose-Evergreen</v>
          </cell>
          <cell r="B58">
            <v>11935.31</v>
          </cell>
          <cell r="C58">
            <v>96.26</v>
          </cell>
          <cell r="D58">
            <v>0</v>
          </cell>
          <cell r="E58">
            <v>12031.57</v>
          </cell>
        </row>
        <row r="59">
          <cell r="A59" t="str">
            <v>San Luis Obispo County</v>
          </cell>
          <cell r="B59">
            <v>8006.25</v>
          </cell>
          <cell r="C59">
            <v>94.4</v>
          </cell>
          <cell r="D59">
            <v>169.35</v>
          </cell>
          <cell r="E59">
            <v>8270</v>
          </cell>
        </row>
        <row r="60">
          <cell r="A60" t="str">
            <v>San Mateo County</v>
          </cell>
          <cell r="B60">
            <v>16944.03</v>
          </cell>
          <cell r="C60">
            <v>75.48</v>
          </cell>
          <cell r="D60">
            <v>0</v>
          </cell>
          <cell r="E60">
            <v>17019.509999999998</v>
          </cell>
        </row>
        <row r="61">
          <cell r="A61" t="str">
            <v>Santa Barbara</v>
          </cell>
          <cell r="B61">
            <v>12862.81</v>
          </cell>
          <cell r="C61">
            <v>185.23999999999998</v>
          </cell>
          <cell r="D61">
            <v>246.85</v>
          </cell>
          <cell r="E61">
            <v>13294.9</v>
          </cell>
        </row>
        <row r="62">
          <cell r="A62" t="str">
            <v>Santa Clarita</v>
          </cell>
          <cell r="B62">
            <v>15496.99</v>
          </cell>
          <cell r="C62">
            <v>226.91000000000003</v>
          </cell>
          <cell r="D62">
            <v>47.44</v>
          </cell>
          <cell r="E62">
            <v>15771.34</v>
          </cell>
        </row>
        <row r="63">
          <cell r="A63" t="str">
            <v>Santa Monica</v>
          </cell>
          <cell r="B63">
            <v>20975.58</v>
          </cell>
          <cell r="C63">
            <v>717.63</v>
          </cell>
          <cell r="D63">
            <v>78.95</v>
          </cell>
          <cell r="E63">
            <v>21772.160000000003</v>
          </cell>
        </row>
        <row r="64">
          <cell r="A64" t="str">
            <v>Sequoias</v>
          </cell>
          <cell r="B64">
            <v>8734.33</v>
          </cell>
          <cell r="C64">
            <v>341.4</v>
          </cell>
          <cell r="D64">
            <v>171.71</v>
          </cell>
          <cell r="E64">
            <v>9247.4399999999987</v>
          </cell>
        </row>
        <row r="65">
          <cell r="A65" t="str">
            <v>Shasta-Tehama-Trinity</v>
          </cell>
          <cell r="B65">
            <v>6574.56</v>
          </cell>
          <cell r="C65">
            <v>186.76000000000002</v>
          </cell>
          <cell r="D65">
            <v>13.48</v>
          </cell>
          <cell r="E65">
            <v>6774.8</v>
          </cell>
        </row>
        <row r="66">
          <cell r="A66" t="str">
            <v>Sierra</v>
          </cell>
          <cell r="B66">
            <v>14417.47</v>
          </cell>
          <cell r="C66">
            <v>294.33999999999997</v>
          </cell>
          <cell r="D66">
            <v>0</v>
          </cell>
          <cell r="E66">
            <v>14711.81</v>
          </cell>
        </row>
        <row r="67">
          <cell r="A67" t="str">
            <v>Siskiyou</v>
          </cell>
          <cell r="B67">
            <v>2186.21</v>
          </cell>
          <cell r="C67">
            <v>105.50999999999999</v>
          </cell>
          <cell r="D67">
            <v>299.98</v>
          </cell>
          <cell r="E67">
            <v>2591.7000000000003</v>
          </cell>
        </row>
        <row r="68">
          <cell r="A68" t="str">
            <v>Solano County</v>
          </cell>
          <cell r="B68">
            <v>8575.64</v>
          </cell>
          <cell r="C68">
            <v>0.71</v>
          </cell>
          <cell r="D68">
            <v>0</v>
          </cell>
          <cell r="E68">
            <v>8576.3499999999985</v>
          </cell>
        </row>
        <row r="69">
          <cell r="A69" t="str">
            <v>Sonoma County</v>
          </cell>
          <cell r="B69">
            <v>15971.02</v>
          </cell>
          <cell r="C69">
            <v>2028.9199999999998</v>
          </cell>
          <cell r="D69">
            <v>679.74</v>
          </cell>
          <cell r="E69">
            <v>18679.68</v>
          </cell>
        </row>
        <row r="70">
          <cell r="A70" t="str">
            <v>South Orange County</v>
          </cell>
          <cell r="B70">
            <v>22211.67</v>
          </cell>
          <cell r="C70">
            <v>2050.54</v>
          </cell>
          <cell r="D70">
            <v>153.74</v>
          </cell>
          <cell r="E70">
            <v>24415.95</v>
          </cell>
        </row>
        <row r="71">
          <cell r="A71" t="str">
            <v>Southwestern</v>
          </cell>
          <cell r="B71">
            <v>15193.14</v>
          </cell>
          <cell r="C71">
            <v>197.3</v>
          </cell>
          <cell r="D71">
            <v>37.56</v>
          </cell>
          <cell r="E71">
            <v>15427.999999999998</v>
          </cell>
        </row>
        <row r="72">
          <cell r="A72" t="str">
            <v>State Center</v>
          </cell>
          <cell r="B72">
            <v>28815.08</v>
          </cell>
          <cell r="C72">
            <v>205.45000000000002</v>
          </cell>
          <cell r="D72">
            <v>204.6</v>
          </cell>
          <cell r="E72">
            <v>29225.13</v>
          </cell>
        </row>
        <row r="73">
          <cell r="A73" t="str">
            <v>Ventura County</v>
          </cell>
          <cell r="B73">
            <v>26407.3</v>
          </cell>
          <cell r="C73">
            <v>59.34</v>
          </cell>
          <cell r="D73">
            <v>0</v>
          </cell>
          <cell r="E73">
            <v>26466.639999999999</v>
          </cell>
        </row>
        <row r="74">
          <cell r="A74" t="str">
            <v>Victor Valley</v>
          </cell>
          <cell r="B74">
            <v>9193.5</v>
          </cell>
          <cell r="C74">
            <v>52.14</v>
          </cell>
          <cell r="D74">
            <v>0</v>
          </cell>
          <cell r="E74">
            <v>9245.64</v>
          </cell>
        </row>
        <row r="75">
          <cell r="A75" t="str">
            <v>West Hills</v>
          </cell>
          <cell r="B75">
            <v>4948.79</v>
          </cell>
          <cell r="C75">
            <v>332.27</v>
          </cell>
          <cell r="D75">
            <v>0</v>
          </cell>
          <cell r="E75">
            <v>5281.0599999999995</v>
          </cell>
        </row>
        <row r="76">
          <cell r="A76" t="str">
            <v>West Kern</v>
          </cell>
          <cell r="B76">
            <v>2513.64</v>
          </cell>
          <cell r="C76">
            <v>43.66</v>
          </cell>
          <cell r="D76">
            <v>0</v>
          </cell>
          <cell r="E76">
            <v>2557.2999999999997</v>
          </cell>
        </row>
        <row r="77">
          <cell r="A77" t="str">
            <v>West Valley-Mission</v>
          </cell>
          <cell r="B77">
            <v>13861.56</v>
          </cell>
          <cell r="C77">
            <v>1035.47</v>
          </cell>
          <cell r="D77">
            <v>0</v>
          </cell>
          <cell r="E77">
            <v>14897.029999999999</v>
          </cell>
        </row>
        <row r="78">
          <cell r="A78" t="str">
            <v>Yosemite</v>
          </cell>
          <cell r="B78">
            <v>16827.04</v>
          </cell>
          <cell r="C78">
            <v>42.929999999999993</v>
          </cell>
          <cell r="D78">
            <v>117.95</v>
          </cell>
          <cell r="E78">
            <v>16987.920000000002</v>
          </cell>
        </row>
        <row r="79">
          <cell r="A79" t="str">
            <v>Yuba</v>
          </cell>
          <cell r="B79">
            <v>7514.24</v>
          </cell>
          <cell r="C79">
            <v>111.76</v>
          </cell>
          <cell r="D79">
            <v>0</v>
          </cell>
          <cell r="E79">
            <v>7626</v>
          </cell>
        </row>
      </sheetData>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eps"/>
      <sheetName val="ptax11-15-2017"/>
      <sheetName val="DistrictERAF"/>
      <sheetName val="DOFrpt"/>
      <sheetName val="PivotDOF"/>
      <sheetName val="AlphaByDistrict"/>
      <sheetName val="2a.DistrictAlpha ptax11-15-2017"/>
      <sheetName val="AlphaByCounty"/>
      <sheetName val="2b.County ptax11-15-2017"/>
      <sheetName val="1e.PtaxvsERAF Analysis"/>
      <sheetName val="APPORTIONMENT REPORT_1.31.18"/>
      <sheetName val="1h.Tax_Proration"/>
      <sheetName val="7ERAFdistributioncopy"/>
      <sheetName val="DistrictPvtERAF_Ptax"/>
      <sheetName val="ERAF Formulas"/>
      <sheetName val="Report-County_Est_ERAF"/>
      <sheetName val="Report-Dist_Fall_Est_PTax&amp;ERAF"/>
      <sheetName val="2017-18 P1,revised Estimated pr"/>
      <sheetName val="2017-18%20P1,revised%20Estimate"/>
    </sheetNames>
    <sheetDataSet>
      <sheetData sheetId="0"/>
      <sheetData sheetId="1"/>
      <sheetData sheetId="2"/>
      <sheetData sheetId="3"/>
      <sheetData sheetId="4"/>
      <sheetData sheetId="5"/>
      <sheetData sheetId="6">
        <row r="1">
          <cell r="C1">
            <v>1</v>
          </cell>
        </row>
      </sheetData>
      <sheetData sheetId="7"/>
      <sheetData sheetId="8">
        <row r="2">
          <cell r="D2" t="str">
            <v xml:space="preserve"> COUNTY</v>
          </cell>
        </row>
      </sheetData>
      <sheetData sheetId="9"/>
      <sheetData sheetId="10">
        <row r="8">
          <cell r="A8" t="str">
            <v>Allan Hancock</v>
          </cell>
        </row>
      </sheetData>
      <sheetData sheetId="11">
        <row r="2">
          <cell r="C2" t="str">
            <v xml:space="preserve"> ALLAN HANCOCK</v>
          </cell>
        </row>
      </sheetData>
      <sheetData sheetId="12"/>
      <sheetData sheetId="13">
        <row r="4">
          <cell r="A4" t="str">
            <v xml:space="preserve"> ALLAN HANCOCK</v>
          </cell>
          <cell r="B4">
            <v>14864058</v>
          </cell>
          <cell r="C4">
            <v>2730211</v>
          </cell>
        </row>
        <row r="5">
          <cell r="A5" t="str">
            <v xml:space="preserve"> ANTELOPE VALLEY</v>
          </cell>
          <cell r="B5">
            <v>7797653</v>
          </cell>
          <cell r="C5">
            <v>0</v>
          </cell>
        </row>
        <row r="6">
          <cell r="A6" t="str">
            <v xml:space="preserve"> BARSTOW</v>
          </cell>
          <cell r="B6">
            <v>3501138</v>
          </cell>
          <cell r="C6">
            <v>-562717</v>
          </cell>
        </row>
        <row r="7">
          <cell r="A7" t="str">
            <v xml:space="preserve"> BUTTE</v>
          </cell>
          <cell r="B7">
            <v>17768913</v>
          </cell>
          <cell r="C7">
            <v>-2477700</v>
          </cell>
        </row>
        <row r="8">
          <cell r="A8" t="str">
            <v xml:space="preserve"> CABRILLO</v>
          </cell>
          <cell r="B8">
            <v>25605406</v>
          </cell>
          <cell r="C8">
            <v>2894883</v>
          </cell>
        </row>
        <row r="9">
          <cell r="A9" t="str">
            <v xml:space="preserve"> CERRITOS</v>
          </cell>
          <cell r="B9">
            <v>10235452</v>
          </cell>
          <cell r="C9">
            <v>11535363</v>
          </cell>
        </row>
        <row r="10">
          <cell r="A10" t="str">
            <v xml:space="preserve"> CHABOT-LAS POSITAS</v>
          </cell>
          <cell r="B10">
            <v>32528098</v>
          </cell>
          <cell r="C10">
            <v>22233014</v>
          </cell>
        </row>
        <row r="11">
          <cell r="A11" t="str">
            <v xml:space="preserve"> CHAFFEY</v>
          </cell>
          <cell r="B11">
            <v>31620628</v>
          </cell>
          <cell r="C11">
            <v>-6714104</v>
          </cell>
        </row>
        <row r="12">
          <cell r="A12" t="str">
            <v xml:space="preserve"> CITRUS</v>
          </cell>
          <cell r="B12">
            <v>6254476</v>
          </cell>
          <cell r="C12">
            <v>0</v>
          </cell>
        </row>
        <row r="13">
          <cell r="A13" t="str">
            <v xml:space="preserve"> COAST</v>
          </cell>
          <cell r="B13">
            <v>128283511</v>
          </cell>
          <cell r="C13">
            <v>0</v>
          </cell>
        </row>
        <row r="14">
          <cell r="A14" t="str">
            <v xml:space="preserve"> COMPTON</v>
          </cell>
          <cell r="B14">
            <v>5200312</v>
          </cell>
          <cell r="C14">
            <v>0</v>
          </cell>
        </row>
        <row r="15">
          <cell r="A15" t="str">
            <v xml:space="preserve"> CONTRA COSTA</v>
          </cell>
          <cell r="B15">
            <v>87204713</v>
          </cell>
          <cell r="C15">
            <v>10323020</v>
          </cell>
        </row>
        <row r="16">
          <cell r="A16" t="str">
            <v xml:space="preserve"> COPPER MOUNTAIN</v>
          </cell>
          <cell r="B16">
            <v>1890261</v>
          </cell>
          <cell r="C16">
            <v>-402257</v>
          </cell>
        </row>
        <row r="17">
          <cell r="A17" t="str">
            <v xml:space="preserve"> DESERT</v>
          </cell>
          <cell r="B17">
            <v>29575190</v>
          </cell>
          <cell r="C17">
            <v>-3352326</v>
          </cell>
        </row>
        <row r="18">
          <cell r="A18" t="str">
            <v xml:space="preserve"> EL CAMINO</v>
          </cell>
          <cell r="B18">
            <v>31618281</v>
          </cell>
          <cell r="C18">
            <v>0</v>
          </cell>
        </row>
        <row r="19">
          <cell r="A19" t="str">
            <v xml:space="preserve"> FEATHER RIVER</v>
          </cell>
          <cell r="B19">
            <v>4802581</v>
          </cell>
          <cell r="C19">
            <v>1253784</v>
          </cell>
        </row>
        <row r="20">
          <cell r="A20" t="str">
            <v xml:space="preserve"> FOOTHILL-DEANZA</v>
          </cell>
          <cell r="B20">
            <v>109329041</v>
          </cell>
          <cell r="C20">
            <v>5085494</v>
          </cell>
        </row>
        <row r="21">
          <cell r="A21" t="str">
            <v xml:space="preserve"> GAVILAN</v>
          </cell>
          <cell r="B21">
            <v>19643476</v>
          </cell>
          <cell r="C21">
            <v>5880890</v>
          </cell>
        </row>
        <row r="22">
          <cell r="A22" t="str">
            <v xml:space="preserve"> GLENDALE</v>
          </cell>
          <cell r="B22">
            <v>11937911</v>
          </cell>
          <cell r="C22">
            <v>6820218</v>
          </cell>
        </row>
        <row r="23">
          <cell r="A23" t="str">
            <v xml:space="preserve"> GROSSMONT-CUYAMACA</v>
          </cell>
          <cell r="B23">
            <v>40914698</v>
          </cell>
          <cell r="C23">
            <v>-480021</v>
          </cell>
        </row>
        <row r="24">
          <cell r="A24" t="str">
            <v xml:space="preserve"> HARTNELL</v>
          </cell>
          <cell r="B24">
            <v>22805604</v>
          </cell>
          <cell r="C24">
            <v>0</v>
          </cell>
        </row>
        <row r="25">
          <cell r="A25" t="str">
            <v xml:space="preserve"> IMPERIAL</v>
          </cell>
          <cell r="B25">
            <v>8831900</v>
          </cell>
          <cell r="C25">
            <v>-2009764</v>
          </cell>
        </row>
        <row r="26">
          <cell r="A26" t="str">
            <v xml:space="preserve"> KERN</v>
          </cell>
          <cell r="B26">
            <v>67844047</v>
          </cell>
          <cell r="C26">
            <v>-5146162</v>
          </cell>
        </row>
        <row r="27">
          <cell r="A27" t="str">
            <v xml:space="preserve"> LAKE TAHOE</v>
          </cell>
          <cell r="B27">
            <v>4379977</v>
          </cell>
          <cell r="C27">
            <v>0</v>
          </cell>
        </row>
        <row r="28">
          <cell r="A28" t="str">
            <v xml:space="preserve"> LASSEN</v>
          </cell>
          <cell r="B28">
            <v>2105707</v>
          </cell>
          <cell r="C28">
            <v>-301612</v>
          </cell>
        </row>
        <row r="29">
          <cell r="A29" t="str">
            <v xml:space="preserve"> LONG BEACH</v>
          </cell>
          <cell r="B29">
            <v>14956717</v>
          </cell>
          <cell r="C29">
            <v>10449492</v>
          </cell>
        </row>
        <row r="30">
          <cell r="A30" t="str">
            <v xml:space="preserve"> LOS ANGELES</v>
          </cell>
          <cell r="B30">
            <v>212669767</v>
          </cell>
          <cell r="C30">
            <v>0</v>
          </cell>
        </row>
        <row r="31">
          <cell r="A31" t="str">
            <v xml:space="preserve"> LOS RIOS</v>
          </cell>
          <cell r="B31">
            <v>63574842</v>
          </cell>
          <cell r="C31">
            <v>16859929</v>
          </cell>
        </row>
        <row r="32">
          <cell r="A32" t="str">
            <v xml:space="preserve"> MARIN</v>
          </cell>
          <cell r="B32">
            <v>53984995</v>
          </cell>
          <cell r="C32">
            <v>0</v>
          </cell>
        </row>
        <row r="33">
          <cell r="A33" t="str">
            <v xml:space="preserve"> MENDOCINO-LAKE</v>
          </cell>
          <cell r="B33">
            <v>6887581</v>
          </cell>
          <cell r="C33">
            <v>801594</v>
          </cell>
        </row>
        <row r="34">
          <cell r="A34" t="str">
            <v xml:space="preserve"> MERCED</v>
          </cell>
          <cell r="B34">
            <v>12355454</v>
          </cell>
          <cell r="C34">
            <v>-248140</v>
          </cell>
        </row>
        <row r="35">
          <cell r="A35" t="str">
            <v xml:space="preserve"> MIRA COSTA</v>
          </cell>
          <cell r="B35">
            <v>98720342</v>
          </cell>
          <cell r="C35">
            <v>0</v>
          </cell>
        </row>
        <row r="36">
          <cell r="A36" t="str">
            <v xml:space="preserve"> MONTEREY PENINSULA</v>
          </cell>
          <cell r="B36">
            <v>18866522</v>
          </cell>
          <cell r="C36">
            <v>0</v>
          </cell>
        </row>
        <row r="37">
          <cell r="A37" t="str">
            <v xml:space="preserve"> MT SAN ANTONIO</v>
          </cell>
          <cell r="B37">
            <v>22827202</v>
          </cell>
          <cell r="C37">
            <v>20238790</v>
          </cell>
        </row>
        <row r="38">
          <cell r="A38" t="str">
            <v xml:space="preserve"> MT SAN JACINTO</v>
          </cell>
          <cell r="B38">
            <v>29642361</v>
          </cell>
          <cell r="C38">
            <v>-3397791</v>
          </cell>
        </row>
        <row r="39">
          <cell r="A39" t="str">
            <v xml:space="preserve"> NAPA VALLEY</v>
          </cell>
          <cell r="B39">
            <v>29921923</v>
          </cell>
          <cell r="C39">
            <v>-1500848</v>
          </cell>
        </row>
        <row r="40">
          <cell r="A40" t="str">
            <v xml:space="preserve"> NORTH ORANGE</v>
          </cell>
          <cell r="B40">
            <v>78866508</v>
          </cell>
          <cell r="C40">
            <v>13566746</v>
          </cell>
        </row>
        <row r="41">
          <cell r="A41" t="str">
            <v xml:space="preserve"> OHLONE</v>
          </cell>
          <cell r="B41">
            <v>20923360</v>
          </cell>
          <cell r="C41">
            <v>0</v>
          </cell>
        </row>
        <row r="42">
          <cell r="A42" t="str">
            <v xml:space="preserve"> PALO VERDE</v>
          </cell>
          <cell r="B42">
            <v>1540851</v>
          </cell>
          <cell r="C42">
            <v>-119712</v>
          </cell>
        </row>
        <row r="43">
          <cell r="A43" t="str">
            <v xml:space="preserve"> PALOMAR</v>
          </cell>
          <cell r="B43">
            <v>73381748</v>
          </cell>
          <cell r="C43">
            <v>-826802</v>
          </cell>
        </row>
        <row r="44">
          <cell r="A44" t="str">
            <v xml:space="preserve"> PASADENA</v>
          </cell>
          <cell r="B44">
            <v>28347254</v>
          </cell>
          <cell r="C44">
            <v>3025279</v>
          </cell>
        </row>
        <row r="45">
          <cell r="A45" t="str">
            <v xml:space="preserve"> PERALTA</v>
          </cell>
          <cell r="B45">
            <v>23706222</v>
          </cell>
          <cell r="C45">
            <v>20502439</v>
          </cell>
        </row>
        <row r="46">
          <cell r="A46" t="str">
            <v xml:space="preserve"> RANCHO SANTIAGO</v>
          </cell>
          <cell r="B46">
            <v>56270301</v>
          </cell>
          <cell r="C46">
            <v>21397189</v>
          </cell>
        </row>
        <row r="47">
          <cell r="A47" t="str">
            <v xml:space="preserve"> REDWOODS</v>
          </cell>
          <cell r="B47">
            <v>10836739</v>
          </cell>
          <cell r="C47">
            <v>335688</v>
          </cell>
        </row>
        <row r="48">
          <cell r="A48" t="str">
            <v xml:space="preserve"> RIO HONDO</v>
          </cell>
          <cell r="B48">
            <v>7012782</v>
          </cell>
          <cell r="C48">
            <v>0</v>
          </cell>
        </row>
        <row r="49">
          <cell r="A49" t="str">
            <v xml:space="preserve"> RIVERSIDE</v>
          </cell>
          <cell r="B49">
            <v>40950807</v>
          </cell>
          <cell r="C49">
            <v>-4599277</v>
          </cell>
        </row>
        <row r="50">
          <cell r="A50" t="str">
            <v xml:space="preserve"> SAN BERNARDINO</v>
          </cell>
          <cell r="B50">
            <v>25131620</v>
          </cell>
          <cell r="C50">
            <v>-5312035</v>
          </cell>
        </row>
        <row r="51">
          <cell r="A51" t="str">
            <v xml:space="preserve"> SAN DIEGO</v>
          </cell>
          <cell r="B51">
            <v>104733726</v>
          </cell>
          <cell r="C51">
            <v>-1225544</v>
          </cell>
        </row>
        <row r="52">
          <cell r="A52" t="str">
            <v xml:space="preserve"> SAN FRANCISCO</v>
          </cell>
          <cell r="B52">
            <v>31262992</v>
          </cell>
          <cell r="C52">
            <v>48526074</v>
          </cell>
        </row>
        <row r="53">
          <cell r="A53" t="str">
            <v xml:space="preserve"> SAN JOAQUIN DELTA</v>
          </cell>
          <cell r="B53">
            <v>28558586</v>
          </cell>
          <cell r="C53">
            <v>7536816</v>
          </cell>
        </row>
        <row r="54">
          <cell r="A54" t="str">
            <v xml:space="preserve"> SAN JOSE</v>
          </cell>
          <cell r="B54">
            <v>93706642</v>
          </cell>
          <cell r="C54">
            <v>0</v>
          </cell>
        </row>
        <row r="55">
          <cell r="A55" t="str">
            <v xml:space="preserve"> SAN LUIS OBISPO</v>
          </cell>
          <cell r="B55">
            <v>37375283</v>
          </cell>
          <cell r="C55">
            <v>1928797</v>
          </cell>
        </row>
        <row r="56">
          <cell r="A56" t="str">
            <v xml:space="preserve"> SAN MATEO</v>
          </cell>
          <cell r="B56">
            <v>143219308</v>
          </cell>
          <cell r="C56">
            <v>0</v>
          </cell>
        </row>
        <row r="57">
          <cell r="A57" t="str">
            <v xml:space="preserve"> SANTA BARBARA</v>
          </cell>
          <cell r="B57">
            <v>30477994</v>
          </cell>
          <cell r="C57">
            <v>0</v>
          </cell>
        </row>
        <row r="58">
          <cell r="A58" t="str">
            <v xml:space="preserve"> SANTA CLARITA</v>
          </cell>
          <cell r="B58">
            <v>16158298</v>
          </cell>
          <cell r="C58">
            <v>5454684</v>
          </cell>
        </row>
        <row r="59">
          <cell r="A59" t="str">
            <v xml:space="preserve"> SANTA MONICA</v>
          </cell>
          <cell r="B59">
            <v>20047115</v>
          </cell>
          <cell r="C59">
            <v>4107501</v>
          </cell>
        </row>
        <row r="60">
          <cell r="A60" t="str">
            <v xml:space="preserve"> SEQUOIAS</v>
          </cell>
          <cell r="B60">
            <v>16152052</v>
          </cell>
          <cell r="C60">
            <v>-1687577</v>
          </cell>
        </row>
        <row r="61">
          <cell r="A61" t="str">
            <v xml:space="preserve"> SHASTA</v>
          </cell>
          <cell r="B61">
            <v>15086164</v>
          </cell>
          <cell r="C61">
            <v>-341405</v>
          </cell>
        </row>
        <row r="62">
          <cell r="A62" t="str">
            <v xml:space="preserve"> SIERRA</v>
          </cell>
          <cell r="B62">
            <v>72786607</v>
          </cell>
          <cell r="C62">
            <v>1358864</v>
          </cell>
        </row>
        <row r="63">
          <cell r="A63" t="str">
            <v xml:space="preserve"> SISKIYOU</v>
          </cell>
          <cell r="B63">
            <v>4082223</v>
          </cell>
          <cell r="C63">
            <v>29992</v>
          </cell>
        </row>
        <row r="64">
          <cell r="A64" t="str">
            <v xml:space="preserve"> SOLANO</v>
          </cell>
          <cell r="B64">
            <v>16249710</v>
          </cell>
          <cell r="C64">
            <v>262968</v>
          </cell>
        </row>
        <row r="65">
          <cell r="A65" t="str">
            <v xml:space="preserve"> SONOMA</v>
          </cell>
          <cell r="B65">
            <v>51465245</v>
          </cell>
          <cell r="C65">
            <v>3548928</v>
          </cell>
        </row>
        <row r="66">
          <cell r="A66" t="str">
            <v xml:space="preserve"> SOUTH ORANGE CO.</v>
          </cell>
          <cell r="B66">
            <v>217515802</v>
          </cell>
          <cell r="C66">
            <v>0</v>
          </cell>
        </row>
        <row r="67">
          <cell r="A67" t="str">
            <v xml:space="preserve"> SOUTHWESTERN</v>
          </cell>
          <cell r="B67">
            <v>26564032</v>
          </cell>
          <cell r="C67">
            <v>-314721</v>
          </cell>
        </row>
        <row r="68">
          <cell r="A68" t="str">
            <v xml:space="preserve"> STATE CENTER</v>
          </cell>
          <cell r="B68">
            <v>45769662</v>
          </cell>
          <cell r="C68">
            <v>-901044</v>
          </cell>
        </row>
        <row r="69">
          <cell r="A69" t="str">
            <v xml:space="preserve"> VENTURA</v>
          </cell>
          <cell r="B69">
            <v>62907591</v>
          </cell>
          <cell r="C69">
            <v>-37690</v>
          </cell>
        </row>
        <row r="70">
          <cell r="A70" t="str">
            <v xml:space="preserve"> VICTOR VALLEY</v>
          </cell>
          <cell r="B70">
            <v>13502706</v>
          </cell>
          <cell r="C70">
            <v>-2891638</v>
          </cell>
        </row>
        <row r="71">
          <cell r="A71" t="str">
            <v xml:space="preserve"> WEST HILLS</v>
          </cell>
          <cell r="B71">
            <v>6598247</v>
          </cell>
          <cell r="C71">
            <v>-506933</v>
          </cell>
        </row>
        <row r="72">
          <cell r="A72" t="str">
            <v xml:space="preserve"> WEST KERN</v>
          </cell>
          <cell r="B72">
            <v>9483366</v>
          </cell>
          <cell r="C72">
            <v>-616407</v>
          </cell>
        </row>
        <row r="73">
          <cell r="A73" t="str">
            <v xml:space="preserve"> WEST VALLEY</v>
          </cell>
          <cell r="B73">
            <v>113841992</v>
          </cell>
          <cell r="C73">
            <v>0</v>
          </cell>
        </row>
        <row r="74">
          <cell r="A74" t="str">
            <v xml:space="preserve"> YOSEMITE</v>
          </cell>
          <cell r="B74">
            <v>45209703</v>
          </cell>
          <cell r="C74">
            <v>-2739916</v>
          </cell>
        </row>
        <row r="75">
          <cell r="A75" t="str">
            <v xml:space="preserve"> YUBA</v>
          </cell>
          <cell r="B75">
            <v>25938643</v>
          </cell>
          <cell r="C75">
            <v>447311</v>
          </cell>
        </row>
      </sheetData>
      <sheetData sheetId="14"/>
      <sheetData sheetId="15"/>
      <sheetData sheetId="16"/>
      <sheetData sheetId="17" refreshError="1"/>
      <sheetData sheetId="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x11-15-2016"/>
      <sheetName val="1a.ModifiedforDistrict"/>
      <sheetName val="1b.ModifiedforCounty"/>
      <sheetName val="1c.DistrictAlpha ptax04-15-2016"/>
      <sheetName val="1d.County ptax04-15-2016"/>
      <sheetName val="1e.PtaxvsERAF Analysis"/>
      <sheetName val="APPORTIONMENT REPORT_5.3.16"/>
      <sheetName val="1h.Tax_Proration"/>
      <sheetName val="1i.ERAFptaxDistr4-15-2016"/>
      <sheetName val="1j.Los Angles ERAF Calculations"/>
      <sheetName val="1k.CCDPivotTableERAF&amp;PropTAX2"/>
      <sheetName val="Report-County_Spring_Est_ERAF"/>
      <sheetName val="Report-Dist_Sprin_Est_PTax&amp;ERAF"/>
      <sheetName val="AUDIT Request PTax15-16P2"/>
      <sheetName val="FinalLAOreport"/>
      <sheetName val="EstPivotDOFprep"/>
    </sheetNames>
    <sheetDataSet>
      <sheetData sheetId="0" refreshError="1"/>
      <sheetData sheetId="1" refreshError="1"/>
      <sheetData sheetId="2" refreshError="1"/>
      <sheetData sheetId="3">
        <row r="3">
          <cell r="C3" t="str">
            <v xml:space="preserve"> ALLAN HANCOCK     </v>
          </cell>
          <cell r="D3" t="str">
            <v xml:space="preserve"> SAN LUIS OBISPO   </v>
          </cell>
          <cell r="E3">
            <v>610</v>
          </cell>
          <cell r="F3" t="str">
            <v xml:space="preserve"> 2015-2016</v>
          </cell>
          <cell r="G3" t="str">
            <v xml:space="preserve"> 04/15/2016</v>
          </cell>
          <cell r="H3">
            <v>0</v>
          </cell>
          <cell r="I3">
            <v>0</v>
          </cell>
          <cell r="J3">
            <v>0</v>
          </cell>
          <cell r="K3">
            <v>0</v>
          </cell>
          <cell r="L3">
            <v>0</v>
          </cell>
          <cell r="M3">
            <v>0</v>
          </cell>
          <cell r="N3">
            <v>0</v>
          </cell>
          <cell r="O3">
            <v>0</v>
          </cell>
          <cell r="P3">
            <v>0</v>
          </cell>
          <cell r="Q3">
            <v>0</v>
          </cell>
          <cell r="R3">
            <v>0</v>
          </cell>
          <cell r="S3">
            <v>0</v>
          </cell>
          <cell r="T3">
            <v>0</v>
          </cell>
          <cell r="U3">
            <v>0</v>
          </cell>
          <cell r="V3" t="str">
            <v xml:space="preserve"> </v>
          </cell>
          <cell r="W3">
            <v>0</v>
          </cell>
          <cell r="X3">
            <v>0</v>
          </cell>
          <cell r="Y3">
            <v>0</v>
          </cell>
          <cell r="Z3">
            <v>0</v>
          </cell>
          <cell r="AA3">
            <v>0</v>
          </cell>
          <cell r="AB3">
            <v>37818</v>
          </cell>
          <cell r="AC3">
            <v>0</v>
          </cell>
          <cell r="AD3">
            <v>795</v>
          </cell>
          <cell r="AE3">
            <v>0</v>
          </cell>
          <cell r="AF3">
            <v>0</v>
          </cell>
          <cell r="AG3">
            <v>0</v>
          </cell>
          <cell r="AH3">
            <v>0</v>
          </cell>
          <cell r="AI3">
            <v>0</v>
          </cell>
          <cell r="AJ3">
            <v>0</v>
          </cell>
          <cell r="AK3">
            <v>-10</v>
          </cell>
          <cell r="AL3">
            <v>0</v>
          </cell>
          <cell r="AM3">
            <v>252</v>
          </cell>
          <cell r="AN3">
            <v>0</v>
          </cell>
          <cell r="AO3">
            <v>0</v>
          </cell>
          <cell r="AP3">
            <v>38855</v>
          </cell>
        </row>
        <row r="4">
          <cell r="C4" t="str">
            <v xml:space="preserve"> ALLAN HANCOCK     </v>
          </cell>
          <cell r="D4" t="str">
            <v xml:space="preserve"> SANTA BARBARA     </v>
          </cell>
          <cell r="E4">
            <v>610</v>
          </cell>
          <cell r="F4" t="str">
            <v xml:space="preserve"> 2015-2016</v>
          </cell>
          <cell r="G4" t="str">
            <v xml:space="preserve"> 04/15/2016</v>
          </cell>
          <cell r="H4">
            <v>0</v>
          </cell>
          <cell r="I4">
            <v>0</v>
          </cell>
          <cell r="J4">
            <v>0</v>
          </cell>
          <cell r="K4">
            <v>0</v>
          </cell>
          <cell r="L4">
            <v>0</v>
          </cell>
          <cell r="M4">
            <v>0</v>
          </cell>
          <cell r="N4">
            <v>0</v>
          </cell>
          <cell r="O4">
            <v>0</v>
          </cell>
          <cell r="P4">
            <v>0</v>
          </cell>
          <cell r="Q4">
            <v>0</v>
          </cell>
          <cell r="R4">
            <v>0</v>
          </cell>
          <cell r="S4">
            <v>0</v>
          </cell>
          <cell r="T4">
            <v>0</v>
          </cell>
          <cell r="U4">
            <v>0</v>
          </cell>
          <cell r="V4" t="str">
            <v xml:space="preserve"> </v>
          </cell>
          <cell r="W4">
            <v>0</v>
          </cell>
          <cell r="X4">
            <v>0</v>
          </cell>
          <cell r="Y4">
            <v>0</v>
          </cell>
          <cell r="Z4">
            <v>0</v>
          </cell>
          <cell r="AA4">
            <v>0</v>
          </cell>
          <cell r="AB4">
            <v>12378229</v>
          </cell>
          <cell r="AC4">
            <v>307489</v>
          </cell>
          <cell r="AD4">
            <v>576878</v>
          </cell>
          <cell r="AE4">
            <v>40129</v>
          </cell>
          <cell r="AF4">
            <v>19061</v>
          </cell>
          <cell r="AG4">
            <v>0</v>
          </cell>
          <cell r="AH4">
            <v>0</v>
          </cell>
          <cell r="AI4">
            <v>152828</v>
          </cell>
          <cell r="AJ4">
            <v>286030</v>
          </cell>
          <cell r="AK4">
            <v>-26676</v>
          </cell>
          <cell r="AL4">
            <v>0</v>
          </cell>
          <cell r="AM4">
            <v>73570</v>
          </cell>
          <cell r="AN4">
            <v>0</v>
          </cell>
          <cell r="AO4">
            <v>1789718</v>
          </cell>
          <cell r="AP4">
            <v>15557127</v>
          </cell>
        </row>
        <row r="5">
          <cell r="C5" t="str">
            <v xml:space="preserve"> ALLAN HANCOCK     </v>
          </cell>
          <cell r="D5" t="str">
            <v xml:space="preserve"> VENTURA           </v>
          </cell>
          <cell r="E5">
            <v>610</v>
          </cell>
          <cell r="F5" t="str">
            <v xml:space="preserve"> 2015-2016</v>
          </cell>
          <cell r="G5" t="str">
            <v xml:space="preserve"> 04/15/2016</v>
          </cell>
          <cell r="H5">
            <v>0</v>
          </cell>
          <cell r="I5">
            <v>0</v>
          </cell>
          <cell r="J5">
            <v>0</v>
          </cell>
          <cell r="K5">
            <v>0</v>
          </cell>
          <cell r="L5">
            <v>0</v>
          </cell>
          <cell r="M5">
            <v>0</v>
          </cell>
          <cell r="N5">
            <v>0</v>
          </cell>
          <cell r="O5">
            <v>0</v>
          </cell>
          <cell r="P5">
            <v>0</v>
          </cell>
          <cell r="Q5">
            <v>0</v>
          </cell>
          <cell r="R5">
            <v>0</v>
          </cell>
          <cell r="S5">
            <v>0</v>
          </cell>
          <cell r="T5">
            <v>0</v>
          </cell>
          <cell r="U5">
            <v>0</v>
          </cell>
          <cell r="V5" t="str">
            <v xml:space="preserve"> </v>
          </cell>
          <cell r="W5">
            <v>0</v>
          </cell>
          <cell r="X5">
            <v>0</v>
          </cell>
          <cell r="Y5">
            <v>0</v>
          </cell>
          <cell r="Z5">
            <v>0</v>
          </cell>
          <cell r="AA5">
            <v>0</v>
          </cell>
          <cell r="AB5">
            <v>19813</v>
          </cell>
          <cell r="AC5">
            <v>260</v>
          </cell>
          <cell r="AD5">
            <v>692</v>
          </cell>
          <cell r="AE5">
            <v>0</v>
          </cell>
          <cell r="AF5">
            <v>0</v>
          </cell>
          <cell r="AG5">
            <v>0</v>
          </cell>
          <cell r="AH5">
            <v>0</v>
          </cell>
          <cell r="AI5">
            <v>0</v>
          </cell>
          <cell r="AJ5">
            <v>0</v>
          </cell>
          <cell r="AK5">
            <v>32</v>
          </cell>
          <cell r="AL5">
            <v>0</v>
          </cell>
          <cell r="AM5">
            <v>167</v>
          </cell>
          <cell r="AN5">
            <v>0</v>
          </cell>
          <cell r="AO5">
            <v>0</v>
          </cell>
          <cell r="AP5">
            <v>20964</v>
          </cell>
        </row>
        <row r="6">
          <cell r="C6" t="str">
            <v>ALLAN HANCOCK Subtotal</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12435860</v>
          </cell>
          <cell r="AC6">
            <v>307749</v>
          </cell>
          <cell r="AD6">
            <v>578365</v>
          </cell>
          <cell r="AE6">
            <v>40129</v>
          </cell>
          <cell r="AF6">
            <v>19061</v>
          </cell>
          <cell r="AG6">
            <v>0</v>
          </cell>
          <cell r="AH6">
            <v>0</v>
          </cell>
          <cell r="AI6">
            <v>152828</v>
          </cell>
          <cell r="AJ6">
            <v>286030</v>
          </cell>
          <cell r="AK6">
            <v>-26654</v>
          </cell>
          <cell r="AL6">
            <v>0</v>
          </cell>
          <cell r="AM6">
            <v>73989</v>
          </cell>
          <cell r="AN6">
            <v>0</v>
          </cell>
          <cell r="AO6">
            <v>1789718</v>
          </cell>
          <cell r="AP6">
            <v>15616946</v>
          </cell>
        </row>
        <row r="8">
          <cell r="C8" t="str">
            <v xml:space="preserve"> ANTELOPE VALLEY   </v>
          </cell>
          <cell r="D8" t="str">
            <v xml:space="preserve"> KERN              </v>
          </cell>
          <cell r="E8">
            <v>620</v>
          </cell>
          <cell r="F8" t="str">
            <v xml:space="preserve"> 2015-2016</v>
          </cell>
          <cell r="G8" t="str">
            <v xml:space="preserve"> 04/15/2016</v>
          </cell>
          <cell r="H8">
            <v>0</v>
          </cell>
          <cell r="I8">
            <v>0</v>
          </cell>
          <cell r="J8">
            <v>0</v>
          </cell>
          <cell r="K8">
            <v>0</v>
          </cell>
          <cell r="L8">
            <v>0</v>
          </cell>
          <cell r="M8">
            <v>0</v>
          </cell>
          <cell r="N8">
            <v>0</v>
          </cell>
          <cell r="O8">
            <v>0</v>
          </cell>
          <cell r="P8">
            <v>0</v>
          </cell>
          <cell r="Q8">
            <v>0</v>
          </cell>
          <cell r="R8">
            <v>0</v>
          </cell>
          <cell r="S8">
            <v>0</v>
          </cell>
          <cell r="T8">
            <v>0</v>
          </cell>
          <cell r="U8">
            <v>0</v>
          </cell>
          <cell r="V8" t="str">
            <v xml:space="preserve"> </v>
          </cell>
          <cell r="W8">
            <v>0</v>
          </cell>
          <cell r="X8">
            <v>0</v>
          </cell>
          <cell r="Y8">
            <v>0</v>
          </cell>
          <cell r="Z8">
            <v>0</v>
          </cell>
          <cell r="AA8">
            <v>0</v>
          </cell>
          <cell r="AB8">
            <v>790431</v>
          </cell>
          <cell r="AC8">
            <v>0</v>
          </cell>
          <cell r="AD8">
            <v>81576</v>
          </cell>
          <cell r="AE8">
            <v>0</v>
          </cell>
          <cell r="AF8">
            <v>0</v>
          </cell>
          <cell r="AG8">
            <v>0</v>
          </cell>
          <cell r="AH8">
            <v>0</v>
          </cell>
          <cell r="AI8">
            <v>0</v>
          </cell>
          <cell r="AJ8">
            <v>0</v>
          </cell>
          <cell r="AK8">
            <v>0</v>
          </cell>
          <cell r="AL8">
            <v>0</v>
          </cell>
          <cell r="AM8">
            <v>7154</v>
          </cell>
          <cell r="AN8">
            <v>0</v>
          </cell>
          <cell r="AO8">
            <v>0</v>
          </cell>
          <cell r="AP8">
            <v>879161</v>
          </cell>
        </row>
        <row r="9">
          <cell r="C9" t="str">
            <v xml:space="preserve"> ANTELOPE VALLEY   </v>
          </cell>
          <cell r="D9" t="str">
            <v xml:space="preserve"> LOS ANGELES       </v>
          </cell>
          <cell r="E9">
            <v>620</v>
          </cell>
          <cell r="F9" t="str">
            <v xml:space="preserve"> 2015-2016</v>
          </cell>
          <cell r="G9" t="str">
            <v xml:space="preserve"> 04/15/2016</v>
          </cell>
          <cell r="H9">
            <v>0</v>
          </cell>
          <cell r="I9">
            <v>0</v>
          </cell>
          <cell r="J9">
            <v>0</v>
          </cell>
          <cell r="K9">
            <v>0</v>
          </cell>
          <cell r="L9">
            <v>0</v>
          </cell>
          <cell r="M9">
            <v>0</v>
          </cell>
          <cell r="N9">
            <v>0</v>
          </cell>
          <cell r="O9">
            <v>0</v>
          </cell>
          <cell r="P9">
            <v>0</v>
          </cell>
          <cell r="Q9">
            <v>0</v>
          </cell>
          <cell r="R9">
            <v>0</v>
          </cell>
          <cell r="S9">
            <v>0</v>
          </cell>
          <cell r="T9">
            <v>0</v>
          </cell>
          <cell r="U9">
            <v>0</v>
          </cell>
          <cell r="V9" t="str">
            <v xml:space="preserve"> </v>
          </cell>
          <cell r="W9">
            <v>0</v>
          </cell>
          <cell r="X9">
            <v>0</v>
          </cell>
          <cell r="Y9">
            <v>0</v>
          </cell>
          <cell r="Z9">
            <v>0</v>
          </cell>
          <cell r="AA9">
            <v>0</v>
          </cell>
          <cell r="AB9">
            <v>4720093</v>
          </cell>
          <cell r="AC9">
            <v>145163</v>
          </cell>
          <cell r="AD9">
            <v>179810</v>
          </cell>
          <cell r="AE9">
            <v>13066</v>
          </cell>
          <cell r="AF9">
            <v>6206</v>
          </cell>
          <cell r="AG9">
            <v>0</v>
          </cell>
          <cell r="AH9">
            <v>0</v>
          </cell>
          <cell r="AI9">
            <v>21442</v>
          </cell>
          <cell r="AJ9">
            <v>0</v>
          </cell>
          <cell r="AK9">
            <v>117099</v>
          </cell>
          <cell r="AL9">
            <v>0</v>
          </cell>
          <cell r="AM9">
            <v>33051</v>
          </cell>
          <cell r="AN9">
            <v>0</v>
          </cell>
          <cell r="AO9">
            <v>0</v>
          </cell>
          <cell r="AP9">
            <v>5222864</v>
          </cell>
        </row>
        <row r="10">
          <cell r="C10" t="str">
            <v>ANTELOPE VALLEY Subtotal</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5510524</v>
          </cell>
          <cell r="AC10">
            <v>145163</v>
          </cell>
          <cell r="AD10">
            <v>261386</v>
          </cell>
          <cell r="AE10">
            <v>13066</v>
          </cell>
          <cell r="AF10">
            <v>6206</v>
          </cell>
          <cell r="AG10">
            <v>0</v>
          </cell>
          <cell r="AH10">
            <v>0</v>
          </cell>
          <cell r="AI10">
            <v>21442</v>
          </cell>
          <cell r="AJ10">
            <v>0</v>
          </cell>
          <cell r="AK10">
            <v>117099</v>
          </cell>
          <cell r="AL10">
            <v>0</v>
          </cell>
          <cell r="AM10">
            <v>40205</v>
          </cell>
          <cell r="AN10">
            <v>0</v>
          </cell>
          <cell r="AO10">
            <v>0</v>
          </cell>
          <cell r="AP10">
            <v>6102025</v>
          </cell>
        </row>
        <row r="12">
          <cell r="C12" t="str">
            <v xml:space="preserve"> BARSTOW           </v>
          </cell>
          <cell r="D12" t="str">
            <v xml:space="preserve"> SAN BERNARDINO    </v>
          </cell>
          <cell r="E12">
            <v>910</v>
          </cell>
          <cell r="F12" t="str">
            <v xml:space="preserve"> 2015-2016</v>
          </cell>
          <cell r="G12" t="str">
            <v xml:space="preserve"> 04/15/2016</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t="str">
            <v xml:space="preserve"> </v>
          </cell>
          <cell r="W12">
            <v>0</v>
          </cell>
          <cell r="X12">
            <v>0</v>
          </cell>
          <cell r="Y12">
            <v>0</v>
          </cell>
          <cell r="Z12">
            <v>0</v>
          </cell>
          <cell r="AA12">
            <v>0</v>
          </cell>
          <cell r="AB12">
            <v>3840074</v>
          </cell>
          <cell r="AC12">
            <v>60892</v>
          </cell>
          <cell r="AD12">
            <v>117002</v>
          </cell>
          <cell r="AE12">
            <v>61650</v>
          </cell>
          <cell r="AF12">
            <v>29284</v>
          </cell>
          <cell r="AG12">
            <v>0</v>
          </cell>
          <cell r="AH12">
            <v>0</v>
          </cell>
          <cell r="AI12">
            <v>184730</v>
          </cell>
          <cell r="AJ12">
            <v>0</v>
          </cell>
          <cell r="AK12">
            <v>4255</v>
          </cell>
          <cell r="AL12">
            <v>0</v>
          </cell>
          <cell r="AM12">
            <v>32624</v>
          </cell>
          <cell r="AN12">
            <v>0</v>
          </cell>
          <cell r="AO12">
            <v>-867458</v>
          </cell>
          <cell r="AP12">
            <v>3401403</v>
          </cell>
        </row>
        <row r="13">
          <cell r="C13" t="str">
            <v xml:space="preserve">BARSTOW Subtotal       </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3840074</v>
          </cell>
          <cell r="AC13">
            <v>60892</v>
          </cell>
          <cell r="AD13">
            <v>117002</v>
          </cell>
          <cell r="AE13">
            <v>61650</v>
          </cell>
          <cell r="AF13">
            <v>29284</v>
          </cell>
          <cell r="AG13">
            <v>0</v>
          </cell>
          <cell r="AH13">
            <v>0</v>
          </cell>
          <cell r="AI13">
            <v>184730</v>
          </cell>
          <cell r="AJ13">
            <v>0</v>
          </cell>
          <cell r="AK13">
            <v>4255</v>
          </cell>
          <cell r="AL13">
            <v>0</v>
          </cell>
          <cell r="AM13">
            <v>32624</v>
          </cell>
          <cell r="AN13">
            <v>0</v>
          </cell>
          <cell r="AO13">
            <v>-867458</v>
          </cell>
          <cell r="AP13">
            <v>3401403</v>
          </cell>
        </row>
        <row r="15">
          <cell r="C15" t="str">
            <v xml:space="preserve"> BUTTE             </v>
          </cell>
          <cell r="D15" t="str">
            <v xml:space="preserve"> BUTTE             </v>
          </cell>
          <cell r="E15">
            <v>110</v>
          </cell>
          <cell r="F15" t="str">
            <v xml:space="preserve"> 2015-2016</v>
          </cell>
          <cell r="G15" t="str">
            <v xml:space="preserve"> 04/15/2016</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t="str">
            <v xml:space="preserve"> </v>
          </cell>
          <cell r="W15">
            <v>0</v>
          </cell>
          <cell r="X15">
            <v>0</v>
          </cell>
          <cell r="Y15">
            <v>0</v>
          </cell>
          <cell r="Z15">
            <v>0</v>
          </cell>
          <cell r="AA15">
            <v>0</v>
          </cell>
          <cell r="AB15">
            <v>12484400</v>
          </cell>
          <cell r="AC15">
            <v>111000</v>
          </cell>
          <cell r="AD15">
            <v>758000</v>
          </cell>
          <cell r="AE15">
            <v>16186</v>
          </cell>
          <cell r="AF15">
            <v>7688</v>
          </cell>
          <cell r="AG15">
            <v>0</v>
          </cell>
          <cell r="AH15">
            <v>0</v>
          </cell>
          <cell r="AI15">
            <v>541571</v>
          </cell>
          <cell r="AJ15">
            <v>12940</v>
          </cell>
          <cell r="AK15">
            <v>15000</v>
          </cell>
          <cell r="AL15">
            <v>23200</v>
          </cell>
          <cell r="AM15">
            <v>213000</v>
          </cell>
          <cell r="AN15">
            <v>5400</v>
          </cell>
          <cell r="AO15">
            <v>-2568479</v>
          </cell>
          <cell r="AP15">
            <v>11603720</v>
          </cell>
        </row>
        <row r="16">
          <cell r="C16" t="str">
            <v xml:space="preserve"> BUTTE             </v>
          </cell>
          <cell r="D16" t="str">
            <v xml:space="preserve"> GLENN             </v>
          </cell>
          <cell r="E16">
            <v>110</v>
          </cell>
          <cell r="F16" t="str">
            <v xml:space="preserve"> 2015-2016</v>
          </cell>
          <cell r="G16" t="str">
            <v xml:space="preserve"> 04/15/2016</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t="str">
            <v xml:space="preserve"> </v>
          </cell>
          <cell r="W16">
            <v>0</v>
          </cell>
          <cell r="X16">
            <v>0</v>
          </cell>
          <cell r="Y16">
            <v>0</v>
          </cell>
          <cell r="Z16">
            <v>0</v>
          </cell>
          <cell r="AA16">
            <v>0</v>
          </cell>
          <cell r="AB16">
            <v>2403427</v>
          </cell>
          <cell r="AC16">
            <v>0</v>
          </cell>
          <cell r="AD16">
            <v>122632</v>
          </cell>
          <cell r="AE16">
            <v>0</v>
          </cell>
          <cell r="AF16">
            <v>0</v>
          </cell>
          <cell r="AG16">
            <v>0</v>
          </cell>
          <cell r="AH16">
            <v>0</v>
          </cell>
          <cell r="AI16">
            <v>0</v>
          </cell>
          <cell r="AJ16">
            <v>0</v>
          </cell>
          <cell r="AK16">
            <v>0</v>
          </cell>
          <cell r="AL16">
            <v>0</v>
          </cell>
          <cell r="AM16">
            <v>27675</v>
          </cell>
          <cell r="AN16">
            <v>0</v>
          </cell>
          <cell r="AO16">
            <v>-74334</v>
          </cell>
          <cell r="AP16">
            <v>2479400</v>
          </cell>
        </row>
        <row r="17">
          <cell r="C17" t="str">
            <v xml:space="preserve">BUTTE Subtotal            </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14887827</v>
          </cell>
          <cell r="AC17">
            <v>111000</v>
          </cell>
          <cell r="AD17">
            <v>880632</v>
          </cell>
          <cell r="AE17">
            <v>16186</v>
          </cell>
          <cell r="AF17">
            <v>7688</v>
          </cell>
          <cell r="AG17">
            <v>0</v>
          </cell>
          <cell r="AH17">
            <v>0</v>
          </cell>
          <cell r="AI17">
            <v>541571</v>
          </cell>
          <cell r="AJ17">
            <v>12940</v>
          </cell>
          <cell r="AK17">
            <v>15000</v>
          </cell>
          <cell r="AL17">
            <v>23200</v>
          </cell>
          <cell r="AM17">
            <v>240675</v>
          </cell>
          <cell r="AN17">
            <v>5400</v>
          </cell>
          <cell r="AO17">
            <v>-2642813</v>
          </cell>
          <cell r="AP17">
            <v>14083120</v>
          </cell>
        </row>
        <row r="19">
          <cell r="C19" t="str">
            <v xml:space="preserve"> CABRILLO          </v>
          </cell>
          <cell r="D19" t="str">
            <v xml:space="preserve"> MONTEREY          </v>
          </cell>
          <cell r="E19">
            <v>410</v>
          </cell>
          <cell r="F19" t="str">
            <v xml:space="preserve"> 2015-2016</v>
          </cell>
          <cell r="G19" t="str">
            <v xml:space="preserve"> 04/15/2016</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t="str">
            <v xml:space="preserve"> </v>
          </cell>
          <cell r="W19">
            <v>0</v>
          </cell>
          <cell r="X19">
            <v>0</v>
          </cell>
          <cell r="Y19">
            <v>0</v>
          </cell>
          <cell r="Z19">
            <v>0</v>
          </cell>
          <cell r="AA19">
            <v>0</v>
          </cell>
          <cell r="AB19">
            <v>728824</v>
          </cell>
          <cell r="AC19">
            <v>8173</v>
          </cell>
          <cell r="AD19">
            <v>29497</v>
          </cell>
          <cell r="AE19">
            <v>1573</v>
          </cell>
          <cell r="AF19">
            <v>747</v>
          </cell>
          <cell r="AG19">
            <v>0</v>
          </cell>
          <cell r="AH19">
            <v>0</v>
          </cell>
          <cell r="AI19">
            <v>0</v>
          </cell>
          <cell r="AJ19">
            <v>0</v>
          </cell>
          <cell r="AK19">
            <v>6418</v>
          </cell>
          <cell r="AL19">
            <v>0</v>
          </cell>
          <cell r="AM19">
            <v>4221</v>
          </cell>
          <cell r="AN19">
            <v>0</v>
          </cell>
          <cell r="AO19">
            <v>0</v>
          </cell>
          <cell r="AP19">
            <v>777880</v>
          </cell>
        </row>
        <row r="20">
          <cell r="C20" t="str">
            <v xml:space="preserve"> CABRILLO          </v>
          </cell>
          <cell r="D20" t="str">
            <v xml:space="preserve"> SAN BENITO        </v>
          </cell>
          <cell r="E20">
            <v>410</v>
          </cell>
          <cell r="F20" t="str">
            <v xml:space="preserve"> 2015-2016</v>
          </cell>
          <cell r="G20" t="str">
            <v xml:space="preserve"> 04/15/2016</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t="str">
            <v xml:space="preserve"> </v>
          </cell>
          <cell r="W20">
            <v>0</v>
          </cell>
          <cell r="X20">
            <v>0</v>
          </cell>
          <cell r="Y20">
            <v>0</v>
          </cell>
          <cell r="Z20">
            <v>0</v>
          </cell>
          <cell r="AA20">
            <v>0</v>
          </cell>
          <cell r="AB20">
            <v>169296</v>
          </cell>
          <cell r="AC20">
            <v>1886</v>
          </cell>
          <cell r="AD20">
            <v>8349</v>
          </cell>
          <cell r="AE20">
            <v>0</v>
          </cell>
          <cell r="AF20">
            <v>0</v>
          </cell>
          <cell r="AG20">
            <v>0</v>
          </cell>
          <cell r="AH20">
            <v>0</v>
          </cell>
          <cell r="AI20">
            <v>0</v>
          </cell>
          <cell r="AJ20">
            <v>0</v>
          </cell>
          <cell r="AK20">
            <v>0</v>
          </cell>
          <cell r="AL20">
            <v>0</v>
          </cell>
          <cell r="AM20">
            <v>1621</v>
          </cell>
          <cell r="AN20">
            <v>0</v>
          </cell>
          <cell r="AO20">
            <v>-47</v>
          </cell>
          <cell r="AP20">
            <v>181105</v>
          </cell>
        </row>
        <row r="21">
          <cell r="C21" t="str">
            <v xml:space="preserve"> CABRILLO          </v>
          </cell>
          <cell r="D21" t="str">
            <v xml:space="preserve"> SANTA CRUZ        </v>
          </cell>
          <cell r="E21">
            <v>410</v>
          </cell>
          <cell r="F21" t="str">
            <v xml:space="preserve"> 2015-2016</v>
          </cell>
          <cell r="G21" t="str">
            <v xml:space="preserve"> 04/15/2016</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t="str">
            <v xml:space="preserve"> </v>
          </cell>
          <cell r="W21">
            <v>0</v>
          </cell>
          <cell r="X21">
            <v>0</v>
          </cell>
          <cell r="Y21">
            <v>0</v>
          </cell>
          <cell r="Z21">
            <v>0</v>
          </cell>
          <cell r="AA21">
            <v>0</v>
          </cell>
          <cell r="AB21">
            <v>19924732</v>
          </cell>
          <cell r="AC21">
            <v>293549</v>
          </cell>
          <cell r="AD21">
            <v>395429</v>
          </cell>
          <cell r="AE21">
            <v>201945</v>
          </cell>
          <cell r="AF21">
            <v>95924</v>
          </cell>
          <cell r="AG21">
            <v>0</v>
          </cell>
          <cell r="AH21">
            <v>0</v>
          </cell>
          <cell r="AI21">
            <v>672083</v>
          </cell>
          <cell r="AJ21">
            <v>0</v>
          </cell>
          <cell r="AK21">
            <v>74568</v>
          </cell>
          <cell r="AL21">
            <v>7412</v>
          </cell>
          <cell r="AM21">
            <v>144142</v>
          </cell>
          <cell r="AN21">
            <v>6473</v>
          </cell>
          <cell r="AO21">
            <v>885112</v>
          </cell>
          <cell r="AP21">
            <v>22499424</v>
          </cell>
        </row>
        <row r="22">
          <cell r="C22" t="str">
            <v xml:space="preserve">CABRILLO Subtotal          </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20822852</v>
          </cell>
          <cell r="AC22">
            <v>303608</v>
          </cell>
          <cell r="AD22">
            <v>433275</v>
          </cell>
          <cell r="AE22">
            <v>203518</v>
          </cell>
          <cell r="AF22">
            <v>96671</v>
          </cell>
          <cell r="AG22">
            <v>0</v>
          </cell>
          <cell r="AH22">
            <v>0</v>
          </cell>
          <cell r="AI22">
            <v>672083</v>
          </cell>
          <cell r="AJ22">
            <v>0</v>
          </cell>
          <cell r="AK22">
            <v>80986</v>
          </cell>
          <cell r="AL22">
            <v>7412</v>
          </cell>
          <cell r="AM22">
            <v>149984</v>
          </cell>
          <cell r="AN22">
            <v>6473</v>
          </cell>
          <cell r="AO22">
            <v>885065</v>
          </cell>
          <cell r="AP22">
            <v>23458409</v>
          </cell>
        </row>
        <row r="24">
          <cell r="C24" t="str">
            <v xml:space="preserve"> CERRITOS          </v>
          </cell>
          <cell r="D24" t="str">
            <v xml:space="preserve"> LOS ANGELES       </v>
          </cell>
          <cell r="E24">
            <v>810</v>
          </cell>
          <cell r="F24" t="str">
            <v xml:space="preserve"> 2015-2016</v>
          </cell>
          <cell r="G24" t="str">
            <v xml:space="preserve"> 04/15/2016</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t="str">
            <v xml:space="preserve"> </v>
          </cell>
          <cell r="W24">
            <v>0</v>
          </cell>
          <cell r="X24">
            <v>0</v>
          </cell>
          <cell r="Y24">
            <v>0</v>
          </cell>
          <cell r="Z24">
            <v>0</v>
          </cell>
          <cell r="AA24">
            <v>0</v>
          </cell>
          <cell r="AB24">
            <v>7764334</v>
          </cell>
          <cell r="AC24">
            <v>241562</v>
          </cell>
          <cell r="AD24">
            <v>221338</v>
          </cell>
          <cell r="AE24">
            <v>82194</v>
          </cell>
          <cell r="AF24">
            <v>39042</v>
          </cell>
          <cell r="AG24">
            <v>0</v>
          </cell>
          <cell r="AH24">
            <v>0</v>
          </cell>
          <cell r="AI24">
            <v>375409</v>
          </cell>
          <cell r="AJ24">
            <v>318108</v>
          </cell>
          <cell r="AK24">
            <v>189123</v>
          </cell>
          <cell r="AL24">
            <v>0</v>
          </cell>
          <cell r="AM24">
            <v>54514</v>
          </cell>
          <cell r="AN24">
            <v>292</v>
          </cell>
          <cell r="AO24">
            <v>0</v>
          </cell>
          <cell r="AP24">
            <v>9203722</v>
          </cell>
        </row>
        <row r="25">
          <cell r="C25" t="str">
            <v xml:space="preserve">CERRITOS Subtotal     </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7764334</v>
          </cell>
          <cell r="AC25">
            <v>241562</v>
          </cell>
          <cell r="AD25">
            <v>221338</v>
          </cell>
          <cell r="AE25">
            <v>82194</v>
          </cell>
          <cell r="AF25">
            <v>39042</v>
          </cell>
          <cell r="AG25">
            <v>0</v>
          </cell>
          <cell r="AH25">
            <v>0</v>
          </cell>
          <cell r="AI25">
            <v>375409</v>
          </cell>
          <cell r="AJ25">
            <v>318108</v>
          </cell>
          <cell r="AK25">
            <v>189123</v>
          </cell>
          <cell r="AL25">
            <v>0</v>
          </cell>
          <cell r="AM25">
            <v>54514</v>
          </cell>
          <cell r="AN25">
            <v>292</v>
          </cell>
          <cell r="AO25">
            <v>0</v>
          </cell>
          <cell r="AP25">
            <v>9203722</v>
          </cell>
        </row>
        <row r="27">
          <cell r="C27" t="str">
            <v xml:space="preserve"> CHABOT-LAS POSITAS</v>
          </cell>
          <cell r="D27" t="str">
            <v xml:space="preserve"> ALAMEDA           </v>
          </cell>
          <cell r="E27">
            <v>480</v>
          </cell>
          <cell r="F27" t="str">
            <v xml:space="preserve"> 2015-2016</v>
          </cell>
          <cell r="G27" t="str">
            <v xml:space="preserve"> 04/15/2016</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t="str">
            <v xml:space="preserve"> </v>
          </cell>
          <cell r="W27">
            <v>0</v>
          </cell>
          <cell r="X27">
            <v>0</v>
          </cell>
          <cell r="Y27">
            <v>0</v>
          </cell>
          <cell r="Z27">
            <v>0</v>
          </cell>
          <cell r="AA27">
            <v>0</v>
          </cell>
          <cell r="AB27">
            <v>24579083</v>
          </cell>
          <cell r="AC27">
            <v>625418</v>
          </cell>
          <cell r="AD27">
            <v>1761412</v>
          </cell>
          <cell r="AE27">
            <v>682709</v>
          </cell>
          <cell r="AF27">
            <v>324287</v>
          </cell>
          <cell r="AG27">
            <v>0</v>
          </cell>
          <cell r="AH27">
            <v>0</v>
          </cell>
          <cell r="AI27">
            <v>1005411</v>
          </cell>
          <cell r="AJ27">
            <v>84347</v>
          </cell>
          <cell r="AK27">
            <v>-602799</v>
          </cell>
          <cell r="AL27">
            <v>0</v>
          </cell>
          <cell r="AM27">
            <v>210588</v>
          </cell>
          <cell r="AN27">
            <v>842</v>
          </cell>
          <cell r="AO27">
            <v>6451121</v>
          </cell>
          <cell r="AP27">
            <v>34439710</v>
          </cell>
        </row>
        <row r="28">
          <cell r="C28" t="str">
            <v xml:space="preserve"> CHABOT-LAS POSITAS</v>
          </cell>
          <cell r="D28" t="str">
            <v xml:space="preserve"> CONTRA COSTA      </v>
          </cell>
          <cell r="E28">
            <v>480</v>
          </cell>
          <cell r="F28" t="str">
            <v xml:space="preserve"> 2015-2016</v>
          </cell>
          <cell r="G28" t="str">
            <v xml:space="preserve"> 04/15/2016</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t="str">
            <v xml:space="preserve"> </v>
          </cell>
          <cell r="W28">
            <v>0</v>
          </cell>
          <cell r="X28">
            <v>0</v>
          </cell>
          <cell r="Y28">
            <v>0</v>
          </cell>
          <cell r="Z28">
            <v>0</v>
          </cell>
          <cell r="AA28">
            <v>0</v>
          </cell>
          <cell r="AB28">
            <v>290960</v>
          </cell>
          <cell r="AC28">
            <v>5400</v>
          </cell>
          <cell r="AD28">
            <v>9630</v>
          </cell>
          <cell r="AE28">
            <v>0</v>
          </cell>
          <cell r="AF28">
            <v>0</v>
          </cell>
          <cell r="AG28">
            <v>0</v>
          </cell>
          <cell r="AH28">
            <v>0</v>
          </cell>
          <cell r="AI28">
            <v>0</v>
          </cell>
          <cell r="AJ28">
            <v>0</v>
          </cell>
          <cell r="AK28">
            <v>0</v>
          </cell>
          <cell r="AL28">
            <v>0</v>
          </cell>
          <cell r="AM28">
            <v>2263</v>
          </cell>
          <cell r="AN28">
            <v>0</v>
          </cell>
          <cell r="AO28">
            <v>0</v>
          </cell>
          <cell r="AP28">
            <v>308253</v>
          </cell>
        </row>
        <row r="29">
          <cell r="C29" t="str">
            <v>CHABOT-LAS POSITAS Subtotal</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24870043</v>
          </cell>
          <cell r="AC29">
            <v>630818</v>
          </cell>
          <cell r="AD29">
            <v>1771042</v>
          </cell>
          <cell r="AE29">
            <v>682709</v>
          </cell>
          <cell r="AF29">
            <v>324287</v>
          </cell>
          <cell r="AG29">
            <v>0</v>
          </cell>
          <cell r="AH29">
            <v>0</v>
          </cell>
          <cell r="AI29">
            <v>1005411</v>
          </cell>
          <cell r="AJ29">
            <v>84347</v>
          </cell>
          <cell r="AK29">
            <v>-602799</v>
          </cell>
          <cell r="AL29">
            <v>0</v>
          </cell>
          <cell r="AM29">
            <v>212851</v>
          </cell>
          <cell r="AN29">
            <v>842</v>
          </cell>
          <cell r="AO29">
            <v>6451121</v>
          </cell>
          <cell r="AP29">
            <v>34747963</v>
          </cell>
        </row>
        <row r="31">
          <cell r="C31" t="str">
            <v xml:space="preserve"> CHAFFEY           </v>
          </cell>
          <cell r="D31" t="str">
            <v xml:space="preserve"> SAN BERNARDINO    </v>
          </cell>
          <cell r="E31">
            <v>920</v>
          </cell>
          <cell r="F31" t="str">
            <v xml:space="preserve"> 2015-2016</v>
          </cell>
          <cell r="G31" t="str">
            <v xml:space="preserve"> 04/15/2016</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t="str">
            <v xml:space="preserve"> </v>
          </cell>
          <cell r="W31">
            <v>0</v>
          </cell>
          <cell r="X31">
            <v>0</v>
          </cell>
          <cell r="Y31">
            <v>0</v>
          </cell>
          <cell r="Z31">
            <v>0</v>
          </cell>
          <cell r="AA31">
            <v>0</v>
          </cell>
          <cell r="AB31">
            <v>25657012</v>
          </cell>
          <cell r="AC31">
            <v>481045</v>
          </cell>
          <cell r="AD31">
            <v>1003783</v>
          </cell>
          <cell r="AE31">
            <v>1895429</v>
          </cell>
          <cell r="AF31">
            <v>900329</v>
          </cell>
          <cell r="AG31">
            <v>0</v>
          </cell>
          <cell r="AH31">
            <v>0</v>
          </cell>
          <cell r="AI31">
            <v>6177517</v>
          </cell>
          <cell r="AJ31">
            <v>4416732</v>
          </cell>
          <cell r="AK31">
            <v>31277</v>
          </cell>
          <cell r="AL31">
            <v>0</v>
          </cell>
          <cell r="AM31">
            <v>279886</v>
          </cell>
          <cell r="AN31">
            <v>0</v>
          </cell>
          <cell r="AO31">
            <v>-7442093</v>
          </cell>
          <cell r="AP31">
            <v>31505488</v>
          </cell>
        </row>
        <row r="32">
          <cell r="C32" t="str">
            <v xml:space="preserve">CHAFFEY Subtotal     </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25657012</v>
          </cell>
          <cell r="AC32">
            <v>481045</v>
          </cell>
          <cell r="AD32">
            <v>1003783</v>
          </cell>
          <cell r="AE32">
            <v>1895429</v>
          </cell>
          <cell r="AF32">
            <v>900329</v>
          </cell>
          <cell r="AG32">
            <v>0</v>
          </cell>
          <cell r="AH32">
            <v>0</v>
          </cell>
          <cell r="AI32">
            <v>6177517</v>
          </cell>
          <cell r="AJ32">
            <v>4416732</v>
          </cell>
          <cell r="AK32">
            <v>31277</v>
          </cell>
          <cell r="AL32">
            <v>0</v>
          </cell>
          <cell r="AM32">
            <v>279886</v>
          </cell>
          <cell r="AN32">
            <v>0</v>
          </cell>
          <cell r="AO32">
            <v>-7442093</v>
          </cell>
          <cell r="AP32">
            <v>31505488</v>
          </cell>
        </row>
        <row r="34">
          <cell r="C34" t="str">
            <v xml:space="preserve"> CITRUS            </v>
          </cell>
          <cell r="D34" t="str">
            <v xml:space="preserve"> LOS ANGELES       </v>
          </cell>
          <cell r="E34">
            <v>820</v>
          </cell>
          <cell r="F34" t="str">
            <v xml:space="preserve"> 2015-2016</v>
          </cell>
          <cell r="G34" t="str">
            <v xml:space="preserve"> 04/15/2016</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t="str">
            <v xml:space="preserve"> </v>
          </cell>
          <cell r="W34">
            <v>0</v>
          </cell>
          <cell r="X34">
            <v>0</v>
          </cell>
          <cell r="Y34">
            <v>0</v>
          </cell>
          <cell r="Z34">
            <v>0</v>
          </cell>
          <cell r="AA34">
            <v>0</v>
          </cell>
          <cell r="AB34">
            <v>4373214</v>
          </cell>
          <cell r="AC34">
            <v>120255</v>
          </cell>
          <cell r="AD34">
            <v>99571</v>
          </cell>
          <cell r="AE34">
            <v>40076</v>
          </cell>
          <cell r="AF34">
            <v>19036</v>
          </cell>
          <cell r="AG34">
            <v>0</v>
          </cell>
          <cell r="AH34">
            <v>0</v>
          </cell>
          <cell r="AI34">
            <v>95068</v>
          </cell>
          <cell r="AJ34">
            <v>0</v>
          </cell>
          <cell r="AK34">
            <v>253774</v>
          </cell>
          <cell r="AL34">
            <v>0</v>
          </cell>
          <cell r="AM34">
            <v>31261</v>
          </cell>
          <cell r="AN34">
            <v>1</v>
          </cell>
          <cell r="AO34">
            <v>0</v>
          </cell>
          <cell r="AP34">
            <v>4992180</v>
          </cell>
        </row>
        <row r="35">
          <cell r="C35" t="str">
            <v xml:space="preserve">CITRUS Subtotal       </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4373214</v>
          </cell>
          <cell r="AC35">
            <v>120255</v>
          </cell>
          <cell r="AD35">
            <v>99571</v>
          </cell>
          <cell r="AE35">
            <v>40076</v>
          </cell>
          <cell r="AF35">
            <v>19036</v>
          </cell>
          <cell r="AG35">
            <v>0</v>
          </cell>
          <cell r="AH35">
            <v>0</v>
          </cell>
          <cell r="AI35">
            <v>95068</v>
          </cell>
          <cell r="AJ35">
            <v>0</v>
          </cell>
          <cell r="AK35">
            <v>253774</v>
          </cell>
          <cell r="AL35">
            <v>0</v>
          </cell>
          <cell r="AM35">
            <v>31261</v>
          </cell>
          <cell r="AN35">
            <v>1</v>
          </cell>
          <cell r="AO35">
            <v>0</v>
          </cell>
          <cell r="AP35">
            <v>4992180</v>
          </cell>
        </row>
        <row r="37">
          <cell r="C37" t="str">
            <v xml:space="preserve"> COAST             </v>
          </cell>
          <cell r="D37" t="str">
            <v xml:space="preserve"> ORANGE            </v>
          </cell>
          <cell r="E37">
            <v>830</v>
          </cell>
          <cell r="F37" t="str">
            <v xml:space="preserve"> 2015-2016</v>
          </cell>
          <cell r="G37" t="str">
            <v xml:space="preserve"> 04/15/2016</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t="str">
            <v xml:space="preserve"> </v>
          </cell>
          <cell r="W37">
            <v>0</v>
          </cell>
          <cell r="X37">
            <v>0</v>
          </cell>
          <cell r="Y37">
            <v>0</v>
          </cell>
          <cell r="Z37">
            <v>0</v>
          </cell>
          <cell r="AA37">
            <v>0</v>
          </cell>
          <cell r="AB37">
            <v>99089799</v>
          </cell>
          <cell r="AC37">
            <v>2367247</v>
          </cell>
          <cell r="AD37">
            <v>3233811</v>
          </cell>
          <cell r="AE37">
            <v>1690546</v>
          </cell>
          <cell r="AF37">
            <v>803009</v>
          </cell>
          <cell r="AG37">
            <v>0</v>
          </cell>
          <cell r="AH37">
            <v>0</v>
          </cell>
          <cell r="AI37">
            <v>6130890</v>
          </cell>
          <cell r="AJ37">
            <v>663331</v>
          </cell>
          <cell r="AK37">
            <v>1467926</v>
          </cell>
          <cell r="AL37">
            <v>14</v>
          </cell>
          <cell r="AM37">
            <v>687158</v>
          </cell>
          <cell r="AN37">
            <v>0</v>
          </cell>
          <cell r="AO37">
            <v>6659864</v>
          </cell>
          <cell r="AP37">
            <v>121103049</v>
          </cell>
        </row>
        <row r="38">
          <cell r="C38" t="str">
            <v xml:space="preserve">COAST Subtotal         </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99089799</v>
          </cell>
          <cell r="AC38">
            <v>2367247</v>
          </cell>
          <cell r="AD38">
            <v>3233811</v>
          </cell>
          <cell r="AE38">
            <v>1690546</v>
          </cell>
          <cell r="AF38">
            <v>803009</v>
          </cell>
          <cell r="AG38">
            <v>0</v>
          </cell>
          <cell r="AH38">
            <v>0</v>
          </cell>
          <cell r="AI38">
            <v>6130890</v>
          </cell>
          <cell r="AJ38">
            <v>663331</v>
          </cell>
          <cell r="AK38">
            <v>1467926</v>
          </cell>
          <cell r="AL38">
            <v>14</v>
          </cell>
          <cell r="AM38">
            <v>687158</v>
          </cell>
          <cell r="AN38">
            <v>0</v>
          </cell>
          <cell r="AO38">
            <v>6659864</v>
          </cell>
          <cell r="AP38">
            <v>121103049</v>
          </cell>
        </row>
        <row r="40">
          <cell r="C40" t="str">
            <v xml:space="preserve"> COMPTON           </v>
          </cell>
          <cell r="D40" t="str">
            <v xml:space="preserve"> LOS ANGELES       </v>
          </cell>
          <cell r="E40">
            <v>710</v>
          </cell>
          <cell r="F40" t="str">
            <v xml:space="preserve"> 2015-2016</v>
          </cell>
          <cell r="G40" t="str">
            <v xml:space="preserve"> 04/15/2016</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t="str">
            <v xml:space="preserve"> </v>
          </cell>
          <cell r="W40">
            <v>0</v>
          </cell>
          <cell r="X40">
            <v>0</v>
          </cell>
          <cell r="Y40">
            <v>0</v>
          </cell>
          <cell r="Z40">
            <v>0</v>
          </cell>
          <cell r="AA40">
            <v>0</v>
          </cell>
          <cell r="AB40">
            <v>3911937</v>
          </cell>
          <cell r="AC40">
            <v>114816</v>
          </cell>
          <cell r="AD40">
            <v>60501</v>
          </cell>
          <cell r="AE40">
            <v>74278</v>
          </cell>
          <cell r="AF40">
            <v>35282</v>
          </cell>
          <cell r="AG40">
            <v>0</v>
          </cell>
          <cell r="AH40">
            <v>0</v>
          </cell>
          <cell r="AI40">
            <v>170464</v>
          </cell>
          <cell r="AJ40">
            <v>72529</v>
          </cell>
          <cell r="AK40">
            <v>74925</v>
          </cell>
          <cell r="AL40">
            <v>0</v>
          </cell>
          <cell r="AM40">
            <v>26988</v>
          </cell>
          <cell r="AN40">
            <v>119</v>
          </cell>
          <cell r="AO40">
            <v>0</v>
          </cell>
          <cell r="AP40">
            <v>4467561</v>
          </cell>
        </row>
        <row r="41">
          <cell r="C41" t="str">
            <v xml:space="preserve">COMPTON Subtotal           </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3911937</v>
          </cell>
          <cell r="AC41">
            <v>114816</v>
          </cell>
          <cell r="AD41">
            <v>60501</v>
          </cell>
          <cell r="AE41">
            <v>74278</v>
          </cell>
          <cell r="AF41">
            <v>35282</v>
          </cell>
          <cell r="AG41">
            <v>0</v>
          </cell>
          <cell r="AH41">
            <v>0</v>
          </cell>
          <cell r="AI41">
            <v>170464</v>
          </cell>
          <cell r="AJ41">
            <v>72529</v>
          </cell>
          <cell r="AK41">
            <v>74925</v>
          </cell>
          <cell r="AL41">
            <v>0</v>
          </cell>
          <cell r="AM41">
            <v>26988</v>
          </cell>
          <cell r="AN41">
            <v>119</v>
          </cell>
          <cell r="AO41">
            <v>0</v>
          </cell>
          <cell r="AP41">
            <v>4467561</v>
          </cell>
        </row>
        <row r="43">
          <cell r="C43" t="str">
            <v xml:space="preserve"> CONTRA COSTA      </v>
          </cell>
          <cell r="D43" t="str">
            <v xml:space="preserve"> CONTRA COSTA      </v>
          </cell>
          <cell r="E43">
            <v>310</v>
          </cell>
          <cell r="F43" t="str">
            <v xml:space="preserve"> 2015-2016</v>
          </cell>
          <cell r="G43" t="str">
            <v xml:space="preserve"> 04/15/2016</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t="str">
            <v xml:space="preserve"> </v>
          </cell>
          <cell r="W43">
            <v>0</v>
          </cell>
          <cell r="X43">
            <v>0</v>
          </cell>
          <cell r="Y43">
            <v>0</v>
          </cell>
          <cell r="Z43">
            <v>0</v>
          </cell>
          <cell r="AA43">
            <v>0</v>
          </cell>
          <cell r="AB43">
            <v>74598215</v>
          </cell>
          <cell r="AC43">
            <v>871300</v>
          </cell>
          <cell r="AD43">
            <v>2783796</v>
          </cell>
          <cell r="AE43">
            <v>131500</v>
          </cell>
          <cell r="AF43">
            <v>62463</v>
          </cell>
          <cell r="AG43">
            <v>0</v>
          </cell>
          <cell r="AH43">
            <v>0</v>
          </cell>
          <cell r="AI43">
            <v>1689500</v>
          </cell>
          <cell r="AJ43">
            <v>556800</v>
          </cell>
          <cell r="AK43">
            <v>0</v>
          </cell>
          <cell r="AL43">
            <v>0</v>
          </cell>
          <cell r="AM43">
            <v>654255</v>
          </cell>
          <cell r="AN43">
            <v>7536</v>
          </cell>
          <cell r="AO43">
            <v>8244428</v>
          </cell>
          <cell r="AP43">
            <v>89468293</v>
          </cell>
        </row>
        <row r="44">
          <cell r="C44" t="str">
            <v xml:space="preserve">CONTRA COSTA Subtotal   </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74598215</v>
          </cell>
          <cell r="AC44">
            <v>871300</v>
          </cell>
          <cell r="AD44">
            <v>2783796</v>
          </cell>
          <cell r="AE44">
            <v>131500</v>
          </cell>
          <cell r="AF44">
            <v>62463</v>
          </cell>
          <cell r="AG44">
            <v>0</v>
          </cell>
          <cell r="AH44">
            <v>0</v>
          </cell>
          <cell r="AI44">
            <v>1689500</v>
          </cell>
          <cell r="AJ44">
            <v>556800</v>
          </cell>
          <cell r="AK44">
            <v>0</v>
          </cell>
          <cell r="AL44">
            <v>0</v>
          </cell>
          <cell r="AM44">
            <v>654255</v>
          </cell>
          <cell r="AN44">
            <v>7536</v>
          </cell>
          <cell r="AO44">
            <v>8244428</v>
          </cell>
          <cell r="AP44">
            <v>89468293</v>
          </cell>
        </row>
        <row r="46">
          <cell r="C46" t="str">
            <v xml:space="preserve"> COPPER MOUNTAIN</v>
          </cell>
          <cell r="D46" t="str">
            <v xml:space="preserve"> SAN BERNARDINO    </v>
          </cell>
          <cell r="E46">
            <v>970</v>
          </cell>
          <cell r="F46" t="str">
            <v xml:space="preserve"> 2015-2016</v>
          </cell>
          <cell r="G46" t="str">
            <v xml:space="preserve"> 04/15/2016</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t="str">
            <v xml:space="preserve"> </v>
          </cell>
          <cell r="W46">
            <v>0</v>
          </cell>
          <cell r="X46">
            <v>0</v>
          </cell>
          <cell r="Y46">
            <v>0</v>
          </cell>
          <cell r="Z46">
            <v>0</v>
          </cell>
          <cell r="AA46">
            <v>0</v>
          </cell>
          <cell r="AB46">
            <v>1671268</v>
          </cell>
          <cell r="AC46">
            <v>31703</v>
          </cell>
          <cell r="AD46">
            <v>63094</v>
          </cell>
          <cell r="AE46">
            <v>0</v>
          </cell>
          <cell r="AF46">
            <v>0</v>
          </cell>
          <cell r="AG46">
            <v>0</v>
          </cell>
          <cell r="AH46">
            <v>0</v>
          </cell>
          <cell r="AI46">
            <v>23718</v>
          </cell>
          <cell r="AJ46">
            <v>0</v>
          </cell>
          <cell r="AK46">
            <v>2065</v>
          </cell>
          <cell r="AL46">
            <v>0</v>
          </cell>
          <cell r="AM46">
            <v>17593</v>
          </cell>
          <cell r="AN46">
            <v>0</v>
          </cell>
          <cell r="AO46">
            <v>-467781</v>
          </cell>
          <cell r="AP46">
            <v>1341660</v>
          </cell>
        </row>
        <row r="47">
          <cell r="C47" t="str">
            <v>COPPER MOUNTAIN Subtotal</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1671268</v>
          </cell>
          <cell r="AC47">
            <v>31703</v>
          </cell>
          <cell r="AD47">
            <v>63094</v>
          </cell>
          <cell r="AE47">
            <v>0</v>
          </cell>
          <cell r="AF47">
            <v>0</v>
          </cell>
          <cell r="AG47">
            <v>0</v>
          </cell>
          <cell r="AH47">
            <v>0</v>
          </cell>
          <cell r="AI47">
            <v>23718</v>
          </cell>
          <cell r="AJ47">
            <v>0</v>
          </cell>
          <cell r="AK47">
            <v>2065</v>
          </cell>
          <cell r="AL47">
            <v>0</v>
          </cell>
          <cell r="AM47">
            <v>17593</v>
          </cell>
          <cell r="AN47">
            <v>0</v>
          </cell>
          <cell r="AO47">
            <v>-467781</v>
          </cell>
          <cell r="AP47">
            <v>1341660</v>
          </cell>
        </row>
        <row r="49">
          <cell r="C49" t="str">
            <v xml:space="preserve"> DESERT            </v>
          </cell>
          <cell r="D49" t="str">
            <v xml:space="preserve"> IMPERIAL          </v>
          </cell>
          <cell r="E49">
            <v>930</v>
          </cell>
          <cell r="F49" t="str">
            <v xml:space="preserve"> 2015-2016</v>
          </cell>
          <cell r="G49" t="str">
            <v xml:space="preserve"> 04/15/2016</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t="str">
            <v xml:space="preserve"> </v>
          </cell>
          <cell r="W49">
            <v>0</v>
          </cell>
          <cell r="X49">
            <v>0</v>
          </cell>
          <cell r="Y49">
            <v>0</v>
          </cell>
          <cell r="Z49">
            <v>0</v>
          </cell>
          <cell r="AA49">
            <v>0</v>
          </cell>
          <cell r="AB49">
            <v>172555</v>
          </cell>
          <cell r="AC49">
            <v>1189</v>
          </cell>
          <cell r="AD49">
            <v>19029</v>
          </cell>
          <cell r="AE49">
            <v>0</v>
          </cell>
          <cell r="AF49">
            <v>0</v>
          </cell>
          <cell r="AG49">
            <v>0</v>
          </cell>
          <cell r="AH49">
            <v>0</v>
          </cell>
          <cell r="AI49">
            <v>0</v>
          </cell>
          <cell r="AJ49">
            <v>0</v>
          </cell>
          <cell r="AK49">
            <v>0</v>
          </cell>
          <cell r="AL49">
            <v>0</v>
          </cell>
          <cell r="AM49">
            <v>1790</v>
          </cell>
          <cell r="AN49">
            <v>0</v>
          </cell>
          <cell r="AO49">
            <v>0</v>
          </cell>
          <cell r="AP49">
            <v>194563</v>
          </cell>
        </row>
        <row r="50">
          <cell r="C50" t="str">
            <v xml:space="preserve"> DESERT            </v>
          </cell>
          <cell r="D50" t="str">
            <v xml:space="preserve"> RIVERSIDE         </v>
          </cell>
          <cell r="E50">
            <v>930</v>
          </cell>
          <cell r="F50" t="str">
            <v xml:space="preserve"> 2015-2016</v>
          </cell>
          <cell r="G50" t="str">
            <v xml:space="preserve"> 04/15/2016</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t="str">
            <v xml:space="preserve"> </v>
          </cell>
          <cell r="W50">
            <v>0</v>
          </cell>
          <cell r="X50">
            <v>0</v>
          </cell>
          <cell r="Y50">
            <v>0</v>
          </cell>
          <cell r="Z50">
            <v>0</v>
          </cell>
          <cell r="AA50">
            <v>0</v>
          </cell>
          <cell r="AB50">
            <v>24408280</v>
          </cell>
          <cell r="AC50">
            <v>577350</v>
          </cell>
          <cell r="AD50">
            <v>1049554</v>
          </cell>
          <cell r="AE50">
            <v>575838</v>
          </cell>
          <cell r="AF50">
            <v>273523</v>
          </cell>
          <cell r="AG50">
            <v>0</v>
          </cell>
          <cell r="AH50">
            <v>0</v>
          </cell>
          <cell r="AI50">
            <v>4432377</v>
          </cell>
          <cell r="AJ50">
            <v>268892</v>
          </cell>
          <cell r="AK50">
            <v>725289</v>
          </cell>
          <cell r="AL50">
            <v>0</v>
          </cell>
          <cell r="AM50">
            <v>322038</v>
          </cell>
          <cell r="AN50">
            <v>0</v>
          </cell>
          <cell r="AO50">
            <v>-3016971</v>
          </cell>
          <cell r="AP50">
            <v>29040332</v>
          </cell>
        </row>
        <row r="51">
          <cell r="C51" t="str">
            <v xml:space="preserve">DESERT Subtotal          </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24580835</v>
          </cell>
          <cell r="AC51">
            <v>578539</v>
          </cell>
          <cell r="AD51">
            <v>1068583</v>
          </cell>
          <cell r="AE51">
            <v>575838</v>
          </cell>
          <cell r="AF51">
            <v>273523</v>
          </cell>
          <cell r="AG51">
            <v>0</v>
          </cell>
          <cell r="AH51">
            <v>0</v>
          </cell>
          <cell r="AI51">
            <v>4432377</v>
          </cell>
          <cell r="AJ51">
            <v>268892</v>
          </cell>
          <cell r="AK51">
            <v>725289</v>
          </cell>
          <cell r="AL51">
            <v>0</v>
          </cell>
          <cell r="AM51">
            <v>323828</v>
          </cell>
          <cell r="AN51">
            <v>0</v>
          </cell>
          <cell r="AO51">
            <v>-3016971</v>
          </cell>
          <cell r="AP51">
            <v>29234895</v>
          </cell>
        </row>
        <row r="53">
          <cell r="C53" t="str">
            <v xml:space="preserve"> EL CAMINO         </v>
          </cell>
          <cell r="D53" t="str">
            <v xml:space="preserve"> LOS ANGELES       </v>
          </cell>
          <cell r="E53">
            <v>720</v>
          </cell>
          <cell r="F53" t="str">
            <v xml:space="preserve"> 2015-2016</v>
          </cell>
          <cell r="G53" t="str">
            <v xml:space="preserve"> 04/15/2016</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t="str">
            <v xml:space="preserve"> </v>
          </cell>
          <cell r="W53">
            <v>0</v>
          </cell>
          <cell r="X53">
            <v>0</v>
          </cell>
          <cell r="Y53">
            <v>0</v>
          </cell>
          <cell r="Z53">
            <v>0</v>
          </cell>
          <cell r="AA53">
            <v>0</v>
          </cell>
          <cell r="AB53">
            <v>25848787</v>
          </cell>
          <cell r="AC53">
            <v>698132</v>
          </cell>
          <cell r="AD53">
            <v>1011810</v>
          </cell>
          <cell r="AE53">
            <v>47890</v>
          </cell>
          <cell r="AF53">
            <v>22748</v>
          </cell>
          <cell r="AG53">
            <v>0</v>
          </cell>
          <cell r="AH53">
            <v>0</v>
          </cell>
          <cell r="AI53">
            <v>111348</v>
          </cell>
          <cell r="AJ53">
            <v>0</v>
          </cell>
          <cell r="AK53">
            <v>585379</v>
          </cell>
          <cell r="AL53">
            <v>0</v>
          </cell>
          <cell r="AM53">
            <v>183288</v>
          </cell>
          <cell r="AN53">
            <v>12</v>
          </cell>
          <cell r="AO53">
            <v>0</v>
          </cell>
          <cell r="AP53">
            <v>28461504</v>
          </cell>
        </row>
        <row r="54">
          <cell r="C54" t="str">
            <v xml:space="preserve">EL CAMINO Subtotal     </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25848787</v>
          </cell>
          <cell r="AC54">
            <v>698132</v>
          </cell>
          <cell r="AD54">
            <v>1011810</v>
          </cell>
          <cell r="AE54">
            <v>47890</v>
          </cell>
          <cell r="AF54">
            <v>22748</v>
          </cell>
          <cell r="AG54">
            <v>0</v>
          </cell>
          <cell r="AH54">
            <v>0</v>
          </cell>
          <cell r="AI54">
            <v>111348</v>
          </cell>
          <cell r="AJ54">
            <v>0</v>
          </cell>
          <cell r="AK54">
            <v>585379</v>
          </cell>
          <cell r="AL54">
            <v>0</v>
          </cell>
          <cell r="AM54">
            <v>183288</v>
          </cell>
          <cell r="AN54">
            <v>12</v>
          </cell>
          <cell r="AO54">
            <v>0</v>
          </cell>
          <cell r="AP54">
            <v>28461504</v>
          </cell>
        </row>
        <row r="56">
          <cell r="C56" t="str">
            <v xml:space="preserve"> FEATHER RIVER     </v>
          </cell>
          <cell r="D56" t="str">
            <v xml:space="preserve"> PLUMAS            </v>
          </cell>
          <cell r="E56">
            <v>120</v>
          </cell>
          <cell r="F56" t="str">
            <v xml:space="preserve"> 2015-2016</v>
          </cell>
          <cell r="G56" t="str">
            <v xml:space="preserve"> 04/15/2016</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t="str">
            <v xml:space="preserve"> </v>
          </cell>
          <cell r="W56">
            <v>0</v>
          </cell>
          <cell r="X56">
            <v>0</v>
          </cell>
          <cell r="Y56">
            <v>0</v>
          </cell>
          <cell r="Z56">
            <v>0</v>
          </cell>
          <cell r="AA56">
            <v>0</v>
          </cell>
          <cell r="AB56">
            <v>4402088</v>
          </cell>
          <cell r="AC56">
            <v>622890</v>
          </cell>
          <cell r="AD56">
            <v>101926</v>
          </cell>
          <cell r="AE56">
            <v>0</v>
          </cell>
          <cell r="AF56">
            <v>0</v>
          </cell>
          <cell r="AG56">
            <v>0</v>
          </cell>
          <cell r="AH56">
            <v>0</v>
          </cell>
          <cell r="AI56">
            <v>0</v>
          </cell>
          <cell r="AJ56">
            <v>0</v>
          </cell>
          <cell r="AK56">
            <v>2938</v>
          </cell>
          <cell r="AL56">
            <v>42753</v>
          </cell>
          <cell r="AM56">
            <v>37854</v>
          </cell>
          <cell r="AN56">
            <v>0</v>
          </cell>
          <cell r="AO56">
            <v>1249906</v>
          </cell>
          <cell r="AP56">
            <v>6460355</v>
          </cell>
        </row>
        <row r="57">
          <cell r="C57" t="str">
            <v xml:space="preserve">FEATHER RIVER Subtotal     </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4402088</v>
          </cell>
          <cell r="AC57">
            <v>622890</v>
          </cell>
          <cell r="AD57">
            <v>101926</v>
          </cell>
          <cell r="AE57">
            <v>0</v>
          </cell>
          <cell r="AF57">
            <v>0</v>
          </cell>
          <cell r="AG57">
            <v>0</v>
          </cell>
          <cell r="AH57">
            <v>0</v>
          </cell>
          <cell r="AI57">
            <v>0</v>
          </cell>
          <cell r="AJ57">
            <v>0</v>
          </cell>
          <cell r="AK57">
            <v>2938</v>
          </cell>
          <cell r="AL57">
            <v>42753</v>
          </cell>
          <cell r="AM57">
            <v>37854</v>
          </cell>
          <cell r="AN57">
            <v>0</v>
          </cell>
          <cell r="AO57">
            <v>1249906</v>
          </cell>
          <cell r="AP57">
            <v>6460355</v>
          </cell>
        </row>
        <row r="59">
          <cell r="C59" t="str">
            <v xml:space="preserve"> FOOTHILL-DEANZA   </v>
          </cell>
          <cell r="D59" t="str">
            <v xml:space="preserve"> SANTA CLARA       </v>
          </cell>
          <cell r="E59">
            <v>420</v>
          </cell>
          <cell r="F59" t="str">
            <v xml:space="preserve"> 2015-2016</v>
          </cell>
          <cell r="G59" t="str">
            <v xml:space="preserve"> 04/15/2016</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t="str">
            <v xml:space="preserve"> </v>
          </cell>
          <cell r="W59">
            <v>0</v>
          </cell>
          <cell r="X59">
            <v>0</v>
          </cell>
          <cell r="Y59">
            <v>0</v>
          </cell>
          <cell r="Z59">
            <v>0</v>
          </cell>
          <cell r="AA59">
            <v>0</v>
          </cell>
          <cell r="AB59">
            <v>84509724</v>
          </cell>
          <cell r="AC59">
            <v>2384000</v>
          </cell>
          <cell r="AD59">
            <v>6401655</v>
          </cell>
          <cell r="AE59">
            <v>20436</v>
          </cell>
          <cell r="AF59">
            <v>9707</v>
          </cell>
          <cell r="AG59">
            <v>0</v>
          </cell>
          <cell r="AH59">
            <v>0</v>
          </cell>
          <cell r="AI59">
            <v>661347</v>
          </cell>
          <cell r="AJ59">
            <v>977526</v>
          </cell>
          <cell r="AK59">
            <v>0</v>
          </cell>
          <cell r="AL59">
            <v>19</v>
          </cell>
          <cell r="AM59">
            <v>460786</v>
          </cell>
          <cell r="AN59">
            <v>0</v>
          </cell>
          <cell r="AO59">
            <v>-3017000</v>
          </cell>
          <cell r="AP59">
            <v>92387764</v>
          </cell>
        </row>
        <row r="60">
          <cell r="C60" t="str">
            <v xml:space="preserve">FOOTHILL-DEANZA Subtotal  </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84509724</v>
          </cell>
          <cell r="AC60">
            <v>2384000</v>
          </cell>
          <cell r="AD60">
            <v>6401655</v>
          </cell>
          <cell r="AE60">
            <v>20436</v>
          </cell>
          <cell r="AF60">
            <v>9707</v>
          </cell>
          <cell r="AG60">
            <v>0</v>
          </cell>
          <cell r="AH60">
            <v>0</v>
          </cell>
          <cell r="AI60">
            <v>661347</v>
          </cell>
          <cell r="AJ60">
            <v>977526</v>
          </cell>
          <cell r="AK60">
            <v>0</v>
          </cell>
          <cell r="AL60">
            <v>19</v>
          </cell>
          <cell r="AM60">
            <v>460786</v>
          </cell>
          <cell r="AN60">
            <v>0</v>
          </cell>
          <cell r="AO60">
            <v>-3017000</v>
          </cell>
          <cell r="AP60">
            <v>92387764</v>
          </cell>
        </row>
        <row r="62">
          <cell r="C62" t="str">
            <v xml:space="preserve"> GAVILAN           </v>
          </cell>
          <cell r="D62" t="str">
            <v xml:space="preserve"> SAN BENITO        </v>
          </cell>
          <cell r="E62">
            <v>440</v>
          </cell>
          <cell r="F62" t="str">
            <v xml:space="preserve"> 2015-2016</v>
          </cell>
          <cell r="G62" t="str">
            <v xml:space="preserve"> 04/15/2016</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t="str">
            <v xml:space="preserve"> </v>
          </cell>
          <cell r="W62">
            <v>0</v>
          </cell>
          <cell r="X62">
            <v>0</v>
          </cell>
          <cell r="Y62">
            <v>0</v>
          </cell>
          <cell r="Z62">
            <v>0</v>
          </cell>
          <cell r="AA62">
            <v>0</v>
          </cell>
          <cell r="AB62">
            <v>4664852</v>
          </cell>
          <cell r="AC62">
            <v>62251</v>
          </cell>
          <cell r="AD62">
            <v>229441</v>
          </cell>
          <cell r="AE62">
            <v>39592</v>
          </cell>
          <cell r="AF62">
            <v>18806</v>
          </cell>
          <cell r="AG62">
            <v>0</v>
          </cell>
          <cell r="AH62">
            <v>0</v>
          </cell>
          <cell r="AI62">
            <v>552635</v>
          </cell>
          <cell r="AJ62">
            <v>0</v>
          </cell>
          <cell r="AK62">
            <v>0</v>
          </cell>
          <cell r="AL62">
            <v>0</v>
          </cell>
          <cell r="AM62">
            <v>44556</v>
          </cell>
          <cell r="AN62">
            <v>0</v>
          </cell>
          <cell r="AO62">
            <v>-1278</v>
          </cell>
          <cell r="AP62">
            <v>5571263</v>
          </cell>
        </row>
        <row r="63">
          <cell r="C63" t="str">
            <v xml:space="preserve"> GAVILAN           </v>
          </cell>
          <cell r="D63" t="str">
            <v xml:space="preserve"> SANTA CLARA       </v>
          </cell>
          <cell r="E63">
            <v>440</v>
          </cell>
          <cell r="F63" t="str">
            <v xml:space="preserve"> 2015-2016</v>
          </cell>
          <cell r="G63" t="str">
            <v xml:space="preserve"> 04/15/2016</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t="str">
            <v xml:space="preserve"> </v>
          </cell>
          <cell r="W63">
            <v>0</v>
          </cell>
          <cell r="X63">
            <v>0</v>
          </cell>
          <cell r="Y63">
            <v>0</v>
          </cell>
          <cell r="Z63">
            <v>0</v>
          </cell>
          <cell r="AA63">
            <v>0</v>
          </cell>
          <cell r="AB63">
            <v>9856963</v>
          </cell>
          <cell r="AC63">
            <v>312000</v>
          </cell>
          <cell r="AD63">
            <v>815660</v>
          </cell>
          <cell r="AE63">
            <v>272246</v>
          </cell>
          <cell r="AF63">
            <v>129317</v>
          </cell>
          <cell r="AG63">
            <v>0</v>
          </cell>
          <cell r="AH63">
            <v>0</v>
          </cell>
          <cell r="AI63">
            <v>623408</v>
          </cell>
          <cell r="AJ63">
            <v>135466</v>
          </cell>
          <cell r="AK63">
            <v>0</v>
          </cell>
          <cell r="AL63">
            <v>26</v>
          </cell>
          <cell r="AM63">
            <v>58478</v>
          </cell>
          <cell r="AN63">
            <v>0</v>
          </cell>
          <cell r="AO63">
            <v>-383000</v>
          </cell>
          <cell r="AP63">
            <v>11548318</v>
          </cell>
        </row>
        <row r="64">
          <cell r="C64" t="str">
            <v xml:space="preserve">GAVILAN Subtotal          </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14521815</v>
          </cell>
          <cell r="AC64">
            <v>374251</v>
          </cell>
          <cell r="AD64">
            <v>1045101</v>
          </cell>
          <cell r="AE64">
            <v>311838</v>
          </cell>
          <cell r="AF64">
            <v>148123</v>
          </cell>
          <cell r="AG64">
            <v>0</v>
          </cell>
          <cell r="AH64">
            <v>0</v>
          </cell>
          <cell r="AI64">
            <v>1176043</v>
          </cell>
          <cell r="AJ64">
            <v>135466</v>
          </cell>
          <cell r="AK64">
            <v>0</v>
          </cell>
          <cell r="AL64">
            <v>26</v>
          </cell>
          <cell r="AM64">
            <v>103034</v>
          </cell>
          <cell r="AN64">
            <v>0</v>
          </cell>
          <cell r="AO64">
            <v>-384278</v>
          </cell>
          <cell r="AP64">
            <v>17119581</v>
          </cell>
        </row>
        <row r="66">
          <cell r="C66" t="str">
            <v xml:space="preserve"> GLENDALE          </v>
          </cell>
          <cell r="D66" t="str">
            <v xml:space="preserve"> LOS ANGELES       </v>
          </cell>
          <cell r="E66">
            <v>730</v>
          </cell>
          <cell r="F66" t="str">
            <v xml:space="preserve"> 2015-2016</v>
          </cell>
          <cell r="G66" t="str">
            <v xml:space="preserve"> 04/15/2016</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t="str">
            <v xml:space="preserve"> </v>
          </cell>
          <cell r="W66">
            <v>0</v>
          </cell>
          <cell r="X66">
            <v>0</v>
          </cell>
          <cell r="Y66">
            <v>0</v>
          </cell>
          <cell r="Z66">
            <v>0</v>
          </cell>
          <cell r="AA66">
            <v>0</v>
          </cell>
          <cell r="AB66">
            <v>9127989</v>
          </cell>
          <cell r="AC66">
            <v>256171</v>
          </cell>
          <cell r="AD66">
            <v>216843</v>
          </cell>
          <cell r="AE66">
            <v>76525</v>
          </cell>
          <cell r="AF66">
            <v>36349</v>
          </cell>
          <cell r="AG66">
            <v>0</v>
          </cell>
          <cell r="AH66">
            <v>0</v>
          </cell>
          <cell r="AI66">
            <v>420253</v>
          </cell>
          <cell r="AJ66">
            <v>0</v>
          </cell>
          <cell r="AK66">
            <v>215854</v>
          </cell>
          <cell r="AL66">
            <v>0</v>
          </cell>
          <cell r="AM66">
            <v>64826</v>
          </cell>
          <cell r="AN66">
            <v>0</v>
          </cell>
          <cell r="AO66">
            <v>0</v>
          </cell>
          <cell r="AP66">
            <v>10338285</v>
          </cell>
        </row>
        <row r="67">
          <cell r="C67" t="str">
            <v>GLENDALE Subtotal</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9127989</v>
          </cell>
          <cell r="AC67">
            <v>256171</v>
          </cell>
          <cell r="AD67">
            <v>216843</v>
          </cell>
          <cell r="AE67">
            <v>76525</v>
          </cell>
          <cell r="AF67">
            <v>36349</v>
          </cell>
          <cell r="AG67">
            <v>0</v>
          </cell>
          <cell r="AH67">
            <v>0</v>
          </cell>
          <cell r="AI67">
            <v>420253</v>
          </cell>
          <cell r="AJ67">
            <v>0</v>
          </cell>
          <cell r="AK67">
            <v>215854</v>
          </cell>
          <cell r="AL67">
            <v>0</v>
          </cell>
          <cell r="AM67">
            <v>64826</v>
          </cell>
          <cell r="AN67">
            <v>0</v>
          </cell>
          <cell r="AO67">
            <v>0</v>
          </cell>
          <cell r="AP67">
            <v>10338285</v>
          </cell>
        </row>
        <row r="69">
          <cell r="C69" t="str">
            <v xml:space="preserve"> GROSSMONT-CUYAMACA</v>
          </cell>
          <cell r="D69" t="str">
            <v xml:space="preserve"> SAN DIEGO         </v>
          </cell>
          <cell r="E69">
            <v>20</v>
          </cell>
          <cell r="F69" t="str">
            <v xml:space="preserve"> 2015-2016</v>
          </cell>
          <cell r="G69" t="str">
            <v xml:space="preserve"> 04/15/2016</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t="str">
            <v xml:space="preserve"> </v>
          </cell>
          <cell r="W69">
            <v>0</v>
          </cell>
          <cell r="X69">
            <v>0</v>
          </cell>
          <cell r="Y69">
            <v>0</v>
          </cell>
          <cell r="Z69">
            <v>0</v>
          </cell>
          <cell r="AA69">
            <v>0</v>
          </cell>
          <cell r="AB69">
            <v>33988992</v>
          </cell>
          <cell r="AC69">
            <v>704498</v>
          </cell>
          <cell r="AD69">
            <v>1091913</v>
          </cell>
          <cell r="AE69">
            <v>208095</v>
          </cell>
          <cell r="AF69">
            <v>98845</v>
          </cell>
          <cell r="AG69">
            <v>0</v>
          </cell>
          <cell r="AH69">
            <v>0</v>
          </cell>
          <cell r="AI69">
            <v>1255605</v>
          </cell>
          <cell r="AJ69">
            <v>153110</v>
          </cell>
          <cell r="AK69">
            <v>-18503</v>
          </cell>
          <cell r="AL69">
            <v>0</v>
          </cell>
          <cell r="AM69">
            <v>271008</v>
          </cell>
          <cell r="AN69">
            <v>0</v>
          </cell>
          <cell r="AO69">
            <v>-1335323</v>
          </cell>
          <cell r="AP69">
            <v>36210145</v>
          </cell>
        </row>
        <row r="70">
          <cell r="C70" t="str">
            <v>GROSSMONT-CUYAMACA Subtotal</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33988992</v>
          </cell>
          <cell r="AC70">
            <v>704498</v>
          </cell>
          <cell r="AD70">
            <v>1091913</v>
          </cell>
          <cell r="AE70">
            <v>208095</v>
          </cell>
          <cell r="AF70">
            <v>98845</v>
          </cell>
          <cell r="AG70">
            <v>0</v>
          </cell>
          <cell r="AH70">
            <v>0</v>
          </cell>
          <cell r="AI70">
            <v>1255605</v>
          </cell>
          <cell r="AJ70">
            <v>153110</v>
          </cell>
          <cell r="AK70">
            <v>-18503</v>
          </cell>
          <cell r="AL70">
            <v>0</v>
          </cell>
          <cell r="AM70">
            <v>271008</v>
          </cell>
          <cell r="AN70">
            <v>0</v>
          </cell>
          <cell r="AO70">
            <v>-1335323</v>
          </cell>
          <cell r="AP70">
            <v>36210145</v>
          </cell>
        </row>
        <row r="72">
          <cell r="C72" t="str">
            <v xml:space="preserve"> HARTNELL          </v>
          </cell>
          <cell r="D72" t="str">
            <v xml:space="preserve"> MONTEREY          </v>
          </cell>
          <cell r="E72">
            <v>450</v>
          </cell>
          <cell r="F72" t="str">
            <v xml:space="preserve"> 2015-2016</v>
          </cell>
          <cell r="G72" t="str">
            <v xml:space="preserve"> 04/15/2016</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t="str">
            <v xml:space="preserve"> </v>
          </cell>
          <cell r="W72">
            <v>0</v>
          </cell>
          <cell r="X72">
            <v>0</v>
          </cell>
          <cell r="Y72">
            <v>0</v>
          </cell>
          <cell r="Z72">
            <v>0</v>
          </cell>
          <cell r="AA72">
            <v>0</v>
          </cell>
          <cell r="AB72">
            <v>18654252</v>
          </cell>
          <cell r="AC72">
            <v>222761</v>
          </cell>
          <cell r="AD72">
            <v>756359</v>
          </cell>
          <cell r="AE72">
            <v>82600</v>
          </cell>
          <cell r="AF72">
            <v>39235</v>
          </cell>
          <cell r="AG72">
            <v>0</v>
          </cell>
          <cell r="AH72">
            <v>0</v>
          </cell>
          <cell r="AI72">
            <v>795166</v>
          </cell>
          <cell r="AJ72">
            <v>0</v>
          </cell>
          <cell r="AK72">
            <v>179849</v>
          </cell>
          <cell r="AL72">
            <v>0</v>
          </cell>
          <cell r="AM72">
            <v>108238</v>
          </cell>
          <cell r="AN72">
            <v>0</v>
          </cell>
          <cell r="AO72">
            <v>0</v>
          </cell>
          <cell r="AP72">
            <v>20755860</v>
          </cell>
        </row>
        <row r="73">
          <cell r="C73" t="str">
            <v xml:space="preserve"> HARTNELL          </v>
          </cell>
          <cell r="D73" t="str">
            <v xml:space="preserve"> SAN BENITO        </v>
          </cell>
          <cell r="E73">
            <v>450</v>
          </cell>
          <cell r="F73" t="str">
            <v xml:space="preserve"> 2015-2016</v>
          </cell>
          <cell r="G73" t="str">
            <v xml:space="preserve"> 04/15/2016</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t="str">
            <v xml:space="preserve"> </v>
          </cell>
          <cell r="W73">
            <v>0</v>
          </cell>
          <cell r="X73">
            <v>0</v>
          </cell>
          <cell r="Y73">
            <v>0</v>
          </cell>
          <cell r="Z73">
            <v>0</v>
          </cell>
          <cell r="AA73">
            <v>0</v>
          </cell>
          <cell r="AB73">
            <v>71835</v>
          </cell>
          <cell r="AC73">
            <v>772</v>
          </cell>
          <cell r="AD73">
            <v>3419</v>
          </cell>
          <cell r="AE73">
            <v>0</v>
          </cell>
          <cell r="AF73">
            <v>0</v>
          </cell>
          <cell r="AG73">
            <v>0</v>
          </cell>
          <cell r="AH73">
            <v>0</v>
          </cell>
          <cell r="AI73">
            <v>0</v>
          </cell>
          <cell r="AJ73">
            <v>0</v>
          </cell>
          <cell r="AK73">
            <v>0</v>
          </cell>
          <cell r="AL73">
            <v>0</v>
          </cell>
          <cell r="AM73">
            <v>664</v>
          </cell>
          <cell r="AN73">
            <v>0</v>
          </cell>
          <cell r="AO73">
            <v>-19</v>
          </cell>
          <cell r="AP73">
            <v>76671</v>
          </cell>
        </row>
        <row r="74">
          <cell r="C74" t="str">
            <v xml:space="preserve">HARTNELL Subtotal         </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18726087</v>
          </cell>
          <cell r="AC74">
            <v>223533</v>
          </cell>
          <cell r="AD74">
            <v>759778</v>
          </cell>
          <cell r="AE74">
            <v>82600</v>
          </cell>
          <cell r="AF74">
            <v>39235</v>
          </cell>
          <cell r="AG74">
            <v>0</v>
          </cell>
          <cell r="AH74">
            <v>0</v>
          </cell>
          <cell r="AI74">
            <v>795166</v>
          </cell>
          <cell r="AJ74">
            <v>0</v>
          </cell>
          <cell r="AK74">
            <v>179849</v>
          </cell>
          <cell r="AL74">
            <v>0</v>
          </cell>
          <cell r="AM74">
            <v>108902</v>
          </cell>
          <cell r="AN74">
            <v>0</v>
          </cell>
          <cell r="AO74">
            <v>-19</v>
          </cell>
          <cell r="AP74">
            <v>20832531</v>
          </cell>
        </row>
        <row r="76">
          <cell r="C76" t="str">
            <v xml:space="preserve"> IMPERIAL          </v>
          </cell>
          <cell r="D76" t="str">
            <v xml:space="preserve"> IMPERIAL          </v>
          </cell>
          <cell r="E76">
            <v>30</v>
          </cell>
          <cell r="F76" t="str">
            <v xml:space="preserve"> 2015-2016</v>
          </cell>
          <cell r="G76" t="str">
            <v xml:space="preserve"> 04/15/2016</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t="str">
            <v xml:space="preserve"> </v>
          </cell>
          <cell r="W76">
            <v>0</v>
          </cell>
          <cell r="X76">
            <v>0</v>
          </cell>
          <cell r="Y76">
            <v>0</v>
          </cell>
          <cell r="Z76">
            <v>0</v>
          </cell>
          <cell r="AA76">
            <v>0</v>
          </cell>
          <cell r="AB76">
            <v>7540129</v>
          </cell>
          <cell r="AC76">
            <v>50020</v>
          </cell>
          <cell r="AD76">
            <v>859596</v>
          </cell>
          <cell r="AE76">
            <v>162009</v>
          </cell>
          <cell r="AF76">
            <v>76954</v>
          </cell>
          <cell r="AG76">
            <v>0</v>
          </cell>
          <cell r="AH76">
            <v>0</v>
          </cell>
          <cell r="AI76">
            <v>321212</v>
          </cell>
          <cell r="AJ76">
            <v>0</v>
          </cell>
          <cell r="AK76">
            <v>0</v>
          </cell>
          <cell r="AL76">
            <v>0</v>
          </cell>
          <cell r="AM76">
            <v>80876</v>
          </cell>
          <cell r="AN76">
            <v>0</v>
          </cell>
          <cell r="AO76">
            <v>-2247889</v>
          </cell>
          <cell r="AP76">
            <v>6680898</v>
          </cell>
        </row>
        <row r="77">
          <cell r="C77" t="str">
            <v xml:space="preserve">IMPERIAL Subtotal         </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7540129</v>
          </cell>
          <cell r="AC77">
            <v>50020</v>
          </cell>
          <cell r="AD77">
            <v>859596</v>
          </cell>
          <cell r="AE77">
            <v>162009</v>
          </cell>
          <cell r="AF77">
            <v>76954</v>
          </cell>
          <cell r="AG77">
            <v>0</v>
          </cell>
          <cell r="AH77">
            <v>0</v>
          </cell>
          <cell r="AI77">
            <v>321212</v>
          </cell>
          <cell r="AJ77">
            <v>0</v>
          </cell>
          <cell r="AK77">
            <v>0</v>
          </cell>
          <cell r="AL77">
            <v>0</v>
          </cell>
          <cell r="AM77">
            <v>80876</v>
          </cell>
          <cell r="AN77">
            <v>0</v>
          </cell>
          <cell r="AO77">
            <v>-2247889</v>
          </cell>
          <cell r="AP77">
            <v>6680898</v>
          </cell>
        </row>
        <row r="79">
          <cell r="C79" t="str">
            <v xml:space="preserve"> KERN              </v>
          </cell>
          <cell r="D79" t="str">
            <v xml:space="preserve"> INYO              </v>
          </cell>
          <cell r="E79">
            <v>520</v>
          </cell>
          <cell r="F79" t="str">
            <v xml:space="preserve"> 2015-2016</v>
          </cell>
          <cell r="G79" t="str">
            <v xml:space="preserve"> 04/15/2016</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t="str">
            <v xml:space="preserve"> </v>
          </cell>
          <cell r="W79">
            <v>0</v>
          </cell>
          <cell r="X79">
            <v>0</v>
          </cell>
          <cell r="Y79">
            <v>0</v>
          </cell>
          <cell r="Z79">
            <v>0</v>
          </cell>
          <cell r="AA79">
            <v>0</v>
          </cell>
          <cell r="AB79">
            <v>280396</v>
          </cell>
          <cell r="AC79">
            <v>407</v>
          </cell>
          <cell r="AD79">
            <v>37600</v>
          </cell>
          <cell r="AE79">
            <v>0</v>
          </cell>
          <cell r="AF79">
            <v>0</v>
          </cell>
          <cell r="AG79">
            <v>0</v>
          </cell>
          <cell r="AH79">
            <v>0</v>
          </cell>
          <cell r="AI79">
            <v>0</v>
          </cell>
          <cell r="AJ79">
            <v>0</v>
          </cell>
          <cell r="AK79">
            <v>5096</v>
          </cell>
          <cell r="AL79">
            <v>0</v>
          </cell>
          <cell r="AM79">
            <v>1590</v>
          </cell>
          <cell r="AN79">
            <v>0</v>
          </cell>
          <cell r="AO79">
            <v>0</v>
          </cell>
          <cell r="AP79">
            <v>325089</v>
          </cell>
        </row>
        <row r="80">
          <cell r="C80" t="str">
            <v xml:space="preserve"> KERN              </v>
          </cell>
          <cell r="D80" t="str">
            <v xml:space="preserve"> KERN              </v>
          </cell>
          <cell r="E80">
            <v>520</v>
          </cell>
          <cell r="F80" t="str">
            <v xml:space="preserve"> 2015-2016</v>
          </cell>
          <cell r="G80" t="str">
            <v xml:space="preserve"> 04/15/2016</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t="str">
            <v xml:space="preserve"> </v>
          </cell>
          <cell r="W80">
            <v>0</v>
          </cell>
          <cell r="X80">
            <v>0</v>
          </cell>
          <cell r="Y80">
            <v>0</v>
          </cell>
          <cell r="Z80">
            <v>0</v>
          </cell>
          <cell r="AA80">
            <v>0</v>
          </cell>
          <cell r="AB80">
            <v>45633051</v>
          </cell>
          <cell r="AC80">
            <v>715003</v>
          </cell>
          <cell r="AD80">
            <v>4680452</v>
          </cell>
          <cell r="AE80">
            <v>0</v>
          </cell>
          <cell r="AF80">
            <v>0</v>
          </cell>
          <cell r="AG80">
            <v>0</v>
          </cell>
          <cell r="AH80">
            <v>0</v>
          </cell>
          <cell r="AI80">
            <v>132441</v>
          </cell>
          <cell r="AJ80">
            <v>0</v>
          </cell>
          <cell r="AK80">
            <v>2626837</v>
          </cell>
          <cell r="AL80">
            <v>0</v>
          </cell>
          <cell r="AM80">
            <v>410465</v>
          </cell>
          <cell r="AN80">
            <v>0</v>
          </cell>
          <cell r="AO80">
            <v>-5272823</v>
          </cell>
          <cell r="AP80">
            <v>48925426</v>
          </cell>
        </row>
        <row r="81">
          <cell r="C81" t="str">
            <v xml:space="preserve"> KERN              </v>
          </cell>
          <cell r="D81" t="str">
            <v xml:space="preserve"> SAN BERNARDINO    </v>
          </cell>
          <cell r="E81">
            <v>520</v>
          </cell>
          <cell r="F81" t="str">
            <v xml:space="preserve"> 2015-2016</v>
          </cell>
          <cell r="G81" t="str">
            <v xml:space="preserve"> 04/15/2016</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t="str">
            <v xml:space="preserve"> </v>
          </cell>
          <cell r="W81">
            <v>0</v>
          </cell>
          <cell r="X81">
            <v>0</v>
          </cell>
          <cell r="Y81">
            <v>0</v>
          </cell>
          <cell r="Z81">
            <v>0</v>
          </cell>
          <cell r="AA81">
            <v>0</v>
          </cell>
          <cell r="AB81">
            <v>49872</v>
          </cell>
          <cell r="AC81">
            <v>913</v>
          </cell>
          <cell r="AD81">
            <v>1521</v>
          </cell>
          <cell r="AE81">
            <v>0</v>
          </cell>
          <cell r="AF81">
            <v>0</v>
          </cell>
          <cell r="AG81">
            <v>0</v>
          </cell>
          <cell r="AH81">
            <v>0</v>
          </cell>
          <cell r="AI81">
            <v>0</v>
          </cell>
          <cell r="AJ81">
            <v>0</v>
          </cell>
          <cell r="AK81">
            <v>965</v>
          </cell>
          <cell r="AL81">
            <v>0</v>
          </cell>
          <cell r="AM81">
            <v>424</v>
          </cell>
          <cell r="AN81">
            <v>0</v>
          </cell>
          <cell r="AO81">
            <v>0</v>
          </cell>
          <cell r="AP81">
            <v>53695</v>
          </cell>
        </row>
        <row r="82">
          <cell r="C82" t="str">
            <v xml:space="preserve"> KERN              </v>
          </cell>
          <cell r="D82" t="str">
            <v xml:space="preserve"> TULARE            </v>
          </cell>
          <cell r="E82">
            <v>520</v>
          </cell>
          <cell r="F82" t="str">
            <v xml:space="preserve"> 2015-2016</v>
          </cell>
          <cell r="G82" t="str">
            <v xml:space="preserve"> 04/15/2016</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t="str">
            <v xml:space="preserve"> </v>
          </cell>
          <cell r="W82">
            <v>0</v>
          </cell>
          <cell r="X82">
            <v>0</v>
          </cell>
          <cell r="Y82">
            <v>0</v>
          </cell>
          <cell r="Z82">
            <v>0</v>
          </cell>
          <cell r="AA82">
            <v>0</v>
          </cell>
          <cell r="AB82">
            <v>4578256</v>
          </cell>
          <cell r="AC82">
            <v>34973</v>
          </cell>
          <cell r="AD82">
            <v>256988</v>
          </cell>
          <cell r="AE82">
            <v>12598</v>
          </cell>
          <cell r="AF82">
            <v>5984</v>
          </cell>
          <cell r="AG82">
            <v>0</v>
          </cell>
          <cell r="AH82">
            <v>0</v>
          </cell>
          <cell r="AI82">
            <v>65561</v>
          </cell>
          <cell r="AJ82">
            <v>0</v>
          </cell>
          <cell r="AK82">
            <v>0</v>
          </cell>
          <cell r="AL82">
            <v>0</v>
          </cell>
          <cell r="AM82">
            <v>48717</v>
          </cell>
          <cell r="AN82">
            <v>0</v>
          </cell>
          <cell r="AO82">
            <v>-511513</v>
          </cell>
          <cell r="AP82">
            <v>4478966</v>
          </cell>
        </row>
        <row r="83">
          <cell r="C83" t="str">
            <v>KERN Subtotal</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50541575</v>
          </cell>
          <cell r="AC83">
            <v>751296</v>
          </cell>
          <cell r="AD83">
            <v>4976561</v>
          </cell>
          <cell r="AE83">
            <v>12598</v>
          </cell>
          <cell r="AF83">
            <v>5984</v>
          </cell>
          <cell r="AG83">
            <v>0</v>
          </cell>
          <cell r="AH83">
            <v>0</v>
          </cell>
          <cell r="AI83">
            <v>198002</v>
          </cell>
          <cell r="AJ83">
            <v>0</v>
          </cell>
          <cell r="AK83">
            <v>2632898</v>
          </cell>
          <cell r="AL83">
            <v>0</v>
          </cell>
          <cell r="AM83">
            <v>461196</v>
          </cell>
          <cell r="AN83">
            <v>0</v>
          </cell>
          <cell r="AO83">
            <v>-5784336</v>
          </cell>
          <cell r="AP83">
            <v>53783176</v>
          </cell>
        </row>
        <row r="85">
          <cell r="C85" t="str">
            <v xml:space="preserve"> LAKE TAHOE        </v>
          </cell>
          <cell r="D85" t="str">
            <v xml:space="preserve"> EL DORADO         </v>
          </cell>
          <cell r="E85">
            <v>220</v>
          </cell>
          <cell r="F85" t="str">
            <v xml:space="preserve"> 2015-2016</v>
          </cell>
          <cell r="G85" t="str">
            <v xml:space="preserve"> 04/15/2016</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t="str">
            <v xml:space="preserve"> </v>
          </cell>
          <cell r="W85">
            <v>0</v>
          </cell>
          <cell r="X85">
            <v>0</v>
          </cell>
          <cell r="Y85">
            <v>0</v>
          </cell>
          <cell r="Z85">
            <v>0</v>
          </cell>
          <cell r="AA85">
            <v>0</v>
          </cell>
          <cell r="AB85">
            <v>3722324</v>
          </cell>
          <cell r="AC85">
            <v>33485</v>
          </cell>
          <cell r="AD85">
            <v>77206</v>
          </cell>
          <cell r="AE85">
            <v>0</v>
          </cell>
          <cell r="AF85">
            <v>0</v>
          </cell>
          <cell r="AG85">
            <v>0</v>
          </cell>
          <cell r="AH85">
            <v>0</v>
          </cell>
          <cell r="AI85">
            <v>0</v>
          </cell>
          <cell r="AJ85">
            <v>0</v>
          </cell>
          <cell r="AK85">
            <v>1173</v>
          </cell>
          <cell r="AL85">
            <v>150</v>
          </cell>
          <cell r="AM85">
            <v>39318</v>
          </cell>
          <cell r="AN85">
            <v>0</v>
          </cell>
          <cell r="AO85">
            <v>0</v>
          </cell>
          <cell r="AP85">
            <v>3873656</v>
          </cell>
        </row>
        <row r="86">
          <cell r="C86" t="str">
            <v xml:space="preserve">LAKE TAHOE Subtotal        </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3722324</v>
          </cell>
          <cell r="AC86">
            <v>33485</v>
          </cell>
          <cell r="AD86">
            <v>77206</v>
          </cell>
          <cell r="AE86">
            <v>0</v>
          </cell>
          <cell r="AF86">
            <v>0</v>
          </cell>
          <cell r="AG86">
            <v>0</v>
          </cell>
          <cell r="AH86">
            <v>0</v>
          </cell>
          <cell r="AI86">
            <v>0</v>
          </cell>
          <cell r="AJ86">
            <v>0</v>
          </cell>
          <cell r="AK86">
            <v>1173</v>
          </cell>
          <cell r="AL86">
            <v>150</v>
          </cell>
          <cell r="AM86">
            <v>39318</v>
          </cell>
          <cell r="AN86">
            <v>0</v>
          </cell>
          <cell r="AO86">
            <v>0</v>
          </cell>
          <cell r="AP86">
            <v>3873656</v>
          </cell>
        </row>
        <row r="88">
          <cell r="C88" t="str">
            <v xml:space="preserve"> LASSEN            </v>
          </cell>
          <cell r="D88" t="str">
            <v xml:space="preserve"> LASSEN            </v>
          </cell>
          <cell r="E88">
            <v>130</v>
          </cell>
          <cell r="F88" t="str">
            <v xml:space="preserve"> 2015-2016</v>
          </cell>
          <cell r="G88" t="str">
            <v xml:space="preserve"> 04/15/2016</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t="str">
            <v xml:space="preserve"> </v>
          </cell>
          <cell r="W88">
            <v>0</v>
          </cell>
          <cell r="X88">
            <v>0</v>
          </cell>
          <cell r="Y88">
            <v>0</v>
          </cell>
          <cell r="Z88">
            <v>0</v>
          </cell>
          <cell r="AA88">
            <v>0</v>
          </cell>
          <cell r="AB88">
            <v>1706279</v>
          </cell>
          <cell r="AC88">
            <v>7700</v>
          </cell>
          <cell r="AD88">
            <v>88687</v>
          </cell>
          <cell r="AE88">
            <v>0</v>
          </cell>
          <cell r="AF88">
            <v>0</v>
          </cell>
          <cell r="AG88">
            <v>0</v>
          </cell>
          <cell r="AH88">
            <v>0</v>
          </cell>
          <cell r="AI88">
            <v>0</v>
          </cell>
          <cell r="AJ88">
            <v>0</v>
          </cell>
          <cell r="AK88">
            <v>934</v>
          </cell>
          <cell r="AL88">
            <v>9192</v>
          </cell>
          <cell r="AM88">
            <v>30478</v>
          </cell>
          <cell r="AN88">
            <v>0</v>
          </cell>
          <cell r="AO88">
            <v>-340476</v>
          </cell>
          <cell r="AP88">
            <v>1502794</v>
          </cell>
        </row>
        <row r="89">
          <cell r="C89" t="str">
            <v xml:space="preserve"> LASSEN            </v>
          </cell>
          <cell r="D89" t="str">
            <v xml:space="preserve"> MODOC             </v>
          </cell>
          <cell r="E89">
            <v>130</v>
          </cell>
          <cell r="F89" t="str">
            <v xml:space="preserve"> 2015-2016</v>
          </cell>
          <cell r="G89" t="str">
            <v xml:space="preserve"> 04/15/2016</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t="str">
            <v xml:space="preserve"> </v>
          </cell>
          <cell r="W89">
            <v>0</v>
          </cell>
          <cell r="X89">
            <v>0</v>
          </cell>
          <cell r="Y89">
            <v>0</v>
          </cell>
          <cell r="Z89">
            <v>0</v>
          </cell>
          <cell r="AA89">
            <v>0</v>
          </cell>
          <cell r="AB89">
            <v>95282</v>
          </cell>
          <cell r="AC89">
            <v>400</v>
          </cell>
          <cell r="AD89">
            <v>3700</v>
          </cell>
          <cell r="AE89">
            <v>0</v>
          </cell>
          <cell r="AF89">
            <v>0</v>
          </cell>
          <cell r="AG89">
            <v>0</v>
          </cell>
          <cell r="AH89">
            <v>0</v>
          </cell>
          <cell r="AI89">
            <v>0</v>
          </cell>
          <cell r="AJ89">
            <v>0</v>
          </cell>
          <cell r="AK89">
            <v>4000</v>
          </cell>
          <cell r="AL89">
            <v>150</v>
          </cell>
          <cell r="AM89">
            <v>1450</v>
          </cell>
          <cell r="AN89">
            <v>0</v>
          </cell>
          <cell r="AO89">
            <v>-8217</v>
          </cell>
          <cell r="AP89">
            <v>96765</v>
          </cell>
        </row>
        <row r="90">
          <cell r="C90" t="str">
            <v xml:space="preserve">LASSEN Subtotal           </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1801561</v>
          </cell>
          <cell r="AC90">
            <v>8100</v>
          </cell>
          <cell r="AD90">
            <v>92387</v>
          </cell>
          <cell r="AE90">
            <v>0</v>
          </cell>
          <cell r="AF90">
            <v>0</v>
          </cell>
          <cell r="AG90">
            <v>0</v>
          </cell>
          <cell r="AH90">
            <v>0</v>
          </cell>
          <cell r="AI90">
            <v>0</v>
          </cell>
          <cell r="AJ90">
            <v>0</v>
          </cell>
          <cell r="AK90">
            <v>4934</v>
          </cell>
          <cell r="AL90">
            <v>9342</v>
          </cell>
          <cell r="AM90">
            <v>31928</v>
          </cell>
          <cell r="AN90">
            <v>0</v>
          </cell>
          <cell r="AO90">
            <v>-348693</v>
          </cell>
          <cell r="AP90">
            <v>1599559</v>
          </cell>
        </row>
        <row r="92">
          <cell r="C92" t="str">
            <v xml:space="preserve"> LONG BEACH        </v>
          </cell>
          <cell r="D92" t="str">
            <v xml:space="preserve"> LOS ANGELES       </v>
          </cell>
          <cell r="E92">
            <v>840</v>
          </cell>
          <cell r="F92" t="str">
            <v xml:space="preserve"> 2015-2016</v>
          </cell>
          <cell r="G92" t="str">
            <v xml:space="preserve"> 04/15/2016</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t="str">
            <v xml:space="preserve"> </v>
          </cell>
          <cell r="W92">
            <v>0</v>
          </cell>
          <cell r="X92">
            <v>0</v>
          </cell>
          <cell r="Y92">
            <v>0</v>
          </cell>
          <cell r="Z92">
            <v>0</v>
          </cell>
          <cell r="AA92">
            <v>0</v>
          </cell>
          <cell r="AB92">
            <v>10770400</v>
          </cell>
          <cell r="AC92">
            <v>327778</v>
          </cell>
          <cell r="AD92">
            <v>95816</v>
          </cell>
          <cell r="AE92">
            <v>299016</v>
          </cell>
          <cell r="AF92">
            <v>142033</v>
          </cell>
          <cell r="AG92">
            <v>0</v>
          </cell>
          <cell r="AH92">
            <v>0</v>
          </cell>
          <cell r="AI92">
            <v>507971</v>
          </cell>
          <cell r="AJ92">
            <v>267610</v>
          </cell>
          <cell r="AK92">
            <v>328269</v>
          </cell>
          <cell r="AL92">
            <v>0</v>
          </cell>
          <cell r="AM92">
            <v>74554</v>
          </cell>
          <cell r="AN92">
            <v>0</v>
          </cell>
          <cell r="AO92">
            <v>0</v>
          </cell>
          <cell r="AP92">
            <v>12514431</v>
          </cell>
        </row>
        <row r="93">
          <cell r="C93" t="str">
            <v xml:space="preserve">LONG BEACH Subtotal     </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10770400</v>
          </cell>
          <cell r="AC93">
            <v>327778</v>
          </cell>
          <cell r="AD93">
            <v>95816</v>
          </cell>
          <cell r="AE93">
            <v>299016</v>
          </cell>
          <cell r="AF93">
            <v>142033</v>
          </cell>
          <cell r="AG93">
            <v>0</v>
          </cell>
          <cell r="AH93">
            <v>0</v>
          </cell>
          <cell r="AI93">
            <v>507971</v>
          </cell>
          <cell r="AJ93">
            <v>267610</v>
          </cell>
          <cell r="AK93">
            <v>328269</v>
          </cell>
          <cell r="AL93">
            <v>0</v>
          </cell>
          <cell r="AM93">
            <v>74554</v>
          </cell>
          <cell r="AN93">
            <v>0</v>
          </cell>
          <cell r="AO93">
            <v>0</v>
          </cell>
          <cell r="AP93">
            <v>12514431</v>
          </cell>
        </row>
        <row r="95">
          <cell r="C95" t="str">
            <v xml:space="preserve"> LOS ANGELES       </v>
          </cell>
          <cell r="D95" t="str">
            <v xml:space="preserve"> LOS ANGELES       </v>
          </cell>
          <cell r="E95">
            <v>740</v>
          </cell>
          <cell r="F95" t="str">
            <v xml:space="preserve"> 2015-2016</v>
          </cell>
          <cell r="G95" t="str">
            <v xml:space="preserve"> 04/15/2016</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t="str">
            <v xml:space="preserve"> </v>
          </cell>
          <cell r="W95">
            <v>0</v>
          </cell>
          <cell r="X95">
            <v>0</v>
          </cell>
          <cell r="Y95">
            <v>0</v>
          </cell>
          <cell r="Z95">
            <v>0</v>
          </cell>
          <cell r="AA95">
            <v>0</v>
          </cell>
          <cell r="AB95">
            <v>165222847</v>
          </cell>
          <cell r="AC95">
            <v>4245540</v>
          </cell>
          <cell r="AD95">
            <v>6017697</v>
          </cell>
          <cell r="AE95">
            <v>1019602</v>
          </cell>
          <cell r="AF95">
            <v>484311</v>
          </cell>
          <cell r="AG95">
            <v>0</v>
          </cell>
          <cell r="AH95">
            <v>0</v>
          </cell>
          <cell r="AI95">
            <v>1729006</v>
          </cell>
          <cell r="AJ95">
            <v>73116</v>
          </cell>
          <cell r="AK95">
            <v>3694255</v>
          </cell>
          <cell r="AL95">
            <v>0</v>
          </cell>
          <cell r="AM95">
            <v>1167541</v>
          </cell>
          <cell r="AN95">
            <v>11741</v>
          </cell>
          <cell r="AO95">
            <v>0</v>
          </cell>
          <cell r="AP95">
            <v>182646054</v>
          </cell>
        </row>
        <row r="96">
          <cell r="C96" t="str">
            <v xml:space="preserve">LOS ANGELES Subtotal     </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165222847</v>
          </cell>
          <cell r="AC96">
            <v>4245540</v>
          </cell>
          <cell r="AD96">
            <v>6017697</v>
          </cell>
          <cell r="AE96">
            <v>1019602</v>
          </cell>
          <cell r="AF96">
            <v>484311</v>
          </cell>
          <cell r="AG96">
            <v>0</v>
          </cell>
          <cell r="AH96">
            <v>0</v>
          </cell>
          <cell r="AI96">
            <v>1729006</v>
          </cell>
          <cell r="AJ96">
            <v>73116</v>
          </cell>
          <cell r="AK96">
            <v>3694255</v>
          </cell>
          <cell r="AL96">
            <v>0</v>
          </cell>
          <cell r="AM96">
            <v>1167541</v>
          </cell>
          <cell r="AN96">
            <v>11741</v>
          </cell>
          <cell r="AO96">
            <v>0</v>
          </cell>
          <cell r="AP96">
            <v>182646054</v>
          </cell>
        </row>
        <row r="98">
          <cell r="C98" t="str">
            <v xml:space="preserve"> LOS RIOS          </v>
          </cell>
          <cell r="D98" t="str">
            <v xml:space="preserve"> EL DORADO         </v>
          </cell>
          <cell r="E98">
            <v>230</v>
          </cell>
          <cell r="F98" t="str">
            <v xml:space="preserve"> 2015-2016</v>
          </cell>
          <cell r="G98" t="str">
            <v xml:space="preserve"> 04/15/2016</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t="str">
            <v xml:space="preserve"> </v>
          </cell>
          <cell r="W98">
            <v>0</v>
          </cell>
          <cell r="X98">
            <v>0</v>
          </cell>
          <cell r="Y98">
            <v>0</v>
          </cell>
          <cell r="Z98">
            <v>0</v>
          </cell>
          <cell r="AA98">
            <v>0</v>
          </cell>
          <cell r="AB98">
            <v>10090779</v>
          </cell>
          <cell r="AC98">
            <v>85249</v>
          </cell>
          <cell r="AD98">
            <v>196575</v>
          </cell>
          <cell r="AE98">
            <v>0</v>
          </cell>
          <cell r="AF98">
            <v>0</v>
          </cell>
          <cell r="AG98">
            <v>0</v>
          </cell>
          <cell r="AH98">
            <v>0</v>
          </cell>
          <cell r="AI98">
            <v>0</v>
          </cell>
          <cell r="AJ98">
            <v>0</v>
          </cell>
          <cell r="AK98">
            <v>2991</v>
          </cell>
          <cell r="AL98">
            <v>14304</v>
          </cell>
          <cell r="AM98">
            <v>100107</v>
          </cell>
          <cell r="AN98">
            <v>0</v>
          </cell>
          <cell r="AO98">
            <v>1413330</v>
          </cell>
          <cell r="AP98">
            <v>11903335</v>
          </cell>
        </row>
        <row r="99">
          <cell r="C99" t="str">
            <v xml:space="preserve"> LOS RIOS          </v>
          </cell>
          <cell r="D99" t="str">
            <v xml:space="preserve"> PLACER            </v>
          </cell>
          <cell r="E99">
            <v>230</v>
          </cell>
          <cell r="F99" t="str">
            <v xml:space="preserve"> 2015-2016</v>
          </cell>
          <cell r="G99" t="str">
            <v xml:space="preserve"> 04/15/2016</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t="str">
            <v xml:space="preserve"> </v>
          </cell>
          <cell r="W99">
            <v>0</v>
          </cell>
          <cell r="X99">
            <v>0</v>
          </cell>
          <cell r="Y99">
            <v>0</v>
          </cell>
          <cell r="Z99">
            <v>0</v>
          </cell>
          <cell r="AA99">
            <v>0</v>
          </cell>
          <cell r="AB99">
            <v>42815</v>
          </cell>
          <cell r="AC99">
            <v>411</v>
          </cell>
          <cell r="AD99">
            <v>959</v>
          </cell>
          <cell r="AE99">
            <v>0</v>
          </cell>
          <cell r="AF99">
            <v>0</v>
          </cell>
          <cell r="AG99">
            <v>0</v>
          </cell>
          <cell r="AH99">
            <v>0</v>
          </cell>
          <cell r="AI99">
            <v>0</v>
          </cell>
          <cell r="AJ99">
            <v>0</v>
          </cell>
          <cell r="AK99">
            <v>12</v>
          </cell>
          <cell r="AL99">
            <v>0</v>
          </cell>
          <cell r="AM99">
            <v>362</v>
          </cell>
          <cell r="AN99">
            <v>0</v>
          </cell>
          <cell r="AO99">
            <v>0</v>
          </cell>
          <cell r="AP99">
            <v>44559</v>
          </cell>
        </row>
        <row r="100">
          <cell r="C100" t="str">
            <v xml:space="preserve"> LOS RIOS          </v>
          </cell>
          <cell r="D100" t="str">
            <v xml:space="preserve"> SACRAMENTO        </v>
          </cell>
          <cell r="E100">
            <v>230</v>
          </cell>
          <cell r="F100" t="str">
            <v xml:space="preserve"> 2015-2016</v>
          </cell>
          <cell r="G100" t="str">
            <v xml:space="preserve"> 04/15/2016</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t="str">
            <v xml:space="preserve"> </v>
          </cell>
          <cell r="W100">
            <v>0</v>
          </cell>
          <cell r="X100">
            <v>0</v>
          </cell>
          <cell r="Y100">
            <v>0</v>
          </cell>
          <cell r="Z100">
            <v>0</v>
          </cell>
          <cell r="AA100">
            <v>0</v>
          </cell>
          <cell r="AB100">
            <v>36291317</v>
          </cell>
          <cell r="AC100">
            <v>840184</v>
          </cell>
          <cell r="AD100">
            <v>1150819</v>
          </cell>
          <cell r="AE100">
            <v>326126</v>
          </cell>
          <cell r="AF100">
            <v>154910</v>
          </cell>
          <cell r="AG100">
            <v>0</v>
          </cell>
          <cell r="AH100">
            <v>0</v>
          </cell>
          <cell r="AI100">
            <v>504047</v>
          </cell>
          <cell r="AJ100">
            <v>11618</v>
          </cell>
          <cell r="AK100">
            <v>0</v>
          </cell>
          <cell r="AL100">
            <v>17</v>
          </cell>
          <cell r="AM100">
            <v>455029</v>
          </cell>
          <cell r="AN100">
            <v>1683</v>
          </cell>
          <cell r="AO100">
            <v>6756146</v>
          </cell>
          <cell r="AP100">
            <v>46165770</v>
          </cell>
        </row>
        <row r="101">
          <cell r="C101" t="str">
            <v xml:space="preserve"> LOS RIOS          </v>
          </cell>
          <cell r="D101" t="str">
            <v xml:space="preserve"> SOLANO            </v>
          </cell>
          <cell r="E101">
            <v>230</v>
          </cell>
          <cell r="F101" t="str">
            <v xml:space="preserve"> 2015-2016</v>
          </cell>
          <cell r="G101" t="str">
            <v xml:space="preserve"> 04/15/2016</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t="str">
            <v xml:space="preserve"> </v>
          </cell>
          <cell r="W101">
            <v>0</v>
          </cell>
          <cell r="X101">
            <v>0</v>
          </cell>
          <cell r="Y101">
            <v>0</v>
          </cell>
          <cell r="Z101">
            <v>0</v>
          </cell>
          <cell r="AA101">
            <v>0</v>
          </cell>
          <cell r="AB101">
            <v>11504</v>
          </cell>
          <cell r="AC101">
            <v>176</v>
          </cell>
          <cell r="AD101">
            <v>683</v>
          </cell>
          <cell r="AE101">
            <v>0</v>
          </cell>
          <cell r="AF101">
            <v>0</v>
          </cell>
          <cell r="AG101">
            <v>0</v>
          </cell>
          <cell r="AH101">
            <v>0</v>
          </cell>
          <cell r="AI101">
            <v>0</v>
          </cell>
          <cell r="AJ101">
            <v>0</v>
          </cell>
          <cell r="AK101">
            <v>0</v>
          </cell>
          <cell r="AL101">
            <v>0</v>
          </cell>
          <cell r="AM101">
            <v>101</v>
          </cell>
          <cell r="AN101">
            <v>0</v>
          </cell>
          <cell r="AO101">
            <v>0</v>
          </cell>
          <cell r="AP101">
            <v>12464</v>
          </cell>
        </row>
        <row r="102">
          <cell r="C102" t="str">
            <v xml:space="preserve"> LOS RIOS          </v>
          </cell>
          <cell r="D102" t="str">
            <v xml:space="preserve"> YOLO              </v>
          </cell>
          <cell r="E102">
            <v>230</v>
          </cell>
          <cell r="F102" t="str">
            <v xml:space="preserve"> 2015-2016</v>
          </cell>
          <cell r="G102" t="str">
            <v xml:space="preserve"> 04/15/2016</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t="str">
            <v xml:space="preserve"> </v>
          </cell>
          <cell r="W102">
            <v>0</v>
          </cell>
          <cell r="X102">
            <v>0</v>
          </cell>
          <cell r="Y102">
            <v>0</v>
          </cell>
          <cell r="Z102">
            <v>0</v>
          </cell>
          <cell r="AA102">
            <v>0</v>
          </cell>
          <cell r="AB102">
            <v>4903624</v>
          </cell>
          <cell r="AC102">
            <v>121500</v>
          </cell>
          <cell r="AD102">
            <v>190000</v>
          </cell>
          <cell r="AE102">
            <v>130000</v>
          </cell>
          <cell r="AF102">
            <v>61750</v>
          </cell>
          <cell r="AG102">
            <v>0</v>
          </cell>
          <cell r="AH102">
            <v>0</v>
          </cell>
          <cell r="AI102">
            <v>744895</v>
          </cell>
          <cell r="AJ102">
            <v>0</v>
          </cell>
          <cell r="AK102">
            <v>3000</v>
          </cell>
          <cell r="AL102">
            <v>0</v>
          </cell>
          <cell r="AM102">
            <v>48972</v>
          </cell>
          <cell r="AN102">
            <v>1632</v>
          </cell>
          <cell r="AO102">
            <v>574022</v>
          </cell>
          <cell r="AP102">
            <v>6649395</v>
          </cell>
        </row>
        <row r="103">
          <cell r="C103" t="str">
            <v xml:space="preserve">LOS RIOS Subtotal          </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51340039</v>
          </cell>
          <cell r="AC103">
            <v>1047520</v>
          </cell>
          <cell r="AD103">
            <v>1539036</v>
          </cell>
          <cell r="AE103">
            <v>456126</v>
          </cell>
          <cell r="AF103">
            <v>216660</v>
          </cell>
          <cell r="AG103">
            <v>0</v>
          </cell>
          <cell r="AH103">
            <v>0</v>
          </cell>
          <cell r="AI103">
            <v>1248942</v>
          </cell>
          <cell r="AJ103">
            <v>11618</v>
          </cell>
          <cell r="AK103">
            <v>6003</v>
          </cell>
          <cell r="AL103">
            <v>14321</v>
          </cell>
          <cell r="AM103">
            <v>604571</v>
          </cell>
          <cell r="AN103">
            <v>3315</v>
          </cell>
          <cell r="AO103">
            <v>8743498</v>
          </cell>
          <cell r="AP103">
            <v>64775523</v>
          </cell>
        </row>
        <row r="105">
          <cell r="C105" t="str">
            <v xml:space="preserve"> MARIN             </v>
          </cell>
          <cell r="D105" t="str">
            <v xml:space="preserve"> MARIN             </v>
          </cell>
          <cell r="E105">
            <v>330</v>
          </cell>
          <cell r="F105" t="str">
            <v xml:space="preserve"> 2015-2016</v>
          </cell>
          <cell r="G105" t="str">
            <v xml:space="preserve"> 04/15/2016</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t="str">
            <v xml:space="preserve"> </v>
          </cell>
          <cell r="W105">
            <v>0</v>
          </cell>
          <cell r="X105">
            <v>0</v>
          </cell>
          <cell r="Y105">
            <v>0</v>
          </cell>
          <cell r="Z105">
            <v>0</v>
          </cell>
          <cell r="AA105">
            <v>0</v>
          </cell>
          <cell r="AB105">
            <v>45350350</v>
          </cell>
          <cell r="AC105">
            <v>1157331</v>
          </cell>
          <cell r="AD105">
            <v>929563</v>
          </cell>
          <cell r="AE105">
            <v>114346</v>
          </cell>
          <cell r="AF105">
            <v>54314</v>
          </cell>
          <cell r="AG105">
            <v>0</v>
          </cell>
          <cell r="AH105">
            <v>0</v>
          </cell>
          <cell r="AI105">
            <v>422073</v>
          </cell>
          <cell r="AJ105">
            <v>0</v>
          </cell>
          <cell r="AK105">
            <v>57410</v>
          </cell>
          <cell r="AL105">
            <v>0</v>
          </cell>
          <cell r="AM105">
            <v>259462</v>
          </cell>
          <cell r="AN105">
            <v>2015</v>
          </cell>
          <cell r="AO105">
            <v>0</v>
          </cell>
          <cell r="AP105">
            <v>48232518</v>
          </cell>
        </row>
        <row r="106">
          <cell r="C106" t="str">
            <v xml:space="preserve">MARIN Subtotal          </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45350350</v>
          </cell>
          <cell r="AC106">
            <v>1157331</v>
          </cell>
          <cell r="AD106">
            <v>929563</v>
          </cell>
          <cell r="AE106">
            <v>114346</v>
          </cell>
          <cell r="AF106">
            <v>54314</v>
          </cell>
          <cell r="AG106">
            <v>0</v>
          </cell>
          <cell r="AH106">
            <v>0</v>
          </cell>
          <cell r="AI106">
            <v>422073</v>
          </cell>
          <cell r="AJ106">
            <v>0</v>
          </cell>
          <cell r="AK106">
            <v>57410</v>
          </cell>
          <cell r="AL106">
            <v>0</v>
          </cell>
          <cell r="AM106">
            <v>259462</v>
          </cell>
          <cell r="AN106">
            <v>2015</v>
          </cell>
          <cell r="AO106">
            <v>0</v>
          </cell>
          <cell r="AP106">
            <v>48232518</v>
          </cell>
        </row>
        <row r="108">
          <cell r="C108" t="str">
            <v xml:space="preserve"> MENDOCINO-LAKE    </v>
          </cell>
          <cell r="D108" t="str">
            <v xml:space="preserve"> LAKE              </v>
          </cell>
          <cell r="E108">
            <v>140</v>
          </cell>
          <cell r="F108" t="str">
            <v xml:space="preserve"> 2015-2016</v>
          </cell>
          <cell r="G108" t="str">
            <v xml:space="preserve"> 04/15/2016</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t="str">
            <v xml:space="preserve"> </v>
          </cell>
          <cell r="W108">
            <v>0</v>
          </cell>
          <cell r="X108">
            <v>0</v>
          </cell>
          <cell r="Y108">
            <v>0</v>
          </cell>
          <cell r="Z108">
            <v>0</v>
          </cell>
          <cell r="AA108">
            <v>0</v>
          </cell>
          <cell r="AB108">
            <v>2075484</v>
          </cell>
          <cell r="AC108">
            <v>8203</v>
          </cell>
          <cell r="AD108">
            <v>49438</v>
          </cell>
          <cell r="AE108">
            <v>34860</v>
          </cell>
          <cell r="AF108">
            <v>16559</v>
          </cell>
          <cell r="AG108">
            <v>0</v>
          </cell>
          <cell r="AH108">
            <v>0</v>
          </cell>
          <cell r="AI108">
            <v>99826</v>
          </cell>
          <cell r="AJ108">
            <v>21801</v>
          </cell>
          <cell r="AK108">
            <v>1285</v>
          </cell>
          <cell r="AL108">
            <v>39</v>
          </cell>
          <cell r="AM108">
            <v>27770</v>
          </cell>
          <cell r="AN108">
            <v>0</v>
          </cell>
          <cell r="AO108">
            <v>133606</v>
          </cell>
          <cell r="AP108">
            <v>2434011</v>
          </cell>
        </row>
        <row r="109">
          <cell r="C109" t="str">
            <v xml:space="preserve"> MENDOCINO-LAKE    </v>
          </cell>
          <cell r="D109" t="str">
            <v xml:space="preserve"> MENDOCINO         </v>
          </cell>
          <cell r="E109">
            <v>140</v>
          </cell>
          <cell r="F109" t="str">
            <v xml:space="preserve"> 2015-2016</v>
          </cell>
          <cell r="G109" t="str">
            <v xml:space="preserve"> 04/15/2016</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t="str">
            <v xml:space="preserve"> </v>
          </cell>
          <cell r="W109">
            <v>0</v>
          </cell>
          <cell r="X109">
            <v>0</v>
          </cell>
          <cell r="Y109">
            <v>0</v>
          </cell>
          <cell r="Z109">
            <v>0</v>
          </cell>
          <cell r="AA109">
            <v>0</v>
          </cell>
          <cell r="AB109">
            <v>3788307</v>
          </cell>
          <cell r="AC109">
            <v>41326</v>
          </cell>
          <cell r="AD109">
            <v>137581</v>
          </cell>
          <cell r="AE109">
            <v>0</v>
          </cell>
          <cell r="AF109">
            <v>0</v>
          </cell>
          <cell r="AG109">
            <v>0</v>
          </cell>
          <cell r="AH109">
            <v>0</v>
          </cell>
          <cell r="AI109">
            <v>74971</v>
          </cell>
          <cell r="AJ109">
            <v>0</v>
          </cell>
          <cell r="AK109">
            <v>1755</v>
          </cell>
          <cell r="AL109">
            <v>16930</v>
          </cell>
          <cell r="AM109">
            <v>40898</v>
          </cell>
          <cell r="AN109">
            <v>0</v>
          </cell>
          <cell r="AO109">
            <v>0</v>
          </cell>
          <cell r="AP109">
            <v>4101768</v>
          </cell>
        </row>
        <row r="110">
          <cell r="C110" t="str">
            <v>MENDOCINO-LAKE Subtotal</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5863791</v>
          </cell>
          <cell r="AC110">
            <v>49529</v>
          </cell>
          <cell r="AD110">
            <v>187019</v>
          </cell>
          <cell r="AE110">
            <v>34860</v>
          </cell>
          <cell r="AF110">
            <v>16559</v>
          </cell>
          <cell r="AG110">
            <v>0</v>
          </cell>
          <cell r="AH110">
            <v>0</v>
          </cell>
          <cell r="AI110">
            <v>174797</v>
          </cell>
          <cell r="AJ110">
            <v>21801</v>
          </cell>
          <cell r="AK110">
            <v>3040</v>
          </cell>
          <cell r="AL110">
            <v>16969</v>
          </cell>
          <cell r="AM110">
            <v>68668</v>
          </cell>
          <cell r="AN110">
            <v>0</v>
          </cell>
          <cell r="AO110">
            <v>133606</v>
          </cell>
          <cell r="AP110">
            <v>6535779</v>
          </cell>
        </row>
        <row r="112">
          <cell r="C112" t="str">
            <v xml:space="preserve"> MERCED            </v>
          </cell>
          <cell r="D112" t="str">
            <v xml:space="preserve"> FRESNO            </v>
          </cell>
          <cell r="E112">
            <v>530</v>
          </cell>
          <cell r="F112" t="str">
            <v xml:space="preserve"> 2015-2016</v>
          </cell>
          <cell r="G112" t="str">
            <v xml:space="preserve"> 04/15/2016</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t="str">
            <v xml:space="preserve"> </v>
          </cell>
          <cell r="W112">
            <v>0</v>
          </cell>
          <cell r="X112">
            <v>0</v>
          </cell>
          <cell r="Y112">
            <v>0</v>
          </cell>
          <cell r="Z112">
            <v>0</v>
          </cell>
          <cell r="AA112">
            <v>0</v>
          </cell>
          <cell r="AB112">
            <v>70284</v>
          </cell>
          <cell r="AC112">
            <v>675</v>
          </cell>
          <cell r="AD112">
            <v>2893</v>
          </cell>
          <cell r="AE112">
            <v>0</v>
          </cell>
          <cell r="AF112">
            <v>0</v>
          </cell>
          <cell r="AG112">
            <v>0</v>
          </cell>
          <cell r="AH112">
            <v>0</v>
          </cell>
          <cell r="AI112">
            <v>0</v>
          </cell>
          <cell r="AJ112">
            <v>0</v>
          </cell>
          <cell r="AK112">
            <v>976</v>
          </cell>
          <cell r="AL112">
            <v>0</v>
          </cell>
          <cell r="AM112">
            <v>656</v>
          </cell>
          <cell r="AN112">
            <v>0</v>
          </cell>
          <cell r="AO112">
            <v>-5077</v>
          </cell>
          <cell r="AP112">
            <v>70407</v>
          </cell>
        </row>
        <row r="113">
          <cell r="C113" t="str">
            <v xml:space="preserve"> MERCED            </v>
          </cell>
          <cell r="D113" t="str">
            <v xml:space="preserve"> MADERA            </v>
          </cell>
          <cell r="E113">
            <v>530</v>
          </cell>
          <cell r="F113" t="str">
            <v xml:space="preserve"> 2015-2016</v>
          </cell>
          <cell r="G113" t="str">
            <v xml:space="preserve"> 04/15/2016</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t="str">
            <v xml:space="preserve"> </v>
          </cell>
          <cell r="W113">
            <v>0</v>
          </cell>
          <cell r="X113">
            <v>0</v>
          </cell>
          <cell r="Y113">
            <v>0</v>
          </cell>
          <cell r="Z113">
            <v>0</v>
          </cell>
          <cell r="AA113">
            <v>0</v>
          </cell>
          <cell r="AB113">
            <v>1284154</v>
          </cell>
          <cell r="AC113">
            <v>0</v>
          </cell>
          <cell r="AD113">
            <v>32680</v>
          </cell>
          <cell r="AE113">
            <v>23926</v>
          </cell>
          <cell r="AF113">
            <v>11365</v>
          </cell>
          <cell r="AG113">
            <v>0</v>
          </cell>
          <cell r="AH113">
            <v>0</v>
          </cell>
          <cell r="AI113">
            <v>0</v>
          </cell>
          <cell r="AJ113">
            <v>0</v>
          </cell>
          <cell r="AK113">
            <v>-34328</v>
          </cell>
          <cell r="AL113">
            <v>0</v>
          </cell>
          <cell r="AM113">
            <v>14409</v>
          </cell>
          <cell r="AN113">
            <v>0</v>
          </cell>
          <cell r="AO113">
            <v>-172884</v>
          </cell>
          <cell r="AP113">
            <v>1135396</v>
          </cell>
        </row>
        <row r="114">
          <cell r="C114" t="str">
            <v xml:space="preserve"> MERCED            </v>
          </cell>
          <cell r="D114" t="str">
            <v xml:space="preserve"> MERCED            </v>
          </cell>
          <cell r="E114">
            <v>530</v>
          </cell>
          <cell r="F114" t="str">
            <v xml:space="preserve"> 2015-2016</v>
          </cell>
          <cell r="G114" t="str">
            <v xml:space="preserve"> 04/15/2016</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t="str">
            <v xml:space="preserve"> </v>
          </cell>
          <cell r="W114">
            <v>0</v>
          </cell>
          <cell r="X114">
            <v>0</v>
          </cell>
          <cell r="Y114">
            <v>0</v>
          </cell>
          <cell r="Z114">
            <v>0</v>
          </cell>
          <cell r="AA114">
            <v>0</v>
          </cell>
          <cell r="AB114">
            <v>8220850</v>
          </cell>
          <cell r="AC114">
            <v>167541</v>
          </cell>
          <cell r="AD114">
            <v>636592</v>
          </cell>
          <cell r="AE114">
            <v>142445</v>
          </cell>
          <cell r="AF114">
            <v>67661</v>
          </cell>
          <cell r="AG114">
            <v>0</v>
          </cell>
          <cell r="AH114">
            <v>0</v>
          </cell>
          <cell r="AI114">
            <v>177052</v>
          </cell>
          <cell r="AJ114">
            <v>0</v>
          </cell>
          <cell r="AK114">
            <v>22667</v>
          </cell>
          <cell r="AL114">
            <v>9</v>
          </cell>
          <cell r="AM114">
            <v>98884</v>
          </cell>
          <cell r="AN114">
            <v>7375</v>
          </cell>
          <cell r="AO114">
            <v>-662269</v>
          </cell>
          <cell r="AP114">
            <v>8736362</v>
          </cell>
        </row>
        <row r="115">
          <cell r="C115" t="str">
            <v xml:space="preserve">MERCED Subtotal            </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9575288</v>
          </cell>
          <cell r="AC115">
            <v>168216</v>
          </cell>
          <cell r="AD115">
            <v>672165</v>
          </cell>
          <cell r="AE115">
            <v>166371</v>
          </cell>
          <cell r="AF115">
            <v>79026</v>
          </cell>
          <cell r="AG115">
            <v>0</v>
          </cell>
          <cell r="AH115">
            <v>0</v>
          </cell>
          <cell r="AI115">
            <v>177052</v>
          </cell>
          <cell r="AJ115">
            <v>0</v>
          </cell>
          <cell r="AK115">
            <v>-10685</v>
          </cell>
          <cell r="AL115">
            <v>9</v>
          </cell>
          <cell r="AM115">
            <v>113949</v>
          </cell>
          <cell r="AN115">
            <v>7375</v>
          </cell>
          <cell r="AO115">
            <v>-840230</v>
          </cell>
          <cell r="AP115">
            <v>9942165</v>
          </cell>
        </row>
        <row r="117">
          <cell r="C117" t="str">
            <v xml:space="preserve"> MIRA COSTA        </v>
          </cell>
          <cell r="D117" t="str">
            <v xml:space="preserve"> SAN DIEGO         </v>
          </cell>
          <cell r="E117">
            <v>50</v>
          </cell>
          <cell r="F117" t="str">
            <v xml:space="preserve"> 2015-2016</v>
          </cell>
          <cell r="G117" t="str">
            <v xml:space="preserve"> 04/15/2016</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t="str">
            <v xml:space="preserve"> </v>
          </cell>
          <cell r="W117">
            <v>0</v>
          </cell>
          <cell r="X117">
            <v>0</v>
          </cell>
          <cell r="Y117">
            <v>0</v>
          </cell>
          <cell r="Z117">
            <v>0</v>
          </cell>
          <cell r="AA117">
            <v>0</v>
          </cell>
          <cell r="AB117">
            <v>82729419</v>
          </cell>
          <cell r="AC117">
            <v>1600590</v>
          </cell>
          <cell r="AD117">
            <v>2677057</v>
          </cell>
          <cell r="AE117">
            <v>223512</v>
          </cell>
          <cell r="AF117">
            <v>106168</v>
          </cell>
          <cell r="AG117">
            <v>0</v>
          </cell>
          <cell r="AH117">
            <v>0</v>
          </cell>
          <cell r="AI117">
            <v>654973</v>
          </cell>
          <cell r="AJ117">
            <v>0</v>
          </cell>
          <cell r="AK117">
            <v>-44331</v>
          </cell>
          <cell r="AL117">
            <v>0</v>
          </cell>
          <cell r="AM117">
            <v>664486</v>
          </cell>
          <cell r="AN117">
            <v>0</v>
          </cell>
          <cell r="AO117">
            <v>0</v>
          </cell>
          <cell r="AP117">
            <v>88388362</v>
          </cell>
        </row>
        <row r="118">
          <cell r="C118" t="str">
            <v>MIRA COSTA Subtotal</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82729419</v>
          </cell>
          <cell r="AC118">
            <v>1600590</v>
          </cell>
          <cell r="AD118">
            <v>2677057</v>
          </cell>
          <cell r="AE118">
            <v>223512</v>
          </cell>
          <cell r="AF118">
            <v>106168</v>
          </cell>
          <cell r="AG118">
            <v>0</v>
          </cell>
          <cell r="AH118">
            <v>0</v>
          </cell>
          <cell r="AI118">
            <v>654973</v>
          </cell>
          <cell r="AJ118">
            <v>0</v>
          </cell>
          <cell r="AK118">
            <v>-44331</v>
          </cell>
          <cell r="AL118">
            <v>0</v>
          </cell>
          <cell r="AM118">
            <v>664486</v>
          </cell>
          <cell r="AN118">
            <v>0</v>
          </cell>
          <cell r="AO118">
            <v>0</v>
          </cell>
          <cell r="AP118">
            <v>88388362</v>
          </cell>
        </row>
        <row r="120">
          <cell r="C120" t="str">
            <v xml:space="preserve"> MONTEREY PENINSULA</v>
          </cell>
          <cell r="D120" t="str">
            <v xml:space="preserve"> MONTEREY          </v>
          </cell>
          <cell r="E120">
            <v>460</v>
          </cell>
          <cell r="F120" t="str">
            <v xml:space="preserve"> 2015-2016</v>
          </cell>
          <cell r="G120" t="str">
            <v xml:space="preserve"> 04/15/2016</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t="str">
            <v xml:space="preserve"> </v>
          </cell>
          <cell r="W120">
            <v>0</v>
          </cell>
          <cell r="X120">
            <v>0</v>
          </cell>
          <cell r="Y120">
            <v>0</v>
          </cell>
          <cell r="Z120">
            <v>0</v>
          </cell>
          <cell r="AA120">
            <v>0</v>
          </cell>
          <cell r="AB120">
            <v>14934101</v>
          </cell>
          <cell r="AC120">
            <v>176023</v>
          </cell>
          <cell r="AD120">
            <v>607391</v>
          </cell>
          <cell r="AE120">
            <v>87121</v>
          </cell>
          <cell r="AF120">
            <v>41382</v>
          </cell>
          <cell r="AG120">
            <v>0</v>
          </cell>
          <cell r="AH120">
            <v>0</v>
          </cell>
          <cell r="AI120">
            <v>630780</v>
          </cell>
          <cell r="AJ120">
            <v>0</v>
          </cell>
          <cell r="AK120">
            <v>142754</v>
          </cell>
          <cell r="AL120">
            <v>0</v>
          </cell>
          <cell r="AM120">
            <v>86904</v>
          </cell>
          <cell r="AN120">
            <v>0</v>
          </cell>
          <cell r="AO120">
            <v>768731</v>
          </cell>
          <cell r="AP120">
            <v>17388066</v>
          </cell>
        </row>
        <row r="121">
          <cell r="C121" t="str">
            <v>MONTEREY PENINSULA Subtotal</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14934101</v>
          </cell>
          <cell r="AC121">
            <v>176023</v>
          </cell>
          <cell r="AD121">
            <v>607391</v>
          </cell>
          <cell r="AE121">
            <v>87121</v>
          </cell>
          <cell r="AF121">
            <v>41382</v>
          </cell>
          <cell r="AG121">
            <v>0</v>
          </cell>
          <cell r="AH121">
            <v>0</v>
          </cell>
          <cell r="AI121">
            <v>630780</v>
          </cell>
          <cell r="AJ121">
            <v>0</v>
          </cell>
          <cell r="AK121">
            <v>142754</v>
          </cell>
          <cell r="AL121">
            <v>0</v>
          </cell>
          <cell r="AM121">
            <v>86904</v>
          </cell>
          <cell r="AN121">
            <v>0</v>
          </cell>
          <cell r="AO121">
            <v>768731</v>
          </cell>
          <cell r="AP121">
            <v>17388066</v>
          </cell>
        </row>
        <row r="123">
          <cell r="C123" t="str">
            <v xml:space="preserve"> MT SAN ANTONIO    </v>
          </cell>
          <cell r="D123" t="str">
            <v xml:space="preserve"> LOS ANGELES       </v>
          </cell>
          <cell r="E123">
            <v>850</v>
          </cell>
          <cell r="F123" t="str">
            <v xml:space="preserve"> 2015-2016</v>
          </cell>
          <cell r="G123" t="str">
            <v xml:space="preserve"> 04/15/2016</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t="str">
            <v xml:space="preserve"> </v>
          </cell>
          <cell r="W123">
            <v>0</v>
          </cell>
          <cell r="X123">
            <v>0</v>
          </cell>
          <cell r="Y123">
            <v>0</v>
          </cell>
          <cell r="Z123">
            <v>0</v>
          </cell>
          <cell r="AA123">
            <v>0</v>
          </cell>
          <cell r="AB123">
            <v>17035940</v>
          </cell>
          <cell r="AC123">
            <v>516172</v>
          </cell>
          <cell r="AD123">
            <v>424953</v>
          </cell>
          <cell r="AE123">
            <v>202127</v>
          </cell>
          <cell r="AF123">
            <v>96010</v>
          </cell>
          <cell r="AG123">
            <v>0</v>
          </cell>
          <cell r="AH123">
            <v>0</v>
          </cell>
          <cell r="AI123">
            <v>273085</v>
          </cell>
          <cell r="AJ123">
            <v>37446</v>
          </cell>
          <cell r="AK123">
            <v>391920</v>
          </cell>
          <cell r="AL123">
            <v>0</v>
          </cell>
          <cell r="AM123">
            <v>119429</v>
          </cell>
          <cell r="AN123">
            <v>58</v>
          </cell>
          <cell r="AO123">
            <v>0</v>
          </cell>
          <cell r="AP123">
            <v>18895013</v>
          </cell>
        </row>
        <row r="124">
          <cell r="C124" t="str">
            <v xml:space="preserve">MT SAN ANTONIO Subtotal    </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17035940</v>
          </cell>
          <cell r="AC124">
            <v>516172</v>
          </cell>
          <cell r="AD124">
            <v>424953</v>
          </cell>
          <cell r="AE124">
            <v>202127</v>
          </cell>
          <cell r="AF124">
            <v>96010</v>
          </cell>
          <cell r="AG124">
            <v>0</v>
          </cell>
          <cell r="AH124">
            <v>0</v>
          </cell>
          <cell r="AI124">
            <v>273085</v>
          </cell>
          <cell r="AJ124">
            <v>37446</v>
          </cell>
          <cell r="AK124">
            <v>391920</v>
          </cell>
          <cell r="AL124">
            <v>0</v>
          </cell>
          <cell r="AM124">
            <v>119429</v>
          </cell>
          <cell r="AN124">
            <v>58</v>
          </cell>
          <cell r="AO124">
            <v>0</v>
          </cell>
          <cell r="AP124">
            <v>18895013</v>
          </cell>
        </row>
        <row r="126">
          <cell r="C126" t="str">
            <v xml:space="preserve"> MT SAN JACINTO    </v>
          </cell>
          <cell r="D126" t="str">
            <v xml:space="preserve"> RIVERSIDE         </v>
          </cell>
          <cell r="E126">
            <v>940</v>
          </cell>
          <cell r="F126" t="str">
            <v xml:space="preserve"> 2015-2016</v>
          </cell>
          <cell r="G126" t="str">
            <v xml:space="preserve"> 04/15/2016</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t="str">
            <v xml:space="preserve"> </v>
          </cell>
          <cell r="W126">
            <v>0</v>
          </cell>
          <cell r="X126">
            <v>0</v>
          </cell>
          <cell r="Y126">
            <v>0</v>
          </cell>
          <cell r="Z126">
            <v>0</v>
          </cell>
          <cell r="AA126">
            <v>0</v>
          </cell>
          <cell r="AB126">
            <v>24021117</v>
          </cell>
          <cell r="AC126">
            <v>568845</v>
          </cell>
          <cell r="AD126">
            <v>1041802</v>
          </cell>
          <cell r="AE126">
            <v>476472</v>
          </cell>
          <cell r="AF126">
            <v>226324</v>
          </cell>
          <cell r="AG126">
            <v>0</v>
          </cell>
          <cell r="AH126">
            <v>0</v>
          </cell>
          <cell r="AI126">
            <v>674993</v>
          </cell>
          <cell r="AJ126">
            <v>287972</v>
          </cell>
          <cell r="AK126">
            <v>702645</v>
          </cell>
          <cell r="AL126">
            <v>0</v>
          </cell>
          <cell r="AM126">
            <v>319968</v>
          </cell>
          <cell r="AN126">
            <v>0</v>
          </cell>
          <cell r="AO126">
            <v>-2997579</v>
          </cell>
          <cell r="AP126">
            <v>24846087</v>
          </cell>
        </row>
        <row r="127">
          <cell r="C127" t="str">
            <v>MT SAN JACINTO Subtotal</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24021117</v>
          </cell>
          <cell r="AC127">
            <v>568845</v>
          </cell>
          <cell r="AD127">
            <v>1041802</v>
          </cell>
          <cell r="AE127">
            <v>476472</v>
          </cell>
          <cell r="AF127">
            <v>226324</v>
          </cell>
          <cell r="AG127">
            <v>0</v>
          </cell>
          <cell r="AH127">
            <v>0</v>
          </cell>
          <cell r="AI127">
            <v>674993</v>
          </cell>
          <cell r="AJ127">
            <v>287972</v>
          </cell>
          <cell r="AK127">
            <v>702645</v>
          </cell>
          <cell r="AL127">
            <v>0</v>
          </cell>
          <cell r="AM127">
            <v>319968</v>
          </cell>
          <cell r="AN127">
            <v>0</v>
          </cell>
          <cell r="AO127">
            <v>-2997579</v>
          </cell>
          <cell r="AP127">
            <v>24846087</v>
          </cell>
        </row>
        <row r="129">
          <cell r="C129" t="str">
            <v xml:space="preserve"> NAPA VALLEY       </v>
          </cell>
          <cell r="D129" t="str">
            <v xml:space="preserve"> NAPA              </v>
          </cell>
          <cell r="E129">
            <v>240</v>
          </cell>
          <cell r="F129" t="str">
            <v xml:space="preserve"> 2015-2016</v>
          </cell>
          <cell r="G129" t="str">
            <v xml:space="preserve"> 04/15/2016</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t="str">
            <v xml:space="preserve"> </v>
          </cell>
          <cell r="W129">
            <v>0</v>
          </cell>
          <cell r="X129">
            <v>0</v>
          </cell>
          <cell r="Y129">
            <v>0</v>
          </cell>
          <cell r="Z129">
            <v>0</v>
          </cell>
          <cell r="AA129">
            <v>0</v>
          </cell>
          <cell r="AB129">
            <v>25068700</v>
          </cell>
          <cell r="AC129">
            <v>484000</v>
          </cell>
          <cell r="AD129">
            <v>950000</v>
          </cell>
          <cell r="AE129">
            <v>93641</v>
          </cell>
          <cell r="AF129">
            <v>44479</v>
          </cell>
          <cell r="AG129">
            <v>0</v>
          </cell>
          <cell r="AH129">
            <v>0</v>
          </cell>
          <cell r="AI129">
            <v>228300</v>
          </cell>
          <cell r="AJ129">
            <v>0</v>
          </cell>
          <cell r="AK129">
            <v>8986</v>
          </cell>
          <cell r="AL129">
            <v>0</v>
          </cell>
          <cell r="AM129">
            <v>124194</v>
          </cell>
          <cell r="AN129">
            <v>120</v>
          </cell>
          <cell r="AO129">
            <v>-613297</v>
          </cell>
          <cell r="AP129">
            <v>26295482</v>
          </cell>
        </row>
        <row r="130">
          <cell r="C130" t="str">
            <v xml:space="preserve"> NAPA VALLEY       </v>
          </cell>
          <cell r="D130" t="str">
            <v xml:space="preserve"> SONOMA            </v>
          </cell>
          <cell r="E130">
            <v>240</v>
          </cell>
          <cell r="F130" t="str">
            <v xml:space="preserve"> 2015-2016</v>
          </cell>
          <cell r="G130" t="str">
            <v xml:space="preserve"> 04/15/2016</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t="str">
            <v xml:space="preserve"> </v>
          </cell>
          <cell r="W130">
            <v>0</v>
          </cell>
          <cell r="X130">
            <v>0</v>
          </cell>
          <cell r="Y130">
            <v>0</v>
          </cell>
          <cell r="Z130">
            <v>0</v>
          </cell>
          <cell r="AA130">
            <v>0</v>
          </cell>
          <cell r="AB130">
            <v>210551</v>
          </cell>
          <cell r="AC130">
            <v>2860</v>
          </cell>
          <cell r="AD130">
            <v>6851</v>
          </cell>
          <cell r="AE130">
            <v>0</v>
          </cell>
          <cell r="AF130">
            <v>0</v>
          </cell>
          <cell r="AG130">
            <v>0</v>
          </cell>
          <cell r="AH130">
            <v>0</v>
          </cell>
          <cell r="AI130">
            <v>0</v>
          </cell>
          <cell r="AJ130">
            <v>0</v>
          </cell>
          <cell r="AK130">
            <v>0</v>
          </cell>
          <cell r="AL130">
            <v>0</v>
          </cell>
          <cell r="AM130">
            <v>1630</v>
          </cell>
          <cell r="AN130">
            <v>0</v>
          </cell>
          <cell r="AO130">
            <v>0</v>
          </cell>
          <cell r="AP130">
            <v>221892</v>
          </cell>
        </row>
        <row r="131">
          <cell r="C131" t="str">
            <v xml:space="preserve">NAPA VALLEY Subtotal       </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25279251</v>
          </cell>
          <cell r="AC131">
            <v>486860</v>
          </cell>
          <cell r="AD131">
            <v>956851</v>
          </cell>
          <cell r="AE131">
            <v>93641</v>
          </cell>
          <cell r="AF131">
            <v>44479</v>
          </cell>
          <cell r="AG131">
            <v>0</v>
          </cell>
          <cell r="AH131">
            <v>0</v>
          </cell>
          <cell r="AI131">
            <v>228300</v>
          </cell>
          <cell r="AJ131">
            <v>0</v>
          </cell>
          <cell r="AK131">
            <v>8986</v>
          </cell>
          <cell r="AL131">
            <v>0</v>
          </cell>
          <cell r="AM131">
            <v>125824</v>
          </cell>
          <cell r="AN131">
            <v>120</v>
          </cell>
          <cell r="AO131">
            <v>-613297</v>
          </cell>
          <cell r="AP131">
            <v>26517374</v>
          </cell>
        </row>
        <row r="133">
          <cell r="C133" t="str">
            <v xml:space="preserve"> NORTH ORANGE      </v>
          </cell>
          <cell r="D133" t="str">
            <v xml:space="preserve"> LOS ANGELES       </v>
          </cell>
          <cell r="E133">
            <v>860</v>
          </cell>
          <cell r="F133" t="str">
            <v xml:space="preserve"> 2015-2016</v>
          </cell>
          <cell r="G133" t="str">
            <v xml:space="preserve"> 04/15/2016</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t="str">
            <v xml:space="preserve"> </v>
          </cell>
          <cell r="W133">
            <v>0</v>
          </cell>
          <cell r="X133">
            <v>0</v>
          </cell>
          <cell r="Y133">
            <v>0</v>
          </cell>
          <cell r="Z133">
            <v>0</v>
          </cell>
          <cell r="AA133">
            <v>0</v>
          </cell>
          <cell r="AB133">
            <v>661667</v>
          </cell>
          <cell r="AC133">
            <v>17518</v>
          </cell>
          <cell r="AD133">
            <v>25698</v>
          </cell>
          <cell r="AE133">
            <v>525</v>
          </cell>
          <cell r="AF133">
            <v>249</v>
          </cell>
          <cell r="AG133">
            <v>0</v>
          </cell>
          <cell r="AH133">
            <v>0</v>
          </cell>
          <cell r="AI133">
            <v>0</v>
          </cell>
          <cell r="AJ133">
            <v>0</v>
          </cell>
          <cell r="AK133">
            <v>16086</v>
          </cell>
          <cell r="AL133">
            <v>0</v>
          </cell>
          <cell r="AM133">
            <v>4706</v>
          </cell>
          <cell r="AN133">
            <v>0</v>
          </cell>
          <cell r="AO133">
            <v>0</v>
          </cell>
          <cell r="AP133">
            <v>725924</v>
          </cell>
        </row>
        <row r="134">
          <cell r="C134" t="str">
            <v xml:space="preserve"> NORTH ORANGE      </v>
          </cell>
          <cell r="D134" t="str">
            <v xml:space="preserve"> ORANGE            </v>
          </cell>
          <cell r="E134">
            <v>860</v>
          </cell>
          <cell r="F134" t="str">
            <v xml:space="preserve"> 2015-2016</v>
          </cell>
          <cell r="G134" t="str">
            <v xml:space="preserve"> 04/15/2016</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t="str">
            <v xml:space="preserve"> </v>
          </cell>
          <cell r="W134">
            <v>0</v>
          </cell>
          <cell r="X134">
            <v>0</v>
          </cell>
          <cell r="Y134">
            <v>0</v>
          </cell>
          <cell r="Z134">
            <v>0</v>
          </cell>
          <cell r="AA134">
            <v>0</v>
          </cell>
          <cell r="AB134">
            <v>59200317</v>
          </cell>
          <cell r="AC134">
            <v>1412458</v>
          </cell>
          <cell r="AD134">
            <v>1928146</v>
          </cell>
          <cell r="AE134">
            <v>1566963</v>
          </cell>
          <cell r="AF134">
            <v>744307</v>
          </cell>
          <cell r="AG134">
            <v>0</v>
          </cell>
          <cell r="AH134">
            <v>0</v>
          </cell>
          <cell r="AI134">
            <v>3422571</v>
          </cell>
          <cell r="AJ134">
            <v>166577</v>
          </cell>
          <cell r="AK134">
            <v>2046942</v>
          </cell>
          <cell r="AL134">
            <v>9</v>
          </cell>
          <cell r="AM134">
            <v>409715</v>
          </cell>
          <cell r="AN134">
            <v>0</v>
          </cell>
          <cell r="AO134">
            <v>3970916</v>
          </cell>
          <cell r="AP134">
            <v>73301958</v>
          </cell>
        </row>
        <row r="135">
          <cell r="C135" t="str">
            <v xml:space="preserve">NORTH ORANGE Subtotal     </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59861984</v>
          </cell>
          <cell r="AC135">
            <v>1429976</v>
          </cell>
          <cell r="AD135">
            <v>1953844</v>
          </cell>
          <cell r="AE135">
            <v>1567488</v>
          </cell>
          <cell r="AF135">
            <v>744556</v>
          </cell>
          <cell r="AG135">
            <v>0</v>
          </cell>
          <cell r="AH135">
            <v>0</v>
          </cell>
          <cell r="AI135">
            <v>3422571</v>
          </cell>
          <cell r="AJ135">
            <v>166577</v>
          </cell>
          <cell r="AK135">
            <v>2063028</v>
          </cell>
          <cell r="AL135">
            <v>9</v>
          </cell>
          <cell r="AM135">
            <v>414421</v>
          </cell>
          <cell r="AN135">
            <v>0</v>
          </cell>
          <cell r="AO135">
            <v>3970916</v>
          </cell>
          <cell r="AP135">
            <v>74027882</v>
          </cell>
        </row>
        <row r="137">
          <cell r="C137" t="str">
            <v xml:space="preserve"> OHLONE</v>
          </cell>
          <cell r="D137" t="str">
            <v xml:space="preserve"> ALAMEDA           </v>
          </cell>
          <cell r="E137">
            <v>430</v>
          </cell>
          <cell r="F137" t="str">
            <v xml:space="preserve"> 2015-2016</v>
          </cell>
          <cell r="G137" t="str">
            <v xml:space="preserve"> 04/15/2016</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t="str">
            <v xml:space="preserve"> </v>
          </cell>
          <cell r="W137">
            <v>0</v>
          </cell>
          <cell r="X137">
            <v>0</v>
          </cell>
          <cell r="Y137">
            <v>0</v>
          </cell>
          <cell r="Z137">
            <v>0</v>
          </cell>
          <cell r="AA137">
            <v>0</v>
          </cell>
          <cell r="AB137">
            <v>16272583</v>
          </cell>
          <cell r="AC137">
            <v>461106</v>
          </cell>
          <cell r="AD137">
            <v>1055359</v>
          </cell>
          <cell r="AE137">
            <v>72876</v>
          </cell>
          <cell r="AF137">
            <v>34616</v>
          </cell>
          <cell r="AG137">
            <v>0</v>
          </cell>
          <cell r="AH137">
            <v>0</v>
          </cell>
          <cell r="AI137">
            <v>1403</v>
          </cell>
          <cell r="AJ137">
            <v>0</v>
          </cell>
          <cell r="AK137">
            <v>-357649</v>
          </cell>
          <cell r="AL137">
            <v>0</v>
          </cell>
          <cell r="AM137">
            <v>126175</v>
          </cell>
          <cell r="AN137">
            <v>5314</v>
          </cell>
          <cell r="AO137">
            <v>2626736</v>
          </cell>
          <cell r="AP137">
            <v>20225643</v>
          </cell>
        </row>
        <row r="138">
          <cell r="C138" t="str">
            <v>OHLONE Subtotal</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16272583</v>
          </cell>
          <cell r="AC138">
            <v>461106</v>
          </cell>
          <cell r="AD138">
            <v>1055359</v>
          </cell>
          <cell r="AE138">
            <v>72876</v>
          </cell>
          <cell r="AF138">
            <v>34616</v>
          </cell>
          <cell r="AG138">
            <v>0</v>
          </cell>
          <cell r="AH138">
            <v>0</v>
          </cell>
          <cell r="AI138">
            <v>1403</v>
          </cell>
          <cell r="AJ138">
            <v>0</v>
          </cell>
          <cell r="AK138">
            <v>-357649</v>
          </cell>
          <cell r="AL138">
            <v>0</v>
          </cell>
          <cell r="AM138">
            <v>126175</v>
          </cell>
          <cell r="AN138">
            <v>5314</v>
          </cell>
          <cell r="AO138">
            <v>2626736</v>
          </cell>
          <cell r="AP138">
            <v>20225643</v>
          </cell>
        </row>
        <row r="140">
          <cell r="C140" t="str">
            <v xml:space="preserve"> PALO VERDE        </v>
          </cell>
          <cell r="D140" t="str">
            <v xml:space="preserve"> RIVERSIDE         </v>
          </cell>
          <cell r="E140">
            <v>950</v>
          </cell>
          <cell r="F140" t="str">
            <v xml:space="preserve"> 2015-2016</v>
          </cell>
          <cell r="G140" t="str">
            <v xml:space="preserve"> 04/15/2016</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t="str">
            <v xml:space="preserve"> </v>
          </cell>
          <cell r="W140">
            <v>0</v>
          </cell>
          <cell r="X140">
            <v>0</v>
          </cell>
          <cell r="Y140">
            <v>0</v>
          </cell>
          <cell r="Z140">
            <v>0</v>
          </cell>
          <cell r="AA140">
            <v>0</v>
          </cell>
          <cell r="AB140">
            <v>904116</v>
          </cell>
          <cell r="AC140">
            <v>20323</v>
          </cell>
          <cell r="AD140">
            <v>36337</v>
          </cell>
          <cell r="AE140">
            <v>88349</v>
          </cell>
          <cell r="AF140">
            <v>41966</v>
          </cell>
          <cell r="AG140">
            <v>0</v>
          </cell>
          <cell r="AH140">
            <v>0</v>
          </cell>
          <cell r="AI140">
            <v>5338</v>
          </cell>
          <cell r="AJ140">
            <v>0</v>
          </cell>
          <cell r="AK140">
            <v>25696</v>
          </cell>
          <cell r="AL140">
            <v>0</v>
          </cell>
          <cell r="AM140">
            <v>11145</v>
          </cell>
          <cell r="AN140">
            <v>0</v>
          </cell>
          <cell r="AO140">
            <v>-104413</v>
          </cell>
          <cell r="AP140">
            <v>940508</v>
          </cell>
        </row>
        <row r="141">
          <cell r="C141" t="str">
            <v xml:space="preserve"> PALO VERDE        </v>
          </cell>
          <cell r="D141" t="str">
            <v xml:space="preserve"> SAN BERNARDINO    </v>
          </cell>
          <cell r="E141">
            <v>950</v>
          </cell>
          <cell r="F141" t="str">
            <v xml:space="preserve"> 2015-2016</v>
          </cell>
          <cell r="G141" t="str">
            <v xml:space="preserve"> 04/15/2016</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t="str">
            <v xml:space="preserve"> </v>
          </cell>
          <cell r="W141">
            <v>0</v>
          </cell>
          <cell r="X141">
            <v>0</v>
          </cell>
          <cell r="Y141">
            <v>0</v>
          </cell>
          <cell r="Z141">
            <v>0</v>
          </cell>
          <cell r="AA141">
            <v>0</v>
          </cell>
          <cell r="AB141">
            <v>373865</v>
          </cell>
          <cell r="AC141">
            <v>5527</v>
          </cell>
          <cell r="AD141">
            <v>10550</v>
          </cell>
          <cell r="AE141">
            <v>0</v>
          </cell>
          <cell r="AF141">
            <v>0</v>
          </cell>
          <cell r="AG141">
            <v>0</v>
          </cell>
          <cell r="AH141">
            <v>0</v>
          </cell>
          <cell r="AI141">
            <v>0</v>
          </cell>
          <cell r="AJ141">
            <v>0</v>
          </cell>
          <cell r="AK141">
            <v>6663</v>
          </cell>
          <cell r="AL141">
            <v>0</v>
          </cell>
          <cell r="AM141">
            <v>2942</v>
          </cell>
          <cell r="AN141">
            <v>0</v>
          </cell>
          <cell r="AO141">
            <v>0</v>
          </cell>
          <cell r="AP141">
            <v>399547</v>
          </cell>
        </row>
        <row r="142">
          <cell r="C142" t="str">
            <v>PALO VERDE Subtotal</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1277981</v>
          </cell>
          <cell r="AC142">
            <v>25850</v>
          </cell>
          <cell r="AD142">
            <v>46887</v>
          </cell>
          <cell r="AE142">
            <v>88349</v>
          </cell>
          <cell r="AF142">
            <v>41966</v>
          </cell>
          <cell r="AG142">
            <v>0</v>
          </cell>
          <cell r="AH142">
            <v>0</v>
          </cell>
          <cell r="AI142">
            <v>5338</v>
          </cell>
          <cell r="AJ142">
            <v>0</v>
          </cell>
          <cell r="AK142">
            <v>32359</v>
          </cell>
          <cell r="AL142">
            <v>0</v>
          </cell>
          <cell r="AM142">
            <v>14087</v>
          </cell>
          <cell r="AN142">
            <v>0</v>
          </cell>
          <cell r="AO142">
            <v>-104413</v>
          </cell>
          <cell r="AP142">
            <v>1340055</v>
          </cell>
        </row>
        <row r="144">
          <cell r="C144" t="str">
            <v xml:space="preserve"> PALOMAR           </v>
          </cell>
          <cell r="D144" t="str">
            <v xml:space="preserve"> SAN DIEGO         </v>
          </cell>
          <cell r="E144">
            <v>60</v>
          </cell>
          <cell r="F144" t="str">
            <v xml:space="preserve"> 2015-2016</v>
          </cell>
          <cell r="G144" t="str">
            <v xml:space="preserve"> 04/15/2016</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t="str">
            <v xml:space="preserve"> </v>
          </cell>
          <cell r="W144">
            <v>0</v>
          </cell>
          <cell r="X144">
            <v>0</v>
          </cell>
          <cell r="Y144">
            <v>0</v>
          </cell>
          <cell r="Z144">
            <v>0</v>
          </cell>
          <cell r="AA144">
            <v>0</v>
          </cell>
          <cell r="AB144">
            <v>60623065</v>
          </cell>
          <cell r="AC144">
            <v>1305127</v>
          </cell>
          <cell r="AD144">
            <v>1886386</v>
          </cell>
          <cell r="AE144">
            <v>5492</v>
          </cell>
          <cell r="AF144">
            <v>2609</v>
          </cell>
          <cell r="AG144">
            <v>0</v>
          </cell>
          <cell r="AH144">
            <v>0</v>
          </cell>
          <cell r="AI144">
            <v>3370756</v>
          </cell>
          <cell r="AJ144">
            <v>0</v>
          </cell>
          <cell r="AK144">
            <v>-34929</v>
          </cell>
          <cell r="AL144">
            <v>0</v>
          </cell>
          <cell r="AM144">
            <v>468139</v>
          </cell>
          <cell r="AN144">
            <v>0</v>
          </cell>
          <cell r="AO144">
            <v>-2306654</v>
          </cell>
          <cell r="AP144">
            <v>65314499</v>
          </cell>
        </row>
        <row r="145">
          <cell r="C145" t="str">
            <v xml:space="preserve">PALOMAR Subtotal         </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60623065</v>
          </cell>
          <cell r="AC145">
            <v>1305127</v>
          </cell>
          <cell r="AD145">
            <v>1886386</v>
          </cell>
          <cell r="AE145">
            <v>5492</v>
          </cell>
          <cell r="AF145">
            <v>2609</v>
          </cell>
          <cell r="AG145">
            <v>0</v>
          </cell>
          <cell r="AH145">
            <v>0</v>
          </cell>
          <cell r="AI145">
            <v>3370756</v>
          </cell>
          <cell r="AJ145">
            <v>0</v>
          </cell>
          <cell r="AK145">
            <v>-34929</v>
          </cell>
          <cell r="AL145">
            <v>0</v>
          </cell>
          <cell r="AM145">
            <v>468139</v>
          </cell>
          <cell r="AN145">
            <v>0</v>
          </cell>
          <cell r="AO145">
            <v>-2306654</v>
          </cell>
          <cell r="AP145">
            <v>65314499</v>
          </cell>
        </row>
        <row r="147">
          <cell r="C147" t="str">
            <v xml:space="preserve"> PASADENA          </v>
          </cell>
          <cell r="D147" t="str">
            <v xml:space="preserve"> LOS ANGELES       </v>
          </cell>
          <cell r="E147">
            <v>770</v>
          </cell>
          <cell r="F147" t="str">
            <v xml:space="preserve"> 2015-2016</v>
          </cell>
          <cell r="G147" t="str">
            <v xml:space="preserve"> 04/15/2016</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t="str">
            <v xml:space="preserve"> </v>
          </cell>
          <cell r="W147">
            <v>0</v>
          </cell>
          <cell r="X147">
            <v>0</v>
          </cell>
          <cell r="Y147">
            <v>0</v>
          </cell>
          <cell r="Z147">
            <v>0</v>
          </cell>
          <cell r="AA147">
            <v>0</v>
          </cell>
          <cell r="AB147">
            <v>22362325</v>
          </cell>
          <cell r="AC147">
            <v>550882</v>
          </cell>
          <cell r="AD147">
            <v>863795</v>
          </cell>
          <cell r="AE147">
            <v>28088</v>
          </cell>
          <cell r="AF147">
            <v>13342</v>
          </cell>
          <cell r="AG147">
            <v>0</v>
          </cell>
          <cell r="AH147">
            <v>0</v>
          </cell>
          <cell r="AI147">
            <v>437155</v>
          </cell>
          <cell r="AJ147">
            <v>369979</v>
          </cell>
          <cell r="AK147">
            <v>558163</v>
          </cell>
          <cell r="AL147">
            <v>0</v>
          </cell>
          <cell r="AM147">
            <v>160007</v>
          </cell>
          <cell r="AN147">
            <v>14449</v>
          </cell>
          <cell r="AO147">
            <v>0</v>
          </cell>
          <cell r="AP147">
            <v>25330097</v>
          </cell>
        </row>
        <row r="148">
          <cell r="C148" t="str">
            <v xml:space="preserve">PASADENA Subtotal         </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22362325</v>
          </cell>
          <cell r="AC148">
            <v>550882</v>
          </cell>
          <cell r="AD148">
            <v>863795</v>
          </cell>
          <cell r="AE148">
            <v>28088</v>
          </cell>
          <cell r="AF148">
            <v>13342</v>
          </cell>
          <cell r="AG148">
            <v>0</v>
          </cell>
          <cell r="AH148">
            <v>0</v>
          </cell>
          <cell r="AI148">
            <v>437155</v>
          </cell>
          <cell r="AJ148">
            <v>369979</v>
          </cell>
          <cell r="AK148">
            <v>558163</v>
          </cell>
          <cell r="AL148">
            <v>0</v>
          </cell>
          <cell r="AM148">
            <v>160007</v>
          </cell>
          <cell r="AN148">
            <v>14449</v>
          </cell>
          <cell r="AO148">
            <v>0</v>
          </cell>
          <cell r="AP148">
            <v>25330097</v>
          </cell>
        </row>
        <row r="150">
          <cell r="C150" t="str">
            <v xml:space="preserve"> PERALTA</v>
          </cell>
          <cell r="D150" t="str">
            <v xml:space="preserve"> ALAMEDA           </v>
          </cell>
          <cell r="E150">
            <v>340</v>
          </cell>
          <cell r="F150" t="str">
            <v xml:space="preserve"> 2015-2016</v>
          </cell>
          <cell r="G150" t="str">
            <v xml:space="preserve"> 04/15/2016</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t="str">
            <v xml:space="preserve"> </v>
          </cell>
          <cell r="W150">
            <v>0</v>
          </cell>
          <cell r="X150">
            <v>0</v>
          </cell>
          <cell r="Y150">
            <v>0</v>
          </cell>
          <cell r="Z150">
            <v>0</v>
          </cell>
          <cell r="AA150">
            <v>0</v>
          </cell>
          <cell r="AB150">
            <v>16564210</v>
          </cell>
          <cell r="AC150">
            <v>336905</v>
          </cell>
          <cell r="AD150">
            <v>1408719</v>
          </cell>
          <cell r="AE150">
            <v>1262592</v>
          </cell>
          <cell r="AF150">
            <v>599731</v>
          </cell>
          <cell r="AG150">
            <v>0</v>
          </cell>
          <cell r="AH150">
            <v>0</v>
          </cell>
          <cell r="AI150">
            <v>1964144</v>
          </cell>
          <cell r="AJ150">
            <v>0</v>
          </cell>
          <cell r="AK150">
            <v>-477813</v>
          </cell>
          <cell r="AL150">
            <v>0</v>
          </cell>
          <cell r="AM150">
            <v>168422</v>
          </cell>
          <cell r="AN150">
            <v>0</v>
          </cell>
          <cell r="AO150">
            <v>23799617</v>
          </cell>
          <cell r="AP150">
            <v>44363935</v>
          </cell>
        </row>
        <row r="151">
          <cell r="C151" t="str">
            <v>PERALTA Subtotal</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16564210</v>
          </cell>
          <cell r="AC151">
            <v>336905</v>
          </cell>
          <cell r="AD151">
            <v>1408719</v>
          </cell>
          <cell r="AE151">
            <v>1262592</v>
          </cell>
          <cell r="AF151">
            <v>599731</v>
          </cell>
          <cell r="AG151">
            <v>0</v>
          </cell>
          <cell r="AH151">
            <v>0</v>
          </cell>
          <cell r="AI151">
            <v>1964144</v>
          </cell>
          <cell r="AJ151">
            <v>0</v>
          </cell>
          <cell r="AK151">
            <v>-477813</v>
          </cell>
          <cell r="AL151">
            <v>0</v>
          </cell>
          <cell r="AM151">
            <v>168422</v>
          </cell>
          <cell r="AN151">
            <v>0</v>
          </cell>
          <cell r="AO151">
            <v>23799617</v>
          </cell>
          <cell r="AP151">
            <v>44363935</v>
          </cell>
        </row>
        <row r="153">
          <cell r="C153" t="str">
            <v xml:space="preserve"> RANCHO SANTIAGO   </v>
          </cell>
          <cell r="D153" t="str">
            <v xml:space="preserve"> ORANGE            </v>
          </cell>
          <cell r="E153">
            <v>870</v>
          </cell>
          <cell r="F153" t="str">
            <v xml:space="preserve"> 2015-2016</v>
          </cell>
          <cell r="G153" t="str">
            <v xml:space="preserve"> 04/15/2016</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t="str">
            <v xml:space="preserve"> </v>
          </cell>
          <cell r="W153">
            <v>0</v>
          </cell>
          <cell r="X153">
            <v>0</v>
          </cell>
          <cell r="Y153">
            <v>0</v>
          </cell>
          <cell r="Z153">
            <v>0</v>
          </cell>
          <cell r="AA153">
            <v>0</v>
          </cell>
          <cell r="AB153">
            <v>42304125</v>
          </cell>
          <cell r="AC153">
            <v>1007883</v>
          </cell>
          <cell r="AD153">
            <v>1376106</v>
          </cell>
          <cell r="AE153">
            <v>483156</v>
          </cell>
          <cell r="AF153">
            <v>229499</v>
          </cell>
          <cell r="AG153">
            <v>0</v>
          </cell>
          <cell r="AH153">
            <v>0</v>
          </cell>
          <cell r="AI153">
            <v>4685907</v>
          </cell>
          <cell r="AJ153">
            <v>95692</v>
          </cell>
          <cell r="AK153">
            <v>628048</v>
          </cell>
          <cell r="AL153">
            <v>6</v>
          </cell>
          <cell r="AM153">
            <v>292411</v>
          </cell>
          <cell r="AN153">
            <v>0</v>
          </cell>
          <cell r="AO153">
            <v>7180295</v>
          </cell>
          <cell r="AP153">
            <v>57799972</v>
          </cell>
        </row>
        <row r="154">
          <cell r="C154" t="str">
            <v xml:space="preserve">RANCHO SANTIAGO Subtotal   </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42304125</v>
          </cell>
          <cell r="AC154">
            <v>1007883</v>
          </cell>
          <cell r="AD154">
            <v>1376106</v>
          </cell>
          <cell r="AE154">
            <v>483156</v>
          </cell>
          <cell r="AF154">
            <v>229499</v>
          </cell>
          <cell r="AG154">
            <v>0</v>
          </cell>
          <cell r="AH154">
            <v>0</v>
          </cell>
          <cell r="AI154">
            <v>4685907</v>
          </cell>
          <cell r="AJ154">
            <v>95692</v>
          </cell>
          <cell r="AK154">
            <v>628048</v>
          </cell>
          <cell r="AL154">
            <v>6</v>
          </cell>
          <cell r="AM154">
            <v>292411</v>
          </cell>
          <cell r="AN154">
            <v>0</v>
          </cell>
          <cell r="AO154">
            <v>7180295</v>
          </cell>
          <cell r="AP154">
            <v>57799972</v>
          </cell>
        </row>
        <row r="156">
          <cell r="C156" t="str">
            <v xml:space="preserve"> REDWOODS          </v>
          </cell>
          <cell r="D156" t="str">
            <v xml:space="preserve"> DEL NORTE         </v>
          </cell>
          <cell r="E156">
            <v>160</v>
          </cell>
          <cell r="F156" t="str">
            <v xml:space="preserve"> 2015-2016</v>
          </cell>
          <cell r="G156" t="str">
            <v xml:space="preserve"> 04/15/2016</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t="str">
            <v xml:space="preserve"> </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30000</v>
          </cell>
          <cell r="AM156">
            <v>0</v>
          </cell>
          <cell r="AN156">
            <v>0</v>
          </cell>
          <cell r="AO156">
            <v>0</v>
          </cell>
          <cell r="AP156">
            <v>30000</v>
          </cell>
        </row>
        <row r="157">
          <cell r="C157" t="str">
            <v xml:space="preserve"> REDWOODS          </v>
          </cell>
          <cell r="D157" t="str">
            <v xml:space="preserve"> HUMBOLDT          </v>
          </cell>
          <cell r="E157">
            <v>160</v>
          </cell>
          <cell r="F157" t="str">
            <v xml:space="preserve"> 2015-2016</v>
          </cell>
          <cell r="G157" t="str">
            <v xml:space="preserve"> 04/15/2016</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t="str">
            <v xml:space="preserve"> </v>
          </cell>
          <cell r="W157">
            <v>0</v>
          </cell>
          <cell r="X157">
            <v>0</v>
          </cell>
          <cell r="Y157">
            <v>0</v>
          </cell>
          <cell r="Z157">
            <v>0</v>
          </cell>
          <cell r="AA157">
            <v>0</v>
          </cell>
          <cell r="AB157">
            <v>6932712</v>
          </cell>
          <cell r="AC157">
            <v>59000</v>
          </cell>
          <cell r="AD157">
            <v>290000</v>
          </cell>
          <cell r="AE157">
            <v>0</v>
          </cell>
          <cell r="AF157">
            <v>0</v>
          </cell>
          <cell r="AG157">
            <v>0</v>
          </cell>
          <cell r="AH157">
            <v>0</v>
          </cell>
          <cell r="AI157">
            <v>312352</v>
          </cell>
          <cell r="AJ157">
            <v>140447</v>
          </cell>
          <cell r="AK157">
            <v>8658</v>
          </cell>
          <cell r="AL157">
            <v>150000</v>
          </cell>
          <cell r="AM157">
            <v>108873</v>
          </cell>
          <cell r="AN157">
            <v>0</v>
          </cell>
          <cell r="AO157">
            <v>169532</v>
          </cell>
          <cell r="AP157">
            <v>8171574</v>
          </cell>
        </row>
        <row r="158">
          <cell r="C158" t="str">
            <v xml:space="preserve"> REDWOODS          </v>
          </cell>
          <cell r="D158" t="str">
            <v xml:space="preserve"> MENDOCINO         </v>
          </cell>
          <cell r="E158">
            <v>160</v>
          </cell>
          <cell r="F158" t="str">
            <v xml:space="preserve"> 2015-2016</v>
          </cell>
          <cell r="G158" t="str">
            <v xml:space="preserve"> 04/15/2016</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t="str">
            <v xml:space="preserve"> </v>
          </cell>
          <cell r="W158">
            <v>0</v>
          </cell>
          <cell r="X158">
            <v>0</v>
          </cell>
          <cell r="Y158">
            <v>0</v>
          </cell>
          <cell r="Z158">
            <v>0</v>
          </cell>
          <cell r="AA158">
            <v>0</v>
          </cell>
          <cell r="AB158">
            <v>1926053</v>
          </cell>
          <cell r="AC158">
            <v>13233</v>
          </cell>
          <cell r="AD158">
            <v>64909</v>
          </cell>
          <cell r="AE158">
            <v>0</v>
          </cell>
          <cell r="AF158">
            <v>0</v>
          </cell>
          <cell r="AG158">
            <v>0</v>
          </cell>
          <cell r="AH158">
            <v>0</v>
          </cell>
          <cell r="AI158">
            <v>32038</v>
          </cell>
          <cell r="AJ158">
            <v>0</v>
          </cell>
          <cell r="AK158">
            <v>816</v>
          </cell>
          <cell r="AL158">
            <v>52532</v>
          </cell>
          <cell r="AM158">
            <v>19234</v>
          </cell>
          <cell r="AN158">
            <v>0</v>
          </cell>
          <cell r="AO158">
            <v>511605</v>
          </cell>
          <cell r="AP158">
            <v>2620420</v>
          </cell>
        </row>
        <row r="159">
          <cell r="C159" t="str">
            <v xml:space="preserve"> REDWOODS          </v>
          </cell>
          <cell r="D159" t="str">
            <v xml:space="preserve"> TRINITY           </v>
          </cell>
          <cell r="E159">
            <v>160</v>
          </cell>
          <cell r="F159" t="str">
            <v xml:space="preserve"> 2015-2016</v>
          </cell>
          <cell r="G159" t="str">
            <v xml:space="preserve"> 04/15/2016</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t="str">
            <v xml:space="preserve"> </v>
          </cell>
          <cell r="W159">
            <v>0</v>
          </cell>
          <cell r="X159">
            <v>0</v>
          </cell>
          <cell r="Y159">
            <v>0</v>
          </cell>
          <cell r="Z159">
            <v>0</v>
          </cell>
          <cell r="AA159">
            <v>0</v>
          </cell>
          <cell r="AB159">
            <v>48150</v>
          </cell>
          <cell r="AC159">
            <v>1000</v>
          </cell>
          <cell r="AD159">
            <v>1260</v>
          </cell>
          <cell r="AE159">
            <v>0</v>
          </cell>
          <cell r="AF159">
            <v>0</v>
          </cell>
          <cell r="AG159">
            <v>0</v>
          </cell>
          <cell r="AH159">
            <v>0</v>
          </cell>
          <cell r="AI159">
            <v>0</v>
          </cell>
          <cell r="AJ159">
            <v>0</v>
          </cell>
          <cell r="AK159">
            <v>27</v>
          </cell>
          <cell r="AL159">
            <v>150</v>
          </cell>
          <cell r="AM159">
            <v>682</v>
          </cell>
          <cell r="AN159">
            <v>0</v>
          </cell>
          <cell r="AO159">
            <v>0</v>
          </cell>
          <cell r="AP159">
            <v>51269</v>
          </cell>
        </row>
        <row r="160">
          <cell r="C160" t="str">
            <v xml:space="preserve">REDWOODS Subtotal         </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8906915</v>
          </cell>
          <cell r="AC160">
            <v>73233</v>
          </cell>
          <cell r="AD160">
            <v>356169</v>
          </cell>
          <cell r="AE160">
            <v>0</v>
          </cell>
          <cell r="AF160">
            <v>0</v>
          </cell>
          <cell r="AG160">
            <v>0</v>
          </cell>
          <cell r="AH160">
            <v>0</v>
          </cell>
          <cell r="AI160">
            <v>344390</v>
          </cell>
          <cell r="AJ160">
            <v>140447</v>
          </cell>
          <cell r="AK160">
            <v>9501</v>
          </cell>
          <cell r="AL160">
            <v>232682</v>
          </cell>
          <cell r="AM160">
            <v>128789</v>
          </cell>
          <cell r="AN160">
            <v>0</v>
          </cell>
          <cell r="AO160">
            <v>681137</v>
          </cell>
          <cell r="AP160">
            <v>10873263</v>
          </cell>
        </row>
        <row r="162">
          <cell r="C162" t="str">
            <v xml:space="preserve"> RIO HONDO         </v>
          </cell>
          <cell r="D162" t="str">
            <v xml:space="preserve"> LOS ANGELES       </v>
          </cell>
          <cell r="E162">
            <v>880</v>
          </cell>
          <cell r="F162" t="str">
            <v xml:space="preserve"> 2015-2016</v>
          </cell>
          <cell r="G162" t="str">
            <v xml:space="preserve"> 04/15/2016</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t="str">
            <v xml:space="preserve"> </v>
          </cell>
          <cell r="W162">
            <v>0</v>
          </cell>
          <cell r="X162">
            <v>0</v>
          </cell>
          <cell r="Y162">
            <v>0</v>
          </cell>
          <cell r="Z162">
            <v>0</v>
          </cell>
          <cell r="AA162">
            <v>0</v>
          </cell>
          <cell r="AB162">
            <v>5377253</v>
          </cell>
          <cell r="AC162">
            <v>148141</v>
          </cell>
          <cell r="AD162">
            <v>125805</v>
          </cell>
          <cell r="AE162">
            <v>65651</v>
          </cell>
          <cell r="AF162">
            <v>31184</v>
          </cell>
          <cell r="AG162">
            <v>0</v>
          </cell>
          <cell r="AH162">
            <v>0</v>
          </cell>
          <cell r="AI162">
            <v>41903</v>
          </cell>
          <cell r="AJ162">
            <v>20281</v>
          </cell>
          <cell r="AK162">
            <v>125427</v>
          </cell>
          <cell r="AL162">
            <v>0</v>
          </cell>
          <cell r="AM162">
            <v>37597</v>
          </cell>
          <cell r="AN162">
            <v>180</v>
          </cell>
          <cell r="AO162">
            <v>0</v>
          </cell>
          <cell r="AP162">
            <v>5907771</v>
          </cell>
        </row>
        <row r="163">
          <cell r="C163" t="str">
            <v xml:space="preserve">RIO HONDO Subtotal        </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5377253</v>
          </cell>
          <cell r="AC163">
            <v>148141</v>
          </cell>
          <cell r="AD163">
            <v>125805</v>
          </cell>
          <cell r="AE163">
            <v>65651</v>
          </cell>
          <cell r="AF163">
            <v>31184</v>
          </cell>
          <cell r="AG163">
            <v>0</v>
          </cell>
          <cell r="AH163">
            <v>0</v>
          </cell>
          <cell r="AI163">
            <v>41903</v>
          </cell>
          <cell r="AJ163">
            <v>20281</v>
          </cell>
          <cell r="AK163">
            <v>125427</v>
          </cell>
          <cell r="AL163">
            <v>0</v>
          </cell>
          <cell r="AM163">
            <v>37597</v>
          </cell>
          <cell r="AN163">
            <v>180</v>
          </cell>
          <cell r="AO163">
            <v>0</v>
          </cell>
          <cell r="AP163">
            <v>5907771</v>
          </cell>
        </row>
        <row r="165">
          <cell r="C165" t="str">
            <v xml:space="preserve"> RIVERSIDE         </v>
          </cell>
          <cell r="D165" t="str">
            <v xml:space="preserve"> RIVERSIDE         </v>
          </cell>
          <cell r="E165">
            <v>960</v>
          </cell>
          <cell r="F165" t="str">
            <v xml:space="preserve"> 2015-2016</v>
          </cell>
          <cell r="G165" t="str">
            <v xml:space="preserve"> 04/15/2016</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t="str">
            <v xml:space="preserve"> </v>
          </cell>
          <cell r="W165">
            <v>0</v>
          </cell>
          <cell r="X165">
            <v>0</v>
          </cell>
          <cell r="Y165">
            <v>0</v>
          </cell>
          <cell r="Z165">
            <v>0</v>
          </cell>
          <cell r="AA165">
            <v>0</v>
          </cell>
          <cell r="AB165">
            <v>33048635</v>
          </cell>
          <cell r="AC165">
            <v>786776</v>
          </cell>
          <cell r="AD165">
            <v>1432326</v>
          </cell>
          <cell r="AE165">
            <v>1542358</v>
          </cell>
          <cell r="AF165">
            <v>732620</v>
          </cell>
          <cell r="AG165">
            <v>0</v>
          </cell>
          <cell r="AH165">
            <v>0</v>
          </cell>
          <cell r="AI165">
            <v>1666659</v>
          </cell>
          <cell r="AJ165">
            <v>102079</v>
          </cell>
          <cell r="AK165">
            <v>982128</v>
          </cell>
          <cell r="AL165">
            <v>0</v>
          </cell>
          <cell r="AM165">
            <v>439651</v>
          </cell>
          <cell r="AN165">
            <v>0</v>
          </cell>
          <cell r="AO165">
            <v>-4118807</v>
          </cell>
          <cell r="AP165">
            <v>35072067</v>
          </cell>
        </row>
        <row r="166">
          <cell r="C166" t="str">
            <v xml:space="preserve">RIVERSIDE Subtotal         </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33048635</v>
          </cell>
          <cell r="AC166">
            <v>786776</v>
          </cell>
          <cell r="AD166">
            <v>1432326</v>
          </cell>
          <cell r="AE166">
            <v>1542358</v>
          </cell>
          <cell r="AF166">
            <v>732620</v>
          </cell>
          <cell r="AG166">
            <v>0</v>
          </cell>
          <cell r="AH166">
            <v>0</v>
          </cell>
          <cell r="AI166">
            <v>1666659</v>
          </cell>
          <cell r="AJ166">
            <v>102079</v>
          </cell>
          <cell r="AK166">
            <v>982128</v>
          </cell>
          <cell r="AL166">
            <v>0</v>
          </cell>
          <cell r="AM166">
            <v>439651</v>
          </cell>
          <cell r="AN166">
            <v>0</v>
          </cell>
          <cell r="AO166">
            <v>-4118807</v>
          </cell>
          <cell r="AP166">
            <v>35072067</v>
          </cell>
        </row>
        <row r="168">
          <cell r="C168" t="str">
            <v xml:space="preserve"> SAN BERNARDINO    </v>
          </cell>
          <cell r="D168" t="str">
            <v xml:space="preserve"> RIVERSIDE         </v>
          </cell>
          <cell r="E168">
            <v>980</v>
          </cell>
          <cell r="F168" t="str">
            <v xml:space="preserve"> 2015-2016</v>
          </cell>
          <cell r="G168" t="str">
            <v xml:space="preserve"> 04/15/2016</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t="str">
            <v xml:space="preserve"> </v>
          </cell>
          <cell r="W168">
            <v>0</v>
          </cell>
          <cell r="X168">
            <v>0</v>
          </cell>
          <cell r="Y168">
            <v>0</v>
          </cell>
          <cell r="Z168">
            <v>0</v>
          </cell>
          <cell r="AA168">
            <v>0</v>
          </cell>
          <cell r="AB168">
            <v>308590</v>
          </cell>
          <cell r="AC168">
            <v>7277</v>
          </cell>
          <cell r="AD168">
            <v>13254</v>
          </cell>
          <cell r="AE168">
            <v>0</v>
          </cell>
          <cell r="AF168">
            <v>0</v>
          </cell>
          <cell r="AG168">
            <v>0</v>
          </cell>
          <cell r="AH168">
            <v>0</v>
          </cell>
          <cell r="AI168">
            <v>2310</v>
          </cell>
          <cell r="AJ168">
            <v>0</v>
          </cell>
          <cell r="AK168">
            <v>9108</v>
          </cell>
          <cell r="AL168">
            <v>0</v>
          </cell>
          <cell r="AM168">
            <v>4068</v>
          </cell>
          <cell r="AN168">
            <v>0</v>
          </cell>
          <cell r="AO168">
            <v>-38113</v>
          </cell>
          <cell r="AP168">
            <v>306494</v>
          </cell>
        </row>
        <row r="169">
          <cell r="C169" t="str">
            <v xml:space="preserve"> SAN BERNARDINO    </v>
          </cell>
          <cell r="D169" t="str">
            <v xml:space="preserve"> SAN BERNARDINO    </v>
          </cell>
          <cell r="E169">
            <v>980</v>
          </cell>
          <cell r="F169" t="str">
            <v xml:space="preserve"> 2015-2016</v>
          </cell>
          <cell r="G169" t="str">
            <v xml:space="preserve"> 04/15/2016</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t="str">
            <v xml:space="preserve"> </v>
          </cell>
          <cell r="W169">
            <v>0</v>
          </cell>
          <cell r="X169">
            <v>0</v>
          </cell>
          <cell r="Y169">
            <v>0</v>
          </cell>
          <cell r="Z169">
            <v>0</v>
          </cell>
          <cell r="AA169">
            <v>0</v>
          </cell>
          <cell r="AB169">
            <v>20476799</v>
          </cell>
          <cell r="AC169">
            <v>387457</v>
          </cell>
          <cell r="AD169">
            <v>792033</v>
          </cell>
          <cell r="AE169">
            <v>858714</v>
          </cell>
          <cell r="AF169">
            <v>407889</v>
          </cell>
          <cell r="AG169">
            <v>0</v>
          </cell>
          <cell r="AH169">
            <v>0</v>
          </cell>
          <cell r="AI169">
            <v>1940068</v>
          </cell>
          <cell r="AJ169">
            <v>242528</v>
          </cell>
          <cell r="AK169">
            <v>25099</v>
          </cell>
          <cell r="AL169">
            <v>0</v>
          </cell>
          <cell r="AM169">
            <v>220843</v>
          </cell>
          <cell r="AN169">
            <v>0</v>
          </cell>
          <cell r="AO169">
            <v>-5872162</v>
          </cell>
          <cell r="AP169">
            <v>18620554</v>
          </cell>
        </row>
        <row r="170">
          <cell r="C170" t="str">
            <v xml:space="preserve">SAN BERNARDINO Subtotal    </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20785389</v>
          </cell>
          <cell r="AC170">
            <v>394734</v>
          </cell>
          <cell r="AD170">
            <v>805287</v>
          </cell>
          <cell r="AE170">
            <v>858714</v>
          </cell>
          <cell r="AF170">
            <v>407889</v>
          </cell>
          <cell r="AG170">
            <v>0</v>
          </cell>
          <cell r="AH170">
            <v>0</v>
          </cell>
          <cell r="AI170">
            <v>1942378</v>
          </cell>
          <cell r="AJ170">
            <v>242528</v>
          </cell>
          <cell r="AK170">
            <v>34207</v>
          </cell>
          <cell r="AL170">
            <v>0</v>
          </cell>
          <cell r="AM170">
            <v>224911</v>
          </cell>
          <cell r="AN170">
            <v>0</v>
          </cell>
          <cell r="AO170">
            <v>-5910275</v>
          </cell>
          <cell r="AP170">
            <v>18927048</v>
          </cell>
        </row>
        <row r="172">
          <cell r="C172" t="str">
            <v xml:space="preserve"> SAN DIEGO         </v>
          </cell>
          <cell r="D172" t="str">
            <v xml:space="preserve"> SAN DIEGO         </v>
          </cell>
          <cell r="E172">
            <v>70</v>
          </cell>
          <cell r="F172" t="str">
            <v xml:space="preserve"> 2015-2016</v>
          </cell>
          <cell r="G172" t="str">
            <v xml:space="preserve"> 04/15/2016</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t="str">
            <v xml:space="preserve"> </v>
          </cell>
          <cell r="W172">
            <v>0</v>
          </cell>
          <cell r="X172">
            <v>0</v>
          </cell>
          <cell r="Y172">
            <v>0</v>
          </cell>
          <cell r="Z172">
            <v>0</v>
          </cell>
          <cell r="AA172">
            <v>0</v>
          </cell>
          <cell r="AB172">
            <v>86170179</v>
          </cell>
          <cell r="AC172">
            <v>1860098</v>
          </cell>
          <cell r="AD172">
            <v>2775898</v>
          </cell>
          <cell r="AE172">
            <v>666880</v>
          </cell>
          <cell r="AF172">
            <v>316768</v>
          </cell>
          <cell r="AG172">
            <v>0</v>
          </cell>
          <cell r="AH172">
            <v>0</v>
          </cell>
          <cell r="AI172">
            <v>2486646</v>
          </cell>
          <cell r="AJ172">
            <v>0</v>
          </cell>
          <cell r="AK172">
            <v>-46497</v>
          </cell>
          <cell r="AL172">
            <v>0</v>
          </cell>
          <cell r="AM172">
            <v>689105</v>
          </cell>
          <cell r="AN172">
            <v>0</v>
          </cell>
          <cell r="AO172">
            <v>-3395357</v>
          </cell>
          <cell r="AP172">
            <v>90856840</v>
          </cell>
        </row>
        <row r="173">
          <cell r="C173" t="str">
            <v xml:space="preserve">SAN DIEGO Subtotal        </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86170179</v>
          </cell>
          <cell r="AC173">
            <v>1860098</v>
          </cell>
          <cell r="AD173">
            <v>2775898</v>
          </cell>
          <cell r="AE173">
            <v>666880</v>
          </cell>
          <cell r="AF173">
            <v>316768</v>
          </cell>
          <cell r="AG173">
            <v>0</v>
          </cell>
          <cell r="AH173">
            <v>0</v>
          </cell>
          <cell r="AI173">
            <v>2486646</v>
          </cell>
          <cell r="AJ173">
            <v>0</v>
          </cell>
          <cell r="AK173">
            <v>-46497</v>
          </cell>
          <cell r="AL173">
            <v>0</v>
          </cell>
          <cell r="AM173">
            <v>689105</v>
          </cell>
          <cell r="AN173">
            <v>0</v>
          </cell>
          <cell r="AO173">
            <v>-3395357</v>
          </cell>
          <cell r="AP173">
            <v>90856840</v>
          </cell>
        </row>
        <row r="175">
          <cell r="C175" t="str">
            <v xml:space="preserve"> SAN FRANCISCO     </v>
          </cell>
          <cell r="D175" t="str">
            <v xml:space="preserve"> SAN FRANCISCO     </v>
          </cell>
          <cell r="E175">
            <v>360</v>
          </cell>
          <cell r="F175" t="str">
            <v xml:space="preserve"> 2015-2016</v>
          </cell>
          <cell r="G175" t="str">
            <v xml:space="preserve"> 04/15/2016</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t="str">
            <v xml:space="preserve"> </v>
          </cell>
          <cell r="W175">
            <v>0</v>
          </cell>
          <cell r="X175">
            <v>0</v>
          </cell>
          <cell r="Y175">
            <v>0</v>
          </cell>
          <cell r="Z175">
            <v>0</v>
          </cell>
          <cell r="AA175">
            <v>0</v>
          </cell>
          <cell r="AB175">
            <v>24944865</v>
          </cell>
          <cell r="AC175">
            <v>870396</v>
          </cell>
          <cell r="AD175">
            <v>1496383</v>
          </cell>
          <cell r="AE175">
            <v>356114</v>
          </cell>
          <cell r="AF175">
            <v>169154</v>
          </cell>
          <cell r="AG175">
            <v>0</v>
          </cell>
          <cell r="AH175">
            <v>0</v>
          </cell>
          <cell r="AI175">
            <v>138428</v>
          </cell>
          <cell r="AJ175">
            <v>0</v>
          </cell>
          <cell r="AK175">
            <v>0</v>
          </cell>
          <cell r="AL175">
            <v>0</v>
          </cell>
          <cell r="AM175">
            <v>93315</v>
          </cell>
          <cell r="AN175">
            <v>0</v>
          </cell>
          <cell r="AO175">
            <v>41492297</v>
          </cell>
          <cell r="AP175">
            <v>69204838</v>
          </cell>
        </row>
        <row r="176">
          <cell r="C176" t="str">
            <v xml:space="preserve">SAN FRANCISCO Subtotal     </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24944865</v>
          </cell>
          <cell r="AC176">
            <v>870396</v>
          </cell>
          <cell r="AD176">
            <v>1496383</v>
          </cell>
          <cell r="AE176">
            <v>356114</v>
          </cell>
          <cell r="AF176">
            <v>169154</v>
          </cell>
          <cell r="AG176">
            <v>0</v>
          </cell>
          <cell r="AH176">
            <v>0</v>
          </cell>
          <cell r="AI176">
            <v>138428</v>
          </cell>
          <cell r="AJ176">
            <v>0</v>
          </cell>
          <cell r="AK176">
            <v>0</v>
          </cell>
          <cell r="AL176">
            <v>0</v>
          </cell>
          <cell r="AM176">
            <v>93315</v>
          </cell>
          <cell r="AN176">
            <v>0</v>
          </cell>
          <cell r="AO176">
            <v>41492297</v>
          </cell>
          <cell r="AP176">
            <v>69204838</v>
          </cell>
        </row>
        <row r="178">
          <cell r="C178" t="str">
            <v xml:space="preserve"> SAN JOAQUIN DELTA </v>
          </cell>
          <cell r="D178" t="str">
            <v xml:space="preserve"> ALAMEDA           </v>
          </cell>
          <cell r="E178">
            <v>550</v>
          </cell>
          <cell r="F178" t="str">
            <v xml:space="preserve"> 2015-2016</v>
          </cell>
          <cell r="G178" t="str">
            <v xml:space="preserve"> 04/15/2016</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t="str">
            <v xml:space="preserve"> </v>
          </cell>
          <cell r="W178">
            <v>0</v>
          </cell>
          <cell r="X178">
            <v>0</v>
          </cell>
          <cell r="Y178">
            <v>0</v>
          </cell>
          <cell r="Z178">
            <v>0</v>
          </cell>
          <cell r="AA178">
            <v>0</v>
          </cell>
          <cell r="AB178">
            <v>76113</v>
          </cell>
          <cell r="AC178">
            <v>1846</v>
          </cell>
          <cell r="AD178">
            <v>4060</v>
          </cell>
          <cell r="AE178">
            <v>0</v>
          </cell>
          <cell r="AF178">
            <v>0</v>
          </cell>
          <cell r="AG178">
            <v>0</v>
          </cell>
          <cell r="AH178">
            <v>0</v>
          </cell>
          <cell r="AI178">
            <v>0</v>
          </cell>
          <cell r="AJ178">
            <v>0</v>
          </cell>
          <cell r="AK178">
            <v>-1760</v>
          </cell>
          <cell r="AL178">
            <v>0</v>
          </cell>
          <cell r="AM178">
            <v>485</v>
          </cell>
          <cell r="AN178">
            <v>0</v>
          </cell>
          <cell r="AO178">
            <v>0</v>
          </cell>
          <cell r="AP178">
            <v>80744</v>
          </cell>
        </row>
        <row r="179">
          <cell r="C179" t="str">
            <v xml:space="preserve"> SAN JOAQUIN DELTA </v>
          </cell>
          <cell r="D179" t="str">
            <v xml:space="preserve"> CALAVERAS         </v>
          </cell>
          <cell r="E179">
            <v>550</v>
          </cell>
          <cell r="F179" t="str">
            <v xml:space="preserve"> 2015-2016</v>
          </cell>
          <cell r="G179" t="str">
            <v xml:space="preserve"> 04/15/2016</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t="str">
            <v xml:space="preserve"> </v>
          </cell>
          <cell r="W179">
            <v>0</v>
          </cell>
          <cell r="X179">
            <v>0</v>
          </cell>
          <cell r="Y179">
            <v>0</v>
          </cell>
          <cell r="Z179">
            <v>0</v>
          </cell>
          <cell r="AA179">
            <v>0</v>
          </cell>
          <cell r="AB179">
            <v>1038529</v>
          </cell>
          <cell r="AC179">
            <v>5153</v>
          </cell>
          <cell r="AD179">
            <v>16600</v>
          </cell>
          <cell r="AE179">
            <v>0</v>
          </cell>
          <cell r="AF179">
            <v>0</v>
          </cell>
          <cell r="AG179">
            <v>0</v>
          </cell>
          <cell r="AH179">
            <v>0</v>
          </cell>
          <cell r="AI179">
            <v>0</v>
          </cell>
          <cell r="AJ179">
            <v>0</v>
          </cell>
          <cell r="AK179">
            <v>297</v>
          </cell>
          <cell r="AL179">
            <v>141</v>
          </cell>
          <cell r="AM179">
            <v>13332</v>
          </cell>
          <cell r="AN179">
            <v>0</v>
          </cell>
          <cell r="AO179">
            <v>226011</v>
          </cell>
          <cell r="AP179">
            <v>1300063</v>
          </cell>
        </row>
        <row r="180">
          <cell r="C180" t="str">
            <v xml:space="preserve"> SAN JOAQUIN DELTA </v>
          </cell>
          <cell r="D180" t="str">
            <v xml:space="preserve"> SACRAMENTO        </v>
          </cell>
          <cell r="E180">
            <v>550</v>
          </cell>
          <cell r="F180" t="str">
            <v xml:space="preserve"> 2015-2016</v>
          </cell>
          <cell r="G180" t="str">
            <v xml:space="preserve"> 04/15/2016</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t="str">
            <v xml:space="preserve"> </v>
          </cell>
          <cell r="W180">
            <v>0</v>
          </cell>
          <cell r="X180">
            <v>0</v>
          </cell>
          <cell r="Y180">
            <v>0</v>
          </cell>
          <cell r="Z180">
            <v>0</v>
          </cell>
          <cell r="AA180">
            <v>0</v>
          </cell>
          <cell r="AB180">
            <v>844800</v>
          </cell>
          <cell r="AC180">
            <v>19558</v>
          </cell>
          <cell r="AD180">
            <v>26789</v>
          </cell>
          <cell r="AE180">
            <v>6819</v>
          </cell>
          <cell r="AF180">
            <v>3239</v>
          </cell>
          <cell r="AG180">
            <v>0</v>
          </cell>
          <cell r="AH180">
            <v>0</v>
          </cell>
          <cell r="AI180">
            <v>21098</v>
          </cell>
          <cell r="AJ180">
            <v>0</v>
          </cell>
          <cell r="AK180">
            <v>0</v>
          </cell>
          <cell r="AL180">
            <v>0</v>
          </cell>
          <cell r="AM180">
            <v>10592</v>
          </cell>
          <cell r="AN180">
            <v>0</v>
          </cell>
          <cell r="AO180">
            <v>0</v>
          </cell>
          <cell r="AP180">
            <v>926076</v>
          </cell>
        </row>
        <row r="181">
          <cell r="C181" t="str">
            <v xml:space="preserve"> SAN JOAQUIN DELTA </v>
          </cell>
          <cell r="D181" t="str">
            <v xml:space="preserve"> SAN JOAQUIN       </v>
          </cell>
          <cell r="E181">
            <v>550</v>
          </cell>
          <cell r="F181" t="str">
            <v xml:space="preserve"> 2015-2016</v>
          </cell>
          <cell r="G181" t="str">
            <v xml:space="preserve"> 04/15/2016</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t="str">
            <v xml:space="preserve"> </v>
          </cell>
          <cell r="W181">
            <v>0</v>
          </cell>
          <cell r="X181">
            <v>0</v>
          </cell>
          <cell r="Y181">
            <v>0</v>
          </cell>
          <cell r="Z181">
            <v>0</v>
          </cell>
          <cell r="AA181">
            <v>0</v>
          </cell>
          <cell r="AB181">
            <v>19445441</v>
          </cell>
          <cell r="AC181">
            <v>279423</v>
          </cell>
          <cell r="AD181">
            <v>1218182</v>
          </cell>
          <cell r="AE181">
            <v>308465</v>
          </cell>
          <cell r="AF181">
            <v>146521</v>
          </cell>
          <cell r="AG181">
            <v>0</v>
          </cell>
          <cell r="AH181">
            <v>0</v>
          </cell>
          <cell r="AI181">
            <v>616680</v>
          </cell>
          <cell r="AJ181">
            <v>250345</v>
          </cell>
          <cell r="AK181">
            <v>15459</v>
          </cell>
          <cell r="AL181">
            <v>0</v>
          </cell>
          <cell r="AM181">
            <v>201579</v>
          </cell>
          <cell r="AN181">
            <v>57</v>
          </cell>
          <cell r="AO181">
            <v>5044882</v>
          </cell>
          <cell r="AP181">
            <v>27218569</v>
          </cell>
        </row>
        <row r="182">
          <cell r="C182" t="str">
            <v xml:space="preserve"> SAN JOAQUIN DELTA </v>
          </cell>
          <cell r="D182" t="str">
            <v xml:space="preserve"> SOLANO            </v>
          </cell>
          <cell r="E182">
            <v>550</v>
          </cell>
          <cell r="F182" t="str">
            <v xml:space="preserve"> 2015-2016</v>
          </cell>
          <cell r="G182" t="str">
            <v xml:space="preserve"> 04/15/2016</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t="str">
            <v xml:space="preserve"> </v>
          </cell>
          <cell r="W182">
            <v>0</v>
          </cell>
          <cell r="X182">
            <v>0</v>
          </cell>
          <cell r="Y182">
            <v>0</v>
          </cell>
          <cell r="Z182">
            <v>0</v>
          </cell>
          <cell r="AA182">
            <v>0</v>
          </cell>
          <cell r="AB182">
            <v>1175909</v>
          </cell>
          <cell r="AC182">
            <v>19279</v>
          </cell>
          <cell r="AD182">
            <v>68646</v>
          </cell>
          <cell r="AE182">
            <v>230</v>
          </cell>
          <cell r="AF182">
            <v>109</v>
          </cell>
          <cell r="AG182">
            <v>0</v>
          </cell>
          <cell r="AH182">
            <v>0</v>
          </cell>
          <cell r="AI182">
            <v>44625</v>
          </cell>
          <cell r="AJ182">
            <v>0</v>
          </cell>
          <cell r="AK182">
            <v>0</v>
          </cell>
          <cell r="AL182">
            <v>0</v>
          </cell>
          <cell r="AM182">
            <v>11150</v>
          </cell>
          <cell r="AN182">
            <v>0</v>
          </cell>
          <cell r="AO182">
            <v>0</v>
          </cell>
          <cell r="AP182">
            <v>1319718</v>
          </cell>
        </row>
        <row r="183">
          <cell r="C183" t="str">
            <v>SAN JOAQUIN DELTA Subtotal</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22580792</v>
          </cell>
          <cell r="AC183">
            <v>325259</v>
          </cell>
          <cell r="AD183">
            <v>1334277</v>
          </cell>
          <cell r="AE183">
            <v>315514</v>
          </cell>
          <cell r="AF183">
            <v>149869</v>
          </cell>
          <cell r="AG183">
            <v>0</v>
          </cell>
          <cell r="AH183">
            <v>0</v>
          </cell>
          <cell r="AI183">
            <v>682403</v>
          </cell>
          <cell r="AJ183">
            <v>250345</v>
          </cell>
          <cell r="AK183">
            <v>13996</v>
          </cell>
          <cell r="AL183">
            <v>141</v>
          </cell>
          <cell r="AM183">
            <v>237138</v>
          </cell>
          <cell r="AN183">
            <v>57</v>
          </cell>
          <cell r="AO183">
            <v>5270893</v>
          </cell>
          <cell r="AP183">
            <v>30845170</v>
          </cell>
        </row>
        <row r="185">
          <cell r="C185" t="str">
            <v xml:space="preserve"> SAN JOSE          </v>
          </cell>
          <cell r="D185" t="str">
            <v xml:space="preserve"> SANTA CLARA       </v>
          </cell>
          <cell r="E185">
            <v>470</v>
          </cell>
          <cell r="F185" t="str">
            <v xml:space="preserve"> 2015-2016</v>
          </cell>
          <cell r="G185" t="str">
            <v xml:space="preserve"> 04/15/2016</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t="str">
            <v xml:space="preserve"> </v>
          </cell>
          <cell r="W185">
            <v>0</v>
          </cell>
          <cell r="X185">
            <v>0</v>
          </cell>
          <cell r="Y185">
            <v>0</v>
          </cell>
          <cell r="Z185">
            <v>0</v>
          </cell>
          <cell r="AA185">
            <v>0</v>
          </cell>
          <cell r="AB185">
            <v>71560788</v>
          </cell>
          <cell r="AC185">
            <v>2365000</v>
          </cell>
          <cell r="AD185">
            <v>6192370</v>
          </cell>
          <cell r="AE185">
            <v>1924750</v>
          </cell>
          <cell r="AF185">
            <v>914256</v>
          </cell>
          <cell r="AG185">
            <v>0</v>
          </cell>
          <cell r="AH185">
            <v>0</v>
          </cell>
          <cell r="AI185">
            <v>2046183</v>
          </cell>
          <cell r="AJ185">
            <v>0</v>
          </cell>
          <cell r="AK185">
            <v>0</v>
          </cell>
          <cell r="AL185">
            <v>0</v>
          </cell>
          <cell r="AM185">
            <v>444371</v>
          </cell>
          <cell r="AN185">
            <v>0</v>
          </cell>
          <cell r="AO185">
            <v>0</v>
          </cell>
          <cell r="AP185">
            <v>83522968</v>
          </cell>
        </row>
        <row r="186">
          <cell r="C186" t="str">
            <v xml:space="preserve">SAN JOSE Subtotal    </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71560788</v>
          </cell>
          <cell r="AC186">
            <v>2365000</v>
          </cell>
          <cell r="AD186">
            <v>6192370</v>
          </cell>
          <cell r="AE186">
            <v>1924750</v>
          </cell>
          <cell r="AF186">
            <v>914256</v>
          </cell>
          <cell r="AG186">
            <v>0</v>
          </cell>
          <cell r="AH186">
            <v>0</v>
          </cell>
          <cell r="AI186">
            <v>2046183</v>
          </cell>
          <cell r="AJ186">
            <v>0</v>
          </cell>
          <cell r="AK186">
            <v>0</v>
          </cell>
          <cell r="AL186">
            <v>0</v>
          </cell>
          <cell r="AM186">
            <v>444371</v>
          </cell>
          <cell r="AN186">
            <v>0</v>
          </cell>
          <cell r="AO186">
            <v>0</v>
          </cell>
          <cell r="AP186">
            <v>83522968</v>
          </cell>
        </row>
        <row r="188">
          <cell r="C188" t="str">
            <v xml:space="preserve"> SAN LUIS OBISPO   </v>
          </cell>
          <cell r="D188" t="str">
            <v xml:space="preserve"> MONTEREY          </v>
          </cell>
          <cell r="E188">
            <v>640</v>
          </cell>
          <cell r="F188" t="str">
            <v xml:space="preserve"> 2015-2016</v>
          </cell>
          <cell r="G188" t="str">
            <v xml:space="preserve"> 04/15/2016</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t="str">
            <v xml:space="preserve"> </v>
          </cell>
          <cell r="W188">
            <v>0</v>
          </cell>
          <cell r="X188">
            <v>0</v>
          </cell>
          <cell r="Y188">
            <v>0</v>
          </cell>
          <cell r="Z188">
            <v>0</v>
          </cell>
          <cell r="AA188">
            <v>0</v>
          </cell>
          <cell r="AB188">
            <v>205047</v>
          </cell>
          <cell r="AC188">
            <v>2110</v>
          </cell>
          <cell r="AD188">
            <v>8340</v>
          </cell>
          <cell r="AE188">
            <v>0</v>
          </cell>
          <cell r="AF188">
            <v>0</v>
          </cell>
          <cell r="AG188">
            <v>0</v>
          </cell>
          <cell r="AH188">
            <v>0</v>
          </cell>
          <cell r="AI188">
            <v>0</v>
          </cell>
          <cell r="AJ188">
            <v>0</v>
          </cell>
          <cell r="AK188">
            <v>1612</v>
          </cell>
          <cell r="AL188">
            <v>0</v>
          </cell>
          <cell r="AM188">
            <v>1192</v>
          </cell>
          <cell r="AN188">
            <v>0</v>
          </cell>
          <cell r="AO188">
            <v>0</v>
          </cell>
          <cell r="AP188">
            <v>218301</v>
          </cell>
        </row>
        <row r="189">
          <cell r="C189" t="str">
            <v xml:space="preserve"> SAN LUIS OBISPO   </v>
          </cell>
          <cell r="D189" t="str">
            <v xml:space="preserve"> SAN LUIS OBISPO   </v>
          </cell>
          <cell r="E189">
            <v>640</v>
          </cell>
          <cell r="F189" t="str">
            <v xml:space="preserve"> 2015-2016</v>
          </cell>
          <cell r="G189" t="str">
            <v xml:space="preserve"> 04/15/2016</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t="str">
            <v xml:space="preserve"> </v>
          </cell>
          <cell r="W189">
            <v>0</v>
          </cell>
          <cell r="X189">
            <v>0</v>
          </cell>
          <cell r="Y189">
            <v>0</v>
          </cell>
          <cell r="Z189">
            <v>0</v>
          </cell>
          <cell r="AA189">
            <v>0</v>
          </cell>
          <cell r="AB189">
            <v>33069610</v>
          </cell>
          <cell r="AC189">
            <v>710615</v>
          </cell>
          <cell r="AD189">
            <v>721939</v>
          </cell>
          <cell r="AE189">
            <v>128397</v>
          </cell>
          <cell r="AF189">
            <v>60989</v>
          </cell>
          <cell r="AG189">
            <v>0</v>
          </cell>
          <cell r="AH189">
            <v>0</v>
          </cell>
          <cell r="AI189">
            <v>194223</v>
          </cell>
          <cell r="AJ189">
            <v>0</v>
          </cell>
          <cell r="AK189">
            <v>-2775</v>
          </cell>
          <cell r="AL189">
            <v>0</v>
          </cell>
          <cell r="AM189">
            <v>234055</v>
          </cell>
          <cell r="AN189">
            <v>0</v>
          </cell>
          <cell r="AO189">
            <v>1235578</v>
          </cell>
          <cell r="AP189">
            <v>36224234</v>
          </cell>
        </row>
        <row r="190">
          <cell r="C190" t="str">
            <v>SAN LUIS OBISPO Subtotal</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33274657</v>
          </cell>
          <cell r="AC190">
            <v>712725</v>
          </cell>
          <cell r="AD190">
            <v>730279</v>
          </cell>
          <cell r="AE190">
            <v>128397</v>
          </cell>
          <cell r="AF190">
            <v>60989</v>
          </cell>
          <cell r="AG190">
            <v>0</v>
          </cell>
          <cell r="AH190">
            <v>0</v>
          </cell>
          <cell r="AI190">
            <v>194223</v>
          </cell>
          <cell r="AJ190">
            <v>0</v>
          </cell>
          <cell r="AK190">
            <v>-1163</v>
          </cell>
          <cell r="AL190">
            <v>0</v>
          </cell>
          <cell r="AM190">
            <v>235247</v>
          </cell>
          <cell r="AN190">
            <v>0</v>
          </cell>
          <cell r="AO190">
            <v>1235578</v>
          </cell>
          <cell r="AP190">
            <v>36442535</v>
          </cell>
        </row>
        <row r="192">
          <cell r="C192" t="str">
            <v xml:space="preserve"> SAN MATEO         </v>
          </cell>
          <cell r="D192" t="str">
            <v xml:space="preserve"> SAN MATEO         </v>
          </cell>
          <cell r="E192">
            <v>370</v>
          </cell>
          <cell r="F192" t="str">
            <v xml:space="preserve"> 2015-2016</v>
          </cell>
          <cell r="G192" t="str">
            <v xml:space="preserve"> 04/15/2016</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t="str">
            <v xml:space="preserve"> </v>
          </cell>
          <cell r="W192">
            <v>0</v>
          </cell>
          <cell r="X192">
            <v>0</v>
          </cell>
          <cell r="Y192">
            <v>0</v>
          </cell>
          <cell r="Z192">
            <v>0</v>
          </cell>
          <cell r="AA192">
            <v>0</v>
          </cell>
          <cell r="AB192">
            <v>107547399</v>
          </cell>
          <cell r="AC192">
            <v>4188236</v>
          </cell>
          <cell r="AD192">
            <v>5265173</v>
          </cell>
          <cell r="AE192">
            <v>539692</v>
          </cell>
          <cell r="AF192">
            <v>256354</v>
          </cell>
          <cell r="AG192">
            <v>0</v>
          </cell>
          <cell r="AH192">
            <v>0</v>
          </cell>
          <cell r="AI192">
            <v>5169439</v>
          </cell>
          <cell r="AJ192">
            <v>676189</v>
          </cell>
          <cell r="AK192">
            <v>102668</v>
          </cell>
          <cell r="AL192">
            <v>0</v>
          </cell>
          <cell r="AM192">
            <v>612136</v>
          </cell>
          <cell r="AN192">
            <v>0</v>
          </cell>
          <cell r="AO192">
            <v>0</v>
          </cell>
          <cell r="AP192">
            <v>123817594</v>
          </cell>
        </row>
        <row r="193">
          <cell r="C193" t="str">
            <v xml:space="preserve">SAN MATEO Subtotal         </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107547399</v>
          </cell>
          <cell r="AC193">
            <v>4188236</v>
          </cell>
          <cell r="AD193">
            <v>5265173</v>
          </cell>
          <cell r="AE193">
            <v>539692</v>
          </cell>
          <cell r="AF193">
            <v>256354</v>
          </cell>
          <cell r="AG193">
            <v>0</v>
          </cell>
          <cell r="AH193">
            <v>0</v>
          </cell>
          <cell r="AI193">
            <v>5169439</v>
          </cell>
          <cell r="AJ193">
            <v>676189</v>
          </cell>
          <cell r="AK193">
            <v>102668</v>
          </cell>
          <cell r="AL193">
            <v>0</v>
          </cell>
          <cell r="AM193">
            <v>612136</v>
          </cell>
          <cell r="AN193">
            <v>0</v>
          </cell>
          <cell r="AO193">
            <v>0</v>
          </cell>
          <cell r="AP193">
            <v>123817594</v>
          </cell>
        </row>
        <row r="195">
          <cell r="C195" t="str">
            <v xml:space="preserve"> SANTA BARBARA     </v>
          </cell>
          <cell r="D195" t="str">
            <v xml:space="preserve"> SANTA BARBARA     </v>
          </cell>
          <cell r="E195">
            <v>650</v>
          </cell>
          <cell r="F195" t="str">
            <v xml:space="preserve"> 2015-2016</v>
          </cell>
          <cell r="G195" t="str">
            <v xml:space="preserve"> 04/15/2016</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t="str">
            <v xml:space="preserve"> </v>
          </cell>
          <cell r="W195">
            <v>0</v>
          </cell>
          <cell r="X195">
            <v>0</v>
          </cell>
          <cell r="Y195">
            <v>0</v>
          </cell>
          <cell r="Z195">
            <v>0</v>
          </cell>
          <cell r="AA195">
            <v>0</v>
          </cell>
          <cell r="AB195">
            <v>24279894</v>
          </cell>
          <cell r="AC195">
            <v>592856</v>
          </cell>
          <cell r="AD195">
            <v>998294</v>
          </cell>
          <cell r="AE195">
            <v>80241</v>
          </cell>
          <cell r="AF195">
            <v>38114</v>
          </cell>
          <cell r="AG195">
            <v>0</v>
          </cell>
          <cell r="AH195">
            <v>0</v>
          </cell>
          <cell r="AI195">
            <v>1119307</v>
          </cell>
          <cell r="AJ195">
            <v>0</v>
          </cell>
          <cell r="AK195">
            <v>-52524</v>
          </cell>
          <cell r="AL195">
            <v>0</v>
          </cell>
          <cell r="AM195">
            <v>148004</v>
          </cell>
          <cell r="AN195">
            <v>0</v>
          </cell>
          <cell r="AO195">
            <v>0</v>
          </cell>
          <cell r="AP195">
            <v>27123945</v>
          </cell>
        </row>
        <row r="196">
          <cell r="C196" t="str">
            <v xml:space="preserve">SANTA BARBARA Subtotal   </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24279894</v>
          </cell>
          <cell r="AC196">
            <v>592856</v>
          </cell>
          <cell r="AD196">
            <v>998294</v>
          </cell>
          <cell r="AE196">
            <v>80241</v>
          </cell>
          <cell r="AF196">
            <v>38114</v>
          </cell>
          <cell r="AG196">
            <v>0</v>
          </cell>
          <cell r="AH196">
            <v>0</v>
          </cell>
          <cell r="AI196">
            <v>1119307</v>
          </cell>
          <cell r="AJ196">
            <v>0</v>
          </cell>
          <cell r="AK196">
            <v>-52524</v>
          </cell>
          <cell r="AL196">
            <v>0</v>
          </cell>
          <cell r="AM196">
            <v>148004</v>
          </cell>
          <cell r="AN196">
            <v>0</v>
          </cell>
          <cell r="AO196">
            <v>0</v>
          </cell>
          <cell r="AP196">
            <v>27123945</v>
          </cell>
        </row>
        <row r="198">
          <cell r="C198" t="str">
            <v xml:space="preserve"> SANTA CLARITA     </v>
          </cell>
          <cell r="D198" t="str">
            <v xml:space="preserve"> LOS ANGELES       </v>
          </cell>
          <cell r="E198">
            <v>660</v>
          </cell>
          <cell r="F198" t="str">
            <v xml:space="preserve"> 2015-2016</v>
          </cell>
          <cell r="G198" t="str">
            <v xml:space="preserve"> 04/15/2016</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t="str">
            <v xml:space="preserve"> </v>
          </cell>
          <cell r="W198">
            <v>0</v>
          </cell>
          <cell r="X198">
            <v>0</v>
          </cell>
          <cell r="Y198">
            <v>0</v>
          </cell>
          <cell r="Z198">
            <v>0</v>
          </cell>
          <cell r="AA198">
            <v>0</v>
          </cell>
          <cell r="AB198">
            <v>13764106</v>
          </cell>
          <cell r="AC198">
            <v>356276</v>
          </cell>
          <cell r="AD198">
            <v>523973</v>
          </cell>
          <cell r="AE198">
            <v>10489</v>
          </cell>
          <cell r="AF198">
            <v>4982</v>
          </cell>
          <cell r="AG198">
            <v>0</v>
          </cell>
          <cell r="AH198">
            <v>0</v>
          </cell>
          <cell r="AI198">
            <v>0</v>
          </cell>
          <cell r="AJ198">
            <v>0</v>
          </cell>
          <cell r="AK198">
            <v>303559</v>
          </cell>
          <cell r="AL198">
            <v>0</v>
          </cell>
          <cell r="AM198">
            <v>98127</v>
          </cell>
          <cell r="AN198">
            <v>0</v>
          </cell>
          <cell r="AO198">
            <v>0</v>
          </cell>
          <cell r="AP198">
            <v>15051023</v>
          </cell>
        </row>
        <row r="199">
          <cell r="C199" t="str">
            <v xml:space="preserve">SANTA CLARITA Subtotal  </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13764106</v>
          </cell>
          <cell r="AC199">
            <v>356276</v>
          </cell>
          <cell r="AD199">
            <v>523973</v>
          </cell>
          <cell r="AE199">
            <v>10489</v>
          </cell>
          <cell r="AF199">
            <v>4982</v>
          </cell>
          <cell r="AG199">
            <v>0</v>
          </cell>
          <cell r="AH199">
            <v>0</v>
          </cell>
          <cell r="AI199">
            <v>0</v>
          </cell>
          <cell r="AJ199">
            <v>0</v>
          </cell>
          <cell r="AK199">
            <v>303559</v>
          </cell>
          <cell r="AL199">
            <v>0</v>
          </cell>
          <cell r="AM199">
            <v>98127</v>
          </cell>
          <cell r="AN199">
            <v>0</v>
          </cell>
          <cell r="AO199">
            <v>0</v>
          </cell>
          <cell r="AP199">
            <v>15051023</v>
          </cell>
        </row>
        <row r="201">
          <cell r="C201" t="str">
            <v xml:space="preserve"> SANTA MONICA      </v>
          </cell>
          <cell r="D201" t="str">
            <v xml:space="preserve"> LOS ANGELES       </v>
          </cell>
          <cell r="E201">
            <v>780</v>
          </cell>
          <cell r="F201" t="str">
            <v xml:space="preserve"> 2015-2016</v>
          </cell>
          <cell r="G201" t="str">
            <v xml:space="preserve"> 04/15/2016</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t="str">
            <v xml:space="preserve"> </v>
          </cell>
          <cell r="W201">
            <v>0</v>
          </cell>
          <cell r="X201">
            <v>0</v>
          </cell>
          <cell r="Y201">
            <v>0</v>
          </cell>
          <cell r="Z201">
            <v>0</v>
          </cell>
          <cell r="AA201">
            <v>0</v>
          </cell>
          <cell r="AB201">
            <v>12936113</v>
          </cell>
          <cell r="AC201">
            <v>347025</v>
          </cell>
          <cell r="AD201">
            <v>567993</v>
          </cell>
          <cell r="AE201">
            <v>498178</v>
          </cell>
          <cell r="AF201">
            <v>236635</v>
          </cell>
          <cell r="AG201">
            <v>0</v>
          </cell>
          <cell r="AH201">
            <v>0</v>
          </cell>
          <cell r="AI201">
            <v>630837</v>
          </cell>
          <cell r="AJ201">
            <v>0</v>
          </cell>
          <cell r="AK201">
            <v>357242</v>
          </cell>
          <cell r="AL201">
            <v>0</v>
          </cell>
          <cell r="AM201">
            <v>96476</v>
          </cell>
          <cell r="AN201">
            <v>2</v>
          </cell>
          <cell r="AO201">
            <v>0</v>
          </cell>
          <cell r="AP201">
            <v>15172323</v>
          </cell>
        </row>
        <row r="202">
          <cell r="C202" t="str">
            <v xml:space="preserve">SANTA MONICA Subtotal    </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12936113</v>
          </cell>
          <cell r="AC202">
            <v>347025</v>
          </cell>
          <cell r="AD202">
            <v>567993</v>
          </cell>
          <cell r="AE202">
            <v>498178</v>
          </cell>
          <cell r="AF202">
            <v>236635</v>
          </cell>
          <cell r="AG202">
            <v>0</v>
          </cell>
          <cell r="AH202">
            <v>0</v>
          </cell>
          <cell r="AI202">
            <v>630837</v>
          </cell>
          <cell r="AJ202">
            <v>0</v>
          </cell>
          <cell r="AK202">
            <v>357242</v>
          </cell>
          <cell r="AL202">
            <v>0</v>
          </cell>
          <cell r="AM202">
            <v>96476</v>
          </cell>
          <cell r="AN202">
            <v>2</v>
          </cell>
          <cell r="AO202">
            <v>0</v>
          </cell>
          <cell r="AP202">
            <v>15172323</v>
          </cell>
        </row>
        <row r="204">
          <cell r="C204" t="str">
            <v xml:space="preserve"> SEQUOIAS          </v>
          </cell>
          <cell r="D204" t="str">
            <v xml:space="preserve"> FRESNO            </v>
          </cell>
          <cell r="E204">
            <v>560</v>
          </cell>
          <cell r="F204" t="str">
            <v xml:space="preserve"> 2015-2016</v>
          </cell>
          <cell r="G204" t="str">
            <v xml:space="preserve"> 04/15/2016</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t="str">
            <v xml:space="preserve"> </v>
          </cell>
          <cell r="W204">
            <v>0</v>
          </cell>
          <cell r="X204">
            <v>0</v>
          </cell>
          <cell r="Y204">
            <v>0</v>
          </cell>
          <cell r="Z204">
            <v>0</v>
          </cell>
          <cell r="AA204">
            <v>0</v>
          </cell>
          <cell r="AB204">
            <v>25992</v>
          </cell>
          <cell r="AC204">
            <v>289</v>
          </cell>
          <cell r="AD204">
            <v>1238</v>
          </cell>
          <cell r="AE204">
            <v>0</v>
          </cell>
          <cell r="AF204">
            <v>0</v>
          </cell>
          <cell r="AG204">
            <v>0</v>
          </cell>
          <cell r="AH204">
            <v>0</v>
          </cell>
          <cell r="AI204">
            <v>0</v>
          </cell>
          <cell r="AJ204">
            <v>0</v>
          </cell>
          <cell r="AK204">
            <v>13</v>
          </cell>
          <cell r="AL204">
            <v>0</v>
          </cell>
          <cell r="AM204">
            <v>280</v>
          </cell>
          <cell r="AN204">
            <v>0</v>
          </cell>
          <cell r="AO204">
            <v>-2047</v>
          </cell>
          <cell r="AP204">
            <v>25765</v>
          </cell>
        </row>
        <row r="205">
          <cell r="C205" t="str">
            <v xml:space="preserve"> SEQUOIAS          </v>
          </cell>
          <cell r="D205" t="str">
            <v xml:space="preserve"> KINGS             </v>
          </cell>
          <cell r="E205">
            <v>560</v>
          </cell>
          <cell r="F205" t="str">
            <v xml:space="preserve"> 2015-2016</v>
          </cell>
          <cell r="G205" t="str">
            <v xml:space="preserve"> 04/15/2016</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t="str">
            <v xml:space="preserve"> </v>
          </cell>
          <cell r="W205">
            <v>0</v>
          </cell>
          <cell r="X205">
            <v>0</v>
          </cell>
          <cell r="Y205">
            <v>0</v>
          </cell>
          <cell r="Z205">
            <v>0</v>
          </cell>
          <cell r="AA205">
            <v>0</v>
          </cell>
          <cell r="AB205">
            <v>2485628</v>
          </cell>
          <cell r="AC205">
            <v>13554</v>
          </cell>
          <cell r="AD205">
            <v>108055</v>
          </cell>
          <cell r="AE205">
            <v>28000</v>
          </cell>
          <cell r="AF205">
            <v>13300</v>
          </cell>
          <cell r="AG205">
            <v>0</v>
          </cell>
          <cell r="AH205">
            <v>0</v>
          </cell>
          <cell r="AI205">
            <v>99500</v>
          </cell>
          <cell r="AJ205">
            <v>0</v>
          </cell>
          <cell r="AK205">
            <v>30953</v>
          </cell>
          <cell r="AL205">
            <v>0</v>
          </cell>
          <cell r="AM205">
            <v>31040</v>
          </cell>
          <cell r="AN205">
            <v>0</v>
          </cell>
          <cell r="AO205">
            <v>-1099430</v>
          </cell>
          <cell r="AP205">
            <v>1682600</v>
          </cell>
        </row>
        <row r="206">
          <cell r="C206" t="str">
            <v xml:space="preserve"> SEQUOIAS          </v>
          </cell>
          <cell r="D206" t="str">
            <v xml:space="preserve"> TULARE            </v>
          </cell>
          <cell r="E206">
            <v>560</v>
          </cell>
          <cell r="F206" t="str">
            <v xml:space="preserve"> 2015-2016</v>
          </cell>
          <cell r="G206" t="str">
            <v xml:space="preserve"> 04/15/2016</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t="str">
            <v xml:space="preserve"> </v>
          </cell>
          <cell r="W206">
            <v>0</v>
          </cell>
          <cell r="X206">
            <v>0</v>
          </cell>
          <cell r="Y206">
            <v>0</v>
          </cell>
          <cell r="Z206">
            <v>0</v>
          </cell>
          <cell r="AA206">
            <v>0</v>
          </cell>
          <cell r="AB206">
            <v>10238631</v>
          </cell>
          <cell r="AC206">
            <v>84212</v>
          </cell>
          <cell r="AD206">
            <v>578933</v>
          </cell>
          <cell r="AE206">
            <v>139516</v>
          </cell>
          <cell r="AF206">
            <v>66270</v>
          </cell>
          <cell r="AG206">
            <v>0</v>
          </cell>
          <cell r="AH206">
            <v>0</v>
          </cell>
          <cell r="AI206">
            <v>355041</v>
          </cell>
          <cell r="AJ206">
            <v>0</v>
          </cell>
          <cell r="AK206">
            <v>0</v>
          </cell>
          <cell r="AL206">
            <v>0</v>
          </cell>
          <cell r="AM206">
            <v>109842</v>
          </cell>
          <cell r="AN206">
            <v>0</v>
          </cell>
          <cell r="AO206">
            <v>-1152301</v>
          </cell>
          <cell r="AP206">
            <v>10280628</v>
          </cell>
        </row>
        <row r="207">
          <cell r="C207" t="str">
            <v xml:space="preserve">SEQUOIAS Subtotal         </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12750251</v>
          </cell>
          <cell r="AC207">
            <v>98055</v>
          </cell>
          <cell r="AD207">
            <v>688226</v>
          </cell>
          <cell r="AE207">
            <v>167516</v>
          </cell>
          <cell r="AF207">
            <v>79570</v>
          </cell>
          <cell r="AG207">
            <v>0</v>
          </cell>
          <cell r="AH207">
            <v>0</v>
          </cell>
          <cell r="AI207">
            <v>454541</v>
          </cell>
          <cell r="AJ207">
            <v>0</v>
          </cell>
          <cell r="AK207">
            <v>30966</v>
          </cell>
          <cell r="AL207">
            <v>0</v>
          </cell>
          <cell r="AM207">
            <v>141162</v>
          </cell>
          <cell r="AN207">
            <v>0</v>
          </cell>
          <cell r="AO207">
            <v>-2253778</v>
          </cell>
          <cell r="AP207">
            <v>11988993</v>
          </cell>
        </row>
        <row r="209">
          <cell r="C209" t="str">
            <v xml:space="preserve"> SHASTA            </v>
          </cell>
          <cell r="D209" t="str">
            <v xml:space="preserve"> HUMBOLDT          </v>
          </cell>
          <cell r="E209">
            <v>170</v>
          </cell>
          <cell r="F209" t="str">
            <v xml:space="preserve"> 2015-2016</v>
          </cell>
          <cell r="G209" t="str">
            <v xml:space="preserve"> 04/15/2016</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t="str">
            <v xml:space="preserve"> </v>
          </cell>
          <cell r="W209">
            <v>0</v>
          </cell>
          <cell r="X209">
            <v>0</v>
          </cell>
          <cell r="Y209">
            <v>0</v>
          </cell>
          <cell r="Z209">
            <v>0</v>
          </cell>
          <cell r="AA209">
            <v>0</v>
          </cell>
          <cell r="AB209">
            <v>21118</v>
          </cell>
          <cell r="AC209">
            <v>150</v>
          </cell>
          <cell r="AD209">
            <v>793</v>
          </cell>
          <cell r="AE209">
            <v>0</v>
          </cell>
          <cell r="AF209">
            <v>0</v>
          </cell>
          <cell r="AG209">
            <v>0</v>
          </cell>
          <cell r="AH209">
            <v>0</v>
          </cell>
          <cell r="AI209">
            <v>0</v>
          </cell>
          <cell r="AJ209">
            <v>0</v>
          </cell>
          <cell r="AK209">
            <v>22</v>
          </cell>
          <cell r="AL209">
            <v>140</v>
          </cell>
          <cell r="AM209">
            <v>293</v>
          </cell>
          <cell r="AN209">
            <v>0</v>
          </cell>
          <cell r="AO209">
            <v>456</v>
          </cell>
          <cell r="AP209">
            <v>22972</v>
          </cell>
        </row>
        <row r="210">
          <cell r="C210" t="str">
            <v xml:space="preserve"> SHASTA            </v>
          </cell>
          <cell r="D210" t="str">
            <v xml:space="preserve"> LASSEN            </v>
          </cell>
          <cell r="E210">
            <v>170</v>
          </cell>
          <cell r="F210" t="str">
            <v xml:space="preserve"> 2015-2016</v>
          </cell>
          <cell r="G210" t="str">
            <v xml:space="preserve"> 04/15/2016</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t="str">
            <v xml:space="preserve"> </v>
          </cell>
          <cell r="W210">
            <v>0</v>
          </cell>
          <cell r="X210">
            <v>0</v>
          </cell>
          <cell r="Y210">
            <v>0</v>
          </cell>
          <cell r="Z210">
            <v>0</v>
          </cell>
          <cell r="AA210">
            <v>0</v>
          </cell>
          <cell r="AB210">
            <v>49976</v>
          </cell>
          <cell r="AC210">
            <v>365</v>
          </cell>
          <cell r="AD210">
            <v>4021</v>
          </cell>
          <cell r="AE210">
            <v>0</v>
          </cell>
          <cell r="AF210">
            <v>0</v>
          </cell>
          <cell r="AG210">
            <v>0</v>
          </cell>
          <cell r="AH210">
            <v>0</v>
          </cell>
          <cell r="AI210">
            <v>0</v>
          </cell>
          <cell r="AJ210">
            <v>0</v>
          </cell>
          <cell r="AK210">
            <v>43</v>
          </cell>
          <cell r="AL210">
            <v>454</v>
          </cell>
          <cell r="AM210">
            <v>1508</v>
          </cell>
          <cell r="AN210">
            <v>0</v>
          </cell>
          <cell r="AO210">
            <v>-16849</v>
          </cell>
          <cell r="AP210">
            <v>39518</v>
          </cell>
        </row>
        <row r="211">
          <cell r="C211" t="str">
            <v xml:space="preserve"> SHASTA            </v>
          </cell>
          <cell r="D211" t="str">
            <v xml:space="preserve"> MODOC             </v>
          </cell>
          <cell r="E211">
            <v>170</v>
          </cell>
          <cell r="F211" t="str">
            <v xml:space="preserve"> 2015-2016</v>
          </cell>
          <cell r="G211" t="str">
            <v xml:space="preserve"> 04/15/2016</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t="str">
            <v xml:space="preserve"> </v>
          </cell>
          <cell r="W211">
            <v>0</v>
          </cell>
          <cell r="X211">
            <v>0</v>
          </cell>
          <cell r="Y211">
            <v>0</v>
          </cell>
          <cell r="Z211">
            <v>0</v>
          </cell>
          <cell r="AA211">
            <v>0</v>
          </cell>
          <cell r="AB211">
            <v>13760</v>
          </cell>
          <cell r="AC211">
            <v>60</v>
          </cell>
          <cell r="AD211">
            <v>600</v>
          </cell>
          <cell r="AE211">
            <v>0</v>
          </cell>
          <cell r="AF211">
            <v>0</v>
          </cell>
          <cell r="AG211">
            <v>0</v>
          </cell>
          <cell r="AH211">
            <v>0</v>
          </cell>
          <cell r="AI211">
            <v>0</v>
          </cell>
          <cell r="AJ211">
            <v>0</v>
          </cell>
          <cell r="AK211">
            <v>675</v>
          </cell>
          <cell r="AL211">
            <v>20</v>
          </cell>
          <cell r="AM211">
            <v>200</v>
          </cell>
          <cell r="AN211">
            <v>0</v>
          </cell>
          <cell r="AO211">
            <v>-1106</v>
          </cell>
          <cell r="AP211">
            <v>14209</v>
          </cell>
        </row>
        <row r="212">
          <cell r="C212" t="str">
            <v xml:space="preserve"> SHASTA            </v>
          </cell>
          <cell r="D212" t="str">
            <v xml:space="preserve"> SHASTA            </v>
          </cell>
          <cell r="E212">
            <v>170</v>
          </cell>
          <cell r="F212" t="str">
            <v xml:space="preserve"> 2015-2016</v>
          </cell>
          <cell r="G212" t="str">
            <v xml:space="preserve"> 04/15/2016</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t="str">
            <v xml:space="preserve"> </v>
          </cell>
          <cell r="W212">
            <v>0</v>
          </cell>
          <cell r="X212">
            <v>0</v>
          </cell>
          <cell r="Y212">
            <v>0</v>
          </cell>
          <cell r="Z212">
            <v>0</v>
          </cell>
          <cell r="AA212">
            <v>0</v>
          </cell>
          <cell r="AB212">
            <v>8918952</v>
          </cell>
          <cell r="AC212">
            <v>110252</v>
          </cell>
          <cell r="AD212">
            <v>449004</v>
          </cell>
          <cell r="AE212">
            <v>80734</v>
          </cell>
          <cell r="AF212">
            <v>38349</v>
          </cell>
          <cell r="AG212">
            <v>0</v>
          </cell>
          <cell r="AH212">
            <v>0</v>
          </cell>
          <cell r="AI212">
            <v>673130</v>
          </cell>
          <cell r="AJ212">
            <v>0</v>
          </cell>
          <cell r="AK212">
            <v>4927</v>
          </cell>
          <cell r="AL212">
            <v>43915</v>
          </cell>
          <cell r="AM212">
            <v>154323</v>
          </cell>
          <cell r="AN212">
            <v>0</v>
          </cell>
          <cell r="AO212">
            <v>-580319</v>
          </cell>
          <cell r="AP212">
            <v>9812533</v>
          </cell>
        </row>
        <row r="213">
          <cell r="C213" t="str">
            <v xml:space="preserve"> SHASTA            </v>
          </cell>
          <cell r="D213" t="str">
            <v xml:space="preserve"> TEHAMA            </v>
          </cell>
          <cell r="E213">
            <v>170</v>
          </cell>
          <cell r="F213" t="str">
            <v xml:space="preserve"> 2015-2016</v>
          </cell>
          <cell r="G213" t="str">
            <v xml:space="preserve"> 04/15/2016</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t="str">
            <v xml:space="preserve"> </v>
          </cell>
          <cell r="W213">
            <v>0</v>
          </cell>
          <cell r="X213">
            <v>0</v>
          </cell>
          <cell r="Y213">
            <v>0</v>
          </cell>
          <cell r="Z213">
            <v>0</v>
          </cell>
          <cell r="AA213">
            <v>0</v>
          </cell>
          <cell r="AB213">
            <v>2823137</v>
          </cell>
          <cell r="AC213">
            <v>25000</v>
          </cell>
          <cell r="AD213">
            <v>101908</v>
          </cell>
          <cell r="AE213">
            <v>0</v>
          </cell>
          <cell r="AF213">
            <v>0</v>
          </cell>
          <cell r="AG213">
            <v>0</v>
          </cell>
          <cell r="AH213">
            <v>0</v>
          </cell>
          <cell r="AI213">
            <v>0</v>
          </cell>
          <cell r="AJ213">
            <v>0</v>
          </cell>
          <cell r="AK213">
            <v>5000</v>
          </cell>
          <cell r="AL213">
            <v>15000</v>
          </cell>
          <cell r="AM213">
            <v>52353</v>
          </cell>
          <cell r="AN213">
            <v>500</v>
          </cell>
          <cell r="AO213">
            <v>5166</v>
          </cell>
          <cell r="AP213">
            <v>3028064</v>
          </cell>
        </row>
        <row r="214">
          <cell r="C214" t="str">
            <v xml:space="preserve"> SHASTA            </v>
          </cell>
          <cell r="D214" t="str">
            <v xml:space="preserve"> TRINITY           </v>
          </cell>
          <cell r="E214">
            <v>170</v>
          </cell>
          <cell r="F214" t="str">
            <v xml:space="preserve"> 2015-2016</v>
          </cell>
          <cell r="G214" t="str">
            <v xml:space="preserve"> 04/15/2016</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t="str">
            <v xml:space="preserve"> </v>
          </cell>
          <cell r="W214">
            <v>0</v>
          </cell>
          <cell r="X214">
            <v>0</v>
          </cell>
          <cell r="Y214">
            <v>0</v>
          </cell>
          <cell r="Z214">
            <v>0</v>
          </cell>
          <cell r="AA214">
            <v>0</v>
          </cell>
          <cell r="AB214">
            <v>1327970</v>
          </cell>
          <cell r="AC214">
            <v>40000</v>
          </cell>
          <cell r="AD214">
            <v>34665</v>
          </cell>
          <cell r="AE214">
            <v>0</v>
          </cell>
          <cell r="AF214">
            <v>0</v>
          </cell>
          <cell r="AG214">
            <v>0</v>
          </cell>
          <cell r="AH214">
            <v>0</v>
          </cell>
          <cell r="AI214">
            <v>0</v>
          </cell>
          <cell r="AJ214">
            <v>0</v>
          </cell>
          <cell r="AK214">
            <v>747</v>
          </cell>
          <cell r="AL214">
            <v>14092</v>
          </cell>
          <cell r="AM214">
            <v>17102</v>
          </cell>
          <cell r="AN214">
            <v>0</v>
          </cell>
          <cell r="AO214">
            <v>0</v>
          </cell>
          <cell r="AP214">
            <v>1434576</v>
          </cell>
        </row>
        <row r="215">
          <cell r="C215" t="str">
            <v xml:space="preserve">SHASTA Subtotal            </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13154913</v>
          </cell>
          <cell r="AC215">
            <v>175827</v>
          </cell>
          <cell r="AD215">
            <v>590991</v>
          </cell>
          <cell r="AE215">
            <v>80734</v>
          </cell>
          <cell r="AF215">
            <v>38349</v>
          </cell>
          <cell r="AG215">
            <v>0</v>
          </cell>
          <cell r="AH215">
            <v>0</v>
          </cell>
          <cell r="AI215">
            <v>673130</v>
          </cell>
          <cell r="AJ215">
            <v>0</v>
          </cell>
          <cell r="AK215">
            <v>11414</v>
          </cell>
          <cell r="AL215">
            <v>73621</v>
          </cell>
          <cell r="AM215">
            <v>225779</v>
          </cell>
          <cell r="AN215">
            <v>500</v>
          </cell>
          <cell r="AO215">
            <v>-592652</v>
          </cell>
          <cell r="AP215">
            <v>14351872</v>
          </cell>
        </row>
        <row r="217">
          <cell r="C217" t="str">
            <v xml:space="preserve"> SIERRA            </v>
          </cell>
          <cell r="D217" t="str">
            <v xml:space="preserve"> EL DORADO         </v>
          </cell>
          <cell r="E217">
            <v>270</v>
          </cell>
          <cell r="F217" t="str">
            <v xml:space="preserve"> 2015-2016</v>
          </cell>
          <cell r="G217" t="str">
            <v xml:space="preserve"> 04/15/2016</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t="str">
            <v xml:space="preserve"> </v>
          </cell>
          <cell r="W217">
            <v>0</v>
          </cell>
          <cell r="X217">
            <v>0</v>
          </cell>
          <cell r="Y217">
            <v>0</v>
          </cell>
          <cell r="Z217">
            <v>0</v>
          </cell>
          <cell r="AA217">
            <v>0</v>
          </cell>
          <cell r="AB217">
            <v>512455</v>
          </cell>
          <cell r="AC217">
            <v>4349</v>
          </cell>
          <cell r="AD217">
            <v>9990</v>
          </cell>
          <cell r="AE217">
            <v>0</v>
          </cell>
          <cell r="AF217">
            <v>0</v>
          </cell>
          <cell r="AG217">
            <v>0</v>
          </cell>
          <cell r="AH217">
            <v>0</v>
          </cell>
          <cell r="AI217">
            <v>0</v>
          </cell>
          <cell r="AJ217">
            <v>0</v>
          </cell>
          <cell r="AK217">
            <v>155</v>
          </cell>
          <cell r="AL217">
            <v>0</v>
          </cell>
          <cell r="AM217">
            <v>5088</v>
          </cell>
          <cell r="AN217">
            <v>0</v>
          </cell>
          <cell r="AO217">
            <v>0</v>
          </cell>
          <cell r="AP217">
            <v>532037</v>
          </cell>
        </row>
        <row r="218">
          <cell r="C218" t="str">
            <v xml:space="preserve"> SIERRA            </v>
          </cell>
          <cell r="D218" t="str">
            <v xml:space="preserve"> NEVADA            </v>
          </cell>
          <cell r="E218">
            <v>270</v>
          </cell>
          <cell r="F218" t="str">
            <v xml:space="preserve"> 2015-2016</v>
          </cell>
          <cell r="G218" t="str">
            <v xml:space="preserve"> 04/15/2016</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t="str">
            <v xml:space="preserve"> </v>
          </cell>
          <cell r="W218">
            <v>0</v>
          </cell>
          <cell r="X218">
            <v>0</v>
          </cell>
          <cell r="Y218">
            <v>0</v>
          </cell>
          <cell r="Z218">
            <v>0</v>
          </cell>
          <cell r="AA218">
            <v>0</v>
          </cell>
          <cell r="AB218">
            <v>13900000</v>
          </cell>
          <cell r="AC218">
            <v>215000</v>
          </cell>
          <cell r="AD218">
            <v>248500</v>
          </cell>
          <cell r="AE218">
            <v>33970</v>
          </cell>
          <cell r="AF218">
            <v>16136</v>
          </cell>
          <cell r="AG218">
            <v>0</v>
          </cell>
          <cell r="AH218">
            <v>0</v>
          </cell>
          <cell r="AI218">
            <v>86459</v>
          </cell>
          <cell r="AJ218">
            <v>0</v>
          </cell>
          <cell r="AK218">
            <v>2700</v>
          </cell>
          <cell r="AL218">
            <v>5009</v>
          </cell>
          <cell r="AM218">
            <v>140077</v>
          </cell>
          <cell r="AN218">
            <v>0</v>
          </cell>
          <cell r="AO218">
            <v>1099081</v>
          </cell>
          <cell r="AP218">
            <v>15712962</v>
          </cell>
        </row>
        <row r="219">
          <cell r="C219" t="str">
            <v xml:space="preserve"> SIERRA            </v>
          </cell>
          <cell r="D219" t="str">
            <v xml:space="preserve"> PLACER            </v>
          </cell>
          <cell r="E219">
            <v>270</v>
          </cell>
          <cell r="F219" t="str">
            <v xml:space="preserve"> 2015-2016</v>
          </cell>
          <cell r="G219" t="str">
            <v xml:space="preserve"> 04/15/2016</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t="str">
            <v xml:space="preserve"> </v>
          </cell>
          <cell r="W219">
            <v>0</v>
          </cell>
          <cell r="X219">
            <v>0</v>
          </cell>
          <cell r="Y219">
            <v>0</v>
          </cell>
          <cell r="Z219">
            <v>0</v>
          </cell>
          <cell r="AA219">
            <v>0</v>
          </cell>
          <cell r="AB219">
            <v>46412492</v>
          </cell>
          <cell r="AC219">
            <v>960116</v>
          </cell>
          <cell r="AD219">
            <v>1051453</v>
          </cell>
          <cell r="AE219">
            <v>253877</v>
          </cell>
          <cell r="AF219">
            <v>120592</v>
          </cell>
          <cell r="AG219">
            <v>0</v>
          </cell>
          <cell r="AH219">
            <v>0</v>
          </cell>
          <cell r="AI219">
            <v>424796</v>
          </cell>
          <cell r="AJ219">
            <v>0</v>
          </cell>
          <cell r="AK219">
            <v>13410</v>
          </cell>
          <cell r="AL219">
            <v>7312</v>
          </cell>
          <cell r="AM219">
            <v>396690</v>
          </cell>
          <cell r="AN219">
            <v>0</v>
          </cell>
          <cell r="AO219">
            <v>3471056</v>
          </cell>
          <cell r="AP219">
            <v>52857917</v>
          </cell>
        </row>
        <row r="220">
          <cell r="C220" t="str">
            <v xml:space="preserve"> SIERRA            </v>
          </cell>
          <cell r="D220" t="str">
            <v xml:space="preserve"> SACRAMENTO        </v>
          </cell>
          <cell r="E220">
            <v>270</v>
          </cell>
          <cell r="F220" t="str">
            <v xml:space="preserve"> 2015-2016</v>
          </cell>
          <cell r="G220" t="str">
            <v xml:space="preserve"> 04/15/2016</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t="str">
            <v xml:space="preserve"> </v>
          </cell>
          <cell r="W220">
            <v>0</v>
          </cell>
          <cell r="X220">
            <v>0</v>
          </cell>
          <cell r="Y220">
            <v>0</v>
          </cell>
          <cell r="Z220">
            <v>0</v>
          </cell>
          <cell r="AA220">
            <v>0</v>
          </cell>
          <cell r="AB220">
            <v>1290816</v>
          </cell>
          <cell r="AC220">
            <v>29884</v>
          </cell>
          <cell r="AD220">
            <v>40932</v>
          </cell>
          <cell r="AE220">
            <v>0</v>
          </cell>
          <cell r="AF220">
            <v>0</v>
          </cell>
          <cell r="AG220">
            <v>0</v>
          </cell>
          <cell r="AH220">
            <v>0</v>
          </cell>
          <cell r="AI220">
            <v>0</v>
          </cell>
          <cell r="AJ220">
            <v>0</v>
          </cell>
          <cell r="AK220">
            <v>0</v>
          </cell>
          <cell r="AL220">
            <v>0</v>
          </cell>
          <cell r="AM220">
            <v>16185</v>
          </cell>
          <cell r="AN220">
            <v>0</v>
          </cell>
          <cell r="AO220">
            <v>0</v>
          </cell>
          <cell r="AP220">
            <v>1377817</v>
          </cell>
        </row>
        <row r="221">
          <cell r="C221" t="str">
            <v xml:space="preserve">SIERRA Subtotal         </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62115763</v>
          </cell>
          <cell r="AC221">
            <v>1209349</v>
          </cell>
          <cell r="AD221">
            <v>1350875</v>
          </cell>
          <cell r="AE221">
            <v>287847</v>
          </cell>
          <cell r="AF221">
            <v>136728</v>
          </cell>
          <cell r="AG221">
            <v>0</v>
          </cell>
          <cell r="AH221">
            <v>0</v>
          </cell>
          <cell r="AI221">
            <v>511255</v>
          </cell>
          <cell r="AJ221">
            <v>0</v>
          </cell>
          <cell r="AK221">
            <v>16265</v>
          </cell>
          <cell r="AL221">
            <v>12321</v>
          </cell>
          <cell r="AM221">
            <v>558040</v>
          </cell>
          <cell r="AN221">
            <v>0</v>
          </cell>
          <cell r="AO221">
            <v>4570137</v>
          </cell>
          <cell r="AP221">
            <v>70480733</v>
          </cell>
        </row>
        <row r="223">
          <cell r="C223" t="str">
            <v xml:space="preserve"> SISKIYOU          </v>
          </cell>
          <cell r="D223" t="str">
            <v xml:space="preserve"> SHASTA            </v>
          </cell>
          <cell r="E223">
            <v>180</v>
          </cell>
          <cell r="F223" t="str">
            <v xml:space="preserve"> 2015-2016</v>
          </cell>
          <cell r="G223" t="str">
            <v xml:space="preserve"> 04/15/2016</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t="str">
            <v xml:space="preserve"> </v>
          </cell>
          <cell r="W223">
            <v>0</v>
          </cell>
          <cell r="X223">
            <v>0</v>
          </cell>
          <cell r="Y223">
            <v>0</v>
          </cell>
          <cell r="Z223">
            <v>0</v>
          </cell>
          <cell r="AA223">
            <v>0</v>
          </cell>
          <cell r="AB223">
            <v>49957</v>
          </cell>
          <cell r="AC223">
            <v>29993</v>
          </cell>
          <cell r="AD223">
            <v>2094</v>
          </cell>
          <cell r="AE223">
            <v>0</v>
          </cell>
          <cell r="AF223">
            <v>0</v>
          </cell>
          <cell r="AG223">
            <v>0</v>
          </cell>
          <cell r="AH223">
            <v>0</v>
          </cell>
          <cell r="AI223">
            <v>0</v>
          </cell>
          <cell r="AJ223">
            <v>0</v>
          </cell>
          <cell r="AK223">
            <v>22</v>
          </cell>
          <cell r="AL223">
            <v>3270</v>
          </cell>
          <cell r="AM223">
            <v>710</v>
          </cell>
          <cell r="AN223">
            <v>0</v>
          </cell>
          <cell r="AO223">
            <v>-2707</v>
          </cell>
          <cell r="AP223">
            <v>83339</v>
          </cell>
        </row>
        <row r="224">
          <cell r="C224" t="str">
            <v xml:space="preserve"> SISKIYOU          </v>
          </cell>
          <cell r="D224" t="str">
            <v xml:space="preserve"> SISKIYOU          </v>
          </cell>
          <cell r="E224">
            <v>180</v>
          </cell>
          <cell r="F224" t="str">
            <v xml:space="preserve"> 2015-2016</v>
          </cell>
          <cell r="G224" t="str">
            <v xml:space="preserve"> 04/15/2016</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t="str">
            <v xml:space="preserve"> </v>
          </cell>
          <cell r="W224">
            <v>0</v>
          </cell>
          <cell r="X224">
            <v>0</v>
          </cell>
          <cell r="Y224">
            <v>0</v>
          </cell>
          <cell r="Z224">
            <v>0</v>
          </cell>
          <cell r="AA224">
            <v>0</v>
          </cell>
          <cell r="AB224">
            <v>3392425</v>
          </cell>
          <cell r="AC224">
            <v>20000</v>
          </cell>
          <cell r="AD224">
            <v>186736</v>
          </cell>
          <cell r="AE224">
            <v>0</v>
          </cell>
          <cell r="AF224">
            <v>0</v>
          </cell>
          <cell r="AG224">
            <v>0</v>
          </cell>
          <cell r="AH224">
            <v>0</v>
          </cell>
          <cell r="AI224">
            <v>0</v>
          </cell>
          <cell r="AJ224">
            <v>0</v>
          </cell>
          <cell r="AK224">
            <v>5500</v>
          </cell>
          <cell r="AL224">
            <v>99000</v>
          </cell>
          <cell r="AM224">
            <v>56196</v>
          </cell>
          <cell r="AN224">
            <v>0</v>
          </cell>
          <cell r="AO224">
            <v>-109359</v>
          </cell>
          <cell r="AP224">
            <v>3650498</v>
          </cell>
        </row>
        <row r="225">
          <cell r="C225" t="str">
            <v xml:space="preserve">SISKIYOU Subtotal       </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3442382</v>
          </cell>
          <cell r="AC225">
            <v>49993</v>
          </cell>
          <cell r="AD225">
            <v>188830</v>
          </cell>
          <cell r="AE225">
            <v>0</v>
          </cell>
          <cell r="AF225">
            <v>0</v>
          </cell>
          <cell r="AG225">
            <v>0</v>
          </cell>
          <cell r="AH225">
            <v>0</v>
          </cell>
          <cell r="AI225">
            <v>0</v>
          </cell>
          <cell r="AJ225">
            <v>0</v>
          </cell>
          <cell r="AK225">
            <v>5522</v>
          </cell>
          <cell r="AL225">
            <v>102270</v>
          </cell>
          <cell r="AM225">
            <v>56906</v>
          </cell>
          <cell r="AN225">
            <v>0</v>
          </cell>
          <cell r="AO225">
            <v>-112066</v>
          </cell>
          <cell r="AP225">
            <v>3733837</v>
          </cell>
        </row>
        <row r="227">
          <cell r="C227" t="str">
            <v xml:space="preserve"> SOLANO            </v>
          </cell>
          <cell r="D227" t="str">
            <v xml:space="preserve"> SOLANO            </v>
          </cell>
          <cell r="E227">
            <v>280</v>
          </cell>
          <cell r="F227" t="str">
            <v xml:space="preserve"> 2015-2016</v>
          </cell>
          <cell r="G227" t="str">
            <v xml:space="preserve"> 04/15/2016</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t="str">
            <v xml:space="preserve"> </v>
          </cell>
          <cell r="W227">
            <v>0</v>
          </cell>
          <cell r="X227">
            <v>0</v>
          </cell>
          <cell r="Y227">
            <v>0</v>
          </cell>
          <cell r="Z227">
            <v>0</v>
          </cell>
          <cell r="AA227">
            <v>0</v>
          </cell>
          <cell r="AB227">
            <v>10276498</v>
          </cell>
          <cell r="AC227">
            <v>210020</v>
          </cell>
          <cell r="AD227">
            <v>607811</v>
          </cell>
          <cell r="AE227">
            <v>149014</v>
          </cell>
          <cell r="AF227">
            <v>70782</v>
          </cell>
          <cell r="AG227">
            <v>0</v>
          </cell>
          <cell r="AH227">
            <v>0</v>
          </cell>
          <cell r="AI227">
            <v>2604781</v>
          </cell>
          <cell r="AJ227">
            <v>0</v>
          </cell>
          <cell r="AK227">
            <v>0</v>
          </cell>
          <cell r="AL227">
            <v>0</v>
          </cell>
          <cell r="AM227">
            <v>121464</v>
          </cell>
          <cell r="AN227">
            <v>0</v>
          </cell>
          <cell r="AO227">
            <v>790787</v>
          </cell>
          <cell r="AP227">
            <v>14682143</v>
          </cell>
        </row>
        <row r="228">
          <cell r="C228" t="str">
            <v xml:space="preserve"> SOLANO            </v>
          </cell>
          <cell r="D228" t="str">
            <v xml:space="preserve"> YOLO              </v>
          </cell>
          <cell r="E228">
            <v>280</v>
          </cell>
          <cell r="F228" t="str">
            <v xml:space="preserve"> 2015-2016</v>
          </cell>
          <cell r="G228" t="str">
            <v xml:space="preserve"> 04/15/2016</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t="str">
            <v xml:space="preserve"> </v>
          </cell>
          <cell r="W228">
            <v>0</v>
          </cell>
          <cell r="X228">
            <v>0</v>
          </cell>
          <cell r="Y228">
            <v>0</v>
          </cell>
          <cell r="Z228">
            <v>0</v>
          </cell>
          <cell r="AA228">
            <v>0</v>
          </cell>
          <cell r="AB228">
            <v>228341</v>
          </cell>
          <cell r="AC228">
            <v>5734</v>
          </cell>
          <cell r="AD228">
            <v>11700</v>
          </cell>
          <cell r="AE228">
            <v>13600</v>
          </cell>
          <cell r="AF228">
            <v>6460</v>
          </cell>
          <cell r="AG228">
            <v>0</v>
          </cell>
          <cell r="AH228">
            <v>0</v>
          </cell>
          <cell r="AI228">
            <v>15160</v>
          </cell>
          <cell r="AJ228">
            <v>0</v>
          </cell>
          <cell r="AK228">
            <v>175</v>
          </cell>
          <cell r="AL228">
            <v>0</v>
          </cell>
          <cell r="AM228">
            <v>2602</v>
          </cell>
          <cell r="AN228">
            <v>1605</v>
          </cell>
          <cell r="AO228">
            <v>0</v>
          </cell>
          <cell r="AP228">
            <v>271777</v>
          </cell>
        </row>
        <row r="229">
          <cell r="C229" t="str">
            <v xml:space="preserve">SOLANO Subtotal            </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10504839</v>
          </cell>
          <cell r="AC229">
            <v>215754</v>
          </cell>
          <cell r="AD229">
            <v>619511</v>
          </cell>
          <cell r="AE229">
            <v>162614</v>
          </cell>
          <cell r="AF229">
            <v>77242</v>
          </cell>
          <cell r="AG229">
            <v>0</v>
          </cell>
          <cell r="AH229">
            <v>0</v>
          </cell>
          <cell r="AI229">
            <v>2619941</v>
          </cell>
          <cell r="AJ229">
            <v>0</v>
          </cell>
          <cell r="AK229">
            <v>175</v>
          </cell>
          <cell r="AL229">
            <v>0</v>
          </cell>
          <cell r="AM229">
            <v>124066</v>
          </cell>
          <cell r="AN229">
            <v>1605</v>
          </cell>
          <cell r="AO229">
            <v>790787</v>
          </cell>
          <cell r="AP229">
            <v>14953920</v>
          </cell>
        </row>
        <row r="231">
          <cell r="C231" t="str">
            <v xml:space="preserve"> SONOMA</v>
          </cell>
          <cell r="D231" t="str">
            <v xml:space="preserve"> SONOMA            </v>
          </cell>
          <cell r="E231">
            <v>260</v>
          </cell>
          <cell r="F231" t="str">
            <v xml:space="preserve"> 2015-2016</v>
          </cell>
          <cell r="G231" t="str">
            <v xml:space="preserve"> 04/15/2016</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t="str">
            <v xml:space="preserve"> </v>
          </cell>
          <cell r="W231">
            <v>0</v>
          </cell>
          <cell r="X231">
            <v>0</v>
          </cell>
          <cell r="Y231">
            <v>0</v>
          </cell>
          <cell r="Z231">
            <v>0</v>
          </cell>
          <cell r="AA231">
            <v>0</v>
          </cell>
          <cell r="AB231">
            <v>42753613</v>
          </cell>
          <cell r="AC231">
            <v>938709</v>
          </cell>
          <cell r="AD231">
            <v>1220801</v>
          </cell>
          <cell r="AE231">
            <v>820331</v>
          </cell>
          <cell r="AF231">
            <v>389657</v>
          </cell>
          <cell r="AG231">
            <v>0</v>
          </cell>
          <cell r="AH231">
            <v>0</v>
          </cell>
          <cell r="AI231">
            <v>1428637</v>
          </cell>
          <cell r="AJ231">
            <v>1049980</v>
          </cell>
          <cell r="AK231">
            <v>0</v>
          </cell>
          <cell r="AL231">
            <v>9388</v>
          </cell>
          <cell r="AM231">
            <v>358464</v>
          </cell>
          <cell r="AN231">
            <v>0</v>
          </cell>
          <cell r="AO231">
            <v>2561770</v>
          </cell>
          <cell r="AP231">
            <v>50711019</v>
          </cell>
        </row>
        <row r="232">
          <cell r="C232" t="str">
            <v xml:space="preserve"> SONOMA            </v>
          </cell>
          <cell r="D232" t="str">
            <v xml:space="preserve"> MARIN             </v>
          </cell>
          <cell r="E232">
            <v>260</v>
          </cell>
          <cell r="F232" t="str">
            <v xml:space="preserve"> 2015-2016</v>
          </cell>
          <cell r="G232" t="str">
            <v xml:space="preserve"> 04/15/2016</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t="str">
            <v xml:space="preserve"> </v>
          </cell>
          <cell r="W232">
            <v>0</v>
          </cell>
          <cell r="X232">
            <v>0</v>
          </cell>
          <cell r="Y232">
            <v>0</v>
          </cell>
          <cell r="Z232">
            <v>0</v>
          </cell>
          <cell r="AA232">
            <v>0</v>
          </cell>
          <cell r="AB232">
            <v>73373</v>
          </cell>
          <cell r="AC232">
            <v>1688</v>
          </cell>
          <cell r="AD232">
            <v>1375</v>
          </cell>
          <cell r="AE232">
            <v>0</v>
          </cell>
          <cell r="AF232">
            <v>0</v>
          </cell>
          <cell r="AG232">
            <v>0</v>
          </cell>
          <cell r="AH232">
            <v>0</v>
          </cell>
          <cell r="AI232">
            <v>0</v>
          </cell>
          <cell r="AJ232">
            <v>0</v>
          </cell>
          <cell r="AK232">
            <v>86</v>
          </cell>
          <cell r="AL232">
            <v>0</v>
          </cell>
          <cell r="AM232">
            <v>384</v>
          </cell>
          <cell r="AN232">
            <v>0</v>
          </cell>
          <cell r="AO232">
            <v>0</v>
          </cell>
          <cell r="AP232">
            <v>76906</v>
          </cell>
        </row>
        <row r="233">
          <cell r="C233" t="str">
            <v xml:space="preserve"> SONOMA            </v>
          </cell>
          <cell r="D233" t="str">
            <v xml:space="preserve"> MENDOCINO         </v>
          </cell>
          <cell r="E233">
            <v>260</v>
          </cell>
          <cell r="F233" t="str">
            <v xml:space="preserve"> 2015-2016</v>
          </cell>
          <cell r="G233" t="str">
            <v xml:space="preserve"> 04/15/2016</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t="str">
            <v xml:space="preserve"> </v>
          </cell>
          <cell r="W233">
            <v>0</v>
          </cell>
          <cell r="X233">
            <v>0</v>
          </cell>
          <cell r="Y233">
            <v>0</v>
          </cell>
          <cell r="Z233">
            <v>0</v>
          </cell>
          <cell r="AA233">
            <v>0</v>
          </cell>
          <cell r="AB233">
            <v>648083</v>
          </cell>
          <cell r="AC233">
            <v>4269</v>
          </cell>
          <cell r="AD233">
            <v>20813</v>
          </cell>
          <cell r="AE233">
            <v>0</v>
          </cell>
          <cell r="AF233">
            <v>0</v>
          </cell>
          <cell r="AG233">
            <v>0</v>
          </cell>
          <cell r="AH233">
            <v>0</v>
          </cell>
          <cell r="AI233">
            <v>0</v>
          </cell>
          <cell r="AJ233">
            <v>0</v>
          </cell>
          <cell r="AK233">
            <v>253</v>
          </cell>
          <cell r="AL233">
            <v>2375</v>
          </cell>
          <cell r="AM233">
            <v>6187</v>
          </cell>
          <cell r="AN233">
            <v>0</v>
          </cell>
          <cell r="AO233">
            <v>0</v>
          </cell>
          <cell r="AP233">
            <v>681980</v>
          </cell>
        </row>
        <row r="234">
          <cell r="C234" t="str">
            <v xml:space="preserve">SONOMA Subtotal        </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43475069</v>
          </cell>
          <cell r="AC234">
            <v>944666</v>
          </cell>
          <cell r="AD234">
            <v>1242989</v>
          </cell>
          <cell r="AE234">
            <v>820331</v>
          </cell>
          <cell r="AF234">
            <v>389657</v>
          </cell>
          <cell r="AG234">
            <v>0</v>
          </cell>
          <cell r="AH234">
            <v>0</v>
          </cell>
          <cell r="AI234">
            <v>1428637</v>
          </cell>
          <cell r="AJ234">
            <v>1049980</v>
          </cell>
          <cell r="AK234">
            <v>339</v>
          </cell>
          <cell r="AL234">
            <v>11763</v>
          </cell>
          <cell r="AM234">
            <v>365035</v>
          </cell>
          <cell r="AN234">
            <v>0</v>
          </cell>
          <cell r="AO234">
            <v>2561770</v>
          </cell>
          <cell r="AP234">
            <v>51469905</v>
          </cell>
        </row>
        <row r="236">
          <cell r="C236" t="str">
            <v xml:space="preserve"> SOUTH ORANGE CO.</v>
          </cell>
          <cell r="D236" t="str">
            <v xml:space="preserve"> ORANGE            </v>
          </cell>
          <cell r="E236">
            <v>890</v>
          </cell>
          <cell r="F236" t="str">
            <v xml:space="preserve"> 2015-2016</v>
          </cell>
          <cell r="G236" t="str">
            <v xml:space="preserve"> 04/15/2016</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t="str">
            <v xml:space="preserve"> </v>
          </cell>
          <cell r="W236">
            <v>0</v>
          </cell>
          <cell r="X236">
            <v>0</v>
          </cell>
          <cell r="Y236">
            <v>0</v>
          </cell>
          <cell r="Z236">
            <v>0</v>
          </cell>
          <cell r="AA236">
            <v>0</v>
          </cell>
          <cell r="AB236">
            <v>171988558</v>
          </cell>
          <cell r="AC236">
            <v>4114678</v>
          </cell>
          <cell r="AD236">
            <v>5629887</v>
          </cell>
          <cell r="AE236">
            <v>846120</v>
          </cell>
          <cell r="AF236">
            <v>401907</v>
          </cell>
          <cell r="AG236">
            <v>0</v>
          </cell>
          <cell r="AH236">
            <v>0</v>
          </cell>
          <cell r="AI236">
            <v>3149017</v>
          </cell>
          <cell r="AJ236">
            <v>1726</v>
          </cell>
          <cell r="AK236">
            <v>2518832</v>
          </cell>
          <cell r="AL236">
            <v>25</v>
          </cell>
          <cell r="AM236">
            <v>1196303</v>
          </cell>
          <cell r="AN236">
            <v>0</v>
          </cell>
          <cell r="AO236">
            <v>11594457</v>
          </cell>
          <cell r="AP236">
            <v>200595390</v>
          </cell>
        </row>
        <row r="237">
          <cell r="C237" t="str">
            <v>SOUTH ORANGE CO. Subtotal</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171988558</v>
          </cell>
          <cell r="AC237">
            <v>4114678</v>
          </cell>
          <cell r="AD237">
            <v>5629887</v>
          </cell>
          <cell r="AE237">
            <v>846120</v>
          </cell>
          <cell r="AF237">
            <v>401907</v>
          </cell>
          <cell r="AG237">
            <v>0</v>
          </cell>
          <cell r="AH237">
            <v>0</v>
          </cell>
          <cell r="AI237">
            <v>3149017</v>
          </cell>
          <cell r="AJ237">
            <v>1726</v>
          </cell>
          <cell r="AK237">
            <v>2518832</v>
          </cell>
          <cell r="AL237">
            <v>25</v>
          </cell>
          <cell r="AM237">
            <v>1196303</v>
          </cell>
          <cell r="AN237">
            <v>0</v>
          </cell>
          <cell r="AO237">
            <v>11594457</v>
          </cell>
          <cell r="AP237">
            <v>200595390</v>
          </cell>
        </row>
        <row r="239">
          <cell r="C239" t="str">
            <v xml:space="preserve"> SOUTHWESTERN      </v>
          </cell>
          <cell r="D239" t="str">
            <v xml:space="preserve"> SAN DIEGO         </v>
          </cell>
          <cell r="E239">
            <v>90</v>
          </cell>
          <cell r="F239" t="str">
            <v xml:space="preserve"> 2015-2016</v>
          </cell>
          <cell r="G239" t="str">
            <v xml:space="preserve"> 04/15/2016</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t="str">
            <v xml:space="preserve"> </v>
          </cell>
          <cell r="W239">
            <v>0</v>
          </cell>
          <cell r="X239">
            <v>0</v>
          </cell>
          <cell r="Y239">
            <v>0</v>
          </cell>
          <cell r="Z239">
            <v>0</v>
          </cell>
          <cell r="AA239">
            <v>0</v>
          </cell>
          <cell r="AB239">
            <v>21950924</v>
          </cell>
          <cell r="AC239">
            <v>455540</v>
          </cell>
          <cell r="AD239">
            <v>710507</v>
          </cell>
          <cell r="AE239">
            <v>322793</v>
          </cell>
          <cell r="AF239">
            <v>153327</v>
          </cell>
          <cell r="AG239">
            <v>0</v>
          </cell>
          <cell r="AH239">
            <v>0</v>
          </cell>
          <cell r="AI239">
            <v>467448</v>
          </cell>
          <cell r="AJ239">
            <v>0</v>
          </cell>
          <cell r="AK239">
            <v>-11890</v>
          </cell>
          <cell r="AL239">
            <v>0</v>
          </cell>
          <cell r="AM239">
            <v>176345</v>
          </cell>
          <cell r="AN239">
            <v>0</v>
          </cell>
          <cell r="AO239">
            <v>-868897</v>
          </cell>
          <cell r="AP239">
            <v>23033304</v>
          </cell>
        </row>
        <row r="240">
          <cell r="C240" t="str">
            <v xml:space="preserve">SOUTHWESTERN Subtotal     </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21950924</v>
          </cell>
          <cell r="AC240">
            <v>455540</v>
          </cell>
          <cell r="AD240">
            <v>710507</v>
          </cell>
          <cell r="AE240">
            <v>322793</v>
          </cell>
          <cell r="AF240">
            <v>153327</v>
          </cell>
          <cell r="AG240">
            <v>0</v>
          </cell>
          <cell r="AH240">
            <v>0</v>
          </cell>
          <cell r="AI240">
            <v>467448</v>
          </cell>
          <cell r="AJ240">
            <v>0</v>
          </cell>
          <cell r="AK240">
            <v>-11890</v>
          </cell>
          <cell r="AL240">
            <v>0</v>
          </cell>
          <cell r="AM240">
            <v>176345</v>
          </cell>
          <cell r="AN240">
            <v>0</v>
          </cell>
          <cell r="AO240">
            <v>-868897</v>
          </cell>
          <cell r="AP240">
            <v>23033304</v>
          </cell>
        </row>
        <row r="242">
          <cell r="C242" t="str">
            <v xml:space="preserve"> STATE CENTER      </v>
          </cell>
          <cell r="D242" t="str">
            <v xml:space="preserve"> FRESNO            </v>
          </cell>
          <cell r="E242">
            <v>570</v>
          </cell>
          <cell r="F242" t="str">
            <v xml:space="preserve"> 2015-2016</v>
          </cell>
          <cell r="G242" t="str">
            <v xml:space="preserve"> 04/15/2016</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t="str">
            <v xml:space="preserve"> </v>
          </cell>
          <cell r="W242">
            <v>0</v>
          </cell>
          <cell r="X242">
            <v>0</v>
          </cell>
          <cell r="Y242">
            <v>0</v>
          </cell>
          <cell r="Z242">
            <v>0</v>
          </cell>
          <cell r="AA242">
            <v>0</v>
          </cell>
          <cell r="AB242">
            <v>29791584</v>
          </cell>
          <cell r="AC242">
            <v>340604</v>
          </cell>
          <cell r="AD242">
            <v>1466025</v>
          </cell>
          <cell r="AE242">
            <v>174741</v>
          </cell>
          <cell r="AF242">
            <v>83002</v>
          </cell>
          <cell r="AG242">
            <v>0</v>
          </cell>
          <cell r="AH242">
            <v>0</v>
          </cell>
          <cell r="AI242">
            <v>1674980</v>
          </cell>
          <cell r="AJ242">
            <v>0</v>
          </cell>
          <cell r="AK242">
            <v>15125</v>
          </cell>
          <cell r="AL242">
            <v>1555</v>
          </cell>
          <cell r="AM242">
            <v>332934</v>
          </cell>
          <cell r="AN242">
            <v>0</v>
          </cell>
          <cell r="AO242">
            <v>-2369869</v>
          </cell>
          <cell r="AP242">
            <v>31335940</v>
          </cell>
        </row>
        <row r="243">
          <cell r="C243" t="str">
            <v xml:space="preserve"> STATE CENTER      </v>
          </cell>
          <cell r="D243" t="str">
            <v xml:space="preserve"> KINGS             </v>
          </cell>
          <cell r="E243">
            <v>570</v>
          </cell>
          <cell r="F243" t="str">
            <v xml:space="preserve"> 2015-2016</v>
          </cell>
          <cell r="G243" t="str">
            <v xml:space="preserve"> 04/15/2016</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t="str">
            <v xml:space="preserve"> </v>
          </cell>
          <cell r="W243">
            <v>0</v>
          </cell>
          <cell r="X243">
            <v>0</v>
          </cell>
          <cell r="Y243">
            <v>0</v>
          </cell>
          <cell r="Z243">
            <v>0</v>
          </cell>
          <cell r="AA243">
            <v>0</v>
          </cell>
          <cell r="AB243">
            <v>52861</v>
          </cell>
          <cell r="AC243">
            <v>288</v>
          </cell>
          <cell r="AD243">
            <v>2354</v>
          </cell>
          <cell r="AE243">
            <v>0</v>
          </cell>
          <cell r="AF243">
            <v>0</v>
          </cell>
          <cell r="AG243">
            <v>0</v>
          </cell>
          <cell r="AH243">
            <v>0</v>
          </cell>
          <cell r="AI243">
            <v>0</v>
          </cell>
          <cell r="AJ243">
            <v>0</v>
          </cell>
          <cell r="AK243">
            <v>674</v>
          </cell>
          <cell r="AL243">
            <v>0</v>
          </cell>
          <cell r="AM243">
            <v>660</v>
          </cell>
          <cell r="AN243">
            <v>0</v>
          </cell>
          <cell r="AO243">
            <v>-23508</v>
          </cell>
          <cell r="AP243">
            <v>33329</v>
          </cell>
        </row>
        <row r="244">
          <cell r="C244" t="str">
            <v xml:space="preserve"> STATE CENTER      </v>
          </cell>
          <cell r="D244" t="str">
            <v xml:space="preserve"> MADERA            </v>
          </cell>
          <cell r="E244">
            <v>570</v>
          </cell>
          <cell r="F244" t="str">
            <v xml:space="preserve"> 2015-2016</v>
          </cell>
          <cell r="G244" t="str">
            <v xml:space="preserve"> 04/15/2016</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t="str">
            <v xml:space="preserve"> </v>
          </cell>
          <cell r="W244">
            <v>0</v>
          </cell>
          <cell r="X244">
            <v>0</v>
          </cell>
          <cell r="Y244">
            <v>0</v>
          </cell>
          <cell r="Z244">
            <v>0</v>
          </cell>
          <cell r="AA244">
            <v>0</v>
          </cell>
          <cell r="AB244">
            <v>7416997</v>
          </cell>
          <cell r="AC244">
            <v>0</v>
          </cell>
          <cell r="AD244">
            <v>274628</v>
          </cell>
          <cell r="AE244">
            <v>42685</v>
          </cell>
          <cell r="AF244">
            <v>20275</v>
          </cell>
          <cell r="AG244">
            <v>0</v>
          </cell>
          <cell r="AH244">
            <v>0</v>
          </cell>
          <cell r="AI244">
            <v>76595</v>
          </cell>
          <cell r="AJ244">
            <v>0</v>
          </cell>
          <cell r="AK244">
            <v>0</v>
          </cell>
          <cell r="AL244">
            <v>0</v>
          </cell>
          <cell r="AM244">
            <v>79836</v>
          </cell>
          <cell r="AN244">
            <v>0</v>
          </cell>
          <cell r="AO244">
            <v>0</v>
          </cell>
          <cell r="AP244">
            <v>7868331</v>
          </cell>
        </row>
        <row r="245">
          <cell r="C245" t="str">
            <v xml:space="preserve"> STATE CENTER      </v>
          </cell>
          <cell r="D245" t="str">
            <v xml:space="preserve"> TULARE            </v>
          </cell>
          <cell r="E245">
            <v>570</v>
          </cell>
          <cell r="F245" t="str">
            <v xml:space="preserve"> 2015-2016</v>
          </cell>
          <cell r="G245" t="str">
            <v xml:space="preserve"> 04/15/2016</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t="str">
            <v xml:space="preserve"> </v>
          </cell>
          <cell r="W245">
            <v>0</v>
          </cell>
          <cell r="X245">
            <v>0</v>
          </cell>
          <cell r="Y245">
            <v>0</v>
          </cell>
          <cell r="Z245">
            <v>0</v>
          </cell>
          <cell r="AA245">
            <v>0</v>
          </cell>
          <cell r="AB245">
            <v>675105</v>
          </cell>
          <cell r="AC245">
            <v>7597</v>
          </cell>
          <cell r="AD245">
            <v>37750</v>
          </cell>
          <cell r="AE245">
            <v>46914</v>
          </cell>
          <cell r="AF245">
            <v>22284</v>
          </cell>
          <cell r="AG245">
            <v>0</v>
          </cell>
          <cell r="AH245">
            <v>0</v>
          </cell>
          <cell r="AI245">
            <v>10998</v>
          </cell>
          <cell r="AJ245">
            <v>0</v>
          </cell>
          <cell r="AK245">
            <v>0</v>
          </cell>
          <cell r="AL245">
            <v>0</v>
          </cell>
          <cell r="AM245">
            <v>7184</v>
          </cell>
          <cell r="AN245">
            <v>0</v>
          </cell>
          <cell r="AO245">
            <v>-75120</v>
          </cell>
          <cell r="AP245">
            <v>685798</v>
          </cell>
        </row>
        <row r="246">
          <cell r="C246" t="str">
            <v xml:space="preserve">STATE CENTER Subtotal     </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37936547</v>
          </cell>
          <cell r="AC246">
            <v>348489</v>
          </cell>
          <cell r="AD246">
            <v>1780757</v>
          </cell>
          <cell r="AE246">
            <v>264340</v>
          </cell>
          <cell r="AF246">
            <v>125561</v>
          </cell>
          <cell r="AG246">
            <v>0</v>
          </cell>
          <cell r="AH246">
            <v>0</v>
          </cell>
          <cell r="AI246">
            <v>1762573</v>
          </cell>
          <cell r="AJ246">
            <v>0</v>
          </cell>
          <cell r="AK246">
            <v>15799</v>
          </cell>
          <cell r="AL246">
            <v>1555</v>
          </cell>
          <cell r="AM246">
            <v>420614</v>
          </cell>
          <cell r="AN246">
            <v>0</v>
          </cell>
          <cell r="AO246">
            <v>-2468497</v>
          </cell>
          <cell r="AP246">
            <v>39923398</v>
          </cell>
        </row>
        <row r="248">
          <cell r="C248" t="str">
            <v xml:space="preserve"> VENTURA           </v>
          </cell>
          <cell r="D248" t="str">
            <v xml:space="preserve"> VENTURA           </v>
          </cell>
          <cell r="E248">
            <v>680</v>
          </cell>
          <cell r="F248" t="str">
            <v xml:space="preserve"> 2015-2016</v>
          </cell>
          <cell r="G248" t="str">
            <v xml:space="preserve"> 04/15/2016</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t="str">
            <v xml:space="preserve"> </v>
          </cell>
          <cell r="W248">
            <v>0</v>
          </cell>
          <cell r="X248">
            <v>0</v>
          </cell>
          <cell r="Y248">
            <v>0</v>
          </cell>
          <cell r="Z248">
            <v>0</v>
          </cell>
          <cell r="AA248">
            <v>0</v>
          </cell>
          <cell r="AB248">
            <v>52862946</v>
          </cell>
          <cell r="AC248">
            <v>693583</v>
          </cell>
          <cell r="AD248">
            <v>1511935</v>
          </cell>
          <cell r="AE248">
            <v>1688274</v>
          </cell>
          <cell r="AF248">
            <v>801930</v>
          </cell>
          <cell r="AG248">
            <v>0</v>
          </cell>
          <cell r="AH248">
            <v>0</v>
          </cell>
          <cell r="AI248">
            <v>1739226</v>
          </cell>
          <cell r="AJ248">
            <v>1675</v>
          </cell>
          <cell r="AK248">
            <v>93320</v>
          </cell>
          <cell r="AL248">
            <v>38</v>
          </cell>
          <cell r="AM248">
            <v>457011</v>
          </cell>
          <cell r="AN248">
            <v>2692</v>
          </cell>
          <cell r="AO248">
            <v>1463797</v>
          </cell>
          <cell r="AP248">
            <v>59628153</v>
          </cell>
        </row>
        <row r="249">
          <cell r="C249" t="str">
            <v xml:space="preserve">VENTURA Subtotal           </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52862946</v>
          </cell>
          <cell r="AC249">
            <v>693583</v>
          </cell>
          <cell r="AD249">
            <v>1511935</v>
          </cell>
          <cell r="AE249">
            <v>1688274</v>
          </cell>
          <cell r="AF249">
            <v>801930</v>
          </cell>
          <cell r="AG249">
            <v>0</v>
          </cell>
          <cell r="AH249">
            <v>0</v>
          </cell>
          <cell r="AI249">
            <v>1739226</v>
          </cell>
          <cell r="AJ249">
            <v>1675</v>
          </cell>
          <cell r="AK249">
            <v>93320</v>
          </cell>
          <cell r="AL249">
            <v>38</v>
          </cell>
          <cell r="AM249">
            <v>457011</v>
          </cell>
          <cell r="AN249">
            <v>2692</v>
          </cell>
          <cell r="AO249">
            <v>1463797</v>
          </cell>
          <cell r="AP249">
            <v>59628153</v>
          </cell>
        </row>
        <row r="251">
          <cell r="C251" t="str">
            <v xml:space="preserve"> VICTOR VALLEY     </v>
          </cell>
          <cell r="D251" t="str">
            <v xml:space="preserve"> LOS ANGELES       </v>
          </cell>
          <cell r="E251">
            <v>990</v>
          </cell>
          <cell r="F251" t="str">
            <v xml:space="preserve"> 2015-2016</v>
          </cell>
          <cell r="G251" t="str">
            <v xml:space="preserve"> 04/15/2016</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t="str">
            <v xml:space="preserve"> </v>
          </cell>
          <cell r="W251">
            <v>0</v>
          </cell>
          <cell r="X251">
            <v>0</v>
          </cell>
          <cell r="Y251">
            <v>0</v>
          </cell>
          <cell r="Z251">
            <v>0</v>
          </cell>
          <cell r="AA251">
            <v>0</v>
          </cell>
          <cell r="AB251">
            <v>19296</v>
          </cell>
          <cell r="AC251">
            <v>459</v>
          </cell>
          <cell r="AD251">
            <v>662</v>
          </cell>
          <cell r="AE251">
            <v>0</v>
          </cell>
          <cell r="AF251">
            <v>0</v>
          </cell>
          <cell r="AG251">
            <v>0</v>
          </cell>
          <cell r="AH251">
            <v>0</v>
          </cell>
          <cell r="AI251">
            <v>0</v>
          </cell>
          <cell r="AJ251">
            <v>0</v>
          </cell>
          <cell r="AK251">
            <v>597</v>
          </cell>
          <cell r="AL251">
            <v>0</v>
          </cell>
          <cell r="AM251">
            <v>121</v>
          </cell>
          <cell r="AN251">
            <v>0</v>
          </cell>
          <cell r="AO251">
            <v>0</v>
          </cell>
          <cell r="AP251">
            <v>21135</v>
          </cell>
        </row>
        <row r="252">
          <cell r="C252" t="str">
            <v xml:space="preserve"> VICTOR VALLEY     </v>
          </cell>
          <cell r="D252" t="str">
            <v xml:space="preserve"> SAN BERNARDINO    </v>
          </cell>
          <cell r="E252">
            <v>990</v>
          </cell>
          <cell r="F252" t="str">
            <v xml:space="preserve"> 2015-2016</v>
          </cell>
          <cell r="G252" t="str">
            <v xml:space="preserve"> 04/15/2016</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t="str">
            <v xml:space="preserve"> </v>
          </cell>
          <cell r="W252">
            <v>0</v>
          </cell>
          <cell r="X252">
            <v>0</v>
          </cell>
          <cell r="Y252">
            <v>0</v>
          </cell>
          <cell r="Z252">
            <v>0</v>
          </cell>
          <cell r="AA252">
            <v>0</v>
          </cell>
          <cell r="AB252">
            <v>11591537</v>
          </cell>
          <cell r="AC252">
            <v>222756</v>
          </cell>
          <cell r="AD252">
            <v>447052</v>
          </cell>
          <cell r="AE252">
            <v>213099</v>
          </cell>
          <cell r="AF252">
            <v>101222</v>
          </cell>
          <cell r="AG252">
            <v>0</v>
          </cell>
          <cell r="AH252">
            <v>0</v>
          </cell>
          <cell r="AI252">
            <v>410762</v>
          </cell>
          <cell r="AJ252">
            <v>0</v>
          </cell>
          <cell r="AK252">
            <v>14330</v>
          </cell>
          <cell r="AL252">
            <v>0</v>
          </cell>
          <cell r="AM252">
            <v>124652</v>
          </cell>
          <cell r="AN252">
            <v>0</v>
          </cell>
          <cell r="AO252">
            <v>-3314459</v>
          </cell>
          <cell r="AP252">
            <v>9597852</v>
          </cell>
        </row>
        <row r="253">
          <cell r="C253" t="str">
            <v>VICTOR VALLEY Subtotal</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11610833</v>
          </cell>
          <cell r="AC253">
            <v>223215</v>
          </cell>
          <cell r="AD253">
            <v>447714</v>
          </cell>
          <cell r="AE253">
            <v>213099</v>
          </cell>
          <cell r="AF253">
            <v>101222</v>
          </cell>
          <cell r="AG253">
            <v>0</v>
          </cell>
          <cell r="AH253">
            <v>0</v>
          </cell>
          <cell r="AI253">
            <v>410762</v>
          </cell>
          <cell r="AJ253">
            <v>0</v>
          </cell>
          <cell r="AK253">
            <v>14927</v>
          </cell>
          <cell r="AL253">
            <v>0</v>
          </cell>
          <cell r="AM253">
            <v>124773</v>
          </cell>
          <cell r="AN253">
            <v>0</v>
          </cell>
          <cell r="AO253">
            <v>-3314459</v>
          </cell>
          <cell r="AP253">
            <v>9618987</v>
          </cell>
        </row>
        <row r="255">
          <cell r="C255" t="str">
            <v xml:space="preserve"> WEST HILLS        </v>
          </cell>
          <cell r="D255" t="str">
            <v xml:space="preserve"> FRESNO            </v>
          </cell>
          <cell r="E255">
            <v>580</v>
          </cell>
          <cell r="F255" t="str">
            <v xml:space="preserve"> 2015-2016</v>
          </cell>
          <cell r="G255" t="str">
            <v xml:space="preserve"> 04/15/2016</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t="str">
            <v xml:space="preserve"> </v>
          </cell>
          <cell r="W255">
            <v>0</v>
          </cell>
          <cell r="X255">
            <v>0</v>
          </cell>
          <cell r="Y255">
            <v>0</v>
          </cell>
          <cell r="Z255">
            <v>0</v>
          </cell>
          <cell r="AA255">
            <v>0</v>
          </cell>
          <cell r="AB255">
            <v>3818886</v>
          </cell>
          <cell r="AC255">
            <v>48694</v>
          </cell>
          <cell r="AD255">
            <v>213441</v>
          </cell>
          <cell r="AE255">
            <v>19839</v>
          </cell>
          <cell r="AF255">
            <v>9424</v>
          </cell>
          <cell r="AG255">
            <v>0</v>
          </cell>
          <cell r="AH255">
            <v>0</v>
          </cell>
          <cell r="AI255">
            <v>206083</v>
          </cell>
          <cell r="AJ255">
            <v>0</v>
          </cell>
          <cell r="AK255">
            <v>2194</v>
          </cell>
          <cell r="AL255">
            <v>0</v>
          </cell>
          <cell r="AM255">
            <v>48360</v>
          </cell>
          <cell r="AN255">
            <v>0</v>
          </cell>
          <cell r="AO255">
            <v>-303519</v>
          </cell>
          <cell r="AP255">
            <v>4043563</v>
          </cell>
        </row>
        <row r="256">
          <cell r="C256" t="str">
            <v xml:space="preserve"> WEST HILLS        </v>
          </cell>
          <cell r="D256" t="str">
            <v xml:space="preserve"> KINGS             </v>
          </cell>
          <cell r="E256">
            <v>580</v>
          </cell>
          <cell r="F256" t="str">
            <v xml:space="preserve"> 2015-2016</v>
          </cell>
          <cell r="G256" t="str">
            <v xml:space="preserve"> 04/15/2016</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t="str">
            <v xml:space="preserve"> </v>
          </cell>
          <cell r="W256">
            <v>0</v>
          </cell>
          <cell r="X256">
            <v>0</v>
          </cell>
          <cell r="Y256">
            <v>0</v>
          </cell>
          <cell r="Z256">
            <v>0</v>
          </cell>
          <cell r="AA256">
            <v>0</v>
          </cell>
          <cell r="AB256">
            <v>997999</v>
          </cell>
          <cell r="AC256">
            <v>5442</v>
          </cell>
          <cell r="AD256">
            <v>44495</v>
          </cell>
          <cell r="AE256">
            <v>58000</v>
          </cell>
          <cell r="AF256">
            <v>27550</v>
          </cell>
          <cell r="AG256">
            <v>0</v>
          </cell>
          <cell r="AH256">
            <v>0</v>
          </cell>
          <cell r="AI256">
            <v>259229</v>
          </cell>
          <cell r="AJ256">
            <v>0</v>
          </cell>
          <cell r="AK256">
            <v>12745</v>
          </cell>
          <cell r="AL256">
            <v>0</v>
          </cell>
          <cell r="AM256">
            <v>12462</v>
          </cell>
          <cell r="AN256">
            <v>0</v>
          </cell>
          <cell r="AO256">
            <v>-444400</v>
          </cell>
          <cell r="AP256">
            <v>915522</v>
          </cell>
        </row>
        <row r="257">
          <cell r="C257" t="str">
            <v xml:space="preserve"> WEST HILLS        </v>
          </cell>
          <cell r="D257" t="str">
            <v xml:space="preserve"> MADERA            </v>
          </cell>
          <cell r="E257">
            <v>580</v>
          </cell>
          <cell r="F257" t="str">
            <v xml:space="preserve"> 2015-2016</v>
          </cell>
          <cell r="G257" t="str">
            <v xml:space="preserve"> 04/15/2016</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t="str">
            <v xml:space="preserve"> </v>
          </cell>
          <cell r="W257">
            <v>0</v>
          </cell>
          <cell r="X257">
            <v>0</v>
          </cell>
          <cell r="Y257">
            <v>0</v>
          </cell>
          <cell r="Z257">
            <v>0</v>
          </cell>
          <cell r="AA257">
            <v>0</v>
          </cell>
          <cell r="AB257">
            <v>373639</v>
          </cell>
          <cell r="AC257">
            <v>0</v>
          </cell>
          <cell r="AD257">
            <v>15933</v>
          </cell>
          <cell r="AE257">
            <v>0</v>
          </cell>
          <cell r="AF257">
            <v>0</v>
          </cell>
          <cell r="AG257">
            <v>0</v>
          </cell>
          <cell r="AH257">
            <v>0</v>
          </cell>
          <cell r="AI257">
            <v>0</v>
          </cell>
          <cell r="AJ257">
            <v>0</v>
          </cell>
          <cell r="AK257">
            <v>0</v>
          </cell>
          <cell r="AL257">
            <v>0</v>
          </cell>
          <cell r="AM257">
            <v>3900</v>
          </cell>
          <cell r="AN257">
            <v>0</v>
          </cell>
          <cell r="AO257">
            <v>0</v>
          </cell>
          <cell r="AP257">
            <v>393472</v>
          </cell>
        </row>
        <row r="258">
          <cell r="C258" t="str">
            <v xml:space="preserve"> WEST HILLS        </v>
          </cell>
          <cell r="D258" t="str">
            <v xml:space="preserve"> MONTEREY          </v>
          </cell>
          <cell r="E258">
            <v>580</v>
          </cell>
          <cell r="F258" t="str">
            <v xml:space="preserve"> 2015-2016</v>
          </cell>
          <cell r="G258" t="str">
            <v xml:space="preserve"> 04/15/2016</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t="str">
            <v xml:space="preserve"> </v>
          </cell>
          <cell r="W258">
            <v>0</v>
          </cell>
          <cell r="X258">
            <v>0</v>
          </cell>
          <cell r="Y258">
            <v>0</v>
          </cell>
          <cell r="Z258">
            <v>0</v>
          </cell>
          <cell r="AA258">
            <v>0</v>
          </cell>
          <cell r="AB258">
            <v>7892</v>
          </cell>
          <cell r="AC258">
            <v>87</v>
          </cell>
          <cell r="AD258">
            <v>319</v>
          </cell>
          <cell r="AE258">
            <v>0</v>
          </cell>
          <cell r="AF258">
            <v>0</v>
          </cell>
          <cell r="AG258">
            <v>0</v>
          </cell>
          <cell r="AH258">
            <v>0</v>
          </cell>
          <cell r="AI258">
            <v>0</v>
          </cell>
          <cell r="AJ258">
            <v>0</v>
          </cell>
          <cell r="AK258">
            <v>72</v>
          </cell>
          <cell r="AL258">
            <v>0</v>
          </cell>
          <cell r="AM258">
            <v>46</v>
          </cell>
          <cell r="AN258">
            <v>0</v>
          </cell>
          <cell r="AO258">
            <v>0</v>
          </cell>
          <cell r="AP258">
            <v>8416</v>
          </cell>
        </row>
        <row r="259">
          <cell r="C259" t="str">
            <v xml:space="preserve"> WEST HILLS        </v>
          </cell>
          <cell r="D259" t="str">
            <v xml:space="preserve"> SAN BENITO        </v>
          </cell>
          <cell r="E259">
            <v>580</v>
          </cell>
          <cell r="F259" t="str">
            <v xml:space="preserve"> 2015-2016</v>
          </cell>
          <cell r="G259" t="str">
            <v xml:space="preserve"> 04/15/2016</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t="str">
            <v xml:space="preserve"> </v>
          </cell>
          <cell r="W259">
            <v>0</v>
          </cell>
          <cell r="X259">
            <v>0</v>
          </cell>
          <cell r="Y259">
            <v>0</v>
          </cell>
          <cell r="Z259">
            <v>0</v>
          </cell>
          <cell r="AA259">
            <v>0</v>
          </cell>
          <cell r="AB259">
            <v>1411</v>
          </cell>
          <cell r="AC259">
            <v>15</v>
          </cell>
          <cell r="AD259">
            <v>66</v>
          </cell>
          <cell r="AE259">
            <v>0</v>
          </cell>
          <cell r="AF259">
            <v>0</v>
          </cell>
          <cell r="AG259">
            <v>0</v>
          </cell>
          <cell r="AH259">
            <v>0</v>
          </cell>
          <cell r="AI259">
            <v>0</v>
          </cell>
          <cell r="AJ259">
            <v>0</v>
          </cell>
          <cell r="AK259">
            <v>0</v>
          </cell>
          <cell r="AL259">
            <v>0</v>
          </cell>
          <cell r="AM259">
            <v>13</v>
          </cell>
          <cell r="AN259">
            <v>0</v>
          </cell>
          <cell r="AO259">
            <v>0</v>
          </cell>
          <cell r="AP259">
            <v>1505</v>
          </cell>
        </row>
        <row r="260">
          <cell r="C260" t="str">
            <v>WEST HILLS Subtotal</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5199827</v>
          </cell>
          <cell r="AC260">
            <v>54238</v>
          </cell>
          <cell r="AD260">
            <v>274254</v>
          </cell>
          <cell r="AE260">
            <v>77839</v>
          </cell>
          <cell r="AF260">
            <v>36974</v>
          </cell>
          <cell r="AG260">
            <v>0</v>
          </cell>
          <cell r="AH260">
            <v>0</v>
          </cell>
          <cell r="AI260">
            <v>465312</v>
          </cell>
          <cell r="AJ260">
            <v>0</v>
          </cell>
          <cell r="AK260">
            <v>15011</v>
          </cell>
          <cell r="AL260">
            <v>0</v>
          </cell>
          <cell r="AM260">
            <v>64781</v>
          </cell>
          <cell r="AN260">
            <v>0</v>
          </cell>
          <cell r="AO260">
            <v>-747919</v>
          </cell>
          <cell r="AP260">
            <v>5362478</v>
          </cell>
        </row>
        <row r="262">
          <cell r="C262" t="str">
            <v xml:space="preserve"> WEST KERN         </v>
          </cell>
          <cell r="D262" t="str">
            <v xml:space="preserve"> KERN              </v>
          </cell>
          <cell r="E262">
            <v>690</v>
          </cell>
          <cell r="F262" t="str">
            <v xml:space="preserve"> 2015-2016</v>
          </cell>
          <cell r="G262" t="str">
            <v xml:space="preserve"> 04/15/2016</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t="str">
            <v xml:space="preserve"> </v>
          </cell>
          <cell r="W262">
            <v>0</v>
          </cell>
          <cell r="X262">
            <v>0</v>
          </cell>
          <cell r="Y262">
            <v>0</v>
          </cell>
          <cell r="Z262">
            <v>0</v>
          </cell>
          <cell r="AA262">
            <v>0</v>
          </cell>
          <cell r="AB262">
            <v>7372423</v>
          </cell>
          <cell r="AC262">
            <v>122590</v>
          </cell>
          <cell r="AD262">
            <v>754462</v>
          </cell>
          <cell r="AE262">
            <v>0</v>
          </cell>
          <cell r="AF262">
            <v>0</v>
          </cell>
          <cell r="AG262">
            <v>0</v>
          </cell>
          <cell r="AH262">
            <v>0</v>
          </cell>
          <cell r="AI262">
            <v>0</v>
          </cell>
          <cell r="AJ262">
            <v>0</v>
          </cell>
          <cell r="AK262">
            <v>2770826</v>
          </cell>
          <cell r="AL262">
            <v>0</v>
          </cell>
          <cell r="AM262">
            <v>66165</v>
          </cell>
          <cell r="AN262">
            <v>0</v>
          </cell>
          <cell r="AO262">
            <v>0</v>
          </cell>
          <cell r="AP262">
            <v>11086466</v>
          </cell>
        </row>
        <row r="263">
          <cell r="C263" t="str">
            <v xml:space="preserve">WEST KERN Subtotal       </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7372423</v>
          </cell>
          <cell r="AC263">
            <v>122590</v>
          </cell>
          <cell r="AD263">
            <v>754462</v>
          </cell>
          <cell r="AE263">
            <v>0</v>
          </cell>
          <cell r="AF263">
            <v>0</v>
          </cell>
          <cell r="AG263">
            <v>0</v>
          </cell>
          <cell r="AH263">
            <v>0</v>
          </cell>
          <cell r="AI263">
            <v>0</v>
          </cell>
          <cell r="AJ263">
            <v>0</v>
          </cell>
          <cell r="AK263">
            <v>2770826</v>
          </cell>
          <cell r="AL263">
            <v>0</v>
          </cell>
          <cell r="AM263">
            <v>66165</v>
          </cell>
          <cell r="AN263">
            <v>0</v>
          </cell>
          <cell r="AO263">
            <v>0</v>
          </cell>
          <cell r="AP263">
            <v>11086466</v>
          </cell>
        </row>
        <row r="265">
          <cell r="C265" t="str">
            <v xml:space="preserve"> WEST VALLEY       </v>
          </cell>
          <cell r="D265" t="str">
            <v xml:space="preserve"> SANTA CLARA       </v>
          </cell>
          <cell r="E265">
            <v>490</v>
          </cell>
          <cell r="F265" t="str">
            <v xml:space="preserve"> 2015-2016</v>
          </cell>
          <cell r="G265" t="str">
            <v xml:space="preserve"> 04/15/2016</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t="str">
            <v xml:space="preserve"> </v>
          </cell>
          <cell r="W265">
            <v>0</v>
          </cell>
          <cell r="X265">
            <v>0</v>
          </cell>
          <cell r="Y265">
            <v>0</v>
          </cell>
          <cell r="Z265">
            <v>0</v>
          </cell>
          <cell r="AA265">
            <v>0</v>
          </cell>
          <cell r="AB265">
            <v>76490779</v>
          </cell>
          <cell r="AC265">
            <v>2605000</v>
          </cell>
          <cell r="AD265">
            <v>7007936</v>
          </cell>
          <cell r="AE265">
            <v>2395800</v>
          </cell>
          <cell r="AF265">
            <v>1138005</v>
          </cell>
          <cell r="AG265">
            <v>0</v>
          </cell>
          <cell r="AH265">
            <v>0</v>
          </cell>
          <cell r="AI265">
            <v>6114461</v>
          </cell>
          <cell r="AJ265">
            <v>877576</v>
          </cell>
          <cell r="AK265">
            <v>0</v>
          </cell>
          <cell r="AL265">
            <v>71</v>
          </cell>
          <cell r="AM265">
            <v>504522</v>
          </cell>
          <cell r="AN265">
            <v>0</v>
          </cell>
          <cell r="AO265">
            <v>0</v>
          </cell>
          <cell r="AP265">
            <v>94738350</v>
          </cell>
        </row>
        <row r="266">
          <cell r="C266" t="str">
            <v xml:space="preserve"> WEST VALLEY       </v>
          </cell>
          <cell r="D266" t="str">
            <v xml:space="preserve"> SANTA CRUZ        </v>
          </cell>
          <cell r="E266">
            <v>490</v>
          </cell>
          <cell r="F266" t="str">
            <v xml:space="preserve"> 2015-2016</v>
          </cell>
          <cell r="G266" t="str">
            <v xml:space="preserve"> 04/15/2016</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t="str">
            <v xml:space="preserve"> </v>
          </cell>
          <cell r="W266">
            <v>0</v>
          </cell>
          <cell r="X266">
            <v>0</v>
          </cell>
          <cell r="Y266">
            <v>0</v>
          </cell>
          <cell r="Z266">
            <v>0</v>
          </cell>
          <cell r="AA266">
            <v>0</v>
          </cell>
          <cell r="AB266">
            <v>1040789</v>
          </cell>
          <cell r="AC266">
            <v>0</v>
          </cell>
          <cell r="AD266">
            <v>20740</v>
          </cell>
          <cell r="AE266">
            <v>0</v>
          </cell>
          <cell r="AF266">
            <v>0</v>
          </cell>
          <cell r="AG266">
            <v>0</v>
          </cell>
          <cell r="AH266">
            <v>0</v>
          </cell>
          <cell r="AI266">
            <v>0</v>
          </cell>
          <cell r="AJ266">
            <v>0</v>
          </cell>
          <cell r="AK266">
            <v>3472</v>
          </cell>
          <cell r="AL266">
            <v>0</v>
          </cell>
          <cell r="AM266">
            <v>7554</v>
          </cell>
          <cell r="AN266">
            <v>0</v>
          </cell>
          <cell r="AO266">
            <v>0</v>
          </cell>
          <cell r="AP266">
            <v>1072555</v>
          </cell>
        </row>
        <row r="267">
          <cell r="C267" t="str">
            <v xml:space="preserve">WEST VALLEY Subtotal       </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77531568</v>
          </cell>
          <cell r="AC267">
            <v>2605000</v>
          </cell>
          <cell r="AD267">
            <v>7028676</v>
          </cell>
          <cell r="AE267">
            <v>2395800</v>
          </cell>
          <cell r="AF267">
            <v>1138005</v>
          </cell>
          <cell r="AG267">
            <v>0</v>
          </cell>
          <cell r="AH267">
            <v>0</v>
          </cell>
          <cell r="AI267">
            <v>6114461</v>
          </cell>
          <cell r="AJ267">
            <v>877576</v>
          </cell>
          <cell r="AK267">
            <v>3472</v>
          </cell>
          <cell r="AL267">
            <v>71</v>
          </cell>
          <cell r="AM267">
            <v>512076</v>
          </cell>
          <cell r="AN267">
            <v>0</v>
          </cell>
          <cell r="AO267">
            <v>0</v>
          </cell>
          <cell r="AP267">
            <v>95810905</v>
          </cell>
        </row>
        <row r="269">
          <cell r="C269" t="str">
            <v xml:space="preserve"> YOSEMITE          </v>
          </cell>
          <cell r="D269" t="str">
            <v xml:space="preserve"> CALAVERAS         </v>
          </cell>
          <cell r="E269">
            <v>590</v>
          </cell>
          <cell r="F269" t="str">
            <v xml:space="preserve"> 2015-2016</v>
          </cell>
          <cell r="G269" t="str">
            <v xml:space="preserve"> 04/15/2016</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t="str">
            <v xml:space="preserve"> </v>
          </cell>
          <cell r="W269">
            <v>0</v>
          </cell>
          <cell r="X269">
            <v>0</v>
          </cell>
          <cell r="Y269">
            <v>0</v>
          </cell>
          <cell r="Z269">
            <v>0</v>
          </cell>
          <cell r="AA269">
            <v>0</v>
          </cell>
          <cell r="AB269">
            <v>1997947</v>
          </cell>
          <cell r="AC269">
            <v>9953</v>
          </cell>
          <cell r="AD269">
            <v>32062</v>
          </cell>
          <cell r="AE269">
            <v>0</v>
          </cell>
          <cell r="AF269">
            <v>0</v>
          </cell>
          <cell r="AG269">
            <v>0</v>
          </cell>
          <cell r="AH269">
            <v>0</v>
          </cell>
          <cell r="AI269">
            <v>0</v>
          </cell>
          <cell r="AJ269">
            <v>0</v>
          </cell>
          <cell r="AK269">
            <v>576</v>
          </cell>
          <cell r="AL269">
            <v>237</v>
          </cell>
          <cell r="AM269">
            <v>25750</v>
          </cell>
          <cell r="AN269">
            <v>0</v>
          </cell>
          <cell r="AO269">
            <v>0</v>
          </cell>
          <cell r="AP269">
            <v>2066525</v>
          </cell>
        </row>
        <row r="270">
          <cell r="C270" t="str">
            <v xml:space="preserve"> YOSEMITE          </v>
          </cell>
          <cell r="D270" t="str">
            <v xml:space="preserve"> MERCED            </v>
          </cell>
          <cell r="E270">
            <v>590</v>
          </cell>
          <cell r="F270" t="str">
            <v xml:space="preserve"> 2015-2016</v>
          </cell>
          <cell r="G270" t="str">
            <v xml:space="preserve"> 04/15/2016</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t="str">
            <v xml:space="preserve"> </v>
          </cell>
          <cell r="W270">
            <v>0</v>
          </cell>
          <cell r="X270">
            <v>0</v>
          </cell>
          <cell r="Y270">
            <v>0</v>
          </cell>
          <cell r="Z270">
            <v>0</v>
          </cell>
          <cell r="AA270">
            <v>0</v>
          </cell>
          <cell r="AB270">
            <v>1585036</v>
          </cell>
          <cell r="AC270">
            <v>35525</v>
          </cell>
          <cell r="AD270">
            <v>123120</v>
          </cell>
          <cell r="AE270">
            <v>0</v>
          </cell>
          <cell r="AF270">
            <v>0</v>
          </cell>
          <cell r="AG270">
            <v>0</v>
          </cell>
          <cell r="AH270">
            <v>0</v>
          </cell>
          <cell r="AI270">
            <v>0</v>
          </cell>
          <cell r="AJ270">
            <v>0</v>
          </cell>
          <cell r="AK270">
            <v>4450</v>
          </cell>
          <cell r="AL270">
            <v>2</v>
          </cell>
          <cell r="AM270">
            <v>19120</v>
          </cell>
          <cell r="AN270">
            <v>1961</v>
          </cell>
          <cell r="AO270">
            <v>-128097</v>
          </cell>
          <cell r="AP270">
            <v>1641117</v>
          </cell>
        </row>
        <row r="271">
          <cell r="C271" t="str">
            <v xml:space="preserve"> YOSEMITE          </v>
          </cell>
          <cell r="D271" t="str">
            <v xml:space="preserve"> SAN JOAQUIN       </v>
          </cell>
          <cell r="E271">
            <v>590</v>
          </cell>
          <cell r="F271" t="str">
            <v xml:space="preserve"> 2015-2016</v>
          </cell>
          <cell r="G271" t="str">
            <v xml:space="preserve"> 04/15/2016</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t="str">
            <v xml:space="preserve"> </v>
          </cell>
          <cell r="W271">
            <v>0</v>
          </cell>
          <cell r="X271">
            <v>0</v>
          </cell>
          <cell r="Y271">
            <v>0</v>
          </cell>
          <cell r="Z271">
            <v>0</v>
          </cell>
          <cell r="AA271">
            <v>0</v>
          </cell>
          <cell r="AB271">
            <v>1054032</v>
          </cell>
          <cell r="AC271">
            <v>15269</v>
          </cell>
          <cell r="AD271">
            <v>66970</v>
          </cell>
          <cell r="AE271">
            <v>48701</v>
          </cell>
          <cell r="AF271">
            <v>23133</v>
          </cell>
          <cell r="AG271">
            <v>0</v>
          </cell>
          <cell r="AH271">
            <v>0</v>
          </cell>
          <cell r="AI271">
            <v>129597</v>
          </cell>
          <cell r="AJ271">
            <v>0</v>
          </cell>
          <cell r="AK271">
            <v>838</v>
          </cell>
          <cell r="AL271">
            <v>0</v>
          </cell>
          <cell r="AM271">
            <v>11086</v>
          </cell>
          <cell r="AN271">
            <v>0</v>
          </cell>
          <cell r="AO271">
            <v>0</v>
          </cell>
          <cell r="AP271">
            <v>1300925</v>
          </cell>
        </row>
        <row r="272">
          <cell r="C272" t="str">
            <v xml:space="preserve"> YOSEMITE          </v>
          </cell>
          <cell r="D272" t="str">
            <v xml:space="preserve"> SANTA CLARA       </v>
          </cell>
          <cell r="E272">
            <v>590</v>
          </cell>
          <cell r="F272" t="str">
            <v xml:space="preserve"> 2015-2016</v>
          </cell>
          <cell r="G272" t="str">
            <v xml:space="preserve"> 04/15/2016</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t="str">
            <v xml:space="preserve"> </v>
          </cell>
          <cell r="W272">
            <v>0</v>
          </cell>
          <cell r="X272">
            <v>0</v>
          </cell>
          <cell r="Y272">
            <v>0</v>
          </cell>
          <cell r="Z272">
            <v>0</v>
          </cell>
          <cell r="AA272">
            <v>0</v>
          </cell>
          <cell r="AB272">
            <v>23632</v>
          </cell>
          <cell r="AC272">
            <v>1000</v>
          </cell>
          <cell r="AD272">
            <v>1642</v>
          </cell>
          <cell r="AE272">
            <v>0</v>
          </cell>
          <cell r="AF272">
            <v>0</v>
          </cell>
          <cell r="AG272">
            <v>0</v>
          </cell>
          <cell r="AH272">
            <v>0</v>
          </cell>
          <cell r="AI272">
            <v>0</v>
          </cell>
          <cell r="AJ272">
            <v>0</v>
          </cell>
          <cell r="AK272">
            <v>0</v>
          </cell>
          <cell r="AL272">
            <v>0</v>
          </cell>
          <cell r="AM272">
            <v>118</v>
          </cell>
          <cell r="AN272">
            <v>0</v>
          </cell>
          <cell r="AO272">
            <v>0</v>
          </cell>
          <cell r="AP272">
            <v>26392</v>
          </cell>
        </row>
        <row r="273">
          <cell r="C273" t="str">
            <v xml:space="preserve"> YOSEMITE          </v>
          </cell>
          <cell r="D273" t="str">
            <v xml:space="preserve"> STANISLAUS        </v>
          </cell>
          <cell r="E273">
            <v>590</v>
          </cell>
          <cell r="F273" t="str">
            <v xml:space="preserve"> 2015-2016</v>
          </cell>
          <cell r="G273" t="str">
            <v xml:space="preserve"> 04/15/2016</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t="str">
            <v xml:space="preserve"> </v>
          </cell>
          <cell r="W273">
            <v>0</v>
          </cell>
          <cell r="X273">
            <v>0</v>
          </cell>
          <cell r="Y273">
            <v>0</v>
          </cell>
          <cell r="Z273">
            <v>0</v>
          </cell>
          <cell r="AA273">
            <v>0</v>
          </cell>
          <cell r="AB273">
            <v>28303588</v>
          </cell>
          <cell r="AC273">
            <v>471579</v>
          </cell>
          <cell r="AD273">
            <v>1515872</v>
          </cell>
          <cell r="AE273">
            <v>159421</v>
          </cell>
          <cell r="AF273">
            <v>75725</v>
          </cell>
          <cell r="AG273">
            <v>0</v>
          </cell>
          <cell r="AH273">
            <v>0</v>
          </cell>
          <cell r="AI273">
            <v>341111</v>
          </cell>
          <cell r="AJ273">
            <v>9295</v>
          </cell>
          <cell r="AK273">
            <v>46851</v>
          </cell>
          <cell r="AL273">
            <v>0</v>
          </cell>
          <cell r="AM273">
            <v>363611</v>
          </cell>
          <cell r="AN273">
            <v>12149</v>
          </cell>
          <cell r="AO273">
            <v>-3330275</v>
          </cell>
          <cell r="AP273">
            <v>27809506</v>
          </cell>
        </row>
        <row r="274">
          <cell r="C274" t="str">
            <v xml:space="preserve"> YOSEMITE          </v>
          </cell>
          <cell r="D274" t="str">
            <v xml:space="preserve"> TUOLUMNE          </v>
          </cell>
          <cell r="E274">
            <v>590</v>
          </cell>
          <cell r="F274" t="str">
            <v xml:space="preserve"> 2015-2016</v>
          </cell>
          <cell r="G274" t="str">
            <v xml:space="preserve"> 04/15/2016</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t="str">
            <v xml:space="preserve"> </v>
          </cell>
          <cell r="W274">
            <v>0</v>
          </cell>
          <cell r="X274">
            <v>0</v>
          </cell>
          <cell r="Y274">
            <v>0</v>
          </cell>
          <cell r="Z274">
            <v>0</v>
          </cell>
          <cell r="AA274">
            <v>0</v>
          </cell>
          <cell r="AB274">
            <v>4452337</v>
          </cell>
          <cell r="AC274">
            <v>43772</v>
          </cell>
          <cell r="AD274">
            <v>116139</v>
          </cell>
          <cell r="AE274">
            <v>0</v>
          </cell>
          <cell r="AF274">
            <v>0</v>
          </cell>
          <cell r="AG274">
            <v>0</v>
          </cell>
          <cell r="AH274">
            <v>0</v>
          </cell>
          <cell r="AI274">
            <v>41067</v>
          </cell>
          <cell r="AJ274">
            <v>0</v>
          </cell>
          <cell r="AK274">
            <v>1565</v>
          </cell>
          <cell r="AL274">
            <v>9626</v>
          </cell>
          <cell r="AM274">
            <v>61138</v>
          </cell>
          <cell r="AN274">
            <v>0</v>
          </cell>
          <cell r="AO274">
            <v>165699</v>
          </cell>
          <cell r="AP274">
            <v>4891343</v>
          </cell>
        </row>
        <row r="275">
          <cell r="C275" t="str">
            <v xml:space="preserve">YOSEMITE Subtotal          </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37416572</v>
          </cell>
          <cell r="AC275">
            <v>577098</v>
          </cell>
          <cell r="AD275">
            <v>1855805</v>
          </cell>
          <cell r="AE275">
            <v>208122</v>
          </cell>
          <cell r="AF275">
            <v>98858</v>
          </cell>
          <cell r="AG275">
            <v>0</v>
          </cell>
          <cell r="AH275">
            <v>0</v>
          </cell>
          <cell r="AI275">
            <v>511775</v>
          </cell>
          <cell r="AJ275">
            <v>9295</v>
          </cell>
          <cell r="AK275">
            <v>54280</v>
          </cell>
          <cell r="AL275">
            <v>9865</v>
          </cell>
          <cell r="AM275">
            <v>480823</v>
          </cell>
          <cell r="AN275">
            <v>14110</v>
          </cell>
          <cell r="AO275">
            <v>-3292673</v>
          </cell>
          <cell r="AP275">
            <v>37735808</v>
          </cell>
        </row>
        <row r="277">
          <cell r="C277" t="str">
            <v xml:space="preserve"> YUBA              </v>
          </cell>
          <cell r="D277" t="str">
            <v xml:space="preserve"> BUTTE             </v>
          </cell>
          <cell r="E277">
            <v>290</v>
          </cell>
          <cell r="F277" t="str">
            <v xml:space="preserve"> 2015-2016</v>
          </cell>
          <cell r="G277" t="str">
            <v xml:space="preserve"> 04/15/2016</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t="str">
            <v xml:space="preserve"> </v>
          </cell>
          <cell r="W277">
            <v>0</v>
          </cell>
          <cell r="X277">
            <v>0</v>
          </cell>
          <cell r="Y277">
            <v>0</v>
          </cell>
          <cell r="Z277">
            <v>0</v>
          </cell>
          <cell r="AA277">
            <v>0</v>
          </cell>
          <cell r="AB277">
            <v>39300</v>
          </cell>
          <cell r="AC277">
            <v>300</v>
          </cell>
          <cell r="AD277">
            <v>2000</v>
          </cell>
          <cell r="AE277">
            <v>0</v>
          </cell>
          <cell r="AF277">
            <v>0</v>
          </cell>
          <cell r="AG277">
            <v>0</v>
          </cell>
          <cell r="AH277">
            <v>0</v>
          </cell>
          <cell r="AI277">
            <v>0</v>
          </cell>
          <cell r="AJ277">
            <v>0</v>
          </cell>
          <cell r="AK277">
            <v>100</v>
          </cell>
          <cell r="AL277">
            <v>900</v>
          </cell>
          <cell r="AM277">
            <v>600</v>
          </cell>
          <cell r="AN277">
            <v>0</v>
          </cell>
          <cell r="AO277">
            <v>-6772</v>
          </cell>
          <cell r="AP277">
            <v>36428</v>
          </cell>
        </row>
        <row r="278">
          <cell r="C278" t="str">
            <v xml:space="preserve"> YUBA              </v>
          </cell>
          <cell r="D278" t="str">
            <v xml:space="preserve"> COLUSA            </v>
          </cell>
          <cell r="E278">
            <v>290</v>
          </cell>
          <cell r="F278" t="str">
            <v xml:space="preserve"> 2015-2016</v>
          </cell>
          <cell r="G278" t="str">
            <v xml:space="preserve"> 04/15/2016</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t="str">
            <v xml:space="preserve"> </v>
          </cell>
          <cell r="W278">
            <v>0</v>
          </cell>
          <cell r="X278">
            <v>0</v>
          </cell>
          <cell r="Y278">
            <v>0</v>
          </cell>
          <cell r="Z278">
            <v>0</v>
          </cell>
          <cell r="AA278">
            <v>0</v>
          </cell>
          <cell r="AB278">
            <v>4188000</v>
          </cell>
          <cell r="AC278">
            <v>42900</v>
          </cell>
          <cell r="AD278">
            <v>287300</v>
          </cell>
          <cell r="AE278">
            <v>0</v>
          </cell>
          <cell r="AF278">
            <v>0</v>
          </cell>
          <cell r="AG278">
            <v>0</v>
          </cell>
          <cell r="AH278">
            <v>0</v>
          </cell>
          <cell r="AI278">
            <v>0</v>
          </cell>
          <cell r="AJ278">
            <v>0</v>
          </cell>
          <cell r="AK278">
            <v>3870</v>
          </cell>
          <cell r="AL278">
            <v>0</v>
          </cell>
          <cell r="AM278">
            <v>29380</v>
          </cell>
          <cell r="AN278">
            <v>12000</v>
          </cell>
          <cell r="AO278">
            <v>-118900</v>
          </cell>
          <cell r="AP278">
            <v>4444550</v>
          </cell>
        </row>
        <row r="279">
          <cell r="C279" t="str">
            <v xml:space="preserve"> YUBA              </v>
          </cell>
          <cell r="D279" t="str">
            <v xml:space="preserve"> GLENN             </v>
          </cell>
          <cell r="E279">
            <v>290</v>
          </cell>
          <cell r="F279" t="str">
            <v xml:space="preserve"> 2015-2016</v>
          </cell>
          <cell r="G279" t="str">
            <v xml:space="preserve"> 04/15/2016</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t="str">
            <v xml:space="preserve"> </v>
          </cell>
          <cell r="W279">
            <v>0</v>
          </cell>
          <cell r="X279">
            <v>0</v>
          </cell>
          <cell r="Y279">
            <v>0</v>
          </cell>
          <cell r="Z279">
            <v>0</v>
          </cell>
          <cell r="AA279">
            <v>0</v>
          </cell>
          <cell r="AB279">
            <v>69585</v>
          </cell>
          <cell r="AC279">
            <v>0</v>
          </cell>
          <cell r="AD279">
            <v>3461</v>
          </cell>
          <cell r="AE279">
            <v>0</v>
          </cell>
          <cell r="AF279">
            <v>0</v>
          </cell>
          <cell r="AG279">
            <v>0</v>
          </cell>
          <cell r="AH279">
            <v>0</v>
          </cell>
          <cell r="AI279">
            <v>0</v>
          </cell>
          <cell r="AJ279">
            <v>0</v>
          </cell>
          <cell r="AK279">
            <v>0</v>
          </cell>
          <cell r="AL279">
            <v>0</v>
          </cell>
          <cell r="AM279">
            <v>739</v>
          </cell>
          <cell r="AN279">
            <v>0</v>
          </cell>
          <cell r="AO279">
            <v>-2142</v>
          </cell>
          <cell r="AP279">
            <v>71643</v>
          </cell>
        </row>
        <row r="280">
          <cell r="C280" t="str">
            <v xml:space="preserve"> YUBA              </v>
          </cell>
          <cell r="D280" t="str">
            <v xml:space="preserve"> LAKE              </v>
          </cell>
          <cell r="E280">
            <v>290</v>
          </cell>
          <cell r="F280" t="str">
            <v xml:space="preserve"> 2015-2016</v>
          </cell>
          <cell r="G280" t="str">
            <v xml:space="preserve"> 04/15/2016</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t="str">
            <v xml:space="preserve"> </v>
          </cell>
          <cell r="W280">
            <v>0</v>
          </cell>
          <cell r="X280">
            <v>0</v>
          </cell>
          <cell r="Y280">
            <v>0</v>
          </cell>
          <cell r="Z280">
            <v>0</v>
          </cell>
          <cell r="AA280">
            <v>0</v>
          </cell>
          <cell r="AB280">
            <v>2305560</v>
          </cell>
          <cell r="AC280">
            <v>9031</v>
          </cell>
          <cell r="AD280">
            <v>54087</v>
          </cell>
          <cell r="AE280">
            <v>5643</v>
          </cell>
          <cell r="AF280">
            <v>2680</v>
          </cell>
          <cell r="AG280">
            <v>0</v>
          </cell>
          <cell r="AH280">
            <v>0</v>
          </cell>
          <cell r="AI280">
            <v>20844</v>
          </cell>
          <cell r="AJ280">
            <v>5142</v>
          </cell>
          <cell r="AK280">
            <v>1407</v>
          </cell>
          <cell r="AL280">
            <v>0</v>
          </cell>
          <cell r="AM280">
            <v>30382</v>
          </cell>
          <cell r="AN280">
            <v>0</v>
          </cell>
          <cell r="AO280">
            <v>0</v>
          </cell>
          <cell r="AP280">
            <v>2429133</v>
          </cell>
        </row>
        <row r="281">
          <cell r="C281" t="str">
            <v xml:space="preserve"> YUBA              </v>
          </cell>
          <cell r="D281" t="str">
            <v xml:space="preserve"> PLACER            </v>
          </cell>
          <cell r="E281">
            <v>290</v>
          </cell>
          <cell r="F281" t="str">
            <v xml:space="preserve"> 2015-2016</v>
          </cell>
          <cell r="G281" t="str">
            <v xml:space="preserve"> 04/15/2016</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t="str">
            <v xml:space="preserve"> </v>
          </cell>
          <cell r="W281">
            <v>0</v>
          </cell>
          <cell r="X281">
            <v>0</v>
          </cell>
          <cell r="Y281">
            <v>0</v>
          </cell>
          <cell r="Z281">
            <v>0</v>
          </cell>
          <cell r="AA281">
            <v>0</v>
          </cell>
          <cell r="AB281">
            <v>34467</v>
          </cell>
          <cell r="AC281">
            <v>658</v>
          </cell>
          <cell r="AD281">
            <v>759</v>
          </cell>
          <cell r="AE281">
            <v>0</v>
          </cell>
          <cell r="AF281">
            <v>0</v>
          </cell>
          <cell r="AG281">
            <v>0</v>
          </cell>
          <cell r="AH281">
            <v>0</v>
          </cell>
          <cell r="AI281">
            <v>0</v>
          </cell>
          <cell r="AJ281">
            <v>0</v>
          </cell>
          <cell r="AK281">
            <v>10</v>
          </cell>
          <cell r="AL281">
            <v>0</v>
          </cell>
          <cell r="AM281">
            <v>286</v>
          </cell>
          <cell r="AN281">
            <v>0</v>
          </cell>
          <cell r="AO281">
            <v>0</v>
          </cell>
          <cell r="AP281">
            <v>36180</v>
          </cell>
        </row>
        <row r="282">
          <cell r="C282" t="str">
            <v xml:space="preserve"> YUBA              </v>
          </cell>
          <cell r="D282" t="str">
            <v xml:space="preserve"> SUTTER            </v>
          </cell>
          <cell r="E282">
            <v>290</v>
          </cell>
          <cell r="F282" t="str">
            <v xml:space="preserve"> 2015-2016</v>
          </cell>
          <cell r="G282" t="str">
            <v xml:space="preserve"> 04/15/2016</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t="str">
            <v xml:space="preserve"> </v>
          </cell>
          <cell r="W282">
            <v>0</v>
          </cell>
          <cell r="X282">
            <v>0</v>
          </cell>
          <cell r="Y282">
            <v>0</v>
          </cell>
          <cell r="Z282">
            <v>0</v>
          </cell>
          <cell r="AA282">
            <v>0</v>
          </cell>
          <cell r="AB282">
            <v>6458973</v>
          </cell>
          <cell r="AC282">
            <v>87531</v>
          </cell>
          <cell r="AD282">
            <v>424951</v>
          </cell>
          <cell r="AE282">
            <v>0</v>
          </cell>
          <cell r="AF282">
            <v>0</v>
          </cell>
          <cell r="AG282">
            <v>0</v>
          </cell>
          <cell r="AH282">
            <v>0</v>
          </cell>
          <cell r="AI282">
            <v>702</v>
          </cell>
          <cell r="AJ282">
            <v>0</v>
          </cell>
          <cell r="AK282">
            <v>0</v>
          </cell>
          <cell r="AL282">
            <v>0</v>
          </cell>
          <cell r="AM282">
            <v>83889</v>
          </cell>
          <cell r="AN282">
            <v>4430</v>
          </cell>
          <cell r="AO282">
            <v>-318270</v>
          </cell>
          <cell r="AP282">
            <v>6742206</v>
          </cell>
        </row>
        <row r="283">
          <cell r="C283" t="str">
            <v xml:space="preserve"> YUBA              </v>
          </cell>
          <cell r="D283" t="str">
            <v xml:space="preserve"> YOLO              </v>
          </cell>
          <cell r="E283">
            <v>290</v>
          </cell>
          <cell r="F283" t="str">
            <v xml:space="preserve"> 2015-2016</v>
          </cell>
          <cell r="G283" t="str">
            <v xml:space="preserve"> 04/15/2016</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t="str">
            <v xml:space="preserve"> </v>
          </cell>
          <cell r="W283">
            <v>0</v>
          </cell>
          <cell r="X283">
            <v>0</v>
          </cell>
          <cell r="Y283">
            <v>0</v>
          </cell>
          <cell r="Z283">
            <v>0</v>
          </cell>
          <cell r="AA283">
            <v>0</v>
          </cell>
          <cell r="AB283">
            <v>5516215</v>
          </cell>
          <cell r="AC283">
            <v>94500</v>
          </cell>
          <cell r="AD283">
            <v>314800</v>
          </cell>
          <cell r="AE283">
            <v>0</v>
          </cell>
          <cell r="AF283">
            <v>0</v>
          </cell>
          <cell r="AG283">
            <v>0</v>
          </cell>
          <cell r="AH283">
            <v>0</v>
          </cell>
          <cell r="AI283">
            <v>0</v>
          </cell>
          <cell r="AJ283">
            <v>0</v>
          </cell>
          <cell r="AK283">
            <v>4800</v>
          </cell>
          <cell r="AL283">
            <v>0</v>
          </cell>
          <cell r="AM283">
            <v>49222</v>
          </cell>
          <cell r="AN283">
            <v>3392</v>
          </cell>
          <cell r="AO283">
            <v>0</v>
          </cell>
          <cell r="AP283">
            <v>5982929</v>
          </cell>
        </row>
        <row r="284">
          <cell r="C284" t="str">
            <v xml:space="preserve"> YUBA              </v>
          </cell>
          <cell r="D284" t="str">
            <v xml:space="preserve"> YUBA              </v>
          </cell>
          <cell r="E284">
            <v>290</v>
          </cell>
          <cell r="F284" t="str">
            <v xml:space="preserve"> 2015-2016</v>
          </cell>
          <cell r="G284" t="str">
            <v xml:space="preserve"> 04/15/2016</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t="str">
            <v xml:space="preserve"> </v>
          </cell>
          <cell r="W284">
            <v>0</v>
          </cell>
          <cell r="X284">
            <v>0</v>
          </cell>
          <cell r="Y284">
            <v>0</v>
          </cell>
          <cell r="Z284">
            <v>0</v>
          </cell>
          <cell r="AA284">
            <v>0</v>
          </cell>
          <cell r="AB284">
            <v>3449337</v>
          </cell>
          <cell r="AC284">
            <v>0</v>
          </cell>
          <cell r="AD284">
            <v>172475</v>
          </cell>
          <cell r="AE284">
            <v>0</v>
          </cell>
          <cell r="AF284">
            <v>0</v>
          </cell>
          <cell r="AG284">
            <v>0</v>
          </cell>
          <cell r="AH284">
            <v>0</v>
          </cell>
          <cell r="AI284">
            <v>7910</v>
          </cell>
          <cell r="AJ284">
            <v>0</v>
          </cell>
          <cell r="AK284">
            <v>0</v>
          </cell>
          <cell r="AL284">
            <v>2728</v>
          </cell>
          <cell r="AM284">
            <v>50714</v>
          </cell>
          <cell r="AN284">
            <v>0</v>
          </cell>
          <cell r="AO284">
            <v>386716</v>
          </cell>
          <cell r="AP284">
            <v>4069880</v>
          </cell>
        </row>
        <row r="285">
          <cell r="C285" t="str">
            <v xml:space="preserve">YUBA Subtotal            </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22061437</v>
          </cell>
          <cell r="AC285">
            <v>234920</v>
          </cell>
          <cell r="AD285">
            <v>1259833</v>
          </cell>
          <cell r="AE285">
            <v>5643</v>
          </cell>
          <cell r="AF285">
            <v>2680</v>
          </cell>
          <cell r="AG285">
            <v>0</v>
          </cell>
          <cell r="AH285">
            <v>0</v>
          </cell>
          <cell r="AI285">
            <v>29456</v>
          </cell>
          <cell r="AJ285">
            <v>5142</v>
          </cell>
          <cell r="AK285">
            <v>10187</v>
          </cell>
          <cell r="AL285">
            <v>3628</v>
          </cell>
          <cell r="AM285">
            <v>245212</v>
          </cell>
          <cell r="AN285">
            <v>19822</v>
          </cell>
          <cell r="AO285">
            <v>-59368</v>
          </cell>
          <cell r="AP285">
            <v>23812949</v>
          </cell>
        </row>
      </sheetData>
      <sheetData sheetId="4">
        <row r="2">
          <cell r="D2" t="str">
            <v xml:space="preserve"> COUNTY</v>
          </cell>
        </row>
      </sheetData>
      <sheetData sheetId="5" refreshError="1"/>
      <sheetData sheetId="6">
        <row r="8">
          <cell r="A8" t="str">
            <v>Allan Hancock</v>
          </cell>
        </row>
      </sheetData>
      <sheetData sheetId="7">
        <row r="2">
          <cell r="C2" t="str">
            <v xml:space="preserve"> ALLAN HANCOCK     </v>
          </cell>
        </row>
      </sheetData>
      <sheetData sheetId="8" refreshError="1"/>
      <sheetData sheetId="9" refreshError="1"/>
      <sheetData sheetId="10">
        <row r="4">
          <cell r="A4" t="str">
            <v xml:space="preserve"> ALLAN HANCOCK     </v>
          </cell>
          <cell r="B4">
            <v>13827228</v>
          </cell>
          <cell r="C4">
            <v>1789718</v>
          </cell>
        </row>
        <row r="5">
          <cell r="A5" t="str">
            <v xml:space="preserve"> ANTELOPE VALLEY   </v>
          </cell>
          <cell r="B5">
            <v>6102025</v>
          </cell>
          <cell r="C5">
            <v>0</v>
          </cell>
        </row>
        <row r="6">
          <cell r="A6" t="str">
            <v xml:space="preserve"> BARSTOW           </v>
          </cell>
          <cell r="B6">
            <v>4268861</v>
          </cell>
          <cell r="C6">
            <v>-867458</v>
          </cell>
        </row>
        <row r="7">
          <cell r="A7" t="str">
            <v xml:space="preserve"> BUTTE             </v>
          </cell>
          <cell r="B7">
            <v>16725933</v>
          </cell>
          <cell r="C7">
            <v>-2642813</v>
          </cell>
        </row>
        <row r="8">
          <cell r="A8" t="str">
            <v xml:space="preserve"> CABRILLO          </v>
          </cell>
          <cell r="B8">
            <v>22573344</v>
          </cell>
          <cell r="C8">
            <v>1653796</v>
          </cell>
        </row>
        <row r="9">
          <cell r="A9" t="str">
            <v xml:space="preserve"> CERRITOS          </v>
          </cell>
          <cell r="B9">
            <v>9203722</v>
          </cell>
          <cell r="C9">
            <v>8777977</v>
          </cell>
        </row>
        <row r="10">
          <cell r="A10" t="str">
            <v xml:space="preserve"> CHABOT-LAS POSITAS</v>
          </cell>
          <cell r="B10">
            <v>28296842</v>
          </cell>
          <cell r="C10">
            <v>13954531</v>
          </cell>
        </row>
        <row r="11">
          <cell r="A11" t="str">
            <v xml:space="preserve"> CHAFFEY           </v>
          </cell>
          <cell r="B11">
            <v>38947581</v>
          </cell>
          <cell r="C11">
            <v>-7442093</v>
          </cell>
        </row>
        <row r="12">
          <cell r="A12" t="str">
            <v xml:space="preserve"> CITRUS            </v>
          </cell>
          <cell r="B12">
            <v>4992180</v>
          </cell>
          <cell r="C12">
            <v>0</v>
          </cell>
        </row>
        <row r="13">
          <cell r="A13" t="str">
            <v xml:space="preserve"> COAST             </v>
          </cell>
          <cell r="B13">
            <v>114443185</v>
          </cell>
          <cell r="C13">
            <v>0</v>
          </cell>
        </row>
        <row r="14">
          <cell r="A14" t="str">
            <v xml:space="preserve"> COMPTON           </v>
          </cell>
          <cell r="B14">
            <v>4467561</v>
          </cell>
          <cell r="C14">
            <v>0</v>
          </cell>
        </row>
        <row r="15">
          <cell r="A15" t="str">
            <v xml:space="preserve"> CONTRA COSTA      </v>
          </cell>
          <cell r="B15">
            <v>81223865</v>
          </cell>
          <cell r="C15">
            <v>8244428</v>
          </cell>
        </row>
        <row r="16">
          <cell r="A16" t="str">
            <v xml:space="preserve"> COPPER MOUNTAIN</v>
          </cell>
          <cell r="B16">
            <v>1809441</v>
          </cell>
          <cell r="C16">
            <v>-467781</v>
          </cell>
        </row>
        <row r="17">
          <cell r="A17" t="str">
            <v xml:space="preserve"> DESERT            </v>
          </cell>
          <cell r="B17">
            <v>32251866</v>
          </cell>
          <cell r="C17">
            <v>-3016971</v>
          </cell>
        </row>
        <row r="18">
          <cell r="A18" t="str">
            <v xml:space="preserve"> EL CAMINO         </v>
          </cell>
          <cell r="B18">
            <v>28461504</v>
          </cell>
          <cell r="C18">
            <v>1389548</v>
          </cell>
        </row>
        <row r="19">
          <cell r="A19" t="str">
            <v xml:space="preserve"> FEATHER RIVER     </v>
          </cell>
          <cell r="B19">
            <v>5210449</v>
          </cell>
          <cell r="C19">
            <v>1249906</v>
          </cell>
        </row>
        <row r="20">
          <cell r="A20" t="str">
            <v xml:space="preserve"> FOOTHILL-DEANZA   </v>
          </cell>
          <cell r="B20">
            <v>95404764</v>
          </cell>
          <cell r="C20">
            <v>-3017000</v>
          </cell>
        </row>
        <row r="21">
          <cell r="A21" t="str">
            <v xml:space="preserve"> GAVILAN           </v>
          </cell>
          <cell r="B21">
            <v>17503859</v>
          </cell>
          <cell r="C21">
            <v>-384278</v>
          </cell>
        </row>
        <row r="22">
          <cell r="A22" t="str">
            <v xml:space="preserve"> GLENDALE          </v>
          </cell>
          <cell r="B22">
            <v>10338285</v>
          </cell>
          <cell r="C22">
            <v>3852537</v>
          </cell>
        </row>
        <row r="23">
          <cell r="A23" t="str">
            <v xml:space="preserve"> GROSSMONT-CUYAMACA</v>
          </cell>
          <cell r="B23">
            <v>37545468</v>
          </cell>
          <cell r="C23">
            <v>-1335323</v>
          </cell>
        </row>
        <row r="24">
          <cell r="A24" t="str">
            <v xml:space="preserve"> HARTNELL          </v>
          </cell>
          <cell r="B24">
            <v>20832550</v>
          </cell>
          <cell r="C24">
            <v>-19</v>
          </cell>
        </row>
        <row r="25">
          <cell r="A25" t="str">
            <v xml:space="preserve"> IMPERIAL          </v>
          </cell>
          <cell r="B25">
            <v>8928787</v>
          </cell>
          <cell r="C25">
            <v>-2247889</v>
          </cell>
        </row>
        <row r="26">
          <cell r="A26" t="str">
            <v xml:space="preserve"> KERN              </v>
          </cell>
          <cell r="B26">
            <v>59567512</v>
          </cell>
          <cell r="C26">
            <v>-5784336</v>
          </cell>
        </row>
        <row r="27">
          <cell r="A27" t="str">
            <v xml:space="preserve"> LAKE TAHOE        </v>
          </cell>
          <cell r="B27">
            <v>3873656</v>
          </cell>
          <cell r="C27">
            <v>0</v>
          </cell>
        </row>
        <row r="28">
          <cell r="A28" t="str">
            <v xml:space="preserve"> LASSEN            </v>
          </cell>
          <cell r="B28">
            <v>1948252</v>
          </cell>
          <cell r="C28">
            <v>-348693</v>
          </cell>
        </row>
        <row r="29">
          <cell r="A29" t="str">
            <v xml:space="preserve"> LONG BEACH        </v>
          </cell>
          <cell r="B29">
            <v>12514431</v>
          </cell>
          <cell r="C29">
            <v>8688139</v>
          </cell>
        </row>
        <row r="30">
          <cell r="A30" t="str">
            <v xml:space="preserve"> LOS ANGELES       </v>
          </cell>
          <cell r="B30">
            <v>182646054</v>
          </cell>
          <cell r="C30">
            <v>7637993</v>
          </cell>
        </row>
        <row r="31">
          <cell r="A31" t="str">
            <v xml:space="preserve"> LOS RIOS          </v>
          </cell>
          <cell r="B31">
            <v>56032025</v>
          </cell>
          <cell r="C31">
            <v>8743498</v>
          </cell>
        </row>
        <row r="32">
          <cell r="A32" t="str">
            <v xml:space="preserve"> MARIN             </v>
          </cell>
          <cell r="B32">
            <v>48232518</v>
          </cell>
          <cell r="C32">
            <v>0</v>
          </cell>
        </row>
        <row r="33">
          <cell r="A33" t="str">
            <v xml:space="preserve"> MENDOCINO-LAKE    </v>
          </cell>
          <cell r="B33">
            <v>6402173</v>
          </cell>
          <cell r="C33">
            <v>399315</v>
          </cell>
        </row>
        <row r="34">
          <cell r="A34" t="str">
            <v xml:space="preserve"> MERCED            </v>
          </cell>
          <cell r="B34">
            <v>10782395</v>
          </cell>
          <cell r="C34">
            <v>-840230</v>
          </cell>
        </row>
        <row r="35">
          <cell r="A35" t="str">
            <v xml:space="preserve"> MIRA COSTA        </v>
          </cell>
          <cell r="B35">
            <v>88388362</v>
          </cell>
          <cell r="C35">
            <v>0</v>
          </cell>
        </row>
        <row r="36">
          <cell r="A36" t="str">
            <v xml:space="preserve"> MONTEREY PENINSULA</v>
          </cell>
          <cell r="B36">
            <v>16619335</v>
          </cell>
          <cell r="C36">
            <v>0</v>
          </cell>
        </row>
        <row r="37">
          <cell r="A37" t="str">
            <v xml:space="preserve"> MT SAN ANTONIO    </v>
          </cell>
          <cell r="B37">
            <v>18895013</v>
          </cell>
          <cell r="C37">
            <v>12811511</v>
          </cell>
        </row>
        <row r="38">
          <cell r="A38" t="str">
            <v xml:space="preserve"> MT SAN JACINTO    </v>
          </cell>
          <cell r="B38">
            <v>27843666</v>
          </cell>
          <cell r="C38">
            <v>-2997579</v>
          </cell>
        </row>
        <row r="39">
          <cell r="A39" t="str">
            <v xml:space="preserve"> NAPA VALLEY       </v>
          </cell>
          <cell r="B39">
            <v>27130671</v>
          </cell>
          <cell r="C39">
            <v>-613297</v>
          </cell>
        </row>
        <row r="40">
          <cell r="A40" t="str">
            <v xml:space="preserve"> NORTH ORANGE      </v>
          </cell>
          <cell r="B40">
            <v>70056966</v>
          </cell>
          <cell r="C40">
            <v>15558402</v>
          </cell>
        </row>
        <row r="41">
          <cell r="A41" t="str">
            <v xml:space="preserve"> OHLONE</v>
          </cell>
          <cell r="B41">
            <v>17598907</v>
          </cell>
          <cell r="C41">
            <v>3900182</v>
          </cell>
        </row>
        <row r="42">
          <cell r="A42" t="str">
            <v xml:space="preserve"> PALO VERDE        </v>
          </cell>
          <cell r="B42">
            <v>1444468</v>
          </cell>
          <cell r="C42">
            <v>-104413</v>
          </cell>
        </row>
        <row r="43">
          <cell r="A43" t="str">
            <v xml:space="preserve"> PALOMAR           </v>
          </cell>
          <cell r="B43">
            <v>67621153</v>
          </cell>
          <cell r="C43">
            <v>-2306654</v>
          </cell>
        </row>
        <row r="44">
          <cell r="A44" t="str">
            <v xml:space="preserve"> PASADENA          </v>
          </cell>
          <cell r="B44">
            <v>25330097</v>
          </cell>
          <cell r="C44">
            <v>1653176</v>
          </cell>
        </row>
        <row r="45">
          <cell r="A45" t="str">
            <v xml:space="preserve"> PERALTA</v>
          </cell>
          <cell r="B45">
            <v>20564318</v>
          </cell>
          <cell r="C45">
            <v>15022761</v>
          </cell>
        </row>
        <row r="46">
          <cell r="A46" t="str">
            <v xml:space="preserve"> RANCHO SANTIAGO   </v>
          </cell>
          <cell r="B46">
            <v>50619677</v>
          </cell>
          <cell r="C46">
            <v>13847130</v>
          </cell>
        </row>
        <row r="47">
          <cell r="A47" t="str">
            <v xml:space="preserve"> REDWOODS          </v>
          </cell>
          <cell r="B47">
            <v>10192126</v>
          </cell>
          <cell r="C47">
            <v>169988</v>
          </cell>
        </row>
        <row r="48">
          <cell r="A48" t="str">
            <v xml:space="preserve"> RIO HONDO         </v>
          </cell>
          <cell r="B48">
            <v>5907771</v>
          </cell>
          <cell r="C48">
            <v>0</v>
          </cell>
        </row>
        <row r="49">
          <cell r="A49" t="str">
            <v xml:space="preserve"> RIVERSIDE         </v>
          </cell>
          <cell r="B49">
            <v>39190874</v>
          </cell>
          <cell r="C49">
            <v>-4118807</v>
          </cell>
        </row>
        <row r="50">
          <cell r="A50" t="str">
            <v xml:space="preserve"> SAN BERNARDINO    </v>
          </cell>
          <cell r="B50">
            <v>24837323</v>
          </cell>
          <cell r="C50">
            <v>-5910275</v>
          </cell>
        </row>
        <row r="51">
          <cell r="A51" t="str">
            <v xml:space="preserve"> SAN DIEGO         </v>
          </cell>
          <cell r="B51">
            <v>94252197</v>
          </cell>
          <cell r="C51">
            <v>-3395357</v>
          </cell>
        </row>
        <row r="52">
          <cell r="A52" t="str">
            <v xml:space="preserve"> SAN FRANCISCO     </v>
          </cell>
          <cell r="B52">
            <v>27712541</v>
          </cell>
          <cell r="C52">
            <v>41492297</v>
          </cell>
        </row>
        <row r="53">
          <cell r="A53" t="str">
            <v xml:space="preserve"> SAN JOAQUIN DELTA </v>
          </cell>
          <cell r="B53">
            <v>25574277</v>
          </cell>
          <cell r="C53">
            <v>5308503</v>
          </cell>
        </row>
        <row r="54">
          <cell r="A54" t="str">
            <v xml:space="preserve"> SAN JOSE          </v>
          </cell>
          <cell r="B54">
            <v>83522968</v>
          </cell>
          <cell r="C54">
            <v>0</v>
          </cell>
        </row>
        <row r="55">
          <cell r="A55" t="str">
            <v xml:space="preserve"> SAN LUIS OBISPO   </v>
          </cell>
          <cell r="B55">
            <v>35206957</v>
          </cell>
          <cell r="C55">
            <v>1235578</v>
          </cell>
        </row>
        <row r="56">
          <cell r="A56" t="str">
            <v xml:space="preserve"> SAN MATEO         </v>
          </cell>
          <cell r="B56">
            <v>123817594</v>
          </cell>
          <cell r="C56">
            <v>0</v>
          </cell>
        </row>
        <row r="57">
          <cell r="A57" t="str">
            <v xml:space="preserve"> SANTA BARBARA     </v>
          </cell>
          <cell r="B57">
            <v>27123945</v>
          </cell>
          <cell r="C57">
            <v>0</v>
          </cell>
        </row>
        <row r="58">
          <cell r="A58" t="str">
            <v xml:space="preserve"> SANTA CLARITA     </v>
          </cell>
          <cell r="B58">
            <v>15051023</v>
          </cell>
          <cell r="C58">
            <v>1127349</v>
          </cell>
        </row>
        <row r="59">
          <cell r="A59" t="str">
            <v xml:space="preserve"> SANTA MONICA      </v>
          </cell>
          <cell r="B59">
            <v>15172323</v>
          </cell>
          <cell r="C59">
            <v>7017609</v>
          </cell>
        </row>
        <row r="60">
          <cell r="A60" t="str">
            <v xml:space="preserve"> SEQUOIAS          </v>
          </cell>
          <cell r="B60">
            <v>14242771</v>
          </cell>
          <cell r="C60">
            <v>-2253778</v>
          </cell>
        </row>
        <row r="61">
          <cell r="A61" t="str">
            <v xml:space="preserve"> SHASTA            </v>
          </cell>
          <cell r="B61">
            <v>14944524</v>
          </cell>
          <cell r="C61">
            <v>-593108</v>
          </cell>
        </row>
        <row r="62">
          <cell r="A62" t="str">
            <v xml:space="preserve"> SIERRA            </v>
          </cell>
          <cell r="B62">
            <v>65910596</v>
          </cell>
          <cell r="C62">
            <v>4570137</v>
          </cell>
        </row>
        <row r="63">
          <cell r="A63" t="str">
            <v xml:space="preserve"> SISKIYOU          </v>
          </cell>
          <cell r="B63">
            <v>3845903</v>
          </cell>
          <cell r="C63">
            <v>-112066</v>
          </cell>
        </row>
        <row r="64">
          <cell r="A64" t="str">
            <v xml:space="preserve"> SOLANO            </v>
          </cell>
          <cell r="B64">
            <v>14163133</v>
          </cell>
          <cell r="C64">
            <v>753177</v>
          </cell>
        </row>
        <row r="65">
          <cell r="A65" t="str">
            <v xml:space="preserve"> SONOMA</v>
          </cell>
          <cell r="B65">
            <v>48908135</v>
          </cell>
          <cell r="C65">
            <v>2807666</v>
          </cell>
        </row>
        <row r="66">
          <cell r="A66" t="str">
            <v xml:space="preserve"> SOUTH ORANGE CO.</v>
          </cell>
          <cell r="B66">
            <v>189000933</v>
          </cell>
          <cell r="C66">
            <v>0</v>
          </cell>
        </row>
        <row r="67">
          <cell r="A67" t="str">
            <v xml:space="preserve"> SOUTHWESTERN      </v>
          </cell>
          <cell r="B67">
            <v>23902201</v>
          </cell>
          <cell r="C67">
            <v>-868897</v>
          </cell>
        </row>
        <row r="68">
          <cell r="A68" t="str">
            <v xml:space="preserve"> STATE CENTER      </v>
          </cell>
          <cell r="B68">
            <v>42391895</v>
          </cell>
          <cell r="C68">
            <v>-2468497</v>
          </cell>
        </row>
        <row r="69">
          <cell r="A69" t="str">
            <v xml:space="preserve"> VENTURA           </v>
          </cell>
          <cell r="B69">
            <v>58164356</v>
          </cell>
          <cell r="C69">
            <v>1463797</v>
          </cell>
        </row>
        <row r="70">
          <cell r="A70" t="str">
            <v xml:space="preserve"> VICTOR VALLEY     </v>
          </cell>
          <cell r="B70">
            <v>12933446</v>
          </cell>
          <cell r="C70">
            <v>-3314459</v>
          </cell>
        </row>
        <row r="71">
          <cell r="A71" t="str">
            <v xml:space="preserve"> WEST HILLS        </v>
          </cell>
          <cell r="B71">
            <v>6110397</v>
          </cell>
          <cell r="C71">
            <v>-747919</v>
          </cell>
        </row>
        <row r="72">
          <cell r="A72" t="str">
            <v xml:space="preserve"> WEST KERN         </v>
          </cell>
          <cell r="B72">
            <v>11086466</v>
          </cell>
          <cell r="C72">
            <v>0</v>
          </cell>
        </row>
        <row r="73">
          <cell r="A73" t="str">
            <v xml:space="preserve"> WEST VALLEY       </v>
          </cell>
          <cell r="B73">
            <v>95810905</v>
          </cell>
          <cell r="C73">
            <v>0</v>
          </cell>
        </row>
        <row r="74">
          <cell r="A74" t="str">
            <v xml:space="preserve"> YOSEMITE          </v>
          </cell>
          <cell r="B74">
            <v>41028481</v>
          </cell>
          <cell r="C74">
            <v>-3292673</v>
          </cell>
        </row>
        <row r="75">
          <cell r="A75" t="str">
            <v xml:space="preserve"> YUBA              </v>
          </cell>
          <cell r="B75">
            <v>23872317</v>
          </cell>
          <cell r="C75">
            <v>-59368</v>
          </cell>
        </row>
      </sheetData>
      <sheetData sheetId="11" refreshError="1"/>
      <sheetData sheetId="12" refreshError="1"/>
      <sheetData sheetId="13" refreshError="1"/>
      <sheetData sheetId="14" refreshError="1"/>
      <sheetData sheetId="1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Frpt"/>
      <sheetName val="PivotDOF"/>
      <sheetName val="ptax04-15-2017 as of April 25"/>
      <sheetName val="1a.ModifedforDistrict"/>
      <sheetName val="2a.DistrictAlpha ptax"/>
      <sheetName val="1b.ModifiedbyCounty"/>
      <sheetName val="2b.County ptax"/>
      <sheetName val="Eraf04-15-2017 as of April 25"/>
      <sheetName val="1e.PtaxvsERAF Analysis"/>
      <sheetName val="APPORTIONMENT REPORT_1.26.17"/>
      <sheetName val="1h.Tax_Proration"/>
      <sheetName val="1i.ERAF_Distribution"/>
      <sheetName val="ERAF Formulas"/>
      <sheetName val="1j.LA ERAF Calculations"/>
      <sheetName val="1k.CCDPivotTableERAF&amp;PropTAX2"/>
      <sheetName val="Report-County_Fall_Est_ERAF"/>
      <sheetName val="Report-Dist_Fall_Est_PTax&amp;ERAF"/>
      <sheetName val="Not current Audit Request PTax"/>
    </sheetNames>
    <sheetDataSet>
      <sheetData sheetId="0"/>
      <sheetData sheetId="1"/>
      <sheetData sheetId="2"/>
      <sheetData sheetId="3"/>
      <sheetData sheetId="4">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cell r="AJ1">
            <v>34</v>
          </cell>
          <cell r="AK1">
            <v>35</v>
          </cell>
          <cell r="AL1">
            <v>36</v>
          </cell>
          <cell r="AM1">
            <v>37</v>
          </cell>
          <cell r="AN1">
            <v>38</v>
          </cell>
          <cell r="AO1">
            <v>39</v>
          </cell>
          <cell r="AP1">
            <v>40</v>
          </cell>
          <cell r="AQ1">
            <v>41</v>
          </cell>
          <cell r="AR1">
            <v>42</v>
          </cell>
          <cell r="AS1">
            <v>43</v>
          </cell>
          <cell r="AT1">
            <v>44</v>
          </cell>
          <cell r="AU1">
            <v>45</v>
          </cell>
          <cell r="AV1">
            <v>46</v>
          </cell>
          <cell r="AW1">
            <v>47</v>
          </cell>
        </row>
        <row r="2">
          <cell r="C2" t="str">
            <v xml:space="preserve"> DISTRICT</v>
          </cell>
          <cell r="D2" t="str">
            <v xml:space="preserve"> COUNTY</v>
          </cell>
          <cell r="E2" t="str">
            <v xml:space="preserve"> DISTCODE</v>
          </cell>
          <cell r="F2" t="str">
            <v xml:space="preserve"> FYear</v>
          </cell>
          <cell r="G2" t="str">
            <v xml:space="preserve"> Period</v>
          </cell>
          <cell r="H2" t="str">
            <v xml:space="preserve"> Sec_Roll_A</v>
          </cell>
          <cell r="I2" t="str">
            <v xml:space="preserve"> Sup_Roll_A</v>
          </cell>
          <cell r="J2" t="str">
            <v>Unsec_Roll_A</v>
          </cell>
          <cell r="K2" t="str">
            <v xml:space="preserve"> AB1290_A</v>
          </cell>
          <cell r="L2" t="str">
            <v xml:space="preserve"> ptax475_A</v>
          </cell>
          <cell r="M2" t="str">
            <v xml:space="preserve"> preAB1290_A</v>
          </cell>
          <cell r="N2" t="str">
            <v xml:space="preserve"> portionptax475_A</v>
          </cell>
          <cell r="O2" t="str">
            <v xml:space="preserve">  RDA_dev_1_A</v>
          </cell>
          <cell r="P2" t="str">
            <v xml:space="preserve"> RDA_dev_2_A</v>
          </cell>
          <cell r="Q2" t="str">
            <v xml:space="preserve"> Prior_Year_A</v>
          </cell>
          <cell r="R2" t="str">
            <v>Timber_Yield_A</v>
          </cell>
          <cell r="S2" t="str">
            <v xml:space="preserve"> Homeowner_PTR_A</v>
          </cell>
          <cell r="T2" t="str">
            <v xml:space="preserve"> Other_A</v>
          </cell>
          <cell r="U2" t="str">
            <v xml:space="preserve"> ERAF_A </v>
          </cell>
          <cell r="V2" t="str">
            <v xml:space="preserve"> Redevelop_A</v>
          </cell>
          <cell r="W2" t="str">
            <v xml:space="preserve"> TOT_PTR_A</v>
          </cell>
          <cell r="X2" t="str">
            <v xml:space="preserve"> Impd_Rev_A</v>
          </cell>
          <cell r="Y2" t="str">
            <v>FY1_A</v>
          </cell>
          <cell r="Z2" t="str">
            <v xml:space="preserve"> FY2_A</v>
          </cell>
          <cell r="AA2" t="str">
            <v xml:space="preserve"> FY3_A</v>
          </cell>
          <cell r="AB2" t="str">
            <v xml:space="preserve"> Sec_Roll_E</v>
          </cell>
          <cell r="AC2" t="str">
            <v xml:space="preserve"> Sup_Roll_E</v>
          </cell>
          <cell r="AD2" t="str">
            <v xml:space="preserve"> Unsec_Roll_E</v>
          </cell>
          <cell r="AE2" t="str">
            <v xml:space="preserve"> AB1290_E</v>
          </cell>
          <cell r="AF2" t="str">
            <v xml:space="preserve"> ptax475_E</v>
          </cell>
          <cell r="AG2" t="str">
            <v xml:space="preserve"> preAB1290_E</v>
          </cell>
          <cell r="AH2" t="str">
            <v>portionptax475_E</v>
          </cell>
          <cell r="AI2" t="str">
            <v xml:space="preserve"> RDA_dev_1_E</v>
          </cell>
          <cell r="AJ2" t="str">
            <v xml:space="preserve"> RDA_dev_2_E</v>
          </cell>
          <cell r="AK2" t="str">
            <v xml:space="preserve"> Prior_Year_E</v>
          </cell>
          <cell r="AL2" t="str">
            <v xml:space="preserve"> Timber_Yield_E</v>
          </cell>
          <cell r="AM2" t="str">
            <v xml:space="preserve"> Homeowner_PTR_E</v>
          </cell>
          <cell r="AN2" t="str">
            <v xml:space="preserve"> Other_E</v>
          </cell>
          <cell r="AO2" t="str">
            <v xml:space="preserve"> ERAF_E</v>
          </cell>
          <cell r="AP2" t="str">
            <v xml:space="preserve"> TOT_PTR_E</v>
          </cell>
          <cell r="AQ2" t="str">
            <v xml:space="preserve"> Impd_Rev_E</v>
          </cell>
          <cell r="AR2" t="str">
            <v xml:space="preserve"> FY1_E</v>
          </cell>
          <cell r="AS2" t="str">
            <v xml:space="preserve"> FY2_E</v>
          </cell>
          <cell r="AT2" t="str">
            <v xml:space="preserve"> FY3_E</v>
          </cell>
          <cell r="AU2" t="str">
            <v xml:space="preserve"> FY1</v>
          </cell>
          <cell r="AV2" t="str">
            <v xml:space="preserve"> FY2</v>
          </cell>
          <cell r="AW2" t="str">
            <v xml:space="preserve"> FY3</v>
          </cell>
        </row>
        <row r="3">
          <cell r="C3" t="str">
            <v xml:space="preserve"> ALLAN HANCOCK</v>
          </cell>
          <cell r="D3" t="str">
            <v xml:space="preserve"> SAN LUIS OBISPO</v>
          </cell>
          <cell r="E3">
            <v>610</v>
          </cell>
          <cell r="F3" t="str">
            <v xml:space="preserve"> 2016-2017</v>
          </cell>
          <cell r="G3" t="str">
            <v xml:space="preserve"> 04/15/2017</v>
          </cell>
          <cell r="H3">
            <v>0</v>
          </cell>
          <cell r="I3">
            <v>0</v>
          </cell>
          <cell r="J3">
            <v>0</v>
          </cell>
          <cell r="K3">
            <v>0</v>
          </cell>
          <cell r="L3">
            <v>0</v>
          </cell>
          <cell r="M3">
            <v>0</v>
          </cell>
          <cell r="N3">
            <v>0</v>
          </cell>
          <cell r="O3">
            <v>0</v>
          </cell>
          <cell r="P3">
            <v>0</v>
          </cell>
          <cell r="Q3">
            <v>0</v>
          </cell>
          <cell r="R3">
            <v>0</v>
          </cell>
          <cell r="S3">
            <v>0</v>
          </cell>
          <cell r="T3">
            <v>0</v>
          </cell>
          <cell r="U3">
            <v>0</v>
          </cell>
          <cell r="V3" t="str">
            <v xml:space="preserve"> </v>
          </cell>
          <cell r="W3">
            <v>0</v>
          </cell>
          <cell r="X3">
            <v>0</v>
          </cell>
          <cell r="Y3">
            <v>0</v>
          </cell>
          <cell r="Z3">
            <v>0</v>
          </cell>
          <cell r="AA3">
            <v>0</v>
          </cell>
          <cell r="AB3">
            <v>37634</v>
          </cell>
          <cell r="AC3">
            <v>0</v>
          </cell>
          <cell r="AD3">
            <v>746</v>
          </cell>
          <cell r="AE3">
            <v>0</v>
          </cell>
          <cell r="AF3">
            <v>0</v>
          </cell>
          <cell r="AG3">
            <v>0</v>
          </cell>
          <cell r="AH3">
            <v>0</v>
          </cell>
          <cell r="AI3">
            <v>0</v>
          </cell>
          <cell r="AJ3">
            <v>0</v>
          </cell>
          <cell r="AK3">
            <v>-31</v>
          </cell>
          <cell r="AL3">
            <v>0</v>
          </cell>
          <cell r="AM3">
            <v>239</v>
          </cell>
          <cell r="AN3">
            <v>0</v>
          </cell>
          <cell r="AO3">
            <v>0</v>
          </cell>
          <cell r="AP3">
            <v>38588</v>
          </cell>
          <cell r="AQ3">
            <v>0</v>
          </cell>
          <cell r="AR3">
            <v>0</v>
          </cell>
          <cell r="AS3">
            <v>0</v>
          </cell>
          <cell r="AT3">
            <v>0</v>
          </cell>
          <cell r="AU3" t="str">
            <v xml:space="preserve"> </v>
          </cell>
          <cell r="AV3" t="str">
            <v xml:space="preserve"> </v>
          </cell>
          <cell r="AW3" t="str">
            <v xml:space="preserve"> </v>
          </cell>
        </row>
        <row r="4">
          <cell r="C4" t="str">
            <v xml:space="preserve"> ALLAN HANCOCK</v>
          </cell>
          <cell r="D4" t="str">
            <v xml:space="preserve"> SANTA BARBARA</v>
          </cell>
          <cell r="E4">
            <v>610</v>
          </cell>
          <cell r="F4" t="str">
            <v xml:space="preserve"> 2016-2017</v>
          </cell>
          <cell r="G4" t="str">
            <v xml:space="preserve"> 04/15/2017</v>
          </cell>
          <cell r="H4">
            <v>0</v>
          </cell>
          <cell r="I4">
            <v>0</v>
          </cell>
          <cell r="J4">
            <v>0</v>
          </cell>
          <cell r="K4">
            <v>0</v>
          </cell>
          <cell r="L4">
            <v>0</v>
          </cell>
          <cell r="M4">
            <v>0</v>
          </cell>
          <cell r="N4">
            <v>0</v>
          </cell>
          <cell r="O4">
            <v>0</v>
          </cell>
          <cell r="P4">
            <v>0</v>
          </cell>
          <cell r="Q4">
            <v>0</v>
          </cell>
          <cell r="R4">
            <v>0</v>
          </cell>
          <cell r="S4">
            <v>0</v>
          </cell>
          <cell r="T4">
            <v>0</v>
          </cell>
          <cell r="U4">
            <v>0</v>
          </cell>
          <cell r="V4" t="str">
            <v xml:space="preserve"> </v>
          </cell>
          <cell r="W4">
            <v>0</v>
          </cell>
          <cell r="X4">
            <v>0</v>
          </cell>
          <cell r="Y4">
            <v>0</v>
          </cell>
          <cell r="Z4">
            <v>0</v>
          </cell>
          <cell r="AA4">
            <v>0</v>
          </cell>
          <cell r="AB4">
            <v>13036628</v>
          </cell>
          <cell r="AC4">
            <v>266241</v>
          </cell>
          <cell r="AD4">
            <v>542703</v>
          </cell>
          <cell r="AE4">
            <v>50189</v>
          </cell>
          <cell r="AF4">
            <v>23840</v>
          </cell>
          <cell r="AG4">
            <v>0</v>
          </cell>
          <cell r="AH4">
            <v>0</v>
          </cell>
          <cell r="AI4">
            <v>190371</v>
          </cell>
          <cell r="AJ4">
            <v>0</v>
          </cell>
          <cell r="AK4">
            <v>112030</v>
          </cell>
          <cell r="AL4">
            <v>0</v>
          </cell>
          <cell r="AM4">
            <v>71467</v>
          </cell>
          <cell r="AN4">
            <v>0</v>
          </cell>
          <cell r="AO4">
            <v>2585011</v>
          </cell>
          <cell r="AP4">
            <v>16828291</v>
          </cell>
          <cell r="AQ4">
            <v>0</v>
          </cell>
          <cell r="AR4">
            <v>0</v>
          </cell>
          <cell r="AS4">
            <v>0</v>
          </cell>
          <cell r="AT4">
            <v>0</v>
          </cell>
          <cell r="AU4" t="str">
            <v xml:space="preserve"> </v>
          </cell>
          <cell r="AV4" t="str">
            <v xml:space="preserve"> </v>
          </cell>
          <cell r="AW4" t="str">
            <v xml:space="preserve"> </v>
          </cell>
        </row>
        <row r="5">
          <cell r="C5" t="str">
            <v xml:space="preserve"> ALLAN HANCOCK</v>
          </cell>
          <cell r="D5" t="str">
            <v xml:space="preserve"> VENTURA</v>
          </cell>
          <cell r="E5">
            <v>610</v>
          </cell>
          <cell r="F5" t="str">
            <v xml:space="preserve"> 2016-2017</v>
          </cell>
          <cell r="G5" t="str">
            <v xml:space="preserve"> 04/15/2017</v>
          </cell>
          <cell r="H5">
            <v>0</v>
          </cell>
          <cell r="I5">
            <v>0</v>
          </cell>
          <cell r="J5">
            <v>0</v>
          </cell>
          <cell r="K5">
            <v>0</v>
          </cell>
          <cell r="L5">
            <v>0</v>
          </cell>
          <cell r="M5">
            <v>0</v>
          </cell>
          <cell r="N5">
            <v>0</v>
          </cell>
          <cell r="O5">
            <v>0</v>
          </cell>
          <cell r="P5">
            <v>0</v>
          </cell>
          <cell r="Q5">
            <v>0</v>
          </cell>
          <cell r="R5">
            <v>0</v>
          </cell>
          <cell r="S5">
            <v>0</v>
          </cell>
          <cell r="T5">
            <v>0</v>
          </cell>
          <cell r="U5">
            <v>0</v>
          </cell>
          <cell r="V5" t="str">
            <v xml:space="preserve"> </v>
          </cell>
          <cell r="W5">
            <v>0</v>
          </cell>
          <cell r="X5">
            <v>0</v>
          </cell>
          <cell r="Y5">
            <v>0</v>
          </cell>
          <cell r="Z5">
            <v>0</v>
          </cell>
          <cell r="AA5">
            <v>0</v>
          </cell>
          <cell r="AB5">
            <v>19851</v>
          </cell>
          <cell r="AC5">
            <v>214</v>
          </cell>
          <cell r="AD5">
            <v>623</v>
          </cell>
          <cell r="AE5">
            <v>0</v>
          </cell>
          <cell r="AF5">
            <v>0</v>
          </cell>
          <cell r="AG5">
            <v>0</v>
          </cell>
          <cell r="AH5">
            <v>0</v>
          </cell>
          <cell r="AI5">
            <v>0</v>
          </cell>
          <cell r="AJ5">
            <v>0</v>
          </cell>
          <cell r="AK5">
            <v>30</v>
          </cell>
          <cell r="AL5">
            <v>0</v>
          </cell>
          <cell r="AM5">
            <v>160</v>
          </cell>
          <cell r="AN5">
            <v>0</v>
          </cell>
          <cell r="AO5">
            <v>0</v>
          </cell>
          <cell r="AP5">
            <v>20878</v>
          </cell>
          <cell r="AQ5">
            <v>0</v>
          </cell>
          <cell r="AR5">
            <v>0</v>
          </cell>
          <cell r="AS5">
            <v>0</v>
          </cell>
          <cell r="AT5">
            <v>0</v>
          </cell>
          <cell r="AU5" t="str">
            <v xml:space="preserve"> </v>
          </cell>
          <cell r="AV5" t="str">
            <v xml:space="preserve"> </v>
          </cell>
          <cell r="AW5" t="str">
            <v xml:space="preserve"> </v>
          </cell>
        </row>
        <row r="6">
          <cell r="C6" t="str">
            <v>ALLAN HANCOCK Subtotal</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13094113</v>
          </cell>
          <cell r="AC6">
            <v>266455</v>
          </cell>
          <cell r="AD6">
            <v>544072</v>
          </cell>
          <cell r="AE6">
            <v>50189</v>
          </cell>
          <cell r="AF6">
            <v>23840</v>
          </cell>
          <cell r="AG6">
            <v>0</v>
          </cell>
          <cell r="AH6">
            <v>0</v>
          </cell>
          <cell r="AI6">
            <v>190371</v>
          </cell>
          <cell r="AJ6">
            <v>0</v>
          </cell>
          <cell r="AK6">
            <v>112029</v>
          </cell>
          <cell r="AL6">
            <v>0</v>
          </cell>
          <cell r="AM6">
            <v>71866</v>
          </cell>
          <cell r="AN6">
            <v>0</v>
          </cell>
          <cell r="AO6">
            <v>2585011</v>
          </cell>
          <cell r="AP6">
            <v>16887757</v>
          </cell>
          <cell r="AQ6">
            <v>0</v>
          </cell>
          <cell r="AR6">
            <v>0</v>
          </cell>
          <cell r="AS6">
            <v>0</v>
          </cell>
          <cell r="AT6">
            <v>0</v>
          </cell>
          <cell r="AU6">
            <v>0</v>
          </cell>
          <cell r="AV6">
            <v>0</v>
          </cell>
          <cell r="AW6">
            <v>0</v>
          </cell>
        </row>
        <row r="8">
          <cell r="C8" t="str">
            <v xml:space="preserve"> ANTELOPE VALLEY</v>
          </cell>
          <cell r="D8" t="str">
            <v xml:space="preserve"> KERN</v>
          </cell>
          <cell r="E8">
            <v>620</v>
          </cell>
          <cell r="F8" t="str">
            <v xml:space="preserve"> 2016-2017</v>
          </cell>
          <cell r="G8" t="str">
            <v xml:space="preserve"> 04/15/2017</v>
          </cell>
          <cell r="H8">
            <v>0</v>
          </cell>
          <cell r="I8">
            <v>0</v>
          </cell>
          <cell r="J8">
            <v>0</v>
          </cell>
          <cell r="K8">
            <v>0</v>
          </cell>
          <cell r="L8">
            <v>0</v>
          </cell>
          <cell r="M8">
            <v>0</v>
          </cell>
          <cell r="N8">
            <v>0</v>
          </cell>
          <cell r="O8">
            <v>0</v>
          </cell>
          <cell r="P8">
            <v>0</v>
          </cell>
          <cell r="Q8">
            <v>0</v>
          </cell>
          <cell r="R8">
            <v>0</v>
          </cell>
          <cell r="S8">
            <v>0</v>
          </cell>
          <cell r="T8">
            <v>0</v>
          </cell>
          <cell r="U8">
            <v>0</v>
          </cell>
          <cell r="V8" t="str">
            <v xml:space="preserve"> </v>
          </cell>
          <cell r="W8">
            <v>0</v>
          </cell>
          <cell r="X8">
            <v>0</v>
          </cell>
          <cell r="Y8">
            <v>0</v>
          </cell>
          <cell r="Z8">
            <v>0</v>
          </cell>
          <cell r="AA8">
            <v>0</v>
          </cell>
          <cell r="AB8">
            <v>853363</v>
          </cell>
          <cell r="AC8">
            <v>0</v>
          </cell>
          <cell r="AD8">
            <v>83763</v>
          </cell>
          <cell r="AE8">
            <v>0</v>
          </cell>
          <cell r="AF8">
            <v>0</v>
          </cell>
          <cell r="AG8">
            <v>0</v>
          </cell>
          <cell r="AH8">
            <v>0</v>
          </cell>
          <cell r="AI8">
            <v>0</v>
          </cell>
          <cell r="AJ8">
            <v>0</v>
          </cell>
          <cell r="AK8">
            <v>0</v>
          </cell>
          <cell r="AL8">
            <v>0</v>
          </cell>
          <cell r="AM8">
            <v>7948</v>
          </cell>
          <cell r="AN8">
            <v>0</v>
          </cell>
          <cell r="AO8">
            <v>0</v>
          </cell>
          <cell r="AP8">
            <v>945074</v>
          </cell>
          <cell r="AQ8">
            <v>0</v>
          </cell>
          <cell r="AR8">
            <v>0</v>
          </cell>
          <cell r="AS8">
            <v>0</v>
          </cell>
          <cell r="AT8">
            <v>0</v>
          </cell>
          <cell r="AU8" t="str">
            <v xml:space="preserve"> </v>
          </cell>
          <cell r="AV8" t="str">
            <v xml:space="preserve"> </v>
          </cell>
          <cell r="AW8" t="str">
            <v xml:space="preserve"> </v>
          </cell>
        </row>
        <row r="9">
          <cell r="C9" t="str">
            <v xml:space="preserve"> ANTELOPE VALLEY</v>
          </cell>
          <cell r="D9" t="str">
            <v xml:space="preserve"> LOS ANGELES</v>
          </cell>
          <cell r="E9">
            <v>620</v>
          </cell>
          <cell r="F9" t="str">
            <v xml:space="preserve"> 2016-2017</v>
          </cell>
          <cell r="G9" t="str">
            <v xml:space="preserve"> 04/15/2017</v>
          </cell>
          <cell r="H9">
            <v>0</v>
          </cell>
          <cell r="I9">
            <v>0</v>
          </cell>
          <cell r="J9">
            <v>0</v>
          </cell>
          <cell r="K9">
            <v>0</v>
          </cell>
          <cell r="L9">
            <v>0</v>
          </cell>
          <cell r="M9">
            <v>0</v>
          </cell>
          <cell r="N9">
            <v>0</v>
          </cell>
          <cell r="O9">
            <v>0</v>
          </cell>
          <cell r="P9">
            <v>0</v>
          </cell>
          <cell r="Q9">
            <v>0</v>
          </cell>
          <cell r="R9">
            <v>0</v>
          </cell>
          <cell r="S9">
            <v>0</v>
          </cell>
          <cell r="T9">
            <v>0</v>
          </cell>
          <cell r="U9">
            <v>0</v>
          </cell>
          <cell r="V9" t="str">
            <v xml:space="preserve"> </v>
          </cell>
          <cell r="W9">
            <v>0</v>
          </cell>
          <cell r="X9">
            <v>0</v>
          </cell>
          <cell r="Y9">
            <v>0</v>
          </cell>
          <cell r="Z9">
            <v>0</v>
          </cell>
          <cell r="AA9">
            <v>0</v>
          </cell>
          <cell r="AB9">
            <v>4873473</v>
          </cell>
          <cell r="AC9">
            <v>180521</v>
          </cell>
          <cell r="AD9">
            <v>173343</v>
          </cell>
          <cell r="AE9">
            <v>38275</v>
          </cell>
          <cell r="AF9">
            <v>18181</v>
          </cell>
          <cell r="AG9">
            <v>0</v>
          </cell>
          <cell r="AH9">
            <v>0</v>
          </cell>
          <cell r="AI9">
            <v>59666</v>
          </cell>
          <cell r="AJ9">
            <v>51389</v>
          </cell>
          <cell r="AK9">
            <v>39004</v>
          </cell>
          <cell r="AL9">
            <v>0</v>
          </cell>
          <cell r="AM9">
            <v>32254</v>
          </cell>
          <cell r="AN9">
            <v>0</v>
          </cell>
          <cell r="AO9">
            <v>0</v>
          </cell>
          <cell r="AP9">
            <v>5427831</v>
          </cell>
          <cell r="AQ9">
            <v>0</v>
          </cell>
          <cell r="AR9">
            <v>0</v>
          </cell>
          <cell r="AS9">
            <v>0</v>
          </cell>
          <cell r="AT9">
            <v>0</v>
          </cell>
          <cell r="AU9" t="str">
            <v xml:space="preserve"> </v>
          </cell>
          <cell r="AV9" t="str">
            <v xml:space="preserve"> </v>
          </cell>
          <cell r="AW9" t="str">
            <v xml:space="preserve"> </v>
          </cell>
        </row>
        <row r="10">
          <cell r="C10" t="str">
            <v>ANTELOPE VALLEY Subtotal</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5726836</v>
          </cell>
          <cell r="AC10">
            <v>180521</v>
          </cell>
          <cell r="AD10">
            <v>257106</v>
          </cell>
          <cell r="AE10">
            <v>38275</v>
          </cell>
          <cell r="AF10">
            <v>18181</v>
          </cell>
          <cell r="AG10">
            <v>0</v>
          </cell>
          <cell r="AH10">
            <v>0</v>
          </cell>
          <cell r="AI10">
            <v>59666</v>
          </cell>
          <cell r="AJ10">
            <v>51389</v>
          </cell>
          <cell r="AK10">
            <v>39004</v>
          </cell>
          <cell r="AL10">
            <v>0</v>
          </cell>
          <cell r="AM10">
            <v>40202</v>
          </cell>
          <cell r="AN10">
            <v>0</v>
          </cell>
          <cell r="AO10">
            <v>0</v>
          </cell>
          <cell r="AP10">
            <v>6372905</v>
          </cell>
          <cell r="AQ10">
            <v>0</v>
          </cell>
          <cell r="AR10">
            <v>0</v>
          </cell>
          <cell r="AS10">
            <v>0</v>
          </cell>
          <cell r="AT10">
            <v>0</v>
          </cell>
          <cell r="AU10">
            <v>0</v>
          </cell>
          <cell r="AV10">
            <v>0</v>
          </cell>
          <cell r="AW10">
            <v>0</v>
          </cell>
        </row>
        <row r="12">
          <cell r="C12" t="str">
            <v xml:space="preserve"> BARSTOW</v>
          </cell>
          <cell r="D12" t="str">
            <v xml:space="preserve"> SAN BERNARDINO</v>
          </cell>
          <cell r="E12">
            <v>910</v>
          </cell>
          <cell r="F12" t="str">
            <v xml:space="preserve"> 2016-2017</v>
          </cell>
          <cell r="G12" t="str">
            <v xml:space="preserve"> 04/15/2017</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t="str">
            <v xml:space="preserve"> </v>
          </cell>
          <cell r="W12">
            <v>0</v>
          </cell>
          <cell r="X12">
            <v>0</v>
          </cell>
          <cell r="Y12">
            <v>0</v>
          </cell>
          <cell r="Z12">
            <v>0</v>
          </cell>
          <cell r="AA12">
            <v>0</v>
          </cell>
          <cell r="AB12">
            <v>3225715</v>
          </cell>
          <cell r="AC12">
            <v>59131</v>
          </cell>
          <cell r="AD12">
            <v>84809</v>
          </cell>
          <cell r="AE12">
            <v>52835</v>
          </cell>
          <cell r="AF12">
            <v>25097</v>
          </cell>
          <cell r="AG12">
            <v>0</v>
          </cell>
          <cell r="AH12">
            <v>0</v>
          </cell>
          <cell r="AI12">
            <v>191504</v>
          </cell>
          <cell r="AJ12">
            <v>17151</v>
          </cell>
          <cell r="AK12">
            <v>4996</v>
          </cell>
          <cell r="AL12">
            <v>0</v>
          </cell>
          <cell r="AM12">
            <v>26261</v>
          </cell>
          <cell r="AN12">
            <v>0</v>
          </cell>
          <cell r="AO12">
            <v>-545674</v>
          </cell>
          <cell r="AP12">
            <v>3088990</v>
          </cell>
          <cell r="AQ12">
            <v>0</v>
          </cell>
          <cell r="AR12">
            <v>0</v>
          </cell>
          <cell r="AS12">
            <v>0</v>
          </cell>
          <cell r="AT12">
            <v>0</v>
          </cell>
          <cell r="AU12" t="str">
            <v xml:space="preserve"> </v>
          </cell>
          <cell r="AV12" t="str">
            <v xml:space="preserve"> </v>
          </cell>
          <cell r="AW12" t="str">
            <v xml:space="preserve"> </v>
          </cell>
        </row>
        <row r="13">
          <cell r="C13" t="str">
            <v xml:space="preserve">BARSTOW Subtotal       </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3225715</v>
          </cell>
          <cell r="AC13">
            <v>59131</v>
          </cell>
          <cell r="AD13">
            <v>84809</v>
          </cell>
          <cell r="AE13">
            <v>52835</v>
          </cell>
          <cell r="AF13">
            <v>25097</v>
          </cell>
          <cell r="AG13">
            <v>0</v>
          </cell>
          <cell r="AH13">
            <v>0</v>
          </cell>
          <cell r="AI13">
            <v>191504</v>
          </cell>
          <cell r="AJ13">
            <v>17151</v>
          </cell>
          <cell r="AK13">
            <v>4996</v>
          </cell>
          <cell r="AL13">
            <v>0</v>
          </cell>
          <cell r="AM13">
            <v>26261</v>
          </cell>
          <cell r="AN13">
            <v>0</v>
          </cell>
          <cell r="AO13">
            <v>-545674</v>
          </cell>
          <cell r="AP13">
            <v>3088990</v>
          </cell>
          <cell r="AQ13">
            <v>0</v>
          </cell>
          <cell r="AR13">
            <v>0</v>
          </cell>
          <cell r="AS13">
            <v>0</v>
          </cell>
          <cell r="AT13">
            <v>0</v>
          </cell>
          <cell r="AU13">
            <v>0</v>
          </cell>
          <cell r="AV13">
            <v>0</v>
          </cell>
          <cell r="AW13">
            <v>0</v>
          </cell>
        </row>
        <row r="15">
          <cell r="C15" t="str">
            <v xml:space="preserve"> BUTTE</v>
          </cell>
          <cell r="D15" t="str">
            <v xml:space="preserve"> BUTTE</v>
          </cell>
          <cell r="E15">
            <v>110</v>
          </cell>
          <cell r="F15" t="str">
            <v xml:space="preserve"> 2016-2017</v>
          </cell>
          <cell r="G15" t="str">
            <v xml:space="preserve"> 04/15/2017</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t="str">
            <v xml:space="preserve"> </v>
          </cell>
          <cell r="W15">
            <v>0</v>
          </cell>
          <cell r="X15">
            <v>0</v>
          </cell>
          <cell r="Y15">
            <v>0</v>
          </cell>
          <cell r="Z15">
            <v>0</v>
          </cell>
          <cell r="AA15">
            <v>0</v>
          </cell>
          <cell r="AB15">
            <v>13064600</v>
          </cell>
          <cell r="AC15">
            <v>115100</v>
          </cell>
          <cell r="AD15">
            <v>788500</v>
          </cell>
          <cell r="AE15">
            <v>18886</v>
          </cell>
          <cell r="AF15">
            <v>8971</v>
          </cell>
          <cell r="AG15">
            <v>0</v>
          </cell>
          <cell r="AH15">
            <v>0</v>
          </cell>
          <cell r="AI15">
            <v>551663</v>
          </cell>
          <cell r="AJ15">
            <v>0</v>
          </cell>
          <cell r="AK15">
            <v>23300</v>
          </cell>
          <cell r="AL15">
            <v>30000</v>
          </cell>
          <cell r="AM15">
            <v>214400</v>
          </cell>
          <cell r="AN15">
            <v>4100</v>
          </cell>
          <cell r="AO15">
            <v>-2386849</v>
          </cell>
          <cell r="AP15">
            <v>12413785</v>
          </cell>
          <cell r="AQ15">
            <v>0</v>
          </cell>
          <cell r="AR15">
            <v>0</v>
          </cell>
          <cell r="AS15">
            <v>0</v>
          </cell>
          <cell r="AT15">
            <v>0</v>
          </cell>
          <cell r="AU15" t="str">
            <v xml:space="preserve"> </v>
          </cell>
          <cell r="AV15" t="str">
            <v xml:space="preserve"> </v>
          </cell>
          <cell r="AW15" t="str">
            <v xml:space="preserve"> </v>
          </cell>
        </row>
        <row r="16">
          <cell r="C16" t="str">
            <v xml:space="preserve"> BUTTE</v>
          </cell>
          <cell r="D16" t="str">
            <v xml:space="preserve"> GLENN</v>
          </cell>
          <cell r="E16">
            <v>110</v>
          </cell>
          <cell r="F16" t="str">
            <v xml:space="preserve"> 2016-2017</v>
          </cell>
          <cell r="G16" t="str">
            <v xml:space="preserve"> 04/15/2017</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t="str">
            <v xml:space="preserve"> </v>
          </cell>
          <cell r="W16">
            <v>0</v>
          </cell>
          <cell r="X16">
            <v>0</v>
          </cell>
          <cell r="Y16">
            <v>0</v>
          </cell>
          <cell r="Z16">
            <v>0</v>
          </cell>
          <cell r="AA16">
            <v>0</v>
          </cell>
          <cell r="AB16">
            <v>2388359</v>
          </cell>
          <cell r="AC16">
            <v>27765</v>
          </cell>
          <cell r="AD16">
            <v>117386</v>
          </cell>
          <cell r="AE16">
            <v>0</v>
          </cell>
          <cell r="AF16">
            <v>0</v>
          </cell>
          <cell r="AG16">
            <v>0</v>
          </cell>
          <cell r="AH16">
            <v>0</v>
          </cell>
          <cell r="AI16">
            <v>0</v>
          </cell>
          <cell r="AJ16">
            <v>0</v>
          </cell>
          <cell r="AK16">
            <v>0</v>
          </cell>
          <cell r="AL16">
            <v>0</v>
          </cell>
          <cell r="AM16">
            <v>26738</v>
          </cell>
          <cell r="AN16">
            <v>0</v>
          </cell>
          <cell r="AO16">
            <v>-81884</v>
          </cell>
          <cell r="AP16">
            <v>2478364</v>
          </cell>
          <cell r="AQ16">
            <v>0</v>
          </cell>
          <cell r="AR16">
            <v>0</v>
          </cell>
          <cell r="AS16">
            <v>0</v>
          </cell>
          <cell r="AT16">
            <v>0</v>
          </cell>
          <cell r="AU16" t="str">
            <v xml:space="preserve"> </v>
          </cell>
          <cell r="AV16" t="str">
            <v xml:space="preserve"> </v>
          </cell>
          <cell r="AW16" t="str">
            <v xml:space="preserve"> </v>
          </cell>
        </row>
        <row r="17">
          <cell r="C17" t="str">
            <v xml:space="preserve">BUTTE Subtotal            </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15452959</v>
          </cell>
          <cell r="AC17">
            <v>142865</v>
          </cell>
          <cell r="AD17">
            <v>905886</v>
          </cell>
          <cell r="AE17">
            <v>18886</v>
          </cell>
          <cell r="AF17">
            <v>8971</v>
          </cell>
          <cell r="AG17">
            <v>0</v>
          </cell>
          <cell r="AH17">
            <v>0</v>
          </cell>
          <cell r="AI17">
            <v>551663</v>
          </cell>
          <cell r="AJ17">
            <v>0</v>
          </cell>
          <cell r="AK17">
            <v>23300</v>
          </cell>
          <cell r="AL17">
            <v>30000</v>
          </cell>
          <cell r="AM17">
            <v>241138</v>
          </cell>
          <cell r="AN17">
            <v>4100</v>
          </cell>
          <cell r="AO17">
            <v>-2468733</v>
          </cell>
          <cell r="AP17">
            <v>14892149</v>
          </cell>
          <cell r="AQ17">
            <v>0</v>
          </cell>
          <cell r="AR17">
            <v>0</v>
          </cell>
          <cell r="AS17">
            <v>0</v>
          </cell>
          <cell r="AT17">
            <v>0</v>
          </cell>
          <cell r="AU17">
            <v>0</v>
          </cell>
          <cell r="AV17">
            <v>0</v>
          </cell>
          <cell r="AW17">
            <v>0</v>
          </cell>
        </row>
        <row r="19">
          <cell r="C19" t="str">
            <v xml:space="preserve"> CABRILLO</v>
          </cell>
          <cell r="D19" t="str">
            <v xml:space="preserve"> MONTEREY</v>
          </cell>
          <cell r="E19">
            <v>410</v>
          </cell>
          <cell r="F19" t="str">
            <v xml:space="preserve"> 2016-2017</v>
          </cell>
          <cell r="G19" t="str">
            <v xml:space="preserve"> 04/15/2017</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t="str">
            <v xml:space="preserve"> </v>
          </cell>
          <cell r="W19">
            <v>0</v>
          </cell>
          <cell r="X19">
            <v>0</v>
          </cell>
          <cell r="Y19">
            <v>0</v>
          </cell>
          <cell r="Z19">
            <v>0</v>
          </cell>
          <cell r="AA19">
            <v>0</v>
          </cell>
          <cell r="AB19">
            <v>842974</v>
          </cell>
          <cell r="AC19">
            <v>10703</v>
          </cell>
          <cell r="AD19">
            <v>32052</v>
          </cell>
          <cell r="AE19">
            <v>0</v>
          </cell>
          <cell r="AF19">
            <v>0</v>
          </cell>
          <cell r="AG19">
            <v>0</v>
          </cell>
          <cell r="AH19">
            <v>0</v>
          </cell>
          <cell r="AI19">
            <v>0</v>
          </cell>
          <cell r="AJ19">
            <v>0</v>
          </cell>
          <cell r="AK19">
            <v>7593</v>
          </cell>
          <cell r="AL19">
            <v>0</v>
          </cell>
          <cell r="AM19">
            <v>4539</v>
          </cell>
          <cell r="AN19">
            <v>0</v>
          </cell>
          <cell r="AO19">
            <v>0</v>
          </cell>
          <cell r="AP19">
            <v>897861</v>
          </cell>
          <cell r="AQ19">
            <v>0</v>
          </cell>
          <cell r="AR19">
            <v>0</v>
          </cell>
          <cell r="AS19">
            <v>0</v>
          </cell>
          <cell r="AT19">
            <v>0</v>
          </cell>
          <cell r="AU19" t="str">
            <v xml:space="preserve"> </v>
          </cell>
          <cell r="AV19" t="str">
            <v xml:space="preserve"> </v>
          </cell>
          <cell r="AW19" t="str">
            <v xml:space="preserve"> </v>
          </cell>
        </row>
        <row r="20">
          <cell r="C20" t="str">
            <v xml:space="preserve"> CABRILLO</v>
          </cell>
          <cell r="D20" t="str">
            <v xml:space="preserve"> SAN BENITO</v>
          </cell>
          <cell r="E20">
            <v>410</v>
          </cell>
          <cell r="F20" t="str">
            <v xml:space="preserve"> 2016-2017</v>
          </cell>
          <cell r="G20" t="str">
            <v xml:space="preserve"> 04/15/2017</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t="str">
            <v xml:space="preserve"> </v>
          </cell>
          <cell r="W20">
            <v>0</v>
          </cell>
          <cell r="X20">
            <v>0</v>
          </cell>
          <cell r="Y20">
            <v>0</v>
          </cell>
          <cell r="Z20">
            <v>0</v>
          </cell>
          <cell r="AA20">
            <v>0</v>
          </cell>
          <cell r="AB20">
            <v>174392</v>
          </cell>
          <cell r="AC20">
            <v>5013</v>
          </cell>
          <cell r="AD20">
            <v>10337</v>
          </cell>
          <cell r="AE20">
            <v>0</v>
          </cell>
          <cell r="AF20">
            <v>0</v>
          </cell>
          <cell r="AG20">
            <v>0</v>
          </cell>
          <cell r="AH20">
            <v>0</v>
          </cell>
          <cell r="AI20">
            <v>0</v>
          </cell>
          <cell r="AJ20">
            <v>0</v>
          </cell>
          <cell r="AK20">
            <v>0</v>
          </cell>
          <cell r="AL20">
            <v>0</v>
          </cell>
          <cell r="AM20">
            <v>1423</v>
          </cell>
          <cell r="AN20">
            <v>0</v>
          </cell>
          <cell r="AO20">
            <v>2748</v>
          </cell>
          <cell r="AP20">
            <v>193913</v>
          </cell>
          <cell r="AQ20">
            <v>0</v>
          </cell>
          <cell r="AR20">
            <v>0</v>
          </cell>
          <cell r="AS20">
            <v>0</v>
          </cell>
          <cell r="AT20">
            <v>0</v>
          </cell>
          <cell r="AU20" t="str">
            <v xml:space="preserve"> </v>
          </cell>
          <cell r="AV20" t="str">
            <v xml:space="preserve"> </v>
          </cell>
          <cell r="AW20" t="str">
            <v xml:space="preserve"> </v>
          </cell>
        </row>
        <row r="21">
          <cell r="C21" t="str">
            <v xml:space="preserve"> CABRILLO</v>
          </cell>
          <cell r="D21" t="str">
            <v xml:space="preserve"> SANTA CRUZ</v>
          </cell>
          <cell r="E21">
            <v>410</v>
          </cell>
          <cell r="F21" t="str">
            <v xml:space="preserve"> 2016-2017</v>
          </cell>
          <cell r="G21" t="str">
            <v xml:space="preserve"> 04/15/2017</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t="str">
            <v xml:space="preserve"> </v>
          </cell>
          <cell r="W21">
            <v>0</v>
          </cell>
          <cell r="X21">
            <v>0</v>
          </cell>
          <cell r="Y21">
            <v>0</v>
          </cell>
          <cell r="Z21">
            <v>0</v>
          </cell>
          <cell r="AA21">
            <v>0</v>
          </cell>
          <cell r="AB21">
            <v>20841499</v>
          </cell>
          <cell r="AC21">
            <v>372952</v>
          </cell>
          <cell r="AD21">
            <v>423699</v>
          </cell>
          <cell r="AE21">
            <v>441603</v>
          </cell>
          <cell r="AF21">
            <v>209761</v>
          </cell>
          <cell r="AG21">
            <v>0</v>
          </cell>
          <cell r="AH21">
            <v>0</v>
          </cell>
          <cell r="AI21">
            <v>1550474</v>
          </cell>
          <cell r="AJ21">
            <v>0</v>
          </cell>
          <cell r="AK21">
            <v>41605</v>
          </cell>
          <cell r="AL21">
            <v>7748</v>
          </cell>
          <cell r="AM21">
            <v>142701</v>
          </cell>
          <cell r="AN21">
            <v>1195</v>
          </cell>
          <cell r="AO21">
            <v>987475</v>
          </cell>
          <cell r="AP21">
            <v>24579109</v>
          </cell>
          <cell r="AQ21">
            <v>0</v>
          </cell>
          <cell r="AR21">
            <v>0</v>
          </cell>
          <cell r="AS21">
            <v>0</v>
          </cell>
          <cell r="AT21">
            <v>0</v>
          </cell>
          <cell r="AU21" t="str">
            <v xml:space="preserve"> </v>
          </cell>
          <cell r="AV21" t="str">
            <v xml:space="preserve"> </v>
          </cell>
          <cell r="AW21" t="str">
            <v xml:space="preserve"> </v>
          </cell>
        </row>
        <row r="22">
          <cell r="C22" t="str">
            <v xml:space="preserve">CABRILLO Subtotal          </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21858865</v>
          </cell>
          <cell r="AC22">
            <v>388668</v>
          </cell>
          <cell r="AD22">
            <v>466088</v>
          </cell>
          <cell r="AE22">
            <v>441603</v>
          </cell>
          <cell r="AF22">
            <v>209761</v>
          </cell>
          <cell r="AG22">
            <v>0</v>
          </cell>
          <cell r="AH22">
            <v>0</v>
          </cell>
          <cell r="AI22">
            <v>1550474</v>
          </cell>
          <cell r="AJ22">
            <v>0</v>
          </cell>
          <cell r="AK22">
            <v>49198</v>
          </cell>
          <cell r="AL22">
            <v>7748</v>
          </cell>
          <cell r="AM22">
            <v>148663</v>
          </cell>
          <cell r="AN22">
            <v>1195</v>
          </cell>
          <cell r="AO22">
            <v>990223</v>
          </cell>
          <cell r="AP22">
            <v>25670883</v>
          </cell>
          <cell r="AQ22">
            <v>0</v>
          </cell>
          <cell r="AR22">
            <v>0</v>
          </cell>
          <cell r="AS22">
            <v>0</v>
          </cell>
          <cell r="AT22">
            <v>0</v>
          </cell>
          <cell r="AU22">
            <v>0</v>
          </cell>
          <cell r="AV22">
            <v>0</v>
          </cell>
          <cell r="AW22">
            <v>0</v>
          </cell>
        </row>
        <row r="24">
          <cell r="C24" t="str">
            <v xml:space="preserve"> CERRITOS</v>
          </cell>
          <cell r="D24" t="str">
            <v xml:space="preserve"> LOS ANGELES</v>
          </cell>
          <cell r="E24">
            <v>810</v>
          </cell>
          <cell r="F24" t="str">
            <v xml:space="preserve"> 2016-2017</v>
          </cell>
          <cell r="G24" t="str">
            <v xml:space="preserve"> 04/15/2017</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t="str">
            <v xml:space="preserve"> </v>
          </cell>
          <cell r="W24">
            <v>0</v>
          </cell>
          <cell r="X24">
            <v>0</v>
          </cell>
          <cell r="Y24">
            <v>0</v>
          </cell>
          <cell r="Z24">
            <v>0</v>
          </cell>
          <cell r="AA24">
            <v>0</v>
          </cell>
          <cell r="AB24">
            <v>8126088</v>
          </cell>
          <cell r="AC24">
            <v>257748</v>
          </cell>
          <cell r="AD24">
            <v>210396</v>
          </cell>
          <cell r="AE24">
            <v>228268</v>
          </cell>
          <cell r="AF24">
            <v>108427</v>
          </cell>
          <cell r="AG24">
            <v>0</v>
          </cell>
          <cell r="AH24">
            <v>0</v>
          </cell>
          <cell r="AI24">
            <v>368129</v>
          </cell>
          <cell r="AJ24">
            <v>10747</v>
          </cell>
          <cell r="AK24">
            <v>166806</v>
          </cell>
          <cell r="AL24">
            <v>0</v>
          </cell>
          <cell r="AM24">
            <v>53824</v>
          </cell>
          <cell r="AN24">
            <v>267</v>
          </cell>
          <cell r="AO24">
            <v>0</v>
          </cell>
          <cell r="AP24">
            <v>9302432</v>
          </cell>
          <cell r="AQ24">
            <v>0</v>
          </cell>
          <cell r="AR24">
            <v>0</v>
          </cell>
          <cell r="AS24">
            <v>0</v>
          </cell>
          <cell r="AT24">
            <v>0</v>
          </cell>
          <cell r="AU24" t="str">
            <v xml:space="preserve"> </v>
          </cell>
          <cell r="AV24" t="str">
            <v xml:space="preserve"> </v>
          </cell>
          <cell r="AW24" t="str">
            <v xml:space="preserve"> </v>
          </cell>
        </row>
        <row r="25">
          <cell r="C25" t="str">
            <v xml:space="preserve">CERRITOS Subtotal     </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8126088</v>
          </cell>
          <cell r="AC25">
            <v>257748</v>
          </cell>
          <cell r="AD25">
            <v>210396</v>
          </cell>
          <cell r="AE25">
            <v>228268</v>
          </cell>
          <cell r="AF25">
            <v>108427</v>
          </cell>
          <cell r="AG25">
            <v>0</v>
          </cell>
          <cell r="AH25">
            <v>0</v>
          </cell>
          <cell r="AI25">
            <v>368129</v>
          </cell>
          <cell r="AJ25">
            <v>10747</v>
          </cell>
          <cell r="AK25">
            <v>166806</v>
          </cell>
          <cell r="AL25">
            <v>0</v>
          </cell>
          <cell r="AM25">
            <v>53824</v>
          </cell>
          <cell r="AN25">
            <v>267</v>
          </cell>
          <cell r="AO25">
            <v>0</v>
          </cell>
          <cell r="AP25">
            <v>9302432</v>
          </cell>
          <cell r="AQ25">
            <v>0</v>
          </cell>
          <cell r="AR25">
            <v>0</v>
          </cell>
          <cell r="AS25">
            <v>0</v>
          </cell>
          <cell r="AT25">
            <v>0</v>
          </cell>
          <cell r="AU25">
            <v>0</v>
          </cell>
          <cell r="AV25">
            <v>0</v>
          </cell>
          <cell r="AW25">
            <v>0</v>
          </cell>
        </row>
        <row r="27">
          <cell r="C27" t="str">
            <v xml:space="preserve"> CHABOT-LAS POSITAS</v>
          </cell>
          <cell r="D27" t="str">
            <v xml:space="preserve"> ALAMEDA</v>
          </cell>
          <cell r="E27">
            <v>480</v>
          </cell>
          <cell r="F27" t="str">
            <v xml:space="preserve"> 2016-2017</v>
          </cell>
          <cell r="G27" t="str">
            <v xml:space="preserve"> 04/15/2017</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t="str">
            <v xml:space="preserve"> </v>
          </cell>
          <cell r="W27">
            <v>0</v>
          </cell>
          <cell r="X27">
            <v>0</v>
          </cell>
          <cell r="Y27">
            <v>0</v>
          </cell>
          <cell r="Z27">
            <v>0</v>
          </cell>
          <cell r="AA27">
            <v>0</v>
          </cell>
          <cell r="AB27">
            <v>26065415</v>
          </cell>
          <cell r="AC27">
            <v>902342</v>
          </cell>
          <cell r="AD27">
            <v>1881866</v>
          </cell>
          <cell r="AE27">
            <v>812865</v>
          </cell>
          <cell r="AF27">
            <v>386111</v>
          </cell>
          <cell r="AG27">
            <v>0</v>
          </cell>
          <cell r="AH27">
            <v>0</v>
          </cell>
          <cell r="AI27">
            <v>938775</v>
          </cell>
          <cell r="AJ27">
            <v>0</v>
          </cell>
          <cell r="AK27">
            <v>-325023</v>
          </cell>
          <cell r="AL27">
            <v>0</v>
          </cell>
          <cell r="AM27">
            <v>209429</v>
          </cell>
          <cell r="AN27">
            <v>13</v>
          </cell>
          <cell r="AO27">
            <v>16789283</v>
          </cell>
          <cell r="AP27">
            <v>46848211</v>
          </cell>
          <cell r="AQ27">
            <v>0</v>
          </cell>
          <cell r="AR27">
            <v>0</v>
          </cell>
          <cell r="AS27">
            <v>0</v>
          </cell>
          <cell r="AT27">
            <v>0</v>
          </cell>
          <cell r="AU27" t="str">
            <v xml:space="preserve"> </v>
          </cell>
          <cell r="AV27" t="str">
            <v xml:space="preserve"> </v>
          </cell>
          <cell r="AW27" t="str">
            <v xml:space="preserve"> </v>
          </cell>
        </row>
        <row r="28">
          <cell r="C28" t="str">
            <v xml:space="preserve"> CHABOT-LAS POSITAS</v>
          </cell>
          <cell r="D28" t="str">
            <v xml:space="preserve"> CONTRA COSTA</v>
          </cell>
          <cell r="E28">
            <v>480</v>
          </cell>
          <cell r="F28" t="str">
            <v xml:space="preserve"> 2016-2017</v>
          </cell>
          <cell r="G28" t="str">
            <v xml:space="preserve"> 04/15/2017</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t="str">
            <v xml:space="preserve"> </v>
          </cell>
          <cell r="W28">
            <v>0</v>
          </cell>
          <cell r="X28">
            <v>0</v>
          </cell>
          <cell r="Y28">
            <v>0</v>
          </cell>
          <cell r="Z28">
            <v>0</v>
          </cell>
          <cell r="AA28">
            <v>0</v>
          </cell>
          <cell r="AB28">
            <v>300303</v>
          </cell>
          <cell r="AC28">
            <v>6500</v>
          </cell>
          <cell r="AD28">
            <v>8755</v>
          </cell>
          <cell r="AE28">
            <v>0</v>
          </cell>
          <cell r="AF28">
            <v>0</v>
          </cell>
          <cell r="AG28">
            <v>0</v>
          </cell>
          <cell r="AH28">
            <v>0</v>
          </cell>
          <cell r="AI28">
            <v>0</v>
          </cell>
          <cell r="AJ28">
            <v>0</v>
          </cell>
          <cell r="AK28">
            <v>0</v>
          </cell>
          <cell r="AL28">
            <v>0</v>
          </cell>
          <cell r="AM28">
            <v>2165</v>
          </cell>
          <cell r="AN28">
            <v>0</v>
          </cell>
          <cell r="AO28">
            <v>0</v>
          </cell>
          <cell r="AP28">
            <v>317723</v>
          </cell>
          <cell r="AQ28">
            <v>0</v>
          </cell>
          <cell r="AR28">
            <v>0</v>
          </cell>
          <cell r="AS28">
            <v>0</v>
          </cell>
          <cell r="AT28">
            <v>0</v>
          </cell>
          <cell r="AU28" t="str">
            <v xml:space="preserve"> </v>
          </cell>
          <cell r="AV28" t="str">
            <v xml:space="preserve"> </v>
          </cell>
          <cell r="AW28" t="str">
            <v xml:space="preserve"> </v>
          </cell>
        </row>
        <row r="29">
          <cell r="C29" t="str">
            <v>CHABOT-LAS POSITAS Subtotal</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26365718</v>
          </cell>
          <cell r="AC29">
            <v>908842</v>
          </cell>
          <cell r="AD29">
            <v>1890621</v>
          </cell>
          <cell r="AE29">
            <v>812865</v>
          </cell>
          <cell r="AF29">
            <v>386111</v>
          </cell>
          <cell r="AG29">
            <v>0</v>
          </cell>
          <cell r="AH29">
            <v>0</v>
          </cell>
          <cell r="AI29">
            <v>938775</v>
          </cell>
          <cell r="AJ29">
            <v>0</v>
          </cell>
          <cell r="AK29">
            <v>-325023</v>
          </cell>
          <cell r="AL29">
            <v>0</v>
          </cell>
          <cell r="AM29">
            <v>211594</v>
          </cell>
          <cell r="AN29">
            <v>13</v>
          </cell>
          <cell r="AO29">
            <v>16789283</v>
          </cell>
          <cell r="AP29">
            <v>47165934</v>
          </cell>
          <cell r="AQ29">
            <v>0</v>
          </cell>
          <cell r="AR29">
            <v>0</v>
          </cell>
          <cell r="AS29">
            <v>0</v>
          </cell>
          <cell r="AT29">
            <v>0</v>
          </cell>
          <cell r="AU29">
            <v>0</v>
          </cell>
          <cell r="AV29">
            <v>0</v>
          </cell>
          <cell r="AW29">
            <v>0</v>
          </cell>
        </row>
        <row r="31">
          <cell r="C31" t="str">
            <v xml:space="preserve"> CHAFFEY</v>
          </cell>
          <cell r="D31" t="str">
            <v xml:space="preserve"> SAN BERNARDINO</v>
          </cell>
          <cell r="E31">
            <v>920</v>
          </cell>
          <cell r="F31" t="str">
            <v xml:space="preserve"> 2016-2017</v>
          </cell>
          <cell r="G31" t="str">
            <v xml:space="preserve"> 04/15/2017</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t="str">
            <v xml:space="preserve"> </v>
          </cell>
          <cell r="W31">
            <v>0</v>
          </cell>
          <cell r="X31">
            <v>0</v>
          </cell>
          <cell r="Y31">
            <v>0</v>
          </cell>
          <cell r="Z31">
            <v>0</v>
          </cell>
          <cell r="AA31">
            <v>0</v>
          </cell>
          <cell r="AB31">
            <v>27028281</v>
          </cell>
          <cell r="AC31">
            <v>479150</v>
          </cell>
          <cell r="AD31">
            <v>973812</v>
          </cell>
          <cell r="AE31">
            <v>2089047</v>
          </cell>
          <cell r="AF31">
            <v>992297</v>
          </cell>
          <cell r="AG31">
            <v>0</v>
          </cell>
          <cell r="AH31">
            <v>0</v>
          </cell>
          <cell r="AI31">
            <v>6284487</v>
          </cell>
          <cell r="AJ31">
            <v>14452</v>
          </cell>
          <cell r="AK31">
            <v>37584</v>
          </cell>
          <cell r="AL31">
            <v>0</v>
          </cell>
          <cell r="AM31">
            <v>301538</v>
          </cell>
          <cell r="AN31">
            <v>0</v>
          </cell>
          <cell r="AO31">
            <v>-6265626</v>
          </cell>
          <cell r="AP31">
            <v>29845975</v>
          </cell>
          <cell r="AQ31">
            <v>0</v>
          </cell>
          <cell r="AR31">
            <v>0</v>
          </cell>
          <cell r="AS31">
            <v>0</v>
          </cell>
          <cell r="AT31">
            <v>0</v>
          </cell>
          <cell r="AU31" t="str">
            <v xml:space="preserve"> </v>
          </cell>
          <cell r="AV31" t="str">
            <v xml:space="preserve"> </v>
          </cell>
          <cell r="AW31" t="str">
            <v xml:space="preserve"> </v>
          </cell>
        </row>
        <row r="32">
          <cell r="C32" t="str">
            <v xml:space="preserve">CHAFFEY Subtotal     </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27028281</v>
          </cell>
          <cell r="AC32">
            <v>479150</v>
          </cell>
          <cell r="AD32">
            <v>973812</v>
          </cell>
          <cell r="AE32">
            <v>2089047</v>
          </cell>
          <cell r="AF32">
            <v>992297</v>
          </cell>
          <cell r="AG32">
            <v>0</v>
          </cell>
          <cell r="AH32">
            <v>0</v>
          </cell>
          <cell r="AI32">
            <v>6284487</v>
          </cell>
          <cell r="AJ32">
            <v>14452</v>
          </cell>
          <cell r="AK32">
            <v>37584</v>
          </cell>
          <cell r="AL32">
            <v>0</v>
          </cell>
          <cell r="AM32">
            <v>301538</v>
          </cell>
          <cell r="AN32">
            <v>0</v>
          </cell>
          <cell r="AO32">
            <v>-6265626</v>
          </cell>
          <cell r="AP32">
            <v>29845975</v>
          </cell>
          <cell r="AQ32">
            <v>0</v>
          </cell>
          <cell r="AR32">
            <v>0</v>
          </cell>
          <cell r="AS32">
            <v>0</v>
          </cell>
          <cell r="AT32">
            <v>0</v>
          </cell>
          <cell r="AU32">
            <v>0</v>
          </cell>
          <cell r="AV32">
            <v>0</v>
          </cell>
          <cell r="AW32">
            <v>0</v>
          </cell>
        </row>
        <row r="34">
          <cell r="C34" t="str">
            <v xml:space="preserve"> CITRUS</v>
          </cell>
          <cell r="D34" t="str">
            <v xml:space="preserve"> LOS ANGELES</v>
          </cell>
          <cell r="E34">
            <v>820</v>
          </cell>
          <cell r="F34" t="str">
            <v xml:space="preserve"> 2016-2017</v>
          </cell>
          <cell r="G34" t="str">
            <v xml:space="preserve"> 04/15/2017</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t="str">
            <v xml:space="preserve"> </v>
          </cell>
          <cell r="W34">
            <v>0</v>
          </cell>
          <cell r="X34">
            <v>0</v>
          </cell>
          <cell r="Y34">
            <v>0</v>
          </cell>
          <cell r="Z34">
            <v>0</v>
          </cell>
          <cell r="AA34">
            <v>0</v>
          </cell>
          <cell r="AB34">
            <v>4696807</v>
          </cell>
          <cell r="AC34">
            <v>136730</v>
          </cell>
          <cell r="AD34">
            <v>103787</v>
          </cell>
          <cell r="AE34">
            <v>102929</v>
          </cell>
          <cell r="AF34">
            <v>48891</v>
          </cell>
          <cell r="AG34">
            <v>0</v>
          </cell>
          <cell r="AH34">
            <v>0</v>
          </cell>
          <cell r="AI34">
            <v>88342</v>
          </cell>
          <cell r="AJ34">
            <v>21813</v>
          </cell>
          <cell r="AK34">
            <v>688637</v>
          </cell>
          <cell r="AL34">
            <v>0</v>
          </cell>
          <cell r="AM34">
            <v>31040</v>
          </cell>
          <cell r="AN34">
            <v>1</v>
          </cell>
          <cell r="AO34">
            <v>0</v>
          </cell>
          <cell r="AP34">
            <v>5816048</v>
          </cell>
          <cell r="AQ34">
            <v>0</v>
          </cell>
          <cell r="AR34">
            <v>0</v>
          </cell>
          <cell r="AS34">
            <v>0</v>
          </cell>
          <cell r="AT34">
            <v>0</v>
          </cell>
          <cell r="AU34" t="str">
            <v xml:space="preserve"> </v>
          </cell>
          <cell r="AV34" t="str">
            <v xml:space="preserve"> </v>
          </cell>
          <cell r="AW34" t="str">
            <v xml:space="preserve"> </v>
          </cell>
        </row>
        <row r="35">
          <cell r="C35" t="str">
            <v xml:space="preserve">CITRUS Subtotal       </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4696807</v>
          </cell>
          <cell r="AC35">
            <v>136730</v>
          </cell>
          <cell r="AD35">
            <v>103787</v>
          </cell>
          <cell r="AE35">
            <v>102929</v>
          </cell>
          <cell r="AF35">
            <v>48891</v>
          </cell>
          <cell r="AG35">
            <v>0</v>
          </cell>
          <cell r="AH35">
            <v>0</v>
          </cell>
          <cell r="AI35">
            <v>88342</v>
          </cell>
          <cell r="AJ35">
            <v>21813</v>
          </cell>
          <cell r="AK35">
            <v>688637</v>
          </cell>
          <cell r="AL35">
            <v>0</v>
          </cell>
          <cell r="AM35">
            <v>31040</v>
          </cell>
          <cell r="AN35">
            <v>1</v>
          </cell>
          <cell r="AO35">
            <v>0</v>
          </cell>
          <cell r="AP35">
            <v>5816048</v>
          </cell>
          <cell r="AQ35">
            <v>0</v>
          </cell>
          <cell r="AR35">
            <v>0</v>
          </cell>
          <cell r="AS35">
            <v>0</v>
          </cell>
          <cell r="AT35">
            <v>0</v>
          </cell>
          <cell r="AU35">
            <v>0</v>
          </cell>
          <cell r="AV35">
            <v>0</v>
          </cell>
          <cell r="AW35">
            <v>0</v>
          </cell>
        </row>
        <row r="37">
          <cell r="C37" t="str">
            <v xml:space="preserve"> COAST</v>
          </cell>
          <cell r="D37" t="str">
            <v xml:space="preserve"> LOS ANGELES</v>
          </cell>
          <cell r="E37">
            <v>830</v>
          </cell>
          <cell r="F37" t="str">
            <v xml:space="preserve"> 2016-2017</v>
          </cell>
          <cell r="G37" t="str">
            <v xml:space="preserve"> 04/15/2017</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t="str">
            <v xml:space="preserve"> </v>
          </cell>
          <cell r="W37">
            <v>0</v>
          </cell>
          <cell r="X37">
            <v>0</v>
          </cell>
          <cell r="Y37">
            <v>0</v>
          </cell>
          <cell r="Z37">
            <v>0</v>
          </cell>
          <cell r="AA37">
            <v>0</v>
          </cell>
          <cell r="AB37">
            <v>275</v>
          </cell>
          <cell r="AC37">
            <v>0</v>
          </cell>
          <cell r="AD37">
            <v>10</v>
          </cell>
          <cell r="AE37">
            <v>0</v>
          </cell>
          <cell r="AF37">
            <v>0</v>
          </cell>
          <cell r="AG37">
            <v>0</v>
          </cell>
          <cell r="AH37">
            <v>0</v>
          </cell>
          <cell r="AI37">
            <v>0</v>
          </cell>
          <cell r="AJ37">
            <v>0</v>
          </cell>
          <cell r="AK37">
            <v>6</v>
          </cell>
          <cell r="AL37">
            <v>0</v>
          </cell>
          <cell r="AM37">
            <v>2</v>
          </cell>
          <cell r="AN37">
            <v>0</v>
          </cell>
          <cell r="AO37">
            <v>0</v>
          </cell>
          <cell r="AP37">
            <v>293</v>
          </cell>
          <cell r="AQ37">
            <v>0</v>
          </cell>
          <cell r="AR37">
            <v>0</v>
          </cell>
          <cell r="AS37">
            <v>0</v>
          </cell>
          <cell r="AT37">
            <v>0</v>
          </cell>
          <cell r="AU37" t="str">
            <v xml:space="preserve"> </v>
          </cell>
          <cell r="AV37" t="str">
            <v xml:space="preserve"> </v>
          </cell>
          <cell r="AW37" t="str">
            <v xml:space="preserve"> </v>
          </cell>
        </row>
        <row r="38">
          <cell r="C38" t="str">
            <v xml:space="preserve"> COAST</v>
          </cell>
          <cell r="D38" t="str">
            <v xml:space="preserve"> ORANGE</v>
          </cell>
          <cell r="E38">
            <v>830</v>
          </cell>
          <cell r="F38" t="str">
            <v xml:space="preserve"> 2016-2017</v>
          </cell>
          <cell r="G38" t="str">
            <v xml:space="preserve"> 04/15/2017</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t="str">
            <v xml:space="preserve"> </v>
          </cell>
          <cell r="W38">
            <v>0</v>
          </cell>
          <cell r="X38">
            <v>0</v>
          </cell>
          <cell r="Y38">
            <v>0</v>
          </cell>
          <cell r="Z38">
            <v>0</v>
          </cell>
          <cell r="AA38">
            <v>0</v>
          </cell>
          <cell r="AB38">
            <v>105318412</v>
          </cell>
          <cell r="AC38">
            <v>2711626</v>
          </cell>
          <cell r="AD38">
            <v>3335163</v>
          </cell>
          <cell r="AE38">
            <v>1959789</v>
          </cell>
          <cell r="AF38">
            <v>930900</v>
          </cell>
          <cell r="AG38">
            <v>0</v>
          </cell>
          <cell r="AH38">
            <v>0</v>
          </cell>
          <cell r="AI38">
            <v>5418965</v>
          </cell>
          <cell r="AJ38">
            <v>145753</v>
          </cell>
          <cell r="AK38">
            <v>1176227</v>
          </cell>
          <cell r="AL38">
            <v>13</v>
          </cell>
          <cell r="AM38">
            <v>668886</v>
          </cell>
          <cell r="AN38">
            <v>0</v>
          </cell>
          <cell r="AO38">
            <v>0</v>
          </cell>
          <cell r="AP38">
            <v>119705945</v>
          </cell>
          <cell r="AQ38">
            <v>0</v>
          </cell>
          <cell r="AR38">
            <v>0</v>
          </cell>
          <cell r="AS38">
            <v>0</v>
          </cell>
          <cell r="AT38">
            <v>0</v>
          </cell>
          <cell r="AU38" t="str">
            <v xml:space="preserve"> </v>
          </cell>
          <cell r="AV38" t="str">
            <v xml:space="preserve"> </v>
          </cell>
          <cell r="AW38" t="str">
            <v xml:space="preserve"> </v>
          </cell>
        </row>
        <row r="39">
          <cell r="C39" t="str">
            <v xml:space="preserve">COAST Subtotal         </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105318687</v>
          </cell>
          <cell r="AC39">
            <v>2711626</v>
          </cell>
          <cell r="AD39">
            <v>3335173</v>
          </cell>
          <cell r="AE39">
            <v>1959789</v>
          </cell>
          <cell r="AF39">
            <v>930900</v>
          </cell>
          <cell r="AG39">
            <v>0</v>
          </cell>
          <cell r="AH39">
            <v>0</v>
          </cell>
          <cell r="AI39">
            <v>5418965</v>
          </cell>
          <cell r="AJ39">
            <v>145753</v>
          </cell>
          <cell r="AK39">
            <v>1176233</v>
          </cell>
          <cell r="AL39">
            <v>13</v>
          </cell>
          <cell r="AM39">
            <v>668888</v>
          </cell>
          <cell r="AN39">
            <v>0</v>
          </cell>
          <cell r="AO39">
            <v>0</v>
          </cell>
          <cell r="AP39">
            <v>119706238</v>
          </cell>
          <cell r="AQ39">
            <v>0</v>
          </cell>
          <cell r="AR39">
            <v>0</v>
          </cell>
          <cell r="AS39">
            <v>0</v>
          </cell>
          <cell r="AT39">
            <v>0</v>
          </cell>
          <cell r="AU39">
            <v>0</v>
          </cell>
          <cell r="AV39">
            <v>0</v>
          </cell>
          <cell r="AW39">
            <v>0</v>
          </cell>
        </row>
        <row r="41">
          <cell r="C41" t="str">
            <v xml:space="preserve"> COMPTON</v>
          </cell>
          <cell r="D41" t="str">
            <v xml:space="preserve"> LOS ANGELES</v>
          </cell>
          <cell r="E41">
            <v>710</v>
          </cell>
          <cell r="F41" t="str">
            <v xml:space="preserve"> 2016-2017</v>
          </cell>
          <cell r="G41" t="str">
            <v xml:space="preserve"> 04/15/2017</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t="str">
            <v xml:space="preserve"> </v>
          </cell>
          <cell r="W41">
            <v>0</v>
          </cell>
          <cell r="X41">
            <v>0</v>
          </cell>
          <cell r="Y41">
            <v>0</v>
          </cell>
          <cell r="Z41">
            <v>0</v>
          </cell>
          <cell r="AA41">
            <v>0</v>
          </cell>
          <cell r="AB41">
            <v>4141662</v>
          </cell>
          <cell r="AC41">
            <v>122665</v>
          </cell>
          <cell r="AD41">
            <v>51703</v>
          </cell>
          <cell r="AE41">
            <v>179422</v>
          </cell>
          <cell r="AF41">
            <v>85225</v>
          </cell>
          <cell r="AG41">
            <v>0</v>
          </cell>
          <cell r="AH41">
            <v>0</v>
          </cell>
          <cell r="AI41">
            <v>37006</v>
          </cell>
          <cell r="AJ41">
            <v>35203</v>
          </cell>
          <cell r="AK41">
            <v>96946</v>
          </cell>
          <cell r="AL41">
            <v>0</v>
          </cell>
          <cell r="AM41">
            <v>26572</v>
          </cell>
          <cell r="AN41">
            <v>245</v>
          </cell>
          <cell r="AO41">
            <v>0</v>
          </cell>
          <cell r="AP41">
            <v>4597227</v>
          </cell>
          <cell r="AQ41">
            <v>0</v>
          </cell>
          <cell r="AR41">
            <v>0</v>
          </cell>
          <cell r="AS41">
            <v>0</v>
          </cell>
          <cell r="AT41">
            <v>0</v>
          </cell>
          <cell r="AU41" t="str">
            <v xml:space="preserve"> </v>
          </cell>
          <cell r="AV41" t="str">
            <v xml:space="preserve"> </v>
          </cell>
          <cell r="AW41" t="str">
            <v xml:space="preserve"> </v>
          </cell>
        </row>
        <row r="42">
          <cell r="C42" t="str">
            <v xml:space="preserve">COMPTON Subtotal           </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4141662</v>
          </cell>
          <cell r="AC42">
            <v>122665</v>
          </cell>
          <cell r="AD42">
            <v>51703</v>
          </cell>
          <cell r="AE42">
            <v>179422</v>
          </cell>
          <cell r="AF42">
            <v>85225</v>
          </cell>
          <cell r="AG42">
            <v>0</v>
          </cell>
          <cell r="AH42">
            <v>0</v>
          </cell>
          <cell r="AI42">
            <v>37006</v>
          </cell>
          <cell r="AJ42">
            <v>35203</v>
          </cell>
          <cell r="AK42">
            <v>96946</v>
          </cell>
          <cell r="AL42">
            <v>0</v>
          </cell>
          <cell r="AM42">
            <v>26572</v>
          </cell>
          <cell r="AN42">
            <v>245</v>
          </cell>
          <cell r="AO42">
            <v>0</v>
          </cell>
          <cell r="AP42">
            <v>4597227</v>
          </cell>
          <cell r="AQ42">
            <v>0</v>
          </cell>
          <cell r="AR42">
            <v>0</v>
          </cell>
          <cell r="AS42">
            <v>0</v>
          </cell>
          <cell r="AT42">
            <v>0</v>
          </cell>
          <cell r="AU42">
            <v>0</v>
          </cell>
          <cell r="AV42">
            <v>0</v>
          </cell>
          <cell r="AW42">
            <v>0</v>
          </cell>
        </row>
        <row r="44">
          <cell r="C44" t="str">
            <v xml:space="preserve"> CONTRA COSTA</v>
          </cell>
          <cell r="D44" t="str">
            <v xml:space="preserve"> CONTRA COSTA</v>
          </cell>
          <cell r="E44">
            <v>310</v>
          </cell>
          <cell r="F44" t="str">
            <v xml:space="preserve"> 2016-2017</v>
          </cell>
          <cell r="G44" t="str">
            <v xml:space="preserve"> 04/15/2017</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t="str">
            <v xml:space="preserve"> </v>
          </cell>
          <cell r="W44">
            <v>0</v>
          </cell>
          <cell r="X44">
            <v>0</v>
          </cell>
          <cell r="Y44">
            <v>0</v>
          </cell>
          <cell r="Z44">
            <v>0</v>
          </cell>
          <cell r="AA44">
            <v>0</v>
          </cell>
          <cell r="AB44">
            <v>79099205</v>
          </cell>
          <cell r="AC44">
            <v>1824500</v>
          </cell>
          <cell r="AD44">
            <v>2603220</v>
          </cell>
          <cell r="AE44">
            <v>163100</v>
          </cell>
          <cell r="AF44">
            <v>77473</v>
          </cell>
          <cell r="AG44">
            <v>0</v>
          </cell>
          <cell r="AH44">
            <v>0</v>
          </cell>
          <cell r="AI44">
            <v>1705100</v>
          </cell>
          <cell r="AJ44">
            <v>398200</v>
          </cell>
          <cell r="AK44">
            <v>0</v>
          </cell>
          <cell r="AL44">
            <v>0</v>
          </cell>
          <cell r="AM44">
            <v>643733</v>
          </cell>
          <cell r="AN44">
            <v>4408</v>
          </cell>
          <cell r="AO44">
            <v>10284085</v>
          </cell>
          <cell r="AP44">
            <v>96639924</v>
          </cell>
          <cell r="AQ44">
            <v>0</v>
          </cell>
          <cell r="AR44">
            <v>0</v>
          </cell>
          <cell r="AS44">
            <v>0</v>
          </cell>
          <cell r="AT44">
            <v>0</v>
          </cell>
          <cell r="AU44" t="str">
            <v xml:space="preserve"> </v>
          </cell>
          <cell r="AV44" t="str">
            <v xml:space="preserve"> </v>
          </cell>
          <cell r="AW44" t="str">
            <v xml:space="preserve"> </v>
          </cell>
        </row>
        <row r="45">
          <cell r="C45" t="str">
            <v xml:space="preserve">CONTRA COSTA Subtotal   </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79099205</v>
          </cell>
          <cell r="AC45">
            <v>1824500</v>
          </cell>
          <cell r="AD45">
            <v>2603220</v>
          </cell>
          <cell r="AE45">
            <v>163100</v>
          </cell>
          <cell r="AF45">
            <v>77473</v>
          </cell>
          <cell r="AG45">
            <v>0</v>
          </cell>
          <cell r="AH45">
            <v>0</v>
          </cell>
          <cell r="AI45">
            <v>1705100</v>
          </cell>
          <cell r="AJ45">
            <v>398200</v>
          </cell>
          <cell r="AK45">
            <v>0</v>
          </cell>
          <cell r="AL45">
            <v>0</v>
          </cell>
          <cell r="AM45">
            <v>643733</v>
          </cell>
          <cell r="AN45">
            <v>4408</v>
          </cell>
          <cell r="AO45">
            <v>10284085</v>
          </cell>
          <cell r="AP45">
            <v>96639924</v>
          </cell>
          <cell r="AQ45">
            <v>0</v>
          </cell>
          <cell r="AR45">
            <v>0</v>
          </cell>
          <cell r="AS45">
            <v>0</v>
          </cell>
          <cell r="AT45">
            <v>0</v>
          </cell>
          <cell r="AU45">
            <v>0</v>
          </cell>
          <cell r="AV45">
            <v>0</v>
          </cell>
          <cell r="AW45">
            <v>0</v>
          </cell>
        </row>
        <row r="47">
          <cell r="C47" t="str">
            <v xml:space="preserve"> COPPER MOUNTAIN</v>
          </cell>
          <cell r="D47" t="str">
            <v xml:space="preserve"> SAN BERNARDINO</v>
          </cell>
          <cell r="E47">
            <v>970</v>
          </cell>
          <cell r="F47" t="str">
            <v xml:space="preserve"> 2016-2017</v>
          </cell>
          <cell r="G47" t="str">
            <v xml:space="preserve"> 04/15/2017</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t="str">
            <v xml:space="preserve"> </v>
          </cell>
          <cell r="W47">
            <v>0</v>
          </cell>
          <cell r="X47">
            <v>0</v>
          </cell>
          <cell r="Y47">
            <v>0</v>
          </cell>
          <cell r="Z47">
            <v>0</v>
          </cell>
          <cell r="AA47">
            <v>0</v>
          </cell>
          <cell r="AB47">
            <v>1718360</v>
          </cell>
          <cell r="AC47">
            <v>30752</v>
          </cell>
          <cell r="AD47">
            <v>59743</v>
          </cell>
          <cell r="AE47">
            <v>0</v>
          </cell>
          <cell r="AF47">
            <v>0</v>
          </cell>
          <cell r="AG47">
            <v>0</v>
          </cell>
          <cell r="AH47">
            <v>0</v>
          </cell>
          <cell r="AI47">
            <v>41941</v>
          </cell>
          <cell r="AJ47">
            <v>0</v>
          </cell>
          <cell r="AK47">
            <v>2402</v>
          </cell>
          <cell r="AL47">
            <v>0</v>
          </cell>
          <cell r="AM47">
            <v>18499</v>
          </cell>
          <cell r="AN47">
            <v>0</v>
          </cell>
          <cell r="AO47">
            <v>-384398</v>
          </cell>
          <cell r="AP47">
            <v>1487299</v>
          </cell>
          <cell r="AQ47">
            <v>0</v>
          </cell>
          <cell r="AR47">
            <v>0</v>
          </cell>
          <cell r="AS47">
            <v>0</v>
          </cell>
          <cell r="AT47">
            <v>0</v>
          </cell>
          <cell r="AU47" t="str">
            <v xml:space="preserve"> </v>
          </cell>
          <cell r="AV47" t="str">
            <v xml:space="preserve"> </v>
          </cell>
          <cell r="AW47" t="str">
            <v xml:space="preserve"> </v>
          </cell>
        </row>
        <row r="48">
          <cell r="C48" t="str">
            <v>COPPER MOUNTAIN Subtotal</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1718360</v>
          </cell>
          <cell r="AC48">
            <v>30752</v>
          </cell>
          <cell r="AD48">
            <v>59743</v>
          </cell>
          <cell r="AE48">
            <v>0</v>
          </cell>
          <cell r="AF48">
            <v>0</v>
          </cell>
          <cell r="AG48">
            <v>0</v>
          </cell>
          <cell r="AH48">
            <v>0</v>
          </cell>
          <cell r="AI48">
            <v>41941</v>
          </cell>
          <cell r="AJ48">
            <v>0</v>
          </cell>
          <cell r="AK48">
            <v>2402</v>
          </cell>
          <cell r="AL48">
            <v>0</v>
          </cell>
          <cell r="AM48">
            <v>18499</v>
          </cell>
          <cell r="AN48">
            <v>0</v>
          </cell>
          <cell r="AO48">
            <v>-384398</v>
          </cell>
          <cell r="AP48">
            <v>1487299</v>
          </cell>
          <cell r="AQ48">
            <v>0</v>
          </cell>
          <cell r="AR48">
            <v>0</v>
          </cell>
          <cell r="AS48">
            <v>0</v>
          </cell>
          <cell r="AT48">
            <v>0</v>
          </cell>
          <cell r="AU48">
            <v>0</v>
          </cell>
          <cell r="AV48">
            <v>0</v>
          </cell>
          <cell r="AW48">
            <v>0</v>
          </cell>
        </row>
        <row r="50">
          <cell r="C50" t="str">
            <v xml:space="preserve"> DESERT</v>
          </cell>
          <cell r="D50" t="str">
            <v xml:space="preserve"> IMPERIAL</v>
          </cell>
          <cell r="E50">
            <v>930</v>
          </cell>
          <cell r="F50" t="str">
            <v xml:space="preserve"> 2016-2017</v>
          </cell>
          <cell r="G50" t="str">
            <v xml:space="preserve"> 04/15/2017</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t="str">
            <v xml:space="preserve"> </v>
          </cell>
          <cell r="W50">
            <v>0</v>
          </cell>
          <cell r="X50">
            <v>0</v>
          </cell>
          <cell r="Y50">
            <v>0</v>
          </cell>
          <cell r="Z50">
            <v>0</v>
          </cell>
          <cell r="AA50">
            <v>0</v>
          </cell>
          <cell r="AB50">
            <v>168227</v>
          </cell>
          <cell r="AC50">
            <v>740</v>
          </cell>
          <cell r="AD50">
            <v>19763</v>
          </cell>
          <cell r="AE50">
            <v>0</v>
          </cell>
          <cell r="AF50">
            <v>0</v>
          </cell>
          <cell r="AG50">
            <v>0</v>
          </cell>
          <cell r="AH50">
            <v>0</v>
          </cell>
          <cell r="AI50">
            <v>0</v>
          </cell>
          <cell r="AJ50">
            <v>0</v>
          </cell>
          <cell r="AK50">
            <v>0</v>
          </cell>
          <cell r="AL50">
            <v>0</v>
          </cell>
          <cell r="AM50">
            <v>1830</v>
          </cell>
          <cell r="AN50">
            <v>0</v>
          </cell>
          <cell r="AO50">
            <v>0</v>
          </cell>
          <cell r="AP50">
            <v>190560</v>
          </cell>
          <cell r="AQ50">
            <v>0</v>
          </cell>
          <cell r="AR50">
            <v>0</v>
          </cell>
          <cell r="AS50">
            <v>0</v>
          </cell>
          <cell r="AT50">
            <v>0</v>
          </cell>
          <cell r="AU50" t="str">
            <v xml:space="preserve"> </v>
          </cell>
          <cell r="AV50" t="str">
            <v xml:space="preserve"> </v>
          </cell>
          <cell r="AW50" t="str">
            <v xml:space="preserve"> </v>
          </cell>
        </row>
        <row r="51">
          <cell r="C51" t="str">
            <v xml:space="preserve"> DESERT</v>
          </cell>
          <cell r="D51" t="str">
            <v xml:space="preserve"> RIVERSIDE</v>
          </cell>
          <cell r="E51">
            <v>930</v>
          </cell>
          <cell r="F51" t="str">
            <v xml:space="preserve"> 2016-2017</v>
          </cell>
          <cell r="G51" t="str">
            <v xml:space="preserve"> 04/15/2017</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t="str">
            <v xml:space="preserve"> </v>
          </cell>
          <cell r="W51">
            <v>0</v>
          </cell>
          <cell r="X51">
            <v>0</v>
          </cell>
          <cell r="Y51">
            <v>0</v>
          </cell>
          <cell r="Z51">
            <v>0</v>
          </cell>
          <cell r="AA51">
            <v>0</v>
          </cell>
          <cell r="AB51">
            <v>25460308</v>
          </cell>
          <cell r="AC51">
            <v>603562</v>
          </cell>
          <cell r="AD51">
            <v>1166522</v>
          </cell>
          <cell r="AE51">
            <v>676916</v>
          </cell>
          <cell r="AF51">
            <v>321535</v>
          </cell>
          <cell r="AG51">
            <v>0</v>
          </cell>
          <cell r="AH51">
            <v>0</v>
          </cell>
          <cell r="AI51">
            <v>4573048</v>
          </cell>
          <cell r="AJ51">
            <v>87281</v>
          </cell>
          <cell r="AK51">
            <v>704650</v>
          </cell>
          <cell r="AL51">
            <v>0</v>
          </cell>
          <cell r="AM51">
            <v>318363</v>
          </cell>
          <cell r="AN51">
            <v>0</v>
          </cell>
          <cell r="AO51">
            <v>-2221519</v>
          </cell>
          <cell r="AP51">
            <v>31013750</v>
          </cell>
          <cell r="AQ51">
            <v>0</v>
          </cell>
          <cell r="AR51">
            <v>0</v>
          </cell>
          <cell r="AS51">
            <v>0</v>
          </cell>
          <cell r="AT51">
            <v>0</v>
          </cell>
          <cell r="AU51" t="str">
            <v xml:space="preserve"> </v>
          </cell>
          <cell r="AV51" t="str">
            <v xml:space="preserve"> </v>
          </cell>
          <cell r="AW51" t="str">
            <v xml:space="preserve"> </v>
          </cell>
        </row>
        <row r="52">
          <cell r="C52" t="str">
            <v xml:space="preserve">DESERT Subtotal          </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25628535</v>
          </cell>
          <cell r="AC52">
            <v>604302</v>
          </cell>
          <cell r="AD52">
            <v>1186285</v>
          </cell>
          <cell r="AE52">
            <v>676916</v>
          </cell>
          <cell r="AF52">
            <v>321535</v>
          </cell>
          <cell r="AG52">
            <v>0</v>
          </cell>
          <cell r="AH52">
            <v>0</v>
          </cell>
          <cell r="AI52">
            <v>4573048</v>
          </cell>
          <cell r="AJ52">
            <v>87281</v>
          </cell>
          <cell r="AK52">
            <v>704650</v>
          </cell>
          <cell r="AL52">
            <v>0</v>
          </cell>
          <cell r="AM52">
            <v>320193</v>
          </cell>
          <cell r="AN52">
            <v>0</v>
          </cell>
          <cell r="AO52">
            <v>-2221519</v>
          </cell>
          <cell r="AP52">
            <v>31204310</v>
          </cell>
          <cell r="AQ52">
            <v>0</v>
          </cell>
          <cell r="AR52">
            <v>0</v>
          </cell>
          <cell r="AS52">
            <v>0</v>
          </cell>
          <cell r="AT52">
            <v>0</v>
          </cell>
          <cell r="AU52">
            <v>0</v>
          </cell>
          <cell r="AV52">
            <v>0</v>
          </cell>
          <cell r="AW52">
            <v>0</v>
          </cell>
        </row>
        <row r="54">
          <cell r="C54" t="str">
            <v xml:space="preserve"> EL CAMINO</v>
          </cell>
          <cell r="D54" t="str">
            <v xml:space="preserve"> LOS ANGELES</v>
          </cell>
          <cell r="E54">
            <v>720</v>
          </cell>
          <cell r="F54" t="str">
            <v xml:space="preserve"> 2016-2017</v>
          </cell>
          <cell r="G54" t="str">
            <v xml:space="preserve"> 04/15/2017</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t="str">
            <v xml:space="preserve"> </v>
          </cell>
          <cell r="W54">
            <v>0</v>
          </cell>
          <cell r="X54">
            <v>0</v>
          </cell>
          <cell r="Y54">
            <v>0</v>
          </cell>
          <cell r="Z54">
            <v>0</v>
          </cell>
          <cell r="AA54">
            <v>0</v>
          </cell>
          <cell r="AB54">
            <v>27071748</v>
          </cell>
          <cell r="AC54">
            <v>766680</v>
          </cell>
          <cell r="AD54">
            <v>969816</v>
          </cell>
          <cell r="AE54">
            <v>130986</v>
          </cell>
          <cell r="AF54">
            <v>62218</v>
          </cell>
          <cell r="AG54">
            <v>0</v>
          </cell>
          <cell r="AH54">
            <v>0</v>
          </cell>
          <cell r="AI54">
            <v>96781</v>
          </cell>
          <cell r="AJ54">
            <v>21905</v>
          </cell>
          <cell r="AK54">
            <v>525762</v>
          </cell>
          <cell r="AL54">
            <v>0</v>
          </cell>
          <cell r="AM54">
            <v>179994</v>
          </cell>
          <cell r="AN54">
            <v>12</v>
          </cell>
          <cell r="AO54">
            <v>0</v>
          </cell>
          <cell r="AP54">
            <v>29694916</v>
          </cell>
          <cell r="AQ54">
            <v>0</v>
          </cell>
          <cell r="AR54">
            <v>0</v>
          </cell>
          <cell r="AS54">
            <v>0</v>
          </cell>
          <cell r="AT54">
            <v>0</v>
          </cell>
          <cell r="AU54" t="str">
            <v xml:space="preserve"> </v>
          </cell>
          <cell r="AV54" t="str">
            <v xml:space="preserve"> </v>
          </cell>
          <cell r="AW54" t="str">
            <v xml:space="preserve"> </v>
          </cell>
        </row>
        <row r="55">
          <cell r="C55" t="str">
            <v xml:space="preserve">EL CAMINO Subtotal     </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27071748</v>
          </cell>
          <cell r="AC55">
            <v>766680</v>
          </cell>
          <cell r="AD55">
            <v>969816</v>
          </cell>
          <cell r="AE55">
            <v>130986</v>
          </cell>
          <cell r="AF55">
            <v>62218</v>
          </cell>
          <cell r="AG55">
            <v>0</v>
          </cell>
          <cell r="AH55">
            <v>0</v>
          </cell>
          <cell r="AI55">
            <v>96781</v>
          </cell>
          <cell r="AJ55">
            <v>21905</v>
          </cell>
          <cell r="AK55">
            <v>525762</v>
          </cell>
          <cell r="AL55">
            <v>0</v>
          </cell>
          <cell r="AM55">
            <v>179994</v>
          </cell>
          <cell r="AN55">
            <v>12</v>
          </cell>
          <cell r="AO55">
            <v>0</v>
          </cell>
          <cell r="AP55">
            <v>29694916</v>
          </cell>
          <cell r="AQ55">
            <v>0</v>
          </cell>
          <cell r="AR55">
            <v>0</v>
          </cell>
          <cell r="AS55">
            <v>0</v>
          </cell>
          <cell r="AT55">
            <v>0</v>
          </cell>
          <cell r="AU55">
            <v>0</v>
          </cell>
          <cell r="AV55">
            <v>0</v>
          </cell>
          <cell r="AW55">
            <v>0</v>
          </cell>
        </row>
        <row r="57">
          <cell r="C57" t="str">
            <v xml:space="preserve"> FEATHER RIVER</v>
          </cell>
          <cell r="D57" t="str">
            <v xml:space="preserve"> PLUMAS</v>
          </cell>
          <cell r="E57">
            <v>120</v>
          </cell>
          <cell r="F57" t="str">
            <v xml:space="preserve"> 2016-2017</v>
          </cell>
          <cell r="G57" t="str">
            <v xml:space="preserve"> 04/15/2017</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t="str">
            <v xml:space="preserve"> </v>
          </cell>
          <cell r="W57">
            <v>0</v>
          </cell>
          <cell r="X57">
            <v>0</v>
          </cell>
          <cell r="Y57">
            <v>0</v>
          </cell>
          <cell r="Z57">
            <v>0</v>
          </cell>
          <cell r="AA57">
            <v>0</v>
          </cell>
          <cell r="AB57">
            <v>4459722</v>
          </cell>
          <cell r="AC57">
            <v>72529</v>
          </cell>
          <cell r="AD57">
            <v>110000</v>
          </cell>
          <cell r="AE57">
            <v>0</v>
          </cell>
          <cell r="AF57">
            <v>0</v>
          </cell>
          <cell r="AG57">
            <v>0</v>
          </cell>
          <cell r="AH57">
            <v>0</v>
          </cell>
          <cell r="AI57">
            <v>0</v>
          </cell>
          <cell r="AJ57">
            <v>0</v>
          </cell>
          <cell r="AK57">
            <v>2500</v>
          </cell>
          <cell r="AL57">
            <v>53969</v>
          </cell>
          <cell r="AM57">
            <v>36552</v>
          </cell>
          <cell r="AN57">
            <v>0</v>
          </cell>
          <cell r="AO57">
            <v>1181202</v>
          </cell>
          <cell r="AP57">
            <v>5916474</v>
          </cell>
          <cell r="AQ57">
            <v>0</v>
          </cell>
          <cell r="AR57">
            <v>0</v>
          </cell>
          <cell r="AS57">
            <v>0</v>
          </cell>
          <cell r="AT57">
            <v>0</v>
          </cell>
          <cell r="AU57" t="str">
            <v xml:space="preserve"> </v>
          </cell>
          <cell r="AV57" t="str">
            <v xml:space="preserve"> </v>
          </cell>
          <cell r="AW57" t="str">
            <v xml:space="preserve"> </v>
          </cell>
        </row>
        <row r="58">
          <cell r="C58" t="str">
            <v xml:space="preserve">FEATHER RIVER Subtotal     </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4459722</v>
          </cell>
          <cell r="AC58">
            <v>72529</v>
          </cell>
          <cell r="AD58">
            <v>110000</v>
          </cell>
          <cell r="AE58">
            <v>0</v>
          </cell>
          <cell r="AF58">
            <v>0</v>
          </cell>
          <cell r="AG58">
            <v>0</v>
          </cell>
          <cell r="AH58">
            <v>0</v>
          </cell>
          <cell r="AI58">
            <v>0</v>
          </cell>
          <cell r="AJ58">
            <v>0</v>
          </cell>
          <cell r="AK58">
            <v>2500</v>
          </cell>
          <cell r="AL58">
            <v>53969</v>
          </cell>
          <cell r="AM58">
            <v>36552</v>
          </cell>
          <cell r="AN58">
            <v>0</v>
          </cell>
          <cell r="AO58">
            <v>1181202</v>
          </cell>
          <cell r="AP58">
            <v>5916474</v>
          </cell>
          <cell r="AQ58">
            <v>0</v>
          </cell>
          <cell r="AR58">
            <v>0</v>
          </cell>
          <cell r="AS58">
            <v>0</v>
          </cell>
          <cell r="AT58">
            <v>0</v>
          </cell>
          <cell r="AU58">
            <v>0</v>
          </cell>
          <cell r="AV58">
            <v>0</v>
          </cell>
          <cell r="AW58">
            <v>0</v>
          </cell>
        </row>
        <row r="60">
          <cell r="C60" t="str">
            <v xml:space="preserve"> FOOTHILL-DEANZA</v>
          </cell>
          <cell r="D60" t="str">
            <v xml:space="preserve"> SANTA CLARA</v>
          </cell>
          <cell r="E60">
            <v>420</v>
          </cell>
          <cell r="F60" t="str">
            <v xml:space="preserve"> 2016-2017</v>
          </cell>
          <cell r="G60" t="str">
            <v xml:space="preserve"> 04/15/2017</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t="str">
            <v xml:space="preserve"> </v>
          </cell>
          <cell r="W60">
            <v>0</v>
          </cell>
          <cell r="X60">
            <v>0</v>
          </cell>
          <cell r="Y60">
            <v>0</v>
          </cell>
          <cell r="Z60">
            <v>0</v>
          </cell>
          <cell r="AA60">
            <v>0</v>
          </cell>
          <cell r="AB60">
            <v>91314374</v>
          </cell>
          <cell r="AC60">
            <v>3100000</v>
          </cell>
          <cell r="AD60">
            <v>6235263</v>
          </cell>
          <cell r="AE60">
            <v>90887</v>
          </cell>
          <cell r="AF60">
            <v>43171</v>
          </cell>
          <cell r="AG60">
            <v>0</v>
          </cell>
          <cell r="AH60">
            <v>0</v>
          </cell>
          <cell r="AI60">
            <v>772818</v>
          </cell>
          <cell r="AJ60">
            <v>9074</v>
          </cell>
          <cell r="AK60">
            <v>0</v>
          </cell>
          <cell r="AL60">
            <v>15</v>
          </cell>
          <cell r="AM60">
            <v>452502</v>
          </cell>
          <cell r="AN60">
            <v>0</v>
          </cell>
          <cell r="AO60">
            <v>11088000</v>
          </cell>
          <cell r="AP60">
            <v>113015217</v>
          </cell>
          <cell r="AQ60">
            <v>0</v>
          </cell>
          <cell r="AR60">
            <v>0</v>
          </cell>
          <cell r="AS60">
            <v>0</v>
          </cell>
          <cell r="AT60">
            <v>0</v>
          </cell>
          <cell r="AU60" t="str">
            <v xml:space="preserve"> </v>
          </cell>
          <cell r="AV60" t="str">
            <v xml:space="preserve"> </v>
          </cell>
          <cell r="AW60" t="str">
            <v xml:space="preserve"> </v>
          </cell>
        </row>
        <row r="61">
          <cell r="C61" t="str">
            <v xml:space="preserve">FOOTHILL-DEANZA Subtotal  </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91314374</v>
          </cell>
          <cell r="AC61">
            <v>3100000</v>
          </cell>
          <cell r="AD61">
            <v>6235263</v>
          </cell>
          <cell r="AE61">
            <v>90887</v>
          </cell>
          <cell r="AF61">
            <v>43171</v>
          </cell>
          <cell r="AG61">
            <v>0</v>
          </cell>
          <cell r="AH61">
            <v>0</v>
          </cell>
          <cell r="AI61">
            <v>772818</v>
          </cell>
          <cell r="AJ61">
            <v>9074</v>
          </cell>
          <cell r="AK61">
            <v>0</v>
          </cell>
          <cell r="AL61">
            <v>15</v>
          </cell>
          <cell r="AM61">
            <v>452502</v>
          </cell>
          <cell r="AN61">
            <v>0</v>
          </cell>
          <cell r="AO61">
            <v>11088000</v>
          </cell>
          <cell r="AP61">
            <v>113015217</v>
          </cell>
          <cell r="AQ61">
            <v>0</v>
          </cell>
          <cell r="AR61">
            <v>0</v>
          </cell>
          <cell r="AS61">
            <v>0</v>
          </cell>
          <cell r="AT61">
            <v>0</v>
          </cell>
          <cell r="AU61">
            <v>0</v>
          </cell>
          <cell r="AV61">
            <v>0</v>
          </cell>
          <cell r="AW61">
            <v>0</v>
          </cell>
        </row>
        <row r="63">
          <cell r="C63" t="str">
            <v xml:space="preserve"> GAVILAN</v>
          </cell>
          <cell r="D63" t="str">
            <v xml:space="preserve"> SAN BENITO</v>
          </cell>
          <cell r="E63">
            <v>440</v>
          </cell>
          <cell r="F63" t="str">
            <v xml:space="preserve"> 2016-2017</v>
          </cell>
          <cell r="G63" t="str">
            <v xml:space="preserve"> 04/15/2017</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t="str">
            <v xml:space="preserve"> </v>
          </cell>
          <cell r="W63">
            <v>0</v>
          </cell>
          <cell r="X63">
            <v>0</v>
          </cell>
          <cell r="Y63">
            <v>0</v>
          </cell>
          <cell r="Z63">
            <v>0</v>
          </cell>
          <cell r="AA63">
            <v>0</v>
          </cell>
          <cell r="AB63">
            <v>4893201</v>
          </cell>
          <cell r="AC63">
            <v>168150</v>
          </cell>
          <cell r="AD63">
            <v>289392</v>
          </cell>
          <cell r="AE63">
            <v>73160</v>
          </cell>
          <cell r="AF63">
            <v>34751</v>
          </cell>
          <cell r="AG63">
            <v>0</v>
          </cell>
          <cell r="AH63">
            <v>0</v>
          </cell>
          <cell r="AI63">
            <v>562083</v>
          </cell>
          <cell r="AJ63">
            <v>0</v>
          </cell>
          <cell r="AK63">
            <v>0</v>
          </cell>
          <cell r="AL63">
            <v>0</v>
          </cell>
          <cell r="AM63">
            <v>39829</v>
          </cell>
          <cell r="AN63">
            <v>0</v>
          </cell>
          <cell r="AO63">
            <v>76945</v>
          </cell>
          <cell r="AP63">
            <v>6064351</v>
          </cell>
          <cell r="AQ63">
            <v>0</v>
          </cell>
          <cell r="AR63">
            <v>0</v>
          </cell>
          <cell r="AS63">
            <v>0</v>
          </cell>
          <cell r="AT63">
            <v>0</v>
          </cell>
          <cell r="AU63" t="str">
            <v xml:space="preserve"> </v>
          </cell>
          <cell r="AV63" t="str">
            <v xml:space="preserve"> </v>
          </cell>
          <cell r="AW63" t="str">
            <v xml:space="preserve"> </v>
          </cell>
        </row>
        <row r="64">
          <cell r="C64" t="str">
            <v xml:space="preserve"> GAVILAN</v>
          </cell>
          <cell r="D64" t="str">
            <v xml:space="preserve"> SANTA CLARA</v>
          </cell>
          <cell r="E64">
            <v>440</v>
          </cell>
          <cell r="F64" t="str">
            <v xml:space="preserve"> 2016-2017</v>
          </cell>
          <cell r="G64" t="str">
            <v xml:space="preserve"> 04/15/2017</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t="str">
            <v xml:space="preserve"> </v>
          </cell>
          <cell r="W64">
            <v>0</v>
          </cell>
          <cell r="X64">
            <v>0</v>
          </cell>
          <cell r="Y64">
            <v>0</v>
          </cell>
          <cell r="Z64">
            <v>0</v>
          </cell>
          <cell r="AA64">
            <v>0</v>
          </cell>
          <cell r="AB64">
            <v>10555977</v>
          </cell>
          <cell r="AC64">
            <v>400000</v>
          </cell>
          <cell r="AD64">
            <v>785386</v>
          </cell>
          <cell r="AE64">
            <v>318834</v>
          </cell>
          <cell r="AF64">
            <v>151446</v>
          </cell>
          <cell r="AG64">
            <v>0</v>
          </cell>
          <cell r="AH64">
            <v>0</v>
          </cell>
          <cell r="AI64">
            <v>767879</v>
          </cell>
          <cell r="AJ64">
            <v>62252</v>
          </cell>
          <cell r="AK64">
            <v>0</v>
          </cell>
          <cell r="AL64">
            <v>21</v>
          </cell>
          <cell r="AM64">
            <v>56931</v>
          </cell>
          <cell r="AN64">
            <v>0</v>
          </cell>
          <cell r="AO64">
            <v>5554000</v>
          </cell>
          <cell r="AP64">
            <v>18333892</v>
          </cell>
          <cell r="AQ64">
            <v>0</v>
          </cell>
          <cell r="AR64">
            <v>0</v>
          </cell>
          <cell r="AS64">
            <v>0</v>
          </cell>
          <cell r="AT64">
            <v>0</v>
          </cell>
          <cell r="AU64" t="str">
            <v xml:space="preserve"> </v>
          </cell>
          <cell r="AV64" t="str">
            <v xml:space="preserve"> </v>
          </cell>
          <cell r="AW64" t="str">
            <v xml:space="preserve"> </v>
          </cell>
        </row>
        <row r="65">
          <cell r="C65" t="str">
            <v xml:space="preserve">GAVILAN Subtotal          </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15449178</v>
          </cell>
          <cell r="AC65">
            <v>568150</v>
          </cell>
          <cell r="AD65">
            <v>1074778</v>
          </cell>
          <cell r="AE65">
            <v>391994</v>
          </cell>
          <cell r="AF65">
            <v>186197</v>
          </cell>
          <cell r="AG65">
            <v>0</v>
          </cell>
          <cell r="AH65">
            <v>0</v>
          </cell>
          <cell r="AI65">
            <v>1329962</v>
          </cell>
          <cell r="AJ65">
            <v>62252</v>
          </cell>
          <cell r="AK65">
            <v>0</v>
          </cell>
          <cell r="AL65">
            <v>21</v>
          </cell>
          <cell r="AM65">
            <v>96760</v>
          </cell>
          <cell r="AN65">
            <v>0</v>
          </cell>
          <cell r="AO65">
            <v>5630945</v>
          </cell>
          <cell r="AP65">
            <v>24398243</v>
          </cell>
          <cell r="AQ65">
            <v>0</v>
          </cell>
          <cell r="AR65">
            <v>0</v>
          </cell>
          <cell r="AS65">
            <v>0</v>
          </cell>
          <cell r="AT65">
            <v>0</v>
          </cell>
          <cell r="AU65">
            <v>0</v>
          </cell>
          <cell r="AV65">
            <v>0</v>
          </cell>
          <cell r="AW65">
            <v>0</v>
          </cell>
        </row>
        <row r="67">
          <cell r="C67" t="str">
            <v xml:space="preserve"> GLENDALE</v>
          </cell>
          <cell r="D67" t="str">
            <v xml:space="preserve"> LOS ANGELES</v>
          </cell>
          <cell r="E67">
            <v>730</v>
          </cell>
          <cell r="F67" t="str">
            <v xml:space="preserve"> 2016-2017</v>
          </cell>
          <cell r="G67" t="str">
            <v xml:space="preserve"> 04/15/2017</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t="str">
            <v xml:space="preserve"> </v>
          </cell>
          <cell r="W67">
            <v>0</v>
          </cell>
          <cell r="X67">
            <v>0</v>
          </cell>
          <cell r="Y67">
            <v>0</v>
          </cell>
          <cell r="Z67">
            <v>0</v>
          </cell>
          <cell r="AA67">
            <v>0</v>
          </cell>
          <cell r="AB67">
            <v>9609458</v>
          </cell>
          <cell r="AC67">
            <v>279030</v>
          </cell>
          <cell r="AD67">
            <v>253307</v>
          </cell>
          <cell r="AE67">
            <v>196153</v>
          </cell>
          <cell r="AF67">
            <v>93173</v>
          </cell>
          <cell r="AG67">
            <v>0</v>
          </cell>
          <cell r="AH67">
            <v>0</v>
          </cell>
          <cell r="AI67">
            <v>179134</v>
          </cell>
          <cell r="AJ67">
            <v>0</v>
          </cell>
          <cell r="AK67">
            <v>177533</v>
          </cell>
          <cell r="AL67">
            <v>0</v>
          </cell>
          <cell r="AM67">
            <v>64359</v>
          </cell>
          <cell r="AN67">
            <v>0</v>
          </cell>
          <cell r="AO67">
            <v>0</v>
          </cell>
          <cell r="AP67">
            <v>10655994</v>
          </cell>
          <cell r="AQ67">
            <v>0</v>
          </cell>
          <cell r="AR67">
            <v>0</v>
          </cell>
          <cell r="AS67">
            <v>0</v>
          </cell>
          <cell r="AT67">
            <v>0</v>
          </cell>
          <cell r="AU67" t="str">
            <v xml:space="preserve"> </v>
          </cell>
          <cell r="AV67" t="str">
            <v xml:space="preserve"> </v>
          </cell>
          <cell r="AW67" t="str">
            <v xml:space="preserve"> </v>
          </cell>
        </row>
        <row r="68">
          <cell r="C68" t="str">
            <v>GLENDALE Subtotal</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9609458</v>
          </cell>
          <cell r="AC68">
            <v>279030</v>
          </cell>
          <cell r="AD68">
            <v>253307</v>
          </cell>
          <cell r="AE68">
            <v>196153</v>
          </cell>
          <cell r="AF68">
            <v>93173</v>
          </cell>
          <cell r="AG68">
            <v>0</v>
          </cell>
          <cell r="AH68">
            <v>0</v>
          </cell>
          <cell r="AI68">
            <v>179134</v>
          </cell>
          <cell r="AJ68">
            <v>0</v>
          </cell>
          <cell r="AK68">
            <v>177533</v>
          </cell>
          <cell r="AL68">
            <v>0</v>
          </cell>
          <cell r="AM68">
            <v>64359</v>
          </cell>
          <cell r="AN68">
            <v>0</v>
          </cell>
          <cell r="AO68">
            <v>0</v>
          </cell>
          <cell r="AP68">
            <v>10655994</v>
          </cell>
          <cell r="AQ68">
            <v>0</v>
          </cell>
          <cell r="AR68">
            <v>0</v>
          </cell>
          <cell r="AS68">
            <v>0</v>
          </cell>
          <cell r="AT68">
            <v>0</v>
          </cell>
          <cell r="AU68">
            <v>0</v>
          </cell>
          <cell r="AV68">
            <v>0</v>
          </cell>
          <cell r="AW68">
            <v>0</v>
          </cell>
        </row>
        <row r="70">
          <cell r="C70" t="str">
            <v xml:space="preserve"> GROSSMONT-CUYAMACA</v>
          </cell>
          <cell r="D70" t="str">
            <v xml:space="preserve"> SAN DIEGO</v>
          </cell>
          <cell r="E70">
            <v>20</v>
          </cell>
          <cell r="F70" t="str">
            <v xml:space="preserve"> 2016-2017</v>
          </cell>
          <cell r="G70" t="str">
            <v xml:space="preserve"> 04/15/2017</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t="str">
            <v xml:space="preserve"> </v>
          </cell>
          <cell r="W70">
            <v>0</v>
          </cell>
          <cell r="X70">
            <v>0</v>
          </cell>
          <cell r="Y70">
            <v>0</v>
          </cell>
          <cell r="Z70">
            <v>0</v>
          </cell>
          <cell r="AA70">
            <v>0</v>
          </cell>
          <cell r="AB70">
            <v>35730885</v>
          </cell>
          <cell r="AC70">
            <v>890770</v>
          </cell>
          <cell r="AD70">
            <v>1159978</v>
          </cell>
          <cell r="AE70">
            <v>257256</v>
          </cell>
          <cell r="AF70">
            <v>122197</v>
          </cell>
          <cell r="AG70">
            <v>0</v>
          </cell>
          <cell r="AH70">
            <v>0</v>
          </cell>
          <cell r="AI70">
            <v>1629796</v>
          </cell>
          <cell r="AJ70">
            <v>468</v>
          </cell>
          <cell r="AK70">
            <v>-15032</v>
          </cell>
          <cell r="AL70">
            <v>0</v>
          </cell>
          <cell r="AM70">
            <v>268144</v>
          </cell>
          <cell r="AN70">
            <v>0</v>
          </cell>
          <cell r="AO70">
            <v>-434070</v>
          </cell>
          <cell r="AP70">
            <v>39353136</v>
          </cell>
          <cell r="AQ70">
            <v>0</v>
          </cell>
          <cell r="AR70">
            <v>0</v>
          </cell>
          <cell r="AS70">
            <v>0</v>
          </cell>
          <cell r="AT70">
            <v>0</v>
          </cell>
          <cell r="AU70" t="str">
            <v xml:space="preserve"> </v>
          </cell>
          <cell r="AV70" t="str">
            <v xml:space="preserve"> </v>
          </cell>
          <cell r="AW70" t="str">
            <v xml:space="preserve"> </v>
          </cell>
        </row>
        <row r="71">
          <cell r="C71" t="str">
            <v>GROSSMONT-CUYAMACA Subtotal</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35730885</v>
          </cell>
          <cell r="AC71">
            <v>890770</v>
          </cell>
          <cell r="AD71">
            <v>1159978</v>
          </cell>
          <cell r="AE71">
            <v>257256</v>
          </cell>
          <cell r="AF71">
            <v>122197</v>
          </cell>
          <cell r="AG71">
            <v>0</v>
          </cell>
          <cell r="AH71">
            <v>0</v>
          </cell>
          <cell r="AI71">
            <v>1629796</v>
          </cell>
          <cell r="AJ71">
            <v>468</v>
          </cell>
          <cell r="AK71">
            <v>-15032</v>
          </cell>
          <cell r="AL71">
            <v>0</v>
          </cell>
          <cell r="AM71">
            <v>268144</v>
          </cell>
          <cell r="AN71">
            <v>0</v>
          </cell>
          <cell r="AO71">
            <v>-434070</v>
          </cell>
          <cell r="AP71">
            <v>39353136</v>
          </cell>
          <cell r="AQ71">
            <v>0</v>
          </cell>
          <cell r="AR71">
            <v>0</v>
          </cell>
          <cell r="AS71">
            <v>0</v>
          </cell>
          <cell r="AT71">
            <v>0</v>
          </cell>
          <cell r="AU71">
            <v>0</v>
          </cell>
          <cell r="AV71">
            <v>0</v>
          </cell>
          <cell r="AW71">
            <v>0</v>
          </cell>
        </row>
        <row r="73">
          <cell r="C73" t="str">
            <v xml:space="preserve"> HARTNELL</v>
          </cell>
          <cell r="D73" t="str">
            <v xml:space="preserve"> MONTEREY</v>
          </cell>
          <cell r="E73">
            <v>450</v>
          </cell>
          <cell r="F73" t="str">
            <v xml:space="preserve"> 2016-2017</v>
          </cell>
          <cell r="G73" t="str">
            <v xml:space="preserve"> 04/15/2017</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t="str">
            <v xml:space="preserve"> </v>
          </cell>
          <cell r="W73">
            <v>0</v>
          </cell>
          <cell r="X73">
            <v>0</v>
          </cell>
          <cell r="Y73">
            <v>0</v>
          </cell>
          <cell r="Z73">
            <v>0</v>
          </cell>
          <cell r="AA73">
            <v>0</v>
          </cell>
          <cell r="AB73">
            <v>19906440</v>
          </cell>
          <cell r="AC73">
            <v>255611</v>
          </cell>
          <cell r="AD73">
            <v>757043</v>
          </cell>
          <cell r="AE73">
            <v>185227</v>
          </cell>
          <cell r="AF73">
            <v>87983</v>
          </cell>
          <cell r="AG73">
            <v>0</v>
          </cell>
          <cell r="AH73">
            <v>0</v>
          </cell>
          <cell r="AI73">
            <v>729131</v>
          </cell>
          <cell r="AJ73">
            <v>0</v>
          </cell>
          <cell r="AK73">
            <v>189896</v>
          </cell>
          <cell r="AL73">
            <v>0</v>
          </cell>
          <cell r="AM73">
            <v>107362</v>
          </cell>
          <cell r="AN73">
            <v>0</v>
          </cell>
          <cell r="AO73">
            <v>0</v>
          </cell>
          <cell r="AP73">
            <v>22033466</v>
          </cell>
          <cell r="AQ73">
            <v>0</v>
          </cell>
          <cell r="AR73">
            <v>0</v>
          </cell>
          <cell r="AS73">
            <v>0</v>
          </cell>
          <cell r="AT73">
            <v>0</v>
          </cell>
          <cell r="AU73" t="str">
            <v xml:space="preserve"> </v>
          </cell>
          <cell r="AV73" t="str">
            <v xml:space="preserve"> </v>
          </cell>
          <cell r="AW73" t="str">
            <v xml:space="preserve"> </v>
          </cell>
        </row>
        <row r="74">
          <cell r="C74" t="str">
            <v xml:space="preserve"> HARTNELL</v>
          </cell>
          <cell r="D74" t="str">
            <v xml:space="preserve"> SAN BENITO</v>
          </cell>
          <cell r="E74">
            <v>450</v>
          </cell>
          <cell r="F74" t="str">
            <v xml:space="preserve"> 2016-2017</v>
          </cell>
          <cell r="G74" t="str">
            <v xml:space="preserve"> 04/15/2017</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t="str">
            <v xml:space="preserve"> </v>
          </cell>
          <cell r="W74">
            <v>0</v>
          </cell>
          <cell r="X74">
            <v>0</v>
          </cell>
          <cell r="Y74">
            <v>0</v>
          </cell>
          <cell r="Z74">
            <v>0</v>
          </cell>
          <cell r="AA74">
            <v>0</v>
          </cell>
          <cell r="AB74">
            <v>72810</v>
          </cell>
          <cell r="AC74">
            <v>2019</v>
          </cell>
          <cell r="AD74">
            <v>4163</v>
          </cell>
          <cell r="AE74">
            <v>0</v>
          </cell>
          <cell r="AF74">
            <v>0</v>
          </cell>
          <cell r="AG74">
            <v>0</v>
          </cell>
          <cell r="AH74">
            <v>0</v>
          </cell>
          <cell r="AI74">
            <v>0</v>
          </cell>
          <cell r="AJ74">
            <v>0</v>
          </cell>
          <cell r="AK74">
            <v>0</v>
          </cell>
          <cell r="AL74">
            <v>0</v>
          </cell>
          <cell r="AM74">
            <v>573</v>
          </cell>
          <cell r="AN74">
            <v>0</v>
          </cell>
          <cell r="AO74">
            <v>1107</v>
          </cell>
          <cell r="AP74">
            <v>80672</v>
          </cell>
          <cell r="AQ74">
            <v>0</v>
          </cell>
          <cell r="AR74">
            <v>0</v>
          </cell>
          <cell r="AS74">
            <v>0</v>
          </cell>
          <cell r="AT74">
            <v>0</v>
          </cell>
          <cell r="AU74" t="str">
            <v xml:space="preserve"> </v>
          </cell>
          <cell r="AV74" t="str">
            <v xml:space="preserve"> </v>
          </cell>
          <cell r="AW74" t="str">
            <v xml:space="preserve"> </v>
          </cell>
        </row>
        <row r="75">
          <cell r="C75" t="str">
            <v xml:space="preserve">HARTNELL Subtotal         </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19979250</v>
          </cell>
          <cell r="AC75">
            <v>257630</v>
          </cell>
          <cell r="AD75">
            <v>761206</v>
          </cell>
          <cell r="AE75">
            <v>185227</v>
          </cell>
          <cell r="AF75">
            <v>87983</v>
          </cell>
          <cell r="AG75">
            <v>0</v>
          </cell>
          <cell r="AH75">
            <v>0</v>
          </cell>
          <cell r="AI75">
            <v>729131</v>
          </cell>
          <cell r="AJ75">
            <v>0</v>
          </cell>
          <cell r="AK75">
            <v>189896</v>
          </cell>
          <cell r="AL75">
            <v>0</v>
          </cell>
          <cell r="AM75">
            <v>107935</v>
          </cell>
          <cell r="AN75">
            <v>0</v>
          </cell>
          <cell r="AO75">
            <v>1107</v>
          </cell>
          <cell r="AP75">
            <v>22114138</v>
          </cell>
          <cell r="AQ75">
            <v>0</v>
          </cell>
          <cell r="AR75">
            <v>0</v>
          </cell>
          <cell r="AS75">
            <v>0</v>
          </cell>
          <cell r="AT75">
            <v>0</v>
          </cell>
          <cell r="AU75">
            <v>0</v>
          </cell>
          <cell r="AV75">
            <v>0</v>
          </cell>
          <cell r="AW75">
            <v>0</v>
          </cell>
        </row>
        <row r="77">
          <cell r="C77" t="str">
            <v xml:space="preserve"> IMPERIAL</v>
          </cell>
          <cell r="D77" t="str">
            <v xml:space="preserve"> IMPERIAL</v>
          </cell>
          <cell r="E77">
            <v>30</v>
          </cell>
          <cell r="F77" t="str">
            <v xml:space="preserve"> 2016-2017</v>
          </cell>
          <cell r="G77" t="str">
            <v xml:space="preserve"> 04/15/2017</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t="str">
            <v xml:space="preserve"> </v>
          </cell>
          <cell r="W77">
            <v>0</v>
          </cell>
          <cell r="X77">
            <v>0</v>
          </cell>
          <cell r="Y77">
            <v>0</v>
          </cell>
          <cell r="Z77">
            <v>0</v>
          </cell>
          <cell r="AA77">
            <v>0</v>
          </cell>
          <cell r="AB77">
            <v>7412398</v>
          </cell>
          <cell r="AC77">
            <v>29990</v>
          </cell>
          <cell r="AD77">
            <v>856365</v>
          </cell>
          <cell r="AE77">
            <v>179342</v>
          </cell>
          <cell r="AF77">
            <v>85187</v>
          </cell>
          <cell r="AG77">
            <v>0</v>
          </cell>
          <cell r="AH77">
            <v>0</v>
          </cell>
          <cell r="AI77">
            <v>312933</v>
          </cell>
          <cell r="AJ77">
            <v>0</v>
          </cell>
          <cell r="AK77">
            <v>0</v>
          </cell>
          <cell r="AL77">
            <v>0</v>
          </cell>
          <cell r="AM77">
            <v>79287</v>
          </cell>
          <cell r="AN77">
            <v>0</v>
          </cell>
          <cell r="AO77">
            <v>-2330856</v>
          </cell>
          <cell r="AP77">
            <v>6445304</v>
          </cell>
          <cell r="AQ77">
            <v>0</v>
          </cell>
          <cell r="AR77">
            <v>0</v>
          </cell>
          <cell r="AS77">
            <v>0</v>
          </cell>
          <cell r="AT77">
            <v>0</v>
          </cell>
          <cell r="AU77" t="str">
            <v xml:space="preserve"> </v>
          </cell>
          <cell r="AV77" t="str">
            <v xml:space="preserve"> </v>
          </cell>
          <cell r="AW77" t="str">
            <v xml:space="preserve"> </v>
          </cell>
        </row>
        <row r="78">
          <cell r="C78" t="str">
            <v xml:space="preserve">IMPERIAL Subtotal         </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7412398</v>
          </cell>
          <cell r="AC78">
            <v>29990</v>
          </cell>
          <cell r="AD78">
            <v>856365</v>
          </cell>
          <cell r="AE78">
            <v>179342</v>
          </cell>
          <cell r="AF78">
            <v>85187</v>
          </cell>
          <cell r="AG78">
            <v>0</v>
          </cell>
          <cell r="AH78">
            <v>0</v>
          </cell>
          <cell r="AI78">
            <v>312933</v>
          </cell>
          <cell r="AJ78">
            <v>0</v>
          </cell>
          <cell r="AK78">
            <v>0</v>
          </cell>
          <cell r="AL78">
            <v>0</v>
          </cell>
          <cell r="AM78">
            <v>79287</v>
          </cell>
          <cell r="AN78">
            <v>0</v>
          </cell>
          <cell r="AO78">
            <v>-2330856</v>
          </cell>
          <cell r="AP78">
            <v>6445304</v>
          </cell>
          <cell r="AQ78">
            <v>0</v>
          </cell>
          <cell r="AR78">
            <v>0</v>
          </cell>
          <cell r="AS78">
            <v>0</v>
          </cell>
          <cell r="AT78">
            <v>0</v>
          </cell>
          <cell r="AU78">
            <v>0</v>
          </cell>
          <cell r="AV78">
            <v>0</v>
          </cell>
          <cell r="AW78">
            <v>0</v>
          </cell>
        </row>
        <row r="80">
          <cell r="C80" t="str">
            <v xml:space="preserve"> KERN</v>
          </cell>
          <cell r="D80" t="str">
            <v xml:space="preserve"> INYO</v>
          </cell>
          <cell r="E80">
            <v>520</v>
          </cell>
          <cell r="F80" t="str">
            <v xml:space="preserve"> 2016-2017</v>
          </cell>
          <cell r="G80" t="str">
            <v xml:space="preserve"> 04/15/2017</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t="str">
            <v xml:space="preserve"> </v>
          </cell>
          <cell r="W80">
            <v>0</v>
          </cell>
          <cell r="X80">
            <v>0</v>
          </cell>
          <cell r="Y80">
            <v>0</v>
          </cell>
          <cell r="Z80">
            <v>0</v>
          </cell>
          <cell r="AA80">
            <v>0</v>
          </cell>
          <cell r="AB80">
            <v>210762</v>
          </cell>
          <cell r="AC80">
            <v>1057</v>
          </cell>
          <cell r="AD80">
            <v>22246</v>
          </cell>
          <cell r="AE80">
            <v>0</v>
          </cell>
          <cell r="AF80">
            <v>0</v>
          </cell>
          <cell r="AG80">
            <v>0</v>
          </cell>
          <cell r="AH80">
            <v>0</v>
          </cell>
          <cell r="AI80">
            <v>0</v>
          </cell>
          <cell r="AJ80">
            <v>0</v>
          </cell>
          <cell r="AK80">
            <v>4758</v>
          </cell>
          <cell r="AL80">
            <v>0</v>
          </cell>
          <cell r="AM80">
            <v>1385</v>
          </cell>
          <cell r="AN80">
            <v>0</v>
          </cell>
          <cell r="AO80">
            <v>0</v>
          </cell>
          <cell r="AP80">
            <v>240208</v>
          </cell>
          <cell r="AQ80">
            <v>0</v>
          </cell>
          <cell r="AR80">
            <v>0</v>
          </cell>
          <cell r="AS80">
            <v>0</v>
          </cell>
          <cell r="AT80">
            <v>0</v>
          </cell>
          <cell r="AU80" t="str">
            <v xml:space="preserve"> </v>
          </cell>
          <cell r="AV80" t="str">
            <v xml:space="preserve"> </v>
          </cell>
          <cell r="AW80" t="str">
            <v xml:space="preserve"> </v>
          </cell>
        </row>
        <row r="81">
          <cell r="C81" t="str">
            <v xml:space="preserve"> KERN</v>
          </cell>
          <cell r="D81" t="str">
            <v xml:space="preserve"> KERN</v>
          </cell>
          <cell r="E81">
            <v>520</v>
          </cell>
          <cell r="F81" t="str">
            <v xml:space="preserve"> 2016-2017</v>
          </cell>
          <cell r="G81" t="str">
            <v xml:space="preserve"> 04/15/2017</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t="str">
            <v xml:space="preserve"> </v>
          </cell>
          <cell r="W81">
            <v>0</v>
          </cell>
          <cell r="X81">
            <v>0</v>
          </cell>
          <cell r="Y81">
            <v>0</v>
          </cell>
          <cell r="Z81">
            <v>0</v>
          </cell>
          <cell r="AA81">
            <v>0</v>
          </cell>
          <cell r="AB81">
            <v>37694869</v>
          </cell>
          <cell r="AC81">
            <v>2216992</v>
          </cell>
          <cell r="AD81">
            <v>4362462</v>
          </cell>
          <cell r="AE81">
            <v>0</v>
          </cell>
          <cell r="AF81">
            <v>0</v>
          </cell>
          <cell r="AG81">
            <v>0</v>
          </cell>
          <cell r="AH81">
            <v>0</v>
          </cell>
          <cell r="AI81">
            <v>416853</v>
          </cell>
          <cell r="AJ81">
            <v>0</v>
          </cell>
          <cell r="AK81">
            <v>0</v>
          </cell>
          <cell r="AL81">
            <v>133</v>
          </cell>
          <cell r="AM81">
            <v>413926</v>
          </cell>
          <cell r="AN81">
            <v>0</v>
          </cell>
          <cell r="AO81">
            <v>0</v>
          </cell>
          <cell r="AP81">
            <v>45105235</v>
          </cell>
          <cell r="AQ81">
            <v>3589857</v>
          </cell>
          <cell r="AR81">
            <v>0</v>
          </cell>
          <cell r="AS81">
            <v>0</v>
          </cell>
          <cell r="AT81">
            <v>0</v>
          </cell>
          <cell r="AU81" t="str">
            <v xml:space="preserve"> </v>
          </cell>
          <cell r="AV81" t="str">
            <v xml:space="preserve"> </v>
          </cell>
          <cell r="AW81" t="str">
            <v xml:space="preserve"> </v>
          </cell>
        </row>
        <row r="82">
          <cell r="C82" t="str">
            <v xml:space="preserve"> KERN</v>
          </cell>
          <cell r="D82" t="str">
            <v xml:space="preserve"> SAN BERNARDINO</v>
          </cell>
          <cell r="E82">
            <v>520</v>
          </cell>
          <cell r="F82" t="str">
            <v xml:space="preserve"> 2016-2017</v>
          </cell>
          <cell r="G82" t="str">
            <v xml:space="preserve"> 04/15/2017</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t="str">
            <v xml:space="preserve"> </v>
          </cell>
          <cell r="W82">
            <v>0</v>
          </cell>
          <cell r="X82">
            <v>0</v>
          </cell>
          <cell r="Y82">
            <v>0</v>
          </cell>
          <cell r="Z82">
            <v>0</v>
          </cell>
          <cell r="AA82">
            <v>0</v>
          </cell>
          <cell r="AB82">
            <v>81954</v>
          </cell>
          <cell r="AC82">
            <v>834</v>
          </cell>
          <cell r="AD82">
            <v>2602</v>
          </cell>
          <cell r="AE82">
            <v>0</v>
          </cell>
          <cell r="AF82">
            <v>0</v>
          </cell>
          <cell r="AG82">
            <v>0</v>
          </cell>
          <cell r="AH82">
            <v>0</v>
          </cell>
          <cell r="AI82">
            <v>0</v>
          </cell>
          <cell r="AJ82">
            <v>0</v>
          </cell>
          <cell r="AK82">
            <v>942</v>
          </cell>
          <cell r="AL82">
            <v>0</v>
          </cell>
          <cell r="AM82">
            <v>806</v>
          </cell>
          <cell r="AN82">
            <v>0</v>
          </cell>
          <cell r="AO82">
            <v>0</v>
          </cell>
          <cell r="AP82">
            <v>87138</v>
          </cell>
          <cell r="AQ82">
            <v>0</v>
          </cell>
          <cell r="AR82">
            <v>0</v>
          </cell>
          <cell r="AS82">
            <v>0</v>
          </cell>
          <cell r="AT82">
            <v>0</v>
          </cell>
          <cell r="AU82" t="str">
            <v xml:space="preserve"> </v>
          </cell>
          <cell r="AV82" t="str">
            <v xml:space="preserve"> </v>
          </cell>
          <cell r="AW82" t="str">
            <v xml:space="preserve"> </v>
          </cell>
        </row>
        <row r="83">
          <cell r="C83" t="str">
            <v xml:space="preserve"> KERN</v>
          </cell>
          <cell r="D83" t="str">
            <v xml:space="preserve"> TULARE</v>
          </cell>
          <cell r="E83">
            <v>520</v>
          </cell>
          <cell r="F83" t="str">
            <v xml:space="preserve"> 2016-2017</v>
          </cell>
          <cell r="G83" t="str">
            <v xml:space="preserve"> 04/15/2017</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t="str">
            <v xml:space="preserve"> </v>
          </cell>
          <cell r="W83">
            <v>0</v>
          </cell>
          <cell r="X83">
            <v>0</v>
          </cell>
          <cell r="Y83">
            <v>0</v>
          </cell>
          <cell r="Z83">
            <v>0</v>
          </cell>
          <cell r="AA83">
            <v>0</v>
          </cell>
          <cell r="AB83">
            <v>4707868</v>
          </cell>
          <cell r="AC83">
            <v>45152</v>
          </cell>
          <cell r="AD83">
            <v>269561</v>
          </cell>
          <cell r="AE83">
            <v>14794</v>
          </cell>
          <cell r="AF83">
            <v>7027</v>
          </cell>
          <cell r="AG83">
            <v>0</v>
          </cell>
          <cell r="AH83">
            <v>0</v>
          </cell>
          <cell r="AI83">
            <v>111595</v>
          </cell>
          <cell r="AJ83">
            <v>0</v>
          </cell>
          <cell r="AK83">
            <v>0</v>
          </cell>
          <cell r="AL83">
            <v>0</v>
          </cell>
          <cell r="AM83">
            <v>47847</v>
          </cell>
          <cell r="AN83">
            <v>0</v>
          </cell>
          <cell r="AO83">
            <v>-334190</v>
          </cell>
          <cell r="AP83">
            <v>4854860</v>
          </cell>
          <cell r="AQ83">
            <v>0</v>
          </cell>
          <cell r="AR83">
            <v>0</v>
          </cell>
          <cell r="AS83">
            <v>0</v>
          </cell>
          <cell r="AT83">
            <v>0</v>
          </cell>
          <cell r="AU83" t="str">
            <v xml:space="preserve"> </v>
          </cell>
          <cell r="AV83" t="str">
            <v xml:space="preserve"> </v>
          </cell>
          <cell r="AW83" t="str">
            <v xml:space="preserve"> </v>
          </cell>
        </row>
        <row r="84">
          <cell r="C84" t="str">
            <v>KERN Subtotal</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42695453</v>
          </cell>
          <cell r="AC84">
            <v>2264035</v>
          </cell>
          <cell r="AD84">
            <v>4656871</v>
          </cell>
          <cell r="AE84">
            <v>14794</v>
          </cell>
          <cell r="AF84">
            <v>7027</v>
          </cell>
          <cell r="AG84">
            <v>0</v>
          </cell>
          <cell r="AH84">
            <v>0</v>
          </cell>
          <cell r="AI84">
            <v>528448</v>
          </cell>
          <cell r="AJ84">
            <v>0</v>
          </cell>
          <cell r="AK84">
            <v>5700</v>
          </cell>
          <cell r="AL84">
            <v>133</v>
          </cell>
          <cell r="AM84">
            <v>463964</v>
          </cell>
          <cell r="AN84">
            <v>0</v>
          </cell>
          <cell r="AO84">
            <v>-334190</v>
          </cell>
          <cell r="AP84">
            <v>50287441</v>
          </cell>
          <cell r="AQ84">
            <v>3589857</v>
          </cell>
          <cell r="AR84">
            <v>0</v>
          </cell>
          <cell r="AS84">
            <v>0</v>
          </cell>
          <cell r="AT84">
            <v>0</v>
          </cell>
          <cell r="AU84">
            <v>0</v>
          </cell>
          <cell r="AV84">
            <v>0</v>
          </cell>
          <cell r="AW84">
            <v>0</v>
          </cell>
        </row>
        <row r="86">
          <cell r="C86" t="str">
            <v xml:space="preserve"> LAKE TAHOE</v>
          </cell>
          <cell r="D86" t="str">
            <v xml:space="preserve"> EL DORADO</v>
          </cell>
          <cell r="E86">
            <v>220</v>
          </cell>
          <cell r="F86" t="str">
            <v xml:space="preserve"> 2016-2017</v>
          </cell>
          <cell r="G86" t="str">
            <v xml:space="preserve"> 04/15/2017</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t="str">
            <v xml:space="preserve"> </v>
          </cell>
          <cell r="W86">
            <v>0</v>
          </cell>
          <cell r="X86">
            <v>0</v>
          </cell>
          <cell r="Y86">
            <v>0</v>
          </cell>
          <cell r="Z86">
            <v>0</v>
          </cell>
          <cell r="AA86">
            <v>0</v>
          </cell>
          <cell r="AB86">
            <v>3912662</v>
          </cell>
          <cell r="AC86">
            <v>54155</v>
          </cell>
          <cell r="AD86">
            <v>78185</v>
          </cell>
          <cell r="AE86">
            <v>0</v>
          </cell>
          <cell r="AF86">
            <v>0</v>
          </cell>
          <cell r="AG86">
            <v>0</v>
          </cell>
          <cell r="AH86">
            <v>0</v>
          </cell>
          <cell r="AI86">
            <v>0</v>
          </cell>
          <cell r="AJ86">
            <v>0</v>
          </cell>
          <cell r="AK86">
            <v>-1522</v>
          </cell>
          <cell r="AL86">
            <v>79</v>
          </cell>
          <cell r="AM86">
            <v>39437</v>
          </cell>
          <cell r="AN86">
            <v>0</v>
          </cell>
          <cell r="AO86">
            <v>0</v>
          </cell>
          <cell r="AP86">
            <v>4082996</v>
          </cell>
          <cell r="AQ86">
            <v>0</v>
          </cell>
          <cell r="AR86">
            <v>0</v>
          </cell>
          <cell r="AS86">
            <v>0</v>
          </cell>
          <cell r="AT86">
            <v>0</v>
          </cell>
          <cell r="AU86" t="str">
            <v xml:space="preserve"> </v>
          </cell>
          <cell r="AV86" t="str">
            <v xml:space="preserve"> </v>
          </cell>
          <cell r="AW86" t="str">
            <v xml:space="preserve"> </v>
          </cell>
        </row>
        <row r="87">
          <cell r="C87" t="str">
            <v xml:space="preserve">LAKE TAHOE Subtotal        </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3912662</v>
          </cell>
          <cell r="AC87">
            <v>54155</v>
          </cell>
          <cell r="AD87">
            <v>78185</v>
          </cell>
          <cell r="AE87">
            <v>0</v>
          </cell>
          <cell r="AF87">
            <v>0</v>
          </cell>
          <cell r="AG87">
            <v>0</v>
          </cell>
          <cell r="AH87">
            <v>0</v>
          </cell>
          <cell r="AI87">
            <v>0</v>
          </cell>
          <cell r="AJ87">
            <v>0</v>
          </cell>
          <cell r="AK87">
            <v>-1522</v>
          </cell>
          <cell r="AL87">
            <v>79</v>
          </cell>
          <cell r="AM87">
            <v>39437</v>
          </cell>
          <cell r="AN87">
            <v>0</v>
          </cell>
          <cell r="AO87">
            <v>0</v>
          </cell>
          <cell r="AP87">
            <v>4082996</v>
          </cell>
          <cell r="AQ87">
            <v>0</v>
          </cell>
          <cell r="AR87">
            <v>0</v>
          </cell>
          <cell r="AS87">
            <v>0</v>
          </cell>
          <cell r="AT87">
            <v>0</v>
          </cell>
          <cell r="AU87">
            <v>0</v>
          </cell>
          <cell r="AV87">
            <v>0</v>
          </cell>
          <cell r="AW87">
            <v>0</v>
          </cell>
        </row>
        <row r="89">
          <cell r="C89" t="str">
            <v xml:space="preserve"> LASSEN</v>
          </cell>
          <cell r="D89" t="str">
            <v xml:space="preserve"> LASSEN</v>
          </cell>
          <cell r="E89">
            <v>130</v>
          </cell>
          <cell r="F89" t="str">
            <v xml:space="preserve"> 2016-2017</v>
          </cell>
          <cell r="G89" t="str">
            <v xml:space="preserve"> 04/15/2017</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t="str">
            <v xml:space="preserve"> </v>
          </cell>
          <cell r="W89">
            <v>0</v>
          </cell>
          <cell r="X89">
            <v>0</v>
          </cell>
          <cell r="Y89">
            <v>0</v>
          </cell>
          <cell r="Z89">
            <v>0</v>
          </cell>
          <cell r="AA89">
            <v>0</v>
          </cell>
          <cell r="AB89">
            <v>1748437</v>
          </cell>
          <cell r="AC89">
            <v>7592</v>
          </cell>
          <cell r="AD89">
            <v>91181</v>
          </cell>
          <cell r="AE89">
            <v>0</v>
          </cell>
          <cell r="AF89">
            <v>0</v>
          </cell>
          <cell r="AG89">
            <v>0</v>
          </cell>
          <cell r="AH89">
            <v>0</v>
          </cell>
          <cell r="AI89">
            <v>0</v>
          </cell>
          <cell r="AJ89">
            <v>0</v>
          </cell>
          <cell r="AK89">
            <v>1260</v>
          </cell>
          <cell r="AL89">
            <v>22056</v>
          </cell>
          <cell r="AM89">
            <v>30648</v>
          </cell>
          <cell r="AN89">
            <v>0</v>
          </cell>
          <cell r="AO89">
            <v>-303073</v>
          </cell>
          <cell r="AP89">
            <v>1598101</v>
          </cell>
          <cell r="AQ89">
            <v>0</v>
          </cell>
          <cell r="AR89">
            <v>0</v>
          </cell>
          <cell r="AS89">
            <v>0</v>
          </cell>
          <cell r="AT89">
            <v>0</v>
          </cell>
          <cell r="AU89" t="str">
            <v xml:space="preserve"> </v>
          </cell>
          <cell r="AV89" t="str">
            <v xml:space="preserve"> </v>
          </cell>
          <cell r="AW89" t="str">
            <v xml:space="preserve"> </v>
          </cell>
        </row>
        <row r="90">
          <cell r="C90" t="str">
            <v xml:space="preserve"> LASSEN</v>
          </cell>
          <cell r="D90" t="str">
            <v xml:space="preserve"> MODOC</v>
          </cell>
          <cell r="E90">
            <v>130</v>
          </cell>
          <cell r="F90" t="str">
            <v xml:space="preserve"> 2016-2017</v>
          </cell>
          <cell r="G90" t="str">
            <v xml:space="preserve"> 04/15/2017</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t="str">
            <v xml:space="preserve"> </v>
          </cell>
          <cell r="W90">
            <v>0</v>
          </cell>
          <cell r="X90">
            <v>0</v>
          </cell>
          <cell r="Y90">
            <v>0</v>
          </cell>
          <cell r="Z90">
            <v>0</v>
          </cell>
          <cell r="AA90">
            <v>0</v>
          </cell>
          <cell r="AB90">
            <v>95000</v>
          </cell>
          <cell r="AC90">
            <v>300</v>
          </cell>
          <cell r="AD90">
            <v>3500</v>
          </cell>
          <cell r="AE90">
            <v>0</v>
          </cell>
          <cell r="AF90">
            <v>0</v>
          </cell>
          <cell r="AG90">
            <v>0</v>
          </cell>
          <cell r="AH90">
            <v>0</v>
          </cell>
          <cell r="AI90">
            <v>0</v>
          </cell>
          <cell r="AJ90">
            <v>0</v>
          </cell>
          <cell r="AK90">
            <v>4100</v>
          </cell>
          <cell r="AL90">
            <v>90</v>
          </cell>
          <cell r="AM90">
            <v>1400</v>
          </cell>
          <cell r="AN90">
            <v>0</v>
          </cell>
          <cell r="AO90">
            <v>-4655</v>
          </cell>
          <cell r="AP90">
            <v>99735</v>
          </cell>
          <cell r="AQ90">
            <v>0</v>
          </cell>
          <cell r="AR90">
            <v>0</v>
          </cell>
          <cell r="AS90">
            <v>0</v>
          </cell>
          <cell r="AT90">
            <v>0</v>
          </cell>
          <cell r="AU90" t="str">
            <v xml:space="preserve"> </v>
          </cell>
          <cell r="AV90" t="str">
            <v xml:space="preserve"> </v>
          </cell>
          <cell r="AW90" t="str">
            <v xml:space="preserve"> </v>
          </cell>
        </row>
        <row r="91">
          <cell r="C91" t="str">
            <v xml:space="preserve">LASSEN Subtotal           </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1843437</v>
          </cell>
          <cell r="AC91">
            <v>7892</v>
          </cell>
          <cell r="AD91">
            <v>94681</v>
          </cell>
          <cell r="AE91">
            <v>0</v>
          </cell>
          <cell r="AF91">
            <v>0</v>
          </cell>
          <cell r="AG91">
            <v>0</v>
          </cell>
          <cell r="AH91">
            <v>0</v>
          </cell>
          <cell r="AI91">
            <v>0</v>
          </cell>
          <cell r="AJ91">
            <v>0</v>
          </cell>
          <cell r="AK91">
            <v>5360</v>
          </cell>
          <cell r="AL91">
            <v>22146</v>
          </cell>
          <cell r="AM91">
            <v>32048</v>
          </cell>
          <cell r="AN91">
            <v>0</v>
          </cell>
          <cell r="AO91">
            <v>-307728</v>
          </cell>
          <cell r="AP91">
            <v>1697836</v>
          </cell>
          <cell r="AQ91">
            <v>0</v>
          </cell>
          <cell r="AR91">
            <v>0</v>
          </cell>
          <cell r="AS91">
            <v>0</v>
          </cell>
          <cell r="AT91">
            <v>0</v>
          </cell>
          <cell r="AU91">
            <v>0</v>
          </cell>
          <cell r="AV91">
            <v>0</v>
          </cell>
          <cell r="AW91">
            <v>0</v>
          </cell>
        </row>
        <row r="93">
          <cell r="C93" t="str">
            <v xml:space="preserve"> LONG BEACH</v>
          </cell>
          <cell r="D93" t="str">
            <v xml:space="preserve"> LOS ANGELES</v>
          </cell>
          <cell r="E93">
            <v>840</v>
          </cell>
          <cell r="F93" t="str">
            <v xml:space="preserve"> 2016-2017</v>
          </cell>
          <cell r="G93" t="str">
            <v xml:space="preserve"> 04/15/2017</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t="str">
            <v xml:space="preserve"> </v>
          </cell>
          <cell r="W93">
            <v>0</v>
          </cell>
          <cell r="X93">
            <v>0</v>
          </cell>
          <cell r="Y93">
            <v>0</v>
          </cell>
          <cell r="Z93">
            <v>0</v>
          </cell>
          <cell r="AA93">
            <v>0</v>
          </cell>
          <cell r="AB93">
            <v>10986641</v>
          </cell>
          <cell r="AC93">
            <v>363550</v>
          </cell>
          <cell r="AD93">
            <v>174771</v>
          </cell>
          <cell r="AE93">
            <v>674030</v>
          </cell>
          <cell r="AF93">
            <v>320164</v>
          </cell>
          <cell r="AG93">
            <v>0</v>
          </cell>
          <cell r="AH93">
            <v>0</v>
          </cell>
          <cell r="AI93">
            <v>272148</v>
          </cell>
          <cell r="AJ93">
            <v>49920</v>
          </cell>
          <cell r="AK93">
            <v>706486</v>
          </cell>
          <cell r="AL93">
            <v>0</v>
          </cell>
          <cell r="AM93">
            <v>72184</v>
          </cell>
          <cell r="AN93">
            <v>0</v>
          </cell>
          <cell r="AO93">
            <v>0</v>
          </cell>
          <cell r="AP93">
            <v>12945864</v>
          </cell>
          <cell r="AQ93">
            <v>0</v>
          </cell>
          <cell r="AR93">
            <v>0</v>
          </cell>
          <cell r="AS93">
            <v>0</v>
          </cell>
          <cell r="AT93">
            <v>0</v>
          </cell>
          <cell r="AU93" t="str">
            <v xml:space="preserve"> </v>
          </cell>
          <cell r="AV93" t="str">
            <v xml:space="preserve"> </v>
          </cell>
          <cell r="AW93" t="str">
            <v xml:space="preserve"> </v>
          </cell>
        </row>
        <row r="94">
          <cell r="C94" t="str">
            <v xml:space="preserve">LONG BEACH Subtotal     </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10986641</v>
          </cell>
          <cell r="AC94">
            <v>363550</v>
          </cell>
          <cell r="AD94">
            <v>174771</v>
          </cell>
          <cell r="AE94">
            <v>674030</v>
          </cell>
          <cell r="AF94">
            <v>320164</v>
          </cell>
          <cell r="AG94">
            <v>0</v>
          </cell>
          <cell r="AH94">
            <v>0</v>
          </cell>
          <cell r="AI94">
            <v>272148</v>
          </cell>
          <cell r="AJ94">
            <v>49920</v>
          </cell>
          <cell r="AK94">
            <v>706486</v>
          </cell>
          <cell r="AL94">
            <v>0</v>
          </cell>
          <cell r="AM94">
            <v>72184</v>
          </cell>
          <cell r="AN94">
            <v>0</v>
          </cell>
          <cell r="AO94">
            <v>0</v>
          </cell>
          <cell r="AP94">
            <v>12945864</v>
          </cell>
          <cell r="AQ94">
            <v>0</v>
          </cell>
          <cell r="AR94">
            <v>0</v>
          </cell>
          <cell r="AS94">
            <v>0</v>
          </cell>
          <cell r="AT94">
            <v>0</v>
          </cell>
          <cell r="AU94">
            <v>0</v>
          </cell>
          <cell r="AV94">
            <v>0</v>
          </cell>
          <cell r="AW94">
            <v>0</v>
          </cell>
        </row>
        <row r="96">
          <cell r="C96" t="str">
            <v xml:space="preserve"> LOS ANGELES</v>
          </cell>
          <cell r="D96" t="str">
            <v xml:space="preserve"> LOS ANGELES</v>
          </cell>
          <cell r="E96">
            <v>740</v>
          </cell>
          <cell r="F96" t="str">
            <v xml:space="preserve"> 2016-2017</v>
          </cell>
          <cell r="G96" t="str">
            <v xml:space="preserve"> 04/15/2017</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t="str">
            <v xml:space="preserve"> </v>
          </cell>
          <cell r="W96">
            <v>0</v>
          </cell>
          <cell r="X96">
            <v>0</v>
          </cell>
          <cell r="Y96">
            <v>0</v>
          </cell>
          <cell r="Z96">
            <v>0</v>
          </cell>
          <cell r="AA96">
            <v>0</v>
          </cell>
          <cell r="AB96">
            <v>174646899</v>
          </cell>
          <cell r="AC96">
            <v>4820321</v>
          </cell>
          <cell r="AD96">
            <v>6149845</v>
          </cell>
          <cell r="AE96">
            <v>3041887</v>
          </cell>
          <cell r="AF96">
            <v>1444896</v>
          </cell>
          <cell r="AG96">
            <v>0</v>
          </cell>
          <cell r="AH96">
            <v>0</v>
          </cell>
          <cell r="AI96">
            <v>2596573</v>
          </cell>
          <cell r="AJ96">
            <v>2929943</v>
          </cell>
          <cell r="AK96">
            <v>3252688</v>
          </cell>
          <cell r="AL96">
            <v>0</v>
          </cell>
          <cell r="AM96">
            <v>1156686</v>
          </cell>
          <cell r="AN96">
            <v>11257</v>
          </cell>
          <cell r="AO96">
            <v>0</v>
          </cell>
          <cell r="AP96">
            <v>197009108</v>
          </cell>
          <cell r="AQ96">
            <v>0</v>
          </cell>
          <cell r="AR96">
            <v>0</v>
          </cell>
          <cell r="AS96">
            <v>0</v>
          </cell>
          <cell r="AT96">
            <v>0</v>
          </cell>
          <cell r="AU96" t="str">
            <v xml:space="preserve"> </v>
          </cell>
          <cell r="AV96" t="str">
            <v xml:space="preserve"> </v>
          </cell>
          <cell r="AW96" t="str">
            <v xml:space="preserve"> </v>
          </cell>
        </row>
        <row r="97">
          <cell r="C97" t="str">
            <v xml:space="preserve">LOS ANGELES Subtotal     </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174646899</v>
          </cell>
          <cell r="AC97">
            <v>4820321</v>
          </cell>
          <cell r="AD97">
            <v>6149845</v>
          </cell>
          <cell r="AE97">
            <v>3041887</v>
          </cell>
          <cell r="AF97">
            <v>1444896</v>
          </cell>
          <cell r="AG97">
            <v>0</v>
          </cell>
          <cell r="AH97">
            <v>0</v>
          </cell>
          <cell r="AI97">
            <v>2596573</v>
          </cell>
          <cell r="AJ97">
            <v>2929943</v>
          </cell>
          <cell r="AK97">
            <v>3252688</v>
          </cell>
          <cell r="AL97">
            <v>0</v>
          </cell>
          <cell r="AM97">
            <v>1156686</v>
          </cell>
          <cell r="AN97">
            <v>11257</v>
          </cell>
          <cell r="AO97">
            <v>0</v>
          </cell>
          <cell r="AP97">
            <v>197009108</v>
          </cell>
          <cell r="AQ97">
            <v>0</v>
          </cell>
          <cell r="AR97">
            <v>0</v>
          </cell>
          <cell r="AS97">
            <v>0</v>
          </cell>
          <cell r="AT97">
            <v>0</v>
          </cell>
          <cell r="AU97">
            <v>0</v>
          </cell>
          <cell r="AV97">
            <v>0</v>
          </cell>
          <cell r="AW97">
            <v>0</v>
          </cell>
        </row>
        <row r="99">
          <cell r="C99" t="str">
            <v xml:space="preserve"> LOS RIOS</v>
          </cell>
          <cell r="D99" t="str">
            <v xml:space="preserve"> EL DORADO</v>
          </cell>
          <cell r="E99">
            <v>230</v>
          </cell>
          <cell r="F99" t="str">
            <v xml:space="preserve"> 2016-2017</v>
          </cell>
          <cell r="G99" t="str">
            <v xml:space="preserve"> 04/15/2017</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t="str">
            <v xml:space="preserve"> </v>
          </cell>
          <cell r="W99">
            <v>0</v>
          </cell>
          <cell r="X99">
            <v>0</v>
          </cell>
          <cell r="Y99">
            <v>0</v>
          </cell>
          <cell r="Z99">
            <v>0</v>
          </cell>
          <cell r="AA99">
            <v>0</v>
          </cell>
          <cell r="AB99">
            <v>10669495</v>
          </cell>
          <cell r="AC99">
            <v>138570</v>
          </cell>
          <cell r="AD99">
            <v>200820</v>
          </cell>
          <cell r="AE99">
            <v>0</v>
          </cell>
          <cell r="AF99">
            <v>0</v>
          </cell>
          <cell r="AG99">
            <v>0</v>
          </cell>
          <cell r="AH99">
            <v>0</v>
          </cell>
          <cell r="AI99">
            <v>0</v>
          </cell>
          <cell r="AJ99">
            <v>0</v>
          </cell>
          <cell r="AK99">
            <v>-3875</v>
          </cell>
          <cell r="AL99">
            <v>7518</v>
          </cell>
          <cell r="AM99">
            <v>101294</v>
          </cell>
          <cell r="AN99">
            <v>0</v>
          </cell>
          <cell r="AO99">
            <v>1671177</v>
          </cell>
          <cell r="AP99">
            <v>12784999</v>
          </cell>
          <cell r="AQ99">
            <v>0</v>
          </cell>
          <cell r="AR99">
            <v>0</v>
          </cell>
          <cell r="AS99">
            <v>0</v>
          </cell>
          <cell r="AT99">
            <v>0</v>
          </cell>
          <cell r="AU99" t="str">
            <v xml:space="preserve"> </v>
          </cell>
          <cell r="AV99" t="str">
            <v xml:space="preserve"> </v>
          </cell>
          <cell r="AW99" t="str">
            <v xml:space="preserve"> </v>
          </cell>
        </row>
        <row r="100">
          <cell r="C100" t="str">
            <v xml:space="preserve"> LOS RIOS</v>
          </cell>
          <cell r="D100" t="str">
            <v xml:space="preserve"> PLACER</v>
          </cell>
          <cell r="E100">
            <v>230</v>
          </cell>
          <cell r="F100" t="str">
            <v xml:space="preserve"> 2016-2017</v>
          </cell>
          <cell r="G100" t="str">
            <v xml:space="preserve"> 04/15/2017</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t="str">
            <v xml:space="preserve"> </v>
          </cell>
          <cell r="W100">
            <v>0</v>
          </cell>
          <cell r="X100">
            <v>0</v>
          </cell>
          <cell r="Y100">
            <v>0</v>
          </cell>
          <cell r="Z100">
            <v>0</v>
          </cell>
          <cell r="AA100">
            <v>0</v>
          </cell>
          <cell r="AB100">
            <v>43924</v>
          </cell>
          <cell r="AC100">
            <v>853</v>
          </cell>
          <cell r="AD100">
            <v>1107</v>
          </cell>
          <cell r="AE100">
            <v>0</v>
          </cell>
          <cell r="AF100">
            <v>0</v>
          </cell>
          <cell r="AG100">
            <v>0</v>
          </cell>
          <cell r="AH100">
            <v>0</v>
          </cell>
          <cell r="AI100">
            <v>0</v>
          </cell>
          <cell r="AJ100">
            <v>0</v>
          </cell>
          <cell r="AK100">
            <v>12</v>
          </cell>
          <cell r="AL100">
            <v>0</v>
          </cell>
          <cell r="AM100">
            <v>353</v>
          </cell>
          <cell r="AN100">
            <v>0</v>
          </cell>
          <cell r="AO100">
            <v>0</v>
          </cell>
          <cell r="AP100">
            <v>46249</v>
          </cell>
          <cell r="AQ100">
            <v>0</v>
          </cell>
          <cell r="AR100">
            <v>0</v>
          </cell>
          <cell r="AS100">
            <v>0</v>
          </cell>
          <cell r="AT100">
            <v>0</v>
          </cell>
          <cell r="AU100" t="str">
            <v xml:space="preserve"> </v>
          </cell>
          <cell r="AV100" t="str">
            <v xml:space="preserve"> </v>
          </cell>
          <cell r="AW100" t="str">
            <v xml:space="preserve"> </v>
          </cell>
        </row>
        <row r="101">
          <cell r="C101" t="str">
            <v xml:space="preserve"> LOS RIOS</v>
          </cell>
          <cell r="D101" t="str">
            <v xml:space="preserve"> SACRAMENTO</v>
          </cell>
          <cell r="E101">
            <v>230</v>
          </cell>
          <cell r="F101" t="str">
            <v xml:space="preserve"> 2016-2017</v>
          </cell>
          <cell r="G101" t="str">
            <v xml:space="preserve"> 04/15/2017</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t="str">
            <v xml:space="preserve"> </v>
          </cell>
          <cell r="W101">
            <v>0</v>
          </cell>
          <cell r="X101">
            <v>0</v>
          </cell>
          <cell r="Y101">
            <v>0</v>
          </cell>
          <cell r="Z101">
            <v>0</v>
          </cell>
          <cell r="AA101">
            <v>0</v>
          </cell>
          <cell r="AB101">
            <v>38796683</v>
          </cell>
          <cell r="AC101">
            <v>1048555</v>
          </cell>
          <cell r="AD101">
            <v>1219068</v>
          </cell>
          <cell r="AE101">
            <v>396213</v>
          </cell>
          <cell r="AF101">
            <v>188201</v>
          </cell>
          <cell r="AG101">
            <v>0</v>
          </cell>
          <cell r="AH101">
            <v>0</v>
          </cell>
          <cell r="AI101">
            <v>655277</v>
          </cell>
          <cell r="AJ101">
            <v>147281</v>
          </cell>
          <cell r="AK101">
            <v>0</v>
          </cell>
          <cell r="AL101">
            <v>15</v>
          </cell>
          <cell r="AM101">
            <v>453396</v>
          </cell>
          <cell r="AN101">
            <v>67</v>
          </cell>
          <cell r="AO101">
            <v>9320490</v>
          </cell>
          <cell r="AP101">
            <v>51829033</v>
          </cell>
          <cell r="AQ101">
            <v>0</v>
          </cell>
          <cell r="AR101">
            <v>0</v>
          </cell>
          <cell r="AS101">
            <v>0</v>
          </cell>
          <cell r="AT101">
            <v>0</v>
          </cell>
          <cell r="AU101" t="str">
            <v xml:space="preserve"> </v>
          </cell>
          <cell r="AV101" t="str">
            <v xml:space="preserve"> </v>
          </cell>
          <cell r="AW101" t="str">
            <v xml:space="preserve"> </v>
          </cell>
        </row>
        <row r="102">
          <cell r="C102" t="str">
            <v xml:space="preserve"> LOS RIOS</v>
          </cell>
          <cell r="D102" t="str">
            <v xml:space="preserve"> SOLANO</v>
          </cell>
          <cell r="E102">
            <v>230</v>
          </cell>
          <cell r="F102" t="str">
            <v xml:space="preserve"> 2016-2017</v>
          </cell>
          <cell r="G102" t="str">
            <v xml:space="preserve"> 04/15/2017</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t="str">
            <v xml:space="preserve"> </v>
          </cell>
          <cell r="W102">
            <v>0</v>
          </cell>
          <cell r="X102">
            <v>0</v>
          </cell>
          <cell r="Y102">
            <v>0</v>
          </cell>
          <cell r="Z102">
            <v>0</v>
          </cell>
          <cell r="AA102">
            <v>0</v>
          </cell>
          <cell r="AB102">
            <v>12366</v>
          </cell>
          <cell r="AC102">
            <v>189</v>
          </cell>
          <cell r="AD102">
            <v>700</v>
          </cell>
          <cell r="AE102">
            <v>0</v>
          </cell>
          <cell r="AF102">
            <v>0</v>
          </cell>
          <cell r="AG102">
            <v>0</v>
          </cell>
          <cell r="AH102">
            <v>0</v>
          </cell>
          <cell r="AI102">
            <v>0</v>
          </cell>
          <cell r="AJ102">
            <v>0</v>
          </cell>
          <cell r="AK102">
            <v>0</v>
          </cell>
          <cell r="AL102">
            <v>0</v>
          </cell>
          <cell r="AM102">
            <v>102</v>
          </cell>
          <cell r="AN102">
            <v>0</v>
          </cell>
          <cell r="AO102">
            <v>0</v>
          </cell>
          <cell r="AP102">
            <v>13357</v>
          </cell>
          <cell r="AQ102">
            <v>0</v>
          </cell>
          <cell r="AR102">
            <v>0</v>
          </cell>
          <cell r="AS102">
            <v>0</v>
          </cell>
          <cell r="AT102">
            <v>0</v>
          </cell>
          <cell r="AU102" t="str">
            <v xml:space="preserve"> </v>
          </cell>
          <cell r="AV102" t="str">
            <v xml:space="preserve"> </v>
          </cell>
          <cell r="AW102" t="str">
            <v xml:space="preserve"> </v>
          </cell>
        </row>
        <row r="103">
          <cell r="C103" t="str">
            <v xml:space="preserve"> LOS RIOS</v>
          </cell>
          <cell r="D103" t="str">
            <v xml:space="preserve"> YOLO</v>
          </cell>
          <cell r="E103">
            <v>230</v>
          </cell>
          <cell r="F103" t="str">
            <v xml:space="preserve"> 2016-2017</v>
          </cell>
          <cell r="G103" t="str">
            <v xml:space="preserve"> 04/15/2017</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t="str">
            <v xml:space="preserve"> </v>
          </cell>
          <cell r="W103">
            <v>0</v>
          </cell>
          <cell r="X103">
            <v>0</v>
          </cell>
          <cell r="Y103">
            <v>0</v>
          </cell>
          <cell r="Z103">
            <v>0</v>
          </cell>
          <cell r="AA103">
            <v>0</v>
          </cell>
          <cell r="AB103">
            <v>5221357</v>
          </cell>
          <cell r="AC103">
            <v>77058</v>
          </cell>
          <cell r="AD103">
            <v>199059</v>
          </cell>
          <cell r="AE103">
            <v>67734</v>
          </cell>
          <cell r="AF103">
            <v>32174</v>
          </cell>
          <cell r="AG103">
            <v>0</v>
          </cell>
          <cell r="AH103">
            <v>0</v>
          </cell>
          <cell r="AI103">
            <v>712350</v>
          </cell>
          <cell r="AJ103">
            <v>0</v>
          </cell>
          <cell r="AK103">
            <v>4025</v>
          </cell>
          <cell r="AL103">
            <v>0</v>
          </cell>
          <cell r="AM103">
            <v>48720</v>
          </cell>
          <cell r="AN103">
            <v>1452</v>
          </cell>
          <cell r="AO103">
            <v>372342</v>
          </cell>
          <cell r="AP103">
            <v>6668537</v>
          </cell>
          <cell r="AQ103">
            <v>0</v>
          </cell>
          <cell r="AR103">
            <v>0</v>
          </cell>
          <cell r="AS103">
            <v>0</v>
          </cell>
          <cell r="AT103">
            <v>0</v>
          </cell>
          <cell r="AU103" t="str">
            <v xml:space="preserve"> </v>
          </cell>
          <cell r="AV103" t="str">
            <v xml:space="preserve"> </v>
          </cell>
          <cell r="AW103" t="str">
            <v xml:space="preserve"> </v>
          </cell>
        </row>
        <row r="104">
          <cell r="C104" t="str">
            <v xml:space="preserve">LOS RIOS Subtotal          </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54743825</v>
          </cell>
          <cell r="AC104">
            <v>1265225</v>
          </cell>
          <cell r="AD104">
            <v>1620754</v>
          </cell>
          <cell r="AE104">
            <v>463947</v>
          </cell>
          <cell r="AF104">
            <v>220375</v>
          </cell>
          <cell r="AG104">
            <v>0</v>
          </cell>
          <cell r="AH104">
            <v>0</v>
          </cell>
          <cell r="AI104">
            <v>1367627</v>
          </cell>
          <cell r="AJ104">
            <v>147281</v>
          </cell>
          <cell r="AK104">
            <v>162</v>
          </cell>
          <cell r="AL104">
            <v>7533</v>
          </cell>
          <cell r="AM104">
            <v>603865</v>
          </cell>
          <cell r="AN104">
            <v>1519</v>
          </cell>
          <cell r="AO104">
            <v>11364009</v>
          </cell>
          <cell r="AP104">
            <v>71342175</v>
          </cell>
          <cell r="AQ104">
            <v>0</v>
          </cell>
          <cell r="AR104">
            <v>0</v>
          </cell>
          <cell r="AS104">
            <v>0</v>
          </cell>
          <cell r="AT104">
            <v>0</v>
          </cell>
          <cell r="AU104">
            <v>0</v>
          </cell>
          <cell r="AV104">
            <v>0</v>
          </cell>
          <cell r="AW104">
            <v>0</v>
          </cell>
        </row>
        <row r="106">
          <cell r="C106" t="str">
            <v xml:space="preserve"> MARIN</v>
          </cell>
          <cell r="D106" t="str">
            <v xml:space="preserve"> MARIN</v>
          </cell>
          <cell r="E106">
            <v>330</v>
          </cell>
          <cell r="F106" t="str">
            <v xml:space="preserve"> 2016-2017</v>
          </cell>
          <cell r="G106" t="str">
            <v xml:space="preserve"> 04/15/2017</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t="str">
            <v xml:space="preserve"> </v>
          </cell>
          <cell r="W106">
            <v>0</v>
          </cell>
          <cell r="X106">
            <v>0</v>
          </cell>
          <cell r="Y106">
            <v>0</v>
          </cell>
          <cell r="Z106">
            <v>0</v>
          </cell>
          <cell r="AA106">
            <v>0</v>
          </cell>
          <cell r="AB106">
            <v>48363569</v>
          </cell>
          <cell r="AC106">
            <v>1041873</v>
          </cell>
          <cell r="AD106">
            <v>970516</v>
          </cell>
          <cell r="AE106">
            <v>127928</v>
          </cell>
          <cell r="AF106">
            <v>60766</v>
          </cell>
          <cell r="AG106">
            <v>0</v>
          </cell>
          <cell r="AH106">
            <v>0</v>
          </cell>
          <cell r="AI106">
            <v>419038</v>
          </cell>
          <cell r="AJ106">
            <v>0</v>
          </cell>
          <cell r="AK106">
            <v>76851</v>
          </cell>
          <cell r="AL106">
            <v>0</v>
          </cell>
          <cell r="AM106">
            <v>257006</v>
          </cell>
          <cell r="AN106">
            <v>2451</v>
          </cell>
          <cell r="AO106">
            <v>0</v>
          </cell>
          <cell r="AP106">
            <v>51192070</v>
          </cell>
          <cell r="AQ106">
            <v>0</v>
          </cell>
          <cell r="AR106">
            <v>0</v>
          </cell>
          <cell r="AS106">
            <v>0</v>
          </cell>
          <cell r="AT106">
            <v>0</v>
          </cell>
          <cell r="AU106" t="str">
            <v xml:space="preserve"> </v>
          </cell>
          <cell r="AV106" t="str">
            <v xml:space="preserve"> </v>
          </cell>
          <cell r="AW106" t="str">
            <v xml:space="preserve"> </v>
          </cell>
        </row>
        <row r="107">
          <cell r="C107" t="str">
            <v xml:space="preserve">MARIN Subtotal          </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48363569</v>
          </cell>
          <cell r="AC107">
            <v>1041873</v>
          </cell>
          <cell r="AD107">
            <v>970516</v>
          </cell>
          <cell r="AE107">
            <v>127928</v>
          </cell>
          <cell r="AF107">
            <v>60766</v>
          </cell>
          <cell r="AG107">
            <v>0</v>
          </cell>
          <cell r="AH107">
            <v>0</v>
          </cell>
          <cell r="AI107">
            <v>419038</v>
          </cell>
          <cell r="AJ107">
            <v>0</v>
          </cell>
          <cell r="AK107">
            <v>76851</v>
          </cell>
          <cell r="AL107">
            <v>0</v>
          </cell>
          <cell r="AM107">
            <v>257006</v>
          </cell>
          <cell r="AN107">
            <v>2451</v>
          </cell>
          <cell r="AO107">
            <v>0</v>
          </cell>
          <cell r="AP107">
            <v>51192070</v>
          </cell>
          <cell r="AQ107">
            <v>0</v>
          </cell>
          <cell r="AR107">
            <v>0</v>
          </cell>
          <cell r="AS107">
            <v>0</v>
          </cell>
          <cell r="AT107">
            <v>0</v>
          </cell>
          <cell r="AU107">
            <v>0</v>
          </cell>
          <cell r="AV107">
            <v>0</v>
          </cell>
          <cell r="AW107">
            <v>0</v>
          </cell>
        </row>
        <row r="109">
          <cell r="C109" t="str">
            <v xml:space="preserve"> MENDOCINO-LAKE</v>
          </cell>
          <cell r="D109" t="str">
            <v xml:space="preserve"> LAKE</v>
          </cell>
          <cell r="E109">
            <v>140</v>
          </cell>
          <cell r="F109" t="str">
            <v xml:space="preserve"> 2016-2017</v>
          </cell>
          <cell r="G109" t="str">
            <v xml:space="preserve"> 04/15/2017</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t="str">
            <v xml:space="preserve"> </v>
          </cell>
          <cell r="W109">
            <v>0</v>
          </cell>
          <cell r="X109">
            <v>0</v>
          </cell>
          <cell r="Y109">
            <v>0</v>
          </cell>
          <cell r="Z109">
            <v>0</v>
          </cell>
          <cell r="AA109">
            <v>0</v>
          </cell>
          <cell r="AB109">
            <v>2105422</v>
          </cell>
          <cell r="AC109">
            <v>6859</v>
          </cell>
          <cell r="AD109">
            <v>52640</v>
          </cell>
          <cell r="AE109">
            <v>36365</v>
          </cell>
          <cell r="AF109">
            <v>17273</v>
          </cell>
          <cell r="AG109">
            <v>0</v>
          </cell>
          <cell r="AH109">
            <v>0</v>
          </cell>
          <cell r="AI109">
            <v>88615</v>
          </cell>
          <cell r="AJ109">
            <v>0</v>
          </cell>
          <cell r="AK109">
            <v>1650</v>
          </cell>
          <cell r="AL109">
            <v>7967</v>
          </cell>
          <cell r="AM109">
            <v>28101</v>
          </cell>
          <cell r="AN109">
            <v>0</v>
          </cell>
          <cell r="AO109">
            <v>160122</v>
          </cell>
          <cell r="AP109">
            <v>2468649</v>
          </cell>
          <cell r="AQ109">
            <v>0</v>
          </cell>
          <cell r="AR109">
            <v>0</v>
          </cell>
          <cell r="AS109">
            <v>0</v>
          </cell>
          <cell r="AT109">
            <v>0</v>
          </cell>
          <cell r="AU109" t="str">
            <v xml:space="preserve"> </v>
          </cell>
          <cell r="AV109" t="str">
            <v xml:space="preserve"> </v>
          </cell>
          <cell r="AW109" t="str">
            <v xml:space="preserve"> </v>
          </cell>
        </row>
        <row r="110">
          <cell r="C110" t="str">
            <v xml:space="preserve"> MENDOCINO-LAKE</v>
          </cell>
          <cell r="D110" t="str">
            <v xml:space="preserve"> MENDOCINO</v>
          </cell>
          <cell r="E110">
            <v>140</v>
          </cell>
          <cell r="F110" t="str">
            <v xml:space="preserve"> 2016-2017</v>
          </cell>
          <cell r="G110" t="str">
            <v xml:space="preserve"> 04/15/2017</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t="str">
            <v xml:space="preserve"> </v>
          </cell>
          <cell r="W110">
            <v>0</v>
          </cell>
          <cell r="X110">
            <v>0</v>
          </cell>
          <cell r="Y110">
            <v>0</v>
          </cell>
          <cell r="Z110">
            <v>0</v>
          </cell>
          <cell r="AA110">
            <v>0</v>
          </cell>
          <cell r="AB110">
            <v>3918367</v>
          </cell>
          <cell r="AC110">
            <v>42607</v>
          </cell>
          <cell r="AD110">
            <v>141127</v>
          </cell>
          <cell r="AE110">
            <v>0</v>
          </cell>
          <cell r="AF110">
            <v>0</v>
          </cell>
          <cell r="AG110">
            <v>0</v>
          </cell>
          <cell r="AH110">
            <v>0</v>
          </cell>
          <cell r="AI110">
            <v>103068</v>
          </cell>
          <cell r="AJ110">
            <v>0</v>
          </cell>
          <cell r="AK110">
            <v>7411</v>
          </cell>
          <cell r="AL110">
            <v>18724</v>
          </cell>
          <cell r="AM110">
            <v>39855</v>
          </cell>
          <cell r="AN110">
            <v>0</v>
          </cell>
          <cell r="AO110">
            <v>0</v>
          </cell>
          <cell r="AP110">
            <v>4271159</v>
          </cell>
          <cell r="AQ110">
            <v>0</v>
          </cell>
          <cell r="AR110">
            <v>0</v>
          </cell>
          <cell r="AS110">
            <v>0</v>
          </cell>
          <cell r="AT110">
            <v>0</v>
          </cell>
          <cell r="AU110" t="str">
            <v xml:space="preserve"> </v>
          </cell>
          <cell r="AV110" t="str">
            <v xml:space="preserve"> </v>
          </cell>
          <cell r="AW110" t="str">
            <v xml:space="preserve"> </v>
          </cell>
        </row>
        <row r="111">
          <cell r="C111" t="str">
            <v>MENDOCINO-LAKE Subtotal</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6023789</v>
          </cell>
          <cell r="AC111">
            <v>49466</v>
          </cell>
          <cell r="AD111">
            <v>193767</v>
          </cell>
          <cell r="AE111">
            <v>36365</v>
          </cell>
          <cell r="AF111">
            <v>17273</v>
          </cell>
          <cell r="AG111">
            <v>0</v>
          </cell>
          <cell r="AH111">
            <v>0</v>
          </cell>
          <cell r="AI111">
            <v>191683</v>
          </cell>
          <cell r="AJ111">
            <v>0</v>
          </cell>
          <cell r="AK111">
            <v>9061</v>
          </cell>
          <cell r="AL111">
            <v>26691</v>
          </cell>
          <cell r="AM111">
            <v>67956</v>
          </cell>
          <cell r="AN111">
            <v>0</v>
          </cell>
          <cell r="AO111">
            <v>160122</v>
          </cell>
          <cell r="AP111">
            <v>6739808</v>
          </cell>
          <cell r="AQ111">
            <v>0</v>
          </cell>
          <cell r="AR111">
            <v>0</v>
          </cell>
          <cell r="AS111">
            <v>0</v>
          </cell>
          <cell r="AT111">
            <v>0</v>
          </cell>
          <cell r="AU111">
            <v>0</v>
          </cell>
          <cell r="AV111">
            <v>0</v>
          </cell>
          <cell r="AW111">
            <v>0</v>
          </cell>
        </row>
        <row r="113">
          <cell r="C113" t="str">
            <v xml:space="preserve"> MERCED</v>
          </cell>
          <cell r="D113" t="str">
            <v xml:space="preserve"> FRESNO</v>
          </cell>
          <cell r="E113">
            <v>530</v>
          </cell>
          <cell r="F113" t="str">
            <v xml:space="preserve"> 2016-2017</v>
          </cell>
          <cell r="G113" t="str">
            <v xml:space="preserve"> 04/15/2017</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t="str">
            <v xml:space="preserve"> </v>
          </cell>
          <cell r="W113">
            <v>0</v>
          </cell>
          <cell r="X113">
            <v>0</v>
          </cell>
          <cell r="Y113">
            <v>0</v>
          </cell>
          <cell r="Z113">
            <v>0</v>
          </cell>
          <cell r="AA113">
            <v>0</v>
          </cell>
          <cell r="AB113">
            <v>78123</v>
          </cell>
          <cell r="AC113">
            <v>807</v>
          </cell>
          <cell r="AD113">
            <v>3073</v>
          </cell>
          <cell r="AE113">
            <v>0</v>
          </cell>
          <cell r="AF113">
            <v>0</v>
          </cell>
          <cell r="AG113">
            <v>0</v>
          </cell>
          <cell r="AH113">
            <v>0</v>
          </cell>
          <cell r="AI113">
            <v>0</v>
          </cell>
          <cell r="AJ113">
            <v>0</v>
          </cell>
          <cell r="AK113">
            <v>740</v>
          </cell>
          <cell r="AL113">
            <v>0</v>
          </cell>
          <cell r="AM113">
            <v>663</v>
          </cell>
          <cell r="AN113">
            <v>0</v>
          </cell>
          <cell r="AO113">
            <v>-2827</v>
          </cell>
          <cell r="AP113">
            <v>80579</v>
          </cell>
          <cell r="AQ113">
            <v>0</v>
          </cell>
          <cell r="AR113">
            <v>0</v>
          </cell>
          <cell r="AS113">
            <v>0</v>
          </cell>
          <cell r="AT113">
            <v>0</v>
          </cell>
          <cell r="AU113" t="str">
            <v xml:space="preserve"> </v>
          </cell>
          <cell r="AV113" t="str">
            <v xml:space="preserve"> </v>
          </cell>
          <cell r="AW113" t="str">
            <v xml:space="preserve"> </v>
          </cell>
        </row>
        <row r="114">
          <cell r="C114" t="str">
            <v xml:space="preserve"> MERCED</v>
          </cell>
          <cell r="D114" t="str">
            <v xml:space="preserve"> MADERA</v>
          </cell>
          <cell r="E114">
            <v>530</v>
          </cell>
          <cell r="F114" t="str">
            <v xml:space="preserve"> 2016-2017</v>
          </cell>
          <cell r="G114" t="str">
            <v xml:space="preserve"> 04/15/2017</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t="str">
            <v xml:space="preserve"> </v>
          </cell>
          <cell r="W114">
            <v>0</v>
          </cell>
          <cell r="X114">
            <v>0</v>
          </cell>
          <cell r="Y114">
            <v>0</v>
          </cell>
          <cell r="Z114">
            <v>0</v>
          </cell>
          <cell r="AA114">
            <v>0</v>
          </cell>
          <cell r="AB114">
            <v>1392767</v>
          </cell>
          <cell r="AC114">
            <v>0</v>
          </cell>
          <cell r="AD114">
            <v>39289</v>
          </cell>
          <cell r="AE114">
            <v>26955</v>
          </cell>
          <cell r="AF114">
            <v>12804</v>
          </cell>
          <cell r="AG114">
            <v>0</v>
          </cell>
          <cell r="AH114">
            <v>0</v>
          </cell>
          <cell r="AI114">
            <v>20757</v>
          </cell>
          <cell r="AJ114">
            <v>0</v>
          </cell>
          <cell r="AK114">
            <v>0</v>
          </cell>
          <cell r="AL114">
            <v>0</v>
          </cell>
          <cell r="AM114">
            <v>14910</v>
          </cell>
          <cell r="AN114">
            <v>0</v>
          </cell>
          <cell r="AO114">
            <v>-158971</v>
          </cell>
          <cell r="AP114">
            <v>1321556</v>
          </cell>
          <cell r="AQ114">
            <v>0</v>
          </cell>
          <cell r="AR114">
            <v>0</v>
          </cell>
          <cell r="AS114">
            <v>0</v>
          </cell>
          <cell r="AT114">
            <v>0</v>
          </cell>
          <cell r="AU114" t="str">
            <v xml:space="preserve"> </v>
          </cell>
          <cell r="AV114" t="str">
            <v xml:space="preserve"> </v>
          </cell>
          <cell r="AW114" t="str">
            <v xml:space="preserve"> </v>
          </cell>
        </row>
        <row r="115">
          <cell r="C115" t="str">
            <v xml:space="preserve"> MERCED</v>
          </cell>
          <cell r="D115" t="str">
            <v xml:space="preserve"> MERCED</v>
          </cell>
          <cell r="E115">
            <v>530</v>
          </cell>
          <cell r="F115" t="str">
            <v xml:space="preserve"> 2016-2017</v>
          </cell>
          <cell r="G115" t="str">
            <v xml:space="preserve"> 04/15/2017</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t="str">
            <v xml:space="preserve"> </v>
          </cell>
          <cell r="W115">
            <v>0</v>
          </cell>
          <cell r="X115">
            <v>0</v>
          </cell>
          <cell r="Y115">
            <v>0</v>
          </cell>
          <cell r="Z115">
            <v>0</v>
          </cell>
          <cell r="AA115">
            <v>0</v>
          </cell>
          <cell r="AB115">
            <v>8889609</v>
          </cell>
          <cell r="AC115">
            <v>249166</v>
          </cell>
          <cell r="AD115">
            <v>730470</v>
          </cell>
          <cell r="AE115">
            <v>108876</v>
          </cell>
          <cell r="AF115">
            <v>51716</v>
          </cell>
          <cell r="AG115">
            <v>0</v>
          </cell>
          <cell r="AH115">
            <v>0</v>
          </cell>
          <cell r="AI115">
            <v>440455</v>
          </cell>
          <cell r="AJ115">
            <v>0</v>
          </cell>
          <cell r="AK115">
            <v>16964</v>
          </cell>
          <cell r="AL115">
            <v>9</v>
          </cell>
          <cell r="AM115">
            <v>61793</v>
          </cell>
          <cell r="AN115">
            <v>3739</v>
          </cell>
          <cell r="AO115">
            <v>-16608</v>
          </cell>
          <cell r="AP115">
            <v>10427313</v>
          </cell>
          <cell r="AQ115">
            <v>0</v>
          </cell>
          <cell r="AR115">
            <v>0</v>
          </cell>
          <cell r="AS115">
            <v>0</v>
          </cell>
          <cell r="AT115">
            <v>0</v>
          </cell>
          <cell r="AU115" t="str">
            <v xml:space="preserve"> </v>
          </cell>
          <cell r="AV115" t="str">
            <v xml:space="preserve"> </v>
          </cell>
          <cell r="AW115" t="str">
            <v xml:space="preserve"> </v>
          </cell>
        </row>
        <row r="116">
          <cell r="C116" t="str">
            <v xml:space="preserve">MERCED Subtotal            </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10360499</v>
          </cell>
          <cell r="AC116">
            <v>249973</v>
          </cell>
          <cell r="AD116">
            <v>772832</v>
          </cell>
          <cell r="AE116">
            <v>135831</v>
          </cell>
          <cell r="AF116">
            <v>64520</v>
          </cell>
          <cell r="AG116">
            <v>0</v>
          </cell>
          <cell r="AH116">
            <v>0</v>
          </cell>
          <cell r="AI116">
            <v>461212</v>
          </cell>
          <cell r="AJ116">
            <v>0</v>
          </cell>
          <cell r="AK116">
            <v>17704</v>
          </cell>
          <cell r="AL116">
            <v>9</v>
          </cell>
          <cell r="AM116">
            <v>77366</v>
          </cell>
          <cell r="AN116">
            <v>3739</v>
          </cell>
          <cell r="AO116">
            <v>-178406</v>
          </cell>
          <cell r="AP116">
            <v>11829448</v>
          </cell>
          <cell r="AQ116">
            <v>0</v>
          </cell>
          <cell r="AR116">
            <v>0</v>
          </cell>
          <cell r="AS116">
            <v>0</v>
          </cell>
          <cell r="AT116">
            <v>0</v>
          </cell>
          <cell r="AU116">
            <v>0</v>
          </cell>
          <cell r="AV116">
            <v>0</v>
          </cell>
          <cell r="AW116">
            <v>0</v>
          </cell>
        </row>
        <row r="118">
          <cell r="C118" t="str">
            <v xml:space="preserve"> MIRA COSTA</v>
          </cell>
          <cell r="D118" t="str">
            <v xml:space="preserve"> SAN DIEGO</v>
          </cell>
          <cell r="E118">
            <v>50</v>
          </cell>
          <cell r="F118" t="str">
            <v xml:space="preserve"> 2016-2017</v>
          </cell>
          <cell r="G118" t="str">
            <v xml:space="preserve"> 04/15/2017</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t="str">
            <v xml:space="preserve"> </v>
          </cell>
          <cell r="W118">
            <v>0</v>
          </cell>
          <cell r="X118">
            <v>0</v>
          </cell>
          <cell r="Y118">
            <v>0</v>
          </cell>
          <cell r="Z118">
            <v>0</v>
          </cell>
          <cell r="AA118">
            <v>0</v>
          </cell>
          <cell r="AB118">
            <v>87769635</v>
          </cell>
          <cell r="AC118">
            <v>2035385</v>
          </cell>
          <cell r="AD118">
            <v>2862032</v>
          </cell>
          <cell r="AE118">
            <v>371490</v>
          </cell>
          <cell r="AF118">
            <v>176458</v>
          </cell>
          <cell r="AG118">
            <v>0</v>
          </cell>
          <cell r="AH118">
            <v>0</v>
          </cell>
          <cell r="AI118">
            <v>1321647</v>
          </cell>
          <cell r="AJ118">
            <v>0</v>
          </cell>
          <cell r="AK118">
            <v>-36867</v>
          </cell>
          <cell r="AL118">
            <v>0</v>
          </cell>
          <cell r="AM118">
            <v>661926</v>
          </cell>
          <cell r="AN118">
            <v>0</v>
          </cell>
          <cell r="AO118">
            <v>0</v>
          </cell>
          <cell r="AP118">
            <v>94790216</v>
          </cell>
          <cell r="AQ118">
            <v>0</v>
          </cell>
          <cell r="AR118">
            <v>0</v>
          </cell>
          <cell r="AS118">
            <v>0</v>
          </cell>
          <cell r="AT118">
            <v>0</v>
          </cell>
          <cell r="AU118" t="str">
            <v xml:space="preserve"> </v>
          </cell>
          <cell r="AV118" t="str">
            <v xml:space="preserve"> </v>
          </cell>
          <cell r="AW118" t="str">
            <v xml:space="preserve"> </v>
          </cell>
        </row>
        <row r="119">
          <cell r="C119" t="str">
            <v>MIRA COSTA Subtotal</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87769635</v>
          </cell>
          <cell r="AC119">
            <v>2035385</v>
          </cell>
          <cell r="AD119">
            <v>2862032</v>
          </cell>
          <cell r="AE119">
            <v>371490</v>
          </cell>
          <cell r="AF119">
            <v>176458</v>
          </cell>
          <cell r="AG119">
            <v>0</v>
          </cell>
          <cell r="AH119">
            <v>0</v>
          </cell>
          <cell r="AI119">
            <v>1321647</v>
          </cell>
          <cell r="AJ119">
            <v>0</v>
          </cell>
          <cell r="AK119">
            <v>-36867</v>
          </cell>
          <cell r="AL119">
            <v>0</v>
          </cell>
          <cell r="AM119">
            <v>661926</v>
          </cell>
          <cell r="AN119">
            <v>0</v>
          </cell>
          <cell r="AO119">
            <v>0</v>
          </cell>
          <cell r="AP119">
            <v>94790216</v>
          </cell>
          <cell r="AQ119">
            <v>0</v>
          </cell>
          <cell r="AR119">
            <v>0</v>
          </cell>
          <cell r="AS119">
            <v>0</v>
          </cell>
          <cell r="AT119">
            <v>0</v>
          </cell>
          <cell r="AU119">
            <v>0</v>
          </cell>
          <cell r="AV119">
            <v>0</v>
          </cell>
          <cell r="AW119">
            <v>0</v>
          </cell>
        </row>
        <row r="121">
          <cell r="C121" t="str">
            <v xml:space="preserve"> MONTEREY PENINSULA</v>
          </cell>
          <cell r="D121" t="str">
            <v xml:space="preserve"> MONTEREY</v>
          </cell>
          <cell r="E121">
            <v>460</v>
          </cell>
          <cell r="F121" t="str">
            <v xml:space="preserve"> 2016-2017</v>
          </cell>
          <cell r="G121" t="str">
            <v xml:space="preserve"> 04/15/2017</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t="str">
            <v xml:space="preserve"> </v>
          </cell>
          <cell r="W121">
            <v>0</v>
          </cell>
          <cell r="X121">
            <v>0</v>
          </cell>
          <cell r="Y121">
            <v>0</v>
          </cell>
          <cell r="Z121">
            <v>0</v>
          </cell>
          <cell r="AA121">
            <v>0</v>
          </cell>
          <cell r="AB121">
            <v>16269401</v>
          </cell>
          <cell r="AC121">
            <v>203130</v>
          </cell>
          <cell r="AD121">
            <v>620821</v>
          </cell>
          <cell r="AE121">
            <v>107081</v>
          </cell>
          <cell r="AF121">
            <v>50863</v>
          </cell>
          <cell r="AG121">
            <v>0</v>
          </cell>
          <cell r="AH121">
            <v>0</v>
          </cell>
          <cell r="AI121">
            <v>683219</v>
          </cell>
          <cell r="AJ121">
            <v>0</v>
          </cell>
          <cell r="AK121">
            <v>150399</v>
          </cell>
          <cell r="AL121">
            <v>0</v>
          </cell>
          <cell r="AM121">
            <v>88007</v>
          </cell>
          <cell r="AN121">
            <v>0</v>
          </cell>
          <cell r="AO121">
            <v>1480011</v>
          </cell>
          <cell r="AP121">
            <v>19545851</v>
          </cell>
          <cell r="AQ121">
            <v>0</v>
          </cell>
          <cell r="AR121">
            <v>0</v>
          </cell>
          <cell r="AS121">
            <v>0</v>
          </cell>
          <cell r="AT121">
            <v>0</v>
          </cell>
          <cell r="AU121" t="str">
            <v xml:space="preserve"> </v>
          </cell>
          <cell r="AV121" t="str">
            <v xml:space="preserve"> </v>
          </cell>
          <cell r="AW121" t="str">
            <v xml:space="preserve"> </v>
          </cell>
        </row>
        <row r="122">
          <cell r="C122" t="str">
            <v>MONTEREY PENINSULA Subtotal</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16269401</v>
          </cell>
          <cell r="AC122">
            <v>203130</v>
          </cell>
          <cell r="AD122">
            <v>620821</v>
          </cell>
          <cell r="AE122">
            <v>107081</v>
          </cell>
          <cell r="AF122">
            <v>50863</v>
          </cell>
          <cell r="AG122">
            <v>0</v>
          </cell>
          <cell r="AH122">
            <v>0</v>
          </cell>
          <cell r="AI122">
            <v>683219</v>
          </cell>
          <cell r="AJ122">
            <v>0</v>
          </cell>
          <cell r="AK122">
            <v>150399</v>
          </cell>
          <cell r="AL122">
            <v>0</v>
          </cell>
          <cell r="AM122">
            <v>88007</v>
          </cell>
          <cell r="AN122">
            <v>0</v>
          </cell>
          <cell r="AO122">
            <v>1480011</v>
          </cell>
          <cell r="AP122">
            <v>19545851</v>
          </cell>
          <cell r="AQ122">
            <v>0</v>
          </cell>
          <cell r="AR122">
            <v>0</v>
          </cell>
          <cell r="AS122">
            <v>0</v>
          </cell>
          <cell r="AT122">
            <v>0</v>
          </cell>
          <cell r="AU122">
            <v>0</v>
          </cell>
          <cell r="AV122">
            <v>0</v>
          </cell>
          <cell r="AW122">
            <v>0</v>
          </cell>
        </row>
        <row r="124">
          <cell r="C124" t="str">
            <v xml:space="preserve"> MT SAN ANTONIO</v>
          </cell>
          <cell r="D124" t="str">
            <v xml:space="preserve"> LOS ANGELES</v>
          </cell>
          <cell r="E124">
            <v>850</v>
          </cell>
          <cell r="F124" t="str">
            <v xml:space="preserve"> 2016-2017</v>
          </cell>
          <cell r="G124" t="str">
            <v xml:space="preserve"> 04/15/2017</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t="str">
            <v xml:space="preserve"> </v>
          </cell>
          <cell r="W124">
            <v>0</v>
          </cell>
          <cell r="X124">
            <v>0</v>
          </cell>
          <cell r="Y124">
            <v>0</v>
          </cell>
          <cell r="Z124">
            <v>0</v>
          </cell>
          <cell r="AA124">
            <v>0</v>
          </cell>
          <cell r="AB124">
            <v>18359283</v>
          </cell>
          <cell r="AC124">
            <v>553622</v>
          </cell>
          <cell r="AD124">
            <v>453560</v>
          </cell>
          <cell r="AE124">
            <v>601582</v>
          </cell>
          <cell r="AF124">
            <v>285751</v>
          </cell>
          <cell r="AG124">
            <v>0</v>
          </cell>
          <cell r="AH124">
            <v>0</v>
          </cell>
          <cell r="AI124">
            <v>168034</v>
          </cell>
          <cell r="AJ124">
            <v>149424</v>
          </cell>
          <cell r="AK124">
            <v>370248</v>
          </cell>
          <cell r="AL124">
            <v>0</v>
          </cell>
          <cell r="AM124">
            <v>117563</v>
          </cell>
          <cell r="AN124">
            <v>19</v>
          </cell>
          <cell r="AO124">
            <v>0</v>
          </cell>
          <cell r="AP124">
            <v>20457504</v>
          </cell>
          <cell r="AQ124">
            <v>0</v>
          </cell>
          <cell r="AR124">
            <v>0</v>
          </cell>
          <cell r="AS124">
            <v>0</v>
          </cell>
          <cell r="AT124">
            <v>0</v>
          </cell>
          <cell r="AU124" t="str">
            <v xml:space="preserve"> </v>
          </cell>
          <cell r="AV124" t="str">
            <v xml:space="preserve"> </v>
          </cell>
          <cell r="AW124" t="str">
            <v xml:space="preserve"> </v>
          </cell>
        </row>
        <row r="125">
          <cell r="C125" t="str">
            <v xml:space="preserve">MT SAN ANTONIO Subtotal    </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18359283</v>
          </cell>
          <cell r="AC125">
            <v>553622</v>
          </cell>
          <cell r="AD125">
            <v>453560</v>
          </cell>
          <cell r="AE125">
            <v>601582</v>
          </cell>
          <cell r="AF125">
            <v>285751</v>
          </cell>
          <cell r="AG125">
            <v>0</v>
          </cell>
          <cell r="AH125">
            <v>0</v>
          </cell>
          <cell r="AI125">
            <v>168034</v>
          </cell>
          <cell r="AJ125">
            <v>149424</v>
          </cell>
          <cell r="AK125">
            <v>370248</v>
          </cell>
          <cell r="AL125">
            <v>0</v>
          </cell>
          <cell r="AM125">
            <v>117563</v>
          </cell>
          <cell r="AN125">
            <v>19</v>
          </cell>
          <cell r="AO125">
            <v>0</v>
          </cell>
          <cell r="AP125">
            <v>20457504</v>
          </cell>
          <cell r="AQ125">
            <v>0</v>
          </cell>
          <cell r="AR125">
            <v>0</v>
          </cell>
          <cell r="AS125">
            <v>0</v>
          </cell>
          <cell r="AT125">
            <v>0</v>
          </cell>
          <cell r="AU125">
            <v>0</v>
          </cell>
          <cell r="AV125">
            <v>0</v>
          </cell>
          <cell r="AW125">
            <v>0</v>
          </cell>
        </row>
        <row r="127">
          <cell r="C127" t="str">
            <v xml:space="preserve"> MT SAN JACINTO</v>
          </cell>
          <cell r="D127" t="str">
            <v xml:space="preserve"> RIVERSIDE</v>
          </cell>
          <cell r="E127">
            <v>940</v>
          </cell>
          <cell r="F127" t="str">
            <v xml:space="preserve"> 2016-2017</v>
          </cell>
          <cell r="G127" t="str">
            <v xml:space="preserve"> 04/15/2017</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t="str">
            <v xml:space="preserve"> </v>
          </cell>
          <cell r="W127">
            <v>0</v>
          </cell>
          <cell r="X127">
            <v>0</v>
          </cell>
          <cell r="Y127">
            <v>0</v>
          </cell>
          <cell r="Z127">
            <v>0</v>
          </cell>
          <cell r="AA127">
            <v>0</v>
          </cell>
          <cell r="AB127">
            <v>25407366</v>
          </cell>
          <cell r="AC127">
            <v>604358</v>
          </cell>
          <cell r="AD127">
            <v>1174707</v>
          </cell>
          <cell r="AE127">
            <v>503669</v>
          </cell>
          <cell r="AF127">
            <v>239243</v>
          </cell>
          <cell r="AG127">
            <v>0</v>
          </cell>
          <cell r="AH127">
            <v>0</v>
          </cell>
          <cell r="AI127">
            <v>639189</v>
          </cell>
          <cell r="AJ127">
            <v>17648</v>
          </cell>
          <cell r="AK127">
            <v>694739</v>
          </cell>
          <cell r="AL127">
            <v>0</v>
          </cell>
          <cell r="AM127">
            <v>320845</v>
          </cell>
          <cell r="AN127">
            <v>0</v>
          </cell>
          <cell r="AO127">
            <v>-2238840</v>
          </cell>
          <cell r="AP127">
            <v>26859255</v>
          </cell>
          <cell r="AQ127">
            <v>0</v>
          </cell>
          <cell r="AR127">
            <v>0</v>
          </cell>
          <cell r="AS127">
            <v>0</v>
          </cell>
          <cell r="AT127">
            <v>0</v>
          </cell>
          <cell r="AU127" t="str">
            <v xml:space="preserve"> </v>
          </cell>
          <cell r="AV127" t="str">
            <v xml:space="preserve"> </v>
          </cell>
          <cell r="AW127" t="str">
            <v xml:space="preserve"> </v>
          </cell>
        </row>
        <row r="128">
          <cell r="C128" t="str">
            <v>MT SAN JACINTO Subtotal</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25407366</v>
          </cell>
          <cell r="AC128">
            <v>604358</v>
          </cell>
          <cell r="AD128">
            <v>1174707</v>
          </cell>
          <cell r="AE128">
            <v>503669</v>
          </cell>
          <cell r="AF128">
            <v>239243</v>
          </cell>
          <cell r="AG128">
            <v>0</v>
          </cell>
          <cell r="AH128">
            <v>0</v>
          </cell>
          <cell r="AI128">
            <v>639189</v>
          </cell>
          <cell r="AJ128">
            <v>17648</v>
          </cell>
          <cell r="AK128">
            <v>694739</v>
          </cell>
          <cell r="AL128">
            <v>0</v>
          </cell>
          <cell r="AM128">
            <v>320845</v>
          </cell>
          <cell r="AN128">
            <v>0</v>
          </cell>
          <cell r="AO128">
            <v>-2238840</v>
          </cell>
          <cell r="AP128">
            <v>26859255</v>
          </cell>
          <cell r="AQ128">
            <v>0</v>
          </cell>
          <cell r="AR128">
            <v>0</v>
          </cell>
          <cell r="AS128">
            <v>0</v>
          </cell>
          <cell r="AT128">
            <v>0</v>
          </cell>
          <cell r="AU128">
            <v>0</v>
          </cell>
          <cell r="AV128">
            <v>0</v>
          </cell>
          <cell r="AW128">
            <v>0</v>
          </cell>
        </row>
        <row r="130">
          <cell r="C130" t="str">
            <v xml:space="preserve"> NAPA VALLEY</v>
          </cell>
          <cell r="D130" t="str">
            <v xml:space="preserve"> NAPA</v>
          </cell>
          <cell r="E130">
            <v>240</v>
          </cell>
          <cell r="F130" t="str">
            <v xml:space="preserve"> 2016-2017</v>
          </cell>
          <cell r="G130" t="str">
            <v xml:space="preserve"> 04/15/2017</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t="str">
            <v xml:space="preserve"> </v>
          </cell>
          <cell r="W130">
            <v>0</v>
          </cell>
          <cell r="X130">
            <v>0</v>
          </cell>
          <cell r="Y130">
            <v>0</v>
          </cell>
          <cell r="Z130">
            <v>0</v>
          </cell>
          <cell r="AA130">
            <v>0</v>
          </cell>
          <cell r="AB130">
            <v>26114880</v>
          </cell>
          <cell r="AC130">
            <v>459065</v>
          </cell>
          <cell r="AD130">
            <v>974960</v>
          </cell>
          <cell r="AE130">
            <v>112373</v>
          </cell>
          <cell r="AF130">
            <v>53377</v>
          </cell>
          <cell r="AG130">
            <v>0</v>
          </cell>
          <cell r="AH130">
            <v>0</v>
          </cell>
          <cell r="AI130">
            <v>282916</v>
          </cell>
          <cell r="AJ130">
            <v>0</v>
          </cell>
          <cell r="AK130">
            <v>22451</v>
          </cell>
          <cell r="AL130">
            <v>0</v>
          </cell>
          <cell r="AM130">
            <v>124617</v>
          </cell>
          <cell r="AN130">
            <v>155</v>
          </cell>
          <cell r="AO130">
            <v>189147</v>
          </cell>
          <cell r="AP130">
            <v>28221568</v>
          </cell>
          <cell r="AQ130">
            <v>0</v>
          </cell>
          <cell r="AR130">
            <v>0</v>
          </cell>
          <cell r="AS130">
            <v>0</v>
          </cell>
          <cell r="AT130">
            <v>0</v>
          </cell>
          <cell r="AU130" t="str">
            <v xml:space="preserve"> </v>
          </cell>
          <cell r="AV130" t="str">
            <v xml:space="preserve"> </v>
          </cell>
          <cell r="AW130" t="str">
            <v xml:space="preserve"> </v>
          </cell>
        </row>
        <row r="131">
          <cell r="C131" t="str">
            <v xml:space="preserve"> NAPA VALLEY</v>
          </cell>
          <cell r="D131" t="str">
            <v xml:space="preserve"> SONOMA</v>
          </cell>
          <cell r="E131">
            <v>240</v>
          </cell>
          <cell r="F131" t="str">
            <v xml:space="preserve"> 2016-2017</v>
          </cell>
          <cell r="G131" t="str">
            <v xml:space="preserve"> 04/15/2017</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t="str">
            <v xml:space="preserve"> </v>
          </cell>
          <cell r="W131">
            <v>0</v>
          </cell>
          <cell r="X131">
            <v>0</v>
          </cell>
          <cell r="Y131">
            <v>0</v>
          </cell>
          <cell r="Z131">
            <v>0</v>
          </cell>
          <cell r="AA131">
            <v>0</v>
          </cell>
          <cell r="AB131">
            <v>229196</v>
          </cell>
          <cell r="AC131">
            <v>2051</v>
          </cell>
          <cell r="AD131">
            <v>6880</v>
          </cell>
          <cell r="AE131">
            <v>0</v>
          </cell>
          <cell r="AF131">
            <v>0</v>
          </cell>
          <cell r="AG131">
            <v>0</v>
          </cell>
          <cell r="AH131">
            <v>0</v>
          </cell>
          <cell r="AI131">
            <v>0</v>
          </cell>
          <cell r="AJ131">
            <v>0</v>
          </cell>
          <cell r="AK131">
            <v>0</v>
          </cell>
          <cell r="AL131">
            <v>0</v>
          </cell>
          <cell r="AM131">
            <v>1670</v>
          </cell>
          <cell r="AN131">
            <v>0</v>
          </cell>
          <cell r="AO131">
            <v>0</v>
          </cell>
          <cell r="AP131">
            <v>239797</v>
          </cell>
          <cell r="AQ131">
            <v>0</v>
          </cell>
          <cell r="AR131">
            <v>0</v>
          </cell>
          <cell r="AS131">
            <v>0</v>
          </cell>
          <cell r="AT131">
            <v>0</v>
          </cell>
          <cell r="AU131" t="str">
            <v xml:space="preserve"> </v>
          </cell>
          <cell r="AV131" t="str">
            <v xml:space="preserve"> </v>
          </cell>
          <cell r="AW131" t="str">
            <v xml:space="preserve"> </v>
          </cell>
        </row>
        <row r="132">
          <cell r="C132" t="str">
            <v xml:space="preserve">NAPA VALLEY Subtotal       </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26344076</v>
          </cell>
          <cell r="AC132">
            <v>461116</v>
          </cell>
          <cell r="AD132">
            <v>981840</v>
          </cell>
          <cell r="AE132">
            <v>112373</v>
          </cell>
          <cell r="AF132">
            <v>53377</v>
          </cell>
          <cell r="AG132">
            <v>0</v>
          </cell>
          <cell r="AH132">
            <v>0</v>
          </cell>
          <cell r="AI132">
            <v>282916</v>
          </cell>
          <cell r="AJ132">
            <v>0</v>
          </cell>
          <cell r="AK132">
            <v>22451</v>
          </cell>
          <cell r="AL132">
            <v>0</v>
          </cell>
          <cell r="AM132">
            <v>126287</v>
          </cell>
          <cell r="AN132">
            <v>155</v>
          </cell>
          <cell r="AO132">
            <v>189147</v>
          </cell>
          <cell r="AP132">
            <v>28461365</v>
          </cell>
          <cell r="AQ132">
            <v>0</v>
          </cell>
          <cell r="AR132">
            <v>0</v>
          </cell>
          <cell r="AS132">
            <v>0</v>
          </cell>
          <cell r="AT132">
            <v>0</v>
          </cell>
          <cell r="AU132">
            <v>0</v>
          </cell>
          <cell r="AV132">
            <v>0</v>
          </cell>
          <cell r="AW132">
            <v>0</v>
          </cell>
        </row>
        <row r="134">
          <cell r="C134" t="str">
            <v xml:space="preserve"> NORTH ORANGE</v>
          </cell>
          <cell r="D134" t="str">
            <v xml:space="preserve"> LOS ANGELES</v>
          </cell>
          <cell r="E134">
            <v>860</v>
          </cell>
          <cell r="F134" t="str">
            <v xml:space="preserve"> 2016-2017</v>
          </cell>
          <cell r="G134" t="str">
            <v xml:space="preserve"> 04/15/2017</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t="str">
            <v xml:space="preserve"> </v>
          </cell>
          <cell r="W134">
            <v>0</v>
          </cell>
          <cell r="X134">
            <v>0</v>
          </cell>
          <cell r="Y134">
            <v>0</v>
          </cell>
          <cell r="Z134">
            <v>0</v>
          </cell>
          <cell r="AA134">
            <v>0</v>
          </cell>
          <cell r="AB134">
            <v>690624</v>
          </cell>
          <cell r="AC134">
            <v>19920</v>
          </cell>
          <cell r="AD134">
            <v>25585</v>
          </cell>
          <cell r="AE134">
            <v>658</v>
          </cell>
          <cell r="AF134">
            <v>313</v>
          </cell>
          <cell r="AG134">
            <v>0</v>
          </cell>
          <cell r="AH134">
            <v>0</v>
          </cell>
          <cell r="AI134">
            <v>0</v>
          </cell>
          <cell r="AJ134">
            <v>0</v>
          </cell>
          <cell r="AK134">
            <v>13341</v>
          </cell>
          <cell r="AL134">
            <v>0</v>
          </cell>
          <cell r="AM134">
            <v>4617</v>
          </cell>
          <cell r="AN134">
            <v>0</v>
          </cell>
          <cell r="AO134">
            <v>0</v>
          </cell>
          <cell r="AP134">
            <v>754400</v>
          </cell>
          <cell r="AQ134">
            <v>0</v>
          </cell>
          <cell r="AR134">
            <v>0</v>
          </cell>
          <cell r="AS134">
            <v>0</v>
          </cell>
          <cell r="AT134">
            <v>0</v>
          </cell>
          <cell r="AU134" t="str">
            <v xml:space="preserve"> </v>
          </cell>
          <cell r="AV134" t="str">
            <v xml:space="preserve"> </v>
          </cell>
          <cell r="AW134" t="str">
            <v xml:space="preserve"> </v>
          </cell>
        </row>
        <row r="135">
          <cell r="C135" t="str">
            <v xml:space="preserve"> NORTH ORANGE</v>
          </cell>
          <cell r="D135" t="str">
            <v xml:space="preserve"> ORANGE</v>
          </cell>
          <cell r="E135">
            <v>860</v>
          </cell>
          <cell r="F135" t="str">
            <v xml:space="preserve"> 2016-2017</v>
          </cell>
          <cell r="G135" t="str">
            <v xml:space="preserve"> 04/15/2017</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t="str">
            <v xml:space="preserve"> </v>
          </cell>
          <cell r="W135">
            <v>0</v>
          </cell>
          <cell r="X135">
            <v>0</v>
          </cell>
          <cell r="Y135">
            <v>0</v>
          </cell>
          <cell r="Z135">
            <v>0</v>
          </cell>
          <cell r="AA135">
            <v>0</v>
          </cell>
          <cell r="AB135">
            <v>62396140</v>
          </cell>
          <cell r="AC135">
            <v>1605681</v>
          </cell>
          <cell r="AD135">
            <v>1971935</v>
          </cell>
          <cell r="AE135">
            <v>1810616</v>
          </cell>
          <cell r="AF135">
            <v>860043</v>
          </cell>
          <cell r="AG135">
            <v>0</v>
          </cell>
          <cell r="AH135">
            <v>0</v>
          </cell>
          <cell r="AI135">
            <v>3743964</v>
          </cell>
          <cell r="AJ135">
            <v>414558</v>
          </cell>
          <cell r="AK135">
            <v>1854461</v>
          </cell>
          <cell r="AL135">
            <v>8</v>
          </cell>
          <cell r="AM135">
            <v>395483</v>
          </cell>
          <cell r="AN135">
            <v>0</v>
          </cell>
          <cell r="AO135">
            <v>14716543</v>
          </cell>
          <cell r="AP135">
            <v>87958816</v>
          </cell>
          <cell r="AQ135">
            <v>0</v>
          </cell>
          <cell r="AR135">
            <v>0</v>
          </cell>
          <cell r="AS135">
            <v>0</v>
          </cell>
          <cell r="AT135">
            <v>0</v>
          </cell>
          <cell r="AU135" t="str">
            <v xml:space="preserve"> </v>
          </cell>
          <cell r="AV135" t="str">
            <v xml:space="preserve"> </v>
          </cell>
          <cell r="AW135" t="str">
            <v xml:space="preserve"> </v>
          </cell>
        </row>
        <row r="136">
          <cell r="C136" t="str">
            <v xml:space="preserve">NORTH ORANGE Subtotal     </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63086764</v>
          </cell>
          <cell r="AC136">
            <v>1625601</v>
          </cell>
          <cell r="AD136">
            <v>1997520</v>
          </cell>
          <cell r="AE136">
            <v>1811274</v>
          </cell>
          <cell r="AF136">
            <v>860356</v>
          </cell>
          <cell r="AG136">
            <v>0</v>
          </cell>
          <cell r="AH136">
            <v>0</v>
          </cell>
          <cell r="AI136">
            <v>3743964</v>
          </cell>
          <cell r="AJ136">
            <v>414558</v>
          </cell>
          <cell r="AK136">
            <v>1867802</v>
          </cell>
          <cell r="AL136">
            <v>8</v>
          </cell>
          <cell r="AM136">
            <v>400100</v>
          </cell>
          <cell r="AN136">
            <v>0</v>
          </cell>
          <cell r="AO136">
            <v>14716543</v>
          </cell>
          <cell r="AP136">
            <v>88713216</v>
          </cell>
          <cell r="AQ136">
            <v>0</v>
          </cell>
          <cell r="AR136">
            <v>0</v>
          </cell>
          <cell r="AS136">
            <v>0</v>
          </cell>
          <cell r="AT136">
            <v>0</v>
          </cell>
          <cell r="AU136">
            <v>0</v>
          </cell>
          <cell r="AV136">
            <v>0</v>
          </cell>
          <cell r="AW136">
            <v>0</v>
          </cell>
        </row>
        <row r="138">
          <cell r="C138" t="str">
            <v xml:space="preserve"> OHLONE</v>
          </cell>
          <cell r="D138" t="str">
            <v xml:space="preserve"> ALAMEDA</v>
          </cell>
          <cell r="E138">
            <v>430</v>
          </cell>
          <cell r="F138" t="str">
            <v xml:space="preserve"> 2016-2017</v>
          </cell>
          <cell r="G138" t="str">
            <v xml:space="preserve"> 04/15/2017</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t="str">
            <v xml:space="preserve"> </v>
          </cell>
          <cell r="W138">
            <v>0</v>
          </cell>
          <cell r="X138">
            <v>0</v>
          </cell>
          <cell r="Y138">
            <v>0</v>
          </cell>
          <cell r="Z138">
            <v>0</v>
          </cell>
          <cell r="AA138">
            <v>0</v>
          </cell>
          <cell r="AB138">
            <v>17718095</v>
          </cell>
          <cell r="AC138">
            <v>616421</v>
          </cell>
          <cell r="AD138">
            <v>1155797</v>
          </cell>
          <cell r="AE138">
            <v>7427</v>
          </cell>
          <cell r="AF138">
            <v>3528</v>
          </cell>
          <cell r="AG138">
            <v>0</v>
          </cell>
          <cell r="AH138">
            <v>0</v>
          </cell>
          <cell r="AI138">
            <v>4122</v>
          </cell>
          <cell r="AJ138">
            <v>0</v>
          </cell>
          <cell r="AK138">
            <v>-193815</v>
          </cell>
          <cell r="AL138">
            <v>0</v>
          </cell>
          <cell r="AM138">
            <v>128626</v>
          </cell>
          <cell r="AN138">
            <v>4974</v>
          </cell>
          <cell r="AO138">
            <v>4692473</v>
          </cell>
          <cell r="AP138">
            <v>24130221</v>
          </cell>
          <cell r="AQ138">
            <v>0</v>
          </cell>
          <cell r="AR138">
            <v>0</v>
          </cell>
          <cell r="AS138">
            <v>0</v>
          </cell>
          <cell r="AT138">
            <v>0</v>
          </cell>
          <cell r="AU138" t="str">
            <v xml:space="preserve"> </v>
          </cell>
          <cell r="AV138" t="str">
            <v xml:space="preserve"> </v>
          </cell>
          <cell r="AW138" t="str">
            <v xml:space="preserve"> </v>
          </cell>
        </row>
        <row r="139">
          <cell r="C139" t="str">
            <v>OHLONE Subtotal</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17718095</v>
          </cell>
          <cell r="AC139">
            <v>616421</v>
          </cell>
          <cell r="AD139">
            <v>1155797</v>
          </cell>
          <cell r="AE139">
            <v>7427</v>
          </cell>
          <cell r="AF139">
            <v>3528</v>
          </cell>
          <cell r="AG139">
            <v>0</v>
          </cell>
          <cell r="AH139">
            <v>0</v>
          </cell>
          <cell r="AI139">
            <v>4122</v>
          </cell>
          <cell r="AJ139">
            <v>0</v>
          </cell>
          <cell r="AK139">
            <v>-193815</v>
          </cell>
          <cell r="AL139">
            <v>0</v>
          </cell>
          <cell r="AM139">
            <v>128626</v>
          </cell>
          <cell r="AN139">
            <v>4974</v>
          </cell>
          <cell r="AO139">
            <v>4692473</v>
          </cell>
          <cell r="AP139">
            <v>24130221</v>
          </cell>
          <cell r="AQ139">
            <v>0</v>
          </cell>
          <cell r="AR139">
            <v>0</v>
          </cell>
          <cell r="AS139">
            <v>0</v>
          </cell>
          <cell r="AT139">
            <v>0</v>
          </cell>
          <cell r="AU139">
            <v>0</v>
          </cell>
          <cell r="AV139">
            <v>0</v>
          </cell>
          <cell r="AW139">
            <v>0</v>
          </cell>
        </row>
        <row r="141">
          <cell r="C141" t="str">
            <v xml:space="preserve"> PALO VERDE</v>
          </cell>
          <cell r="D141" t="str">
            <v xml:space="preserve"> RIVERSIDE</v>
          </cell>
          <cell r="E141">
            <v>950</v>
          </cell>
          <cell r="F141" t="str">
            <v xml:space="preserve"> 2016-2017</v>
          </cell>
          <cell r="G141" t="str">
            <v xml:space="preserve"> 04/15/2017</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t="str">
            <v xml:space="preserve"> </v>
          </cell>
          <cell r="W141">
            <v>0</v>
          </cell>
          <cell r="X141">
            <v>0</v>
          </cell>
          <cell r="Y141">
            <v>0</v>
          </cell>
          <cell r="Z141">
            <v>0</v>
          </cell>
          <cell r="AA141">
            <v>0</v>
          </cell>
          <cell r="AB141">
            <v>947990</v>
          </cell>
          <cell r="AC141">
            <v>21009</v>
          </cell>
          <cell r="AD141">
            <v>40702</v>
          </cell>
          <cell r="AE141">
            <v>104867</v>
          </cell>
          <cell r="AF141">
            <v>49812</v>
          </cell>
          <cell r="AG141">
            <v>0</v>
          </cell>
          <cell r="AH141">
            <v>0</v>
          </cell>
          <cell r="AI141">
            <v>5612</v>
          </cell>
          <cell r="AJ141">
            <v>224</v>
          </cell>
          <cell r="AK141">
            <v>24404</v>
          </cell>
          <cell r="AL141">
            <v>0</v>
          </cell>
          <cell r="AM141">
            <v>11113</v>
          </cell>
          <cell r="AN141">
            <v>0</v>
          </cell>
          <cell r="AO141">
            <v>-77549</v>
          </cell>
          <cell r="AP141">
            <v>1023317</v>
          </cell>
          <cell r="AQ141">
            <v>0</v>
          </cell>
          <cell r="AR141">
            <v>0</v>
          </cell>
          <cell r="AS141">
            <v>0</v>
          </cell>
          <cell r="AT141">
            <v>0</v>
          </cell>
          <cell r="AU141" t="str">
            <v xml:space="preserve"> </v>
          </cell>
          <cell r="AV141" t="str">
            <v xml:space="preserve"> </v>
          </cell>
          <cell r="AW141" t="str">
            <v xml:space="preserve"> </v>
          </cell>
        </row>
        <row r="142">
          <cell r="C142" t="str">
            <v xml:space="preserve"> PALO VERDE</v>
          </cell>
          <cell r="D142" t="str">
            <v xml:space="preserve"> SAN BERNARDINO</v>
          </cell>
          <cell r="E142">
            <v>950</v>
          </cell>
          <cell r="F142" t="str">
            <v xml:space="preserve"> 2016-2017</v>
          </cell>
          <cell r="G142" t="str">
            <v xml:space="preserve"> 04/15/2017</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t="str">
            <v xml:space="preserve"> </v>
          </cell>
          <cell r="W142">
            <v>0</v>
          </cell>
          <cell r="X142">
            <v>0</v>
          </cell>
          <cell r="Y142">
            <v>0</v>
          </cell>
          <cell r="Z142">
            <v>0</v>
          </cell>
          <cell r="AA142">
            <v>0</v>
          </cell>
          <cell r="AB142">
            <v>375439</v>
          </cell>
          <cell r="AC142">
            <v>5233</v>
          </cell>
          <cell r="AD142">
            <v>9792</v>
          </cell>
          <cell r="AE142">
            <v>0</v>
          </cell>
          <cell r="AF142">
            <v>0</v>
          </cell>
          <cell r="AG142">
            <v>0</v>
          </cell>
          <cell r="AH142">
            <v>0</v>
          </cell>
          <cell r="AI142">
            <v>0</v>
          </cell>
          <cell r="AJ142">
            <v>0</v>
          </cell>
          <cell r="AK142">
            <v>6056</v>
          </cell>
          <cell r="AL142">
            <v>0</v>
          </cell>
          <cell r="AM142">
            <v>3032</v>
          </cell>
          <cell r="AN142">
            <v>0</v>
          </cell>
          <cell r="AO142">
            <v>0</v>
          </cell>
          <cell r="AP142">
            <v>399552</v>
          </cell>
          <cell r="AQ142">
            <v>0</v>
          </cell>
          <cell r="AR142">
            <v>0</v>
          </cell>
          <cell r="AS142">
            <v>0</v>
          </cell>
          <cell r="AT142">
            <v>0</v>
          </cell>
          <cell r="AU142" t="str">
            <v xml:space="preserve"> </v>
          </cell>
          <cell r="AV142" t="str">
            <v xml:space="preserve"> </v>
          </cell>
          <cell r="AW142" t="str">
            <v xml:space="preserve"> </v>
          </cell>
        </row>
        <row r="143">
          <cell r="C143" t="str">
            <v>PALO VERDE Subtotal</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1323429</v>
          </cell>
          <cell r="AC143">
            <v>26242</v>
          </cell>
          <cell r="AD143">
            <v>50494</v>
          </cell>
          <cell r="AE143">
            <v>104867</v>
          </cell>
          <cell r="AF143">
            <v>49812</v>
          </cell>
          <cell r="AG143">
            <v>0</v>
          </cell>
          <cell r="AH143">
            <v>0</v>
          </cell>
          <cell r="AI143">
            <v>5612</v>
          </cell>
          <cell r="AJ143">
            <v>224</v>
          </cell>
          <cell r="AK143">
            <v>30460</v>
          </cell>
          <cell r="AL143">
            <v>0</v>
          </cell>
          <cell r="AM143">
            <v>14145</v>
          </cell>
          <cell r="AN143">
            <v>0</v>
          </cell>
          <cell r="AO143">
            <v>-77549</v>
          </cell>
          <cell r="AP143">
            <v>1422869</v>
          </cell>
          <cell r="AQ143">
            <v>0</v>
          </cell>
          <cell r="AR143">
            <v>0</v>
          </cell>
          <cell r="AS143">
            <v>0</v>
          </cell>
          <cell r="AT143">
            <v>0</v>
          </cell>
          <cell r="AU143">
            <v>0</v>
          </cell>
          <cell r="AV143">
            <v>0</v>
          </cell>
          <cell r="AW143">
            <v>0</v>
          </cell>
        </row>
        <row r="145">
          <cell r="C145" t="str">
            <v xml:space="preserve"> PALOMAR</v>
          </cell>
          <cell r="D145" t="str">
            <v xml:space="preserve"> SAN DIEGO</v>
          </cell>
          <cell r="E145">
            <v>60</v>
          </cell>
          <cell r="F145" t="str">
            <v xml:space="preserve"> 2016-2017</v>
          </cell>
          <cell r="G145" t="str">
            <v xml:space="preserve"> 04/15/2017</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t="str">
            <v xml:space="preserve"> </v>
          </cell>
          <cell r="W145">
            <v>0</v>
          </cell>
          <cell r="X145">
            <v>0</v>
          </cell>
          <cell r="Y145">
            <v>0</v>
          </cell>
          <cell r="Z145">
            <v>0</v>
          </cell>
          <cell r="AA145">
            <v>0</v>
          </cell>
          <cell r="AB145">
            <v>63869698</v>
          </cell>
          <cell r="AC145">
            <v>1649353</v>
          </cell>
          <cell r="AD145">
            <v>1998471</v>
          </cell>
          <cell r="AE145">
            <v>25573</v>
          </cell>
          <cell r="AF145">
            <v>12147</v>
          </cell>
          <cell r="AG145">
            <v>0</v>
          </cell>
          <cell r="AH145">
            <v>0</v>
          </cell>
          <cell r="AI145">
            <v>3873698</v>
          </cell>
          <cell r="AJ145">
            <v>259542</v>
          </cell>
          <cell r="AK145">
            <v>-25934</v>
          </cell>
          <cell r="AL145">
            <v>0</v>
          </cell>
          <cell r="AM145">
            <v>461875</v>
          </cell>
          <cell r="AN145">
            <v>0</v>
          </cell>
          <cell r="AO145">
            <v>-747681</v>
          </cell>
          <cell r="AP145">
            <v>71351169</v>
          </cell>
          <cell r="AQ145">
            <v>0</v>
          </cell>
          <cell r="AR145">
            <v>0</v>
          </cell>
          <cell r="AS145">
            <v>0</v>
          </cell>
          <cell r="AT145">
            <v>0</v>
          </cell>
          <cell r="AU145" t="str">
            <v xml:space="preserve"> </v>
          </cell>
          <cell r="AV145" t="str">
            <v xml:space="preserve"> </v>
          </cell>
          <cell r="AW145" t="str">
            <v xml:space="preserve"> </v>
          </cell>
        </row>
        <row r="146">
          <cell r="C146" t="str">
            <v xml:space="preserve">PALOMAR Subtotal         </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63869698</v>
          </cell>
          <cell r="AC146">
            <v>1649353</v>
          </cell>
          <cell r="AD146">
            <v>1998471</v>
          </cell>
          <cell r="AE146">
            <v>25573</v>
          </cell>
          <cell r="AF146">
            <v>12147</v>
          </cell>
          <cell r="AG146">
            <v>0</v>
          </cell>
          <cell r="AH146">
            <v>0</v>
          </cell>
          <cell r="AI146">
            <v>3873698</v>
          </cell>
          <cell r="AJ146">
            <v>259542</v>
          </cell>
          <cell r="AK146">
            <v>-25934</v>
          </cell>
          <cell r="AL146">
            <v>0</v>
          </cell>
          <cell r="AM146">
            <v>461875</v>
          </cell>
          <cell r="AN146">
            <v>0</v>
          </cell>
          <cell r="AO146">
            <v>-747681</v>
          </cell>
          <cell r="AP146">
            <v>71351169</v>
          </cell>
          <cell r="AQ146">
            <v>0</v>
          </cell>
          <cell r="AR146">
            <v>0</v>
          </cell>
          <cell r="AS146">
            <v>0</v>
          </cell>
          <cell r="AT146">
            <v>0</v>
          </cell>
          <cell r="AU146">
            <v>0</v>
          </cell>
          <cell r="AV146">
            <v>0</v>
          </cell>
          <cell r="AW146">
            <v>0</v>
          </cell>
        </row>
        <row r="148">
          <cell r="C148" t="str">
            <v xml:space="preserve"> PASADENA</v>
          </cell>
          <cell r="D148" t="str">
            <v xml:space="preserve"> LOS ANGELES</v>
          </cell>
          <cell r="E148">
            <v>770</v>
          </cell>
          <cell r="F148" t="str">
            <v xml:space="preserve"> 2016-2017</v>
          </cell>
          <cell r="G148" t="str">
            <v xml:space="preserve"> 04/15/2017</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t="str">
            <v xml:space="preserve"> </v>
          </cell>
          <cell r="W148">
            <v>0</v>
          </cell>
          <cell r="X148">
            <v>0</v>
          </cell>
          <cell r="Y148">
            <v>0</v>
          </cell>
          <cell r="Z148">
            <v>0</v>
          </cell>
          <cell r="AA148">
            <v>0</v>
          </cell>
          <cell r="AB148">
            <v>23567838</v>
          </cell>
          <cell r="AC148">
            <v>643657</v>
          </cell>
          <cell r="AD148">
            <v>865660</v>
          </cell>
          <cell r="AE148">
            <v>82112</v>
          </cell>
          <cell r="AF148">
            <v>39003</v>
          </cell>
          <cell r="AG148">
            <v>0</v>
          </cell>
          <cell r="AH148">
            <v>0</v>
          </cell>
          <cell r="AI148">
            <v>1855702</v>
          </cell>
          <cell r="AJ148">
            <v>0</v>
          </cell>
          <cell r="AK148">
            <v>420515</v>
          </cell>
          <cell r="AL148">
            <v>0</v>
          </cell>
          <cell r="AM148">
            <v>158497</v>
          </cell>
          <cell r="AN148">
            <v>14428</v>
          </cell>
          <cell r="AO148">
            <v>0</v>
          </cell>
          <cell r="AP148">
            <v>27565300</v>
          </cell>
          <cell r="AQ148">
            <v>0</v>
          </cell>
          <cell r="AR148">
            <v>0</v>
          </cell>
          <cell r="AS148">
            <v>0</v>
          </cell>
          <cell r="AT148">
            <v>0</v>
          </cell>
          <cell r="AU148" t="str">
            <v xml:space="preserve"> </v>
          </cell>
          <cell r="AV148" t="str">
            <v xml:space="preserve"> </v>
          </cell>
          <cell r="AW148" t="str">
            <v xml:space="preserve"> </v>
          </cell>
        </row>
        <row r="149">
          <cell r="C149" t="str">
            <v xml:space="preserve">PASADENA Subtotal         </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23567838</v>
          </cell>
          <cell r="AC149">
            <v>643657</v>
          </cell>
          <cell r="AD149">
            <v>865660</v>
          </cell>
          <cell r="AE149">
            <v>82112</v>
          </cell>
          <cell r="AF149">
            <v>39003</v>
          </cell>
          <cell r="AG149">
            <v>0</v>
          </cell>
          <cell r="AH149">
            <v>0</v>
          </cell>
          <cell r="AI149">
            <v>1855702</v>
          </cell>
          <cell r="AJ149">
            <v>0</v>
          </cell>
          <cell r="AK149">
            <v>420515</v>
          </cell>
          <cell r="AL149">
            <v>0</v>
          </cell>
          <cell r="AM149">
            <v>158497</v>
          </cell>
          <cell r="AN149">
            <v>14428</v>
          </cell>
          <cell r="AO149">
            <v>0</v>
          </cell>
          <cell r="AP149">
            <v>27565300</v>
          </cell>
          <cell r="AQ149">
            <v>0</v>
          </cell>
          <cell r="AR149">
            <v>0</v>
          </cell>
          <cell r="AS149">
            <v>0</v>
          </cell>
          <cell r="AT149">
            <v>0</v>
          </cell>
          <cell r="AU149">
            <v>0</v>
          </cell>
          <cell r="AV149">
            <v>0</v>
          </cell>
          <cell r="AW149">
            <v>0</v>
          </cell>
        </row>
        <row r="151">
          <cell r="C151" t="str">
            <v xml:space="preserve"> PERALTA</v>
          </cell>
          <cell r="D151" t="str">
            <v xml:space="preserve"> ALAMEDA</v>
          </cell>
          <cell r="E151">
            <v>340</v>
          </cell>
          <cell r="F151" t="str">
            <v xml:space="preserve"> 2016-2017</v>
          </cell>
          <cell r="G151" t="str">
            <v xml:space="preserve"> 04/15/2017</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t="str">
            <v xml:space="preserve"> </v>
          </cell>
          <cell r="W151">
            <v>0</v>
          </cell>
          <cell r="X151">
            <v>0</v>
          </cell>
          <cell r="Y151">
            <v>0</v>
          </cell>
          <cell r="Z151">
            <v>0</v>
          </cell>
          <cell r="AA151">
            <v>0</v>
          </cell>
          <cell r="AB151">
            <v>17485574</v>
          </cell>
          <cell r="AC151">
            <v>590861</v>
          </cell>
          <cell r="AD151">
            <v>1508703</v>
          </cell>
          <cell r="AE151">
            <v>1756200</v>
          </cell>
          <cell r="AF151">
            <v>834195</v>
          </cell>
          <cell r="AG151">
            <v>0</v>
          </cell>
          <cell r="AH151">
            <v>0</v>
          </cell>
          <cell r="AI151">
            <v>2337436</v>
          </cell>
          <cell r="AJ151">
            <v>0</v>
          </cell>
          <cell r="AK151">
            <v>-255754</v>
          </cell>
          <cell r="AL151">
            <v>0</v>
          </cell>
          <cell r="AM151">
            <v>167901</v>
          </cell>
          <cell r="AN151">
            <v>0</v>
          </cell>
          <cell r="AO151">
            <v>18074515</v>
          </cell>
          <cell r="AP151">
            <v>40743431</v>
          </cell>
          <cell r="AQ151">
            <v>0</v>
          </cell>
          <cell r="AR151">
            <v>0</v>
          </cell>
          <cell r="AS151">
            <v>0</v>
          </cell>
          <cell r="AT151">
            <v>0</v>
          </cell>
          <cell r="AU151" t="str">
            <v xml:space="preserve"> </v>
          </cell>
          <cell r="AV151" t="str">
            <v xml:space="preserve"> </v>
          </cell>
          <cell r="AW151" t="str">
            <v xml:space="preserve"> </v>
          </cell>
        </row>
        <row r="152">
          <cell r="C152" t="str">
            <v>PERALTA Subtotal</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17485574</v>
          </cell>
          <cell r="AC152">
            <v>590861</v>
          </cell>
          <cell r="AD152">
            <v>1508703</v>
          </cell>
          <cell r="AE152">
            <v>1756200</v>
          </cell>
          <cell r="AF152">
            <v>834195</v>
          </cell>
          <cell r="AG152">
            <v>0</v>
          </cell>
          <cell r="AH152">
            <v>0</v>
          </cell>
          <cell r="AI152">
            <v>2337436</v>
          </cell>
          <cell r="AJ152">
            <v>0</v>
          </cell>
          <cell r="AK152">
            <v>-255754</v>
          </cell>
          <cell r="AL152">
            <v>0</v>
          </cell>
          <cell r="AM152">
            <v>167901</v>
          </cell>
          <cell r="AN152">
            <v>0</v>
          </cell>
          <cell r="AO152">
            <v>18074515</v>
          </cell>
          <cell r="AP152">
            <v>40743431</v>
          </cell>
          <cell r="AQ152">
            <v>0</v>
          </cell>
          <cell r="AR152">
            <v>0</v>
          </cell>
          <cell r="AS152">
            <v>0</v>
          </cell>
          <cell r="AT152">
            <v>0</v>
          </cell>
          <cell r="AU152">
            <v>0</v>
          </cell>
          <cell r="AV152">
            <v>0</v>
          </cell>
          <cell r="AW152">
            <v>0</v>
          </cell>
        </row>
        <row r="154">
          <cell r="C154" t="str">
            <v xml:space="preserve"> RANCHO SANTIAGO</v>
          </cell>
          <cell r="D154" t="str">
            <v xml:space="preserve"> ORANGE</v>
          </cell>
          <cell r="E154">
            <v>870</v>
          </cell>
          <cell r="F154" t="str">
            <v xml:space="preserve"> 2016-2017</v>
          </cell>
          <cell r="G154" t="str">
            <v xml:space="preserve"> 04/15/2017</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t="str">
            <v xml:space="preserve"> </v>
          </cell>
          <cell r="W154">
            <v>0</v>
          </cell>
          <cell r="X154">
            <v>0</v>
          </cell>
          <cell r="Y154">
            <v>0</v>
          </cell>
          <cell r="Z154">
            <v>0</v>
          </cell>
          <cell r="AA154">
            <v>0</v>
          </cell>
          <cell r="AB154">
            <v>44568221</v>
          </cell>
          <cell r="AC154">
            <v>1145413</v>
          </cell>
          <cell r="AD154">
            <v>1406775</v>
          </cell>
          <cell r="AE154">
            <v>612034</v>
          </cell>
          <cell r="AF154">
            <v>290716</v>
          </cell>
          <cell r="AG154">
            <v>0</v>
          </cell>
          <cell r="AH154">
            <v>0</v>
          </cell>
          <cell r="AI154">
            <v>5008231</v>
          </cell>
          <cell r="AJ154">
            <v>70563</v>
          </cell>
          <cell r="AK154">
            <v>500672</v>
          </cell>
          <cell r="AL154">
            <v>6</v>
          </cell>
          <cell r="AM154">
            <v>282137</v>
          </cell>
          <cell r="AN154">
            <v>0</v>
          </cell>
          <cell r="AO154">
            <v>16642902</v>
          </cell>
          <cell r="AP154">
            <v>69915636</v>
          </cell>
          <cell r="AQ154">
            <v>0</v>
          </cell>
          <cell r="AR154">
            <v>0</v>
          </cell>
          <cell r="AS154">
            <v>0</v>
          </cell>
          <cell r="AT154">
            <v>0</v>
          </cell>
          <cell r="AU154" t="str">
            <v xml:space="preserve"> </v>
          </cell>
          <cell r="AV154" t="str">
            <v xml:space="preserve"> </v>
          </cell>
          <cell r="AW154" t="str">
            <v xml:space="preserve"> </v>
          </cell>
        </row>
        <row r="155">
          <cell r="C155" t="str">
            <v xml:space="preserve">RANCHO SANTIAGO Subtotal   </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44568221</v>
          </cell>
          <cell r="AC155">
            <v>1145413</v>
          </cell>
          <cell r="AD155">
            <v>1406775</v>
          </cell>
          <cell r="AE155">
            <v>612034</v>
          </cell>
          <cell r="AF155">
            <v>290716</v>
          </cell>
          <cell r="AG155">
            <v>0</v>
          </cell>
          <cell r="AH155">
            <v>0</v>
          </cell>
          <cell r="AI155">
            <v>5008231</v>
          </cell>
          <cell r="AJ155">
            <v>70563</v>
          </cell>
          <cell r="AK155">
            <v>500672</v>
          </cell>
          <cell r="AL155">
            <v>6</v>
          </cell>
          <cell r="AM155">
            <v>282137</v>
          </cell>
          <cell r="AN155">
            <v>0</v>
          </cell>
          <cell r="AO155">
            <v>16642902</v>
          </cell>
          <cell r="AP155">
            <v>69915636</v>
          </cell>
          <cell r="AQ155">
            <v>0</v>
          </cell>
          <cell r="AR155">
            <v>0</v>
          </cell>
          <cell r="AS155">
            <v>0</v>
          </cell>
          <cell r="AT155">
            <v>0</v>
          </cell>
          <cell r="AU155">
            <v>0</v>
          </cell>
          <cell r="AV155">
            <v>0</v>
          </cell>
          <cell r="AW155">
            <v>0</v>
          </cell>
        </row>
        <row r="157">
          <cell r="C157" t="str">
            <v xml:space="preserve"> REDWOODS</v>
          </cell>
          <cell r="D157" t="str">
            <v xml:space="preserve"> DEL NORTE</v>
          </cell>
          <cell r="E157">
            <v>160</v>
          </cell>
          <cell r="F157" t="str">
            <v xml:space="preserve"> 2016-2017</v>
          </cell>
          <cell r="G157" t="str">
            <v xml:space="preserve"> 04/15/2017</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t="str">
            <v xml:space="preserve"> </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31500</v>
          </cell>
          <cell r="AM157">
            <v>0</v>
          </cell>
          <cell r="AN157">
            <v>0</v>
          </cell>
          <cell r="AO157">
            <v>0</v>
          </cell>
          <cell r="AP157">
            <v>31500</v>
          </cell>
          <cell r="AQ157">
            <v>0</v>
          </cell>
          <cell r="AR157">
            <v>0</v>
          </cell>
          <cell r="AS157">
            <v>0</v>
          </cell>
          <cell r="AT157">
            <v>0</v>
          </cell>
          <cell r="AU157" t="str">
            <v xml:space="preserve"> </v>
          </cell>
          <cell r="AV157" t="str">
            <v xml:space="preserve"> </v>
          </cell>
          <cell r="AW157" t="str">
            <v xml:space="preserve"> </v>
          </cell>
        </row>
        <row r="158">
          <cell r="C158" t="str">
            <v xml:space="preserve"> REDWOODS</v>
          </cell>
          <cell r="D158" t="str">
            <v xml:space="preserve"> HUMBOLDT</v>
          </cell>
          <cell r="E158">
            <v>160</v>
          </cell>
          <cell r="F158" t="str">
            <v xml:space="preserve"> 2016-2017</v>
          </cell>
          <cell r="G158" t="str">
            <v xml:space="preserve"> 04/15/2017</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t="str">
            <v xml:space="preserve"> </v>
          </cell>
          <cell r="W158">
            <v>0</v>
          </cell>
          <cell r="X158">
            <v>0</v>
          </cell>
          <cell r="Y158">
            <v>0</v>
          </cell>
          <cell r="Z158">
            <v>0</v>
          </cell>
          <cell r="AA158">
            <v>0</v>
          </cell>
          <cell r="AB158">
            <v>7129261</v>
          </cell>
          <cell r="AC158">
            <v>100000</v>
          </cell>
          <cell r="AD158">
            <v>311936</v>
          </cell>
          <cell r="AE158">
            <v>0</v>
          </cell>
          <cell r="AF158">
            <v>0</v>
          </cell>
          <cell r="AG158">
            <v>0</v>
          </cell>
          <cell r="AH158">
            <v>0</v>
          </cell>
          <cell r="AI158">
            <v>320000</v>
          </cell>
          <cell r="AJ158">
            <v>0</v>
          </cell>
          <cell r="AK158">
            <v>3704</v>
          </cell>
          <cell r="AL158">
            <v>155490</v>
          </cell>
          <cell r="AM158">
            <v>103960</v>
          </cell>
          <cell r="AN158">
            <v>0</v>
          </cell>
          <cell r="AO158">
            <v>240000</v>
          </cell>
          <cell r="AP158">
            <v>8364351</v>
          </cell>
          <cell r="AQ158">
            <v>0</v>
          </cell>
          <cell r="AR158">
            <v>0</v>
          </cell>
          <cell r="AS158">
            <v>0</v>
          </cell>
          <cell r="AT158">
            <v>0</v>
          </cell>
          <cell r="AU158" t="str">
            <v xml:space="preserve"> </v>
          </cell>
          <cell r="AV158" t="str">
            <v xml:space="preserve"> </v>
          </cell>
          <cell r="AW158" t="str">
            <v xml:space="preserve"> </v>
          </cell>
        </row>
        <row r="159">
          <cell r="C159" t="str">
            <v xml:space="preserve"> REDWOODS</v>
          </cell>
          <cell r="D159" t="str">
            <v xml:space="preserve"> MENDOCINO</v>
          </cell>
          <cell r="E159">
            <v>160</v>
          </cell>
          <cell r="F159" t="str">
            <v xml:space="preserve"> 2016-2017</v>
          </cell>
          <cell r="G159" t="str">
            <v xml:space="preserve"> 04/15/2017</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t="str">
            <v xml:space="preserve"> </v>
          </cell>
          <cell r="W159">
            <v>0</v>
          </cell>
          <cell r="X159">
            <v>0</v>
          </cell>
          <cell r="Y159">
            <v>0</v>
          </cell>
          <cell r="Z159">
            <v>0</v>
          </cell>
          <cell r="AA159">
            <v>0</v>
          </cell>
          <cell r="AB159">
            <v>1932696</v>
          </cell>
          <cell r="AC159">
            <v>20024</v>
          </cell>
          <cell r="AD159">
            <v>65660</v>
          </cell>
          <cell r="AE159">
            <v>0</v>
          </cell>
          <cell r="AF159">
            <v>0</v>
          </cell>
          <cell r="AG159">
            <v>0</v>
          </cell>
          <cell r="AH159">
            <v>0</v>
          </cell>
          <cell r="AI159">
            <v>54566</v>
          </cell>
          <cell r="AJ159">
            <v>0</v>
          </cell>
          <cell r="AK159">
            <v>3469</v>
          </cell>
          <cell r="AL159">
            <v>58098</v>
          </cell>
          <cell r="AM159">
            <v>18539</v>
          </cell>
          <cell r="AN159">
            <v>0</v>
          </cell>
          <cell r="AO159">
            <v>695141</v>
          </cell>
          <cell r="AP159">
            <v>2848193</v>
          </cell>
          <cell r="AQ159">
            <v>0</v>
          </cell>
          <cell r="AR159">
            <v>0</v>
          </cell>
          <cell r="AS159">
            <v>0</v>
          </cell>
          <cell r="AT159">
            <v>0</v>
          </cell>
          <cell r="AU159" t="str">
            <v xml:space="preserve"> </v>
          </cell>
          <cell r="AV159" t="str">
            <v xml:space="preserve"> </v>
          </cell>
          <cell r="AW159" t="str">
            <v xml:space="preserve"> </v>
          </cell>
        </row>
        <row r="160">
          <cell r="C160" t="str">
            <v xml:space="preserve"> REDWOODS</v>
          </cell>
          <cell r="D160" t="str">
            <v xml:space="preserve"> TRINITY</v>
          </cell>
          <cell r="E160">
            <v>160</v>
          </cell>
          <cell r="F160" t="str">
            <v xml:space="preserve"> </v>
          </cell>
          <cell r="G160" t="str">
            <v xml:space="preserve"> </v>
          </cell>
          <cell r="H160">
            <v>0</v>
          </cell>
          <cell r="I160" t="str">
            <v xml:space="preserve"> </v>
          </cell>
          <cell r="J160" t="str">
            <v xml:space="preserve"> </v>
          </cell>
          <cell r="K160" t="str">
            <v xml:space="preserve"> </v>
          </cell>
          <cell r="L160" t="str">
            <v xml:space="preserve"> </v>
          </cell>
          <cell r="M160" t="str">
            <v xml:space="preserve"> </v>
          </cell>
          <cell r="N160" t="str">
            <v xml:space="preserve"> </v>
          </cell>
          <cell r="O160" t="str">
            <v xml:space="preserve"> </v>
          </cell>
          <cell r="P160" t="str">
            <v xml:space="preserve"> </v>
          </cell>
          <cell r="Q160" t="str">
            <v xml:space="preserve"> </v>
          </cell>
          <cell r="R160" t="str">
            <v xml:space="preserve"> </v>
          </cell>
          <cell r="S160" t="str">
            <v xml:space="preserve"> </v>
          </cell>
          <cell r="T160" t="str">
            <v xml:space="preserve"> </v>
          </cell>
          <cell r="U160" t="str">
            <v xml:space="preserve"> </v>
          </cell>
          <cell r="V160" t="str">
            <v xml:space="preserve"> </v>
          </cell>
          <cell r="W160">
            <v>0</v>
          </cell>
          <cell r="X160" t="str">
            <v xml:space="preserve"> </v>
          </cell>
          <cell r="Y160" t="str">
            <v xml:space="preserve"> </v>
          </cell>
          <cell r="Z160" t="str">
            <v xml:space="preserve"> </v>
          </cell>
          <cell r="AA160" t="str">
            <v xml:space="preserve"> </v>
          </cell>
          <cell r="AB160" t="str">
            <v xml:space="preserve"> </v>
          </cell>
          <cell r="AC160" t="str">
            <v xml:space="preserve"> </v>
          </cell>
          <cell r="AD160" t="str">
            <v xml:space="preserve"> </v>
          </cell>
          <cell r="AE160" t="str">
            <v xml:space="preserve"> </v>
          </cell>
          <cell r="AF160" t="str">
            <v xml:space="preserve"> </v>
          </cell>
          <cell r="AG160" t="str">
            <v xml:space="preserve"> </v>
          </cell>
          <cell r="AH160" t="str">
            <v xml:space="preserve"> </v>
          </cell>
          <cell r="AI160" t="str">
            <v xml:space="preserve"> </v>
          </cell>
          <cell r="AJ160" t="str">
            <v xml:space="preserve"> </v>
          </cell>
          <cell r="AK160" t="str">
            <v xml:space="preserve">  </v>
          </cell>
          <cell r="AL160">
            <v>0</v>
          </cell>
          <cell r="AM160" t="str">
            <v xml:space="preserve"> </v>
          </cell>
          <cell r="AN160" t="str">
            <v xml:space="preserve"> </v>
          </cell>
          <cell r="AO160" t="str">
            <v xml:space="preserve"> </v>
          </cell>
          <cell r="AP160" t="str">
            <v xml:space="preserve"> </v>
          </cell>
          <cell r="AQ160" t="str">
            <v xml:space="preserve"> </v>
          </cell>
          <cell r="AR160">
            <v>0</v>
          </cell>
          <cell r="AS160" t="str">
            <v xml:space="preserve"> </v>
          </cell>
          <cell r="AT160" t="str">
            <v xml:space="preserve"> </v>
          </cell>
          <cell r="AU160" t="str">
            <v xml:space="preserve"> </v>
          </cell>
          <cell r="AV160" t="str">
            <v xml:space="preserve"> </v>
          </cell>
          <cell r="AW160" t="str">
            <v xml:space="preserve"> </v>
          </cell>
        </row>
        <row r="161">
          <cell r="C161" t="str">
            <v xml:space="preserve">REDWOODS Subtotal         </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9061957</v>
          </cell>
          <cell r="AC161">
            <v>120024</v>
          </cell>
          <cell r="AD161">
            <v>377596</v>
          </cell>
          <cell r="AE161">
            <v>0</v>
          </cell>
          <cell r="AF161">
            <v>0</v>
          </cell>
          <cell r="AG161">
            <v>0</v>
          </cell>
          <cell r="AH161">
            <v>0</v>
          </cell>
          <cell r="AI161">
            <v>374566</v>
          </cell>
          <cell r="AJ161">
            <v>0</v>
          </cell>
          <cell r="AK161">
            <v>7173</v>
          </cell>
          <cell r="AL161">
            <v>245088</v>
          </cell>
          <cell r="AM161">
            <v>122499</v>
          </cell>
          <cell r="AN161">
            <v>0</v>
          </cell>
          <cell r="AO161">
            <v>935141</v>
          </cell>
          <cell r="AP161">
            <v>11244044</v>
          </cell>
          <cell r="AQ161">
            <v>0</v>
          </cell>
          <cell r="AR161">
            <v>0</v>
          </cell>
          <cell r="AS161">
            <v>0</v>
          </cell>
          <cell r="AT161">
            <v>0</v>
          </cell>
          <cell r="AU161">
            <v>0</v>
          </cell>
          <cell r="AV161">
            <v>0</v>
          </cell>
          <cell r="AW161">
            <v>0</v>
          </cell>
        </row>
        <row r="163">
          <cell r="C163" t="str">
            <v xml:space="preserve"> RIO HONDO</v>
          </cell>
          <cell r="D163" t="str">
            <v xml:space="preserve"> LOS ANGELES</v>
          </cell>
          <cell r="E163">
            <v>880</v>
          </cell>
          <cell r="F163" t="str">
            <v xml:space="preserve"> 2016-2017</v>
          </cell>
          <cell r="G163" t="str">
            <v xml:space="preserve"> 04/15/2017</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t="str">
            <v xml:space="preserve"> </v>
          </cell>
          <cell r="W163">
            <v>0</v>
          </cell>
          <cell r="X163">
            <v>0</v>
          </cell>
          <cell r="Y163">
            <v>0</v>
          </cell>
          <cell r="Z163">
            <v>0</v>
          </cell>
          <cell r="AA163">
            <v>0</v>
          </cell>
          <cell r="AB163">
            <v>5648936</v>
          </cell>
          <cell r="AC163">
            <v>168244</v>
          </cell>
          <cell r="AD163">
            <v>120323</v>
          </cell>
          <cell r="AE163">
            <v>168992</v>
          </cell>
          <cell r="AF163">
            <v>80271</v>
          </cell>
          <cell r="AG163">
            <v>0</v>
          </cell>
          <cell r="AH163">
            <v>0</v>
          </cell>
          <cell r="AI163">
            <v>212229</v>
          </cell>
          <cell r="AJ163">
            <v>0</v>
          </cell>
          <cell r="AK163">
            <v>102080</v>
          </cell>
          <cell r="AL163">
            <v>0</v>
          </cell>
          <cell r="AM163">
            <v>37214</v>
          </cell>
          <cell r="AN163">
            <v>0</v>
          </cell>
          <cell r="AO163">
            <v>0</v>
          </cell>
          <cell r="AP163">
            <v>6369297</v>
          </cell>
          <cell r="AQ163">
            <v>0</v>
          </cell>
          <cell r="AR163">
            <v>0</v>
          </cell>
          <cell r="AS163">
            <v>0</v>
          </cell>
          <cell r="AT163">
            <v>0</v>
          </cell>
          <cell r="AU163" t="str">
            <v xml:space="preserve"> </v>
          </cell>
          <cell r="AV163" t="str">
            <v xml:space="preserve"> </v>
          </cell>
          <cell r="AW163" t="str">
            <v xml:space="preserve"> </v>
          </cell>
        </row>
        <row r="164">
          <cell r="C164" t="str">
            <v xml:space="preserve">RIO HONDO Subtotal        </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5648936</v>
          </cell>
          <cell r="AC164">
            <v>168244</v>
          </cell>
          <cell r="AD164">
            <v>120323</v>
          </cell>
          <cell r="AE164">
            <v>168992</v>
          </cell>
          <cell r="AF164">
            <v>80271</v>
          </cell>
          <cell r="AG164">
            <v>0</v>
          </cell>
          <cell r="AH164">
            <v>0</v>
          </cell>
          <cell r="AI164">
            <v>212229</v>
          </cell>
          <cell r="AJ164">
            <v>0</v>
          </cell>
          <cell r="AK164">
            <v>102080</v>
          </cell>
          <cell r="AL164">
            <v>0</v>
          </cell>
          <cell r="AM164">
            <v>37214</v>
          </cell>
          <cell r="AN164">
            <v>0</v>
          </cell>
          <cell r="AO164">
            <v>0</v>
          </cell>
          <cell r="AP164">
            <v>6369297</v>
          </cell>
          <cell r="AQ164">
            <v>0</v>
          </cell>
          <cell r="AR164">
            <v>0</v>
          </cell>
          <cell r="AS164">
            <v>0</v>
          </cell>
          <cell r="AT164">
            <v>0</v>
          </cell>
          <cell r="AU164">
            <v>0</v>
          </cell>
          <cell r="AV164">
            <v>0</v>
          </cell>
          <cell r="AW164">
            <v>0</v>
          </cell>
        </row>
        <row r="166">
          <cell r="C166" t="str">
            <v xml:space="preserve"> RIVERSIDE</v>
          </cell>
          <cell r="D166" t="str">
            <v xml:space="preserve"> RIVERSIDE</v>
          </cell>
          <cell r="E166">
            <v>960</v>
          </cell>
          <cell r="F166" t="str">
            <v xml:space="preserve"> 2016-2017</v>
          </cell>
          <cell r="G166" t="str">
            <v xml:space="preserve"> 04/15/2017</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t="str">
            <v xml:space="preserve"> </v>
          </cell>
          <cell r="W166">
            <v>0</v>
          </cell>
          <cell r="X166">
            <v>0</v>
          </cell>
          <cell r="Y166">
            <v>0</v>
          </cell>
          <cell r="Z166">
            <v>0</v>
          </cell>
          <cell r="AA166">
            <v>0</v>
          </cell>
          <cell r="AB166">
            <v>34736409</v>
          </cell>
          <cell r="AC166">
            <v>827566</v>
          </cell>
          <cell r="AD166">
            <v>1604180</v>
          </cell>
          <cell r="AE166">
            <v>1997692</v>
          </cell>
          <cell r="AF166">
            <v>948904</v>
          </cell>
          <cell r="AG166">
            <v>0</v>
          </cell>
          <cell r="AH166">
            <v>0</v>
          </cell>
          <cell r="AI166">
            <v>1829345</v>
          </cell>
          <cell r="AJ166">
            <v>19018</v>
          </cell>
          <cell r="AK166">
            <v>959011</v>
          </cell>
          <cell r="AL166">
            <v>0</v>
          </cell>
          <cell r="AM166">
            <v>437991</v>
          </cell>
          <cell r="AN166">
            <v>0</v>
          </cell>
          <cell r="AO166">
            <v>-3056279</v>
          </cell>
          <cell r="AP166">
            <v>38306145</v>
          </cell>
          <cell r="AQ166">
            <v>0</v>
          </cell>
          <cell r="AR166">
            <v>0</v>
          </cell>
          <cell r="AS166">
            <v>0</v>
          </cell>
          <cell r="AT166">
            <v>0</v>
          </cell>
          <cell r="AU166" t="str">
            <v xml:space="preserve"> </v>
          </cell>
          <cell r="AV166" t="str">
            <v xml:space="preserve"> </v>
          </cell>
          <cell r="AW166" t="str">
            <v xml:space="preserve"> </v>
          </cell>
        </row>
        <row r="167">
          <cell r="C167" t="str">
            <v xml:space="preserve">RIVERSIDE Subtotal         </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34736409</v>
          </cell>
          <cell r="AC167">
            <v>827566</v>
          </cell>
          <cell r="AD167">
            <v>1604180</v>
          </cell>
          <cell r="AE167">
            <v>1997692</v>
          </cell>
          <cell r="AF167">
            <v>948904</v>
          </cell>
          <cell r="AG167">
            <v>0</v>
          </cell>
          <cell r="AH167">
            <v>0</v>
          </cell>
          <cell r="AI167">
            <v>1829345</v>
          </cell>
          <cell r="AJ167">
            <v>19018</v>
          </cell>
          <cell r="AK167">
            <v>959011</v>
          </cell>
          <cell r="AL167">
            <v>0</v>
          </cell>
          <cell r="AM167">
            <v>437991</v>
          </cell>
          <cell r="AN167">
            <v>0</v>
          </cell>
          <cell r="AO167">
            <v>-3056279</v>
          </cell>
          <cell r="AP167">
            <v>38306145</v>
          </cell>
          <cell r="AQ167">
            <v>0</v>
          </cell>
          <cell r="AR167">
            <v>0</v>
          </cell>
          <cell r="AS167">
            <v>0</v>
          </cell>
          <cell r="AT167">
            <v>0</v>
          </cell>
          <cell r="AU167">
            <v>0</v>
          </cell>
          <cell r="AV167">
            <v>0</v>
          </cell>
          <cell r="AW167">
            <v>0</v>
          </cell>
        </row>
        <row r="169">
          <cell r="C169" t="str">
            <v xml:space="preserve"> SAN BERNARDINO</v>
          </cell>
          <cell r="D169" t="str">
            <v xml:space="preserve"> RIVERSIDE</v>
          </cell>
          <cell r="E169">
            <v>980</v>
          </cell>
          <cell r="F169" t="str">
            <v xml:space="preserve"> 2016-2017</v>
          </cell>
          <cell r="G169" t="str">
            <v xml:space="preserve"> 04/15/2017</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t="str">
            <v xml:space="preserve"> </v>
          </cell>
          <cell r="W169">
            <v>0</v>
          </cell>
          <cell r="X169">
            <v>0</v>
          </cell>
          <cell r="Y169">
            <v>0</v>
          </cell>
          <cell r="Z169">
            <v>0</v>
          </cell>
          <cell r="AA169">
            <v>0</v>
          </cell>
          <cell r="AB169">
            <v>320905</v>
          </cell>
          <cell r="AC169">
            <v>7610</v>
          </cell>
          <cell r="AD169">
            <v>14692</v>
          </cell>
          <cell r="AE169">
            <v>3637</v>
          </cell>
          <cell r="AF169">
            <v>1728</v>
          </cell>
          <cell r="AG169">
            <v>0</v>
          </cell>
          <cell r="AH169">
            <v>0</v>
          </cell>
          <cell r="AI169">
            <v>15499</v>
          </cell>
          <cell r="AJ169">
            <v>15</v>
          </cell>
          <cell r="AK169">
            <v>8900</v>
          </cell>
          <cell r="AL169">
            <v>0</v>
          </cell>
          <cell r="AM169">
            <v>4009</v>
          </cell>
          <cell r="AN169">
            <v>0</v>
          </cell>
          <cell r="AO169">
            <v>-27974</v>
          </cell>
          <cell r="AP169">
            <v>345384</v>
          </cell>
          <cell r="AQ169">
            <v>0</v>
          </cell>
          <cell r="AR169">
            <v>0</v>
          </cell>
          <cell r="AS169">
            <v>0</v>
          </cell>
          <cell r="AT169">
            <v>0</v>
          </cell>
          <cell r="AU169" t="str">
            <v xml:space="preserve"> </v>
          </cell>
          <cell r="AV169" t="str">
            <v xml:space="preserve"> </v>
          </cell>
          <cell r="AW169" t="str">
            <v xml:space="preserve"> </v>
          </cell>
        </row>
        <row r="170">
          <cell r="C170" t="str">
            <v xml:space="preserve"> SAN BERNARDINO</v>
          </cell>
          <cell r="D170" t="str">
            <v xml:space="preserve"> SAN BERNARDINO</v>
          </cell>
          <cell r="E170">
            <v>980</v>
          </cell>
          <cell r="F170" t="str">
            <v xml:space="preserve"> 2016-2017</v>
          </cell>
          <cell r="G170" t="str">
            <v xml:space="preserve"> 04/15/2017</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t="str">
            <v xml:space="preserve"> </v>
          </cell>
          <cell r="W170">
            <v>0</v>
          </cell>
          <cell r="X170">
            <v>0</v>
          </cell>
          <cell r="Y170">
            <v>0</v>
          </cell>
          <cell r="Z170">
            <v>0</v>
          </cell>
          <cell r="AA170">
            <v>0</v>
          </cell>
          <cell r="AB170">
            <v>21582721</v>
          </cell>
          <cell r="AC170">
            <v>381535</v>
          </cell>
          <cell r="AD170">
            <v>769307</v>
          </cell>
          <cell r="AE170">
            <v>997026</v>
          </cell>
          <cell r="AF170">
            <v>473587</v>
          </cell>
          <cell r="AG170">
            <v>0</v>
          </cell>
          <cell r="AH170">
            <v>0</v>
          </cell>
          <cell r="AI170">
            <v>4189977</v>
          </cell>
          <cell r="AJ170">
            <v>202065</v>
          </cell>
          <cell r="AK170">
            <v>29803</v>
          </cell>
          <cell r="AL170">
            <v>0</v>
          </cell>
          <cell r="AM170">
            <v>238214</v>
          </cell>
          <cell r="AN170">
            <v>0</v>
          </cell>
          <cell r="AO170">
            <v>-4949818</v>
          </cell>
          <cell r="AP170">
            <v>22917391</v>
          </cell>
          <cell r="AQ170">
            <v>0</v>
          </cell>
          <cell r="AR170">
            <v>0</v>
          </cell>
          <cell r="AS170">
            <v>0</v>
          </cell>
          <cell r="AT170">
            <v>0</v>
          </cell>
          <cell r="AU170" t="str">
            <v xml:space="preserve"> </v>
          </cell>
          <cell r="AV170" t="str">
            <v xml:space="preserve"> </v>
          </cell>
          <cell r="AW170" t="str">
            <v xml:space="preserve"> </v>
          </cell>
        </row>
        <row r="171">
          <cell r="C171" t="str">
            <v xml:space="preserve">SAN BERNARDINO Subtotal    </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21903626</v>
          </cell>
          <cell r="AC171">
            <v>389145</v>
          </cell>
          <cell r="AD171">
            <v>783999</v>
          </cell>
          <cell r="AE171">
            <v>1000663</v>
          </cell>
          <cell r="AF171">
            <v>475315</v>
          </cell>
          <cell r="AG171">
            <v>0</v>
          </cell>
          <cell r="AH171">
            <v>0</v>
          </cell>
          <cell r="AI171">
            <v>4205476</v>
          </cell>
          <cell r="AJ171">
            <v>202080</v>
          </cell>
          <cell r="AK171">
            <v>38703</v>
          </cell>
          <cell r="AL171">
            <v>0</v>
          </cell>
          <cell r="AM171">
            <v>242223</v>
          </cell>
          <cell r="AN171">
            <v>0</v>
          </cell>
          <cell r="AO171">
            <v>-4977792</v>
          </cell>
          <cell r="AP171">
            <v>23262775</v>
          </cell>
          <cell r="AQ171">
            <v>0</v>
          </cell>
          <cell r="AR171">
            <v>0</v>
          </cell>
          <cell r="AS171">
            <v>0</v>
          </cell>
          <cell r="AT171">
            <v>0</v>
          </cell>
          <cell r="AU171">
            <v>0</v>
          </cell>
          <cell r="AV171">
            <v>0</v>
          </cell>
          <cell r="AW171">
            <v>0</v>
          </cell>
        </row>
        <row r="173">
          <cell r="C173" t="str">
            <v xml:space="preserve"> SAN DIEGO</v>
          </cell>
          <cell r="D173" t="str">
            <v xml:space="preserve"> SAN DIEGO</v>
          </cell>
          <cell r="E173">
            <v>70</v>
          </cell>
          <cell r="F173" t="str">
            <v xml:space="preserve"> 2016-2017</v>
          </cell>
          <cell r="G173" t="str">
            <v xml:space="preserve"> 04/15/2017</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t="str">
            <v xml:space="preserve"> </v>
          </cell>
          <cell r="W173">
            <v>0</v>
          </cell>
          <cell r="X173">
            <v>0</v>
          </cell>
          <cell r="Y173">
            <v>0</v>
          </cell>
          <cell r="Z173">
            <v>0</v>
          </cell>
          <cell r="AA173">
            <v>0</v>
          </cell>
          <cell r="AB173">
            <v>91182123</v>
          </cell>
          <cell r="AC173">
            <v>2370966</v>
          </cell>
          <cell r="AD173">
            <v>2960657</v>
          </cell>
          <cell r="AE173">
            <v>817332</v>
          </cell>
          <cell r="AF173">
            <v>388233</v>
          </cell>
          <cell r="AG173">
            <v>0</v>
          </cell>
          <cell r="AH173">
            <v>0</v>
          </cell>
          <cell r="AI173">
            <v>5340891</v>
          </cell>
          <cell r="AJ173">
            <v>63962</v>
          </cell>
          <cell r="AK173">
            <v>-38233</v>
          </cell>
          <cell r="AL173">
            <v>0</v>
          </cell>
          <cell r="AM173">
            <v>684602</v>
          </cell>
          <cell r="AN173">
            <v>0</v>
          </cell>
          <cell r="AO173">
            <v>-1108227</v>
          </cell>
          <cell r="AP173">
            <v>101844974</v>
          </cell>
          <cell r="AQ173">
            <v>0</v>
          </cell>
          <cell r="AR173">
            <v>0</v>
          </cell>
          <cell r="AS173">
            <v>0</v>
          </cell>
          <cell r="AT173">
            <v>0</v>
          </cell>
          <cell r="AU173" t="str">
            <v xml:space="preserve"> </v>
          </cell>
          <cell r="AV173" t="str">
            <v xml:space="preserve"> </v>
          </cell>
          <cell r="AW173" t="str">
            <v xml:space="preserve"> </v>
          </cell>
        </row>
        <row r="174">
          <cell r="C174" t="str">
            <v xml:space="preserve">SAN DIEGO Subtotal        </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91182123</v>
          </cell>
          <cell r="AC174">
            <v>2370966</v>
          </cell>
          <cell r="AD174">
            <v>2960657</v>
          </cell>
          <cell r="AE174">
            <v>817332</v>
          </cell>
          <cell r="AF174">
            <v>388233</v>
          </cell>
          <cell r="AG174">
            <v>0</v>
          </cell>
          <cell r="AH174">
            <v>0</v>
          </cell>
          <cell r="AI174">
            <v>5340891</v>
          </cell>
          <cell r="AJ174">
            <v>63962</v>
          </cell>
          <cell r="AK174">
            <v>-38233</v>
          </cell>
          <cell r="AL174">
            <v>0</v>
          </cell>
          <cell r="AM174">
            <v>684602</v>
          </cell>
          <cell r="AN174">
            <v>0</v>
          </cell>
          <cell r="AO174">
            <v>-1108227</v>
          </cell>
          <cell r="AP174">
            <v>101844974</v>
          </cell>
          <cell r="AQ174">
            <v>0</v>
          </cell>
          <cell r="AR174">
            <v>0</v>
          </cell>
          <cell r="AS174">
            <v>0</v>
          </cell>
          <cell r="AT174">
            <v>0</v>
          </cell>
          <cell r="AU174">
            <v>0</v>
          </cell>
          <cell r="AV174">
            <v>0</v>
          </cell>
          <cell r="AW174">
            <v>0</v>
          </cell>
        </row>
        <row r="176">
          <cell r="C176" t="str">
            <v xml:space="preserve"> SAN FRANCISCO</v>
          </cell>
          <cell r="D176" t="str">
            <v xml:space="preserve"> SAN FRANCISCO</v>
          </cell>
          <cell r="E176">
            <v>360</v>
          </cell>
          <cell r="F176" t="str">
            <v xml:space="preserve"> 2016-2017</v>
          </cell>
          <cell r="G176" t="str">
            <v xml:space="preserve"> 04/15/2017</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t="str">
            <v xml:space="preserve"> </v>
          </cell>
          <cell r="W176">
            <v>0</v>
          </cell>
          <cell r="X176">
            <v>0</v>
          </cell>
          <cell r="Y176">
            <v>0</v>
          </cell>
          <cell r="Z176">
            <v>0</v>
          </cell>
          <cell r="AA176">
            <v>0</v>
          </cell>
          <cell r="AB176">
            <v>25610439</v>
          </cell>
          <cell r="AC176">
            <v>971304</v>
          </cell>
          <cell r="AD176">
            <v>1980469</v>
          </cell>
          <cell r="AE176">
            <v>657370</v>
          </cell>
          <cell r="AF176">
            <v>312251</v>
          </cell>
          <cell r="AG176">
            <v>0</v>
          </cell>
          <cell r="AH176">
            <v>0</v>
          </cell>
          <cell r="AI176">
            <v>332199</v>
          </cell>
          <cell r="AJ176">
            <v>0</v>
          </cell>
          <cell r="AK176">
            <v>0</v>
          </cell>
          <cell r="AL176">
            <v>0</v>
          </cell>
          <cell r="AM176">
            <v>93315</v>
          </cell>
          <cell r="AN176">
            <v>0</v>
          </cell>
          <cell r="AO176">
            <v>44028204</v>
          </cell>
          <cell r="AP176">
            <v>73328181</v>
          </cell>
          <cell r="AQ176">
            <v>0</v>
          </cell>
          <cell r="AR176">
            <v>0</v>
          </cell>
          <cell r="AS176">
            <v>0</v>
          </cell>
          <cell r="AT176">
            <v>0</v>
          </cell>
          <cell r="AU176" t="str">
            <v xml:space="preserve"> </v>
          </cell>
          <cell r="AV176" t="str">
            <v xml:space="preserve"> </v>
          </cell>
          <cell r="AW176" t="str">
            <v xml:space="preserve"> </v>
          </cell>
        </row>
        <row r="177">
          <cell r="C177" t="str">
            <v xml:space="preserve">SAN FRANCISCO Subtotal     </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25610439</v>
          </cell>
          <cell r="AC177">
            <v>971304</v>
          </cell>
          <cell r="AD177">
            <v>1980469</v>
          </cell>
          <cell r="AE177">
            <v>657370</v>
          </cell>
          <cell r="AF177">
            <v>312251</v>
          </cell>
          <cell r="AG177">
            <v>0</v>
          </cell>
          <cell r="AH177">
            <v>0</v>
          </cell>
          <cell r="AI177">
            <v>332199</v>
          </cell>
          <cell r="AJ177">
            <v>0</v>
          </cell>
          <cell r="AK177">
            <v>0</v>
          </cell>
          <cell r="AL177">
            <v>0</v>
          </cell>
          <cell r="AM177">
            <v>93315</v>
          </cell>
          <cell r="AN177">
            <v>0</v>
          </cell>
          <cell r="AO177">
            <v>44028204</v>
          </cell>
          <cell r="AP177">
            <v>73328181</v>
          </cell>
          <cell r="AQ177">
            <v>0</v>
          </cell>
          <cell r="AR177">
            <v>0</v>
          </cell>
          <cell r="AS177">
            <v>0</v>
          </cell>
          <cell r="AT177">
            <v>0</v>
          </cell>
          <cell r="AU177">
            <v>0</v>
          </cell>
          <cell r="AV177">
            <v>0</v>
          </cell>
          <cell r="AW177">
            <v>0</v>
          </cell>
        </row>
        <row r="179">
          <cell r="C179" t="str">
            <v xml:space="preserve"> SAN JOAQUIN DELTA</v>
          </cell>
          <cell r="D179" t="str">
            <v xml:space="preserve"> ALAMEDA</v>
          </cell>
          <cell r="E179">
            <v>550</v>
          </cell>
          <cell r="F179" t="str">
            <v xml:space="preserve"> 2016-2017</v>
          </cell>
          <cell r="G179" t="str">
            <v xml:space="preserve"> 04/15/2017</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t="str">
            <v xml:space="preserve"> </v>
          </cell>
          <cell r="W179">
            <v>0</v>
          </cell>
          <cell r="X179">
            <v>0</v>
          </cell>
          <cell r="Y179">
            <v>0</v>
          </cell>
          <cell r="Z179">
            <v>0</v>
          </cell>
          <cell r="AA179">
            <v>0</v>
          </cell>
          <cell r="AB179">
            <v>110296</v>
          </cell>
          <cell r="AC179">
            <v>3335</v>
          </cell>
          <cell r="AD179">
            <v>6261</v>
          </cell>
          <cell r="AE179">
            <v>0</v>
          </cell>
          <cell r="AF179">
            <v>0</v>
          </cell>
          <cell r="AG179">
            <v>0</v>
          </cell>
          <cell r="AH179">
            <v>0</v>
          </cell>
          <cell r="AI179">
            <v>0</v>
          </cell>
          <cell r="AJ179">
            <v>0</v>
          </cell>
          <cell r="AK179">
            <v>-797</v>
          </cell>
          <cell r="AL179">
            <v>0</v>
          </cell>
          <cell r="AM179">
            <v>697</v>
          </cell>
          <cell r="AN179">
            <v>0</v>
          </cell>
          <cell r="AO179">
            <v>0</v>
          </cell>
          <cell r="AP179">
            <v>119792</v>
          </cell>
          <cell r="AQ179">
            <v>0</v>
          </cell>
          <cell r="AR179">
            <v>0</v>
          </cell>
          <cell r="AS179">
            <v>0</v>
          </cell>
          <cell r="AT179">
            <v>0</v>
          </cell>
          <cell r="AU179" t="str">
            <v xml:space="preserve"> </v>
          </cell>
          <cell r="AV179" t="str">
            <v xml:space="preserve"> </v>
          </cell>
          <cell r="AW179" t="str">
            <v xml:space="preserve"> </v>
          </cell>
        </row>
        <row r="180">
          <cell r="C180" t="str">
            <v xml:space="preserve"> SAN JOAQUIN DELTA</v>
          </cell>
          <cell r="D180" t="str">
            <v xml:space="preserve"> CALAVERAS</v>
          </cell>
          <cell r="E180">
            <v>550</v>
          </cell>
          <cell r="F180" t="str">
            <v xml:space="preserve"> 2016-2017</v>
          </cell>
          <cell r="G180" t="str">
            <v xml:space="preserve"> 04/15/2017</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t="str">
            <v xml:space="preserve"> </v>
          </cell>
          <cell r="W180">
            <v>0</v>
          </cell>
          <cell r="X180">
            <v>0</v>
          </cell>
          <cell r="Y180">
            <v>0</v>
          </cell>
          <cell r="Z180">
            <v>0</v>
          </cell>
          <cell r="AA180">
            <v>0</v>
          </cell>
          <cell r="AB180">
            <v>1053306</v>
          </cell>
          <cell r="AC180">
            <v>8536</v>
          </cell>
          <cell r="AD180">
            <v>14686</v>
          </cell>
          <cell r="AE180">
            <v>0</v>
          </cell>
          <cell r="AF180">
            <v>0</v>
          </cell>
          <cell r="AG180">
            <v>0</v>
          </cell>
          <cell r="AH180">
            <v>0</v>
          </cell>
          <cell r="AI180">
            <v>0</v>
          </cell>
          <cell r="AJ180">
            <v>0</v>
          </cell>
          <cell r="AK180">
            <v>166</v>
          </cell>
          <cell r="AL180">
            <v>0</v>
          </cell>
          <cell r="AM180">
            <v>13313</v>
          </cell>
          <cell r="AN180">
            <v>0</v>
          </cell>
          <cell r="AO180">
            <v>259105</v>
          </cell>
          <cell r="AP180">
            <v>1349112</v>
          </cell>
          <cell r="AQ180">
            <v>0</v>
          </cell>
          <cell r="AR180">
            <v>0</v>
          </cell>
          <cell r="AS180">
            <v>0</v>
          </cell>
          <cell r="AT180">
            <v>0</v>
          </cell>
          <cell r="AU180" t="str">
            <v xml:space="preserve"> </v>
          </cell>
          <cell r="AV180" t="str">
            <v xml:space="preserve"> </v>
          </cell>
          <cell r="AW180" t="str">
            <v xml:space="preserve"> </v>
          </cell>
        </row>
        <row r="181">
          <cell r="C181" t="str">
            <v xml:space="preserve"> SAN JOAQUIN DELTA</v>
          </cell>
          <cell r="D181" t="str">
            <v xml:space="preserve"> SACRAMENTO</v>
          </cell>
          <cell r="E181">
            <v>550</v>
          </cell>
          <cell r="F181" t="str">
            <v xml:space="preserve"> 2016-2017</v>
          </cell>
          <cell r="G181" t="str">
            <v xml:space="preserve"> 04/15/2017</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t="str">
            <v xml:space="preserve"> </v>
          </cell>
          <cell r="W181">
            <v>0</v>
          </cell>
          <cell r="X181">
            <v>0</v>
          </cell>
          <cell r="Y181">
            <v>0</v>
          </cell>
          <cell r="Z181">
            <v>0</v>
          </cell>
          <cell r="AA181">
            <v>0</v>
          </cell>
          <cell r="AB181">
            <v>883715</v>
          </cell>
          <cell r="AC181">
            <v>23884</v>
          </cell>
          <cell r="AD181">
            <v>27769</v>
          </cell>
          <cell r="AE181">
            <v>11013</v>
          </cell>
          <cell r="AF181">
            <v>5231</v>
          </cell>
          <cell r="AG181">
            <v>0</v>
          </cell>
          <cell r="AH181">
            <v>0</v>
          </cell>
          <cell r="AI181">
            <v>4884</v>
          </cell>
          <cell r="AJ181">
            <v>0</v>
          </cell>
          <cell r="AK181">
            <v>0</v>
          </cell>
          <cell r="AL181">
            <v>0</v>
          </cell>
          <cell r="AM181">
            <v>10328</v>
          </cell>
          <cell r="AN181">
            <v>0</v>
          </cell>
          <cell r="AO181">
            <v>0</v>
          </cell>
          <cell r="AP181">
            <v>955811</v>
          </cell>
          <cell r="AQ181">
            <v>0</v>
          </cell>
          <cell r="AR181">
            <v>0</v>
          </cell>
          <cell r="AS181">
            <v>0</v>
          </cell>
          <cell r="AT181">
            <v>0</v>
          </cell>
          <cell r="AU181" t="str">
            <v xml:space="preserve"> </v>
          </cell>
          <cell r="AV181" t="str">
            <v xml:space="preserve"> </v>
          </cell>
          <cell r="AW181" t="str">
            <v xml:space="preserve"> </v>
          </cell>
        </row>
        <row r="182">
          <cell r="C182" t="str">
            <v xml:space="preserve"> SAN JOAQUIN DELTA</v>
          </cell>
          <cell r="D182" t="str">
            <v xml:space="preserve"> SAN JOAQUIN</v>
          </cell>
          <cell r="E182">
            <v>550</v>
          </cell>
          <cell r="F182" t="str">
            <v xml:space="preserve"> 2016-2017</v>
          </cell>
          <cell r="G182" t="str">
            <v xml:space="preserve"> 04/15/2017</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t="str">
            <v xml:space="preserve"> </v>
          </cell>
          <cell r="W182">
            <v>0</v>
          </cell>
          <cell r="X182">
            <v>0</v>
          </cell>
          <cell r="Y182">
            <v>0</v>
          </cell>
          <cell r="Z182">
            <v>0</v>
          </cell>
          <cell r="AA182">
            <v>0</v>
          </cell>
          <cell r="AB182">
            <v>20611887</v>
          </cell>
          <cell r="AC182">
            <v>414078</v>
          </cell>
          <cell r="AD182">
            <v>1252387</v>
          </cell>
          <cell r="AE182">
            <v>346776</v>
          </cell>
          <cell r="AF182">
            <v>164719</v>
          </cell>
          <cell r="AG182">
            <v>0</v>
          </cell>
          <cell r="AH182">
            <v>0</v>
          </cell>
          <cell r="AI182">
            <v>1033214</v>
          </cell>
          <cell r="AJ182">
            <v>16228</v>
          </cell>
          <cell r="AK182">
            <v>44092</v>
          </cell>
          <cell r="AL182">
            <v>0</v>
          </cell>
          <cell r="AM182">
            <v>205485</v>
          </cell>
          <cell r="AN182">
            <v>57</v>
          </cell>
          <cell r="AO182">
            <v>6560360</v>
          </cell>
          <cell r="AP182">
            <v>30302507</v>
          </cell>
          <cell r="AQ182">
            <v>0</v>
          </cell>
          <cell r="AR182">
            <v>0</v>
          </cell>
          <cell r="AS182">
            <v>0</v>
          </cell>
          <cell r="AT182">
            <v>0</v>
          </cell>
          <cell r="AU182" t="str">
            <v xml:space="preserve"> </v>
          </cell>
          <cell r="AV182" t="str">
            <v xml:space="preserve"> </v>
          </cell>
          <cell r="AW182" t="str">
            <v xml:space="preserve"> </v>
          </cell>
        </row>
        <row r="183">
          <cell r="C183" t="str">
            <v xml:space="preserve"> SAN JOAQUIN DELTA</v>
          </cell>
          <cell r="D183" t="str">
            <v xml:space="preserve"> SOLANO</v>
          </cell>
          <cell r="E183">
            <v>550</v>
          </cell>
          <cell r="F183" t="str">
            <v xml:space="preserve"> 2016-2017</v>
          </cell>
          <cell r="G183" t="str">
            <v xml:space="preserve"> 04/15/2017</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t="str">
            <v xml:space="preserve"> </v>
          </cell>
          <cell r="W183">
            <v>0</v>
          </cell>
          <cell r="X183">
            <v>0</v>
          </cell>
          <cell r="Y183">
            <v>0</v>
          </cell>
          <cell r="Z183">
            <v>0</v>
          </cell>
          <cell r="AA183">
            <v>0</v>
          </cell>
          <cell r="AB183">
            <v>1209853</v>
          </cell>
          <cell r="AC183">
            <v>19819</v>
          </cell>
          <cell r="AD183">
            <v>70809</v>
          </cell>
          <cell r="AE183">
            <v>340</v>
          </cell>
          <cell r="AF183">
            <v>162</v>
          </cell>
          <cell r="AG183">
            <v>0</v>
          </cell>
          <cell r="AH183">
            <v>0</v>
          </cell>
          <cell r="AI183">
            <v>30191</v>
          </cell>
          <cell r="AJ183">
            <v>0</v>
          </cell>
          <cell r="AK183">
            <v>0</v>
          </cell>
          <cell r="AL183">
            <v>0</v>
          </cell>
          <cell r="AM183">
            <v>10722</v>
          </cell>
          <cell r="AN183">
            <v>0</v>
          </cell>
          <cell r="AO183">
            <v>0</v>
          </cell>
          <cell r="AP183">
            <v>1341556</v>
          </cell>
          <cell r="AQ183">
            <v>0</v>
          </cell>
          <cell r="AR183">
            <v>0</v>
          </cell>
          <cell r="AS183">
            <v>0</v>
          </cell>
          <cell r="AT183">
            <v>0</v>
          </cell>
          <cell r="AU183" t="str">
            <v xml:space="preserve"> </v>
          </cell>
          <cell r="AV183" t="str">
            <v xml:space="preserve"> </v>
          </cell>
          <cell r="AW183" t="str">
            <v xml:space="preserve"> </v>
          </cell>
        </row>
        <row r="184">
          <cell r="C184" t="str">
            <v>SAN JOAQUIN DELTA Subtotal</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23869057</v>
          </cell>
          <cell r="AC184">
            <v>469652</v>
          </cell>
          <cell r="AD184">
            <v>1371912</v>
          </cell>
          <cell r="AE184">
            <v>358129</v>
          </cell>
          <cell r="AF184">
            <v>170112</v>
          </cell>
          <cell r="AG184">
            <v>0</v>
          </cell>
          <cell r="AH184">
            <v>0</v>
          </cell>
          <cell r="AI184">
            <v>1068289</v>
          </cell>
          <cell r="AJ184">
            <v>16228</v>
          </cell>
          <cell r="AK184">
            <v>43461</v>
          </cell>
          <cell r="AL184">
            <v>0</v>
          </cell>
          <cell r="AM184">
            <v>240545</v>
          </cell>
          <cell r="AN184">
            <v>57</v>
          </cell>
          <cell r="AO184">
            <v>6819465</v>
          </cell>
          <cell r="AP184">
            <v>34068778</v>
          </cell>
          <cell r="AQ184">
            <v>0</v>
          </cell>
          <cell r="AR184">
            <v>0</v>
          </cell>
          <cell r="AS184">
            <v>0</v>
          </cell>
          <cell r="AT184">
            <v>0</v>
          </cell>
          <cell r="AU184">
            <v>0</v>
          </cell>
          <cell r="AV184">
            <v>0</v>
          </cell>
          <cell r="AW184">
            <v>0</v>
          </cell>
        </row>
        <row r="186">
          <cell r="C186" t="str">
            <v xml:space="preserve"> SAN JOSE</v>
          </cell>
          <cell r="D186" t="str">
            <v xml:space="preserve"> SANTA CLARA</v>
          </cell>
          <cell r="E186">
            <v>470</v>
          </cell>
          <cell r="F186" t="str">
            <v xml:space="preserve"> 2016-2017</v>
          </cell>
          <cell r="G186" t="str">
            <v xml:space="preserve"> 04/15/2017</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t="str">
            <v xml:space="preserve"> </v>
          </cell>
          <cell r="W186">
            <v>0</v>
          </cell>
          <cell r="X186">
            <v>0</v>
          </cell>
          <cell r="Y186">
            <v>0</v>
          </cell>
          <cell r="Z186">
            <v>0</v>
          </cell>
          <cell r="AA186">
            <v>0</v>
          </cell>
          <cell r="AB186">
            <v>76143666</v>
          </cell>
          <cell r="AC186">
            <v>3037000</v>
          </cell>
          <cell r="AD186">
            <v>5956211</v>
          </cell>
          <cell r="AE186">
            <v>2894564</v>
          </cell>
          <cell r="AF186">
            <v>1374918</v>
          </cell>
          <cell r="AG186">
            <v>0</v>
          </cell>
          <cell r="AH186">
            <v>0</v>
          </cell>
          <cell r="AI186">
            <v>2211958</v>
          </cell>
          <cell r="AJ186">
            <v>446160</v>
          </cell>
          <cell r="AK186">
            <v>0</v>
          </cell>
          <cell r="AL186">
            <v>0</v>
          </cell>
          <cell r="AM186">
            <v>432133</v>
          </cell>
          <cell r="AN186">
            <v>0</v>
          </cell>
          <cell r="AO186">
            <v>0</v>
          </cell>
          <cell r="AP186">
            <v>89602046</v>
          </cell>
          <cell r="AQ186">
            <v>0</v>
          </cell>
          <cell r="AR186">
            <v>0</v>
          </cell>
          <cell r="AS186">
            <v>0</v>
          </cell>
          <cell r="AT186">
            <v>0</v>
          </cell>
          <cell r="AU186" t="str">
            <v xml:space="preserve"> </v>
          </cell>
          <cell r="AV186" t="str">
            <v xml:space="preserve"> </v>
          </cell>
          <cell r="AW186" t="str">
            <v xml:space="preserve"> </v>
          </cell>
        </row>
        <row r="187">
          <cell r="C187" t="str">
            <v xml:space="preserve">SAN JOSE Subtotal    </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76143666</v>
          </cell>
          <cell r="AC187">
            <v>3037000</v>
          </cell>
          <cell r="AD187">
            <v>5956211</v>
          </cell>
          <cell r="AE187">
            <v>2894564</v>
          </cell>
          <cell r="AF187">
            <v>1374918</v>
          </cell>
          <cell r="AG187">
            <v>0</v>
          </cell>
          <cell r="AH187">
            <v>0</v>
          </cell>
          <cell r="AI187">
            <v>2211958</v>
          </cell>
          <cell r="AJ187">
            <v>446160</v>
          </cell>
          <cell r="AK187">
            <v>0</v>
          </cell>
          <cell r="AL187">
            <v>0</v>
          </cell>
          <cell r="AM187">
            <v>432133</v>
          </cell>
          <cell r="AN187">
            <v>0</v>
          </cell>
          <cell r="AO187">
            <v>0</v>
          </cell>
          <cell r="AP187">
            <v>89602046</v>
          </cell>
          <cell r="AQ187">
            <v>0</v>
          </cell>
          <cell r="AR187">
            <v>0</v>
          </cell>
          <cell r="AS187">
            <v>0</v>
          </cell>
          <cell r="AT187">
            <v>0</v>
          </cell>
          <cell r="AU187">
            <v>0</v>
          </cell>
          <cell r="AV187">
            <v>0</v>
          </cell>
          <cell r="AW187">
            <v>0</v>
          </cell>
        </row>
        <row r="189">
          <cell r="C189" t="str">
            <v xml:space="preserve"> SAN LUIS OBISPO</v>
          </cell>
          <cell r="D189" t="str">
            <v xml:space="preserve"> MONTEREY</v>
          </cell>
          <cell r="E189">
            <v>640</v>
          </cell>
          <cell r="F189" t="str">
            <v xml:space="preserve"> 2016-2017</v>
          </cell>
          <cell r="G189" t="str">
            <v xml:space="preserve"> 04/15/2017</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t="str">
            <v xml:space="preserve"> </v>
          </cell>
          <cell r="W189">
            <v>0</v>
          </cell>
          <cell r="X189">
            <v>0</v>
          </cell>
          <cell r="Y189">
            <v>0</v>
          </cell>
          <cell r="Z189">
            <v>0</v>
          </cell>
          <cell r="AA189">
            <v>0</v>
          </cell>
          <cell r="AB189">
            <v>208709</v>
          </cell>
          <cell r="AC189">
            <v>2834</v>
          </cell>
          <cell r="AD189">
            <v>7957</v>
          </cell>
          <cell r="AE189">
            <v>0</v>
          </cell>
          <cell r="AF189">
            <v>0</v>
          </cell>
          <cell r="AG189">
            <v>0</v>
          </cell>
          <cell r="AH189">
            <v>0</v>
          </cell>
          <cell r="AI189">
            <v>0</v>
          </cell>
          <cell r="AJ189">
            <v>0</v>
          </cell>
          <cell r="AK189">
            <v>1960</v>
          </cell>
          <cell r="AL189">
            <v>0</v>
          </cell>
          <cell r="AM189">
            <v>1129</v>
          </cell>
          <cell r="AN189">
            <v>0</v>
          </cell>
          <cell r="AO189">
            <v>0</v>
          </cell>
          <cell r="AP189">
            <v>222589</v>
          </cell>
          <cell r="AQ189">
            <v>0</v>
          </cell>
          <cell r="AR189">
            <v>0</v>
          </cell>
          <cell r="AS189">
            <v>0</v>
          </cell>
          <cell r="AT189">
            <v>0</v>
          </cell>
          <cell r="AU189" t="str">
            <v xml:space="preserve"> </v>
          </cell>
          <cell r="AV189" t="str">
            <v xml:space="preserve"> </v>
          </cell>
          <cell r="AW189" t="str">
            <v xml:space="preserve"> </v>
          </cell>
        </row>
        <row r="190">
          <cell r="C190" t="str">
            <v xml:space="preserve"> SAN LUIS OBISPO</v>
          </cell>
          <cell r="D190" t="str">
            <v xml:space="preserve"> SAN LUIS OBISPO</v>
          </cell>
          <cell r="E190">
            <v>640</v>
          </cell>
          <cell r="F190" t="str">
            <v xml:space="preserve"> 2016-2017</v>
          </cell>
          <cell r="G190" t="str">
            <v xml:space="preserve"> 04/15/2017</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t="str">
            <v xml:space="preserve"> </v>
          </cell>
          <cell r="W190">
            <v>0</v>
          </cell>
          <cell r="X190">
            <v>0</v>
          </cell>
          <cell r="Y190">
            <v>0</v>
          </cell>
          <cell r="Z190">
            <v>0</v>
          </cell>
          <cell r="AA190">
            <v>0</v>
          </cell>
          <cell r="AB190">
            <v>33353126</v>
          </cell>
          <cell r="AC190">
            <v>1175440</v>
          </cell>
          <cell r="AD190">
            <v>715661</v>
          </cell>
          <cell r="AE190">
            <v>150738</v>
          </cell>
          <cell r="AF190">
            <v>71601</v>
          </cell>
          <cell r="AG190">
            <v>0</v>
          </cell>
          <cell r="AH190">
            <v>0</v>
          </cell>
          <cell r="AI190">
            <v>297853</v>
          </cell>
          <cell r="AJ190">
            <v>0</v>
          </cell>
          <cell r="AK190">
            <v>-16005</v>
          </cell>
          <cell r="AL190">
            <v>0</v>
          </cell>
          <cell r="AM190">
            <v>233910</v>
          </cell>
          <cell r="AN190">
            <v>0</v>
          </cell>
          <cell r="AO190">
            <v>1811518</v>
          </cell>
          <cell r="AP190">
            <v>37643104</v>
          </cell>
          <cell r="AQ190">
            <v>0</v>
          </cell>
          <cell r="AR190">
            <v>0</v>
          </cell>
          <cell r="AS190">
            <v>0</v>
          </cell>
          <cell r="AT190">
            <v>0</v>
          </cell>
          <cell r="AU190" t="str">
            <v xml:space="preserve"> </v>
          </cell>
          <cell r="AV190" t="str">
            <v xml:space="preserve"> </v>
          </cell>
          <cell r="AW190" t="str">
            <v xml:space="preserve"> </v>
          </cell>
        </row>
        <row r="191">
          <cell r="C191" t="str">
            <v>SAN LUIS OBISPO Subtotal</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33561835</v>
          </cell>
          <cell r="AC191">
            <v>1178274</v>
          </cell>
          <cell r="AD191">
            <v>723618</v>
          </cell>
          <cell r="AE191">
            <v>150738</v>
          </cell>
          <cell r="AF191">
            <v>71601</v>
          </cell>
          <cell r="AG191">
            <v>0</v>
          </cell>
          <cell r="AH191">
            <v>0</v>
          </cell>
          <cell r="AI191">
            <v>297853</v>
          </cell>
          <cell r="AJ191">
            <v>0</v>
          </cell>
          <cell r="AK191">
            <v>-14045</v>
          </cell>
          <cell r="AL191">
            <v>0</v>
          </cell>
          <cell r="AM191">
            <v>235039</v>
          </cell>
          <cell r="AN191">
            <v>0</v>
          </cell>
          <cell r="AO191">
            <v>1811518</v>
          </cell>
          <cell r="AP191">
            <v>37865693</v>
          </cell>
          <cell r="AQ191">
            <v>0</v>
          </cell>
          <cell r="AR191">
            <v>0</v>
          </cell>
          <cell r="AS191">
            <v>0</v>
          </cell>
          <cell r="AT191">
            <v>0</v>
          </cell>
          <cell r="AU191">
            <v>0</v>
          </cell>
          <cell r="AV191">
            <v>0</v>
          </cell>
          <cell r="AW191">
            <v>0</v>
          </cell>
        </row>
        <row r="193">
          <cell r="C193" t="str">
            <v xml:space="preserve"> SAN MATEO</v>
          </cell>
          <cell r="D193" t="str">
            <v xml:space="preserve"> SAN MATEO</v>
          </cell>
          <cell r="E193">
            <v>370</v>
          </cell>
          <cell r="F193" t="str">
            <v xml:space="preserve"> 2016-2017</v>
          </cell>
          <cell r="G193" t="str">
            <v xml:space="preserve"> 04/15/2017</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t="str">
            <v xml:space="preserve"> </v>
          </cell>
          <cell r="W193">
            <v>0</v>
          </cell>
          <cell r="X193">
            <v>0</v>
          </cell>
          <cell r="Y193">
            <v>0</v>
          </cell>
          <cell r="Z193">
            <v>0</v>
          </cell>
          <cell r="AA193">
            <v>0</v>
          </cell>
          <cell r="AB193">
            <v>116276301</v>
          </cell>
          <cell r="AC193">
            <v>4396244</v>
          </cell>
          <cell r="AD193">
            <v>5316934</v>
          </cell>
          <cell r="AE193">
            <v>647836</v>
          </cell>
          <cell r="AF193">
            <v>307722</v>
          </cell>
          <cell r="AG193">
            <v>0</v>
          </cell>
          <cell r="AH193">
            <v>0</v>
          </cell>
          <cell r="AI193">
            <v>6522141</v>
          </cell>
          <cell r="AJ193">
            <v>312119</v>
          </cell>
          <cell r="AK193">
            <v>-46571</v>
          </cell>
          <cell r="AL193">
            <v>8671</v>
          </cell>
          <cell r="AM193">
            <v>600689</v>
          </cell>
          <cell r="AN193">
            <v>0</v>
          </cell>
          <cell r="AO193">
            <v>0</v>
          </cell>
          <cell r="AP193">
            <v>133694250</v>
          </cell>
          <cell r="AQ193">
            <v>0</v>
          </cell>
          <cell r="AR193">
            <v>0</v>
          </cell>
          <cell r="AS193">
            <v>0</v>
          </cell>
          <cell r="AT193">
            <v>0</v>
          </cell>
          <cell r="AU193" t="str">
            <v xml:space="preserve"> </v>
          </cell>
          <cell r="AV193" t="str">
            <v xml:space="preserve"> </v>
          </cell>
          <cell r="AW193" t="str">
            <v xml:space="preserve"> </v>
          </cell>
        </row>
        <row r="194">
          <cell r="C194" t="str">
            <v xml:space="preserve">SAN MATEO Subtotal         </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116276301</v>
          </cell>
          <cell r="AC194">
            <v>4396244</v>
          </cell>
          <cell r="AD194">
            <v>5316934</v>
          </cell>
          <cell r="AE194">
            <v>647836</v>
          </cell>
          <cell r="AF194">
            <v>307722</v>
          </cell>
          <cell r="AG194">
            <v>0</v>
          </cell>
          <cell r="AH194">
            <v>0</v>
          </cell>
          <cell r="AI194">
            <v>6522141</v>
          </cell>
          <cell r="AJ194">
            <v>312119</v>
          </cell>
          <cell r="AK194">
            <v>-46571</v>
          </cell>
          <cell r="AL194">
            <v>8671</v>
          </cell>
          <cell r="AM194">
            <v>600689</v>
          </cell>
          <cell r="AN194">
            <v>0</v>
          </cell>
          <cell r="AO194">
            <v>0</v>
          </cell>
          <cell r="AP194">
            <v>133694250</v>
          </cell>
          <cell r="AQ194">
            <v>0</v>
          </cell>
          <cell r="AR194">
            <v>0</v>
          </cell>
          <cell r="AS194">
            <v>0</v>
          </cell>
          <cell r="AT194">
            <v>0</v>
          </cell>
          <cell r="AU194">
            <v>0</v>
          </cell>
          <cell r="AV194">
            <v>0</v>
          </cell>
          <cell r="AW194">
            <v>0</v>
          </cell>
        </row>
        <row r="196">
          <cell r="C196" t="str">
            <v xml:space="preserve"> SANTA BARBARA</v>
          </cell>
          <cell r="D196" t="str">
            <v xml:space="preserve"> SANTA BARBARA</v>
          </cell>
          <cell r="E196">
            <v>650</v>
          </cell>
          <cell r="F196" t="str">
            <v xml:space="preserve"> 2016-2017</v>
          </cell>
          <cell r="G196" t="str">
            <v xml:space="preserve"> 04/15/2017</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t="str">
            <v xml:space="preserve"> </v>
          </cell>
          <cell r="W196">
            <v>0</v>
          </cell>
          <cell r="X196">
            <v>0</v>
          </cell>
          <cell r="Y196">
            <v>0</v>
          </cell>
          <cell r="Z196">
            <v>0</v>
          </cell>
          <cell r="AA196">
            <v>0</v>
          </cell>
          <cell r="AB196">
            <v>25537107</v>
          </cell>
          <cell r="AC196">
            <v>518338</v>
          </cell>
          <cell r="AD196">
            <v>947029</v>
          </cell>
          <cell r="AE196">
            <v>99650</v>
          </cell>
          <cell r="AF196">
            <v>47334</v>
          </cell>
          <cell r="AG196">
            <v>0</v>
          </cell>
          <cell r="AH196">
            <v>0</v>
          </cell>
          <cell r="AI196">
            <v>1366644</v>
          </cell>
          <cell r="AJ196">
            <v>0</v>
          </cell>
          <cell r="AK196">
            <v>231573</v>
          </cell>
          <cell r="AL196">
            <v>0</v>
          </cell>
          <cell r="AM196">
            <v>147726</v>
          </cell>
          <cell r="AN196">
            <v>0</v>
          </cell>
          <cell r="AO196">
            <v>0</v>
          </cell>
          <cell r="AP196">
            <v>28795751</v>
          </cell>
          <cell r="AQ196">
            <v>0</v>
          </cell>
          <cell r="AR196">
            <v>0</v>
          </cell>
          <cell r="AS196">
            <v>0</v>
          </cell>
          <cell r="AT196">
            <v>0</v>
          </cell>
          <cell r="AU196" t="str">
            <v xml:space="preserve"> </v>
          </cell>
          <cell r="AV196" t="str">
            <v xml:space="preserve"> </v>
          </cell>
          <cell r="AW196" t="str">
            <v xml:space="preserve"> </v>
          </cell>
        </row>
        <row r="197">
          <cell r="C197" t="str">
            <v xml:space="preserve">SANTA BARBARA Subtotal   </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25537107</v>
          </cell>
          <cell r="AC197">
            <v>518338</v>
          </cell>
          <cell r="AD197">
            <v>947029</v>
          </cell>
          <cell r="AE197">
            <v>99650</v>
          </cell>
          <cell r="AF197">
            <v>47334</v>
          </cell>
          <cell r="AG197">
            <v>0</v>
          </cell>
          <cell r="AH197">
            <v>0</v>
          </cell>
          <cell r="AI197">
            <v>1366644</v>
          </cell>
          <cell r="AJ197">
            <v>0</v>
          </cell>
          <cell r="AK197">
            <v>231573</v>
          </cell>
          <cell r="AL197">
            <v>0</v>
          </cell>
          <cell r="AM197">
            <v>147726</v>
          </cell>
          <cell r="AN197">
            <v>0</v>
          </cell>
          <cell r="AO197">
            <v>0</v>
          </cell>
          <cell r="AP197">
            <v>28795751</v>
          </cell>
          <cell r="AQ197">
            <v>0</v>
          </cell>
          <cell r="AR197">
            <v>0</v>
          </cell>
          <cell r="AS197">
            <v>0</v>
          </cell>
          <cell r="AT197">
            <v>0</v>
          </cell>
          <cell r="AU197">
            <v>0</v>
          </cell>
          <cell r="AV197">
            <v>0</v>
          </cell>
          <cell r="AW197">
            <v>0</v>
          </cell>
        </row>
        <row r="199">
          <cell r="C199" t="str">
            <v xml:space="preserve"> SANTA CLARITA</v>
          </cell>
          <cell r="D199" t="str">
            <v xml:space="preserve"> LOS ANGELES</v>
          </cell>
          <cell r="E199">
            <v>660</v>
          </cell>
          <cell r="F199" t="str">
            <v xml:space="preserve"> 2016-2017</v>
          </cell>
          <cell r="G199" t="str">
            <v xml:space="preserve"> 04/15/2017</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t="str">
            <v xml:space="preserve"> </v>
          </cell>
          <cell r="W199">
            <v>0</v>
          </cell>
          <cell r="X199">
            <v>0</v>
          </cell>
          <cell r="Y199">
            <v>0</v>
          </cell>
          <cell r="Z199">
            <v>0</v>
          </cell>
          <cell r="AA199">
            <v>0</v>
          </cell>
          <cell r="AB199">
            <v>14380789</v>
          </cell>
          <cell r="AC199">
            <v>416856</v>
          </cell>
          <cell r="AD199">
            <v>516955</v>
          </cell>
          <cell r="AE199">
            <v>22979</v>
          </cell>
          <cell r="AF199">
            <v>10915</v>
          </cell>
          <cell r="AG199">
            <v>0</v>
          </cell>
          <cell r="AH199">
            <v>0</v>
          </cell>
          <cell r="AI199">
            <v>6621</v>
          </cell>
          <cell r="AJ199">
            <v>0</v>
          </cell>
          <cell r="AK199">
            <v>278936</v>
          </cell>
          <cell r="AL199">
            <v>0</v>
          </cell>
          <cell r="AM199">
            <v>96382</v>
          </cell>
          <cell r="AN199">
            <v>0</v>
          </cell>
          <cell r="AO199">
            <v>0</v>
          </cell>
          <cell r="AP199">
            <v>15707454</v>
          </cell>
          <cell r="AQ199">
            <v>0</v>
          </cell>
          <cell r="AR199">
            <v>0</v>
          </cell>
          <cell r="AS199">
            <v>0</v>
          </cell>
          <cell r="AT199">
            <v>0</v>
          </cell>
          <cell r="AU199" t="str">
            <v xml:space="preserve"> </v>
          </cell>
          <cell r="AV199" t="str">
            <v xml:space="preserve"> </v>
          </cell>
          <cell r="AW199" t="str">
            <v xml:space="preserve"> </v>
          </cell>
        </row>
        <row r="200">
          <cell r="C200" t="str">
            <v xml:space="preserve">SANTA CLARITA Subtotal  </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14380789</v>
          </cell>
          <cell r="AC200">
            <v>416856</v>
          </cell>
          <cell r="AD200">
            <v>516955</v>
          </cell>
          <cell r="AE200">
            <v>22979</v>
          </cell>
          <cell r="AF200">
            <v>10915</v>
          </cell>
          <cell r="AG200">
            <v>0</v>
          </cell>
          <cell r="AH200">
            <v>0</v>
          </cell>
          <cell r="AI200">
            <v>6621</v>
          </cell>
          <cell r="AJ200">
            <v>0</v>
          </cell>
          <cell r="AK200">
            <v>278936</v>
          </cell>
          <cell r="AL200">
            <v>0</v>
          </cell>
          <cell r="AM200">
            <v>96382</v>
          </cell>
          <cell r="AN200">
            <v>0</v>
          </cell>
          <cell r="AO200">
            <v>0</v>
          </cell>
          <cell r="AP200">
            <v>15707454</v>
          </cell>
          <cell r="AQ200">
            <v>0</v>
          </cell>
          <cell r="AR200">
            <v>0</v>
          </cell>
          <cell r="AS200">
            <v>0</v>
          </cell>
          <cell r="AT200">
            <v>0</v>
          </cell>
          <cell r="AU200">
            <v>0</v>
          </cell>
          <cell r="AV200">
            <v>0</v>
          </cell>
          <cell r="AW200">
            <v>0</v>
          </cell>
        </row>
        <row r="202">
          <cell r="C202" t="str">
            <v xml:space="preserve"> SANTA MONICA</v>
          </cell>
          <cell r="D202" t="str">
            <v xml:space="preserve"> LOS ANGELES</v>
          </cell>
          <cell r="E202">
            <v>780</v>
          </cell>
          <cell r="F202" t="str">
            <v xml:space="preserve"> 2016-2017</v>
          </cell>
          <cell r="G202" t="str">
            <v xml:space="preserve"> 04/15/2017</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t="str">
            <v xml:space="preserve"> </v>
          </cell>
          <cell r="W202">
            <v>0</v>
          </cell>
          <cell r="X202">
            <v>0</v>
          </cell>
          <cell r="Y202">
            <v>0</v>
          </cell>
          <cell r="Z202">
            <v>0</v>
          </cell>
          <cell r="AA202">
            <v>0</v>
          </cell>
          <cell r="AB202">
            <v>14639012</v>
          </cell>
          <cell r="AC202">
            <v>388567</v>
          </cell>
          <cell r="AD202">
            <v>573351</v>
          </cell>
          <cell r="AE202">
            <v>1397946</v>
          </cell>
          <cell r="AF202">
            <v>664024</v>
          </cell>
          <cell r="AG202">
            <v>0</v>
          </cell>
          <cell r="AH202">
            <v>0</v>
          </cell>
          <cell r="AI202">
            <v>986402</v>
          </cell>
          <cell r="AJ202">
            <v>0</v>
          </cell>
          <cell r="AK202">
            <v>134030</v>
          </cell>
          <cell r="AL202">
            <v>0</v>
          </cell>
          <cell r="AM202">
            <v>95784</v>
          </cell>
          <cell r="AN202">
            <v>4</v>
          </cell>
          <cell r="AO202">
            <v>0</v>
          </cell>
          <cell r="AP202">
            <v>17481174</v>
          </cell>
          <cell r="AQ202">
            <v>0</v>
          </cell>
          <cell r="AR202">
            <v>0</v>
          </cell>
          <cell r="AS202">
            <v>0</v>
          </cell>
          <cell r="AT202">
            <v>0</v>
          </cell>
          <cell r="AU202" t="str">
            <v xml:space="preserve"> </v>
          </cell>
          <cell r="AV202" t="str">
            <v xml:space="preserve"> </v>
          </cell>
          <cell r="AW202" t="str">
            <v xml:space="preserve"> </v>
          </cell>
        </row>
        <row r="203">
          <cell r="C203" t="str">
            <v xml:space="preserve">SANTA MONICA Subtotal    </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14639012</v>
          </cell>
          <cell r="AC203">
            <v>388567</v>
          </cell>
          <cell r="AD203">
            <v>573351</v>
          </cell>
          <cell r="AE203">
            <v>1397946</v>
          </cell>
          <cell r="AF203">
            <v>664024</v>
          </cell>
          <cell r="AG203">
            <v>0</v>
          </cell>
          <cell r="AH203">
            <v>0</v>
          </cell>
          <cell r="AI203">
            <v>986402</v>
          </cell>
          <cell r="AJ203">
            <v>0</v>
          </cell>
          <cell r="AK203">
            <v>134030</v>
          </cell>
          <cell r="AL203">
            <v>0</v>
          </cell>
          <cell r="AM203">
            <v>95784</v>
          </cell>
          <cell r="AN203">
            <v>4</v>
          </cell>
          <cell r="AO203">
            <v>0</v>
          </cell>
          <cell r="AP203">
            <v>17481174</v>
          </cell>
          <cell r="AQ203">
            <v>0</v>
          </cell>
          <cell r="AR203">
            <v>0</v>
          </cell>
          <cell r="AS203">
            <v>0</v>
          </cell>
          <cell r="AT203">
            <v>0</v>
          </cell>
          <cell r="AU203">
            <v>0</v>
          </cell>
          <cell r="AV203">
            <v>0</v>
          </cell>
          <cell r="AW203">
            <v>0</v>
          </cell>
        </row>
        <row r="205">
          <cell r="C205" t="str">
            <v xml:space="preserve"> SEQUOIAS</v>
          </cell>
          <cell r="D205" t="str">
            <v xml:space="preserve"> FRESNO</v>
          </cell>
          <cell r="E205">
            <v>560</v>
          </cell>
          <cell r="F205" t="str">
            <v xml:space="preserve"> 2016-2017</v>
          </cell>
          <cell r="G205" t="str">
            <v xml:space="preserve"> 04/15/2017</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t="str">
            <v xml:space="preserve"> </v>
          </cell>
          <cell r="W205">
            <v>0</v>
          </cell>
          <cell r="X205">
            <v>0</v>
          </cell>
          <cell r="Y205">
            <v>0</v>
          </cell>
          <cell r="Z205">
            <v>0</v>
          </cell>
          <cell r="AA205">
            <v>0</v>
          </cell>
          <cell r="AB205">
            <v>26465</v>
          </cell>
          <cell r="AC205">
            <v>333</v>
          </cell>
          <cell r="AD205">
            <v>1261</v>
          </cell>
          <cell r="AE205">
            <v>0</v>
          </cell>
          <cell r="AF205">
            <v>0</v>
          </cell>
          <cell r="AG205">
            <v>0</v>
          </cell>
          <cell r="AH205">
            <v>0</v>
          </cell>
          <cell r="AI205">
            <v>0</v>
          </cell>
          <cell r="AJ205">
            <v>0</v>
          </cell>
          <cell r="AK205">
            <v>21</v>
          </cell>
          <cell r="AL205">
            <v>0</v>
          </cell>
          <cell r="AM205">
            <v>272</v>
          </cell>
          <cell r="AN205">
            <v>0</v>
          </cell>
          <cell r="AO205">
            <v>-1060</v>
          </cell>
          <cell r="AP205">
            <v>27292</v>
          </cell>
          <cell r="AQ205">
            <v>0</v>
          </cell>
          <cell r="AR205">
            <v>0</v>
          </cell>
          <cell r="AS205">
            <v>0</v>
          </cell>
          <cell r="AT205">
            <v>0</v>
          </cell>
          <cell r="AU205" t="str">
            <v xml:space="preserve"> </v>
          </cell>
          <cell r="AV205" t="str">
            <v xml:space="preserve"> </v>
          </cell>
          <cell r="AW205" t="str">
            <v xml:space="preserve"> </v>
          </cell>
        </row>
        <row r="206">
          <cell r="C206" t="str">
            <v xml:space="preserve"> SEQUOIAS</v>
          </cell>
          <cell r="D206" t="str">
            <v xml:space="preserve"> KINGS</v>
          </cell>
          <cell r="E206">
            <v>560</v>
          </cell>
          <cell r="F206" t="str">
            <v xml:space="preserve"> 2016-2017</v>
          </cell>
          <cell r="G206" t="str">
            <v xml:space="preserve"> 04/15/2017</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t="str">
            <v xml:space="preserve"> </v>
          </cell>
          <cell r="W206">
            <v>0</v>
          </cell>
          <cell r="X206">
            <v>0</v>
          </cell>
          <cell r="Y206">
            <v>0</v>
          </cell>
          <cell r="Z206">
            <v>0</v>
          </cell>
          <cell r="AA206">
            <v>0</v>
          </cell>
          <cell r="AB206">
            <v>2581384</v>
          </cell>
          <cell r="AC206">
            <v>39331</v>
          </cell>
          <cell r="AD206">
            <v>123682</v>
          </cell>
          <cell r="AE206">
            <v>11000</v>
          </cell>
          <cell r="AF206">
            <v>5225</v>
          </cell>
          <cell r="AG206">
            <v>0</v>
          </cell>
          <cell r="AH206">
            <v>0</v>
          </cell>
          <cell r="AI206">
            <v>94000</v>
          </cell>
          <cell r="AJ206">
            <v>0</v>
          </cell>
          <cell r="AK206">
            <v>50381</v>
          </cell>
          <cell r="AL206">
            <v>0</v>
          </cell>
          <cell r="AM206">
            <v>30449</v>
          </cell>
          <cell r="AN206">
            <v>0</v>
          </cell>
          <cell r="AO206">
            <v>-980236</v>
          </cell>
          <cell r="AP206">
            <v>1944216</v>
          </cell>
          <cell r="AQ206">
            <v>0</v>
          </cell>
          <cell r="AR206">
            <v>0</v>
          </cell>
          <cell r="AS206">
            <v>0</v>
          </cell>
          <cell r="AT206">
            <v>0</v>
          </cell>
          <cell r="AU206" t="str">
            <v xml:space="preserve"> </v>
          </cell>
          <cell r="AV206" t="str">
            <v xml:space="preserve"> </v>
          </cell>
          <cell r="AW206" t="str">
            <v xml:space="preserve"> </v>
          </cell>
        </row>
        <row r="207">
          <cell r="C207" t="str">
            <v xml:space="preserve"> SEQUOIAS</v>
          </cell>
          <cell r="D207" t="str">
            <v xml:space="preserve"> TULARE</v>
          </cell>
          <cell r="E207">
            <v>560</v>
          </cell>
          <cell r="F207" t="str">
            <v xml:space="preserve"> 2016-2017</v>
          </cell>
          <cell r="G207" t="str">
            <v xml:space="preserve"> 04/15/2017</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t="str">
            <v xml:space="preserve"> </v>
          </cell>
          <cell r="W207">
            <v>0</v>
          </cell>
          <cell r="X207">
            <v>0</v>
          </cell>
          <cell r="Y207">
            <v>0</v>
          </cell>
          <cell r="Z207">
            <v>0</v>
          </cell>
          <cell r="AA207">
            <v>0</v>
          </cell>
          <cell r="AB207">
            <v>10656891</v>
          </cell>
          <cell r="AC207">
            <v>109887</v>
          </cell>
          <cell r="AD207">
            <v>614847</v>
          </cell>
          <cell r="AE207">
            <v>160424</v>
          </cell>
          <cell r="AF207">
            <v>76201</v>
          </cell>
          <cell r="AG207">
            <v>0</v>
          </cell>
          <cell r="AH207">
            <v>0</v>
          </cell>
          <cell r="AI207">
            <v>591687</v>
          </cell>
          <cell r="AJ207">
            <v>0</v>
          </cell>
          <cell r="AK207">
            <v>0</v>
          </cell>
          <cell r="AL207">
            <v>0</v>
          </cell>
          <cell r="AM207">
            <v>109196</v>
          </cell>
          <cell r="AN207">
            <v>0</v>
          </cell>
          <cell r="AO207">
            <v>-762273</v>
          </cell>
          <cell r="AP207">
            <v>11396436</v>
          </cell>
          <cell r="AQ207">
            <v>0</v>
          </cell>
          <cell r="AR207">
            <v>0</v>
          </cell>
          <cell r="AS207">
            <v>0</v>
          </cell>
          <cell r="AT207">
            <v>0</v>
          </cell>
          <cell r="AU207" t="str">
            <v xml:space="preserve"> </v>
          </cell>
          <cell r="AV207" t="str">
            <v xml:space="preserve"> </v>
          </cell>
          <cell r="AW207" t="str">
            <v xml:space="preserve"> </v>
          </cell>
        </row>
        <row r="208">
          <cell r="C208" t="str">
            <v xml:space="preserve">SEQUOIAS Subtotal         </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13264740</v>
          </cell>
          <cell r="AC208">
            <v>149551</v>
          </cell>
          <cell r="AD208">
            <v>739790</v>
          </cell>
          <cell r="AE208">
            <v>171424</v>
          </cell>
          <cell r="AF208">
            <v>81426</v>
          </cell>
          <cell r="AG208">
            <v>0</v>
          </cell>
          <cell r="AH208">
            <v>0</v>
          </cell>
          <cell r="AI208">
            <v>685687</v>
          </cell>
          <cell r="AJ208">
            <v>0</v>
          </cell>
          <cell r="AK208">
            <v>50402</v>
          </cell>
          <cell r="AL208">
            <v>0</v>
          </cell>
          <cell r="AM208">
            <v>139917</v>
          </cell>
          <cell r="AN208">
            <v>0</v>
          </cell>
          <cell r="AO208">
            <v>-1743569</v>
          </cell>
          <cell r="AP208">
            <v>13367944</v>
          </cell>
          <cell r="AQ208">
            <v>0</v>
          </cell>
          <cell r="AR208">
            <v>0</v>
          </cell>
          <cell r="AS208">
            <v>0</v>
          </cell>
          <cell r="AT208">
            <v>0</v>
          </cell>
          <cell r="AU208">
            <v>0</v>
          </cell>
          <cell r="AV208">
            <v>0</v>
          </cell>
          <cell r="AW208">
            <v>0</v>
          </cell>
        </row>
        <row r="210">
          <cell r="C210" t="str">
            <v xml:space="preserve"> SHASTA</v>
          </cell>
          <cell r="D210" t="str">
            <v xml:space="preserve"> HUMBOLDT</v>
          </cell>
          <cell r="E210">
            <v>170</v>
          </cell>
          <cell r="F210" t="str">
            <v xml:space="preserve"> 2016-2017</v>
          </cell>
          <cell r="G210" t="str">
            <v xml:space="preserve"> 04/15/2017</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t="str">
            <v xml:space="preserve"> </v>
          </cell>
          <cell r="W210">
            <v>0</v>
          </cell>
          <cell r="X210">
            <v>0</v>
          </cell>
          <cell r="Y210">
            <v>0</v>
          </cell>
          <cell r="Z210">
            <v>0</v>
          </cell>
          <cell r="AA210">
            <v>0</v>
          </cell>
          <cell r="AB210">
            <v>23488</v>
          </cell>
          <cell r="AC210">
            <v>350</v>
          </cell>
          <cell r="AD210">
            <v>911</v>
          </cell>
          <cell r="AE210">
            <v>0</v>
          </cell>
          <cell r="AF210">
            <v>0</v>
          </cell>
          <cell r="AG210">
            <v>0</v>
          </cell>
          <cell r="AH210">
            <v>0</v>
          </cell>
          <cell r="AI210">
            <v>0</v>
          </cell>
          <cell r="AJ210">
            <v>0</v>
          </cell>
          <cell r="AK210">
            <v>10</v>
          </cell>
          <cell r="AL210">
            <v>117</v>
          </cell>
          <cell r="AM210">
            <v>304</v>
          </cell>
          <cell r="AN210">
            <v>0</v>
          </cell>
          <cell r="AO210">
            <v>280</v>
          </cell>
          <cell r="AP210">
            <v>25460</v>
          </cell>
          <cell r="AQ210">
            <v>0</v>
          </cell>
          <cell r="AR210">
            <v>0</v>
          </cell>
          <cell r="AS210">
            <v>0</v>
          </cell>
          <cell r="AT210">
            <v>0</v>
          </cell>
          <cell r="AU210" t="str">
            <v xml:space="preserve"> </v>
          </cell>
          <cell r="AV210" t="str">
            <v xml:space="preserve"> </v>
          </cell>
          <cell r="AW210" t="str">
            <v xml:space="preserve"> </v>
          </cell>
        </row>
        <row r="211">
          <cell r="C211" t="str">
            <v xml:space="preserve"> SHASTA</v>
          </cell>
          <cell r="D211" t="str">
            <v xml:space="preserve"> LASSEN</v>
          </cell>
          <cell r="E211">
            <v>170</v>
          </cell>
          <cell r="F211" t="str">
            <v xml:space="preserve"> 2016-2017</v>
          </cell>
          <cell r="G211" t="str">
            <v xml:space="preserve"> 04/15/2017</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t="str">
            <v xml:space="preserve"> </v>
          </cell>
          <cell r="W211">
            <v>0</v>
          </cell>
          <cell r="X211">
            <v>0</v>
          </cell>
          <cell r="Y211">
            <v>0</v>
          </cell>
          <cell r="Z211">
            <v>0</v>
          </cell>
          <cell r="AA211">
            <v>0</v>
          </cell>
          <cell r="AB211">
            <v>52903</v>
          </cell>
          <cell r="AC211">
            <v>361</v>
          </cell>
          <cell r="AD211">
            <v>4134</v>
          </cell>
          <cell r="AE211">
            <v>0</v>
          </cell>
          <cell r="AF211">
            <v>0</v>
          </cell>
          <cell r="AG211">
            <v>0</v>
          </cell>
          <cell r="AH211">
            <v>0</v>
          </cell>
          <cell r="AI211">
            <v>0</v>
          </cell>
          <cell r="AJ211">
            <v>0</v>
          </cell>
          <cell r="AK211">
            <v>57</v>
          </cell>
          <cell r="AL211">
            <v>1091</v>
          </cell>
          <cell r="AM211">
            <v>1452</v>
          </cell>
          <cell r="AN211">
            <v>0</v>
          </cell>
          <cell r="AO211">
            <v>-14836</v>
          </cell>
          <cell r="AP211">
            <v>45162</v>
          </cell>
          <cell r="AQ211">
            <v>0</v>
          </cell>
          <cell r="AR211">
            <v>0</v>
          </cell>
          <cell r="AS211">
            <v>0</v>
          </cell>
          <cell r="AT211">
            <v>0</v>
          </cell>
          <cell r="AU211" t="str">
            <v xml:space="preserve"> </v>
          </cell>
          <cell r="AV211" t="str">
            <v xml:space="preserve"> </v>
          </cell>
          <cell r="AW211" t="str">
            <v xml:space="preserve"> </v>
          </cell>
        </row>
        <row r="212">
          <cell r="C212" t="str">
            <v xml:space="preserve"> SHASTA</v>
          </cell>
          <cell r="D212" t="str">
            <v xml:space="preserve"> MODOC</v>
          </cell>
          <cell r="E212">
            <v>170</v>
          </cell>
          <cell r="F212" t="str">
            <v xml:space="preserve"> 2016-2017</v>
          </cell>
          <cell r="G212" t="str">
            <v xml:space="preserve"> 04/15/2017</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t="str">
            <v xml:space="preserve"> </v>
          </cell>
          <cell r="W212">
            <v>0</v>
          </cell>
          <cell r="X212">
            <v>0</v>
          </cell>
          <cell r="Y212">
            <v>0</v>
          </cell>
          <cell r="Z212">
            <v>0</v>
          </cell>
          <cell r="AA212">
            <v>0</v>
          </cell>
          <cell r="AB212">
            <v>12750</v>
          </cell>
          <cell r="AC212">
            <v>50</v>
          </cell>
          <cell r="AD212">
            <v>550</v>
          </cell>
          <cell r="AE212">
            <v>0</v>
          </cell>
          <cell r="AF212">
            <v>0</v>
          </cell>
          <cell r="AG212">
            <v>0</v>
          </cell>
          <cell r="AH212">
            <v>0</v>
          </cell>
          <cell r="AI212">
            <v>0</v>
          </cell>
          <cell r="AJ212">
            <v>0</v>
          </cell>
          <cell r="AK212">
            <v>575</v>
          </cell>
          <cell r="AL212">
            <v>10</v>
          </cell>
          <cell r="AM212">
            <v>200</v>
          </cell>
          <cell r="AN212">
            <v>0</v>
          </cell>
          <cell r="AO212">
            <v>-635</v>
          </cell>
          <cell r="AP212">
            <v>13500</v>
          </cell>
          <cell r="AQ212">
            <v>0</v>
          </cell>
          <cell r="AR212">
            <v>0</v>
          </cell>
          <cell r="AS212">
            <v>0</v>
          </cell>
          <cell r="AT212">
            <v>0</v>
          </cell>
          <cell r="AU212" t="str">
            <v xml:space="preserve"> </v>
          </cell>
          <cell r="AV212" t="str">
            <v xml:space="preserve"> </v>
          </cell>
          <cell r="AW212" t="str">
            <v xml:space="preserve"> </v>
          </cell>
        </row>
        <row r="213">
          <cell r="C213" t="str">
            <v xml:space="preserve"> SHASTA</v>
          </cell>
          <cell r="D213" t="str">
            <v xml:space="preserve"> SHASTA</v>
          </cell>
          <cell r="E213">
            <v>170</v>
          </cell>
          <cell r="F213" t="str">
            <v xml:space="preserve"> 2016-2017</v>
          </cell>
          <cell r="G213" t="str">
            <v xml:space="preserve"> 04/15/2017</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t="str">
            <v xml:space="preserve"> </v>
          </cell>
          <cell r="W213">
            <v>0</v>
          </cell>
          <cell r="X213">
            <v>0</v>
          </cell>
          <cell r="Y213">
            <v>0</v>
          </cell>
          <cell r="Z213">
            <v>0</v>
          </cell>
          <cell r="AA213">
            <v>0</v>
          </cell>
          <cell r="AB213">
            <v>10773077</v>
          </cell>
          <cell r="AC213">
            <v>70498</v>
          </cell>
          <cell r="AD213">
            <v>443758</v>
          </cell>
          <cell r="AE213">
            <v>77705</v>
          </cell>
          <cell r="AF213">
            <v>36910</v>
          </cell>
          <cell r="AG213">
            <v>0</v>
          </cell>
          <cell r="AH213">
            <v>0</v>
          </cell>
          <cell r="AI213">
            <v>899267</v>
          </cell>
          <cell r="AJ213">
            <v>0</v>
          </cell>
          <cell r="AK213">
            <v>3214</v>
          </cell>
          <cell r="AL213">
            <v>60745</v>
          </cell>
          <cell r="AM213">
            <v>152775</v>
          </cell>
          <cell r="AN213">
            <v>0</v>
          </cell>
          <cell r="AO213">
            <v>-378655</v>
          </cell>
          <cell r="AP213">
            <v>12061589</v>
          </cell>
          <cell r="AQ213">
            <v>0</v>
          </cell>
          <cell r="AR213">
            <v>0</v>
          </cell>
          <cell r="AS213">
            <v>0</v>
          </cell>
          <cell r="AT213">
            <v>0</v>
          </cell>
          <cell r="AU213" t="str">
            <v xml:space="preserve"> </v>
          </cell>
          <cell r="AV213" t="str">
            <v xml:space="preserve"> </v>
          </cell>
          <cell r="AW213" t="str">
            <v xml:space="preserve"> </v>
          </cell>
        </row>
        <row r="214">
          <cell r="C214" t="str">
            <v xml:space="preserve"> SHASTA</v>
          </cell>
          <cell r="D214" t="str">
            <v xml:space="preserve"> TEHAMA</v>
          </cell>
          <cell r="E214">
            <v>170</v>
          </cell>
          <cell r="F214" t="str">
            <v xml:space="preserve"> 2016-2017</v>
          </cell>
          <cell r="G214" t="str">
            <v xml:space="preserve"> 04/15/2017</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t="str">
            <v xml:space="preserve"> </v>
          </cell>
          <cell r="W214">
            <v>0</v>
          </cell>
          <cell r="X214">
            <v>0</v>
          </cell>
          <cell r="Y214">
            <v>0</v>
          </cell>
          <cell r="Z214">
            <v>0</v>
          </cell>
          <cell r="AA214">
            <v>0</v>
          </cell>
          <cell r="AB214">
            <v>2885109</v>
          </cell>
          <cell r="AC214">
            <v>5000</v>
          </cell>
          <cell r="AD214">
            <v>118364</v>
          </cell>
          <cell r="AE214">
            <v>0</v>
          </cell>
          <cell r="AF214">
            <v>0</v>
          </cell>
          <cell r="AG214">
            <v>0</v>
          </cell>
          <cell r="AH214">
            <v>0</v>
          </cell>
          <cell r="AI214">
            <v>0</v>
          </cell>
          <cell r="AJ214">
            <v>0</v>
          </cell>
          <cell r="AK214">
            <v>3000</v>
          </cell>
          <cell r="AL214">
            <v>3000</v>
          </cell>
          <cell r="AM214">
            <v>50670</v>
          </cell>
          <cell r="AN214">
            <v>300</v>
          </cell>
          <cell r="AO214">
            <v>56196</v>
          </cell>
          <cell r="AP214">
            <v>3121639</v>
          </cell>
          <cell r="AQ214">
            <v>0</v>
          </cell>
          <cell r="AR214">
            <v>0</v>
          </cell>
          <cell r="AS214">
            <v>0</v>
          </cell>
          <cell r="AT214">
            <v>0</v>
          </cell>
          <cell r="AU214" t="str">
            <v xml:space="preserve"> </v>
          </cell>
          <cell r="AV214" t="str">
            <v xml:space="preserve"> </v>
          </cell>
          <cell r="AW214" t="str">
            <v xml:space="preserve"> </v>
          </cell>
        </row>
        <row r="215">
          <cell r="C215" t="str">
            <v xml:space="preserve"> SHASTA</v>
          </cell>
          <cell r="D215" t="str">
            <v xml:space="preserve"> TRINITY</v>
          </cell>
          <cell r="E215">
            <v>170</v>
          </cell>
          <cell r="F215" t="str">
            <v xml:space="preserve"> </v>
          </cell>
          <cell r="G215" t="str">
            <v xml:space="preserve"> </v>
          </cell>
          <cell r="H215">
            <v>0</v>
          </cell>
          <cell r="I215" t="str">
            <v xml:space="preserve"> </v>
          </cell>
          <cell r="J215" t="str">
            <v xml:space="preserve"> </v>
          </cell>
          <cell r="K215" t="str">
            <v xml:space="preserve"> </v>
          </cell>
          <cell r="L215" t="str">
            <v xml:space="preserve"> </v>
          </cell>
          <cell r="M215" t="str">
            <v xml:space="preserve"> </v>
          </cell>
          <cell r="N215" t="str">
            <v xml:space="preserve"> </v>
          </cell>
          <cell r="O215" t="str">
            <v xml:space="preserve"> </v>
          </cell>
          <cell r="P215" t="str">
            <v xml:space="preserve"> </v>
          </cell>
          <cell r="Q215" t="str">
            <v xml:space="preserve"> </v>
          </cell>
          <cell r="R215" t="str">
            <v xml:space="preserve"> </v>
          </cell>
          <cell r="S215" t="str">
            <v xml:space="preserve"> </v>
          </cell>
          <cell r="T215" t="str">
            <v xml:space="preserve"> </v>
          </cell>
          <cell r="U215" t="str">
            <v xml:space="preserve"> </v>
          </cell>
          <cell r="V215" t="str">
            <v xml:space="preserve"> </v>
          </cell>
          <cell r="W215">
            <v>0</v>
          </cell>
          <cell r="X215" t="str">
            <v xml:space="preserve"> </v>
          </cell>
          <cell r="Y215" t="str">
            <v xml:space="preserve"> </v>
          </cell>
          <cell r="Z215" t="str">
            <v xml:space="preserve"> </v>
          </cell>
          <cell r="AA215" t="str">
            <v xml:space="preserve"> </v>
          </cell>
          <cell r="AB215" t="str">
            <v xml:space="preserve"> </v>
          </cell>
          <cell r="AC215" t="str">
            <v xml:space="preserve"> </v>
          </cell>
          <cell r="AD215" t="str">
            <v xml:space="preserve"> </v>
          </cell>
          <cell r="AE215" t="str">
            <v xml:space="preserve"> </v>
          </cell>
          <cell r="AF215" t="str">
            <v xml:space="preserve"> </v>
          </cell>
          <cell r="AG215" t="str">
            <v xml:space="preserve"> </v>
          </cell>
          <cell r="AH215" t="str">
            <v xml:space="preserve"> </v>
          </cell>
          <cell r="AI215" t="str">
            <v xml:space="preserve"> </v>
          </cell>
          <cell r="AJ215" t="str">
            <v xml:space="preserve"> </v>
          </cell>
          <cell r="AK215" t="str">
            <v xml:space="preserve">  </v>
          </cell>
          <cell r="AL215">
            <v>0</v>
          </cell>
          <cell r="AM215" t="str">
            <v xml:space="preserve"> </v>
          </cell>
          <cell r="AN215" t="str">
            <v xml:space="preserve"> </v>
          </cell>
          <cell r="AO215" t="str">
            <v xml:space="preserve"> </v>
          </cell>
          <cell r="AP215" t="str">
            <v xml:space="preserve"> </v>
          </cell>
          <cell r="AQ215" t="str">
            <v xml:space="preserve"> </v>
          </cell>
          <cell r="AR215">
            <v>0</v>
          </cell>
          <cell r="AS215" t="str">
            <v xml:space="preserve"> </v>
          </cell>
          <cell r="AT215" t="str">
            <v xml:space="preserve"> </v>
          </cell>
          <cell r="AU215" t="str">
            <v xml:space="preserve"> </v>
          </cell>
          <cell r="AV215" t="str">
            <v xml:space="preserve"> </v>
          </cell>
          <cell r="AW215" t="str">
            <v xml:space="preserve"> </v>
          </cell>
        </row>
        <row r="216">
          <cell r="C216" t="str">
            <v xml:space="preserve">SHASTA Subtotal            </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13747327</v>
          </cell>
          <cell r="AC216">
            <v>76259</v>
          </cell>
          <cell r="AD216">
            <v>567717</v>
          </cell>
          <cell r="AE216">
            <v>77705</v>
          </cell>
          <cell r="AF216">
            <v>36910</v>
          </cell>
          <cell r="AG216">
            <v>0</v>
          </cell>
          <cell r="AH216">
            <v>0</v>
          </cell>
          <cell r="AI216">
            <v>899267</v>
          </cell>
          <cell r="AJ216">
            <v>0</v>
          </cell>
          <cell r="AK216">
            <v>6856</v>
          </cell>
          <cell r="AL216">
            <v>64963</v>
          </cell>
          <cell r="AM216">
            <v>205401</v>
          </cell>
          <cell r="AN216">
            <v>300</v>
          </cell>
          <cell r="AO216">
            <v>-337650</v>
          </cell>
          <cell r="AP216">
            <v>15267350</v>
          </cell>
          <cell r="AQ216">
            <v>0</v>
          </cell>
          <cell r="AR216">
            <v>0</v>
          </cell>
          <cell r="AS216">
            <v>0</v>
          </cell>
          <cell r="AT216">
            <v>0</v>
          </cell>
          <cell r="AU216">
            <v>0</v>
          </cell>
          <cell r="AV216">
            <v>0</v>
          </cell>
          <cell r="AW216">
            <v>0</v>
          </cell>
        </row>
        <row r="218">
          <cell r="C218" t="str">
            <v xml:space="preserve"> SIERRA</v>
          </cell>
          <cell r="D218" t="str">
            <v xml:space="preserve"> EL DORADO</v>
          </cell>
          <cell r="E218">
            <v>270</v>
          </cell>
          <cell r="F218" t="str">
            <v xml:space="preserve"> 2016-2017</v>
          </cell>
          <cell r="G218" t="str">
            <v xml:space="preserve"> 04/15/2017</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t="str">
            <v xml:space="preserve"> </v>
          </cell>
          <cell r="W218">
            <v>0</v>
          </cell>
          <cell r="X218">
            <v>0</v>
          </cell>
          <cell r="Y218">
            <v>0</v>
          </cell>
          <cell r="Z218">
            <v>0</v>
          </cell>
          <cell r="AA218">
            <v>0</v>
          </cell>
          <cell r="AB218">
            <v>546082</v>
          </cell>
          <cell r="AC218">
            <v>7074</v>
          </cell>
          <cell r="AD218">
            <v>10286</v>
          </cell>
          <cell r="AE218">
            <v>0</v>
          </cell>
          <cell r="AF218">
            <v>0</v>
          </cell>
          <cell r="AG218">
            <v>0</v>
          </cell>
          <cell r="AH218">
            <v>0</v>
          </cell>
          <cell r="AI218">
            <v>0</v>
          </cell>
          <cell r="AJ218">
            <v>0</v>
          </cell>
          <cell r="AK218">
            <v>-197</v>
          </cell>
          <cell r="AL218">
            <v>0</v>
          </cell>
          <cell r="AM218">
            <v>5189</v>
          </cell>
          <cell r="AN218">
            <v>0</v>
          </cell>
          <cell r="AO218">
            <v>0</v>
          </cell>
          <cell r="AP218">
            <v>568434</v>
          </cell>
          <cell r="AQ218">
            <v>0</v>
          </cell>
          <cell r="AR218">
            <v>0</v>
          </cell>
          <cell r="AS218">
            <v>0</v>
          </cell>
          <cell r="AT218">
            <v>0</v>
          </cell>
          <cell r="AU218" t="str">
            <v xml:space="preserve"> </v>
          </cell>
          <cell r="AV218" t="str">
            <v xml:space="preserve"> </v>
          </cell>
          <cell r="AW218" t="str">
            <v xml:space="preserve"> </v>
          </cell>
        </row>
        <row r="219">
          <cell r="C219" t="str">
            <v xml:space="preserve"> SIERRA</v>
          </cell>
          <cell r="D219" t="str">
            <v xml:space="preserve"> NEVADA</v>
          </cell>
          <cell r="E219">
            <v>270</v>
          </cell>
          <cell r="F219" t="str">
            <v xml:space="preserve"> 2016-2017</v>
          </cell>
          <cell r="G219" t="str">
            <v xml:space="preserve"> 04/15/2017</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t="str">
            <v xml:space="preserve"> </v>
          </cell>
          <cell r="W219">
            <v>0</v>
          </cell>
          <cell r="X219">
            <v>0</v>
          </cell>
          <cell r="Y219">
            <v>0</v>
          </cell>
          <cell r="Z219">
            <v>0</v>
          </cell>
          <cell r="AA219">
            <v>0</v>
          </cell>
          <cell r="AB219">
            <v>14600092</v>
          </cell>
          <cell r="AC219">
            <v>250000</v>
          </cell>
          <cell r="AD219">
            <v>244735</v>
          </cell>
          <cell r="AE219">
            <v>36478</v>
          </cell>
          <cell r="AF219">
            <v>17327</v>
          </cell>
          <cell r="AG219">
            <v>0</v>
          </cell>
          <cell r="AH219">
            <v>0</v>
          </cell>
          <cell r="AI219">
            <v>114029</v>
          </cell>
          <cell r="AJ219">
            <v>0</v>
          </cell>
          <cell r="AK219">
            <v>1393</v>
          </cell>
          <cell r="AL219">
            <v>4705</v>
          </cell>
          <cell r="AM219">
            <v>141627</v>
          </cell>
          <cell r="AN219">
            <v>0</v>
          </cell>
          <cell r="AO219">
            <v>1302562</v>
          </cell>
          <cell r="AP219">
            <v>16676470</v>
          </cell>
          <cell r="AQ219">
            <v>0</v>
          </cell>
          <cell r="AR219">
            <v>0</v>
          </cell>
          <cell r="AS219">
            <v>0</v>
          </cell>
          <cell r="AT219">
            <v>0</v>
          </cell>
          <cell r="AU219" t="str">
            <v xml:space="preserve"> </v>
          </cell>
          <cell r="AV219" t="str">
            <v xml:space="preserve"> </v>
          </cell>
          <cell r="AW219" t="str">
            <v xml:space="preserve"> </v>
          </cell>
        </row>
        <row r="220">
          <cell r="C220" t="str">
            <v xml:space="preserve"> SIERRA</v>
          </cell>
          <cell r="D220" t="str">
            <v xml:space="preserve"> PLACER</v>
          </cell>
          <cell r="E220">
            <v>270</v>
          </cell>
          <cell r="F220" t="str">
            <v xml:space="preserve"> 2016-2017</v>
          </cell>
          <cell r="G220" t="str">
            <v xml:space="preserve"> 04/15/2017</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t="str">
            <v xml:space="preserve"> </v>
          </cell>
          <cell r="W220">
            <v>0</v>
          </cell>
          <cell r="X220">
            <v>0</v>
          </cell>
          <cell r="Y220">
            <v>0</v>
          </cell>
          <cell r="Z220">
            <v>0</v>
          </cell>
          <cell r="AA220">
            <v>0</v>
          </cell>
          <cell r="AB220">
            <v>48780823</v>
          </cell>
          <cell r="AC220">
            <v>981996</v>
          </cell>
          <cell r="AD220">
            <v>1242969</v>
          </cell>
          <cell r="AE220">
            <v>503073</v>
          </cell>
          <cell r="AF220">
            <v>238960</v>
          </cell>
          <cell r="AG220">
            <v>0</v>
          </cell>
          <cell r="AH220">
            <v>0</v>
          </cell>
          <cell r="AI220">
            <v>695746</v>
          </cell>
          <cell r="AJ220">
            <v>0</v>
          </cell>
          <cell r="AK220">
            <v>13010</v>
          </cell>
          <cell r="AL220">
            <v>7910</v>
          </cell>
          <cell r="AM220">
            <v>396564</v>
          </cell>
          <cell r="AN220">
            <v>0</v>
          </cell>
          <cell r="AO220">
            <v>4519066</v>
          </cell>
          <cell r="AP220">
            <v>56877044</v>
          </cell>
          <cell r="AQ220">
            <v>0</v>
          </cell>
          <cell r="AR220">
            <v>0</v>
          </cell>
          <cell r="AS220">
            <v>0</v>
          </cell>
          <cell r="AT220">
            <v>0</v>
          </cell>
          <cell r="AU220" t="str">
            <v xml:space="preserve"> </v>
          </cell>
          <cell r="AV220" t="str">
            <v xml:space="preserve"> </v>
          </cell>
          <cell r="AW220" t="str">
            <v xml:space="preserve"> </v>
          </cell>
        </row>
        <row r="221">
          <cell r="C221" t="str">
            <v xml:space="preserve"> SIERRA</v>
          </cell>
          <cell r="D221" t="str">
            <v xml:space="preserve"> SACRAMENTO</v>
          </cell>
          <cell r="E221">
            <v>270</v>
          </cell>
          <cell r="F221" t="str">
            <v xml:space="preserve"> 2016-2017</v>
          </cell>
          <cell r="G221" t="str">
            <v xml:space="preserve"> 04/15/2017</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t="str">
            <v xml:space="preserve"> </v>
          </cell>
          <cell r="W221">
            <v>0</v>
          </cell>
          <cell r="X221">
            <v>0</v>
          </cell>
          <cell r="Y221">
            <v>0</v>
          </cell>
          <cell r="Z221">
            <v>0</v>
          </cell>
          <cell r="AA221">
            <v>0</v>
          </cell>
          <cell r="AB221">
            <v>1371504</v>
          </cell>
          <cell r="AC221">
            <v>37068</v>
          </cell>
          <cell r="AD221">
            <v>43096</v>
          </cell>
          <cell r="AE221">
            <v>0</v>
          </cell>
          <cell r="AF221">
            <v>0</v>
          </cell>
          <cell r="AG221">
            <v>0</v>
          </cell>
          <cell r="AH221">
            <v>0</v>
          </cell>
          <cell r="AI221">
            <v>0</v>
          </cell>
          <cell r="AJ221">
            <v>0</v>
          </cell>
          <cell r="AK221">
            <v>0</v>
          </cell>
          <cell r="AL221">
            <v>0</v>
          </cell>
          <cell r="AM221">
            <v>16028</v>
          </cell>
          <cell r="AN221">
            <v>0</v>
          </cell>
          <cell r="AO221">
            <v>0</v>
          </cell>
          <cell r="AP221">
            <v>1467696</v>
          </cell>
          <cell r="AQ221">
            <v>0</v>
          </cell>
          <cell r="AR221">
            <v>0</v>
          </cell>
          <cell r="AS221">
            <v>0</v>
          </cell>
          <cell r="AT221">
            <v>0</v>
          </cell>
          <cell r="AU221" t="str">
            <v xml:space="preserve"> </v>
          </cell>
          <cell r="AV221" t="str">
            <v xml:space="preserve"> </v>
          </cell>
          <cell r="AW221" t="str">
            <v xml:space="preserve"> </v>
          </cell>
        </row>
        <row r="222">
          <cell r="C222" t="str">
            <v xml:space="preserve">SIERRA Subtotal         </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65298501</v>
          </cell>
          <cell r="AC222">
            <v>1276138</v>
          </cell>
          <cell r="AD222">
            <v>1541086</v>
          </cell>
          <cell r="AE222">
            <v>539551</v>
          </cell>
          <cell r="AF222">
            <v>256287</v>
          </cell>
          <cell r="AG222">
            <v>0</v>
          </cell>
          <cell r="AH222">
            <v>0</v>
          </cell>
          <cell r="AI222">
            <v>809775</v>
          </cell>
          <cell r="AJ222">
            <v>0</v>
          </cell>
          <cell r="AK222">
            <v>14206</v>
          </cell>
          <cell r="AL222">
            <v>12615</v>
          </cell>
          <cell r="AM222">
            <v>559408</v>
          </cell>
          <cell r="AN222">
            <v>0</v>
          </cell>
          <cell r="AO222">
            <v>5821628</v>
          </cell>
          <cell r="AP222">
            <v>75589644</v>
          </cell>
          <cell r="AQ222">
            <v>0</v>
          </cell>
          <cell r="AR222">
            <v>0</v>
          </cell>
          <cell r="AS222">
            <v>0</v>
          </cell>
          <cell r="AT222">
            <v>0</v>
          </cell>
          <cell r="AU222">
            <v>0</v>
          </cell>
          <cell r="AV222">
            <v>0</v>
          </cell>
          <cell r="AW222">
            <v>0</v>
          </cell>
        </row>
        <row r="224">
          <cell r="C224" t="str">
            <v xml:space="preserve"> SISKIYOU</v>
          </cell>
          <cell r="D224" t="str">
            <v xml:space="preserve"> SHASTA</v>
          </cell>
          <cell r="E224">
            <v>180</v>
          </cell>
          <cell r="F224" t="str">
            <v xml:space="preserve"> 2016-2017</v>
          </cell>
          <cell r="G224" t="str">
            <v xml:space="preserve"> 04/15/2017</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t="str">
            <v xml:space="preserve"> </v>
          </cell>
          <cell r="W224">
            <v>0</v>
          </cell>
          <cell r="X224">
            <v>0</v>
          </cell>
          <cell r="Y224">
            <v>0</v>
          </cell>
          <cell r="Z224">
            <v>0</v>
          </cell>
          <cell r="AA224">
            <v>0</v>
          </cell>
          <cell r="AB224">
            <v>56262</v>
          </cell>
          <cell r="AC224">
            <v>285</v>
          </cell>
          <cell r="AD224">
            <v>2036</v>
          </cell>
          <cell r="AE224">
            <v>0</v>
          </cell>
          <cell r="AF224">
            <v>0</v>
          </cell>
          <cell r="AG224">
            <v>0</v>
          </cell>
          <cell r="AH224">
            <v>0</v>
          </cell>
          <cell r="AI224">
            <v>0</v>
          </cell>
          <cell r="AJ224">
            <v>0</v>
          </cell>
          <cell r="AK224">
            <v>15</v>
          </cell>
          <cell r="AL224">
            <v>4523</v>
          </cell>
          <cell r="AM224">
            <v>701</v>
          </cell>
          <cell r="AN224">
            <v>0</v>
          </cell>
          <cell r="AO224">
            <v>-1737</v>
          </cell>
          <cell r="AP224">
            <v>62085</v>
          </cell>
          <cell r="AQ224">
            <v>0</v>
          </cell>
          <cell r="AR224">
            <v>0</v>
          </cell>
          <cell r="AS224">
            <v>0</v>
          </cell>
          <cell r="AT224">
            <v>0</v>
          </cell>
          <cell r="AU224" t="str">
            <v xml:space="preserve"> </v>
          </cell>
          <cell r="AV224" t="str">
            <v xml:space="preserve"> </v>
          </cell>
          <cell r="AW224" t="str">
            <v xml:space="preserve"> </v>
          </cell>
        </row>
        <row r="225">
          <cell r="C225" t="str">
            <v xml:space="preserve"> SISKIYOU</v>
          </cell>
          <cell r="D225" t="str">
            <v xml:space="preserve"> SISKIYOU</v>
          </cell>
          <cell r="E225">
            <v>180</v>
          </cell>
          <cell r="F225" t="str">
            <v xml:space="preserve"> 2016-2017</v>
          </cell>
          <cell r="G225" t="str">
            <v xml:space="preserve"> 04/15/2017</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t="str">
            <v xml:space="preserve"> </v>
          </cell>
          <cell r="W225">
            <v>0</v>
          </cell>
          <cell r="X225">
            <v>0</v>
          </cell>
          <cell r="Y225">
            <v>0</v>
          </cell>
          <cell r="Z225">
            <v>0</v>
          </cell>
          <cell r="AA225">
            <v>0</v>
          </cell>
          <cell r="AB225">
            <v>3540549</v>
          </cell>
          <cell r="AC225">
            <v>27000</v>
          </cell>
          <cell r="AD225">
            <v>195000</v>
          </cell>
          <cell r="AE225">
            <v>0</v>
          </cell>
          <cell r="AF225">
            <v>0</v>
          </cell>
          <cell r="AG225">
            <v>0</v>
          </cell>
          <cell r="AH225">
            <v>0</v>
          </cell>
          <cell r="AI225">
            <v>0</v>
          </cell>
          <cell r="AJ225">
            <v>0</v>
          </cell>
          <cell r="AK225">
            <v>5000</v>
          </cell>
          <cell r="AL225">
            <v>60000</v>
          </cell>
          <cell r="AM225">
            <v>56206</v>
          </cell>
          <cell r="AN225">
            <v>0</v>
          </cell>
          <cell r="AO225">
            <v>43036</v>
          </cell>
          <cell r="AP225">
            <v>3926791</v>
          </cell>
          <cell r="AQ225">
            <v>0</v>
          </cell>
          <cell r="AR225">
            <v>0</v>
          </cell>
          <cell r="AS225">
            <v>0</v>
          </cell>
          <cell r="AT225">
            <v>0</v>
          </cell>
          <cell r="AU225" t="str">
            <v xml:space="preserve"> </v>
          </cell>
          <cell r="AV225" t="str">
            <v xml:space="preserve"> </v>
          </cell>
          <cell r="AW225" t="str">
            <v xml:space="preserve"> </v>
          </cell>
        </row>
        <row r="226">
          <cell r="C226" t="str">
            <v xml:space="preserve">SISKIYOU Subtotal       </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3596811</v>
          </cell>
          <cell r="AC226">
            <v>27285</v>
          </cell>
          <cell r="AD226">
            <v>197036</v>
          </cell>
          <cell r="AE226">
            <v>0</v>
          </cell>
          <cell r="AF226">
            <v>0</v>
          </cell>
          <cell r="AG226">
            <v>0</v>
          </cell>
          <cell r="AH226">
            <v>0</v>
          </cell>
          <cell r="AI226">
            <v>0</v>
          </cell>
          <cell r="AJ226">
            <v>0</v>
          </cell>
          <cell r="AK226">
            <v>5015</v>
          </cell>
          <cell r="AL226">
            <v>64523</v>
          </cell>
          <cell r="AM226">
            <v>56907</v>
          </cell>
          <cell r="AN226">
            <v>0</v>
          </cell>
          <cell r="AO226">
            <v>41299</v>
          </cell>
          <cell r="AP226">
            <v>3988876</v>
          </cell>
          <cell r="AQ226">
            <v>0</v>
          </cell>
          <cell r="AR226">
            <v>0</v>
          </cell>
          <cell r="AS226">
            <v>0</v>
          </cell>
          <cell r="AT226">
            <v>0</v>
          </cell>
          <cell r="AU226">
            <v>0</v>
          </cell>
          <cell r="AV226">
            <v>0</v>
          </cell>
          <cell r="AW226">
            <v>0</v>
          </cell>
        </row>
        <row r="228">
          <cell r="C228" t="str">
            <v xml:space="preserve"> SOLANO</v>
          </cell>
          <cell r="D228" t="str">
            <v xml:space="preserve"> SOLANO</v>
          </cell>
          <cell r="E228">
            <v>280</v>
          </cell>
          <cell r="F228" t="str">
            <v xml:space="preserve"> 2016-2017</v>
          </cell>
          <cell r="G228" t="str">
            <v xml:space="preserve"> 04/15/2017</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t="str">
            <v xml:space="preserve"> </v>
          </cell>
          <cell r="W228">
            <v>0</v>
          </cell>
          <cell r="X228">
            <v>0</v>
          </cell>
          <cell r="Y228">
            <v>0</v>
          </cell>
          <cell r="Z228">
            <v>0</v>
          </cell>
          <cell r="AA228">
            <v>0</v>
          </cell>
          <cell r="AB228">
            <v>10957857</v>
          </cell>
          <cell r="AC228">
            <v>223484</v>
          </cell>
          <cell r="AD228">
            <v>613003</v>
          </cell>
          <cell r="AE228">
            <v>172626</v>
          </cell>
          <cell r="AF228">
            <v>81997</v>
          </cell>
          <cell r="AG228">
            <v>0</v>
          </cell>
          <cell r="AH228">
            <v>0</v>
          </cell>
          <cell r="AI228">
            <v>2709881</v>
          </cell>
          <cell r="AJ228">
            <v>0</v>
          </cell>
          <cell r="AK228">
            <v>0</v>
          </cell>
          <cell r="AL228">
            <v>0</v>
          </cell>
          <cell r="AM228">
            <v>120903</v>
          </cell>
          <cell r="AN228">
            <v>0</v>
          </cell>
          <cell r="AO228">
            <v>1577391</v>
          </cell>
          <cell r="AP228">
            <v>16284516</v>
          </cell>
          <cell r="AQ228">
            <v>0</v>
          </cell>
          <cell r="AR228">
            <v>0</v>
          </cell>
          <cell r="AS228">
            <v>0</v>
          </cell>
          <cell r="AT228">
            <v>0</v>
          </cell>
          <cell r="AU228" t="str">
            <v xml:space="preserve"> </v>
          </cell>
          <cell r="AV228" t="str">
            <v xml:space="preserve"> </v>
          </cell>
          <cell r="AW228" t="str">
            <v xml:space="preserve"> </v>
          </cell>
        </row>
        <row r="229">
          <cell r="C229" t="str">
            <v xml:space="preserve"> SOLANO</v>
          </cell>
          <cell r="D229" t="str">
            <v xml:space="preserve"> YOLO</v>
          </cell>
          <cell r="E229">
            <v>280</v>
          </cell>
          <cell r="F229" t="str">
            <v xml:space="preserve"> 2016-2017</v>
          </cell>
          <cell r="G229" t="str">
            <v xml:space="preserve"> 04/15/2017</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t="str">
            <v xml:space="preserve"> </v>
          </cell>
          <cell r="W229">
            <v>0</v>
          </cell>
          <cell r="X229">
            <v>0</v>
          </cell>
          <cell r="Y229">
            <v>0</v>
          </cell>
          <cell r="Z229">
            <v>0</v>
          </cell>
          <cell r="AA229">
            <v>0</v>
          </cell>
          <cell r="AB229">
            <v>242484</v>
          </cell>
          <cell r="AC229">
            <v>2500</v>
          </cell>
          <cell r="AD229">
            <v>14050</v>
          </cell>
          <cell r="AE229">
            <v>0</v>
          </cell>
          <cell r="AF229">
            <v>0</v>
          </cell>
          <cell r="AG229">
            <v>0</v>
          </cell>
          <cell r="AH229">
            <v>0</v>
          </cell>
          <cell r="AI229">
            <v>0</v>
          </cell>
          <cell r="AJ229">
            <v>10351</v>
          </cell>
          <cell r="AK229">
            <v>250</v>
          </cell>
          <cell r="AL229">
            <v>0</v>
          </cell>
          <cell r="AM229">
            <v>2601</v>
          </cell>
          <cell r="AN229">
            <v>1677</v>
          </cell>
          <cell r="AO229">
            <v>0</v>
          </cell>
          <cell r="AP229">
            <v>273913</v>
          </cell>
          <cell r="AQ229">
            <v>0</v>
          </cell>
          <cell r="AR229">
            <v>0</v>
          </cell>
          <cell r="AS229">
            <v>0</v>
          </cell>
          <cell r="AT229">
            <v>0</v>
          </cell>
          <cell r="AU229" t="str">
            <v xml:space="preserve"> </v>
          </cell>
          <cell r="AV229" t="str">
            <v xml:space="preserve"> </v>
          </cell>
          <cell r="AW229" t="str">
            <v xml:space="preserve"> </v>
          </cell>
        </row>
        <row r="230">
          <cell r="C230" t="str">
            <v xml:space="preserve">SOLANO Subtotal            </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11200341</v>
          </cell>
          <cell r="AC230">
            <v>225984</v>
          </cell>
          <cell r="AD230">
            <v>627053</v>
          </cell>
          <cell r="AE230">
            <v>172626</v>
          </cell>
          <cell r="AF230">
            <v>81997</v>
          </cell>
          <cell r="AG230">
            <v>0</v>
          </cell>
          <cell r="AH230">
            <v>0</v>
          </cell>
          <cell r="AI230">
            <v>2709881</v>
          </cell>
          <cell r="AJ230">
            <v>10351</v>
          </cell>
          <cell r="AK230">
            <v>250</v>
          </cell>
          <cell r="AL230">
            <v>0</v>
          </cell>
          <cell r="AM230">
            <v>123504</v>
          </cell>
          <cell r="AN230">
            <v>1677</v>
          </cell>
          <cell r="AO230">
            <v>1577391</v>
          </cell>
          <cell r="AP230">
            <v>16558429</v>
          </cell>
          <cell r="AQ230">
            <v>0</v>
          </cell>
          <cell r="AR230">
            <v>0</v>
          </cell>
          <cell r="AS230">
            <v>0</v>
          </cell>
          <cell r="AT230">
            <v>0</v>
          </cell>
          <cell r="AU230">
            <v>0</v>
          </cell>
          <cell r="AV230">
            <v>0</v>
          </cell>
          <cell r="AW230">
            <v>0</v>
          </cell>
        </row>
        <row r="232">
          <cell r="C232" t="str">
            <v xml:space="preserve"> SONOMA</v>
          </cell>
          <cell r="D232" t="str">
            <v xml:space="preserve"> MARIN</v>
          </cell>
          <cell r="E232">
            <v>260</v>
          </cell>
          <cell r="F232" t="str">
            <v xml:space="preserve"> 2016-2017</v>
          </cell>
          <cell r="G232" t="str">
            <v xml:space="preserve"> 04/15/2017</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t="str">
            <v xml:space="preserve"> </v>
          </cell>
          <cell r="W232">
            <v>0</v>
          </cell>
          <cell r="X232">
            <v>0</v>
          </cell>
          <cell r="Y232">
            <v>0</v>
          </cell>
          <cell r="Z232">
            <v>0</v>
          </cell>
          <cell r="AA232">
            <v>0</v>
          </cell>
          <cell r="AB232">
            <v>71510</v>
          </cell>
          <cell r="AC232">
            <v>1405</v>
          </cell>
          <cell r="AD232">
            <v>1308</v>
          </cell>
          <cell r="AE232">
            <v>0</v>
          </cell>
          <cell r="AF232">
            <v>0</v>
          </cell>
          <cell r="AG232">
            <v>0</v>
          </cell>
          <cell r="AH232">
            <v>0</v>
          </cell>
          <cell r="AI232">
            <v>0</v>
          </cell>
          <cell r="AJ232">
            <v>0</v>
          </cell>
          <cell r="AK232">
            <v>107</v>
          </cell>
          <cell r="AL232">
            <v>0</v>
          </cell>
          <cell r="AM232">
            <v>346</v>
          </cell>
          <cell r="AN232">
            <v>0</v>
          </cell>
          <cell r="AO232">
            <v>0</v>
          </cell>
          <cell r="AP232">
            <v>74676</v>
          </cell>
          <cell r="AQ232">
            <v>0</v>
          </cell>
          <cell r="AR232">
            <v>0</v>
          </cell>
          <cell r="AS232">
            <v>0</v>
          </cell>
          <cell r="AT232">
            <v>0</v>
          </cell>
          <cell r="AU232" t="str">
            <v xml:space="preserve"> </v>
          </cell>
          <cell r="AV232" t="str">
            <v xml:space="preserve"> </v>
          </cell>
          <cell r="AW232" t="str">
            <v xml:space="preserve"> </v>
          </cell>
        </row>
        <row r="233">
          <cell r="C233" t="str">
            <v xml:space="preserve"> SONOMA</v>
          </cell>
          <cell r="D233" t="str">
            <v xml:space="preserve"> MENDOCINO</v>
          </cell>
          <cell r="E233">
            <v>260</v>
          </cell>
          <cell r="F233" t="str">
            <v xml:space="preserve"> 2016-2017</v>
          </cell>
          <cell r="G233" t="str">
            <v xml:space="preserve"> 04/15/2017</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t="str">
            <v xml:space="preserve"> </v>
          </cell>
          <cell r="W233">
            <v>0</v>
          </cell>
          <cell r="X233">
            <v>0</v>
          </cell>
          <cell r="Y233">
            <v>0</v>
          </cell>
          <cell r="Z233">
            <v>0</v>
          </cell>
          <cell r="AA233">
            <v>0</v>
          </cell>
          <cell r="AB233">
            <v>668970</v>
          </cell>
          <cell r="AC233">
            <v>6510</v>
          </cell>
          <cell r="AD233">
            <v>21086</v>
          </cell>
          <cell r="AE233">
            <v>0</v>
          </cell>
          <cell r="AF233">
            <v>0</v>
          </cell>
          <cell r="AG233">
            <v>0</v>
          </cell>
          <cell r="AH233">
            <v>0</v>
          </cell>
          <cell r="AI233">
            <v>0</v>
          </cell>
          <cell r="AJ233">
            <v>0</v>
          </cell>
          <cell r="AK233">
            <v>1115</v>
          </cell>
          <cell r="AL233">
            <v>2627</v>
          </cell>
          <cell r="AM233">
            <v>5954</v>
          </cell>
          <cell r="AN233">
            <v>0</v>
          </cell>
          <cell r="AO233">
            <v>0</v>
          </cell>
          <cell r="AP233">
            <v>706262</v>
          </cell>
          <cell r="AQ233">
            <v>0</v>
          </cell>
          <cell r="AR233">
            <v>0</v>
          </cell>
          <cell r="AS233">
            <v>0</v>
          </cell>
          <cell r="AT233">
            <v>0</v>
          </cell>
          <cell r="AU233" t="str">
            <v xml:space="preserve"> </v>
          </cell>
          <cell r="AV233" t="str">
            <v xml:space="preserve"> </v>
          </cell>
          <cell r="AW233" t="str">
            <v xml:space="preserve"> </v>
          </cell>
        </row>
        <row r="234">
          <cell r="C234" t="str">
            <v xml:space="preserve"> SONOMA</v>
          </cell>
          <cell r="D234" t="str">
            <v xml:space="preserve"> SONOMA</v>
          </cell>
          <cell r="E234">
            <v>260</v>
          </cell>
          <cell r="F234" t="str">
            <v xml:space="preserve"> 2016-2017</v>
          </cell>
          <cell r="G234" t="str">
            <v xml:space="preserve"> 04/15/2017</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t="str">
            <v xml:space="preserve"> </v>
          </cell>
          <cell r="W234">
            <v>0</v>
          </cell>
          <cell r="X234">
            <v>0</v>
          </cell>
          <cell r="Y234">
            <v>0</v>
          </cell>
          <cell r="Z234">
            <v>0</v>
          </cell>
          <cell r="AA234">
            <v>0</v>
          </cell>
          <cell r="AB234">
            <v>45188385</v>
          </cell>
          <cell r="AC234">
            <v>991295</v>
          </cell>
          <cell r="AD234">
            <v>1160700</v>
          </cell>
          <cell r="AE234">
            <v>920207</v>
          </cell>
          <cell r="AF234">
            <v>437098</v>
          </cell>
          <cell r="AG234">
            <v>0</v>
          </cell>
          <cell r="AH234">
            <v>0</v>
          </cell>
          <cell r="AI234">
            <v>1117431</v>
          </cell>
          <cell r="AJ234">
            <v>34511</v>
          </cell>
          <cell r="AK234">
            <v>0</v>
          </cell>
          <cell r="AL234">
            <v>7645</v>
          </cell>
          <cell r="AM234">
            <v>356169</v>
          </cell>
          <cell r="AN234">
            <v>0</v>
          </cell>
          <cell r="AO234">
            <v>3502213</v>
          </cell>
          <cell r="AP234">
            <v>52795447</v>
          </cell>
          <cell r="AQ234">
            <v>0</v>
          </cell>
          <cell r="AR234">
            <v>0</v>
          </cell>
          <cell r="AS234">
            <v>0</v>
          </cell>
          <cell r="AT234">
            <v>0</v>
          </cell>
          <cell r="AU234" t="str">
            <v xml:space="preserve"> </v>
          </cell>
          <cell r="AV234" t="str">
            <v xml:space="preserve"> </v>
          </cell>
          <cell r="AW234" t="str">
            <v xml:space="preserve"> </v>
          </cell>
        </row>
        <row r="235">
          <cell r="C235" t="str">
            <v xml:space="preserve">SONOMA Subtotal        </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45928865</v>
          </cell>
          <cell r="AC235">
            <v>999210</v>
          </cell>
          <cell r="AD235">
            <v>1183094</v>
          </cell>
          <cell r="AE235">
            <v>920207</v>
          </cell>
          <cell r="AF235">
            <v>437098</v>
          </cell>
          <cell r="AG235">
            <v>0</v>
          </cell>
          <cell r="AH235">
            <v>0</v>
          </cell>
          <cell r="AI235">
            <v>1117431</v>
          </cell>
          <cell r="AJ235">
            <v>34511</v>
          </cell>
          <cell r="AK235">
            <v>1222</v>
          </cell>
          <cell r="AL235">
            <v>10272</v>
          </cell>
          <cell r="AM235">
            <v>362469</v>
          </cell>
          <cell r="AN235">
            <v>0</v>
          </cell>
          <cell r="AO235">
            <v>3502213</v>
          </cell>
          <cell r="AP235">
            <v>53576385</v>
          </cell>
          <cell r="AQ235">
            <v>0</v>
          </cell>
          <cell r="AR235">
            <v>0</v>
          </cell>
          <cell r="AS235">
            <v>0</v>
          </cell>
          <cell r="AT235">
            <v>0</v>
          </cell>
          <cell r="AU235">
            <v>0</v>
          </cell>
          <cell r="AV235">
            <v>0</v>
          </cell>
          <cell r="AW235">
            <v>0</v>
          </cell>
        </row>
        <row r="237">
          <cell r="C237" t="str">
            <v xml:space="preserve"> SOUTH ORANGE CO.</v>
          </cell>
          <cell r="D237" t="str">
            <v xml:space="preserve"> ORANGE</v>
          </cell>
          <cell r="E237">
            <v>890</v>
          </cell>
          <cell r="F237" t="str">
            <v xml:space="preserve"> 2016-2017</v>
          </cell>
          <cell r="G237" t="str">
            <v xml:space="preserve"> 04/15/2017</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t="str">
            <v xml:space="preserve"> </v>
          </cell>
          <cell r="W237">
            <v>0</v>
          </cell>
          <cell r="X237">
            <v>0</v>
          </cell>
          <cell r="Y237">
            <v>0</v>
          </cell>
          <cell r="Z237">
            <v>0</v>
          </cell>
          <cell r="AA237">
            <v>0</v>
          </cell>
          <cell r="AB237">
            <v>184411696</v>
          </cell>
          <cell r="AC237">
            <v>4754046</v>
          </cell>
          <cell r="AD237">
            <v>5857394</v>
          </cell>
          <cell r="AE237">
            <v>917155</v>
          </cell>
          <cell r="AF237">
            <v>435649</v>
          </cell>
          <cell r="AG237">
            <v>0</v>
          </cell>
          <cell r="AH237">
            <v>0</v>
          </cell>
          <cell r="AI237">
            <v>3347621</v>
          </cell>
          <cell r="AJ237">
            <v>0</v>
          </cell>
          <cell r="AK237">
            <v>2046207</v>
          </cell>
          <cell r="AL237">
            <v>23</v>
          </cell>
          <cell r="AM237">
            <v>1174733</v>
          </cell>
          <cell r="AN237">
            <v>0</v>
          </cell>
          <cell r="AO237">
            <v>0</v>
          </cell>
          <cell r="AP237">
            <v>202027369</v>
          </cell>
          <cell r="AQ237">
            <v>0</v>
          </cell>
          <cell r="AR237">
            <v>0</v>
          </cell>
          <cell r="AS237">
            <v>0</v>
          </cell>
          <cell r="AT237">
            <v>0</v>
          </cell>
          <cell r="AU237" t="str">
            <v xml:space="preserve"> </v>
          </cell>
          <cell r="AV237" t="str">
            <v xml:space="preserve"> </v>
          </cell>
          <cell r="AW237" t="str">
            <v xml:space="preserve"> </v>
          </cell>
        </row>
        <row r="238">
          <cell r="C238" t="str">
            <v>SOUTH ORANGE CO. Subtotal</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184411696</v>
          </cell>
          <cell r="AC238">
            <v>4754046</v>
          </cell>
          <cell r="AD238">
            <v>5857394</v>
          </cell>
          <cell r="AE238">
            <v>917155</v>
          </cell>
          <cell r="AF238">
            <v>435649</v>
          </cell>
          <cell r="AG238">
            <v>0</v>
          </cell>
          <cell r="AH238">
            <v>0</v>
          </cell>
          <cell r="AI238">
            <v>3347621</v>
          </cell>
          <cell r="AJ238">
            <v>0</v>
          </cell>
          <cell r="AK238">
            <v>2046207</v>
          </cell>
          <cell r="AL238">
            <v>23</v>
          </cell>
          <cell r="AM238">
            <v>1174733</v>
          </cell>
          <cell r="AN238">
            <v>0</v>
          </cell>
          <cell r="AO238">
            <v>0</v>
          </cell>
          <cell r="AP238">
            <v>202027369</v>
          </cell>
          <cell r="AQ238">
            <v>0</v>
          </cell>
          <cell r="AR238">
            <v>0</v>
          </cell>
          <cell r="AS238">
            <v>0</v>
          </cell>
          <cell r="AT238">
            <v>0</v>
          </cell>
          <cell r="AU238">
            <v>0</v>
          </cell>
          <cell r="AV238">
            <v>0</v>
          </cell>
          <cell r="AW238">
            <v>0</v>
          </cell>
        </row>
        <row r="240">
          <cell r="C240" t="str">
            <v xml:space="preserve"> SOUTHWESTERN</v>
          </cell>
          <cell r="D240" t="str">
            <v xml:space="preserve"> SAN DIEGO</v>
          </cell>
          <cell r="E240">
            <v>90</v>
          </cell>
          <cell r="F240" t="str">
            <v xml:space="preserve"> 2016-2017</v>
          </cell>
          <cell r="G240" t="str">
            <v xml:space="preserve"> 04/15/2017</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t="str">
            <v xml:space="preserve"> </v>
          </cell>
          <cell r="W240">
            <v>0</v>
          </cell>
          <cell r="X240">
            <v>0</v>
          </cell>
          <cell r="Y240">
            <v>0</v>
          </cell>
          <cell r="Z240">
            <v>0</v>
          </cell>
          <cell r="AA240">
            <v>0</v>
          </cell>
          <cell r="AB240">
            <v>23305454</v>
          </cell>
          <cell r="AC240">
            <v>578707</v>
          </cell>
          <cell r="AD240">
            <v>760109</v>
          </cell>
          <cell r="AE240">
            <v>378774</v>
          </cell>
          <cell r="AF240">
            <v>179918</v>
          </cell>
          <cell r="AG240">
            <v>0</v>
          </cell>
          <cell r="AH240">
            <v>0</v>
          </cell>
          <cell r="AI240">
            <v>984199</v>
          </cell>
          <cell r="AJ240">
            <v>33994</v>
          </cell>
          <cell r="AK240">
            <v>-9783</v>
          </cell>
          <cell r="AL240">
            <v>0</v>
          </cell>
          <cell r="AM240">
            <v>175807</v>
          </cell>
          <cell r="AN240">
            <v>0</v>
          </cell>
          <cell r="AO240">
            <v>-284594</v>
          </cell>
          <cell r="AP240">
            <v>25723811</v>
          </cell>
          <cell r="AQ240">
            <v>0</v>
          </cell>
          <cell r="AR240">
            <v>0</v>
          </cell>
          <cell r="AS240">
            <v>0</v>
          </cell>
          <cell r="AT240">
            <v>0</v>
          </cell>
          <cell r="AU240" t="str">
            <v xml:space="preserve"> </v>
          </cell>
          <cell r="AV240" t="str">
            <v xml:space="preserve"> </v>
          </cell>
          <cell r="AW240" t="str">
            <v xml:space="preserve"> </v>
          </cell>
        </row>
        <row r="241">
          <cell r="C241" t="str">
            <v xml:space="preserve">SOUTHWESTERN Subtotal     </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23305454</v>
          </cell>
          <cell r="AC241">
            <v>578707</v>
          </cell>
          <cell r="AD241">
            <v>760109</v>
          </cell>
          <cell r="AE241">
            <v>378774</v>
          </cell>
          <cell r="AF241">
            <v>179918</v>
          </cell>
          <cell r="AG241">
            <v>0</v>
          </cell>
          <cell r="AH241">
            <v>0</v>
          </cell>
          <cell r="AI241">
            <v>984199</v>
          </cell>
          <cell r="AJ241">
            <v>33994</v>
          </cell>
          <cell r="AK241">
            <v>-9783</v>
          </cell>
          <cell r="AL241">
            <v>0</v>
          </cell>
          <cell r="AM241">
            <v>175807</v>
          </cell>
          <cell r="AN241">
            <v>0</v>
          </cell>
          <cell r="AO241">
            <v>-284594</v>
          </cell>
          <cell r="AP241">
            <v>25723811</v>
          </cell>
          <cell r="AQ241">
            <v>0</v>
          </cell>
          <cell r="AR241">
            <v>0</v>
          </cell>
          <cell r="AS241">
            <v>0</v>
          </cell>
          <cell r="AT241">
            <v>0</v>
          </cell>
          <cell r="AU241">
            <v>0</v>
          </cell>
          <cell r="AV241">
            <v>0</v>
          </cell>
          <cell r="AW241">
            <v>0</v>
          </cell>
        </row>
        <row r="243">
          <cell r="C243" t="str">
            <v xml:space="preserve"> STATE CENTER</v>
          </cell>
          <cell r="D243" t="str">
            <v xml:space="preserve"> FRESNO</v>
          </cell>
          <cell r="E243">
            <v>570</v>
          </cell>
          <cell r="F243" t="str">
            <v xml:space="preserve"> 2016-2017</v>
          </cell>
          <cell r="G243" t="str">
            <v xml:space="preserve"> 04/15/2017</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t="str">
            <v xml:space="preserve"> </v>
          </cell>
          <cell r="W243">
            <v>0</v>
          </cell>
          <cell r="X243">
            <v>0</v>
          </cell>
          <cell r="Y243">
            <v>0</v>
          </cell>
          <cell r="Z243">
            <v>0</v>
          </cell>
          <cell r="AA243">
            <v>0</v>
          </cell>
          <cell r="AB243">
            <v>31172379</v>
          </cell>
          <cell r="AC243">
            <v>397783</v>
          </cell>
          <cell r="AD243">
            <v>1510470</v>
          </cell>
          <cell r="AE243">
            <v>209356</v>
          </cell>
          <cell r="AF243">
            <v>99444</v>
          </cell>
          <cell r="AG243">
            <v>0</v>
          </cell>
          <cell r="AH243">
            <v>0</v>
          </cell>
          <cell r="AI243">
            <v>1104650</v>
          </cell>
          <cell r="AJ243">
            <v>192995</v>
          </cell>
          <cell r="AK243">
            <v>25714</v>
          </cell>
          <cell r="AL243">
            <v>2803</v>
          </cell>
          <cell r="AM243">
            <v>326228</v>
          </cell>
          <cell r="AN243">
            <v>0</v>
          </cell>
          <cell r="AO243">
            <v>-1328879</v>
          </cell>
          <cell r="AP243">
            <v>33503587</v>
          </cell>
          <cell r="AQ243">
            <v>0</v>
          </cell>
          <cell r="AR243">
            <v>0</v>
          </cell>
          <cell r="AS243">
            <v>0</v>
          </cell>
          <cell r="AT243">
            <v>0</v>
          </cell>
          <cell r="AU243" t="str">
            <v xml:space="preserve"> </v>
          </cell>
          <cell r="AV243" t="str">
            <v xml:space="preserve"> </v>
          </cell>
          <cell r="AW243" t="str">
            <v xml:space="preserve"> </v>
          </cell>
        </row>
        <row r="244">
          <cell r="C244" t="str">
            <v xml:space="preserve"> STATE CENTER</v>
          </cell>
          <cell r="D244" t="str">
            <v xml:space="preserve"> KINGS</v>
          </cell>
          <cell r="E244">
            <v>570</v>
          </cell>
          <cell r="F244" t="str">
            <v xml:space="preserve"> 2016-2017</v>
          </cell>
          <cell r="G244" t="str">
            <v xml:space="preserve"> 04/15/2017</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t="str">
            <v xml:space="preserve"> </v>
          </cell>
          <cell r="W244">
            <v>0</v>
          </cell>
          <cell r="X244">
            <v>0</v>
          </cell>
          <cell r="Y244">
            <v>0</v>
          </cell>
          <cell r="Z244">
            <v>0</v>
          </cell>
          <cell r="AA244">
            <v>0</v>
          </cell>
          <cell r="AB244">
            <v>56003</v>
          </cell>
          <cell r="AC244">
            <v>801</v>
          </cell>
          <cell r="AD244">
            <v>2630</v>
          </cell>
          <cell r="AE244">
            <v>0</v>
          </cell>
          <cell r="AF244">
            <v>0</v>
          </cell>
          <cell r="AG244">
            <v>0</v>
          </cell>
          <cell r="AH244">
            <v>0</v>
          </cell>
          <cell r="AI244">
            <v>0</v>
          </cell>
          <cell r="AJ244">
            <v>0</v>
          </cell>
          <cell r="AK244">
            <v>20229</v>
          </cell>
          <cell r="AL244">
            <v>0</v>
          </cell>
          <cell r="AM244">
            <v>661</v>
          </cell>
          <cell r="AN244">
            <v>0</v>
          </cell>
          <cell r="AO244">
            <v>-21271</v>
          </cell>
          <cell r="AP244">
            <v>59053</v>
          </cell>
          <cell r="AQ244">
            <v>0</v>
          </cell>
          <cell r="AR244">
            <v>0</v>
          </cell>
          <cell r="AS244">
            <v>0</v>
          </cell>
          <cell r="AT244">
            <v>0</v>
          </cell>
          <cell r="AU244" t="str">
            <v xml:space="preserve"> </v>
          </cell>
          <cell r="AV244" t="str">
            <v xml:space="preserve"> </v>
          </cell>
          <cell r="AW244" t="str">
            <v xml:space="preserve"> </v>
          </cell>
        </row>
        <row r="245">
          <cell r="C245" t="str">
            <v xml:space="preserve"> STATE CENTER</v>
          </cell>
          <cell r="D245" t="str">
            <v xml:space="preserve"> MADERA</v>
          </cell>
          <cell r="E245">
            <v>570</v>
          </cell>
          <cell r="F245" t="str">
            <v xml:space="preserve"> 2016-2017</v>
          </cell>
          <cell r="G245" t="str">
            <v xml:space="preserve"> 04/15/2017</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t="str">
            <v xml:space="preserve"> </v>
          </cell>
          <cell r="W245">
            <v>0</v>
          </cell>
          <cell r="X245">
            <v>0</v>
          </cell>
          <cell r="Y245">
            <v>0</v>
          </cell>
          <cell r="Z245">
            <v>0</v>
          </cell>
          <cell r="AA245">
            <v>0</v>
          </cell>
          <cell r="AB245">
            <v>7703928</v>
          </cell>
          <cell r="AC245">
            <v>0</v>
          </cell>
          <cell r="AD245">
            <v>289863</v>
          </cell>
          <cell r="AE245">
            <v>51540</v>
          </cell>
          <cell r="AF245">
            <v>24482</v>
          </cell>
          <cell r="AG245">
            <v>0</v>
          </cell>
          <cell r="AH245">
            <v>0</v>
          </cell>
          <cell r="AI245">
            <v>108728</v>
          </cell>
          <cell r="AJ245">
            <v>0</v>
          </cell>
          <cell r="AK245">
            <v>0</v>
          </cell>
          <cell r="AL245">
            <v>0</v>
          </cell>
          <cell r="AM245">
            <v>79036</v>
          </cell>
          <cell r="AN245">
            <v>0</v>
          </cell>
          <cell r="AO245">
            <v>0</v>
          </cell>
          <cell r="AP245">
            <v>8206037</v>
          </cell>
          <cell r="AQ245">
            <v>0</v>
          </cell>
          <cell r="AR245">
            <v>0</v>
          </cell>
          <cell r="AS245">
            <v>0</v>
          </cell>
          <cell r="AT245">
            <v>0</v>
          </cell>
          <cell r="AU245" t="str">
            <v xml:space="preserve"> </v>
          </cell>
          <cell r="AV245" t="str">
            <v xml:space="preserve"> </v>
          </cell>
          <cell r="AW245" t="str">
            <v xml:space="preserve"> </v>
          </cell>
        </row>
        <row r="246">
          <cell r="C246" t="str">
            <v xml:space="preserve"> STATE CENTER</v>
          </cell>
          <cell r="D246" t="str">
            <v xml:space="preserve"> TULARE</v>
          </cell>
          <cell r="E246">
            <v>570</v>
          </cell>
          <cell r="F246" t="str">
            <v xml:space="preserve"> 2016-2017</v>
          </cell>
          <cell r="G246" t="str">
            <v xml:space="preserve"> 04/15/2017</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t="str">
            <v xml:space="preserve"> </v>
          </cell>
          <cell r="W246">
            <v>0</v>
          </cell>
          <cell r="X246">
            <v>0</v>
          </cell>
          <cell r="Y246">
            <v>0</v>
          </cell>
          <cell r="Z246">
            <v>0</v>
          </cell>
          <cell r="AA246">
            <v>0</v>
          </cell>
          <cell r="AB246">
            <v>696595</v>
          </cell>
          <cell r="AC246">
            <v>9974</v>
          </cell>
          <cell r="AD246">
            <v>39743</v>
          </cell>
          <cell r="AE246">
            <v>56924</v>
          </cell>
          <cell r="AF246">
            <v>27039</v>
          </cell>
          <cell r="AG246">
            <v>0</v>
          </cell>
          <cell r="AH246">
            <v>0</v>
          </cell>
          <cell r="AI246">
            <v>45547</v>
          </cell>
          <cell r="AJ246">
            <v>0</v>
          </cell>
          <cell r="AK246">
            <v>0</v>
          </cell>
          <cell r="AL246">
            <v>0</v>
          </cell>
          <cell r="AM246">
            <v>7085</v>
          </cell>
          <cell r="AN246">
            <v>0</v>
          </cell>
          <cell r="AO246">
            <v>-49275</v>
          </cell>
          <cell r="AP246">
            <v>776708</v>
          </cell>
          <cell r="AQ246">
            <v>0</v>
          </cell>
          <cell r="AR246">
            <v>0</v>
          </cell>
          <cell r="AS246">
            <v>0</v>
          </cell>
          <cell r="AT246">
            <v>0</v>
          </cell>
          <cell r="AU246" t="str">
            <v xml:space="preserve"> </v>
          </cell>
          <cell r="AV246" t="str">
            <v xml:space="preserve"> </v>
          </cell>
          <cell r="AW246" t="str">
            <v xml:space="preserve"> </v>
          </cell>
        </row>
        <row r="247">
          <cell r="C247" t="str">
            <v xml:space="preserve">STATE CENTER Subtotal     </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39628905</v>
          </cell>
          <cell r="AC247">
            <v>408558</v>
          </cell>
          <cell r="AD247">
            <v>1842706</v>
          </cell>
          <cell r="AE247">
            <v>317820</v>
          </cell>
          <cell r="AF247">
            <v>150965</v>
          </cell>
          <cell r="AG247">
            <v>0</v>
          </cell>
          <cell r="AH247">
            <v>0</v>
          </cell>
          <cell r="AI247">
            <v>1258925</v>
          </cell>
          <cell r="AJ247">
            <v>192995</v>
          </cell>
          <cell r="AK247">
            <v>45943</v>
          </cell>
          <cell r="AL247">
            <v>2803</v>
          </cell>
          <cell r="AM247">
            <v>413010</v>
          </cell>
          <cell r="AN247">
            <v>0</v>
          </cell>
          <cell r="AO247">
            <v>-1399425</v>
          </cell>
          <cell r="AP247">
            <v>42545385</v>
          </cell>
          <cell r="AQ247">
            <v>0</v>
          </cell>
          <cell r="AR247">
            <v>0</v>
          </cell>
          <cell r="AS247">
            <v>0</v>
          </cell>
          <cell r="AT247">
            <v>0</v>
          </cell>
          <cell r="AU247">
            <v>0</v>
          </cell>
          <cell r="AV247">
            <v>0</v>
          </cell>
          <cell r="AW247">
            <v>0</v>
          </cell>
        </row>
        <row r="249">
          <cell r="C249" t="str">
            <v xml:space="preserve"> VENTURA</v>
          </cell>
          <cell r="D249" t="str">
            <v xml:space="preserve"> VENTURA</v>
          </cell>
          <cell r="E249">
            <v>680</v>
          </cell>
          <cell r="F249" t="str">
            <v xml:space="preserve"> 2016-2017</v>
          </cell>
          <cell r="G249" t="str">
            <v xml:space="preserve"> 04/15/2017</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t="str">
            <v xml:space="preserve"> </v>
          </cell>
          <cell r="W249">
            <v>0</v>
          </cell>
          <cell r="X249">
            <v>0</v>
          </cell>
          <cell r="Y249">
            <v>0</v>
          </cell>
          <cell r="Z249">
            <v>0</v>
          </cell>
          <cell r="AA249">
            <v>0</v>
          </cell>
          <cell r="AB249">
            <v>55768038</v>
          </cell>
          <cell r="AC249">
            <v>622054</v>
          </cell>
          <cell r="AD249">
            <v>1524451</v>
          </cell>
          <cell r="AE249">
            <v>2493198</v>
          </cell>
          <cell r="AF249">
            <v>1184269</v>
          </cell>
          <cell r="AG249">
            <v>0</v>
          </cell>
          <cell r="AH249">
            <v>0</v>
          </cell>
          <cell r="AI249">
            <v>3358501</v>
          </cell>
          <cell r="AJ249">
            <v>67544</v>
          </cell>
          <cell r="AK249">
            <v>93400</v>
          </cell>
          <cell r="AL249">
            <v>52</v>
          </cell>
          <cell r="AM249">
            <v>471909</v>
          </cell>
          <cell r="AN249">
            <v>2824</v>
          </cell>
          <cell r="AO249">
            <v>1228702</v>
          </cell>
          <cell r="AP249">
            <v>64321744</v>
          </cell>
          <cell r="AQ249">
            <v>0</v>
          </cell>
          <cell r="AR249">
            <v>0</v>
          </cell>
          <cell r="AS249">
            <v>0</v>
          </cell>
          <cell r="AT249">
            <v>0</v>
          </cell>
          <cell r="AU249" t="str">
            <v xml:space="preserve"> </v>
          </cell>
          <cell r="AV249" t="str">
            <v xml:space="preserve"> </v>
          </cell>
          <cell r="AW249" t="str">
            <v xml:space="preserve"> </v>
          </cell>
        </row>
        <row r="250">
          <cell r="C250" t="str">
            <v xml:space="preserve">VENTURA Subtotal           </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55768038</v>
          </cell>
          <cell r="AC250">
            <v>622054</v>
          </cell>
          <cell r="AD250">
            <v>1524451</v>
          </cell>
          <cell r="AE250">
            <v>2493198</v>
          </cell>
          <cell r="AF250">
            <v>1184269</v>
          </cell>
          <cell r="AG250">
            <v>0</v>
          </cell>
          <cell r="AH250">
            <v>0</v>
          </cell>
          <cell r="AI250">
            <v>3358501</v>
          </cell>
          <cell r="AJ250">
            <v>67544</v>
          </cell>
          <cell r="AK250">
            <v>93400</v>
          </cell>
          <cell r="AL250">
            <v>52</v>
          </cell>
          <cell r="AM250">
            <v>471909</v>
          </cell>
          <cell r="AN250">
            <v>2824</v>
          </cell>
          <cell r="AO250">
            <v>1228702</v>
          </cell>
          <cell r="AP250">
            <v>64321744</v>
          </cell>
          <cell r="AQ250">
            <v>0</v>
          </cell>
          <cell r="AR250">
            <v>0</v>
          </cell>
          <cell r="AS250">
            <v>0</v>
          </cell>
          <cell r="AT250">
            <v>0</v>
          </cell>
          <cell r="AU250">
            <v>0</v>
          </cell>
          <cell r="AV250">
            <v>0</v>
          </cell>
          <cell r="AW250">
            <v>0</v>
          </cell>
        </row>
        <row r="252">
          <cell r="C252" t="str">
            <v xml:space="preserve"> VICTOR VALLEY</v>
          </cell>
          <cell r="D252" t="str">
            <v xml:space="preserve"> LOS ANGELES</v>
          </cell>
          <cell r="E252">
            <v>990</v>
          </cell>
          <cell r="F252" t="str">
            <v xml:space="preserve"> 2016-2017</v>
          </cell>
          <cell r="G252" t="str">
            <v xml:space="preserve"> 04/15/2017</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t="str">
            <v xml:space="preserve"> </v>
          </cell>
          <cell r="W252">
            <v>0</v>
          </cell>
          <cell r="X252">
            <v>0</v>
          </cell>
          <cell r="Y252">
            <v>0</v>
          </cell>
          <cell r="Z252">
            <v>0</v>
          </cell>
          <cell r="AA252">
            <v>0</v>
          </cell>
          <cell r="AB252">
            <v>19878</v>
          </cell>
          <cell r="AC252">
            <v>518</v>
          </cell>
          <cell r="AD252">
            <v>652</v>
          </cell>
          <cell r="AE252">
            <v>0</v>
          </cell>
          <cell r="AF252">
            <v>0</v>
          </cell>
          <cell r="AG252">
            <v>0</v>
          </cell>
          <cell r="AH252">
            <v>0</v>
          </cell>
          <cell r="AI252">
            <v>0</v>
          </cell>
          <cell r="AJ252">
            <v>0</v>
          </cell>
          <cell r="AK252">
            <v>588</v>
          </cell>
          <cell r="AL252">
            <v>0</v>
          </cell>
          <cell r="AM252">
            <v>117</v>
          </cell>
          <cell r="AN252">
            <v>0</v>
          </cell>
          <cell r="AO252">
            <v>0</v>
          </cell>
          <cell r="AP252">
            <v>21753</v>
          </cell>
          <cell r="AQ252">
            <v>0</v>
          </cell>
          <cell r="AR252">
            <v>0</v>
          </cell>
          <cell r="AS252">
            <v>0</v>
          </cell>
          <cell r="AT252">
            <v>0</v>
          </cell>
          <cell r="AU252" t="str">
            <v xml:space="preserve"> </v>
          </cell>
          <cell r="AV252" t="str">
            <v xml:space="preserve"> </v>
          </cell>
          <cell r="AW252" t="str">
            <v xml:space="preserve"> </v>
          </cell>
        </row>
        <row r="253">
          <cell r="C253" t="str">
            <v xml:space="preserve"> VICTOR VALLEY</v>
          </cell>
          <cell r="D253" t="str">
            <v xml:space="preserve"> SAN BERNARDINO</v>
          </cell>
          <cell r="E253">
            <v>990</v>
          </cell>
          <cell r="F253" t="str">
            <v xml:space="preserve"> 2016-2017</v>
          </cell>
          <cell r="G253" t="str">
            <v xml:space="preserve"> 04/15/2017</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t="str">
            <v xml:space="preserve"> </v>
          </cell>
          <cell r="W253">
            <v>0</v>
          </cell>
          <cell r="X253">
            <v>0</v>
          </cell>
          <cell r="Y253">
            <v>0</v>
          </cell>
          <cell r="Z253">
            <v>0</v>
          </cell>
          <cell r="AA253">
            <v>0</v>
          </cell>
          <cell r="AB253">
            <v>12100751</v>
          </cell>
          <cell r="AC253">
            <v>216933</v>
          </cell>
          <cell r="AD253">
            <v>429917</v>
          </cell>
          <cell r="AE253">
            <v>242682</v>
          </cell>
          <cell r="AF253">
            <v>115274</v>
          </cell>
          <cell r="AG253">
            <v>0</v>
          </cell>
          <cell r="AH253">
            <v>0</v>
          </cell>
          <cell r="AI253">
            <v>208543</v>
          </cell>
          <cell r="AJ253">
            <v>0</v>
          </cell>
          <cell r="AK253">
            <v>16829</v>
          </cell>
          <cell r="AL253">
            <v>0</v>
          </cell>
          <cell r="AM253">
            <v>133122</v>
          </cell>
          <cell r="AN253">
            <v>0</v>
          </cell>
          <cell r="AO253">
            <v>-2766137</v>
          </cell>
          <cell r="AP253">
            <v>10455232</v>
          </cell>
          <cell r="AQ253">
            <v>0</v>
          </cell>
          <cell r="AR253">
            <v>0</v>
          </cell>
          <cell r="AS253">
            <v>0</v>
          </cell>
          <cell r="AT253">
            <v>0</v>
          </cell>
          <cell r="AU253" t="str">
            <v xml:space="preserve"> </v>
          </cell>
          <cell r="AV253" t="str">
            <v xml:space="preserve"> </v>
          </cell>
          <cell r="AW253" t="str">
            <v xml:space="preserve"> </v>
          </cell>
        </row>
        <row r="254">
          <cell r="C254" t="str">
            <v>VICTOR VALLEY Subtotal</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12120629</v>
          </cell>
          <cell r="AC254">
            <v>217451</v>
          </cell>
          <cell r="AD254">
            <v>430569</v>
          </cell>
          <cell r="AE254">
            <v>242682</v>
          </cell>
          <cell r="AF254">
            <v>115274</v>
          </cell>
          <cell r="AG254">
            <v>0</v>
          </cell>
          <cell r="AH254">
            <v>0</v>
          </cell>
          <cell r="AI254">
            <v>208543</v>
          </cell>
          <cell r="AJ254">
            <v>0</v>
          </cell>
          <cell r="AK254">
            <v>17417</v>
          </cell>
          <cell r="AL254">
            <v>0</v>
          </cell>
          <cell r="AM254">
            <v>133239</v>
          </cell>
          <cell r="AN254">
            <v>0</v>
          </cell>
          <cell r="AO254">
            <v>-2766137</v>
          </cell>
          <cell r="AP254">
            <v>10476985</v>
          </cell>
          <cell r="AQ254">
            <v>0</v>
          </cell>
          <cell r="AR254">
            <v>0</v>
          </cell>
          <cell r="AS254">
            <v>0</v>
          </cell>
          <cell r="AT254">
            <v>0</v>
          </cell>
          <cell r="AU254">
            <v>0</v>
          </cell>
          <cell r="AV254">
            <v>0</v>
          </cell>
          <cell r="AW254">
            <v>0</v>
          </cell>
        </row>
        <row r="256">
          <cell r="C256" t="str">
            <v xml:space="preserve"> WEST HILLS</v>
          </cell>
          <cell r="D256" t="str">
            <v xml:space="preserve"> FRESNO</v>
          </cell>
          <cell r="E256">
            <v>580</v>
          </cell>
          <cell r="F256" t="str">
            <v xml:space="preserve"> 2016-2017</v>
          </cell>
          <cell r="G256" t="str">
            <v xml:space="preserve"> 04/15/2017</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t="str">
            <v xml:space="preserve"> </v>
          </cell>
          <cell r="W256">
            <v>0</v>
          </cell>
          <cell r="X256">
            <v>0</v>
          </cell>
          <cell r="Y256">
            <v>0</v>
          </cell>
          <cell r="Z256">
            <v>0</v>
          </cell>
          <cell r="AA256">
            <v>0</v>
          </cell>
          <cell r="AB256">
            <v>3885972</v>
          </cell>
          <cell r="AC256">
            <v>53006</v>
          </cell>
          <cell r="AD256">
            <v>198820</v>
          </cell>
          <cell r="AE256">
            <v>25919</v>
          </cell>
          <cell r="AF256">
            <v>12312</v>
          </cell>
          <cell r="AG256">
            <v>0</v>
          </cell>
          <cell r="AH256">
            <v>0</v>
          </cell>
          <cell r="AI256">
            <v>125252</v>
          </cell>
          <cell r="AJ256">
            <v>0</v>
          </cell>
          <cell r="AK256">
            <v>3453</v>
          </cell>
          <cell r="AL256">
            <v>0</v>
          </cell>
          <cell r="AM256">
            <v>42776</v>
          </cell>
          <cell r="AN256">
            <v>0</v>
          </cell>
          <cell r="AO256">
            <v>-169289</v>
          </cell>
          <cell r="AP256">
            <v>4152302</v>
          </cell>
          <cell r="AQ256">
            <v>0</v>
          </cell>
          <cell r="AR256">
            <v>0</v>
          </cell>
          <cell r="AS256">
            <v>0</v>
          </cell>
          <cell r="AT256">
            <v>0</v>
          </cell>
          <cell r="AU256" t="str">
            <v xml:space="preserve"> </v>
          </cell>
          <cell r="AV256" t="str">
            <v xml:space="preserve"> </v>
          </cell>
          <cell r="AW256" t="str">
            <v xml:space="preserve"> </v>
          </cell>
        </row>
        <row r="257">
          <cell r="C257" t="str">
            <v xml:space="preserve"> WEST HILLS</v>
          </cell>
          <cell r="D257" t="str">
            <v xml:space="preserve"> KINGS</v>
          </cell>
          <cell r="E257">
            <v>580</v>
          </cell>
          <cell r="F257" t="str">
            <v xml:space="preserve"> 2016-2017</v>
          </cell>
          <cell r="G257" t="str">
            <v xml:space="preserve"> 04/15/2017</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t="str">
            <v xml:space="preserve"> </v>
          </cell>
          <cell r="W257">
            <v>0</v>
          </cell>
          <cell r="X257">
            <v>0</v>
          </cell>
          <cell r="Y257">
            <v>0</v>
          </cell>
          <cell r="Z257">
            <v>0</v>
          </cell>
          <cell r="AA257">
            <v>0</v>
          </cell>
          <cell r="AB257">
            <v>1033123</v>
          </cell>
          <cell r="AC257">
            <v>22251</v>
          </cell>
          <cell r="AD257">
            <v>49659</v>
          </cell>
          <cell r="AE257">
            <v>25777</v>
          </cell>
          <cell r="AF257">
            <v>12244</v>
          </cell>
          <cell r="AG257">
            <v>0</v>
          </cell>
          <cell r="AH257">
            <v>0</v>
          </cell>
          <cell r="AI257">
            <v>241700</v>
          </cell>
          <cell r="AJ257">
            <v>0</v>
          </cell>
          <cell r="AK257">
            <v>20229</v>
          </cell>
          <cell r="AL257">
            <v>0</v>
          </cell>
          <cell r="AM257">
            <v>12187</v>
          </cell>
          <cell r="AN257">
            <v>0</v>
          </cell>
          <cell r="AO257">
            <v>-392331</v>
          </cell>
          <cell r="AP257">
            <v>999062</v>
          </cell>
          <cell r="AQ257">
            <v>0</v>
          </cell>
          <cell r="AR257">
            <v>0</v>
          </cell>
          <cell r="AS257">
            <v>0</v>
          </cell>
          <cell r="AT257">
            <v>0</v>
          </cell>
          <cell r="AU257" t="str">
            <v xml:space="preserve"> </v>
          </cell>
          <cell r="AV257" t="str">
            <v xml:space="preserve"> </v>
          </cell>
          <cell r="AW257" t="str">
            <v xml:space="preserve"> </v>
          </cell>
        </row>
        <row r="258">
          <cell r="C258" t="str">
            <v xml:space="preserve"> WEST HILLS</v>
          </cell>
          <cell r="D258" t="str">
            <v xml:space="preserve"> MADERA</v>
          </cell>
          <cell r="E258">
            <v>580</v>
          </cell>
          <cell r="F258" t="str">
            <v xml:space="preserve"> 2016-2017</v>
          </cell>
          <cell r="G258" t="str">
            <v xml:space="preserve"> 04/15/2017</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t="str">
            <v xml:space="preserve"> </v>
          </cell>
          <cell r="W258">
            <v>0</v>
          </cell>
          <cell r="X258">
            <v>0</v>
          </cell>
          <cell r="Y258">
            <v>0</v>
          </cell>
          <cell r="Z258">
            <v>0</v>
          </cell>
          <cell r="AA258">
            <v>0</v>
          </cell>
          <cell r="AB258">
            <v>411536</v>
          </cell>
          <cell r="AC258">
            <v>0</v>
          </cell>
          <cell r="AD258">
            <v>18127</v>
          </cell>
          <cell r="AE258">
            <v>0</v>
          </cell>
          <cell r="AF258">
            <v>0</v>
          </cell>
          <cell r="AG258">
            <v>0</v>
          </cell>
          <cell r="AH258">
            <v>0</v>
          </cell>
          <cell r="AI258">
            <v>0</v>
          </cell>
          <cell r="AJ258">
            <v>0</v>
          </cell>
          <cell r="AK258">
            <v>0</v>
          </cell>
          <cell r="AL258">
            <v>0</v>
          </cell>
          <cell r="AM258">
            <v>4095</v>
          </cell>
          <cell r="AN258">
            <v>0</v>
          </cell>
          <cell r="AO258">
            <v>0</v>
          </cell>
          <cell r="AP258">
            <v>433758</v>
          </cell>
          <cell r="AQ258">
            <v>0</v>
          </cell>
          <cell r="AR258">
            <v>0</v>
          </cell>
          <cell r="AS258">
            <v>0</v>
          </cell>
          <cell r="AT258">
            <v>0</v>
          </cell>
          <cell r="AU258" t="str">
            <v xml:space="preserve"> </v>
          </cell>
          <cell r="AV258" t="str">
            <v xml:space="preserve"> </v>
          </cell>
          <cell r="AW258" t="str">
            <v xml:space="preserve"> </v>
          </cell>
        </row>
        <row r="259">
          <cell r="C259" t="str">
            <v xml:space="preserve"> WEST HILLS</v>
          </cell>
          <cell r="D259" t="str">
            <v xml:space="preserve"> MONTEREY</v>
          </cell>
          <cell r="E259">
            <v>580</v>
          </cell>
          <cell r="F259" t="str">
            <v xml:space="preserve"> 2016-2017</v>
          </cell>
          <cell r="G259" t="str">
            <v xml:space="preserve"> 04/15/2017</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t="str">
            <v xml:space="preserve"> </v>
          </cell>
          <cell r="W259">
            <v>0</v>
          </cell>
          <cell r="X259">
            <v>0</v>
          </cell>
          <cell r="Y259">
            <v>0</v>
          </cell>
          <cell r="Z259">
            <v>0</v>
          </cell>
          <cell r="AA259">
            <v>0</v>
          </cell>
          <cell r="AB259">
            <v>8273</v>
          </cell>
          <cell r="AC259">
            <v>110</v>
          </cell>
          <cell r="AD259">
            <v>314</v>
          </cell>
          <cell r="AE259">
            <v>0</v>
          </cell>
          <cell r="AF259">
            <v>0</v>
          </cell>
          <cell r="AG259">
            <v>0</v>
          </cell>
          <cell r="AH259">
            <v>0</v>
          </cell>
          <cell r="AI259">
            <v>0</v>
          </cell>
          <cell r="AJ259">
            <v>0</v>
          </cell>
          <cell r="AK259">
            <v>81</v>
          </cell>
          <cell r="AL259">
            <v>0</v>
          </cell>
          <cell r="AM259">
            <v>44</v>
          </cell>
          <cell r="AN259">
            <v>0</v>
          </cell>
          <cell r="AO259">
            <v>0</v>
          </cell>
          <cell r="AP259">
            <v>8822</v>
          </cell>
          <cell r="AQ259">
            <v>0</v>
          </cell>
          <cell r="AR259">
            <v>0</v>
          </cell>
          <cell r="AS259">
            <v>0</v>
          </cell>
          <cell r="AT259">
            <v>0</v>
          </cell>
          <cell r="AU259" t="str">
            <v xml:space="preserve"> </v>
          </cell>
          <cell r="AV259" t="str">
            <v xml:space="preserve"> </v>
          </cell>
          <cell r="AW259" t="str">
            <v xml:space="preserve"> </v>
          </cell>
        </row>
        <row r="260">
          <cell r="C260" t="str">
            <v xml:space="preserve"> WEST HILLS</v>
          </cell>
          <cell r="D260" t="str">
            <v xml:space="preserve"> SAN BENITO</v>
          </cell>
          <cell r="E260">
            <v>580</v>
          </cell>
          <cell r="F260" t="str">
            <v xml:space="preserve"> 2016-2017</v>
          </cell>
          <cell r="G260" t="str">
            <v xml:space="preserve"> 04/15/2017</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t="str">
            <v xml:space="preserve"> </v>
          </cell>
          <cell r="W260">
            <v>0</v>
          </cell>
          <cell r="X260">
            <v>0</v>
          </cell>
          <cell r="Y260">
            <v>0</v>
          </cell>
          <cell r="Z260">
            <v>0</v>
          </cell>
          <cell r="AA260">
            <v>0</v>
          </cell>
          <cell r="AB260">
            <v>1395</v>
          </cell>
          <cell r="AC260">
            <v>38</v>
          </cell>
          <cell r="AD260">
            <v>78</v>
          </cell>
          <cell r="AE260">
            <v>0</v>
          </cell>
          <cell r="AF260">
            <v>0</v>
          </cell>
          <cell r="AG260">
            <v>0</v>
          </cell>
          <cell r="AH260">
            <v>0</v>
          </cell>
          <cell r="AI260">
            <v>0</v>
          </cell>
          <cell r="AJ260">
            <v>0</v>
          </cell>
          <cell r="AK260">
            <v>0</v>
          </cell>
          <cell r="AL260">
            <v>0</v>
          </cell>
          <cell r="AM260">
            <v>11</v>
          </cell>
          <cell r="AN260">
            <v>0</v>
          </cell>
          <cell r="AO260">
            <v>21</v>
          </cell>
          <cell r="AP260">
            <v>1543</v>
          </cell>
          <cell r="AQ260">
            <v>0</v>
          </cell>
          <cell r="AR260">
            <v>0</v>
          </cell>
          <cell r="AS260">
            <v>0</v>
          </cell>
          <cell r="AT260">
            <v>0</v>
          </cell>
          <cell r="AU260" t="str">
            <v xml:space="preserve"> </v>
          </cell>
          <cell r="AV260" t="str">
            <v xml:space="preserve"> </v>
          </cell>
          <cell r="AW260" t="str">
            <v xml:space="preserve"> </v>
          </cell>
        </row>
        <row r="261">
          <cell r="C261" t="str">
            <v>WEST HILLS Subtotal</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5340299</v>
          </cell>
          <cell r="AC261">
            <v>75405</v>
          </cell>
          <cell r="AD261">
            <v>266998</v>
          </cell>
          <cell r="AE261">
            <v>51696</v>
          </cell>
          <cell r="AF261">
            <v>24556</v>
          </cell>
          <cell r="AG261">
            <v>0</v>
          </cell>
          <cell r="AH261">
            <v>0</v>
          </cell>
          <cell r="AI261">
            <v>366952</v>
          </cell>
          <cell r="AJ261">
            <v>0</v>
          </cell>
          <cell r="AK261">
            <v>23763</v>
          </cell>
          <cell r="AL261">
            <v>0</v>
          </cell>
          <cell r="AM261">
            <v>59113</v>
          </cell>
          <cell r="AN261">
            <v>0</v>
          </cell>
          <cell r="AO261">
            <v>-561599</v>
          </cell>
          <cell r="AP261">
            <v>5595487</v>
          </cell>
          <cell r="AQ261">
            <v>0</v>
          </cell>
          <cell r="AR261">
            <v>0</v>
          </cell>
          <cell r="AS261">
            <v>0</v>
          </cell>
          <cell r="AT261">
            <v>0</v>
          </cell>
          <cell r="AU261">
            <v>0</v>
          </cell>
          <cell r="AV261">
            <v>0</v>
          </cell>
          <cell r="AW261">
            <v>0</v>
          </cell>
        </row>
        <row r="263">
          <cell r="C263" t="str">
            <v xml:space="preserve"> WEST KERN</v>
          </cell>
          <cell r="D263" t="str">
            <v xml:space="preserve"> KERN</v>
          </cell>
          <cell r="E263">
            <v>690</v>
          </cell>
          <cell r="F263" t="str">
            <v xml:space="preserve"> 2016-2017</v>
          </cell>
          <cell r="G263" t="str">
            <v xml:space="preserve"> 04/15/2017</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t="str">
            <v xml:space="preserve"> </v>
          </cell>
          <cell r="W263">
            <v>0</v>
          </cell>
          <cell r="X263">
            <v>0</v>
          </cell>
          <cell r="Y263">
            <v>0</v>
          </cell>
          <cell r="Z263">
            <v>0</v>
          </cell>
          <cell r="AA263">
            <v>0</v>
          </cell>
          <cell r="AB263">
            <v>3704505</v>
          </cell>
          <cell r="AC263">
            <v>280544</v>
          </cell>
          <cell r="AD263">
            <v>458113</v>
          </cell>
          <cell r="AE263">
            <v>0</v>
          </cell>
          <cell r="AF263">
            <v>0</v>
          </cell>
          <cell r="AG263">
            <v>0</v>
          </cell>
          <cell r="AH263">
            <v>0</v>
          </cell>
          <cell r="AI263">
            <v>0</v>
          </cell>
          <cell r="AJ263">
            <v>0</v>
          </cell>
          <cell r="AK263">
            <v>0</v>
          </cell>
          <cell r="AL263">
            <v>0</v>
          </cell>
          <cell r="AM263">
            <v>43467</v>
          </cell>
          <cell r="AN263">
            <v>0</v>
          </cell>
          <cell r="AO263">
            <v>0</v>
          </cell>
          <cell r="AP263">
            <v>4486629</v>
          </cell>
          <cell r="AQ263">
            <v>0</v>
          </cell>
          <cell r="AR263">
            <v>0</v>
          </cell>
          <cell r="AS263">
            <v>0</v>
          </cell>
          <cell r="AT263">
            <v>0</v>
          </cell>
          <cell r="AU263" t="str">
            <v xml:space="preserve"> </v>
          </cell>
          <cell r="AV263" t="str">
            <v xml:space="preserve"> </v>
          </cell>
          <cell r="AW263" t="str">
            <v xml:space="preserve"> </v>
          </cell>
        </row>
        <row r="264">
          <cell r="C264" t="str">
            <v xml:space="preserve">WEST KERN Subtotal       </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3704505</v>
          </cell>
          <cell r="AC264">
            <v>280544</v>
          </cell>
          <cell r="AD264">
            <v>458113</v>
          </cell>
          <cell r="AE264">
            <v>0</v>
          </cell>
          <cell r="AF264">
            <v>0</v>
          </cell>
          <cell r="AG264">
            <v>0</v>
          </cell>
          <cell r="AH264">
            <v>0</v>
          </cell>
          <cell r="AI264">
            <v>0</v>
          </cell>
          <cell r="AJ264">
            <v>0</v>
          </cell>
          <cell r="AK264">
            <v>0</v>
          </cell>
          <cell r="AL264">
            <v>0</v>
          </cell>
          <cell r="AM264">
            <v>43467</v>
          </cell>
          <cell r="AN264">
            <v>0</v>
          </cell>
          <cell r="AO264">
            <v>0</v>
          </cell>
          <cell r="AP264">
            <v>4486629</v>
          </cell>
          <cell r="AQ264">
            <v>0</v>
          </cell>
          <cell r="AR264">
            <v>0</v>
          </cell>
          <cell r="AS264">
            <v>0</v>
          </cell>
          <cell r="AT264">
            <v>0</v>
          </cell>
          <cell r="AU264">
            <v>0</v>
          </cell>
          <cell r="AV264">
            <v>0</v>
          </cell>
          <cell r="AW264">
            <v>0</v>
          </cell>
        </row>
        <row r="266">
          <cell r="C266" t="str">
            <v xml:space="preserve"> WEST VALLEY</v>
          </cell>
          <cell r="D266" t="str">
            <v xml:space="preserve"> SANTA CLARA</v>
          </cell>
          <cell r="E266">
            <v>490</v>
          </cell>
          <cell r="F266" t="str">
            <v xml:space="preserve"> 2016-2017</v>
          </cell>
          <cell r="G266" t="str">
            <v xml:space="preserve"> 04/15/2017</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t="str">
            <v xml:space="preserve"> </v>
          </cell>
          <cell r="W266">
            <v>0</v>
          </cell>
          <cell r="X266">
            <v>0</v>
          </cell>
          <cell r="Y266">
            <v>0</v>
          </cell>
          <cell r="Z266">
            <v>0</v>
          </cell>
          <cell r="AA266">
            <v>0</v>
          </cell>
          <cell r="AB266">
            <v>84095096</v>
          </cell>
          <cell r="AC266">
            <v>3387000</v>
          </cell>
          <cell r="AD266">
            <v>6913111</v>
          </cell>
          <cell r="AE266">
            <v>3986066</v>
          </cell>
          <cell r="AF266">
            <v>1893381</v>
          </cell>
          <cell r="AG266">
            <v>0</v>
          </cell>
          <cell r="AH266">
            <v>0</v>
          </cell>
          <cell r="AI266">
            <v>6939549</v>
          </cell>
          <cell r="AJ266">
            <v>8070618</v>
          </cell>
          <cell r="AK266">
            <v>0</v>
          </cell>
          <cell r="AL266">
            <v>56</v>
          </cell>
          <cell r="AM266">
            <v>501871</v>
          </cell>
          <cell r="AN266">
            <v>0</v>
          </cell>
          <cell r="AO266">
            <v>0</v>
          </cell>
          <cell r="AP266">
            <v>111800682</v>
          </cell>
          <cell r="AQ266">
            <v>0</v>
          </cell>
          <cell r="AR266">
            <v>0</v>
          </cell>
          <cell r="AS266">
            <v>0</v>
          </cell>
          <cell r="AT266">
            <v>0</v>
          </cell>
          <cell r="AU266" t="str">
            <v xml:space="preserve"> </v>
          </cell>
          <cell r="AV266" t="str">
            <v xml:space="preserve"> </v>
          </cell>
          <cell r="AW266" t="str">
            <v xml:space="preserve"> </v>
          </cell>
        </row>
        <row r="267">
          <cell r="C267" t="str">
            <v xml:space="preserve"> WEST VALLEY</v>
          </cell>
          <cell r="D267" t="str">
            <v xml:space="preserve"> SANTA CRUZ</v>
          </cell>
          <cell r="E267">
            <v>490</v>
          </cell>
          <cell r="F267" t="str">
            <v xml:space="preserve"> 2016-2017</v>
          </cell>
          <cell r="G267" t="str">
            <v xml:space="preserve"> 04/15/2017</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t="str">
            <v xml:space="preserve"> </v>
          </cell>
          <cell r="W267">
            <v>0</v>
          </cell>
          <cell r="X267">
            <v>0</v>
          </cell>
          <cell r="Y267">
            <v>0</v>
          </cell>
          <cell r="Z267">
            <v>0</v>
          </cell>
          <cell r="AA267">
            <v>0</v>
          </cell>
          <cell r="AB267">
            <v>1103001</v>
          </cell>
          <cell r="AC267">
            <v>0</v>
          </cell>
          <cell r="AD267">
            <v>22517</v>
          </cell>
          <cell r="AE267">
            <v>0</v>
          </cell>
          <cell r="AF267">
            <v>0</v>
          </cell>
          <cell r="AG267">
            <v>0</v>
          </cell>
          <cell r="AH267">
            <v>0</v>
          </cell>
          <cell r="AI267">
            <v>0</v>
          </cell>
          <cell r="AJ267">
            <v>0</v>
          </cell>
          <cell r="AK267">
            <v>1955</v>
          </cell>
          <cell r="AL267">
            <v>0</v>
          </cell>
          <cell r="AM267">
            <v>7580</v>
          </cell>
          <cell r="AN267">
            <v>0</v>
          </cell>
          <cell r="AO267">
            <v>0</v>
          </cell>
          <cell r="AP267">
            <v>1135053</v>
          </cell>
          <cell r="AQ267">
            <v>0</v>
          </cell>
          <cell r="AR267">
            <v>0</v>
          </cell>
          <cell r="AS267">
            <v>0</v>
          </cell>
          <cell r="AT267">
            <v>0</v>
          </cell>
          <cell r="AU267" t="str">
            <v xml:space="preserve"> </v>
          </cell>
          <cell r="AV267" t="str">
            <v xml:space="preserve"> </v>
          </cell>
          <cell r="AW267" t="str">
            <v xml:space="preserve"> </v>
          </cell>
        </row>
        <row r="268">
          <cell r="C268" t="str">
            <v xml:space="preserve">WEST VALLEY Subtotal       </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85198097</v>
          </cell>
          <cell r="AC268">
            <v>3387000</v>
          </cell>
          <cell r="AD268">
            <v>6935628</v>
          </cell>
          <cell r="AE268">
            <v>3986066</v>
          </cell>
          <cell r="AF268">
            <v>1893381</v>
          </cell>
          <cell r="AG268">
            <v>0</v>
          </cell>
          <cell r="AH268">
            <v>0</v>
          </cell>
          <cell r="AI268">
            <v>6939549</v>
          </cell>
          <cell r="AJ268">
            <v>8070618</v>
          </cell>
          <cell r="AK268">
            <v>1955</v>
          </cell>
          <cell r="AL268">
            <v>56</v>
          </cell>
          <cell r="AM268">
            <v>509451</v>
          </cell>
          <cell r="AN268">
            <v>0</v>
          </cell>
          <cell r="AO268">
            <v>0</v>
          </cell>
          <cell r="AP268">
            <v>112935735</v>
          </cell>
          <cell r="AQ268">
            <v>0</v>
          </cell>
          <cell r="AR268">
            <v>0</v>
          </cell>
          <cell r="AS268">
            <v>0</v>
          </cell>
          <cell r="AT268">
            <v>0</v>
          </cell>
          <cell r="AU268">
            <v>0</v>
          </cell>
          <cell r="AV268">
            <v>0</v>
          </cell>
          <cell r="AW268">
            <v>0</v>
          </cell>
        </row>
        <row r="270">
          <cell r="C270" t="str">
            <v xml:space="preserve"> YOSEMITE</v>
          </cell>
          <cell r="D270" t="str">
            <v xml:space="preserve"> CALAVERAS</v>
          </cell>
          <cell r="E270">
            <v>590</v>
          </cell>
          <cell r="F270" t="str">
            <v xml:space="preserve"> 2016-2017</v>
          </cell>
          <cell r="G270" t="str">
            <v xml:space="preserve"> 04/15/2017</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t="str">
            <v xml:space="preserve"> </v>
          </cell>
          <cell r="W270">
            <v>0</v>
          </cell>
          <cell r="X270">
            <v>0</v>
          </cell>
          <cell r="Y270">
            <v>0</v>
          </cell>
          <cell r="Z270">
            <v>0</v>
          </cell>
          <cell r="AA270">
            <v>0</v>
          </cell>
          <cell r="AB270">
            <v>2051171</v>
          </cell>
          <cell r="AC270">
            <v>16694</v>
          </cell>
          <cell r="AD270">
            <v>28726</v>
          </cell>
          <cell r="AE270">
            <v>0</v>
          </cell>
          <cell r="AF270">
            <v>0</v>
          </cell>
          <cell r="AG270">
            <v>0</v>
          </cell>
          <cell r="AH270">
            <v>0</v>
          </cell>
          <cell r="AI270">
            <v>0</v>
          </cell>
          <cell r="AJ270">
            <v>0</v>
          </cell>
          <cell r="AK270">
            <v>320</v>
          </cell>
          <cell r="AL270">
            <v>0</v>
          </cell>
          <cell r="AM270">
            <v>26040</v>
          </cell>
          <cell r="AN270">
            <v>0</v>
          </cell>
          <cell r="AO270">
            <v>0</v>
          </cell>
          <cell r="AP270">
            <v>2122951</v>
          </cell>
          <cell r="AQ270">
            <v>0</v>
          </cell>
          <cell r="AR270">
            <v>0</v>
          </cell>
          <cell r="AS270">
            <v>0</v>
          </cell>
          <cell r="AT270">
            <v>0</v>
          </cell>
          <cell r="AU270" t="str">
            <v xml:space="preserve"> </v>
          </cell>
          <cell r="AV270" t="str">
            <v xml:space="preserve"> </v>
          </cell>
          <cell r="AW270" t="str">
            <v xml:space="preserve"> </v>
          </cell>
        </row>
        <row r="271">
          <cell r="C271" t="str">
            <v xml:space="preserve"> YOSEMITE</v>
          </cell>
          <cell r="D271" t="str">
            <v xml:space="preserve"> MERCED</v>
          </cell>
          <cell r="E271">
            <v>590</v>
          </cell>
          <cell r="F271" t="str">
            <v xml:space="preserve"> 2016-2017</v>
          </cell>
          <cell r="G271" t="str">
            <v xml:space="preserve"> 04/15/2017</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t="str">
            <v xml:space="preserve"> </v>
          </cell>
          <cell r="W271">
            <v>0</v>
          </cell>
          <cell r="X271">
            <v>0</v>
          </cell>
          <cell r="Y271">
            <v>0</v>
          </cell>
          <cell r="Z271">
            <v>0</v>
          </cell>
          <cell r="AA271">
            <v>0</v>
          </cell>
          <cell r="AB271">
            <v>1682785</v>
          </cell>
          <cell r="AC271">
            <v>51510</v>
          </cell>
          <cell r="AD271">
            <v>138142</v>
          </cell>
          <cell r="AE271">
            <v>0</v>
          </cell>
          <cell r="AF271">
            <v>0</v>
          </cell>
          <cell r="AG271">
            <v>0</v>
          </cell>
          <cell r="AH271">
            <v>0</v>
          </cell>
          <cell r="AI271">
            <v>0</v>
          </cell>
          <cell r="AJ271">
            <v>0</v>
          </cell>
          <cell r="AK271">
            <v>3293</v>
          </cell>
          <cell r="AL271">
            <v>1</v>
          </cell>
          <cell r="AM271">
            <v>11668</v>
          </cell>
          <cell r="AN271">
            <v>994</v>
          </cell>
          <cell r="AO271">
            <v>25</v>
          </cell>
          <cell r="AP271">
            <v>1888418</v>
          </cell>
          <cell r="AQ271">
            <v>0</v>
          </cell>
          <cell r="AR271">
            <v>0</v>
          </cell>
          <cell r="AS271">
            <v>0</v>
          </cell>
          <cell r="AT271">
            <v>0</v>
          </cell>
          <cell r="AU271" t="str">
            <v xml:space="preserve"> </v>
          </cell>
          <cell r="AV271" t="str">
            <v xml:space="preserve"> </v>
          </cell>
          <cell r="AW271" t="str">
            <v xml:space="preserve"> </v>
          </cell>
        </row>
        <row r="272">
          <cell r="C272" t="str">
            <v xml:space="preserve"> YOSEMITE</v>
          </cell>
          <cell r="D272" t="str">
            <v xml:space="preserve"> SAN JOAQUIN</v>
          </cell>
          <cell r="E272">
            <v>590</v>
          </cell>
          <cell r="F272" t="str">
            <v xml:space="preserve"> 2016-2017</v>
          </cell>
          <cell r="G272" t="str">
            <v xml:space="preserve"> 04/15/2017</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t="str">
            <v xml:space="preserve"> </v>
          </cell>
          <cell r="W272">
            <v>0</v>
          </cell>
          <cell r="X272">
            <v>0</v>
          </cell>
          <cell r="Y272">
            <v>0</v>
          </cell>
          <cell r="Z272">
            <v>0</v>
          </cell>
          <cell r="AA272">
            <v>0</v>
          </cell>
          <cell r="AB272">
            <v>1116422</v>
          </cell>
          <cell r="AC272">
            <v>22751</v>
          </cell>
          <cell r="AD272">
            <v>68747</v>
          </cell>
          <cell r="AE272">
            <v>56038</v>
          </cell>
          <cell r="AF272">
            <v>26618</v>
          </cell>
          <cell r="AG272">
            <v>0</v>
          </cell>
          <cell r="AH272">
            <v>0</v>
          </cell>
          <cell r="AI272">
            <v>313089</v>
          </cell>
          <cell r="AJ272">
            <v>0</v>
          </cell>
          <cell r="AK272">
            <v>2425</v>
          </cell>
          <cell r="AL272">
            <v>0</v>
          </cell>
          <cell r="AM272">
            <v>11285</v>
          </cell>
          <cell r="AN272">
            <v>0</v>
          </cell>
          <cell r="AO272">
            <v>0</v>
          </cell>
          <cell r="AP272">
            <v>1561337</v>
          </cell>
          <cell r="AQ272">
            <v>0</v>
          </cell>
          <cell r="AR272">
            <v>0</v>
          </cell>
          <cell r="AS272">
            <v>0</v>
          </cell>
          <cell r="AT272">
            <v>0</v>
          </cell>
          <cell r="AU272" t="str">
            <v xml:space="preserve"> </v>
          </cell>
          <cell r="AV272" t="str">
            <v xml:space="preserve"> </v>
          </cell>
          <cell r="AW272" t="str">
            <v xml:space="preserve"> </v>
          </cell>
        </row>
        <row r="273">
          <cell r="C273" t="str">
            <v xml:space="preserve"> YOSEMITE</v>
          </cell>
          <cell r="D273" t="str">
            <v xml:space="preserve"> SANTA CLARA</v>
          </cell>
          <cell r="E273">
            <v>590</v>
          </cell>
          <cell r="F273" t="str">
            <v xml:space="preserve"> 2016-2017</v>
          </cell>
          <cell r="G273" t="str">
            <v xml:space="preserve"> 04/15/2017</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t="str">
            <v xml:space="preserve"> </v>
          </cell>
          <cell r="W273">
            <v>0</v>
          </cell>
          <cell r="X273">
            <v>0</v>
          </cell>
          <cell r="Y273">
            <v>0</v>
          </cell>
          <cell r="Z273">
            <v>0</v>
          </cell>
          <cell r="AA273">
            <v>0</v>
          </cell>
          <cell r="AB273">
            <v>24659</v>
          </cell>
          <cell r="AC273">
            <v>800</v>
          </cell>
          <cell r="AD273">
            <v>1536</v>
          </cell>
          <cell r="AE273">
            <v>0</v>
          </cell>
          <cell r="AF273">
            <v>0</v>
          </cell>
          <cell r="AG273">
            <v>0</v>
          </cell>
          <cell r="AH273">
            <v>0</v>
          </cell>
          <cell r="AI273">
            <v>0</v>
          </cell>
          <cell r="AJ273">
            <v>0</v>
          </cell>
          <cell r="AK273">
            <v>0</v>
          </cell>
          <cell r="AL273">
            <v>0</v>
          </cell>
          <cell r="AM273">
            <v>111</v>
          </cell>
          <cell r="AN273">
            <v>0</v>
          </cell>
          <cell r="AO273">
            <v>0</v>
          </cell>
          <cell r="AP273">
            <v>27106</v>
          </cell>
          <cell r="AQ273">
            <v>0</v>
          </cell>
          <cell r="AR273">
            <v>0</v>
          </cell>
          <cell r="AS273">
            <v>0</v>
          </cell>
          <cell r="AT273">
            <v>0</v>
          </cell>
          <cell r="AU273" t="str">
            <v xml:space="preserve"> </v>
          </cell>
          <cell r="AV273" t="str">
            <v xml:space="preserve"> </v>
          </cell>
          <cell r="AW273" t="str">
            <v xml:space="preserve"> </v>
          </cell>
        </row>
        <row r="274">
          <cell r="C274" t="str">
            <v xml:space="preserve"> YOSEMITE</v>
          </cell>
          <cell r="D274" t="str">
            <v xml:space="preserve"> STANISLAUS</v>
          </cell>
          <cell r="E274">
            <v>590</v>
          </cell>
          <cell r="F274" t="str">
            <v xml:space="preserve"> 2016-2017</v>
          </cell>
          <cell r="G274" t="str">
            <v xml:space="preserve"> 04/15/2017</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t="str">
            <v xml:space="preserve"> </v>
          </cell>
          <cell r="W274">
            <v>0</v>
          </cell>
          <cell r="X274">
            <v>0</v>
          </cell>
          <cell r="Y274">
            <v>0</v>
          </cell>
          <cell r="Z274">
            <v>0</v>
          </cell>
          <cell r="AA274">
            <v>0</v>
          </cell>
          <cell r="AB274">
            <v>29872005</v>
          </cell>
          <cell r="AC274">
            <v>661194</v>
          </cell>
          <cell r="AD274">
            <v>1644397</v>
          </cell>
          <cell r="AE274">
            <v>194172</v>
          </cell>
          <cell r="AF274">
            <v>92232</v>
          </cell>
          <cell r="AG274">
            <v>0</v>
          </cell>
          <cell r="AH274">
            <v>0</v>
          </cell>
          <cell r="AI274">
            <v>509839</v>
          </cell>
          <cell r="AJ274">
            <v>0</v>
          </cell>
          <cell r="AK274">
            <v>39260</v>
          </cell>
          <cell r="AL274">
            <v>0</v>
          </cell>
          <cell r="AM274">
            <v>358887</v>
          </cell>
          <cell r="AN274">
            <v>12785</v>
          </cell>
          <cell r="AO274">
            <v>-2837886</v>
          </cell>
          <cell r="AP274">
            <v>30352713</v>
          </cell>
          <cell r="AQ274">
            <v>0</v>
          </cell>
          <cell r="AR274">
            <v>0</v>
          </cell>
          <cell r="AS274">
            <v>0</v>
          </cell>
          <cell r="AT274">
            <v>0</v>
          </cell>
          <cell r="AU274" t="str">
            <v xml:space="preserve"> </v>
          </cell>
          <cell r="AV274" t="str">
            <v xml:space="preserve"> </v>
          </cell>
          <cell r="AW274" t="str">
            <v xml:space="preserve"> </v>
          </cell>
        </row>
        <row r="275">
          <cell r="C275" t="str">
            <v xml:space="preserve"> YOSEMITE</v>
          </cell>
          <cell r="D275" t="str">
            <v xml:space="preserve"> TUOLUMNE</v>
          </cell>
          <cell r="E275">
            <v>590</v>
          </cell>
          <cell r="F275" t="str">
            <v xml:space="preserve"> 2016-2017</v>
          </cell>
          <cell r="G275" t="str">
            <v xml:space="preserve"> 04/15/2017</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t="str">
            <v xml:space="preserve"> </v>
          </cell>
          <cell r="W275">
            <v>0</v>
          </cell>
          <cell r="X275">
            <v>0</v>
          </cell>
          <cell r="Y275">
            <v>0</v>
          </cell>
          <cell r="Z275">
            <v>0</v>
          </cell>
          <cell r="AA275">
            <v>0</v>
          </cell>
          <cell r="AB275">
            <v>4592739</v>
          </cell>
          <cell r="AC275">
            <v>33163</v>
          </cell>
          <cell r="AD275">
            <v>125858</v>
          </cell>
          <cell r="AE275">
            <v>0</v>
          </cell>
          <cell r="AF275">
            <v>0</v>
          </cell>
          <cell r="AG275">
            <v>0</v>
          </cell>
          <cell r="AH275">
            <v>0</v>
          </cell>
          <cell r="AI275">
            <v>47660</v>
          </cell>
          <cell r="AJ275">
            <v>0</v>
          </cell>
          <cell r="AK275">
            <v>1168</v>
          </cell>
          <cell r="AL275">
            <v>11503</v>
          </cell>
          <cell r="AM275">
            <v>60556</v>
          </cell>
          <cell r="AN275">
            <v>0</v>
          </cell>
          <cell r="AO275">
            <v>279734</v>
          </cell>
          <cell r="AP275">
            <v>5152381</v>
          </cell>
          <cell r="AQ275">
            <v>0</v>
          </cell>
          <cell r="AR275">
            <v>0</v>
          </cell>
          <cell r="AS275">
            <v>0</v>
          </cell>
          <cell r="AT275">
            <v>0</v>
          </cell>
          <cell r="AU275" t="str">
            <v xml:space="preserve"> </v>
          </cell>
          <cell r="AV275" t="str">
            <v xml:space="preserve"> </v>
          </cell>
          <cell r="AW275" t="str">
            <v xml:space="preserve"> </v>
          </cell>
        </row>
        <row r="276">
          <cell r="C276" t="str">
            <v xml:space="preserve">YOSEMITE Subtotal          </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39339781</v>
          </cell>
          <cell r="AC276">
            <v>786112</v>
          </cell>
          <cell r="AD276">
            <v>2007406</v>
          </cell>
          <cell r="AE276">
            <v>250210</v>
          </cell>
          <cell r="AF276">
            <v>118850</v>
          </cell>
          <cell r="AG276">
            <v>0</v>
          </cell>
          <cell r="AH276">
            <v>0</v>
          </cell>
          <cell r="AI276">
            <v>870588</v>
          </cell>
          <cell r="AJ276">
            <v>0</v>
          </cell>
          <cell r="AK276">
            <v>46466</v>
          </cell>
          <cell r="AL276">
            <v>11504</v>
          </cell>
          <cell r="AM276">
            <v>468547</v>
          </cell>
          <cell r="AN276">
            <v>13779</v>
          </cell>
          <cell r="AO276">
            <v>-2558127</v>
          </cell>
          <cell r="AP276">
            <v>41104906</v>
          </cell>
          <cell r="AQ276">
            <v>0</v>
          </cell>
          <cell r="AR276">
            <v>0</v>
          </cell>
          <cell r="AS276">
            <v>0</v>
          </cell>
          <cell r="AT276">
            <v>0</v>
          </cell>
          <cell r="AU276">
            <v>0</v>
          </cell>
          <cell r="AV276">
            <v>0</v>
          </cell>
          <cell r="AW276">
            <v>0</v>
          </cell>
        </row>
        <row r="278">
          <cell r="C278" t="str">
            <v xml:space="preserve"> YUBA</v>
          </cell>
          <cell r="D278" t="str">
            <v xml:space="preserve"> BUTTE</v>
          </cell>
          <cell r="E278">
            <v>290</v>
          </cell>
          <cell r="F278" t="str">
            <v xml:space="preserve"> 2016-2017</v>
          </cell>
          <cell r="G278" t="str">
            <v xml:space="preserve"> 04/15/2017</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t="str">
            <v xml:space="preserve"> </v>
          </cell>
          <cell r="W278">
            <v>0</v>
          </cell>
          <cell r="X278">
            <v>0</v>
          </cell>
          <cell r="Y278">
            <v>0</v>
          </cell>
          <cell r="Z278">
            <v>0</v>
          </cell>
          <cell r="AA278">
            <v>0</v>
          </cell>
          <cell r="AB278">
            <v>40350</v>
          </cell>
          <cell r="AC278">
            <v>400</v>
          </cell>
          <cell r="AD278">
            <v>2040</v>
          </cell>
          <cell r="AE278">
            <v>0</v>
          </cell>
          <cell r="AF278">
            <v>0</v>
          </cell>
          <cell r="AG278">
            <v>0</v>
          </cell>
          <cell r="AH278">
            <v>0</v>
          </cell>
          <cell r="AI278">
            <v>0</v>
          </cell>
          <cell r="AJ278">
            <v>0</v>
          </cell>
          <cell r="AK278">
            <v>60</v>
          </cell>
          <cell r="AL278">
            <v>1175</v>
          </cell>
          <cell r="AM278">
            <v>550</v>
          </cell>
          <cell r="AN278">
            <v>25</v>
          </cell>
          <cell r="AO278">
            <v>-6174</v>
          </cell>
          <cell r="AP278">
            <v>38426</v>
          </cell>
          <cell r="AQ278">
            <v>0</v>
          </cell>
          <cell r="AR278">
            <v>0</v>
          </cell>
          <cell r="AS278">
            <v>0</v>
          </cell>
          <cell r="AT278">
            <v>0</v>
          </cell>
          <cell r="AU278" t="str">
            <v xml:space="preserve"> </v>
          </cell>
          <cell r="AV278" t="str">
            <v xml:space="preserve"> </v>
          </cell>
          <cell r="AW278" t="str">
            <v xml:space="preserve"> </v>
          </cell>
        </row>
        <row r="279">
          <cell r="C279" t="str">
            <v xml:space="preserve"> YUBA</v>
          </cell>
          <cell r="D279" t="str">
            <v xml:space="preserve"> COLUSA</v>
          </cell>
          <cell r="E279">
            <v>290</v>
          </cell>
          <cell r="F279" t="str">
            <v xml:space="preserve"> 2016-2017</v>
          </cell>
          <cell r="G279" t="str">
            <v xml:space="preserve"> 04/15/2017</v>
          </cell>
          <cell r="H279">
            <v>0</v>
          </cell>
          <cell r="I279" t="str">
            <v xml:space="preserve"> </v>
          </cell>
          <cell r="J279" t="str">
            <v xml:space="preserve"> </v>
          </cell>
          <cell r="K279" t="str">
            <v xml:space="preserve"> </v>
          </cell>
          <cell r="L279" t="str">
            <v xml:space="preserve"> </v>
          </cell>
          <cell r="M279" t="str">
            <v xml:space="preserve"> </v>
          </cell>
          <cell r="N279" t="str">
            <v xml:space="preserve"> </v>
          </cell>
          <cell r="O279" t="str">
            <v xml:space="preserve"> </v>
          </cell>
          <cell r="P279" t="str">
            <v xml:space="preserve"> </v>
          </cell>
          <cell r="Q279" t="str">
            <v xml:space="preserve"> </v>
          </cell>
          <cell r="R279" t="str">
            <v xml:space="preserve"> </v>
          </cell>
          <cell r="S279" t="str">
            <v xml:space="preserve"> </v>
          </cell>
          <cell r="T279" t="str">
            <v xml:space="preserve"> </v>
          </cell>
          <cell r="U279" t="str">
            <v xml:space="preserve"> </v>
          </cell>
          <cell r="V279" t="str">
            <v xml:space="preserve"> </v>
          </cell>
          <cell r="W279">
            <v>0</v>
          </cell>
          <cell r="X279" t="str">
            <v xml:space="preserve"> </v>
          </cell>
          <cell r="Y279" t="str">
            <v xml:space="preserve"> </v>
          </cell>
          <cell r="Z279" t="str">
            <v xml:space="preserve"> </v>
          </cell>
          <cell r="AA279" t="str">
            <v xml:space="preserve"> </v>
          </cell>
          <cell r="AB279" t="str">
            <v xml:space="preserve"> </v>
          </cell>
          <cell r="AC279" t="str">
            <v xml:space="preserve"> </v>
          </cell>
          <cell r="AD279" t="str">
            <v xml:space="preserve"> </v>
          </cell>
          <cell r="AE279" t="str">
            <v xml:space="preserve"> </v>
          </cell>
          <cell r="AF279" t="str">
            <v xml:space="preserve"> </v>
          </cell>
          <cell r="AG279" t="str">
            <v xml:space="preserve"> </v>
          </cell>
          <cell r="AH279" t="str">
            <v xml:space="preserve"> </v>
          </cell>
          <cell r="AI279" t="str">
            <v xml:space="preserve"> </v>
          </cell>
          <cell r="AJ279" t="str">
            <v xml:space="preserve"> </v>
          </cell>
          <cell r="AK279" t="str">
            <v xml:space="preserve">  </v>
          </cell>
          <cell r="AL279">
            <v>0</v>
          </cell>
          <cell r="AM279" t="str">
            <v xml:space="preserve"> </v>
          </cell>
          <cell r="AN279" t="str">
            <v xml:space="preserve"> </v>
          </cell>
          <cell r="AO279" t="str">
            <v xml:space="preserve"> </v>
          </cell>
          <cell r="AP279" t="str">
            <v xml:space="preserve"> </v>
          </cell>
          <cell r="AQ279" t="str">
            <v xml:space="preserve"> </v>
          </cell>
          <cell r="AR279">
            <v>0</v>
          </cell>
          <cell r="AS279" t="str">
            <v xml:space="preserve"> </v>
          </cell>
          <cell r="AT279" t="str">
            <v xml:space="preserve"> </v>
          </cell>
          <cell r="AU279" t="str">
            <v xml:space="preserve"> </v>
          </cell>
          <cell r="AV279" t="str">
            <v xml:space="preserve"> </v>
          </cell>
          <cell r="AW279" t="str">
            <v xml:space="preserve"> </v>
          </cell>
        </row>
        <row r="280">
          <cell r="C280" t="str">
            <v xml:space="preserve"> YUBA</v>
          </cell>
          <cell r="D280" t="str">
            <v xml:space="preserve"> GLENN</v>
          </cell>
          <cell r="E280">
            <v>290</v>
          </cell>
          <cell r="F280" t="str">
            <v xml:space="preserve"> 2016-2017</v>
          </cell>
          <cell r="G280" t="str">
            <v xml:space="preserve"> 04/15/2017</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t="str">
            <v xml:space="preserve"> </v>
          </cell>
          <cell r="W280">
            <v>0</v>
          </cell>
          <cell r="X280">
            <v>0</v>
          </cell>
          <cell r="Y280">
            <v>0</v>
          </cell>
          <cell r="Z280">
            <v>0</v>
          </cell>
          <cell r="AA280">
            <v>0</v>
          </cell>
          <cell r="AB280">
            <v>63043</v>
          </cell>
          <cell r="AC280">
            <v>916</v>
          </cell>
          <cell r="AD280">
            <v>3098</v>
          </cell>
          <cell r="AE280">
            <v>0</v>
          </cell>
          <cell r="AF280">
            <v>0</v>
          </cell>
          <cell r="AG280">
            <v>0</v>
          </cell>
          <cell r="AH280">
            <v>0</v>
          </cell>
          <cell r="AI280">
            <v>0</v>
          </cell>
          <cell r="AJ280">
            <v>0</v>
          </cell>
          <cell r="AK280">
            <v>0</v>
          </cell>
          <cell r="AL280">
            <v>0</v>
          </cell>
          <cell r="AM280">
            <v>705</v>
          </cell>
          <cell r="AN280">
            <v>0</v>
          </cell>
          <cell r="AO280">
            <v>-2333</v>
          </cell>
          <cell r="AP280">
            <v>65429</v>
          </cell>
          <cell r="AQ280">
            <v>0</v>
          </cell>
          <cell r="AR280">
            <v>0</v>
          </cell>
          <cell r="AS280">
            <v>0</v>
          </cell>
          <cell r="AT280">
            <v>0</v>
          </cell>
          <cell r="AU280" t="str">
            <v xml:space="preserve"> </v>
          </cell>
          <cell r="AV280" t="str">
            <v xml:space="preserve"> </v>
          </cell>
          <cell r="AW280" t="str">
            <v xml:space="preserve"> </v>
          </cell>
        </row>
        <row r="281">
          <cell r="C281" t="str">
            <v xml:space="preserve"> YUBA</v>
          </cell>
          <cell r="D281" t="str">
            <v xml:space="preserve"> LAKE</v>
          </cell>
          <cell r="E281">
            <v>290</v>
          </cell>
          <cell r="F281" t="str">
            <v xml:space="preserve"> 2016-2017</v>
          </cell>
          <cell r="G281" t="str">
            <v xml:space="preserve"> 04/15/2017</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t="str">
            <v xml:space="preserve"> </v>
          </cell>
          <cell r="W281">
            <v>0</v>
          </cell>
          <cell r="X281">
            <v>0</v>
          </cell>
          <cell r="Y281">
            <v>0</v>
          </cell>
          <cell r="Z281">
            <v>0</v>
          </cell>
          <cell r="AA281">
            <v>0</v>
          </cell>
          <cell r="AB281">
            <v>2203095</v>
          </cell>
          <cell r="AC281">
            <v>7339</v>
          </cell>
          <cell r="AD281">
            <v>54246</v>
          </cell>
          <cell r="AE281">
            <v>5950</v>
          </cell>
          <cell r="AF281">
            <v>2826</v>
          </cell>
          <cell r="AG281">
            <v>0</v>
          </cell>
          <cell r="AH281">
            <v>0</v>
          </cell>
          <cell r="AI281">
            <v>19174</v>
          </cell>
          <cell r="AJ281">
            <v>0</v>
          </cell>
          <cell r="AK281">
            <v>1806</v>
          </cell>
          <cell r="AL281">
            <v>0</v>
          </cell>
          <cell r="AM281">
            <v>28958</v>
          </cell>
          <cell r="AN281">
            <v>0</v>
          </cell>
          <cell r="AO281">
            <v>0</v>
          </cell>
          <cell r="AP281">
            <v>2317444</v>
          </cell>
          <cell r="AQ281">
            <v>0</v>
          </cell>
          <cell r="AR281">
            <v>0</v>
          </cell>
          <cell r="AS281">
            <v>0</v>
          </cell>
          <cell r="AT281">
            <v>0</v>
          </cell>
          <cell r="AU281" t="str">
            <v xml:space="preserve"> </v>
          </cell>
          <cell r="AV281" t="str">
            <v xml:space="preserve"> </v>
          </cell>
          <cell r="AW281" t="str">
            <v xml:space="preserve"> </v>
          </cell>
        </row>
        <row r="282">
          <cell r="C282" t="str">
            <v xml:space="preserve"> YUBA</v>
          </cell>
          <cell r="D282" t="str">
            <v xml:space="preserve"> PLACER</v>
          </cell>
          <cell r="E282">
            <v>290</v>
          </cell>
          <cell r="F282" t="str">
            <v xml:space="preserve"> 2016-2017</v>
          </cell>
          <cell r="G282" t="str">
            <v xml:space="preserve"> 04/15/2017</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t="str">
            <v xml:space="preserve"> </v>
          </cell>
          <cell r="W282">
            <v>0</v>
          </cell>
          <cell r="X282">
            <v>0</v>
          </cell>
          <cell r="Y282">
            <v>0</v>
          </cell>
          <cell r="Z282">
            <v>0</v>
          </cell>
          <cell r="AA282">
            <v>0</v>
          </cell>
          <cell r="AB282">
            <v>36368</v>
          </cell>
          <cell r="AC282">
            <v>680</v>
          </cell>
          <cell r="AD282">
            <v>902</v>
          </cell>
          <cell r="AE282">
            <v>0</v>
          </cell>
          <cell r="AF282">
            <v>0</v>
          </cell>
          <cell r="AG282">
            <v>0</v>
          </cell>
          <cell r="AH282">
            <v>0</v>
          </cell>
          <cell r="AI282">
            <v>0</v>
          </cell>
          <cell r="AJ282">
            <v>0</v>
          </cell>
          <cell r="AK282">
            <v>9</v>
          </cell>
          <cell r="AL282">
            <v>0</v>
          </cell>
          <cell r="AM282">
            <v>288</v>
          </cell>
          <cell r="AN282">
            <v>0</v>
          </cell>
          <cell r="AO282">
            <v>0</v>
          </cell>
          <cell r="AP282">
            <v>38247</v>
          </cell>
          <cell r="AQ282">
            <v>0</v>
          </cell>
          <cell r="AR282">
            <v>0</v>
          </cell>
          <cell r="AS282">
            <v>0</v>
          </cell>
          <cell r="AT282">
            <v>0</v>
          </cell>
          <cell r="AU282" t="str">
            <v xml:space="preserve"> </v>
          </cell>
          <cell r="AV282" t="str">
            <v xml:space="preserve"> </v>
          </cell>
          <cell r="AW282" t="str">
            <v xml:space="preserve"> </v>
          </cell>
        </row>
        <row r="283">
          <cell r="C283" t="str">
            <v xml:space="preserve"> YUBA</v>
          </cell>
          <cell r="D283" t="str">
            <v xml:space="preserve"> SUTTER</v>
          </cell>
          <cell r="E283">
            <v>290</v>
          </cell>
          <cell r="F283" t="str">
            <v xml:space="preserve"> 2016-2017</v>
          </cell>
          <cell r="G283" t="str">
            <v xml:space="preserve"> 04/15/2017</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t="str">
            <v xml:space="preserve"> </v>
          </cell>
          <cell r="W283">
            <v>0</v>
          </cell>
          <cell r="X283">
            <v>0</v>
          </cell>
          <cell r="Y283">
            <v>0</v>
          </cell>
          <cell r="Z283">
            <v>0</v>
          </cell>
          <cell r="AA283">
            <v>0</v>
          </cell>
          <cell r="AB283">
            <v>6468986</v>
          </cell>
          <cell r="AC283">
            <v>96478</v>
          </cell>
          <cell r="AD283">
            <v>430724</v>
          </cell>
          <cell r="AE283">
            <v>0</v>
          </cell>
          <cell r="AF283">
            <v>0</v>
          </cell>
          <cell r="AG283">
            <v>0</v>
          </cell>
          <cell r="AH283">
            <v>0</v>
          </cell>
          <cell r="AI283">
            <v>13248</v>
          </cell>
          <cell r="AJ283">
            <v>0</v>
          </cell>
          <cell r="AK283">
            <v>8317</v>
          </cell>
          <cell r="AL283">
            <v>0</v>
          </cell>
          <cell r="AM283">
            <v>82982</v>
          </cell>
          <cell r="AN283">
            <v>5603</v>
          </cell>
          <cell r="AO283">
            <v>-78937</v>
          </cell>
          <cell r="AP283">
            <v>7027401</v>
          </cell>
          <cell r="AQ283">
            <v>0</v>
          </cell>
          <cell r="AR283">
            <v>0</v>
          </cell>
          <cell r="AS283">
            <v>0</v>
          </cell>
          <cell r="AT283">
            <v>0</v>
          </cell>
          <cell r="AU283" t="str">
            <v xml:space="preserve"> </v>
          </cell>
          <cell r="AV283" t="str">
            <v xml:space="preserve"> </v>
          </cell>
          <cell r="AW283" t="str">
            <v xml:space="preserve"> </v>
          </cell>
        </row>
        <row r="284">
          <cell r="C284" t="str">
            <v xml:space="preserve"> YUBA</v>
          </cell>
          <cell r="D284" t="str">
            <v xml:space="preserve"> YOLO</v>
          </cell>
          <cell r="E284">
            <v>290</v>
          </cell>
          <cell r="F284" t="str">
            <v xml:space="preserve"> 2016-2017</v>
          </cell>
          <cell r="G284" t="str">
            <v xml:space="preserve"> 04/15/2017</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t="str">
            <v xml:space="preserve"> </v>
          </cell>
          <cell r="W284">
            <v>0</v>
          </cell>
          <cell r="X284">
            <v>0</v>
          </cell>
          <cell r="Y284">
            <v>0</v>
          </cell>
          <cell r="Z284">
            <v>0</v>
          </cell>
          <cell r="AA284">
            <v>0</v>
          </cell>
          <cell r="AB284">
            <v>5831470</v>
          </cell>
          <cell r="AC284">
            <v>114173</v>
          </cell>
          <cell r="AD284">
            <v>330950</v>
          </cell>
          <cell r="AE284">
            <v>1000</v>
          </cell>
          <cell r="AF284">
            <v>475</v>
          </cell>
          <cell r="AG284">
            <v>0</v>
          </cell>
          <cell r="AH284">
            <v>0</v>
          </cell>
          <cell r="AI284">
            <v>0</v>
          </cell>
          <cell r="AJ284">
            <v>0</v>
          </cell>
          <cell r="AK284">
            <v>6600</v>
          </cell>
          <cell r="AL284">
            <v>0</v>
          </cell>
          <cell r="AM284">
            <v>0</v>
          </cell>
          <cell r="AN284">
            <v>16716</v>
          </cell>
          <cell r="AO284">
            <v>0</v>
          </cell>
          <cell r="AP284">
            <v>6300384</v>
          </cell>
          <cell r="AQ284">
            <v>0</v>
          </cell>
          <cell r="AR284">
            <v>0</v>
          </cell>
          <cell r="AS284">
            <v>0</v>
          </cell>
          <cell r="AT284">
            <v>0</v>
          </cell>
          <cell r="AU284" t="str">
            <v xml:space="preserve"> </v>
          </cell>
          <cell r="AV284" t="str">
            <v xml:space="preserve"> </v>
          </cell>
          <cell r="AW284" t="str">
            <v xml:space="preserve"> </v>
          </cell>
        </row>
        <row r="285">
          <cell r="C285" t="str">
            <v xml:space="preserve"> YUBA</v>
          </cell>
          <cell r="D285" t="str">
            <v xml:space="preserve"> YUBA</v>
          </cell>
          <cell r="E285">
            <v>290</v>
          </cell>
          <cell r="F285" t="str">
            <v xml:space="preserve"> 2016-2017</v>
          </cell>
          <cell r="G285" t="str">
            <v xml:space="preserve"> 04/15/2017</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t="str">
            <v xml:space="preserve"> </v>
          </cell>
          <cell r="W285">
            <v>0</v>
          </cell>
          <cell r="X285">
            <v>0</v>
          </cell>
          <cell r="Y285">
            <v>0</v>
          </cell>
          <cell r="Z285">
            <v>0</v>
          </cell>
          <cell r="AA285">
            <v>0</v>
          </cell>
          <cell r="AB285">
            <v>3601545</v>
          </cell>
          <cell r="AC285">
            <v>0</v>
          </cell>
          <cell r="AD285">
            <v>150397</v>
          </cell>
          <cell r="AE285">
            <v>0</v>
          </cell>
          <cell r="AF285">
            <v>0</v>
          </cell>
          <cell r="AG285">
            <v>0</v>
          </cell>
          <cell r="AH285">
            <v>0</v>
          </cell>
          <cell r="AI285">
            <v>0</v>
          </cell>
          <cell r="AJ285">
            <v>0</v>
          </cell>
          <cell r="AK285">
            <v>0</v>
          </cell>
          <cell r="AL285">
            <v>8068</v>
          </cell>
          <cell r="AM285">
            <v>50567</v>
          </cell>
          <cell r="AN285">
            <v>0</v>
          </cell>
          <cell r="AO285">
            <v>3646241</v>
          </cell>
          <cell r="AP285">
            <v>7456818</v>
          </cell>
          <cell r="AQ285">
            <v>0</v>
          </cell>
          <cell r="AR285">
            <v>0</v>
          </cell>
          <cell r="AS285">
            <v>0</v>
          </cell>
          <cell r="AT285">
            <v>0</v>
          </cell>
          <cell r="AU285" t="str">
            <v xml:space="preserve"> </v>
          </cell>
          <cell r="AV285" t="str">
            <v xml:space="preserve"> </v>
          </cell>
          <cell r="AW285" t="str">
            <v xml:space="preserve"> </v>
          </cell>
        </row>
        <row r="286">
          <cell r="C286" t="str">
            <v xml:space="preserve">YUBA Subtotal            </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18244857</v>
          </cell>
          <cell r="AC286">
            <v>219986</v>
          </cell>
          <cell r="AD286">
            <v>972357</v>
          </cell>
          <cell r="AE286">
            <v>6950</v>
          </cell>
          <cell r="AF286">
            <v>3301</v>
          </cell>
          <cell r="AG286">
            <v>0</v>
          </cell>
          <cell r="AH286">
            <v>0</v>
          </cell>
          <cell r="AI286">
            <v>32422</v>
          </cell>
          <cell r="AJ286">
            <v>0</v>
          </cell>
          <cell r="AK286">
            <v>16792</v>
          </cell>
          <cell r="AL286">
            <v>9243</v>
          </cell>
          <cell r="AM286">
            <v>164050</v>
          </cell>
          <cell r="AN286">
            <v>22344</v>
          </cell>
          <cell r="AO286">
            <v>3558797</v>
          </cell>
          <cell r="AP286">
            <v>23244149</v>
          </cell>
          <cell r="AQ286">
            <v>0</v>
          </cell>
          <cell r="AR286">
            <v>0</v>
          </cell>
          <cell r="AS286">
            <v>0</v>
          </cell>
          <cell r="AT286">
            <v>0</v>
          </cell>
          <cell r="AU286">
            <v>0</v>
          </cell>
          <cell r="AV286">
            <v>0</v>
          </cell>
          <cell r="AW286">
            <v>0</v>
          </cell>
        </row>
        <row r="288">
          <cell r="C288" t="str">
            <v>DISTRICT TOTAL</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2424505101</v>
          </cell>
          <cell r="AC288">
            <v>63686853</v>
          </cell>
          <cell r="AD288">
            <v>103026757</v>
          </cell>
          <cell r="AE288">
            <v>39576388</v>
          </cell>
          <cell r="AF288">
            <v>18798786</v>
          </cell>
          <cell r="AG288">
            <v>0</v>
          </cell>
          <cell r="AH288">
            <v>0</v>
          </cell>
          <cell r="AI288">
            <v>101154480</v>
          </cell>
          <cell r="AJ288">
            <v>14384371</v>
          </cell>
          <cell r="AK288">
            <v>15331056</v>
          </cell>
          <cell r="AL288">
            <v>578184</v>
          </cell>
          <cell r="AM288">
            <v>18315039</v>
          </cell>
          <cell r="AN288">
            <v>89768</v>
          </cell>
          <cell r="AO288">
            <v>147865267</v>
          </cell>
          <cell r="AP288">
            <v>2907735662</v>
          </cell>
          <cell r="AQ288">
            <v>3589857</v>
          </cell>
          <cell r="AR288">
            <v>0</v>
          </cell>
          <cell r="AS288">
            <v>0</v>
          </cell>
          <cell r="AT288">
            <v>0</v>
          </cell>
          <cell r="AU288">
            <v>0</v>
          </cell>
          <cell r="AV288">
            <v>0</v>
          </cell>
          <cell r="AW288">
            <v>0</v>
          </cell>
        </row>
      </sheetData>
      <sheetData sheetId="5"/>
      <sheetData sheetId="6">
        <row r="2">
          <cell r="D2" t="str">
            <v xml:space="preserve"> COUNTY</v>
          </cell>
        </row>
      </sheetData>
      <sheetData sheetId="7"/>
      <sheetData sheetId="8"/>
      <sheetData sheetId="9">
        <row r="8">
          <cell r="A8" t="str">
            <v>Allan Hancock</v>
          </cell>
        </row>
      </sheetData>
      <sheetData sheetId="10">
        <row r="2">
          <cell r="C2" t="str">
            <v xml:space="preserve"> ALLAN HANCOCK</v>
          </cell>
        </row>
      </sheetData>
      <sheetData sheetId="11"/>
      <sheetData sheetId="12"/>
      <sheetData sheetId="13"/>
      <sheetData sheetId="14">
        <row r="4">
          <cell r="A4" t="str">
            <v xml:space="preserve"> ALLAN HANCOCK</v>
          </cell>
          <cell r="B4">
            <v>14302746</v>
          </cell>
          <cell r="C4">
            <v>2585011</v>
          </cell>
        </row>
        <row r="5">
          <cell r="A5" t="str">
            <v xml:space="preserve"> ANTELOPE VALLEY</v>
          </cell>
          <cell r="B5">
            <v>6372905</v>
          </cell>
          <cell r="C5">
            <v>0</v>
          </cell>
        </row>
        <row r="6">
          <cell r="A6" t="str">
            <v xml:space="preserve"> BARSTOW</v>
          </cell>
          <cell r="B6">
            <v>3634664</v>
          </cell>
          <cell r="C6">
            <v>-545674</v>
          </cell>
        </row>
        <row r="7">
          <cell r="A7" t="str">
            <v xml:space="preserve"> BUTTE</v>
          </cell>
          <cell r="B7">
            <v>17360882</v>
          </cell>
          <cell r="C7">
            <v>-2468733</v>
          </cell>
        </row>
        <row r="8">
          <cell r="A8" t="str">
            <v xml:space="preserve"> CABRILLO</v>
          </cell>
          <cell r="B8">
            <v>24680660</v>
          </cell>
          <cell r="C8">
            <v>2548307</v>
          </cell>
        </row>
        <row r="9">
          <cell r="A9" t="str">
            <v xml:space="preserve"> CERRITOS</v>
          </cell>
          <cell r="B9">
            <v>9302432</v>
          </cell>
          <cell r="C9">
            <v>12324634</v>
          </cell>
        </row>
        <row r="10">
          <cell r="A10" t="str">
            <v xml:space="preserve"> CHABOT-LAS POSITAS</v>
          </cell>
          <cell r="B10">
            <v>30376651</v>
          </cell>
          <cell r="C10">
            <v>9088373</v>
          </cell>
        </row>
        <row r="11">
          <cell r="A11" t="str">
            <v xml:space="preserve"> CHAFFEY</v>
          </cell>
          <cell r="B11">
            <v>36111601</v>
          </cell>
          <cell r="C11">
            <v>-6265626</v>
          </cell>
        </row>
        <row r="12">
          <cell r="A12" t="str">
            <v xml:space="preserve"> CITRUS</v>
          </cell>
          <cell r="B12">
            <v>5816048</v>
          </cell>
          <cell r="C12">
            <v>0</v>
          </cell>
        </row>
        <row r="13">
          <cell r="A13" t="str">
            <v xml:space="preserve"> COAST</v>
          </cell>
          <cell r="B13">
            <v>119706238</v>
          </cell>
          <cell r="C13">
            <v>0</v>
          </cell>
        </row>
        <row r="14">
          <cell r="A14" t="str">
            <v xml:space="preserve"> COMPTON</v>
          </cell>
          <cell r="B14">
            <v>4597227</v>
          </cell>
          <cell r="C14">
            <v>0</v>
          </cell>
        </row>
        <row r="15">
          <cell r="A15" t="str">
            <v xml:space="preserve"> CONTRA COSTA</v>
          </cell>
          <cell r="B15">
            <v>86355839</v>
          </cell>
          <cell r="C15">
            <v>10284085</v>
          </cell>
        </row>
        <row r="16">
          <cell r="A16" t="str">
            <v xml:space="preserve"> COPPER MOUNTAIN</v>
          </cell>
          <cell r="B16">
            <v>1871697</v>
          </cell>
          <cell r="C16">
            <v>-384398</v>
          </cell>
        </row>
        <row r="17">
          <cell r="A17" t="str">
            <v xml:space="preserve"> DESERT</v>
          </cell>
          <cell r="B17">
            <v>33425829</v>
          </cell>
          <cell r="C17">
            <v>-2221519</v>
          </cell>
        </row>
        <row r="18">
          <cell r="A18" t="str">
            <v xml:space="preserve"> EL CAMINO</v>
          </cell>
          <cell r="B18">
            <v>29694916</v>
          </cell>
          <cell r="C18">
            <v>2649478</v>
          </cell>
        </row>
        <row r="19">
          <cell r="A19" t="str">
            <v xml:space="preserve"> FEATHER RIVER</v>
          </cell>
          <cell r="B19">
            <v>4735272</v>
          </cell>
          <cell r="C19">
            <v>1181202</v>
          </cell>
        </row>
        <row r="20">
          <cell r="A20" t="str">
            <v xml:space="preserve"> FOOTHILL-DEANZA</v>
          </cell>
          <cell r="B20">
            <v>101927217</v>
          </cell>
          <cell r="C20">
            <v>14990126</v>
          </cell>
        </row>
        <row r="21">
          <cell r="A21" t="str">
            <v xml:space="preserve"> GAVILAN</v>
          </cell>
          <cell r="B21">
            <v>18767298</v>
          </cell>
          <cell r="C21">
            <v>1651874</v>
          </cell>
        </row>
        <row r="22">
          <cell r="A22" t="str">
            <v xml:space="preserve"> GLENDALE</v>
          </cell>
          <cell r="B22">
            <v>10655994</v>
          </cell>
          <cell r="C22">
            <v>9237226</v>
          </cell>
        </row>
        <row r="23">
          <cell r="A23" t="str">
            <v xml:space="preserve"> GROSSMONT-CUYAMACA</v>
          </cell>
          <cell r="B23">
            <v>39787206</v>
          </cell>
          <cell r="C23">
            <v>-434070</v>
          </cell>
        </row>
        <row r="24">
          <cell r="A24" t="str">
            <v xml:space="preserve"> HARTNELL</v>
          </cell>
          <cell r="B24">
            <v>22113031</v>
          </cell>
          <cell r="C24">
            <v>0</v>
          </cell>
        </row>
        <row r="25">
          <cell r="A25" t="str">
            <v xml:space="preserve"> IMPERIAL</v>
          </cell>
          <cell r="B25">
            <v>8776160</v>
          </cell>
          <cell r="C25">
            <v>-2330856</v>
          </cell>
        </row>
        <row r="26">
          <cell r="A26" t="str">
            <v xml:space="preserve"> KERN</v>
          </cell>
          <cell r="B26">
            <v>50621631</v>
          </cell>
          <cell r="C26">
            <v>-334190</v>
          </cell>
        </row>
        <row r="27">
          <cell r="A27" t="str">
            <v xml:space="preserve"> LAKE TAHOE</v>
          </cell>
          <cell r="B27">
            <v>4082996</v>
          </cell>
          <cell r="C27">
            <v>0</v>
          </cell>
        </row>
        <row r="28">
          <cell r="A28" t="str">
            <v xml:space="preserve"> LASSEN</v>
          </cell>
          <cell r="B28">
            <v>2005564</v>
          </cell>
          <cell r="C28">
            <v>-307728</v>
          </cell>
        </row>
        <row r="29">
          <cell r="A29" t="str">
            <v xml:space="preserve"> LONG BEACH</v>
          </cell>
          <cell r="B29">
            <v>12945864</v>
          </cell>
          <cell r="C29">
            <v>14009037</v>
          </cell>
        </row>
        <row r="30">
          <cell r="A30" t="str">
            <v xml:space="preserve"> LOS ANGELES</v>
          </cell>
          <cell r="B30">
            <v>197009108</v>
          </cell>
          <cell r="C30">
            <v>0</v>
          </cell>
        </row>
        <row r="31">
          <cell r="A31" t="str">
            <v xml:space="preserve"> LOS RIOS</v>
          </cell>
          <cell r="B31">
            <v>59978166</v>
          </cell>
          <cell r="C31">
            <v>11364009</v>
          </cell>
        </row>
        <row r="32">
          <cell r="A32" t="str">
            <v xml:space="preserve"> MARIN</v>
          </cell>
          <cell r="B32">
            <v>51192070</v>
          </cell>
          <cell r="C32">
            <v>0</v>
          </cell>
        </row>
        <row r="33">
          <cell r="A33" t="str">
            <v xml:space="preserve"> MENDOCINO-LAKE</v>
          </cell>
          <cell r="B33">
            <v>6579686</v>
          </cell>
          <cell r="C33">
            <v>855263</v>
          </cell>
        </row>
        <row r="34">
          <cell r="A34" t="str">
            <v xml:space="preserve"> MERCED</v>
          </cell>
          <cell r="B34">
            <v>12007854</v>
          </cell>
          <cell r="C34">
            <v>-178406</v>
          </cell>
        </row>
        <row r="35">
          <cell r="A35" t="str">
            <v xml:space="preserve"> MIRA COSTA</v>
          </cell>
          <cell r="B35">
            <v>94790216</v>
          </cell>
          <cell r="C35">
            <v>0</v>
          </cell>
        </row>
        <row r="36">
          <cell r="A36" t="str">
            <v xml:space="preserve"> MONTEREY PENINSULA</v>
          </cell>
          <cell r="B36">
            <v>18065840</v>
          </cell>
          <cell r="C36">
            <v>0</v>
          </cell>
        </row>
        <row r="37">
          <cell r="A37" t="str">
            <v xml:space="preserve"> MT SAN ANTONIO</v>
          </cell>
          <cell r="B37">
            <v>20457504</v>
          </cell>
          <cell r="C37">
            <v>20172033</v>
          </cell>
        </row>
        <row r="38">
          <cell r="A38" t="str">
            <v xml:space="preserve"> MT SAN JACINTO</v>
          </cell>
          <cell r="B38">
            <v>29098095</v>
          </cell>
          <cell r="C38">
            <v>-2238840</v>
          </cell>
        </row>
        <row r="39">
          <cell r="A39" t="str">
            <v xml:space="preserve"> NAPA VALLEY</v>
          </cell>
          <cell r="B39">
            <v>28272218</v>
          </cell>
          <cell r="C39">
            <v>189147</v>
          </cell>
        </row>
        <row r="40">
          <cell r="A40" t="str">
            <v xml:space="preserve"> NORTH ORANGE</v>
          </cell>
          <cell r="B40">
            <v>73996673</v>
          </cell>
          <cell r="C40">
            <v>15222787</v>
          </cell>
        </row>
        <row r="41">
          <cell r="A41" t="str">
            <v xml:space="preserve"> OHLONE</v>
          </cell>
          <cell r="B41">
            <v>19437748</v>
          </cell>
          <cell r="C41">
            <v>1673947</v>
          </cell>
        </row>
        <row r="42">
          <cell r="A42" t="str">
            <v xml:space="preserve"> PALO VERDE</v>
          </cell>
          <cell r="B42">
            <v>1500418</v>
          </cell>
          <cell r="C42">
            <v>-77549</v>
          </cell>
        </row>
        <row r="43">
          <cell r="A43" t="str">
            <v xml:space="preserve"> PALOMAR</v>
          </cell>
          <cell r="B43">
            <v>72098850</v>
          </cell>
          <cell r="C43">
            <v>-747681</v>
          </cell>
        </row>
        <row r="44">
          <cell r="A44" t="str">
            <v xml:space="preserve"> PASADENA</v>
          </cell>
          <cell r="B44">
            <v>27565300</v>
          </cell>
          <cell r="C44">
            <v>3557323</v>
          </cell>
        </row>
        <row r="45">
          <cell r="A45" t="str">
            <v xml:space="preserve"> PERALTA</v>
          </cell>
          <cell r="B45">
            <v>22668916</v>
          </cell>
          <cell r="C45">
            <v>28793951</v>
          </cell>
        </row>
        <row r="46">
          <cell r="A46" t="str">
            <v xml:space="preserve"> RANCHO SANTIAGO</v>
          </cell>
          <cell r="B46">
            <v>53272734</v>
          </cell>
          <cell r="C46">
            <v>16136658</v>
          </cell>
        </row>
        <row r="47">
          <cell r="A47" t="str">
            <v xml:space="preserve"> REDWOODS</v>
          </cell>
          <cell r="B47">
            <v>10360903</v>
          </cell>
          <cell r="C47">
            <v>240280</v>
          </cell>
        </row>
        <row r="48">
          <cell r="A48" t="str">
            <v xml:space="preserve"> RIO HONDO</v>
          </cell>
          <cell r="B48">
            <v>6369297</v>
          </cell>
          <cell r="C48">
            <v>0</v>
          </cell>
        </row>
        <row r="49">
          <cell r="A49" t="str">
            <v xml:space="preserve"> RIVERSIDE</v>
          </cell>
          <cell r="B49">
            <v>41362424</v>
          </cell>
          <cell r="C49">
            <v>-3056279</v>
          </cell>
        </row>
        <row r="50">
          <cell r="A50" t="str">
            <v xml:space="preserve"> SAN BERNARDINO</v>
          </cell>
          <cell r="B50">
            <v>28240567</v>
          </cell>
          <cell r="C50">
            <v>-4977792</v>
          </cell>
        </row>
        <row r="51">
          <cell r="A51" t="str">
            <v xml:space="preserve"> SAN DIEGO</v>
          </cell>
          <cell r="B51">
            <v>102953201</v>
          </cell>
          <cell r="C51">
            <v>-1108227</v>
          </cell>
        </row>
        <row r="52">
          <cell r="A52" t="str">
            <v xml:space="preserve"> SAN FRANCISCO</v>
          </cell>
          <cell r="B52">
            <v>29299977</v>
          </cell>
          <cell r="C52">
            <v>44028204</v>
          </cell>
        </row>
        <row r="53">
          <cell r="A53" t="str">
            <v xml:space="preserve"> SAN JOAQUIN DELTA</v>
          </cell>
          <cell r="B53">
            <v>27249313</v>
          </cell>
          <cell r="C53">
            <v>3884898</v>
          </cell>
        </row>
        <row r="54">
          <cell r="A54" t="str">
            <v xml:space="preserve"> SAN JOSE</v>
          </cell>
          <cell r="B54">
            <v>89602046</v>
          </cell>
          <cell r="C54">
            <v>0</v>
          </cell>
        </row>
        <row r="55">
          <cell r="A55" t="str">
            <v xml:space="preserve"> SAN LUIS OBISPO</v>
          </cell>
          <cell r="B55">
            <v>36054175</v>
          </cell>
          <cell r="C55">
            <v>1811518</v>
          </cell>
        </row>
        <row r="56">
          <cell r="A56" t="str">
            <v xml:space="preserve"> SAN MATEO</v>
          </cell>
          <cell r="B56">
            <v>133694250</v>
          </cell>
          <cell r="C56">
            <v>0</v>
          </cell>
        </row>
        <row r="57">
          <cell r="A57" t="str">
            <v xml:space="preserve"> SANTA BARBARA</v>
          </cell>
          <cell r="B57">
            <v>28795751</v>
          </cell>
          <cell r="C57">
            <v>0</v>
          </cell>
        </row>
        <row r="58">
          <cell r="A58" t="str">
            <v xml:space="preserve"> SANTA CLARITA</v>
          </cell>
          <cell r="B58">
            <v>15707454</v>
          </cell>
          <cell r="C58">
            <v>5608537</v>
          </cell>
        </row>
        <row r="59">
          <cell r="A59" t="str">
            <v xml:space="preserve"> SANTA MONICA</v>
          </cell>
          <cell r="B59">
            <v>17481174</v>
          </cell>
          <cell r="C59">
            <v>10031196</v>
          </cell>
        </row>
        <row r="60">
          <cell r="A60" t="str">
            <v xml:space="preserve"> SEQUOIAS</v>
          </cell>
          <cell r="B60">
            <v>15111513</v>
          </cell>
          <cell r="C60">
            <v>-1743569</v>
          </cell>
        </row>
        <row r="61">
          <cell r="A61" t="str">
            <v xml:space="preserve"> SHASTA</v>
          </cell>
          <cell r="B61">
            <v>17072800</v>
          </cell>
          <cell r="C61">
            <v>-337930</v>
          </cell>
        </row>
        <row r="62">
          <cell r="A62" t="str">
            <v xml:space="preserve"> SIERRA</v>
          </cell>
          <cell r="B62">
            <v>69768016</v>
          </cell>
          <cell r="C62">
            <v>5821628</v>
          </cell>
        </row>
        <row r="63">
          <cell r="A63" t="str">
            <v xml:space="preserve"> SISKIYOU</v>
          </cell>
          <cell r="B63">
            <v>3947577</v>
          </cell>
          <cell r="C63">
            <v>41299</v>
          </cell>
        </row>
        <row r="64">
          <cell r="A64" t="str">
            <v xml:space="preserve"> SOLANO</v>
          </cell>
          <cell r="B64">
            <v>14981038</v>
          </cell>
          <cell r="C64">
            <v>1269586</v>
          </cell>
        </row>
        <row r="65">
          <cell r="A65" t="str">
            <v xml:space="preserve"> SONOMA</v>
          </cell>
          <cell r="B65">
            <v>50074172</v>
          </cell>
          <cell r="C65">
            <v>3502213</v>
          </cell>
        </row>
        <row r="66">
          <cell r="A66" t="str">
            <v xml:space="preserve"> SOUTH ORANGE CO.</v>
          </cell>
          <cell r="B66">
            <v>202027369</v>
          </cell>
          <cell r="C66">
            <v>0</v>
          </cell>
        </row>
        <row r="67">
          <cell r="A67" t="str">
            <v xml:space="preserve"> SOUTHWESTERN</v>
          </cell>
          <cell r="B67">
            <v>26008405</v>
          </cell>
          <cell r="C67">
            <v>-284594</v>
          </cell>
        </row>
        <row r="68">
          <cell r="A68" t="str">
            <v xml:space="preserve"> STATE CENTER</v>
          </cell>
          <cell r="B68">
            <v>43944810</v>
          </cell>
          <cell r="C68">
            <v>-1399425</v>
          </cell>
        </row>
        <row r="69">
          <cell r="A69" t="str">
            <v xml:space="preserve"> VENTURA</v>
          </cell>
          <cell r="B69">
            <v>63093042</v>
          </cell>
          <cell r="C69">
            <v>1228702</v>
          </cell>
        </row>
        <row r="70">
          <cell r="A70" t="str">
            <v xml:space="preserve"> VICTOR VALLEY</v>
          </cell>
          <cell r="B70">
            <v>13243122</v>
          </cell>
          <cell r="C70">
            <v>-2766137</v>
          </cell>
        </row>
        <row r="71">
          <cell r="A71" t="str">
            <v xml:space="preserve"> WEST HILLS</v>
          </cell>
          <cell r="B71">
            <v>6157086</v>
          </cell>
          <cell r="C71">
            <v>-561620</v>
          </cell>
        </row>
        <row r="72">
          <cell r="A72" t="str">
            <v xml:space="preserve"> WEST KERN</v>
          </cell>
          <cell r="B72">
            <v>4486629</v>
          </cell>
          <cell r="C72">
            <v>0</v>
          </cell>
        </row>
        <row r="73">
          <cell r="A73" t="str">
            <v xml:space="preserve"> WEST VALLEY</v>
          </cell>
          <cell r="B73">
            <v>112935735</v>
          </cell>
          <cell r="C73">
            <v>0</v>
          </cell>
        </row>
        <row r="74">
          <cell r="A74" t="str">
            <v xml:space="preserve"> YOSEMITE</v>
          </cell>
          <cell r="B74">
            <v>43663033</v>
          </cell>
          <cell r="C74">
            <v>684245</v>
          </cell>
        </row>
        <row r="75">
          <cell r="A75" t="str">
            <v xml:space="preserve"> YUBA</v>
          </cell>
          <cell r="B75">
            <v>24557302</v>
          </cell>
          <cell r="C75">
            <v>3538427</v>
          </cell>
        </row>
      </sheetData>
      <sheetData sheetId="15"/>
      <sheetData sheetId="16"/>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Raw Data"/>
      <sheetName val="Summary"/>
      <sheetName val="Budget Request Details"/>
      <sheetName val="Position Change Request"/>
      <sheetName val="Position Summary PY"/>
      <sheetName val="Position Summary CY"/>
      <sheetName val="Position Summary BY0-4"/>
      <sheetName val="Baseline Adjustment Type"/>
      <sheetName val="Baseline Adjustments PY"/>
      <sheetName val="Baseline Adjustments CY"/>
      <sheetName val="Baseline Adjustments BY0-4"/>
      <sheetName val="Non Add Baseline Adjs PY"/>
      <sheetName val="Non Add Baseline Adjs CY"/>
      <sheetName val="Non Add Baseline Adjs BY0-4"/>
      <sheetName val="Budgetary Exp PY"/>
      <sheetName val="Budgetary Exp CY"/>
      <sheetName val="Budgetary Exp BY"/>
      <sheetName val="Non Add Budgetary Exp PY "/>
      <sheetName val="Non Add Budgetary Exp CY"/>
      <sheetName val="Non Add Budgetary Exp BY"/>
      <sheetName val="Reimbursements PY"/>
      <sheetName val="Reimbursements CY"/>
      <sheetName val="Reimbursements BY0-4"/>
      <sheetName val="Dimension Lookup"/>
      <sheetName val="Smartlist Lookup"/>
      <sheetName val="Budget Position Transparency Sa"/>
      <sheetName val="Budget%20Position%20Transparenc"/>
    </sheetNames>
    <sheetDataSet>
      <sheetData sheetId="0"/>
      <sheetData sheetId="1"/>
      <sheetData sheetId="2">
        <row r="61">
          <cell r="F61">
            <v>-1582000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OPS Review Tracking"/>
      <sheetName val="Don't Change Weekly Report"/>
      <sheetName val="Don't Change Chart"/>
      <sheetName val="Don't Change Lists"/>
      <sheetName val="Sheet1"/>
    </sheetNames>
    <sheetDataSet>
      <sheetData sheetId="0"/>
      <sheetData sheetId="1"/>
      <sheetData sheetId="2"/>
      <sheetData sheetId="3">
        <row r="3">
          <cell r="A3" t="str">
            <v>Barr</v>
          </cell>
          <cell r="D3" t="str">
            <v>Yes L-Sent</v>
          </cell>
        </row>
        <row r="4">
          <cell r="A4" t="str">
            <v>Evans</v>
          </cell>
          <cell r="D4" t="str">
            <v>No L-Sent</v>
          </cell>
        </row>
        <row r="5">
          <cell r="A5" t="str">
            <v>Le</v>
          </cell>
          <cell r="D5" t="str">
            <v>N/A</v>
          </cell>
        </row>
        <row r="6">
          <cell r="A6" t="str">
            <v>Patterson</v>
          </cell>
        </row>
      </sheetData>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book Information"/>
      <sheetName val="Ed Code Section 84750.4"/>
      <sheetName val="Data Dictionary"/>
      <sheetName val="Hold Harmless Provisions"/>
      <sheetName val="NamesDistrictCollegeCenter"/>
      <sheetName val="FTESCollegeCreditNoncredit-PPPY"/>
      <sheetName val="FTESCollegeCreditNoncredit-PPY"/>
      <sheetName val="FTESCollegeCreditNoncredit-PY"/>
      <sheetName val="FTESCollegeCreditNoncredit-CY"/>
      <sheetName val="FTESDistrictCreditNoncredit PPY"/>
      <sheetName val="FTESDistrictCreditNoncredit PY"/>
      <sheetName val="FTESCenters-PPPY"/>
      <sheetName val="FTESCenters-PPY"/>
      <sheetName val="FTESCenters-PY"/>
      <sheetName val="FTESCenters-CY"/>
      <sheetName val="FTESSpecialAdmitCredit PY"/>
      <sheetName val="FY Identified"/>
      <sheetName val="calcBasicAlloc"/>
      <sheetName val="Exhibit-C-p1Data"/>
      <sheetName val="Exhibit C p.1"/>
      <sheetName val="Exhibit-C-p2Data"/>
      <sheetName val="Exhibit C p.2"/>
      <sheetName val="Exhibit-C-p3Data"/>
      <sheetName val="Exhibit C p.3"/>
      <sheetName val="18-19 Systemwide Detail"/>
      <sheetName val="Rates-Sizes-Colleges-Centers"/>
      <sheetName val="Rates-FTES-Traditional-Credit"/>
      <sheetName val="Rates-Other"/>
      <sheetName val="calc17-18TCRplusCOLAs"/>
      <sheetName val="2018-19 Allocations"/>
      <sheetName val="1. Base Allocation"/>
      <sheetName val="1a.BasicAllocation"/>
      <sheetName val="1b. calcBaseFTESallocation"/>
      <sheetName val="1ba. calcFTES"/>
      <sheetName val="1c. FTES - inputs - rf"/>
      <sheetName val="1d. FTES restoration - 2017-18"/>
      <sheetName val="1e. FTES - original with $"/>
      <sheetName val="Sheet1"/>
      <sheetName val="Sheet3"/>
      <sheetName val="Sheet2"/>
      <sheetName val="2. Supplemental Allocation"/>
      <sheetName val="2a. Supplemental Data"/>
      <sheetName val="3. Student Success Allocation"/>
      <sheetName val="3a. Student Success Data"/>
    </sheetNames>
    <sheetDataSet>
      <sheetData sheetId="0" refreshError="1"/>
      <sheetData sheetId="1" refreshError="1"/>
      <sheetData sheetId="2" refreshError="1"/>
      <sheetData sheetId="3" refreshError="1"/>
      <sheetData sheetId="4" refreshError="1">
        <row r="11">
          <cell r="B11" t="str">
            <v>Allan Hancock Joint CCD</v>
          </cell>
        </row>
        <row r="12">
          <cell r="B12" t="str">
            <v>Antelope Valley CCD</v>
          </cell>
        </row>
        <row r="13">
          <cell r="B13" t="str">
            <v>Barstow CCD</v>
          </cell>
        </row>
        <row r="14">
          <cell r="B14" t="str">
            <v>Butte-Glenn CCD</v>
          </cell>
        </row>
        <row r="15">
          <cell r="B15" t="str">
            <v>Cabrillo CCD</v>
          </cell>
        </row>
        <row r="16">
          <cell r="B16" t="str">
            <v>Cerritos CCD</v>
          </cell>
        </row>
        <row r="17">
          <cell r="B17" t="str">
            <v>Chabot-Las Positas CCD</v>
          </cell>
        </row>
        <row r="18">
          <cell r="B18" t="str">
            <v>Chaffey CCD</v>
          </cell>
        </row>
        <row r="19">
          <cell r="B19" t="str">
            <v>Citrus CCD</v>
          </cell>
        </row>
        <row r="20">
          <cell r="B20" t="str">
            <v>Coast CCD</v>
          </cell>
        </row>
        <row r="21">
          <cell r="B21" t="str">
            <v>Compton CCD</v>
          </cell>
        </row>
        <row r="22">
          <cell r="B22" t="str">
            <v>Contra Costa CCD</v>
          </cell>
        </row>
        <row r="23">
          <cell r="B23" t="str">
            <v>Copper Mountain CCD</v>
          </cell>
        </row>
        <row r="24">
          <cell r="B24" t="str">
            <v>Desert CCD</v>
          </cell>
        </row>
        <row r="25">
          <cell r="B25" t="str">
            <v>El Camino CCD</v>
          </cell>
        </row>
        <row r="26">
          <cell r="B26" t="str">
            <v>Feather River CCD</v>
          </cell>
        </row>
        <row r="27">
          <cell r="B27" t="str">
            <v>Foothill-DeAnza CCD</v>
          </cell>
        </row>
        <row r="28">
          <cell r="B28" t="str">
            <v>Gavilan Joint CCD</v>
          </cell>
        </row>
        <row r="29">
          <cell r="B29" t="str">
            <v>Glendale CCD</v>
          </cell>
        </row>
        <row r="30">
          <cell r="B30" t="str">
            <v>Grossmont-Cuyamaca CCD</v>
          </cell>
        </row>
        <row r="31">
          <cell r="B31" t="str">
            <v>Hartnell CCD</v>
          </cell>
        </row>
        <row r="32">
          <cell r="B32" t="str">
            <v>Imperial CCD</v>
          </cell>
        </row>
        <row r="33">
          <cell r="B33" t="str">
            <v>Kern CCD</v>
          </cell>
        </row>
        <row r="34">
          <cell r="B34" t="str">
            <v>Lake Tahoe CCD</v>
          </cell>
        </row>
        <row r="35">
          <cell r="B35" t="str">
            <v>Lassen CCD</v>
          </cell>
        </row>
        <row r="36">
          <cell r="B36" t="str">
            <v>Long Beach CCD</v>
          </cell>
        </row>
        <row r="37">
          <cell r="B37" t="str">
            <v>Los Angeles CCD</v>
          </cell>
        </row>
        <row r="38">
          <cell r="B38" t="str">
            <v>Los Rios CCD</v>
          </cell>
        </row>
        <row r="39">
          <cell r="B39" t="str">
            <v>Marin CCD</v>
          </cell>
        </row>
        <row r="40">
          <cell r="B40" t="str">
            <v>Mendocino-Lake CCD</v>
          </cell>
        </row>
        <row r="41">
          <cell r="B41" t="str">
            <v>Merced CCD</v>
          </cell>
        </row>
        <row r="42">
          <cell r="B42" t="str">
            <v>MiraCosta CCD</v>
          </cell>
        </row>
        <row r="43">
          <cell r="B43" t="str">
            <v>Monterey Peninsula CCD</v>
          </cell>
        </row>
        <row r="44">
          <cell r="B44" t="str">
            <v>Mt. San Antonio CCD</v>
          </cell>
        </row>
        <row r="45">
          <cell r="B45" t="str">
            <v>Mt. San Jacinto CCD</v>
          </cell>
        </row>
        <row r="46">
          <cell r="B46" t="str">
            <v>Napa Valley CCD</v>
          </cell>
        </row>
        <row r="47">
          <cell r="B47" t="str">
            <v>North Orange County CCD</v>
          </cell>
        </row>
        <row r="48">
          <cell r="B48" t="str">
            <v>Ohlone CCD</v>
          </cell>
        </row>
        <row r="49">
          <cell r="B49" t="str">
            <v>Palo Verde CCD</v>
          </cell>
        </row>
        <row r="50">
          <cell r="B50" t="str">
            <v>Palomar CCD</v>
          </cell>
        </row>
        <row r="51">
          <cell r="B51" t="str">
            <v>Pasadena Area CCD</v>
          </cell>
        </row>
        <row r="52">
          <cell r="B52" t="str">
            <v>Peralta CCD</v>
          </cell>
        </row>
        <row r="53">
          <cell r="B53" t="str">
            <v>Rancho Santiago CCD</v>
          </cell>
        </row>
        <row r="54">
          <cell r="B54" t="str">
            <v>Redwoods CCD</v>
          </cell>
        </row>
        <row r="55">
          <cell r="B55" t="str">
            <v>Rio Hondo CCD</v>
          </cell>
        </row>
        <row r="56">
          <cell r="B56" t="str">
            <v>Riverside CCD</v>
          </cell>
        </row>
        <row r="57">
          <cell r="B57" t="str">
            <v>San Bernardino CCD</v>
          </cell>
        </row>
        <row r="58">
          <cell r="B58" t="str">
            <v>San Diego CCD</v>
          </cell>
        </row>
        <row r="59">
          <cell r="B59" t="str">
            <v>San Francisco CCD</v>
          </cell>
        </row>
        <row r="60">
          <cell r="B60" t="str">
            <v>San Joaquin Delta CCD</v>
          </cell>
        </row>
        <row r="61">
          <cell r="B61" t="str">
            <v>San Jose-Evergreen CCD</v>
          </cell>
        </row>
        <row r="62">
          <cell r="B62" t="str">
            <v>San Luis Obispo County CCD</v>
          </cell>
        </row>
        <row r="63">
          <cell r="B63" t="str">
            <v>San Mateo County CCD</v>
          </cell>
        </row>
        <row r="64">
          <cell r="B64" t="str">
            <v>Santa Barbara CCD</v>
          </cell>
        </row>
        <row r="65">
          <cell r="B65" t="str">
            <v>Santa Clarita CCD</v>
          </cell>
        </row>
        <row r="66">
          <cell r="B66" t="str">
            <v>Santa Monica CCD</v>
          </cell>
        </row>
        <row r="67">
          <cell r="B67" t="str">
            <v>Sequoias CCD</v>
          </cell>
        </row>
        <row r="68">
          <cell r="B68" t="str">
            <v>Shasta-Tehama-Trinity CCD</v>
          </cell>
        </row>
        <row r="69">
          <cell r="B69" t="str">
            <v>Sierra Joint CCD</v>
          </cell>
        </row>
        <row r="70">
          <cell r="B70" t="str">
            <v>Siskiyou Joint CCD</v>
          </cell>
        </row>
        <row r="71">
          <cell r="B71" t="str">
            <v>Solano CCD</v>
          </cell>
        </row>
        <row r="72">
          <cell r="B72" t="str">
            <v>Sonoma County CCD</v>
          </cell>
        </row>
        <row r="73">
          <cell r="B73" t="str">
            <v>South Orange County CCD</v>
          </cell>
        </row>
        <row r="74">
          <cell r="B74" t="str">
            <v>Southwestern CCD</v>
          </cell>
        </row>
        <row r="75">
          <cell r="B75" t="str">
            <v>State Center CCD</v>
          </cell>
        </row>
        <row r="76">
          <cell r="B76" t="str">
            <v>Ventura County CCD</v>
          </cell>
        </row>
        <row r="77">
          <cell r="B77" t="str">
            <v>Victor Valley CCD</v>
          </cell>
        </row>
        <row r="78">
          <cell r="B78" t="str">
            <v>West Hills CCD</v>
          </cell>
        </row>
        <row r="79">
          <cell r="B79" t="str">
            <v>West Kern CCD</v>
          </cell>
        </row>
        <row r="80">
          <cell r="B80" t="str">
            <v>West Valley-Mission CCD</v>
          </cell>
        </row>
        <row r="81">
          <cell r="B81" t="str">
            <v>Yosemite CCD</v>
          </cell>
        </row>
        <row r="82">
          <cell r="B82" t="str">
            <v>Yuba CCD</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persons/person.xml><?xml version="1.0" encoding="utf-8"?>
<personList xmlns="http://schemas.microsoft.com/office/spreadsheetml/2018/threadedcomments" xmlns:x="http://schemas.openxmlformats.org/spreadsheetml/2006/main">
  <person displayName="Darcie Harvey" id="{FB14D197-EF5C-401E-BA13-AEAE7B968401}" userId="44c52fa0ab0637b3"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0" dT="2019-07-30T18:44:54.02" personId="{FB14D197-EF5C-401E-BA13-AEAE7B968401}" id="{6C6AFC20-661A-4604-B2DB-38BB18B86525}">
    <text>Set by trying to have C22 equal C23 without changing B3 or H3</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vmlDrawing" Target="../drawings/vmlDrawing1.vml"/><Relationship Id="rId5"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C28"/>
  <sheetViews>
    <sheetView topLeftCell="A19" workbookViewId="0">
      <selection activeCell="A10" sqref="A10:B10"/>
    </sheetView>
  </sheetViews>
  <sheetFormatPr defaultColWidth="8.85546875" defaultRowHeight="15" x14ac:dyDescent="0.25"/>
  <cols>
    <col min="1" max="1" width="20.7109375" style="94" customWidth="1"/>
    <col min="2" max="2" width="60" style="94" customWidth="1"/>
    <col min="3" max="3" width="83.42578125" style="94" customWidth="1"/>
    <col min="4" max="16384" width="8.85546875" style="94"/>
  </cols>
  <sheetData>
    <row r="1" spans="1:3" s="88" customFormat="1" x14ac:dyDescent="0.25">
      <c r="A1" s="81" t="s">
        <v>148</v>
      </c>
      <c r="B1" s="81"/>
    </row>
    <row r="2" spans="1:3" s="89" customFormat="1" x14ac:dyDescent="0.25">
      <c r="A2" s="83" t="s">
        <v>179</v>
      </c>
      <c r="B2" s="83" t="s">
        <v>174</v>
      </c>
      <c r="C2" s="84" t="s">
        <v>293</v>
      </c>
    </row>
    <row r="3" spans="1:3" ht="45" x14ac:dyDescent="0.25">
      <c r="A3" s="85" t="s">
        <v>177</v>
      </c>
      <c r="B3" s="98" t="s">
        <v>180</v>
      </c>
      <c r="C3" s="93" t="s">
        <v>175</v>
      </c>
    </row>
    <row r="4" spans="1:3" ht="45" x14ac:dyDescent="0.25">
      <c r="A4" s="85" t="s">
        <v>178</v>
      </c>
      <c r="B4" s="97" t="s">
        <v>180</v>
      </c>
      <c r="C4" s="93" t="s">
        <v>175</v>
      </c>
    </row>
    <row r="5" spans="1:3" s="91" customFormat="1" x14ac:dyDescent="0.25">
      <c r="A5" s="295" t="s">
        <v>245</v>
      </c>
      <c r="B5" s="295"/>
      <c r="C5" s="90"/>
    </row>
    <row r="6" spans="1:3" ht="90" x14ac:dyDescent="0.25">
      <c r="A6" s="92" t="s">
        <v>149</v>
      </c>
      <c r="B6" s="92" t="s">
        <v>150</v>
      </c>
      <c r="C6" s="93" t="s">
        <v>175</v>
      </c>
    </row>
    <row r="7" spans="1:3" ht="60" x14ac:dyDescent="0.25">
      <c r="A7" s="92" t="s">
        <v>123</v>
      </c>
      <c r="B7" s="92" t="s">
        <v>151</v>
      </c>
      <c r="C7" s="93" t="s">
        <v>175</v>
      </c>
    </row>
    <row r="8" spans="1:3" ht="30" x14ac:dyDescent="0.25">
      <c r="A8" s="92" t="s">
        <v>152</v>
      </c>
      <c r="B8" s="92" t="s">
        <v>153</v>
      </c>
      <c r="C8" s="93" t="s">
        <v>175</v>
      </c>
    </row>
    <row r="9" spans="1:3" ht="45" x14ac:dyDescent="0.25">
      <c r="A9" s="92" t="s">
        <v>176</v>
      </c>
      <c r="B9" s="92" t="s">
        <v>154</v>
      </c>
      <c r="C9" s="93" t="s">
        <v>175</v>
      </c>
    </row>
    <row r="10" spans="1:3" s="91" customFormat="1" x14ac:dyDescent="0.25">
      <c r="A10" s="295" t="s">
        <v>247</v>
      </c>
      <c r="B10" s="295"/>
      <c r="C10" s="90"/>
    </row>
    <row r="11" spans="1:3" ht="30" x14ac:dyDescent="0.25">
      <c r="A11" s="92" t="s">
        <v>155</v>
      </c>
      <c r="B11" s="92" t="s">
        <v>156</v>
      </c>
      <c r="C11" s="93" t="s">
        <v>175</v>
      </c>
    </row>
    <row r="12" spans="1:3" ht="30" x14ac:dyDescent="0.25">
      <c r="A12" s="92" t="s">
        <v>157</v>
      </c>
      <c r="B12" s="92" t="s">
        <v>158</v>
      </c>
      <c r="C12" s="93" t="s">
        <v>175</v>
      </c>
    </row>
    <row r="13" spans="1:3" ht="45" x14ac:dyDescent="0.25">
      <c r="A13" s="92" t="s">
        <v>159</v>
      </c>
      <c r="B13" s="92" t="s">
        <v>160</v>
      </c>
      <c r="C13" s="93" t="s">
        <v>175</v>
      </c>
    </row>
    <row r="14" spans="1:3" s="91" customFormat="1" x14ac:dyDescent="0.25">
      <c r="A14" s="296" t="s">
        <v>248</v>
      </c>
      <c r="B14" s="296"/>
      <c r="C14" s="90"/>
    </row>
    <row r="15" spans="1:3" ht="60" x14ac:dyDescent="0.25">
      <c r="A15" s="92" t="s">
        <v>113</v>
      </c>
      <c r="B15" s="86" t="s">
        <v>164</v>
      </c>
      <c r="C15" s="92" t="s">
        <v>241</v>
      </c>
    </row>
    <row r="16" spans="1:3" ht="60" x14ac:dyDescent="0.25">
      <c r="A16" s="92" t="s">
        <v>112</v>
      </c>
      <c r="B16" s="86" t="s">
        <v>161</v>
      </c>
      <c r="C16" s="92" t="s">
        <v>241</v>
      </c>
    </row>
    <row r="17" spans="1:3" ht="60" x14ac:dyDescent="0.25">
      <c r="A17" s="92" t="s">
        <v>162</v>
      </c>
      <c r="B17" s="86" t="s">
        <v>163</v>
      </c>
      <c r="C17" s="92" t="s">
        <v>241</v>
      </c>
    </row>
    <row r="18" spans="1:3" ht="60" x14ac:dyDescent="0.25">
      <c r="A18" s="92" t="s">
        <v>114</v>
      </c>
      <c r="B18" s="86" t="s">
        <v>181</v>
      </c>
      <c r="C18" s="92" t="s">
        <v>242</v>
      </c>
    </row>
    <row r="19" spans="1:3" ht="60" x14ac:dyDescent="0.25">
      <c r="A19" s="92" t="s">
        <v>165</v>
      </c>
      <c r="B19" s="86" t="s">
        <v>166</v>
      </c>
      <c r="C19" s="92" t="s">
        <v>233</v>
      </c>
    </row>
    <row r="20" spans="1:3" ht="60" x14ac:dyDescent="0.25">
      <c r="A20" s="92" t="s">
        <v>168</v>
      </c>
      <c r="B20" s="86" t="s">
        <v>169</v>
      </c>
      <c r="C20" s="92" t="s">
        <v>233</v>
      </c>
    </row>
    <row r="21" spans="1:3" ht="60" x14ac:dyDescent="0.25">
      <c r="A21" s="92" t="s">
        <v>167</v>
      </c>
      <c r="B21" s="92" t="s">
        <v>182</v>
      </c>
      <c r="C21" s="92" t="s">
        <v>249</v>
      </c>
    </row>
    <row r="22" spans="1:3" ht="45" x14ac:dyDescent="0.25">
      <c r="A22" s="92" t="s">
        <v>118</v>
      </c>
      <c r="B22" s="86" t="s">
        <v>170</v>
      </c>
      <c r="C22" s="92" t="s">
        <v>233</v>
      </c>
    </row>
    <row r="23" spans="1:3" s="96" customFormat="1" x14ac:dyDescent="0.25">
      <c r="A23" s="87" t="s">
        <v>171</v>
      </c>
      <c r="B23" s="87"/>
      <c r="C23" s="95"/>
    </row>
    <row r="24" spans="1:3" ht="30" x14ac:dyDescent="0.25">
      <c r="A24" s="92" t="s">
        <v>155</v>
      </c>
      <c r="B24" s="86" t="s">
        <v>172</v>
      </c>
      <c r="C24" s="92" t="s">
        <v>233</v>
      </c>
    </row>
    <row r="25" spans="1:3" ht="45" x14ac:dyDescent="0.25">
      <c r="A25" s="92" t="s">
        <v>159</v>
      </c>
      <c r="B25" s="86" t="s">
        <v>173</v>
      </c>
      <c r="C25" s="92" t="s">
        <v>233</v>
      </c>
    </row>
    <row r="28" spans="1:3" x14ac:dyDescent="0.25">
      <c r="B28" s="82"/>
    </row>
  </sheetData>
  <mergeCells count="3">
    <mergeCell ref="A5:B5"/>
    <mergeCell ref="A10:B10"/>
    <mergeCell ref="A14:B14"/>
  </mergeCells>
  <pageMargins left="0.25" right="0.25" top="0.75" bottom="0.75" header="0.3" footer="0.3"/>
  <pageSetup scale="81" fitToHeight="0" orientation="landscape" verticalDpi="4294967293"/>
  <headerFooter>
    <oddFooter>&amp;L&amp;A&amp;RPage &amp;P of &amp;N</oddFooter>
  </headerFooter>
  <rowBreaks count="2" manualBreakCount="2">
    <brk id="13" max="16383" man="1"/>
    <brk id="22" max="16383" man="1"/>
  </rowBreak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2060"/>
  </sheetPr>
  <dimension ref="A1:S101"/>
  <sheetViews>
    <sheetView topLeftCell="A4" workbookViewId="0">
      <selection activeCell="E20" sqref="E20"/>
    </sheetView>
  </sheetViews>
  <sheetFormatPr defaultColWidth="8.85546875" defaultRowHeight="15" x14ac:dyDescent="0.25"/>
  <cols>
    <col min="1" max="1" width="45.85546875" customWidth="1"/>
    <col min="2" max="2" width="14.85546875" bestFit="1" customWidth="1"/>
    <col min="3" max="3" width="17" bestFit="1" customWidth="1"/>
    <col min="4" max="4" width="14.28515625" bestFit="1" customWidth="1"/>
    <col min="5" max="5" width="15.28515625" bestFit="1" customWidth="1"/>
    <col min="6" max="6" width="2.85546875" customWidth="1"/>
    <col min="7" max="7" width="26.7109375" customWidth="1"/>
    <col min="8" max="8" width="14.140625" bestFit="1" customWidth="1"/>
    <col min="9" max="9" width="13.85546875" bestFit="1" customWidth="1"/>
    <col min="10" max="10" width="15.7109375" style="80" bestFit="1" customWidth="1"/>
    <col min="11" max="11" width="16.85546875" bestFit="1" customWidth="1"/>
    <col min="12" max="12" width="18" customWidth="1"/>
    <col min="13" max="13" width="14.140625" bestFit="1" customWidth="1"/>
  </cols>
  <sheetData>
    <row r="1" spans="1:12" x14ac:dyDescent="0.25">
      <c r="A1" s="69" t="s">
        <v>239</v>
      </c>
      <c r="B1" s="218"/>
      <c r="C1" s="219"/>
      <c r="L1" s="3"/>
    </row>
    <row r="2" spans="1:12" x14ac:dyDescent="0.25">
      <c r="B2" s="80"/>
      <c r="C2" s="255"/>
      <c r="E2" s="196"/>
    </row>
    <row r="3" spans="1:12" x14ac:dyDescent="0.25">
      <c r="A3" t="s">
        <v>240</v>
      </c>
      <c r="B3" s="294">
        <v>7497237451.5517921</v>
      </c>
      <c r="C3" s="200"/>
      <c r="D3" s="189"/>
      <c r="G3" s="48" t="s">
        <v>238</v>
      </c>
      <c r="H3" s="16">
        <f>'3. HH-Total'!N78</f>
        <v>7337040667.1186409</v>
      </c>
      <c r="I3" s="45"/>
    </row>
    <row r="4" spans="1:12" x14ac:dyDescent="0.25">
      <c r="A4" t="s">
        <v>243</v>
      </c>
      <c r="B4" s="102">
        <f>SUM(C15:C16)</f>
        <v>341209337.24917632</v>
      </c>
      <c r="C4" s="200"/>
      <c r="D4" s="189"/>
      <c r="G4" t="s">
        <v>237</v>
      </c>
      <c r="H4" s="8">
        <f>'3. HH-Total'!M78</f>
        <v>248454948.0255194</v>
      </c>
      <c r="I4" s="45"/>
    </row>
    <row r="5" spans="1:12" x14ac:dyDescent="0.25">
      <c r="B5" s="8">
        <f>B3-B4</f>
        <v>7156028114.3026161</v>
      </c>
      <c r="D5" s="112"/>
      <c r="G5" s="48" t="s">
        <v>294</v>
      </c>
      <c r="H5" s="258">
        <v>7337040667.1186399</v>
      </c>
      <c r="I5" s="8"/>
    </row>
    <row r="6" spans="1:12" x14ac:dyDescent="0.25">
      <c r="A6" t="s">
        <v>0</v>
      </c>
      <c r="B6" s="16">
        <f>B$5*C6</f>
        <v>5009219680.0118313</v>
      </c>
      <c r="C6" s="199">
        <v>0.7</v>
      </c>
      <c r="D6" s="16"/>
      <c r="F6" s="13"/>
      <c r="G6" s="13" t="s">
        <v>295</v>
      </c>
      <c r="H6" s="201">
        <v>182624023.3130818</v>
      </c>
      <c r="I6" s="8"/>
    </row>
    <row r="7" spans="1:12" x14ac:dyDescent="0.25">
      <c r="A7" t="s">
        <v>1</v>
      </c>
      <c r="B7" s="16">
        <f t="shared" ref="B7:B8" si="0">B$5*C7</f>
        <v>1431205622.8605232</v>
      </c>
      <c r="C7" s="199">
        <v>0.2</v>
      </c>
      <c r="D7" s="112"/>
      <c r="E7" s="72"/>
      <c r="F7" s="13"/>
      <c r="I7" s="16"/>
      <c r="J7" s="186"/>
    </row>
    <row r="8" spans="1:12" x14ac:dyDescent="0.25">
      <c r="A8" s="13" t="s">
        <v>2</v>
      </c>
      <c r="B8" s="16">
        <f t="shared" si="0"/>
        <v>715602811.43026161</v>
      </c>
      <c r="C8" s="199">
        <v>0.1</v>
      </c>
      <c r="D8" s="16"/>
      <c r="J8" s="253"/>
    </row>
    <row r="9" spans="1:12" x14ac:dyDescent="0.25">
      <c r="A9" t="s">
        <v>220</v>
      </c>
      <c r="B9" s="15">
        <v>3.2599999999999997E-2</v>
      </c>
      <c r="C9" s="15"/>
      <c r="H9" s="202"/>
      <c r="I9" s="203"/>
      <c r="J9" s="253"/>
    </row>
    <row r="10" spans="1:12" x14ac:dyDescent="0.25">
      <c r="C10" s="16"/>
      <c r="H10" s="13"/>
      <c r="I10" s="3"/>
      <c r="J10" s="253"/>
    </row>
    <row r="11" spans="1:12" x14ac:dyDescent="0.25">
      <c r="B11" s="139"/>
      <c r="H11" s="80"/>
      <c r="I11" s="102"/>
      <c r="J11" s="253"/>
    </row>
    <row r="12" spans="1:12" x14ac:dyDescent="0.25">
      <c r="H12" s="67"/>
      <c r="I12" s="68"/>
      <c r="J12" s="253"/>
    </row>
    <row r="13" spans="1:12" s="220" customFormat="1" x14ac:dyDescent="0.25">
      <c r="A13" s="61" t="s">
        <v>196</v>
      </c>
      <c r="B13" s="61"/>
      <c r="C13" s="61"/>
      <c r="D13" s="61"/>
      <c r="E13" s="61"/>
      <c r="F13" s="61"/>
      <c r="G13" s="61"/>
      <c r="I13" s="221"/>
      <c r="J13" s="254"/>
    </row>
    <row r="14" spans="1:12" s="129" customFormat="1" x14ac:dyDescent="0.25">
      <c r="A14" s="225"/>
      <c r="B14" s="217" t="s">
        <v>139</v>
      </c>
      <c r="C14" s="217" t="s">
        <v>141</v>
      </c>
      <c r="D14" s="225"/>
      <c r="E14" s="226" t="s">
        <v>195</v>
      </c>
      <c r="F14" s="225"/>
      <c r="G14" s="225"/>
      <c r="I14" s="227"/>
      <c r="J14" s="228"/>
    </row>
    <row r="15" spans="1:12" s="223" customFormat="1" x14ac:dyDescent="0.25">
      <c r="A15" s="62" t="s">
        <v>228</v>
      </c>
      <c r="B15" s="5">
        <f>'5a. Base Counts'!C78</f>
        <v>35123.935145837015</v>
      </c>
      <c r="C15" s="45">
        <f>B15*E15</f>
        <v>118854346.14592522</v>
      </c>
      <c r="D15"/>
      <c r="E15" s="173">
        <v>3383.8562123644101</v>
      </c>
      <c r="F15" s="222"/>
      <c r="G15" s="222"/>
      <c r="I15" s="224"/>
      <c r="J15" s="228"/>
    </row>
    <row r="16" spans="1:12" s="7" customFormat="1" x14ac:dyDescent="0.25">
      <c r="A16" s="62" t="s">
        <v>227</v>
      </c>
      <c r="B16" s="5">
        <f>'5a. Base Counts'!D78</f>
        <v>39437.772411695594</v>
      </c>
      <c r="C16" s="45">
        <f>B16*E16</f>
        <v>222354991.1032511</v>
      </c>
      <c r="D16"/>
      <c r="E16" s="173">
        <v>5638.1224776607796</v>
      </c>
      <c r="F16"/>
      <c r="G16"/>
      <c r="H16"/>
      <c r="I16"/>
      <c r="J16" s="80"/>
      <c r="K16" s="8"/>
      <c r="L16"/>
    </row>
    <row r="17" spans="1:13" x14ac:dyDescent="0.25">
      <c r="A17" s="7" t="s">
        <v>35</v>
      </c>
      <c r="K17" s="8"/>
    </row>
    <row r="18" spans="1:13" ht="27.6" customHeight="1" x14ac:dyDescent="0.25">
      <c r="B18" t="s">
        <v>139</v>
      </c>
      <c r="C18" t="s">
        <v>141</v>
      </c>
      <c r="E18" s="168" t="s">
        <v>195</v>
      </c>
      <c r="H18" s="10"/>
      <c r="I18" s="240"/>
      <c r="J18" s="79"/>
      <c r="K18" s="71"/>
      <c r="L18" s="71"/>
      <c r="M18" s="71"/>
    </row>
    <row r="19" spans="1:13" x14ac:dyDescent="0.25">
      <c r="A19" t="s">
        <v>123</v>
      </c>
      <c r="C19" s="45">
        <f>'5. Base Allocation'!B78</f>
        <v>628729878.32280004</v>
      </c>
      <c r="E19" s="2"/>
      <c r="H19" s="10"/>
      <c r="I19" s="10"/>
    </row>
    <row r="20" spans="1:13" x14ac:dyDescent="0.25">
      <c r="A20" t="s">
        <v>256</v>
      </c>
      <c r="B20" s="5">
        <f>'5a. Base Counts'!B78</f>
        <v>1003674.0106953213</v>
      </c>
      <c r="C20" s="183">
        <f>C25+C26</f>
        <v>4149182879.3345675</v>
      </c>
      <c r="E20" s="104">
        <v>4123.5</v>
      </c>
      <c r="H20" s="3"/>
      <c r="I20" s="241"/>
      <c r="J20" s="255"/>
      <c r="K20" s="5"/>
      <c r="L20" s="3"/>
    </row>
    <row r="21" spans="1:13" ht="30" x14ac:dyDescent="0.25">
      <c r="A21" s="63" t="s">
        <v>229</v>
      </c>
      <c r="B21" s="5">
        <f>'5a. Base Counts'!E78</f>
        <v>40889.824082278348</v>
      </c>
      <c r="C21" s="45">
        <f>'Differential Districts'!F34</f>
        <v>231044452.23282388</v>
      </c>
      <c r="E21" s="173">
        <v>5638.1224776607796</v>
      </c>
      <c r="H21" s="3"/>
      <c r="I21" s="241"/>
      <c r="J21" s="255"/>
      <c r="K21" s="5"/>
      <c r="L21" s="3"/>
    </row>
    <row r="22" spans="1:13" x14ac:dyDescent="0.25">
      <c r="A22" s="64" t="s">
        <v>143</v>
      </c>
      <c r="B22" s="56">
        <f>SUM(B20:B21)</f>
        <v>1044563.8347775995</v>
      </c>
      <c r="C22" s="78">
        <f>SUM(C19:C21)</f>
        <v>5008957209.890192</v>
      </c>
      <c r="E22" s="108"/>
      <c r="G22" s="45"/>
      <c r="H22" s="3"/>
      <c r="I22" s="241"/>
      <c r="J22" s="255"/>
      <c r="K22" s="5"/>
      <c r="L22" s="3"/>
    </row>
    <row r="23" spans="1:13" x14ac:dyDescent="0.25">
      <c r="A23" t="s">
        <v>145</v>
      </c>
      <c r="C23" s="17">
        <f>B6</f>
        <v>5009219680.0118313</v>
      </c>
      <c r="D23" s="73"/>
      <c r="H23" s="3"/>
      <c r="I23" s="241"/>
      <c r="J23" s="255"/>
      <c r="K23" s="5"/>
      <c r="L23" s="3"/>
    </row>
    <row r="24" spans="1:13" x14ac:dyDescent="0.25">
      <c r="A24" t="s">
        <v>255</v>
      </c>
      <c r="C24" s="243">
        <f>C23-(C19+C21)</f>
        <v>4149445349.4562073</v>
      </c>
      <c r="D24" s="3"/>
      <c r="H24" s="3"/>
      <c r="I24" s="241"/>
      <c r="J24" s="255"/>
      <c r="K24" s="5"/>
      <c r="L24" s="3"/>
    </row>
    <row r="25" spans="1:13" x14ac:dyDescent="0.25">
      <c r="A25" t="s">
        <v>138</v>
      </c>
      <c r="B25" s="6">
        <f>'Differential Districts'!E15</f>
        <v>108631.62653515753</v>
      </c>
      <c r="C25" s="73">
        <f>'Differential Districts'!F15</f>
        <v>458475608.25013262</v>
      </c>
      <c r="D25" s="3"/>
      <c r="H25" s="3"/>
      <c r="I25" s="241"/>
      <c r="J25" s="255"/>
      <c r="K25" s="5"/>
      <c r="L25" s="3"/>
    </row>
    <row r="26" spans="1:13" x14ac:dyDescent="0.25">
      <c r="A26" t="s">
        <v>146</v>
      </c>
      <c r="B26" s="6">
        <f>B20-B25</f>
        <v>895042.3841601637</v>
      </c>
      <c r="C26" s="73">
        <f>B26*E20</f>
        <v>3690707271.084435</v>
      </c>
      <c r="D26" s="259"/>
      <c r="H26" s="3"/>
      <c r="I26" s="241"/>
      <c r="J26" s="255"/>
      <c r="K26" s="5"/>
      <c r="L26" s="3"/>
    </row>
    <row r="27" spans="1:13" x14ac:dyDescent="0.25">
      <c r="A27" s="244"/>
      <c r="B27" s="6"/>
      <c r="C27" s="260"/>
      <c r="D27" s="73"/>
      <c r="H27" s="3"/>
      <c r="I27" s="241"/>
      <c r="J27" s="255"/>
      <c r="K27" s="5"/>
      <c r="L27" s="3"/>
    </row>
    <row r="28" spans="1:13" x14ac:dyDescent="0.25">
      <c r="A28" s="7" t="s">
        <v>36</v>
      </c>
      <c r="C28" s="3"/>
      <c r="H28" s="3"/>
      <c r="I28" s="241"/>
      <c r="J28" s="255"/>
      <c r="K28" s="5"/>
      <c r="L28" s="3"/>
    </row>
    <row r="29" spans="1:13" x14ac:dyDescent="0.25">
      <c r="C29" s="3"/>
      <c r="H29" s="3"/>
      <c r="I29" s="241"/>
      <c r="J29" s="255"/>
      <c r="K29" s="5"/>
      <c r="L29" s="3"/>
    </row>
    <row r="30" spans="1:13" x14ac:dyDescent="0.25">
      <c r="B30" t="s">
        <v>9</v>
      </c>
      <c r="C30" t="s">
        <v>37</v>
      </c>
      <c r="D30" t="s">
        <v>10</v>
      </c>
      <c r="E30" t="s">
        <v>11</v>
      </c>
      <c r="I30" s="3"/>
      <c r="K30" s="45"/>
      <c r="L30" s="45"/>
      <c r="M30" s="45"/>
    </row>
    <row r="31" spans="1:13" x14ac:dyDescent="0.25">
      <c r="A31" t="s">
        <v>12</v>
      </c>
      <c r="B31" t="s">
        <v>13</v>
      </c>
      <c r="C31" t="s">
        <v>14</v>
      </c>
      <c r="D31" t="s">
        <v>15</v>
      </c>
      <c r="E31" t="s">
        <v>250</v>
      </c>
      <c r="I31" s="3"/>
      <c r="M31" s="100"/>
    </row>
    <row r="32" spans="1:13" x14ac:dyDescent="0.25">
      <c r="A32" t="s">
        <v>39</v>
      </c>
      <c r="B32">
        <v>1</v>
      </c>
      <c r="C32" s="9">
        <f>'6a. Supp Counts'!F78</f>
        <v>437357</v>
      </c>
      <c r="D32" s="9">
        <f>B32*C32</f>
        <v>437357</v>
      </c>
      <c r="E32" s="14">
        <f>D32*B$38</f>
        <v>425459121.31789804</v>
      </c>
    </row>
    <row r="33" spans="1:11" x14ac:dyDescent="0.25">
      <c r="A33" t="s">
        <v>157</v>
      </c>
      <c r="B33">
        <v>1</v>
      </c>
      <c r="C33" s="9">
        <f>'6a. Supp Counts'!G78</f>
        <v>57994</v>
      </c>
      <c r="D33" s="9">
        <f>B33*C33</f>
        <v>57994</v>
      </c>
      <c r="E33" s="14">
        <f>D33*B$38</f>
        <v>56416328.723926172</v>
      </c>
    </row>
    <row r="34" spans="1:11" x14ac:dyDescent="0.25">
      <c r="A34" t="s">
        <v>16</v>
      </c>
      <c r="B34">
        <v>1</v>
      </c>
      <c r="C34" s="9">
        <f>'6a. Supp Counts'!H78</f>
        <v>975878</v>
      </c>
      <c r="D34" s="9">
        <f>B34*C34</f>
        <v>975878</v>
      </c>
      <c r="E34" s="14">
        <f>D34*B$38</f>
        <v>949330172.818699</v>
      </c>
    </row>
    <row r="35" spans="1:11" x14ac:dyDescent="0.25">
      <c r="A35" t="s">
        <v>143</v>
      </c>
      <c r="D35" s="9"/>
      <c r="E35" s="77">
        <f>E32+E33+E34</f>
        <v>1431205622.8605232</v>
      </c>
    </row>
    <row r="36" spans="1:11" x14ac:dyDescent="0.25">
      <c r="A36" t="s">
        <v>144</v>
      </c>
      <c r="B36" s="11">
        <f>SUM(B32:B34)</f>
        <v>3</v>
      </c>
      <c r="C36" s="11">
        <f>SUM(C32:C34)</f>
        <v>1471229</v>
      </c>
      <c r="D36" s="11">
        <f>SUM(D32:D34)</f>
        <v>1471229</v>
      </c>
      <c r="E36" s="174">
        <f>B7</f>
        <v>1431205622.8605232</v>
      </c>
      <c r="F36" s="10"/>
    </row>
    <row r="37" spans="1:11" x14ac:dyDescent="0.25">
      <c r="E37" s="12"/>
      <c r="F37" s="10"/>
    </row>
    <row r="38" spans="1:11" x14ac:dyDescent="0.25">
      <c r="A38" s="80" t="s">
        <v>192</v>
      </c>
      <c r="B38" s="1">
        <f>E36/D36</f>
        <v>972.7959568908193</v>
      </c>
      <c r="F38" s="10"/>
    </row>
    <row r="39" spans="1:11" x14ac:dyDescent="0.25">
      <c r="F39" s="10"/>
    </row>
    <row r="40" spans="1:11" x14ac:dyDescent="0.25">
      <c r="A40" s="7" t="s">
        <v>38</v>
      </c>
    </row>
    <row r="41" spans="1:11" x14ac:dyDescent="0.25">
      <c r="B41" t="s">
        <v>9</v>
      </c>
      <c r="C41" t="s">
        <v>37</v>
      </c>
      <c r="D41" t="s">
        <v>10</v>
      </c>
      <c r="E41" t="s">
        <v>11</v>
      </c>
    </row>
    <row r="42" spans="1:11" x14ac:dyDescent="0.25">
      <c r="B42" t="s">
        <v>13</v>
      </c>
      <c r="C42" t="s">
        <v>14</v>
      </c>
      <c r="D42" t="s">
        <v>15</v>
      </c>
      <c r="E42" t="s">
        <v>251</v>
      </c>
    </row>
    <row r="43" spans="1:11" x14ac:dyDescent="0.25">
      <c r="A43" s="7" t="s">
        <v>184</v>
      </c>
    </row>
    <row r="44" spans="1:11" x14ac:dyDescent="0.25">
      <c r="A44" t="s">
        <v>19</v>
      </c>
      <c r="B44">
        <v>4</v>
      </c>
      <c r="C44" s="9">
        <f>'7b. Success proj 1819'!B76</f>
        <v>51998</v>
      </c>
      <c r="D44" s="9">
        <f t="shared" ref="D44:D51" si="1">B44*C44</f>
        <v>207992</v>
      </c>
      <c r="E44" s="3">
        <f t="shared" ref="E44:E51" si="2">D44*B$55</f>
        <v>103948622.31575468</v>
      </c>
    </row>
    <row r="45" spans="1:11" x14ac:dyDescent="0.25">
      <c r="A45" t="s">
        <v>18</v>
      </c>
      <c r="B45">
        <v>3</v>
      </c>
      <c r="C45" s="9">
        <f>'7b. Success proj 1819'!C76</f>
        <v>62587</v>
      </c>
      <c r="D45" s="9">
        <f t="shared" si="1"/>
        <v>187761</v>
      </c>
      <c r="E45" s="3">
        <f t="shared" si="2"/>
        <v>93837730.656123385</v>
      </c>
    </row>
    <row r="46" spans="1:11" x14ac:dyDescent="0.25">
      <c r="A46" t="s">
        <v>132</v>
      </c>
      <c r="B46">
        <v>3</v>
      </c>
      <c r="C46" s="9">
        <f>'7b. Success proj 1819'!D76</f>
        <v>212</v>
      </c>
      <c r="D46" s="9">
        <f t="shared" si="1"/>
        <v>636</v>
      </c>
      <c r="E46" s="3">
        <f t="shared" si="2"/>
        <v>317855.12804732862</v>
      </c>
      <c r="F46" s="10"/>
      <c r="K46" s="3"/>
    </row>
    <row r="47" spans="1:11" x14ac:dyDescent="0.25">
      <c r="A47" t="s">
        <v>130</v>
      </c>
      <c r="B47">
        <v>2</v>
      </c>
      <c r="C47" s="9">
        <f>'7b. Success proj 1819'!E76</f>
        <v>23172</v>
      </c>
      <c r="D47" s="9">
        <f t="shared" si="1"/>
        <v>46344</v>
      </c>
      <c r="E47" s="3">
        <f t="shared" si="2"/>
        <v>23161443.481486477</v>
      </c>
      <c r="K47" s="3"/>
    </row>
    <row r="48" spans="1:11" x14ac:dyDescent="0.25">
      <c r="A48" t="s">
        <v>22</v>
      </c>
      <c r="B48">
        <v>2</v>
      </c>
      <c r="C48" s="9">
        <f>'7b. Success proj 1819'!F76</f>
        <v>28604</v>
      </c>
      <c r="D48" s="9">
        <f t="shared" si="1"/>
        <v>57208</v>
      </c>
      <c r="E48" s="3">
        <f t="shared" si="2"/>
        <v>28590968.813414428</v>
      </c>
      <c r="F48" s="10"/>
      <c r="K48" s="3"/>
    </row>
    <row r="49" spans="1:12" x14ac:dyDescent="0.25">
      <c r="A49" t="s">
        <v>21</v>
      </c>
      <c r="B49">
        <v>1.5</v>
      </c>
      <c r="C49" s="9">
        <f>'7b. Success proj 1819'!H76</f>
        <v>131379</v>
      </c>
      <c r="D49" s="9">
        <f t="shared" si="1"/>
        <v>197068.5</v>
      </c>
      <c r="E49" s="3">
        <f t="shared" si="2"/>
        <v>98489360.537099034</v>
      </c>
      <c r="F49" s="10"/>
      <c r="K49" s="3"/>
    </row>
    <row r="50" spans="1:12" x14ac:dyDescent="0.25">
      <c r="A50" t="s">
        <v>20</v>
      </c>
      <c r="B50">
        <v>1</v>
      </c>
      <c r="C50" s="9">
        <f>'7b. Success proj 1819'!G76</f>
        <v>180888</v>
      </c>
      <c r="D50" s="9">
        <f t="shared" si="1"/>
        <v>180888</v>
      </c>
      <c r="E50" s="3">
        <f t="shared" si="2"/>
        <v>90402796.229913816</v>
      </c>
      <c r="F50" s="10"/>
      <c r="L50" s="3"/>
    </row>
    <row r="51" spans="1:12" x14ac:dyDescent="0.25">
      <c r="A51" t="s">
        <v>24</v>
      </c>
      <c r="B51">
        <v>1</v>
      </c>
      <c r="C51" s="9">
        <f>'7b. Success proj 1819'!I76</f>
        <v>202282</v>
      </c>
      <c r="D51" s="9">
        <f t="shared" si="1"/>
        <v>202282</v>
      </c>
      <c r="E51" s="3">
        <f t="shared" si="2"/>
        <v>101094922.97432348</v>
      </c>
      <c r="F51" s="10"/>
      <c r="K51" s="3"/>
    </row>
    <row r="52" spans="1:12" x14ac:dyDescent="0.25">
      <c r="C52" s="9"/>
      <c r="D52" s="9"/>
      <c r="E52" s="3"/>
      <c r="F52" s="10"/>
      <c r="K52" s="3"/>
    </row>
    <row r="53" spans="1:12" x14ac:dyDescent="0.25">
      <c r="A53" t="s">
        <v>143</v>
      </c>
      <c r="B53" s="11">
        <f>SUM(B44:B51)</f>
        <v>17.5</v>
      </c>
      <c r="C53" s="11">
        <f>SUM(C44:C51)</f>
        <v>681122</v>
      </c>
      <c r="D53" s="11">
        <f>SUM(D44:D51)</f>
        <v>1080179.5</v>
      </c>
      <c r="E53" s="4">
        <f>SUM(E44:E51)</f>
        <v>539843700.13616264</v>
      </c>
      <c r="F53" s="10"/>
      <c r="I53" s="15"/>
      <c r="L53" s="3"/>
    </row>
    <row r="54" spans="1:12" x14ac:dyDescent="0.25">
      <c r="E54" s="73"/>
      <c r="F54" s="10"/>
      <c r="I54" s="15"/>
      <c r="L54" s="3"/>
    </row>
    <row r="55" spans="1:12" x14ac:dyDescent="0.25">
      <c r="A55" s="80" t="s">
        <v>193</v>
      </c>
      <c r="B55" s="4">
        <f>E82/D82</f>
        <v>499.7722139108941</v>
      </c>
      <c r="F55" s="3"/>
      <c r="I55" s="15"/>
      <c r="L55" s="3"/>
    </row>
    <row r="56" spans="1:12" x14ac:dyDescent="0.25">
      <c r="C56" s="72"/>
      <c r="F56" s="10"/>
      <c r="G56" s="10"/>
      <c r="L56" s="3"/>
    </row>
    <row r="57" spans="1:12" x14ac:dyDescent="0.25">
      <c r="B57" t="s">
        <v>9</v>
      </c>
      <c r="C57" t="s">
        <v>37</v>
      </c>
      <c r="D57" t="s">
        <v>10</v>
      </c>
      <c r="E57" t="s">
        <v>11</v>
      </c>
      <c r="G57" s="10"/>
      <c r="I57" s="3"/>
      <c r="L57" s="3"/>
    </row>
    <row r="58" spans="1:12" x14ac:dyDescent="0.25">
      <c r="A58" s="105" t="s">
        <v>187</v>
      </c>
      <c r="B58" t="s">
        <v>13</v>
      </c>
      <c r="C58" t="s">
        <v>14</v>
      </c>
      <c r="D58" t="s">
        <v>15</v>
      </c>
      <c r="E58" t="s">
        <v>252</v>
      </c>
      <c r="G58" s="10"/>
      <c r="I58" s="3"/>
    </row>
    <row r="59" spans="1:12" x14ac:dyDescent="0.25">
      <c r="A59" s="106" t="s">
        <v>19</v>
      </c>
      <c r="B59">
        <v>6</v>
      </c>
      <c r="C59" s="9">
        <f>'7b. Success proj 1819'!J76</f>
        <v>28208</v>
      </c>
      <c r="D59" s="9">
        <f t="shared" ref="D59:D66" si="3">B59*C59</f>
        <v>169248</v>
      </c>
      <c r="E59" s="3">
        <f t="shared" ref="E59:E66" si="4">D59*B$80</f>
        <v>21146361.914997753</v>
      </c>
      <c r="G59" s="10"/>
      <c r="I59" s="3"/>
    </row>
    <row r="60" spans="1:12" x14ac:dyDescent="0.25">
      <c r="A60" s="106" t="s">
        <v>18</v>
      </c>
      <c r="B60">
        <v>4.5</v>
      </c>
      <c r="C60" s="9">
        <f>'7b. Success proj 1819'!K76</f>
        <v>33480</v>
      </c>
      <c r="D60" s="9">
        <f t="shared" si="3"/>
        <v>150660</v>
      </c>
      <c r="E60" s="3">
        <f t="shared" si="4"/>
        <v>18823920.436953828</v>
      </c>
      <c r="G60" s="10"/>
      <c r="I60" s="3"/>
    </row>
    <row r="61" spans="1:12" x14ac:dyDescent="0.25">
      <c r="A61" s="106" t="s">
        <v>132</v>
      </c>
      <c r="B61">
        <v>4.5</v>
      </c>
      <c r="C61" s="9">
        <f>'7b. Success proj 1819'!L76</f>
        <v>100</v>
      </c>
      <c r="D61" s="9">
        <f t="shared" si="3"/>
        <v>450</v>
      </c>
      <c r="E61" s="3">
        <f t="shared" si="4"/>
        <v>56224.374064975585</v>
      </c>
      <c r="F61" s="10"/>
      <c r="I61" s="3"/>
    </row>
    <row r="62" spans="1:12" x14ac:dyDescent="0.25">
      <c r="A62" s="106" t="s">
        <v>130</v>
      </c>
      <c r="B62">
        <v>3</v>
      </c>
      <c r="C62" s="9">
        <f>'7b. Success proj 1819'!M76</f>
        <v>10389</v>
      </c>
      <c r="D62" s="9">
        <f t="shared" si="3"/>
        <v>31167</v>
      </c>
      <c r="E62" s="3">
        <f t="shared" si="4"/>
        <v>3894100.147740209</v>
      </c>
      <c r="G62" s="10"/>
      <c r="I62" s="3"/>
    </row>
    <row r="63" spans="1:12" x14ac:dyDescent="0.25">
      <c r="A63" s="106" t="s">
        <v>22</v>
      </c>
      <c r="B63">
        <v>3</v>
      </c>
      <c r="C63" s="9">
        <f>'7b. Success proj 1819'!N76</f>
        <v>10855</v>
      </c>
      <c r="D63" s="9">
        <f t="shared" si="3"/>
        <v>32565</v>
      </c>
      <c r="E63" s="3">
        <f t="shared" si="4"/>
        <v>4068770.5365020665</v>
      </c>
      <c r="F63" s="10"/>
      <c r="G63" s="10"/>
      <c r="I63" s="3"/>
    </row>
    <row r="64" spans="1:12" x14ac:dyDescent="0.25">
      <c r="A64" s="106" t="s">
        <v>21</v>
      </c>
      <c r="B64">
        <v>2.25</v>
      </c>
      <c r="C64" s="9">
        <f>'7b. Success proj 1819'!P76</f>
        <v>55661</v>
      </c>
      <c r="D64" s="9">
        <f t="shared" si="3"/>
        <v>125237.25</v>
      </c>
      <c r="E64" s="3">
        <f t="shared" si="4"/>
        <v>15647524.42415303</v>
      </c>
      <c r="F64" s="10"/>
      <c r="G64" s="10"/>
      <c r="I64" s="3"/>
    </row>
    <row r="65" spans="1:12" x14ac:dyDescent="0.25">
      <c r="A65" s="106" t="s">
        <v>20</v>
      </c>
      <c r="B65">
        <v>1.5</v>
      </c>
      <c r="C65" s="9">
        <f>'7b. Success proj 1819'!O76</f>
        <v>78119</v>
      </c>
      <c r="D65" s="9">
        <f t="shared" si="3"/>
        <v>117178.5</v>
      </c>
      <c r="E65" s="3">
        <f t="shared" si="4"/>
        <v>14640639.591939425</v>
      </c>
      <c r="F65" s="10"/>
      <c r="I65" s="3"/>
    </row>
    <row r="66" spans="1:12" x14ac:dyDescent="0.25">
      <c r="A66" s="106" t="s">
        <v>24</v>
      </c>
      <c r="B66">
        <v>1.5</v>
      </c>
      <c r="C66" s="9">
        <f>'7b. Success proj 1819'!Q76</f>
        <v>54894</v>
      </c>
      <c r="D66" s="9">
        <f t="shared" si="3"/>
        <v>82341</v>
      </c>
      <c r="E66" s="3">
        <f t="shared" si="4"/>
        <v>10287935.966409232</v>
      </c>
      <c r="F66" s="10"/>
      <c r="G66" s="10"/>
      <c r="I66" s="3"/>
    </row>
    <row r="67" spans="1:12" x14ac:dyDescent="0.25">
      <c r="A67" s="106"/>
      <c r="C67" s="9"/>
      <c r="D67" s="9"/>
      <c r="E67" s="3"/>
      <c r="F67" s="10"/>
      <c r="G67" s="10"/>
      <c r="I67" s="3"/>
    </row>
    <row r="68" spans="1:12" x14ac:dyDescent="0.25">
      <c r="A68" s="105" t="s">
        <v>188</v>
      </c>
      <c r="C68" s="9"/>
      <c r="D68" s="9"/>
      <c r="E68" s="3"/>
      <c r="F68" s="10"/>
      <c r="I68" s="3"/>
    </row>
    <row r="69" spans="1:12" x14ac:dyDescent="0.25">
      <c r="A69" s="106" t="s">
        <v>19</v>
      </c>
      <c r="B69">
        <v>4</v>
      </c>
      <c r="C69" s="9">
        <f>'7b. Success proj 1819'!R76</f>
        <v>38541</v>
      </c>
      <c r="D69" s="9">
        <f t="shared" ref="D69:D76" si="5">B69*C69</f>
        <v>154164</v>
      </c>
      <c r="E69" s="3">
        <f t="shared" ref="E69:E76" si="6">D69*B$80</f>
        <v>19261720.89633977</v>
      </c>
      <c r="F69" s="10"/>
      <c r="I69" s="3"/>
    </row>
    <row r="70" spans="1:12" x14ac:dyDescent="0.25">
      <c r="A70" s="106" t="s">
        <v>18</v>
      </c>
      <c r="B70">
        <v>3</v>
      </c>
      <c r="C70" s="9">
        <f>'7b. Success proj 1819'!S76</f>
        <v>47074</v>
      </c>
      <c r="D70" s="9">
        <f t="shared" si="5"/>
        <v>141222</v>
      </c>
      <c r="E70" s="3">
        <f t="shared" si="6"/>
        <v>17644707.89823107</v>
      </c>
      <c r="F70" s="10"/>
      <c r="I70" s="3"/>
    </row>
    <row r="71" spans="1:12" x14ac:dyDescent="0.25">
      <c r="A71" s="106" t="s">
        <v>132</v>
      </c>
      <c r="B71">
        <v>3</v>
      </c>
      <c r="C71" s="9">
        <f>'7b. Success proj 1819'!T76</f>
        <v>168</v>
      </c>
      <c r="D71" s="9">
        <f t="shared" si="5"/>
        <v>504</v>
      </c>
      <c r="E71" s="3">
        <f t="shared" si="6"/>
        <v>62971.298952772653</v>
      </c>
      <c r="F71" s="10"/>
      <c r="I71" s="3"/>
    </row>
    <row r="72" spans="1:12" x14ac:dyDescent="0.25">
      <c r="A72" s="106" t="s">
        <v>130</v>
      </c>
      <c r="B72">
        <v>2</v>
      </c>
      <c r="C72" s="9">
        <f>'7b. Success proj 1819'!U76</f>
        <v>15378</v>
      </c>
      <c r="D72" s="9">
        <f t="shared" si="5"/>
        <v>30756</v>
      </c>
      <c r="E72" s="3">
        <f t="shared" si="6"/>
        <v>3842748.5527608646</v>
      </c>
      <c r="F72" s="10"/>
      <c r="I72" s="3"/>
    </row>
    <row r="73" spans="1:12" x14ac:dyDescent="0.25">
      <c r="A73" s="106" t="s">
        <v>22</v>
      </c>
      <c r="B73">
        <v>2</v>
      </c>
      <c r="C73" s="9">
        <f>'7b. Success proj 1819'!V76</f>
        <v>15664</v>
      </c>
      <c r="D73" s="9">
        <f t="shared" si="5"/>
        <v>31328</v>
      </c>
      <c r="E73" s="3">
        <f t="shared" si="6"/>
        <v>3914215.9793501226</v>
      </c>
      <c r="F73" s="10"/>
      <c r="G73" s="10"/>
      <c r="I73" s="3"/>
    </row>
    <row r="74" spans="1:12" x14ac:dyDescent="0.25">
      <c r="A74" s="106" t="s">
        <v>21</v>
      </c>
      <c r="B74">
        <v>1.5</v>
      </c>
      <c r="C74" s="9">
        <f>'7b. Success proj 1819'!X76</f>
        <v>82274</v>
      </c>
      <c r="D74" s="9">
        <f t="shared" si="5"/>
        <v>123411</v>
      </c>
      <c r="E74" s="3">
        <f t="shared" si="6"/>
        <v>15419347.172739338</v>
      </c>
      <c r="F74" s="10"/>
      <c r="G74" s="10"/>
    </row>
    <row r="75" spans="1:12" x14ac:dyDescent="0.25">
      <c r="A75" s="106" t="s">
        <v>20</v>
      </c>
      <c r="B75">
        <v>1</v>
      </c>
      <c r="C75" s="9">
        <f>'7b. Success proj 1819'!W76</f>
        <v>119026</v>
      </c>
      <c r="D75" s="9">
        <f t="shared" si="5"/>
        <v>119026</v>
      </c>
      <c r="E75" s="3">
        <f t="shared" si="6"/>
        <v>14871471.883239521</v>
      </c>
      <c r="F75" s="10"/>
    </row>
    <row r="76" spans="1:12" x14ac:dyDescent="0.25">
      <c r="A76" s="106" t="s">
        <v>24</v>
      </c>
      <c r="B76">
        <v>1</v>
      </c>
      <c r="C76" s="9">
        <f>'7b. Success proj 1819'!Y76</f>
        <v>97456</v>
      </c>
      <c r="D76" s="9">
        <f t="shared" si="5"/>
        <v>97456</v>
      </c>
      <c r="E76" s="3">
        <f t="shared" si="6"/>
        <v>12176450.219725024</v>
      </c>
      <c r="F76" s="10"/>
      <c r="L76" s="8"/>
    </row>
    <row r="77" spans="1:12" x14ac:dyDescent="0.25">
      <c r="F77" s="10"/>
    </row>
    <row r="78" spans="1:12" x14ac:dyDescent="0.25">
      <c r="A78" t="s">
        <v>143</v>
      </c>
      <c r="B78" s="11">
        <f>SUM(B59:B76)</f>
        <v>43.75</v>
      </c>
      <c r="C78" s="11">
        <f>SUM(C59:C76)</f>
        <v>687287</v>
      </c>
      <c r="D78" s="11">
        <f>SUM(D59:D76)</f>
        <v>1406713.75</v>
      </c>
      <c r="E78" s="4">
        <f>SUM(E59:E76)</f>
        <v>175759111.29409897</v>
      </c>
      <c r="F78" s="10"/>
    </row>
    <row r="79" spans="1:12" x14ac:dyDescent="0.25">
      <c r="D79" s="5"/>
      <c r="F79" s="10"/>
    </row>
    <row r="80" spans="1:12" ht="45" x14ac:dyDescent="0.25">
      <c r="A80" s="79" t="s">
        <v>189</v>
      </c>
      <c r="B80" s="74">
        <f>B55/4</f>
        <v>124.94305347772352</v>
      </c>
      <c r="E80" s="1">
        <f>E53+E78</f>
        <v>715602811.43026161</v>
      </c>
    </row>
    <row r="81" spans="1:19" x14ac:dyDescent="0.25">
      <c r="B81" s="107"/>
      <c r="C81" s="72"/>
      <c r="F81" s="11"/>
      <c r="G81" s="10"/>
    </row>
    <row r="82" spans="1:19" x14ac:dyDescent="0.25">
      <c r="A82" s="7" t="s">
        <v>190</v>
      </c>
      <c r="B82" s="7"/>
      <c r="C82" s="76"/>
      <c r="D82" s="75">
        <f>D53+(D78/4)</f>
        <v>1431857.9375</v>
      </c>
      <c r="E82" s="19">
        <f>B8</f>
        <v>715602811.43026161</v>
      </c>
      <c r="G82" s="10"/>
    </row>
    <row r="83" spans="1:19" x14ac:dyDescent="0.25">
      <c r="D83" s="75"/>
      <c r="G83" s="10"/>
    </row>
    <row r="84" spans="1:19" x14ac:dyDescent="0.25">
      <c r="A84" s="13" t="s">
        <v>34</v>
      </c>
      <c r="B84" t="s">
        <v>185</v>
      </c>
      <c r="C84" t="s">
        <v>147</v>
      </c>
      <c r="D84" t="s">
        <v>197</v>
      </c>
      <c r="G84" s="10"/>
    </row>
    <row r="85" spans="1:19" x14ac:dyDescent="0.25">
      <c r="A85" t="s">
        <v>186</v>
      </c>
      <c r="B85" s="45">
        <v>3727</v>
      </c>
      <c r="C85" s="186"/>
      <c r="D85" s="104">
        <f>E20</f>
        <v>4123.5</v>
      </c>
      <c r="G85" s="10"/>
    </row>
    <row r="86" spans="1:19" x14ac:dyDescent="0.25">
      <c r="A86" t="s">
        <v>1</v>
      </c>
      <c r="B86" s="45">
        <v>919</v>
      </c>
      <c r="C86" s="186"/>
      <c r="D86" s="1">
        <f>B38</f>
        <v>972.7959568908193</v>
      </c>
    </row>
    <row r="87" spans="1:19" x14ac:dyDescent="0.25">
      <c r="A87" s="13" t="s">
        <v>2</v>
      </c>
      <c r="B87" s="45">
        <v>440</v>
      </c>
      <c r="C87" s="186"/>
      <c r="D87" s="1">
        <f>B55</f>
        <v>499.7722139108941</v>
      </c>
    </row>
    <row r="88" spans="1:19" x14ac:dyDescent="0.25">
      <c r="A88" s="13" t="s">
        <v>191</v>
      </c>
      <c r="B88" s="45">
        <v>111</v>
      </c>
      <c r="C88" s="186"/>
      <c r="D88" s="1">
        <f>B80</f>
        <v>124.94305347772352</v>
      </c>
      <c r="G88" s="10"/>
      <c r="P88" s="10"/>
      <c r="Q88" s="10"/>
      <c r="R88" s="10"/>
      <c r="S88" s="10"/>
    </row>
    <row r="89" spans="1:19" x14ac:dyDescent="0.25">
      <c r="C89" s="80"/>
      <c r="D89" s="16"/>
      <c r="P89" s="10"/>
      <c r="Q89" s="10"/>
      <c r="R89" s="10"/>
      <c r="S89" s="10"/>
    </row>
    <row r="90" spans="1:19" x14ac:dyDescent="0.25">
      <c r="B90" s="3"/>
      <c r="C90" s="3"/>
      <c r="G90" s="10"/>
      <c r="P90" s="10"/>
      <c r="Q90" s="10"/>
      <c r="R90" s="10"/>
      <c r="S90" s="10"/>
    </row>
    <row r="91" spans="1:19" x14ac:dyDescent="0.25">
      <c r="B91" s="10"/>
      <c r="C91" s="10"/>
      <c r="D91" s="3"/>
      <c r="P91" s="10"/>
      <c r="Q91" s="10"/>
      <c r="R91" s="10"/>
      <c r="S91" s="10"/>
    </row>
    <row r="92" spans="1:19" x14ac:dyDescent="0.25">
      <c r="B92" s="10"/>
      <c r="C92" s="10"/>
      <c r="D92" s="10"/>
      <c r="P92" s="10"/>
      <c r="Q92" s="10"/>
      <c r="R92" s="10"/>
      <c r="S92" s="10"/>
    </row>
    <row r="93" spans="1:19" x14ac:dyDescent="0.25">
      <c r="A93" s="13"/>
      <c r="B93" s="49"/>
      <c r="C93" s="10"/>
      <c r="D93" s="10"/>
      <c r="P93" s="10"/>
      <c r="Q93" s="10"/>
      <c r="R93" s="10"/>
      <c r="S93" s="10"/>
    </row>
    <row r="94" spans="1:19" x14ac:dyDescent="0.25">
      <c r="A94" s="13"/>
      <c r="B94" s="49"/>
      <c r="C94" s="10"/>
      <c r="D94" s="10"/>
      <c r="P94" s="10"/>
      <c r="Q94" s="10"/>
      <c r="R94" s="10"/>
      <c r="S94" s="10"/>
    </row>
    <row r="95" spans="1:19" x14ac:dyDescent="0.25">
      <c r="D95" s="10"/>
      <c r="P95" s="3"/>
      <c r="Q95" s="3"/>
    </row>
    <row r="96" spans="1:19" x14ac:dyDescent="0.25">
      <c r="P96" s="10"/>
      <c r="Q96" s="10"/>
      <c r="R96" s="10"/>
      <c r="S96" s="10"/>
    </row>
    <row r="97" spans="5:17" s="80" customFormat="1" x14ac:dyDescent="0.25">
      <c r="E97" s="73"/>
      <c r="P97" s="73"/>
      <c r="Q97" s="253"/>
    </row>
    <row r="98" spans="5:17" s="80" customFormat="1" x14ac:dyDescent="0.25">
      <c r="E98" s="73"/>
      <c r="P98" s="73"/>
    </row>
    <row r="99" spans="5:17" s="80" customFormat="1" x14ac:dyDescent="0.25"/>
    <row r="100" spans="5:17" x14ac:dyDescent="0.25">
      <c r="F100" s="3"/>
    </row>
    <row r="101" spans="5:17" x14ac:dyDescent="0.25">
      <c r="F101" s="3"/>
    </row>
  </sheetData>
  <scenarios current="0">
    <scenario name="Scenario 1" count="6" user="Darcie Harvey" comment="Created by Darcie Harvey on 6/6/2019">
      <inputCells r="B6" val="4815206107.96847" numFmtId="5"/>
      <inputCells r="C6" val="0.7" numFmtId="165"/>
      <inputCells r="B7" val="1144375098.34938" numFmtId="5"/>
      <inputCells r="C7" val="0.2" numFmtId="165"/>
      <inputCells r="B8" val="946189705.007205" numFmtId="5"/>
      <inputCells r="C8" val="0.1" numFmtId="165"/>
    </scenario>
  </scenarios>
  <conditionalFormatting sqref="H6">
    <cfRule type="cellIs" dxfId="0" priority="5" operator="lessThan">
      <formula>0</formula>
    </cfRule>
  </conditionalFormatting>
  <pageMargins left="0.7" right="0.7" top="0.75" bottom="0.75" header="0.3" footer="0.3"/>
  <pageSetup orientation="landscape" horizontalDpi="300" verticalDpi="300"/>
  <headerFooter>
    <oddHeader>&amp;C&amp;G</oddHeader>
  </headerFooter>
  <legacyDrawing r:id="rId1"/>
  <legacyDrawingHF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F34"/>
  <sheetViews>
    <sheetView tabSelected="1" workbookViewId="0">
      <selection activeCell="B5" sqref="B5"/>
    </sheetView>
  </sheetViews>
  <sheetFormatPr defaultColWidth="8.85546875" defaultRowHeight="15" x14ac:dyDescent="0.25"/>
  <cols>
    <col min="1" max="1" width="26" bestFit="1" customWidth="1"/>
    <col min="2" max="2" width="11" bestFit="1" customWidth="1"/>
    <col min="4" max="4" width="10.5703125" bestFit="1" customWidth="1"/>
    <col min="6" max="6" width="15.28515625" bestFit="1" customWidth="1"/>
  </cols>
  <sheetData>
    <row r="1" spans="1:6" ht="30" x14ac:dyDescent="0.25">
      <c r="B1" t="s">
        <v>261</v>
      </c>
      <c r="D1" s="168" t="s">
        <v>259</v>
      </c>
    </row>
    <row r="2" spans="1:6" s="245" customFormat="1" x14ac:dyDescent="0.25">
      <c r="A2" s="245" t="s">
        <v>256</v>
      </c>
      <c r="B2" s="246">
        <f>'2. Weighting'!B85</f>
        <v>3727</v>
      </c>
      <c r="D2" s="250">
        <f>'2. Weighting'!E20</f>
        <v>4123.5</v>
      </c>
    </row>
    <row r="3" spans="1:6" ht="90" x14ac:dyDescent="0.25">
      <c r="A3" s="71" t="s">
        <v>17</v>
      </c>
      <c r="B3" s="240" t="s">
        <v>260</v>
      </c>
      <c r="C3" s="240" t="s">
        <v>253</v>
      </c>
      <c r="D3" s="242" t="s">
        <v>257</v>
      </c>
      <c r="E3" s="71" t="s">
        <v>140</v>
      </c>
      <c r="F3" s="71" t="s">
        <v>254</v>
      </c>
    </row>
    <row r="4" spans="1:6" x14ac:dyDescent="0.25">
      <c r="B4" s="10"/>
    </row>
    <row r="5" spans="1:6" x14ac:dyDescent="0.25">
      <c r="A5" t="s">
        <v>23</v>
      </c>
      <c r="B5" s="3">
        <v>3745</v>
      </c>
      <c r="C5" s="241">
        <f>B5/B$2</f>
        <v>1.0048296216796351</v>
      </c>
      <c r="D5" s="12">
        <f t="shared" ref="D5:D14" si="0">D$2*C5</f>
        <v>4143.414944995975</v>
      </c>
      <c r="E5" s="9">
        <f>'5a. Base Counts'!B22</f>
        <v>21924.874444444442</v>
      </c>
      <c r="F5" s="3">
        <f>D5*E5</f>
        <v>90843852.440271422</v>
      </c>
    </row>
    <row r="6" spans="1:6" x14ac:dyDescent="0.25">
      <c r="A6" t="s">
        <v>25</v>
      </c>
      <c r="B6" s="3">
        <v>3817.5887368465933</v>
      </c>
      <c r="C6" s="241">
        <f t="shared" ref="C6:C14" si="1">B6/B$2</f>
        <v>1.0243060737447258</v>
      </c>
      <c r="D6" s="12">
        <f t="shared" si="0"/>
        <v>4223.7260950863765</v>
      </c>
      <c r="E6" s="9">
        <f>'5a. Base Counts'!B29</f>
        <v>1595.5534506586866</v>
      </c>
      <c r="F6" s="3">
        <f t="shared" ref="F6:F14" si="2">D6*E6</f>
        <v>6739180.7456522081</v>
      </c>
    </row>
    <row r="7" spans="1:6" x14ac:dyDescent="0.25">
      <c r="A7" t="s">
        <v>26</v>
      </c>
      <c r="B7" s="3">
        <v>3794.1259223450029</v>
      </c>
      <c r="C7" s="241">
        <f t="shared" si="1"/>
        <v>1.0180107116568293</v>
      </c>
      <c r="D7" s="12">
        <f t="shared" si="0"/>
        <v>4197.7671695169356</v>
      </c>
      <c r="E7" s="9">
        <f>'5a. Base Counts'!B30</f>
        <v>755.73114973948213</v>
      </c>
      <c r="F7" s="3">
        <f t="shared" si="2"/>
        <v>3172383.4093576851</v>
      </c>
    </row>
    <row r="8" spans="1:6" x14ac:dyDescent="0.25">
      <c r="A8" t="s">
        <v>27</v>
      </c>
      <c r="B8" s="3">
        <v>4261.466473754208</v>
      </c>
      <c r="C8" s="241">
        <f t="shared" si="1"/>
        <v>1.143403937148969</v>
      </c>
      <c r="D8" s="12">
        <f t="shared" si="0"/>
        <v>4714.8261348337737</v>
      </c>
      <c r="E8" s="9">
        <f>'5a. Base Counts'!B34</f>
        <v>2960.3377777777773</v>
      </c>
      <c r="F8" s="3">
        <f t="shared" si="2"/>
        <v>13957477.9226024</v>
      </c>
    </row>
    <row r="9" spans="1:6" x14ac:dyDescent="0.25">
      <c r="A9" t="s">
        <v>28</v>
      </c>
      <c r="B9" s="3">
        <v>3733.8825950984901</v>
      </c>
      <c r="C9" s="241">
        <f t="shared" si="1"/>
        <v>1.0018466850277676</v>
      </c>
      <c r="D9" s="12">
        <f t="shared" si="0"/>
        <v>4131.1148057119999</v>
      </c>
      <c r="E9" s="9">
        <f>'5a. Base Counts'!B37</f>
        <v>9235.1822222222218</v>
      </c>
      <c r="F9" s="3">
        <f t="shared" si="2"/>
        <v>38151598.01167047</v>
      </c>
    </row>
    <row r="10" spans="1:6" x14ac:dyDescent="0.25">
      <c r="A10" t="s">
        <v>29</v>
      </c>
      <c r="B10" s="3">
        <v>3756.2121208115436</v>
      </c>
      <c r="C10" s="241">
        <f t="shared" si="1"/>
        <v>1.0078379717766417</v>
      </c>
      <c r="D10" s="12">
        <f t="shared" si="0"/>
        <v>4155.8198766209816</v>
      </c>
      <c r="E10" s="9">
        <f>'5a. Base Counts'!B54</f>
        <v>16320.545535133335</v>
      </c>
      <c r="F10" s="3">
        <f t="shared" si="2"/>
        <v>67825247.532204926</v>
      </c>
    </row>
    <row r="11" spans="1:6" x14ac:dyDescent="0.25">
      <c r="A11" t="s">
        <v>30</v>
      </c>
      <c r="B11" s="3">
        <v>3743.7853905934844</v>
      </c>
      <c r="C11" s="241">
        <f t="shared" si="1"/>
        <v>1.0045037270173021</v>
      </c>
      <c r="D11" s="12">
        <f t="shared" si="0"/>
        <v>4142.0711183558451</v>
      </c>
      <c r="E11" s="9">
        <f>'5a. Base Counts'!B56</f>
        <v>11791.25110911111</v>
      </c>
      <c r="F11" s="3">
        <f t="shared" si="2"/>
        <v>48840200.668330453</v>
      </c>
    </row>
    <row r="12" spans="1:6" x14ac:dyDescent="0.25">
      <c r="A12" t="s">
        <v>31</v>
      </c>
      <c r="B12" s="3">
        <v>3776.4503081477783</v>
      </c>
      <c r="C12" s="241">
        <f t="shared" si="1"/>
        <v>1.0132681266830637</v>
      </c>
      <c r="D12" s="12">
        <f t="shared" si="0"/>
        <v>4178.211120377613</v>
      </c>
      <c r="E12" s="9">
        <f>'5a. Base Counts'!B61</f>
        <v>18684.955556333331</v>
      </c>
      <c r="F12" s="3">
        <f t="shared" si="2"/>
        <v>78069689.089233398</v>
      </c>
    </row>
    <row r="13" spans="1:6" x14ac:dyDescent="0.25">
      <c r="A13" t="s">
        <v>32</v>
      </c>
      <c r="B13" s="3">
        <v>3825.559707739455</v>
      </c>
      <c r="C13" s="241">
        <f t="shared" si="1"/>
        <v>1.026444783402054</v>
      </c>
      <c r="D13" s="12">
        <f t="shared" si="0"/>
        <v>4232.5450643583699</v>
      </c>
      <c r="E13" s="9">
        <f>'5a. Base Counts'!B68</f>
        <v>22488.815555555553</v>
      </c>
      <c r="F13" s="3">
        <f t="shared" si="2"/>
        <v>95184925.282932386</v>
      </c>
    </row>
    <row r="14" spans="1:6" x14ac:dyDescent="0.25">
      <c r="A14" t="s">
        <v>33</v>
      </c>
      <c r="B14" s="3">
        <v>4934.0249931715935</v>
      </c>
      <c r="C14" s="241">
        <f t="shared" si="1"/>
        <v>1.3238596708268295</v>
      </c>
      <c r="D14" s="12">
        <f t="shared" si="0"/>
        <v>5458.9353526544319</v>
      </c>
      <c r="E14" s="9">
        <f>'5a. Base Counts'!B74</f>
        <v>2874.3797341815812</v>
      </c>
      <c r="F14" s="3">
        <f t="shared" si="2"/>
        <v>15691053.147877282</v>
      </c>
    </row>
    <row r="15" spans="1:6" x14ac:dyDescent="0.25">
      <c r="B15" s="3"/>
      <c r="C15" s="241"/>
      <c r="D15" s="12"/>
      <c r="E15" s="251">
        <f>SUM(E5:E14)</f>
        <v>108631.62653515753</v>
      </c>
      <c r="F15" s="251">
        <f>SUM(F5:F14)</f>
        <v>458475608.25013262</v>
      </c>
    </row>
    <row r="16" spans="1:6" x14ac:dyDescent="0.25">
      <c r="B16" s="3"/>
      <c r="C16" s="241"/>
      <c r="D16" s="12"/>
      <c r="E16" s="9"/>
      <c r="F16" s="3"/>
    </row>
    <row r="17" spans="1:6" ht="120" x14ac:dyDescent="0.25">
      <c r="D17" s="168" t="s">
        <v>259</v>
      </c>
      <c r="E17" s="71" t="s">
        <v>262</v>
      </c>
      <c r="F17" s="71" t="s">
        <v>263</v>
      </c>
    </row>
    <row r="18" spans="1:6" s="245" customFormat="1" ht="30" x14ac:dyDescent="0.25">
      <c r="A18" s="247" t="s">
        <v>258</v>
      </c>
      <c r="D18" s="248">
        <f>'2. Weighting'!E21</f>
        <v>5638.1224776607796</v>
      </c>
    </row>
    <row r="19" spans="1:6" x14ac:dyDescent="0.25">
      <c r="A19" t="s">
        <v>17</v>
      </c>
    </row>
    <row r="21" spans="1:6" x14ac:dyDescent="0.25">
      <c r="A21" t="s">
        <v>23</v>
      </c>
      <c r="C21" s="15">
        <f>C5</f>
        <v>1.0048296216796351</v>
      </c>
      <c r="D21" s="249">
        <f t="shared" ref="D21:D30" si="3">D$18*C21</f>
        <v>5665.3524762113284</v>
      </c>
      <c r="E21" s="9">
        <f>'5a. Base Counts'!E22</f>
        <v>835.09333333333336</v>
      </c>
      <c r="F21" s="3">
        <f>D21*E21</f>
        <v>4731098.0838675722</v>
      </c>
    </row>
    <row r="22" spans="1:6" x14ac:dyDescent="0.25">
      <c r="A22" t="s">
        <v>25</v>
      </c>
      <c r="C22" s="15">
        <f t="shared" ref="C22:C30" si="4">C6</f>
        <v>1.0243060737447258</v>
      </c>
      <c r="D22" s="249">
        <f t="shared" si="3"/>
        <v>5775.1630983845989</v>
      </c>
      <c r="E22" s="9">
        <f>'5a. Base Counts'!E29</f>
        <v>132.8498680089775</v>
      </c>
      <c r="F22" s="3">
        <f t="shared" ref="F22:F30" si="5">D22*E22</f>
        <v>767229.65535071143</v>
      </c>
    </row>
    <row r="23" spans="1:6" x14ac:dyDescent="0.25">
      <c r="A23" t="s">
        <v>26</v>
      </c>
      <c r="C23" s="15">
        <f t="shared" si="4"/>
        <v>1.0180107116568293</v>
      </c>
      <c r="D23" s="249">
        <f t="shared" si="3"/>
        <v>5739.6690758918157</v>
      </c>
      <c r="E23" s="9">
        <f>'5a. Base Counts'!E30</f>
        <v>899.75535882180441</v>
      </c>
      <c r="F23" s="3">
        <f t="shared" si="5"/>
        <v>5164298.0088974554</v>
      </c>
    </row>
    <row r="24" spans="1:6" x14ac:dyDescent="0.25">
      <c r="A24" t="s">
        <v>27</v>
      </c>
      <c r="C24" s="15">
        <f t="shared" si="4"/>
        <v>1.143403937148969</v>
      </c>
      <c r="D24" s="249">
        <f t="shared" si="3"/>
        <v>6446.6514390854354</v>
      </c>
      <c r="E24" s="9">
        <f>'5a. Base Counts'!E34</f>
        <v>143.66333333333336</v>
      </c>
      <c r="F24" s="3">
        <f t="shared" si="5"/>
        <v>926147.4345771441</v>
      </c>
    </row>
    <row r="25" spans="1:6" x14ac:dyDescent="0.25">
      <c r="A25" t="s">
        <v>28</v>
      </c>
      <c r="C25" s="15">
        <f t="shared" si="4"/>
        <v>1.0018466850277676</v>
      </c>
      <c r="D25" s="249">
        <f t="shared" si="3"/>
        <v>5648.5343140249961</v>
      </c>
      <c r="E25" s="9">
        <f>'5a. Base Counts'!E37</f>
        <v>103.71</v>
      </c>
      <c r="F25" s="3">
        <f t="shared" si="5"/>
        <v>585809.4937075323</v>
      </c>
    </row>
    <row r="26" spans="1:6" x14ac:dyDescent="0.25">
      <c r="A26" t="s">
        <v>29</v>
      </c>
      <c r="C26" s="15">
        <f t="shared" si="4"/>
        <v>1.0078379717766417</v>
      </c>
      <c r="D26" s="249">
        <f t="shared" si="3"/>
        <v>5682.3139225139339</v>
      </c>
      <c r="E26" s="9">
        <f>'5a. Base Counts'!E54</f>
        <v>312.90999999999997</v>
      </c>
      <c r="F26" s="3">
        <f t="shared" si="5"/>
        <v>1778052.8494938349</v>
      </c>
    </row>
    <row r="27" spans="1:6" x14ac:dyDescent="0.25">
      <c r="A27" t="s">
        <v>30</v>
      </c>
      <c r="C27" s="15">
        <f t="shared" si="4"/>
        <v>1.0045037270173021</v>
      </c>
      <c r="D27" s="249">
        <f t="shared" si="3"/>
        <v>5663.5150421902781</v>
      </c>
      <c r="E27" s="9">
        <f>'5a. Base Counts'!E56</f>
        <v>269.75333333333333</v>
      </c>
      <c r="F27" s="3">
        <f t="shared" si="5"/>
        <v>1527752.0610143014</v>
      </c>
    </row>
    <row r="28" spans="1:6" x14ac:dyDescent="0.25">
      <c r="A28" t="s">
        <v>31</v>
      </c>
      <c r="C28" s="15">
        <f t="shared" si="4"/>
        <v>1.0132681266830637</v>
      </c>
      <c r="D28" s="249">
        <f t="shared" si="3"/>
        <v>5712.9298009490112</v>
      </c>
      <c r="E28" s="9">
        <f>'5a. Base Counts'!E61</f>
        <v>266.29666666666662</v>
      </c>
      <c r="F28" s="3">
        <f t="shared" si="5"/>
        <v>1521334.1628933849</v>
      </c>
    </row>
    <row r="29" spans="1:6" x14ac:dyDescent="0.25">
      <c r="A29" t="s">
        <v>32</v>
      </c>
      <c r="C29" s="15">
        <f t="shared" si="4"/>
        <v>1.026444783402054</v>
      </c>
      <c r="D29" s="249">
        <f t="shared" si="3"/>
        <v>5787.2214053767711</v>
      </c>
      <c r="E29" s="9">
        <f>'5a. Base Counts'!E68</f>
        <v>821.2700000000001</v>
      </c>
      <c r="F29" s="3">
        <f t="shared" si="5"/>
        <v>4752871.3235937813</v>
      </c>
    </row>
    <row r="30" spans="1:6" x14ac:dyDescent="0.25">
      <c r="A30" t="s">
        <v>33</v>
      </c>
      <c r="C30" s="15">
        <f t="shared" si="4"/>
        <v>1.3238596708268295</v>
      </c>
      <c r="D30" s="249">
        <f t="shared" si="3"/>
        <v>7464.082967357348</v>
      </c>
      <c r="E30" s="9">
        <f>'5a. Base Counts'!E74</f>
        <v>49.299305492868214</v>
      </c>
      <c r="F30" s="3">
        <f t="shared" si="5"/>
        <v>367974.1064318642</v>
      </c>
    </row>
    <row r="31" spans="1:6" x14ac:dyDescent="0.25">
      <c r="E31" s="251">
        <f>SUM(E21:E30)</f>
        <v>3834.6011989903172</v>
      </c>
      <c r="F31" s="252">
        <f>SUM(F21:F30)</f>
        <v>22122567.179827582</v>
      </c>
    </row>
    <row r="33" spans="1:6" s="239" customFormat="1" x14ac:dyDescent="0.25">
      <c r="A33" s="239" t="s">
        <v>264</v>
      </c>
      <c r="E33" s="256">
        <f>'5a. Base Counts'!E78-'Differential Districts'!E31</f>
        <v>37055.222883288028</v>
      </c>
      <c r="F33" s="257">
        <f>E33*D18</f>
        <v>208921885.05299631</v>
      </c>
    </row>
    <row r="34" spans="1:6" x14ac:dyDescent="0.25">
      <c r="A34" t="s">
        <v>265</v>
      </c>
      <c r="F34" s="252">
        <f>SUM(F31,F33)</f>
        <v>231044452.23282388</v>
      </c>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O80"/>
  <sheetViews>
    <sheetView workbookViewId="0">
      <pane xSplit="1" ySplit="2" topLeftCell="B3" activePane="bottomRight" state="frozen"/>
      <selection pane="topRight" activeCell="B1" sqref="B1"/>
      <selection pane="bottomLeft" activeCell="A3" sqref="A3"/>
      <selection pane="bottomRight" activeCell="O29" sqref="A29:O29"/>
    </sheetView>
  </sheetViews>
  <sheetFormatPr defaultColWidth="8.85546875" defaultRowHeight="12.75" x14ac:dyDescent="0.2"/>
  <cols>
    <col min="1" max="1" width="18.7109375" style="140" bestFit="1" customWidth="1"/>
    <col min="2" max="3" width="13.42578125" style="140" customWidth="1"/>
    <col min="4" max="4" width="14" style="140" customWidth="1"/>
    <col min="5" max="5" width="12.85546875" style="140" customWidth="1"/>
    <col min="6" max="6" width="14.85546875" style="140" bestFit="1" customWidth="1"/>
    <col min="7" max="7" width="14.7109375" style="141" bestFit="1" customWidth="1"/>
    <col min="8" max="8" width="14.7109375" style="141" customWidth="1"/>
    <col min="9" max="9" width="14.28515625" style="140" bestFit="1" customWidth="1"/>
    <col min="10" max="10" width="10.140625" style="140" customWidth="1"/>
    <col min="11" max="11" width="11.7109375" style="140" bestFit="1" customWidth="1"/>
    <col min="12" max="12" width="5.28515625" style="140" customWidth="1"/>
    <col min="13" max="13" width="12" style="140" bestFit="1" customWidth="1"/>
    <col min="14" max="14" width="13.140625" style="143" bestFit="1" customWidth="1"/>
    <col min="15" max="16384" width="8.85546875" style="140"/>
  </cols>
  <sheetData>
    <row r="1" spans="1:15" x14ac:dyDescent="0.2">
      <c r="B1" s="297" t="s">
        <v>194</v>
      </c>
      <c r="C1" s="297"/>
      <c r="D1" s="297"/>
      <c r="E1" s="297"/>
      <c r="F1" s="297"/>
      <c r="G1" s="140" t="s">
        <v>3</v>
      </c>
      <c r="H1" s="185">
        <v>2.7099999999999999E-2</v>
      </c>
      <c r="J1" s="142">
        <f>'2. Weighting'!B9</f>
        <v>3.2599999999999997E-2</v>
      </c>
    </row>
    <row r="2" spans="1:15" ht="102" x14ac:dyDescent="0.2">
      <c r="B2" s="166" t="s">
        <v>245</v>
      </c>
      <c r="C2" s="166" t="s">
        <v>246</v>
      </c>
      <c r="D2" s="166" t="s">
        <v>247</v>
      </c>
      <c r="E2" s="166" t="s">
        <v>248</v>
      </c>
      <c r="F2" s="146" t="s">
        <v>198</v>
      </c>
      <c r="G2" s="144" t="s">
        <v>7</v>
      </c>
      <c r="H2" s="145" t="s">
        <v>223</v>
      </c>
      <c r="I2" s="146" t="s">
        <v>234</v>
      </c>
      <c r="J2" s="146" t="s">
        <v>224</v>
      </c>
      <c r="K2" s="147" t="s">
        <v>135</v>
      </c>
      <c r="L2" s="146" t="s">
        <v>6</v>
      </c>
      <c r="M2" s="146" t="s">
        <v>5</v>
      </c>
      <c r="N2" s="167" t="s">
        <v>199</v>
      </c>
      <c r="O2" s="147" t="s">
        <v>200</v>
      </c>
    </row>
    <row r="3" spans="1:15" x14ac:dyDescent="0.2">
      <c r="A3" s="148" t="s">
        <v>8</v>
      </c>
    </row>
    <row r="4" spans="1:15" x14ac:dyDescent="0.2">
      <c r="A4" s="149"/>
    </row>
    <row r="6" spans="1:15" x14ac:dyDescent="0.2">
      <c r="A6" s="150" t="s">
        <v>43</v>
      </c>
      <c r="B6" s="151">
        <f>'5. Base Allocation'!G6</f>
        <v>43277346.183036983</v>
      </c>
      <c r="C6" s="151">
        <f>SUM('5. Base Allocation'!D6:E6)</f>
        <v>2524254.7241633432</v>
      </c>
      <c r="D6" s="151">
        <f>'6. Supplemental Allocation'!E6</f>
        <v>11705653.749267228</v>
      </c>
      <c r="E6" s="151">
        <f>'7. Success Allocation'!AF6</f>
        <v>6022630.0067867059</v>
      </c>
      <c r="F6" s="151">
        <f>SUM(B6:E6)</f>
        <v>63529884.663254261</v>
      </c>
      <c r="G6" s="152">
        <v>58423221</v>
      </c>
      <c r="H6" s="153">
        <f>(G6*H$1)+G6</f>
        <v>60006490.289099999</v>
      </c>
      <c r="I6" s="154">
        <f t="shared" ref="I6:I37" si="0">(H6*J$1)+H6</f>
        <v>61962701.872524656</v>
      </c>
      <c r="J6" s="140" t="str">
        <f t="shared" ref="J6:J37" si="1">IF(I6&gt;F6,"Y"," " )</f>
        <v xml:space="preserve"> </v>
      </c>
      <c r="K6" s="151">
        <f t="shared" ref="K6:K37" si="2">IF((I6-F6)&gt;1,(I6-F6),0)</f>
        <v>0</v>
      </c>
      <c r="L6" s="155"/>
      <c r="M6" s="151">
        <f t="shared" ref="M6:M37" si="3">IF(L6="x",0,K6)</f>
        <v>0</v>
      </c>
      <c r="N6" s="156">
        <f>F6+M6</f>
        <v>63529884.663254261</v>
      </c>
      <c r="O6" s="157">
        <f t="shared" ref="O6:O37" si="4">(N6-H6)/H6</f>
        <v>5.8716888076259917E-2</v>
      </c>
    </row>
    <row r="7" spans="1:15" x14ac:dyDescent="0.2">
      <c r="A7" s="150" t="s">
        <v>44</v>
      </c>
      <c r="B7" s="151">
        <f>'5. Base Allocation'!G7</f>
        <v>52485431.378929161</v>
      </c>
      <c r="C7" s="151">
        <f>SUM('5. Base Allocation'!D7:E7)</f>
        <v>320851.32281424431</v>
      </c>
      <c r="D7" s="151">
        <f>'6. Supplemental Allocation'!E7</f>
        <v>22000753.361042768</v>
      </c>
      <c r="E7" s="151">
        <f>'7. Success Allocation'!AF7</f>
        <v>6858936.33523985</v>
      </c>
      <c r="F7" s="151">
        <f t="shared" ref="F7:F70" si="5">SUM(B7:E7)</f>
        <v>81665972.398026019</v>
      </c>
      <c r="G7" s="158">
        <v>62613062</v>
      </c>
      <c r="H7" s="153">
        <f t="shared" ref="H7:H70" si="6">(G7*H$1)+G7</f>
        <v>64309875.9802</v>
      </c>
      <c r="I7" s="154">
        <f t="shared" si="0"/>
        <v>66406377.937154517</v>
      </c>
      <c r="J7" s="140" t="str">
        <f t="shared" si="1"/>
        <v xml:space="preserve"> </v>
      </c>
      <c r="K7" s="151">
        <f t="shared" si="2"/>
        <v>0</v>
      </c>
      <c r="L7" s="155"/>
      <c r="M7" s="151">
        <f t="shared" si="3"/>
        <v>0</v>
      </c>
      <c r="N7" s="156">
        <f t="shared" ref="N7:N37" si="7">F7+M7</f>
        <v>81665972.398026019</v>
      </c>
      <c r="O7" s="157">
        <f t="shared" si="4"/>
        <v>0.26988228718042762</v>
      </c>
    </row>
    <row r="8" spans="1:15" x14ac:dyDescent="0.2">
      <c r="A8" s="150" t="s">
        <v>45</v>
      </c>
      <c r="B8" s="151">
        <f>'5. Base Allocation'!G8</f>
        <v>15616274.891876165</v>
      </c>
      <c r="C8" s="151">
        <f>SUM('5. Base Allocation'!D8:E8)</f>
        <v>114667.60751632199</v>
      </c>
      <c r="D8" s="151">
        <f>'6. Supplemental Allocation'!E8</f>
        <v>5084804.4666683124</v>
      </c>
      <c r="E8" s="151">
        <f>'7. Success Allocation'!AF8</f>
        <v>1840942.1857041477</v>
      </c>
      <c r="F8" s="151">
        <f t="shared" si="5"/>
        <v>22656689.151764948</v>
      </c>
      <c r="G8" s="158">
        <v>18681460</v>
      </c>
      <c r="H8" s="153">
        <f t="shared" si="6"/>
        <v>19187727.566</v>
      </c>
      <c r="I8" s="154">
        <f t="shared" si="0"/>
        <v>19813247.484651599</v>
      </c>
      <c r="J8" s="140" t="str">
        <f t="shared" si="1"/>
        <v xml:space="preserve"> </v>
      </c>
      <c r="K8" s="151">
        <f t="shared" si="2"/>
        <v>0</v>
      </c>
      <c r="L8" s="155"/>
      <c r="M8" s="151">
        <f t="shared" si="3"/>
        <v>0</v>
      </c>
      <c r="N8" s="156">
        <f t="shared" si="7"/>
        <v>22656689.151764948</v>
      </c>
      <c r="O8" s="157">
        <f t="shared" si="4"/>
        <v>0.1807906420305774</v>
      </c>
    </row>
    <row r="9" spans="1:15" x14ac:dyDescent="0.2">
      <c r="A9" s="150" t="s">
        <v>46</v>
      </c>
      <c r="B9" s="151">
        <f>'5. Base Allocation'!G9</f>
        <v>45027896.635752559</v>
      </c>
      <c r="C9" s="151">
        <f>SUM('5. Base Allocation'!D9:E9)</f>
        <v>4134774.7145788488</v>
      </c>
      <c r="D9" s="151">
        <f>'6. Supplemental Allocation'!E9</f>
        <v>12607435.601305019</v>
      </c>
      <c r="E9" s="151">
        <f>'7. Success Allocation'!AF9</f>
        <v>7091455.3577618925</v>
      </c>
      <c r="F9" s="151">
        <f t="shared" si="5"/>
        <v>68861562.309398323</v>
      </c>
      <c r="G9" s="158">
        <v>58869732</v>
      </c>
      <c r="H9" s="153">
        <f t="shared" si="6"/>
        <v>60465101.737199999</v>
      </c>
      <c r="I9" s="154">
        <f t="shared" si="0"/>
        <v>62436264.053832717</v>
      </c>
      <c r="J9" s="140" t="str">
        <f t="shared" si="1"/>
        <v xml:space="preserve"> </v>
      </c>
      <c r="K9" s="151">
        <f t="shared" si="2"/>
        <v>0</v>
      </c>
      <c r="L9" s="155"/>
      <c r="M9" s="151">
        <f t="shared" si="3"/>
        <v>0</v>
      </c>
      <c r="N9" s="156">
        <f t="shared" si="7"/>
        <v>68861562.309398323</v>
      </c>
      <c r="O9" s="157">
        <f t="shared" si="4"/>
        <v>0.13886457362946206</v>
      </c>
    </row>
    <row r="10" spans="1:15" x14ac:dyDescent="0.2">
      <c r="A10" s="150" t="s">
        <v>47</v>
      </c>
      <c r="B10" s="151">
        <f>'5. Base Allocation'!G10</f>
        <v>46030053.041455053</v>
      </c>
      <c r="C10" s="151">
        <f>SUM('5. Base Allocation'!D10:E10)</f>
        <v>2848229.3743305542</v>
      </c>
      <c r="D10" s="151">
        <f>'6. Supplemental Allocation'!E10</f>
        <v>9263935.8974712715</v>
      </c>
      <c r="E10" s="151">
        <f>'7. Success Allocation'!AF10</f>
        <v>5098113.8825782919</v>
      </c>
      <c r="F10" s="151">
        <f t="shared" si="5"/>
        <v>63240332.195835173</v>
      </c>
      <c r="G10" s="158">
        <v>61066687</v>
      </c>
      <c r="H10" s="153">
        <f t="shared" si="6"/>
        <v>62721594.217699997</v>
      </c>
      <c r="I10" s="154">
        <f t="shared" si="0"/>
        <v>64766318.189197019</v>
      </c>
      <c r="J10" s="140" t="str">
        <f t="shared" si="1"/>
        <v>Y</v>
      </c>
      <c r="K10" s="151">
        <f t="shared" si="2"/>
        <v>1525985.9933618456</v>
      </c>
      <c r="L10" s="155"/>
      <c r="M10" s="151">
        <f t="shared" si="3"/>
        <v>1525985.9933618456</v>
      </c>
      <c r="N10" s="156">
        <f t="shared" si="7"/>
        <v>64766318.189197019</v>
      </c>
      <c r="O10" s="157">
        <f t="shared" si="4"/>
        <v>3.2600000000000025E-2</v>
      </c>
    </row>
    <row r="11" spans="1:15" x14ac:dyDescent="0.2">
      <c r="A11" s="150" t="s">
        <v>48</v>
      </c>
      <c r="B11" s="151">
        <f>'5. Base Allocation'!G11</f>
        <v>71428551.642491534</v>
      </c>
      <c r="C11" s="151">
        <f>SUM('5. Base Allocation'!D11:E11)</f>
        <v>2431479.4652444748</v>
      </c>
      <c r="D11" s="151">
        <f>'6. Supplemental Allocation'!E11</f>
        <v>28669269.645529337</v>
      </c>
      <c r="E11" s="151">
        <f>'7. Success Allocation'!AF11</f>
        <v>11023663.13681281</v>
      </c>
      <c r="F11" s="151">
        <f t="shared" si="5"/>
        <v>113552963.89007816</v>
      </c>
      <c r="G11" s="158">
        <v>93447643</v>
      </c>
      <c r="H11" s="153">
        <f t="shared" si="6"/>
        <v>95980074.125300005</v>
      </c>
      <c r="I11" s="154">
        <f t="shared" si="0"/>
        <v>99109024.541784778</v>
      </c>
      <c r="J11" s="140" t="str">
        <f t="shared" si="1"/>
        <v xml:space="preserve"> </v>
      </c>
      <c r="K11" s="151">
        <f t="shared" si="2"/>
        <v>0</v>
      </c>
      <c r="L11" s="155"/>
      <c r="M11" s="151">
        <f t="shared" si="3"/>
        <v>0</v>
      </c>
      <c r="N11" s="156">
        <f t="shared" si="7"/>
        <v>113552963.89007816</v>
      </c>
      <c r="O11" s="157">
        <f t="shared" si="4"/>
        <v>0.1830889372083325</v>
      </c>
    </row>
    <row r="12" spans="1:15" x14ac:dyDescent="0.2">
      <c r="A12" s="150" t="s">
        <v>49</v>
      </c>
      <c r="B12" s="151">
        <f>'5. Base Allocation'!G12</f>
        <v>75647977.06920819</v>
      </c>
      <c r="C12" s="151">
        <f>SUM('5. Base Allocation'!D12:E12)</f>
        <v>630265.77859428723</v>
      </c>
      <c r="D12" s="151">
        <f>'6. Supplemental Allocation'!E12</f>
        <v>16014167.042336667</v>
      </c>
      <c r="E12" s="151">
        <f>'7. Success Allocation'!AF12</f>
        <v>9380162.2113668323</v>
      </c>
      <c r="F12" s="151">
        <f t="shared" si="5"/>
        <v>101672572.10150598</v>
      </c>
      <c r="G12" s="158">
        <v>107679794</v>
      </c>
      <c r="H12" s="153">
        <f t="shared" si="6"/>
        <v>110597916.4174</v>
      </c>
      <c r="I12" s="154">
        <f t="shared" si="0"/>
        <v>114203408.49260724</v>
      </c>
      <c r="J12" s="140" t="str">
        <f t="shared" si="1"/>
        <v>Y</v>
      </c>
      <c r="K12" s="151">
        <f t="shared" si="2"/>
        <v>12530836.391101256</v>
      </c>
      <c r="L12" s="155"/>
      <c r="M12" s="151">
        <f t="shared" si="3"/>
        <v>12530836.391101256</v>
      </c>
      <c r="N12" s="156">
        <f t="shared" si="7"/>
        <v>114203408.49260724</v>
      </c>
      <c r="O12" s="157">
        <f t="shared" si="4"/>
        <v>3.2599999999999942E-2</v>
      </c>
    </row>
    <row r="13" spans="1:15" x14ac:dyDescent="0.2">
      <c r="A13" s="150" t="s">
        <v>50</v>
      </c>
      <c r="B13" s="151">
        <f>'5. Base Allocation'!G13</f>
        <v>75223813.166899249</v>
      </c>
      <c r="C13" s="151">
        <f>SUM('5. Base Allocation'!D13:E13)</f>
        <v>1197061.6941653257</v>
      </c>
      <c r="D13" s="151">
        <f>'6. Supplemental Allocation'!E13</f>
        <v>27023298.886470072</v>
      </c>
      <c r="E13" s="151">
        <f>'7. Success Allocation'!AF13</f>
        <v>10113984.000204872</v>
      </c>
      <c r="F13" s="151">
        <f t="shared" si="5"/>
        <v>113558157.74773951</v>
      </c>
      <c r="G13" s="158">
        <v>93669819</v>
      </c>
      <c r="H13" s="153">
        <f t="shared" si="6"/>
        <v>96208271.094899997</v>
      </c>
      <c r="I13" s="154">
        <f t="shared" si="0"/>
        <v>99344660.73259373</v>
      </c>
      <c r="J13" s="140" t="str">
        <f t="shared" si="1"/>
        <v xml:space="preserve"> </v>
      </c>
      <c r="K13" s="151">
        <f t="shared" si="2"/>
        <v>0</v>
      </c>
      <c r="L13" s="155"/>
      <c r="M13" s="151">
        <f t="shared" si="3"/>
        <v>0</v>
      </c>
      <c r="N13" s="156">
        <f t="shared" si="7"/>
        <v>113558157.74773951</v>
      </c>
      <c r="O13" s="157">
        <f t="shared" si="4"/>
        <v>0.18033674709449413</v>
      </c>
    </row>
    <row r="14" spans="1:15" x14ac:dyDescent="0.2">
      <c r="A14" s="150" t="s">
        <v>51</v>
      </c>
      <c r="B14" s="151">
        <f>'5. Base Allocation'!G14</f>
        <v>52196342.168347456</v>
      </c>
      <c r="C14" s="151">
        <f>SUM('5. Base Allocation'!D14:E14)</f>
        <v>1619531.0905103227</v>
      </c>
      <c r="D14" s="151">
        <f>'6. Supplemental Allocation'!E14</f>
        <v>16367291.974688035</v>
      </c>
      <c r="E14" s="151">
        <f>'7. Success Allocation'!AF14</f>
        <v>7913455.7065918352</v>
      </c>
      <c r="F14" s="151">
        <f t="shared" si="5"/>
        <v>78096620.94013764</v>
      </c>
      <c r="G14" s="158">
        <v>68139191</v>
      </c>
      <c r="H14" s="153">
        <f t="shared" si="6"/>
        <v>69985763.076100007</v>
      </c>
      <c r="I14" s="154">
        <f t="shared" si="0"/>
        <v>72267298.952380866</v>
      </c>
      <c r="J14" s="140" t="str">
        <f t="shared" si="1"/>
        <v xml:space="preserve"> </v>
      </c>
      <c r="K14" s="151">
        <f t="shared" si="2"/>
        <v>0</v>
      </c>
      <c r="L14" s="155"/>
      <c r="M14" s="151">
        <f t="shared" si="3"/>
        <v>0</v>
      </c>
      <c r="N14" s="156">
        <f t="shared" si="7"/>
        <v>78096620.94013764</v>
      </c>
      <c r="O14" s="157">
        <f t="shared" si="4"/>
        <v>0.11589296890594987</v>
      </c>
    </row>
    <row r="15" spans="1:15" x14ac:dyDescent="0.2">
      <c r="A15" s="150" t="s">
        <v>52</v>
      </c>
      <c r="B15" s="151">
        <f>'5. Base Allocation'!G15</f>
        <v>140460443.9102037</v>
      </c>
      <c r="C15" s="151">
        <f>SUM('5. Base Allocation'!D15:E15)</f>
        <v>3102393.3848931813</v>
      </c>
      <c r="D15" s="151">
        <f>'6. Supplemental Allocation'!E15</f>
        <v>43674647.280570224</v>
      </c>
      <c r="E15" s="151">
        <f>'7. Success Allocation'!AF15</f>
        <v>22704776.621025398</v>
      </c>
      <c r="F15" s="151">
        <f t="shared" si="5"/>
        <v>209942261.19669247</v>
      </c>
      <c r="G15" s="158">
        <v>184284255</v>
      </c>
      <c r="H15" s="153">
        <f t="shared" si="6"/>
        <v>189278358.3105</v>
      </c>
      <c r="I15" s="154">
        <f t="shared" si="0"/>
        <v>195448832.79142231</v>
      </c>
      <c r="J15" s="140" t="str">
        <f t="shared" si="1"/>
        <v xml:space="preserve"> </v>
      </c>
      <c r="K15" s="151">
        <f t="shared" si="2"/>
        <v>0</v>
      </c>
      <c r="L15" s="155"/>
      <c r="M15" s="151">
        <f t="shared" si="3"/>
        <v>0</v>
      </c>
      <c r="N15" s="156">
        <f t="shared" si="7"/>
        <v>209942261.19669247</v>
      </c>
      <c r="O15" s="157">
        <f t="shared" si="4"/>
        <v>0.10917203144954668</v>
      </c>
    </row>
    <row r="16" spans="1:15" x14ac:dyDescent="0.2">
      <c r="A16" s="150" t="s">
        <v>53</v>
      </c>
      <c r="B16" s="151">
        <f>'5. Base Allocation'!G16</f>
        <v>29447376.433955844</v>
      </c>
      <c r="C16" s="151">
        <f>SUM('5. Base Allocation'!D16:E16)</f>
        <v>59555.869337613622</v>
      </c>
      <c r="D16" s="151">
        <f>'6. Supplemental Allocation'!E16</f>
        <v>6702564.1429777443</v>
      </c>
      <c r="E16" s="151">
        <f>'7. Success Allocation'!AF16</f>
        <v>2438232.4528544052</v>
      </c>
      <c r="F16" s="151">
        <f t="shared" si="5"/>
        <v>38647728.899125606</v>
      </c>
      <c r="G16" s="158">
        <v>35475170</v>
      </c>
      <c r="H16" s="153">
        <f t="shared" si="6"/>
        <v>36436547.107000001</v>
      </c>
      <c r="I16" s="154">
        <f t="shared" si="0"/>
        <v>37624378.542688198</v>
      </c>
      <c r="J16" s="140" t="str">
        <f t="shared" si="1"/>
        <v xml:space="preserve"> </v>
      </c>
      <c r="K16" s="151">
        <f t="shared" si="2"/>
        <v>0</v>
      </c>
      <c r="L16" s="155"/>
      <c r="M16" s="151">
        <f t="shared" si="3"/>
        <v>0</v>
      </c>
      <c r="N16" s="156">
        <f t="shared" si="7"/>
        <v>38647728.899125606</v>
      </c>
      <c r="O16" s="157">
        <f t="shared" si="4"/>
        <v>6.0685821453723983E-2</v>
      </c>
    </row>
    <row r="17" spans="1:15" x14ac:dyDescent="0.2">
      <c r="A17" s="150" t="s">
        <v>54</v>
      </c>
      <c r="B17" s="151">
        <f>'5. Base Allocation'!G17</f>
        <v>124987745.41350289</v>
      </c>
      <c r="C17" s="151">
        <f>SUM('5. Base Allocation'!D17:E17)</f>
        <v>524948.89374479884</v>
      </c>
      <c r="D17" s="151">
        <f>'6. Supplemental Allocation'!E17</f>
        <v>27244123.568684287</v>
      </c>
      <c r="E17" s="151">
        <f>'7. Success Allocation'!AF17</f>
        <v>16118403.556947201</v>
      </c>
      <c r="F17" s="151">
        <f t="shared" si="5"/>
        <v>168875221.43287918</v>
      </c>
      <c r="G17" s="158">
        <v>170246475</v>
      </c>
      <c r="H17" s="153">
        <f t="shared" si="6"/>
        <v>174860154.4725</v>
      </c>
      <c r="I17" s="154">
        <f t="shared" si="0"/>
        <v>180560595.50830349</v>
      </c>
      <c r="J17" s="140" t="str">
        <f t="shared" si="1"/>
        <v>Y</v>
      </c>
      <c r="K17" s="151">
        <f t="shared" si="2"/>
        <v>11685374.075424314</v>
      </c>
      <c r="L17" s="155"/>
      <c r="M17" s="151">
        <f t="shared" si="3"/>
        <v>11685374.075424314</v>
      </c>
      <c r="N17" s="156">
        <f t="shared" si="7"/>
        <v>180560595.50830349</v>
      </c>
      <c r="O17" s="157">
        <f t="shared" si="4"/>
        <v>3.2599999999999983E-2</v>
      </c>
    </row>
    <row r="18" spans="1:15" x14ac:dyDescent="0.2">
      <c r="A18" s="150" t="s">
        <v>55</v>
      </c>
      <c r="B18" s="151">
        <f>'5. Base Allocation'!G18</f>
        <v>11362705.907852333</v>
      </c>
      <c r="C18" s="151">
        <f>SUM('5. Base Allocation'!D18:E18)</f>
        <v>175689.27564871585</v>
      </c>
      <c r="D18" s="151">
        <f>'6. Supplemental Allocation'!E18</f>
        <v>3128511.7973608747</v>
      </c>
      <c r="E18" s="151">
        <f>'7. Success Allocation'!AF18</f>
        <v>935011.34070054395</v>
      </c>
      <c r="F18" s="151">
        <f t="shared" si="5"/>
        <v>15601918.321562467</v>
      </c>
      <c r="G18" s="158">
        <v>12911574</v>
      </c>
      <c r="H18" s="153">
        <f t="shared" si="6"/>
        <v>13261477.655400001</v>
      </c>
      <c r="I18" s="154">
        <f t="shared" si="0"/>
        <v>13693801.82696604</v>
      </c>
      <c r="J18" s="140" t="str">
        <f t="shared" si="1"/>
        <v xml:space="preserve"> </v>
      </c>
      <c r="K18" s="151">
        <f t="shared" si="2"/>
        <v>0</v>
      </c>
      <c r="L18" s="155"/>
      <c r="M18" s="151">
        <f t="shared" si="3"/>
        <v>0</v>
      </c>
      <c r="N18" s="156">
        <f t="shared" si="7"/>
        <v>15601918.321562467</v>
      </c>
      <c r="O18" s="157">
        <f t="shared" si="4"/>
        <v>0.17648415410249943</v>
      </c>
    </row>
    <row r="19" spans="1:15" x14ac:dyDescent="0.2">
      <c r="A19" s="150" t="s">
        <v>56</v>
      </c>
      <c r="B19" s="151">
        <f>'5. Base Allocation'!G19</f>
        <v>43205613.042055517</v>
      </c>
      <c r="C19" s="151">
        <f>SUM('5. Base Allocation'!D19:E19)</f>
        <v>12730563.966065481</v>
      </c>
      <c r="D19" s="151">
        <f>'6. Supplemental Allocation'!E19</f>
        <v>15981091.979802379</v>
      </c>
      <c r="E19" s="151">
        <f>'7. Success Allocation'!AF19</f>
        <v>5590077.1556468271</v>
      </c>
      <c r="F19" s="151">
        <f t="shared" si="5"/>
        <v>77507346.143570215</v>
      </c>
      <c r="G19" s="158">
        <v>58638385</v>
      </c>
      <c r="H19" s="153">
        <f t="shared" si="6"/>
        <v>60227485.233499996</v>
      </c>
      <c r="I19" s="154">
        <f t="shared" si="0"/>
        <v>62190901.252112098</v>
      </c>
      <c r="J19" s="140" t="str">
        <f t="shared" si="1"/>
        <v xml:space="preserve"> </v>
      </c>
      <c r="K19" s="151">
        <f t="shared" si="2"/>
        <v>0</v>
      </c>
      <c r="L19" s="155"/>
      <c r="M19" s="151">
        <f t="shared" si="3"/>
        <v>0</v>
      </c>
      <c r="N19" s="156">
        <f t="shared" si="7"/>
        <v>77507346.143570215</v>
      </c>
      <c r="O19" s="157">
        <f t="shared" si="4"/>
        <v>0.28690988579511101</v>
      </c>
    </row>
    <row r="20" spans="1:15" x14ac:dyDescent="0.2">
      <c r="A20" s="150" t="s">
        <v>57</v>
      </c>
      <c r="B20" s="151">
        <f>'5. Base Allocation'!G20</f>
        <v>90031559.261349648</v>
      </c>
      <c r="C20" s="151">
        <f>SUM('5. Base Allocation'!D20:E20)</f>
        <v>214829.75140230852</v>
      </c>
      <c r="D20" s="151">
        <f>'6. Supplemental Allocation'!E20</f>
        <v>23637968.956490017</v>
      </c>
      <c r="E20" s="151">
        <f>'7. Success Allocation'!AF20</f>
        <v>11444377.633635674</v>
      </c>
      <c r="F20" s="151">
        <f t="shared" si="5"/>
        <v>125328735.60287765</v>
      </c>
      <c r="G20" s="158">
        <v>114070046</v>
      </c>
      <c r="H20" s="153">
        <f t="shared" si="6"/>
        <v>117161344.2466</v>
      </c>
      <c r="I20" s="154">
        <f t="shared" si="0"/>
        <v>120980804.06903917</v>
      </c>
      <c r="J20" s="140" t="str">
        <f t="shared" si="1"/>
        <v xml:space="preserve"> </v>
      </c>
      <c r="K20" s="151">
        <f t="shared" si="2"/>
        <v>0</v>
      </c>
      <c r="L20" s="155"/>
      <c r="M20" s="151">
        <f t="shared" si="3"/>
        <v>0</v>
      </c>
      <c r="N20" s="156">
        <f t="shared" si="7"/>
        <v>125328735.60287765</v>
      </c>
      <c r="O20" s="157">
        <f t="shared" si="4"/>
        <v>6.9710632024560959E-2</v>
      </c>
    </row>
    <row r="21" spans="1:15" x14ac:dyDescent="0.2">
      <c r="A21" s="150" t="s">
        <v>58</v>
      </c>
      <c r="B21" s="151">
        <f>'5. Base Allocation'!G21</f>
        <v>12163363.462959062</v>
      </c>
      <c r="C21" s="151">
        <f>SUM('5. Base Allocation'!D21:E21)</f>
        <v>127289.39118844121</v>
      </c>
      <c r="D21" s="151">
        <f>'6. Supplemental Allocation'!E21</f>
        <v>2352220.6237620013</v>
      </c>
      <c r="E21" s="151">
        <f>'7. Success Allocation'!AF21</f>
        <v>1163657.128564778</v>
      </c>
      <c r="F21" s="151">
        <f t="shared" si="5"/>
        <v>15806530.606474284</v>
      </c>
      <c r="G21" s="158">
        <v>13630511</v>
      </c>
      <c r="H21" s="153">
        <f t="shared" si="6"/>
        <v>13999897.848099999</v>
      </c>
      <c r="I21" s="154">
        <f t="shared" si="0"/>
        <v>14456294.517948059</v>
      </c>
      <c r="J21" s="140" t="str">
        <f t="shared" si="1"/>
        <v xml:space="preserve"> </v>
      </c>
      <c r="K21" s="151">
        <f t="shared" si="2"/>
        <v>0</v>
      </c>
      <c r="L21" s="155"/>
      <c r="M21" s="151">
        <f t="shared" si="3"/>
        <v>0</v>
      </c>
      <c r="N21" s="156">
        <f t="shared" si="7"/>
        <v>15806530.606474284</v>
      </c>
      <c r="O21" s="157">
        <f t="shared" si="4"/>
        <v>0.12904613862018091</v>
      </c>
    </row>
    <row r="22" spans="1:15" ht="15" x14ac:dyDescent="0.2">
      <c r="A22" s="150" t="s">
        <v>213</v>
      </c>
      <c r="B22" s="151">
        <f>'5. Base Allocation'!G22</f>
        <v>105903530.46207799</v>
      </c>
      <c r="C22" s="151">
        <f>SUM('5. Base Allocation'!D22:E22)</f>
        <v>2561181.5329505904</v>
      </c>
      <c r="D22" s="151">
        <f>'6. Supplemental Allocation'!E22</f>
        <v>20024031.976640627</v>
      </c>
      <c r="E22" s="151">
        <f>'7. Success Allocation'!AF22</f>
        <v>17978961.802047353</v>
      </c>
      <c r="F22" s="151">
        <f t="shared" si="5"/>
        <v>146467705.77371657</v>
      </c>
      <c r="G22" s="158">
        <v>147913544</v>
      </c>
      <c r="H22" s="153">
        <f t="shared" si="6"/>
        <v>151922001.0424</v>
      </c>
      <c r="I22" s="154">
        <f t="shared" si="0"/>
        <v>156874658.27638224</v>
      </c>
      <c r="J22" s="140" t="str">
        <f t="shared" si="1"/>
        <v>Y</v>
      </c>
      <c r="K22" s="151">
        <f t="shared" si="2"/>
        <v>10406952.502665669</v>
      </c>
      <c r="L22" s="155"/>
      <c r="M22" s="151">
        <f t="shared" si="3"/>
        <v>10406952.502665669</v>
      </c>
      <c r="N22" s="156">
        <f t="shared" si="7"/>
        <v>156874658.27638224</v>
      </c>
      <c r="O22" s="157">
        <f t="shared" si="4"/>
        <v>3.2599999999999969E-2</v>
      </c>
    </row>
    <row r="23" spans="1:15" x14ac:dyDescent="0.2">
      <c r="A23" s="150" t="s">
        <v>60</v>
      </c>
      <c r="B23" s="151">
        <f>'5. Base Allocation'!G23</f>
        <v>25471770.211423971</v>
      </c>
      <c r="C23" s="151">
        <f>SUM('5. Base Allocation'!D23:E23)</f>
        <v>1261721.6884283125</v>
      </c>
      <c r="D23" s="151">
        <f>'6. Supplemental Allocation'!E23</f>
        <v>5067294.1394442776</v>
      </c>
      <c r="E23" s="151">
        <f>'7. Success Allocation'!AF23</f>
        <v>3120577.7036596225</v>
      </c>
      <c r="F23" s="151">
        <f t="shared" si="5"/>
        <v>34921363.742956184</v>
      </c>
      <c r="G23" s="158">
        <v>32272402</v>
      </c>
      <c r="H23" s="153">
        <f t="shared" si="6"/>
        <v>33146984.0942</v>
      </c>
      <c r="I23" s="154">
        <f t="shared" si="0"/>
        <v>34227575.775670923</v>
      </c>
      <c r="J23" s="140" t="str">
        <f t="shared" si="1"/>
        <v xml:space="preserve"> </v>
      </c>
      <c r="K23" s="151">
        <f t="shared" si="2"/>
        <v>0</v>
      </c>
      <c r="L23" s="155"/>
      <c r="M23" s="151">
        <f t="shared" si="3"/>
        <v>0</v>
      </c>
      <c r="N23" s="156">
        <f t="shared" si="7"/>
        <v>34921363.742956184</v>
      </c>
      <c r="O23" s="157">
        <f t="shared" si="4"/>
        <v>5.3530651347151112E-2</v>
      </c>
    </row>
    <row r="24" spans="1:15" x14ac:dyDescent="0.2">
      <c r="A24" s="150" t="s">
        <v>61</v>
      </c>
      <c r="B24" s="151">
        <f>'5. Base Allocation'!G24</f>
        <v>52586075.818059705</v>
      </c>
      <c r="C24" s="151">
        <f>SUM('5. Base Allocation'!D24:E24)</f>
        <v>13941000.564432606</v>
      </c>
      <c r="D24" s="151">
        <f>'6. Supplemental Allocation'!E24</f>
        <v>16825478.870383613</v>
      </c>
      <c r="E24" s="151">
        <f>'7. Success Allocation'!AF24</f>
        <v>6802337.1320144404</v>
      </c>
      <c r="F24" s="151">
        <f t="shared" si="5"/>
        <v>90154892.384890363</v>
      </c>
      <c r="G24" s="158">
        <v>88219644</v>
      </c>
      <c r="H24" s="153">
        <f t="shared" si="6"/>
        <v>90610396.352400005</v>
      </c>
      <c r="I24" s="154">
        <f t="shared" si="0"/>
        <v>93564295.273488238</v>
      </c>
      <c r="J24" s="140" t="str">
        <f t="shared" si="1"/>
        <v>Y</v>
      </c>
      <c r="K24" s="151">
        <f t="shared" si="2"/>
        <v>3409402.8885978758</v>
      </c>
      <c r="L24" s="155"/>
      <c r="M24" s="151">
        <f t="shared" si="3"/>
        <v>3409402.8885978758</v>
      </c>
      <c r="N24" s="156">
        <f t="shared" si="7"/>
        <v>93564295.273488238</v>
      </c>
      <c r="O24" s="157">
        <f t="shared" si="4"/>
        <v>3.2599999999999928E-2</v>
      </c>
    </row>
    <row r="25" spans="1:15" x14ac:dyDescent="0.2">
      <c r="A25" s="150" t="s">
        <v>62</v>
      </c>
      <c r="B25" s="151">
        <f>'5. Base Allocation'!G25</f>
        <v>81098793.212928787</v>
      </c>
      <c r="C25" s="151">
        <f>SUM('5. Base Allocation'!D25:E25)</f>
        <v>50994.713120331653</v>
      </c>
      <c r="D25" s="151">
        <f>'6. Supplemental Allocation'!E25</f>
        <v>27252878.732296303</v>
      </c>
      <c r="E25" s="151">
        <f>'7. Success Allocation'!AF25</f>
        <v>10857894.940611238</v>
      </c>
      <c r="F25" s="151">
        <f t="shared" si="5"/>
        <v>119260561.59895666</v>
      </c>
      <c r="G25" s="158">
        <v>109388477</v>
      </c>
      <c r="H25" s="153">
        <f t="shared" si="6"/>
        <v>112352904.72669999</v>
      </c>
      <c r="I25" s="154">
        <f t="shared" si="0"/>
        <v>116015609.42079042</v>
      </c>
      <c r="J25" s="140" t="str">
        <f t="shared" si="1"/>
        <v xml:space="preserve"> </v>
      </c>
      <c r="K25" s="151">
        <f t="shared" si="2"/>
        <v>0</v>
      </c>
      <c r="L25" s="155"/>
      <c r="M25" s="151">
        <f t="shared" si="3"/>
        <v>0</v>
      </c>
      <c r="N25" s="156">
        <f t="shared" si="7"/>
        <v>119260561.59895666</v>
      </c>
      <c r="O25" s="157">
        <f t="shared" si="4"/>
        <v>6.1481782683408481E-2</v>
      </c>
    </row>
    <row r="26" spans="1:15" x14ac:dyDescent="0.2">
      <c r="A26" s="150" t="s">
        <v>63</v>
      </c>
      <c r="B26" s="151">
        <f>'5. Base Allocation'!G26</f>
        <v>34987539.247369096</v>
      </c>
      <c r="C26" s="151">
        <f>SUM('5. Base Allocation'!D26:E26)</f>
        <v>188176.66985559842</v>
      </c>
      <c r="D26" s="151">
        <f>'6. Supplemental Allocation'!E26</f>
        <v>11130731.338744754</v>
      </c>
      <c r="E26" s="151">
        <f>'7. Success Allocation'!AF26</f>
        <v>5399663.9421467781</v>
      </c>
      <c r="F26" s="151">
        <f t="shared" si="5"/>
        <v>51706111.198116228</v>
      </c>
      <c r="G26" s="158">
        <v>43134717</v>
      </c>
      <c r="H26" s="153">
        <f t="shared" si="6"/>
        <v>44303667.830700003</v>
      </c>
      <c r="I26" s="154">
        <f t="shared" si="0"/>
        <v>45747967.401980825</v>
      </c>
      <c r="J26" s="140" t="str">
        <f t="shared" si="1"/>
        <v xml:space="preserve"> </v>
      </c>
      <c r="K26" s="151">
        <f t="shared" si="2"/>
        <v>0</v>
      </c>
      <c r="L26" s="155"/>
      <c r="M26" s="151">
        <f t="shared" si="3"/>
        <v>0</v>
      </c>
      <c r="N26" s="156">
        <f t="shared" si="7"/>
        <v>51706111.198116228</v>
      </c>
      <c r="O26" s="157">
        <f t="shared" si="4"/>
        <v>0.16708421062796835</v>
      </c>
    </row>
    <row r="27" spans="1:15" x14ac:dyDescent="0.2">
      <c r="A27" s="150" t="s">
        <v>64</v>
      </c>
      <c r="B27" s="151">
        <f>'5. Base Allocation'!G27</f>
        <v>35465394.475788824</v>
      </c>
      <c r="C27" s="151">
        <f>SUM('5. Base Allocation'!D27:E27)</f>
        <v>168998.72571938823</v>
      </c>
      <c r="D27" s="151">
        <f>'6. Supplemental Allocation'!E27</f>
        <v>14025772.106451832</v>
      </c>
      <c r="E27" s="151">
        <f>'7. Success Allocation'!AF27</f>
        <v>5090867.1854765844</v>
      </c>
      <c r="F27" s="151">
        <f t="shared" si="5"/>
        <v>54751032.493436627</v>
      </c>
      <c r="G27" s="158">
        <v>42965909</v>
      </c>
      <c r="H27" s="153">
        <f t="shared" si="6"/>
        <v>44130285.133900002</v>
      </c>
      <c r="I27" s="154">
        <f t="shared" si="0"/>
        <v>45568932.429265141</v>
      </c>
      <c r="J27" s="140" t="str">
        <f t="shared" si="1"/>
        <v xml:space="preserve"> </v>
      </c>
      <c r="K27" s="151">
        <f t="shared" si="2"/>
        <v>0</v>
      </c>
      <c r="L27" s="155"/>
      <c r="M27" s="151">
        <f t="shared" si="3"/>
        <v>0</v>
      </c>
      <c r="N27" s="156">
        <f t="shared" si="7"/>
        <v>54751032.493436627</v>
      </c>
      <c r="O27" s="157">
        <f t="shared" si="4"/>
        <v>0.24066799766444247</v>
      </c>
    </row>
    <row r="28" spans="1:15" x14ac:dyDescent="0.2">
      <c r="A28" s="150" t="s">
        <v>65</v>
      </c>
      <c r="B28" s="151">
        <f>'5. Base Allocation'!G28</f>
        <v>113736638.29755084</v>
      </c>
      <c r="C28" s="151">
        <f>SUM('5. Base Allocation'!D28:E28)</f>
        <v>586386.97269775951</v>
      </c>
      <c r="D28" s="151">
        <f>'6. Supplemental Allocation'!E28</f>
        <v>38707551.124685705</v>
      </c>
      <c r="E28" s="151">
        <f>'7. Success Allocation'!AF28</f>
        <v>14508324.898306517</v>
      </c>
      <c r="F28" s="151">
        <f t="shared" si="5"/>
        <v>167538901.29324082</v>
      </c>
      <c r="G28" s="158">
        <v>135595067</v>
      </c>
      <c r="H28" s="153">
        <f t="shared" si="6"/>
        <v>139269693.31569999</v>
      </c>
      <c r="I28" s="154">
        <f t="shared" si="0"/>
        <v>143809885.31779182</v>
      </c>
      <c r="J28" s="140" t="str">
        <f t="shared" si="1"/>
        <v xml:space="preserve"> </v>
      </c>
      <c r="K28" s="151">
        <f t="shared" si="2"/>
        <v>0</v>
      </c>
      <c r="L28" s="155"/>
      <c r="M28" s="151">
        <f t="shared" si="3"/>
        <v>0</v>
      </c>
      <c r="N28" s="156">
        <f t="shared" si="7"/>
        <v>167538901.29324082</v>
      </c>
      <c r="O28" s="157">
        <f t="shared" si="4"/>
        <v>0.20298176368823817</v>
      </c>
    </row>
    <row r="29" spans="1:15" x14ac:dyDescent="0.2">
      <c r="A29" s="150" t="s">
        <v>25</v>
      </c>
      <c r="B29" s="151">
        <f>'5. Base Allocation'!G29</f>
        <v>6081216.369575683</v>
      </c>
      <c r="C29" s="151">
        <f>SUM('5. Base Allocation'!D29:E29)</f>
        <v>200535.44477860219</v>
      </c>
      <c r="D29" s="151">
        <f>'6. Supplemental Allocation'!E29</f>
        <v>2715073.5156822763</v>
      </c>
      <c r="E29" s="151">
        <f>'7. Success Allocation'!AF29</f>
        <v>1079258.0959405757</v>
      </c>
      <c r="F29" s="151">
        <f t="shared" si="5"/>
        <v>10076083.425977137</v>
      </c>
      <c r="G29" s="158">
        <v>14312659</v>
      </c>
      <c r="H29" s="153">
        <f t="shared" si="6"/>
        <v>14700532.058900001</v>
      </c>
      <c r="I29" s="154">
        <f t="shared" si="0"/>
        <v>15179769.40402014</v>
      </c>
      <c r="J29" s="140" t="str">
        <f t="shared" si="1"/>
        <v>Y</v>
      </c>
      <c r="K29" s="151">
        <f t="shared" si="2"/>
        <v>5103685.978043003</v>
      </c>
      <c r="L29" s="155"/>
      <c r="M29" s="151">
        <f t="shared" si="3"/>
        <v>5103685.978043003</v>
      </c>
      <c r="N29" s="156">
        <f t="shared" si="7"/>
        <v>15179769.40402014</v>
      </c>
      <c r="O29" s="157">
        <f t="shared" si="4"/>
        <v>3.2599999999999962E-2</v>
      </c>
    </row>
    <row r="30" spans="1:15" x14ac:dyDescent="0.2">
      <c r="A30" s="150" t="s">
        <v>26</v>
      </c>
      <c r="B30" s="151">
        <f>'5. Base Allocation'!G30</f>
        <v>10405123.455568954</v>
      </c>
      <c r="C30" s="151">
        <f>SUM('5. Base Allocation'!D30:E30)</f>
        <v>27699.210727234036</v>
      </c>
      <c r="D30" s="151">
        <f>'6. Supplemental Allocation'!E30</f>
        <v>3575997.9375306517</v>
      </c>
      <c r="E30" s="151">
        <f>'7. Success Allocation'!AF30</f>
        <v>797980.04679885064</v>
      </c>
      <c r="F30" s="151">
        <f t="shared" si="5"/>
        <v>14806800.650625691</v>
      </c>
      <c r="G30" s="158">
        <v>13587017</v>
      </c>
      <c r="H30" s="153">
        <f t="shared" si="6"/>
        <v>13955225.160700001</v>
      </c>
      <c r="I30" s="154">
        <f t="shared" si="0"/>
        <v>14410165.500938822</v>
      </c>
      <c r="J30" s="140" t="str">
        <f t="shared" si="1"/>
        <v xml:space="preserve"> </v>
      </c>
      <c r="K30" s="151">
        <f t="shared" si="2"/>
        <v>0</v>
      </c>
      <c r="L30" s="155"/>
      <c r="M30" s="151">
        <f t="shared" si="3"/>
        <v>0</v>
      </c>
      <c r="N30" s="156">
        <f t="shared" si="7"/>
        <v>14806800.650625691</v>
      </c>
      <c r="O30" s="157">
        <f t="shared" si="4"/>
        <v>6.1021981381128396E-2</v>
      </c>
    </row>
    <row r="31" spans="1:15" x14ac:dyDescent="0.2">
      <c r="A31" s="150" t="s">
        <v>66</v>
      </c>
      <c r="B31" s="151">
        <f>'5. Base Allocation'!G31</f>
        <v>84764774.424456909</v>
      </c>
      <c r="C31" s="151">
        <f>SUM('5. Base Allocation'!D31:E31)</f>
        <v>2331432.4826753372</v>
      </c>
      <c r="D31" s="151">
        <f>'6. Supplemental Allocation'!E31</f>
        <v>30538010.6787166</v>
      </c>
      <c r="E31" s="151">
        <f>'7. Success Allocation'!AF31</f>
        <v>9400028.1568697914</v>
      </c>
      <c r="F31" s="151">
        <f t="shared" si="5"/>
        <v>127034245.74271864</v>
      </c>
      <c r="G31" s="158">
        <v>119118941</v>
      </c>
      <c r="H31" s="153">
        <f t="shared" si="6"/>
        <v>122347064.3011</v>
      </c>
      <c r="I31" s="154">
        <f t="shared" si="0"/>
        <v>126335578.59731586</v>
      </c>
      <c r="J31" s="140" t="str">
        <f t="shared" si="1"/>
        <v xml:space="preserve"> </v>
      </c>
      <c r="K31" s="151">
        <f t="shared" si="2"/>
        <v>0</v>
      </c>
      <c r="L31" s="155"/>
      <c r="M31" s="151">
        <f t="shared" si="3"/>
        <v>0</v>
      </c>
      <c r="N31" s="156">
        <f t="shared" si="7"/>
        <v>127034245.74271864</v>
      </c>
      <c r="O31" s="157">
        <f t="shared" si="4"/>
        <v>3.8310534612284071E-2</v>
      </c>
    </row>
    <row r="32" spans="1:15" x14ac:dyDescent="0.2">
      <c r="A32" s="150" t="s">
        <v>67</v>
      </c>
      <c r="B32" s="151">
        <f>'5. Base Allocation'!G32</f>
        <v>420769199.92126018</v>
      </c>
      <c r="C32" s="151">
        <f>SUM('5. Base Allocation'!D32:E32)</f>
        <v>35963161.080324858</v>
      </c>
      <c r="D32" s="151">
        <f>'6. Supplemental Allocation'!E32</f>
        <v>125666754.50711292</v>
      </c>
      <c r="E32" s="151">
        <f>'7. Success Allocation'!AF32</f>
        <v>54513841.191338815</v>
      </c>
      <c r="F32" s="151">
        <f t="shared" si="5"/>
        <v>636912956.70003676</v>
      </c>
      <c r="G32" s="158">
        <v>605841667</v>
      </c>
      <c r="H32" s="153">
        <f t="shared" si="6"/>
        <v>622259976.17569995</v>
      </c>
      <c r="I32" s="154">
        <f t="shared" si="0"/>
        <v>642545651.39902782</v>
      </c>
      <c r="J32" s="140" t="str">
        <f t="shared" si="1"/>
        <v>Y</v>
      </c>
      <c r="K32" s="151">
        <f t="shared" si="2"/>
        <v>5632694.6989910603</v>
      </c>
      <c r="L32" s="155"/>
      <c r="M32" s="151">
        <f t="shared" si="3"/>
        <v>5632694.6989910603</v>
      </c>
      <c r="N32" s="156">
        <f t="shared" si="7"/>
        <v>642545651.39902782</v>
      </c>
      <c r="O32" s="157">
        <f t="shared" si="4"/>
        <v>3.2600000000000094E-2</v>
      </c>
    </row>
    <row r="33" spans="1:15" x14ac:dyDescent="0.2">
      <c r="A33" s="150" t="s">
        <v>68</v>
      </c>
      <c r="B33" s="151">
        <f>'5. Base Allocation'!G33</f>
        <v>235169043.63016328</v>
      </c>
      <c r="C33" s="151">
        <f>SUM('5. Base Allocation'!D33:E33)</f>
        <v>943768.777149142</v>
      </c>
      <c r="D33" s="151">
        <f>'6. Supplemental Allocation'!E33</f>
        <v>69337004.623350039</v>
      </c>
      <c r="E33" s="151">
        <f>'7. Success Allocation'!AF33</f>
        <v>31054189.876964383</v>
      </c>
      <c r="F33" s="151">
        <f t="shared" si="5"/>
        <v>336504006.90762687</v>
      </c>
      <c r="G33" s="158">
        <v>303959995</v>
      </c>
      <c r="H33" s="153">
        <f t="shared" si="6"/>
        <v>312197310.86449999</v>
      </c>
      <c r="I33" s="154">
        <f t="shared" si="0"/>
        <v>322374943.19868267</v>
      </c>
      <c r="J33" s="140" t="str">
        <f t="shared" si="1"/>
        <v xml:space="preserve"> </v>
      </c>
      <c r="K33" s="151">
        <f t="shared" si="2"/>
        <v>0</v>
      </c>
      <c r="L33" s="155"/>
      <c r="M33" s="151">
        <f t="shared" si="3"/>
        <v>0</v>
      </c>
      <c r="N33" s="156">
        <f t="shared" si="7"/>
        <v>336504006.90762687</v>
      </c>
      <c r="O33" s="157">
        <f t="shared" si="4"/>
        <v>7.7856839880585921E-2</v>
      </c>
    </row>
    <row r="34" spans="1:15" x14ac:dyDescent="0.2">
      <c r="A34" s="150" t="s">
        <v>27</v>
      </c>
      <c r="B34" s="151">
        <f>'5. Base Allocation'!G34</f>
        <v>4855471.4774823394</v>
      </c>
      <c r="C34" s="151">
        <f>SUM('5. Base Allocation'!D34:E34)</f>
        <v>979615.0939587889</v>
      </c>
      <c r="D34" s="151">
        <f>'6. Supplemental Allocation'!E34</f>
        <v>3067225.6520767533</v>
      </c>
      <c r="E34" s="151">
        <f>'7. Success Allocation'!AF34</f>
        <v>1590837.4284051147</v>
      </c>
      <c r="F34" s="151">
        <f t="shared" si="5"/>
        <v>10493149.651922997</v>
      </c>
      <c r="G34" s="158">
        <v>25606935</v>
      </c>
      <c r="H34" s="153">
        <f t="shared" si="6"/>
        <v>26300882.938499998</v>
      </c>
      <c r="I34" s="154">
        <f t="shared" si="0"/>
        <v>27158291.722295098</v>
      </c>
      <c r="J34" s="140" t="str">
        <f t="shared" si="1"/>
        <v>Y</v>
      </c>
      <c r="K34" s="151">
        <f t="shared" si="2"/>
        <v>16665142.070372101</v>
      </c>
      <c r="L34" s="155" t="s">
        <v>4</v>
      </c>
      <c r="M34" s="151">
        <f t="shared" si="3"/>
        <v>0</v>
      </c>
      <c r="N34" s="156">
        <f t="shared" si="7"/>
        <v>10493149.651922997</v>
      </c>
      <c r="O34" s="157">
        <f t="shared" si="4"/>
        <v>-0.60103431978084587</v>
      </c>
    </row>
    <row r="35" spans="1:15" x14ac:dyDescent="0.2">
      <c r="A35" s="150" t="s">
        <v>69</v>
      </c>
      <c r="B35" s="151">
        <f>'5. Base Allocation'!G35</f>
        <v>17938320.722733069</v>
      </c>
      <c r="C35" s="151">
        <f>SUM('5. Base Allocation'!D35:E35)</f>
        <v>452369.46570873761</v>
      </c>
      <c r="D35" s="151">
        <f>'6. Supplemental Allocation'!E35</f>
        <v>3983599.4434679048</v>
      </c>
      <c r="E35" s="151">
        <f>'7. Success Allocation'!AF35</f>
        <v>1878362.6302207259</v>
      </c>
      <c r="F35" s="151">
        <f t="shared" si="5"/>
        <v>24252652.262130436</v>
      </c>
      <c r="G35" s="158">
        <v>22434165</v>
      </c>
      <c r="H35" s="153">
        <f t="shared" si="6"/>
        <v>23042130.8715</v>
      </c>
      <c r="I35" s="154">
        <f t="shared" si="0"/>
        <v>23793304.337910902</v>
      </c>
      <c r="J35" s="140" t="str">
        <f t="shared" si="1"/>
        <v xml:space="preserve"> </v>
      </c>
      <c r="K35" s="151">
        <f t="shared" si="2"/>
        <v>0</v>
      </c>
      <c r="L35" s="155"/>
      <c r="M35" s="151">
        <f t="shared" si="3"/>
        <v>0</v>
      </c>
      <c r="N35" s="156">
        <f t="shared" si="7"/>
        <v>24252652.262130436</v>
      </c>
      <c r="O35" s="157">
        <f t="shared" si="4"/>
        <v>5.2535132162090374E-2</v>
      </c>
    </row>
    <row r="36" spans="1:15" x14ac:dyDescent="0.2">
      <c r="A36" s="150" t="s">
        <v>70</v>
      </c>
      <c r="B36" s="151">
        <f>'5. Base Allocation'!G36</f>
        <v>42343131.42471572</v>
      </c>
      <c r="C36" s="151">
        <f>SUM('5. Base Allocation'!D36:E36)</f>
        <v>5485849.7992273346</v>
      </c>
      <c r="D36" s="151">
        <f>'6. Supplemental Allocation'!E36</f>
        <v>13899308.632056026</v>
      </c>
      <c r="E36" s="151">
        <f>'7. Success Allocation'!AF36</f>
        <v>6195176.3636394432</v>
      </c>
      <c r="F36" s="151">
        <f t="shared" si="5"/>
        <v>67923466.219638526</v>
      </c>
      <c r="G36" s="158">
        <v>56496411</v>
      </c>
      <c r="H36" s="153">
        <f t="shared" si="6"/>
        <v>58027463.7381</v>
      </c>
      <c r="I36" s="154">
        <f t="shared" si="0"/>
        <v>59919159.055962056</v>
      </c>
      <c r="J36" s="140" t="str">
        <f t="shared" si="1"/>
        <v xml:space="preserve"> </v>
      </c>
      <c r="K36" s="151">
        <f t="shared" si="2"/>
        <v>0</v>
      </c>
      <c r="L36" s="155"/>
      <c r="M36" s="151">
        <f t="shared" si="3"/>
        <v>0</v>
      </c>
      <c r="N36" s="156">
        <f t="shared" si="7"/>
        <v>67923466.219638526</v>
      </c>
      <c r="O36" s="157">
        <f t="shared" si="4"/>
        <v>0.17053997958971545</v>
      </c>
    </row>
    <row r="37" spans="1:15" x14ac:dyDescent="0.2">
      <c r="A37" s="150" t="s">
        <v>28</v>
      </c>
      <c r="B37" s="151">
        <f>'5. Base Allocation'!G37</f>
        <v>7327199.8051581988</v>
      </c>
      <c r="C37" s="151">
        <f>SUM('5. Base Allocation'!D37:E37)</f>
        <v>2545866.7804137799</v>
      </c>
      <c r="D37" s="151">
        <f>'6. Supplemental Allocation'!E37</f>
        <v>13784518.70914291</v>
      </c>
      <c r="E37" s="151">
        <f>'7. Success Allocation'!AF37</f>
        <v>7402126.2602342516</v>
      </c>
      <c r="F37" s="151">
        <f t="shared" si="5"/>
        <v>31059711.554949142</v>
      </c>
      <c r="G37" s="158">
        <v>63540067</v>
      </c>
      <c r="H37" s="153">
        <f t="shared" si="6"/>
        <v>65262002.815700002</v>
      </c>
      <c r="I37" s="154">
        <f t="shared" si="0"/>
        <v>67389544.107491821</v>
      </c>
      <c r="J37" s="140" t="str">
        <f t="shared" si="1"/>
        <v>Y</v>
      </c>
      <c r="K37" s="151">
        <f t="shared" si="2"/>
        <v>36329832.552542679</v>
      </c>
      <c r="L37" s="155" t="s">
        <v>4</v>
      </c>
      <c r="M37" s="151">
        <f t="shared" si="3"/>
        <v>0</v>
      </c>
      <c r="N37" s="156">
        <f t="shared" si="7"/>
        <v>31059711.554949142</v>
      </c>
      <c r="O37" s="157">
        <f t="shared" si="4"/>
        <v>-0.52407664161546164</v>
      </c>
    </row>
    <row r="38" spans="1:15" x14ac:dyDescent="0.2">
      <c r="A38" s="150" t="s">
        <v>71</v>
      </c>
      <c r="B38" s="151">
        <f>'5. Base Allocation'!G38</f>
        <v>29147368.400725625</v>
      </c>
      <c r="C38" s="151">
        <f>SUM('5. Base Allocation'!D38:E38)</f>
        <v>1025803.6630067407</v>
      </c>
      <c r="D38" s="151">
        <f>'6. Supplemental Allocation'!E38</f>
        <v>7356283.026008375</v>
      </c>
      <c r="E38" s="151">
        <f>'7. Success Allocation'!AF38</f>
        <v>3976343.9126919205</v>
      </c>
      <c r="F38" s="151">
        <f t="shared" si="5"/>
        <v>41505799.002432659</v>
      </c>
      <c r="G38" s="158">
        <v>38888873</v>
      </c>
      <c r="H38" s="153">
        <f t="shared" si="6"/>
        <v>39942761.458300002</v>
      </c>
      <c r="I38" s="154">
        <f t="shared" ref="I38:I69" si="8">(H38*J$1)+H38</f>
        <v>41244895.481840581</v>
      </c>
      <c r="J38" s="140" t="str">
        <f t="shared" ref="J38:J69" si="9">IF(I38&gt;F38,"Y"," " )</f>
        <v xml:space="preserve"> </v>
      </c>
      <c r="K38" s="151">
        <f t="shared" ref="K38:K69" si="10">IF((I38-F38)&gt;1,(I38-F38),0)</f>
        <v>0</v>
      </c>
      <c r="L38" s="155"/>
      <c r="M38" s="151">
        <f t="shared" ref="M38:M69" si="11">IF(L38="x",0,K38)</f>
        <v>0</v>
      </c>
      <c r="N38" s="156">
        <f t="shared" ref="N38:N69" si="12">F38+M38</f>
        <v>41505799.002432659</v>
      </c>
      <c r="O38" s="157">
        <f t="shared" ref="O38:O69" si="13">(N38-H38)/H38</f>
        <v>3.9131934975614013E-2</v>
      </c>
    </row>
    <row r="39" spans="1:15" x14ac:dyDescent="0.2">
      <c r="A39" s="150" t="s">
        <v>72</v>
      </c>
      <c r="B39" s="151">
        <f>'5. Base Allocation'!G39</f>
        <v>109990441.71307327</v>
      </c>
      <c r="C39" s="151">
        <f>SUM('5. Base Allocation'!D39:E39)</f>
        <v>43612915.463813856</v>
      </c>
      <c r="D39" s="151">
        <f>'6. Supplemental Allocation'!E39</f>
        <v>37544087.160244279</v>
      </c>
      <c r="E39" s="151">
        <f>'7. Success Allocation'!AF39</f>
        <v>13977535.571369778</v>
      </c>
      <c r="F39" s="151">
        <f t="shared" si="5"/>
        <v>205124979.90850118</v>
      </c>
      <c r="G39" s="158">
        <v>176424297</v>
      </c>
      <c r="H39" s="153">
        <f t="shared" si="6"/>
        <v>181205395.44870001</v>
      </c>
      <c r="I39" s="154">
        <f t="shared" si="8"/>
        <v>187112691.34032762</v>
      </c>
      <c r="J39" s="140" t="str">
        <f t="shared" si="9"/>
        <v xml:space="preserve"> </v>
      </c>
      <c r="K39" s="151">
        <f t="shared" si="10"/>
        <v>0</v>
      </c>
      <c r="L39" s="155"/>
      <c r="M39" s="151">
        <f t="shared" si="11"/>
        <v>0</v>
      </c>
      <c r="N39" s="156">
        <f t="shared" si="12"/>
        <v>205124979.90850118</v>
      </c>
      <c r="O39" s="157">
        <f t="shared" si="13"/>
        <v>0.13200260621694843</v>
      </c>
    </row>
    <row r="40" spans="1:15" x14ac:dyDescent="0.2">
      <c r="A40" s="150" t="s">
        <v>73</v>
      </c>
      <c r="B40" s="151">
        <f>'5. Base Allocation'!G40</f>
        <v>53093513.620005548</v>
      </c>
      <c r="C40" s="151">
        <f>SUM('5. Base Allocation'!D40:E40)</f>
        <v>2255378.5924685579</v>
      </c>
      <c r="D40" s="151">
        <f>'6. Supplemental Allocation'!E40</f>
        <v>21251700.474236839</v>
      </c>
      <c r="E40" s="151">
        <f>'7. Success Allocation'!AF40</f>
        <v>7416744.5974911461</v>
      </c>
      <c r="F40" s="151">
        <f t="shared" si="5"/>
        <v>84017337.284202099</v>
      </c>
      <c r="G40" s="158">
        <v>71517436</v>
      </c>
      <c r="H40" s="153">
        <f t="shared" si="6"/>
        <v>73455558.515599996</v>
      </c>
      <c r="I40" s="154">
        <f t="shared" si="8"/>
        <v>75850209.723208562</v>
      </c>
      <c r="J40" s="140" t="str">
        <f t="shared" si="9"/>
        <v xml:space="preserve"> </v>
      </c>
      <c r="K40" s="151">
        <f t="shared" si="10"/>
        <v>0</v>
      </c>
      <c r="L40" s="155"/>
      <c r="M40" s="151">
        <f t="shared" si="11"/>
        <v>0</v>
      </c>
      <c r="N40" s="156">
        <f t="shared" si="12"/>
        <v>84017337.284202099</v>
      </c>
      <c r="O40" s="157">
        <f t="shared" si="13"/>
        <v>0.14378460911653218</v>
      </c>
    </row>
    <row r="41" spans="1:15" x14ac:dyDescent="0.2">
      <c r="A41" s="150" t="s">
        <v>74</v>
      </c>
      <c r="B41" s="151">
        <f>'5. Base Allocation'!G41</f>
        <v>23825034.129363462</v>
      </c>
      <c r="C41" s="151">
        <f>SUM('5. Base Allocation'!D41:E41)</f>
        <v>1398680.8319762936</v>
      </c>
      <c r="D41" s="151">
        <f>'6. Supplemental Allocation'!E41</f>
        <v>5408745.5203129556</v>
      </c>
      <c r="E41" s="151">
        <f>'7. Success Allocation'!AF41</f>
        <v>3241928.6443498614</v>
      </c>
      <c r="F41" s="151">
        <f t="shared" si="5"/>
        <v>33874389.126002572</v>
      </c>
      <c r="G41" s="158">
        <v>31620290</v>
      </c>
      <c r="H41" s="153">
        <f t="shared" si="6"/>
        <v>32477199.859000001</v>
      </c>
      <c r="I41" s="154">
        <f t="shared" si="8"/>
        <v>33535956.574403401</v>
      </c>
      <c r="J41" s="140" t="str">
        <f t="shared" si="9"/>
        <v xml:space="preserve"> </v>
      </c>
      <c r="K41" s="151">
        <f t="shared" si="10"/>
        <v>0</v>
      </c>
      <c r="L41" s="155"/>
      <c r="M41" s="151">
        <f t="shared" si="11"/>
        <v>0</v>
      </c>
      <c r="N41" s="156">
        <f t="shared" si="12"/>
        <v>33874389.126002572</v>
      </c>
      <c r="O41" s="157">
        <f t="shared" si="13"/>
        <v>4.3020619790760245E-2</v>
      </c>
    </row>
    <row r="42" spans="1:15" x14ac:dyDescent="0.2">
      <c r="A42" s="150" t="s">
        <v>75</v>
      </c>
      <c r="B42" s="151">
        <f>'5. Base Allocation'!G42</f>
        <v>125674145.65626046</v>
      </c>
      <c r="C42" s="151">
        <f>SUM('5. Base Allocation'!D42:E42)</f>
        <v>17100138.573009245</v>
      </c>
      <c r="D42" s="151">
        <f>'6. Supplemental Allocation'!E42</f>
        <v>36481793.975319505</v>
      </c>
      <c r="E42" s="151">
        <f>'7. Success Allocation'!AF42</f>
        <v>17154275.177567638</v>
      </c>
      <c r="F42" s="151">
        <f t="shared" si="5"/>
        <v>196410353.38215685</v>
      </c>
      <c r="G42" s="158">
        <v>202056270</v>
      </c>
      <c r="H42" s="153">
        <f t="shared" si="6"/>
        <v>207531994.917</v>
      </c>
      <c r="I42" s="154">
        <f t="shared" si="8"/>
        <v>214297537.95129418</v>
      </c>
      <c r="J42" s="140" t="str">
        <f t="shared" si="9"/>
        <v>Y</v>
      </c>
      <c r="K42" s="151">
        <f t="shared" si="10"/>
        <v>17887184.569137335</v>
      </c>
      <c r="L42" s="155"/>
      <c r="M42" s="151">
        <f t="shared" si="11"/>
        <v>17887184.569137335</v>
      </c>
      <c r="N42" s="156">
        <f t="shared" si="12"/>
        <v>214297537.95129418</v>
      </c>
      <c r="O42" s="157">
        <f t="shared" si="13"/>
        <v>3.2599999999999942E-2</v>
      </c>
    </row>
    <row r="43" spans="1:15" x14ac:dyDescent="0.2">
      <c r="A43" s="150" t="s">
        <v>76</v>
      </c>
      <c r="B43" s="151">
        <f>'5. Base Allocation'!G43</f>
        <v>34980592.167669833</v>
      </c>
      <c r="C43" s="151">
        <f>SUM('5. Base Allocation'!D43:E43)</f>
        <v>14076.561588848144</v>
      </c>
      <c r="D43" s="151">
        <f>'6. Supplemental Allocation'!E43</f>
        <v>4920401.9499537637</v>
      </c>
      <c r="E43" s="151">
        <f>'7. Success Allocation'!AF43</f>
        <v>4169099.8084446783</v>
      </c>
      <c r="F43" s="151">
        <f t="shared" si="5"/>
        <v>44084170.487657122</v>
      </c>
      <c r="G43" s="158">
        <v>48764473</v>
      </c>
      <c r="H43" s="153">
        <f t="shared" si="6"/>
        <v>50085990.2183</v>
      </c>
      <c r="I43" s="154">
        <f t="shared" si="8"/>
        <v>51718793.499416582</v>
      </c>
      <c r="J43" s="140" t="str">
        <f t="shared" si="9"/>
        <v>Y</v>
      </c>
      <c r="K43" s="151">
        <f t="shared" si="10"/>
        <v>7634623.01175946</v>
      </c>
      <c r="L43" s="155"/>
      <c r="M43" s="151">
        <f t="shared" si="11"/>
        <v>7634623.01175946</v>
      </c>
      <c r="N43" s="156">
        <f t="shared" si="12"/>
        <v>51718793.499416582</v>
      </c>
      <c r="O43" s="157">
        <f t="shared" si="13"/>
        <v>3.2600000000000053E-2</v>
      </c>
    </row>
    <row r="44" spans="1:15" x14ac:dyDescent="0.2">
      <c r="A44" s="150" t="s">
        <v>77</v>
      </c>
      <c r="B44" s="151">
        <f>'5. Base Allocation'!G44</f>
        <v>14642160.333939638</v>
      </c>
      <c r="C44" s="151">
        <f>SUM('5. Base Allocation'!D44:E44)</f>
        <v>127482.56254597806</v>
      </c>
      <c r="D44" s="151">
        <f>'6. Supplemental Allocation'!E44</f>
        <v>3551678.0386083815</v>
      </c>
      <c r="E44" s="151">
        <f>'7. Success Allocation'!AF44</f>
        <v>1023471.0225627723</v>
      </c>
      <c r="F44" s="151">
        <f t="shared" si="5"/>
        <v>19344791.957656771</v>
      </c>
      <c r="G44" s="158">
        <v>16636774</v>
      </c>
      <c r="H44" s="153">
        <f t="shared" si="6"/>
        <v>17087630.575399999</v>
      </c>
      <c r="I44" s="154">
        <f t="shared" si="8"/>
        <v>17644687.33215804</v>
      </c>
      <c r="J44" s="140" t="str">
        <f t="shared" si="9"/>
        <v xml:space="preserve"> </v>
      </c>
      <c r="K44" s="151">
        <f t="shared" si="10"/>
        <v>0</v>
      </c>
      <c r="L44" s="155"/>
      <c r="M44" s="151">
        <f t="shared" si="11"/>
        <v>0</v>
      </c>
      <c r="N44" s="156">
        <f t="shared" si="12"/>
        <v>19344791.957656771</v>
      </c>
      <c r="O44" s="157">
        <f t="shared" si="13"/>
        <v>0.13209329241388607</v>
      </c>
    </row>
    <row r="45" spans="1:15" x14ac:dyDescent="0.2">
      <c r="A45" s="150" t="s">
        <v>78</v>
      </c>
      <c r="B45" s="151">
        <f>'5. Base Allocation'!G45</f>
        <v>79606426.55824098</v>
      </c>
      <c r="C45" s="151">
        <f>SUM('5. Base Allocation'!D45:E45)</f>
        <v>3148760.8118083389</v>
      </c>
      <c r="D45" s="151">
        <f>'6. Supplemental Allocation'!E45</f>
        <v>20702070.758593526</v>
      </c>
      <c r="E45" s="151">
        <f>'7. Success Allocation'!AF45</f>
        <v>9955899.801792182</v>
      </c>
      <c r="F45" s="151">
        <f t="shared" si="5"/>
        <v>113413157.93043503</v>
      </c>
      <c r="G45" s="158">
        <v>108548444</v>
      </c>
      <c r="H45" s="153">
        <f t="shared" si="6"/>
        <v>111490106.83239999</v>
      </c>
      <c r="I45" s="154">
        <f t="shared" si="8"/>
        <v>115124684.31513624</v>
      </c>
      <c r="J45" s="140" t="str">
        <f t="shared" si="9"/>
        <v>Y</v>
      </c>
      <c r="K45" s="151">
        <f t="shared" si="10"/>
        <v>1711526.3847012073</v>
      </c>
      <c r="L45" s="155"/>
      <c r="M45" s="151">
        <f t="shared" si="11"/>
        <v>1711526.3847012073</v>
      </c>
      <c r="N45" s="156">
        <f t="shared" si="12"/>
        <v>115124684.31513624</v>
      </c>
      <c r="O45" s="157">
        <f t="shared" si="13"/>
        <v>3.2600000000000046E-2</v>
      </c>
    </row>
    <row r="46" spans="1:15" x14ac:dyDescent="0.2">
      <c r="A46" s="150" t="s">
        <v>79</v>
      </c>
      <c r="B46" s="151">
        <f>'5. Base Allocation'!G46</f>
        <v>102760553.61788052</v>
      </c>
      <c r="C46" s="151">
        <f>SUM('5. Base Allocation'!D46:E46)</f>
        <v>5411051.5648123557</v>
      </c>
      <c r="D46" s="151">
        <f>'6. Supplemental Allocation'!E46</f>
        <v>29492255.02505897</v>
      </c>
      <c r="E46" s="151">
        <f>'7. Success Allocation'!AF46</f>
        <v>14002805.303935647</v>
      </c>
      <c r="F46" s="151">
        <f t="shared" si="5"/>
        <v>151666665.51168752</v>
      </c>
      <c r="G46" s="158">
        <v>134464486</v>
      </c>
      <c r="H46" s="153">
        <f t="shared" si="6"/>
        <v>138108473.5706</v>
      </c>
      <c r="I46" s="154">
        <f t="shared" si="8"/>
        <v>142610809.80900156</v>
      </c>
      <c r="J46" s="140" t="str">
        <f t="shared" si="9"/>
        <v xml:space="preserve"> </v>
      </c>
      <c r="K46" s="151">
        <f t="shared" si="10"/>
        <v>0</v>
      </c>
      <c r="L46" s="155"/>
      <c r="M46" s="151">
        <f t="shared" si="11"/>
        <v>0</v>
      </c>
      <c r="N46" s="156">
        <f t="shared" si="12"/>
        <v>151666665.51168752</v>
      </c>
      <c r="O46" s="157">
        <f t="shared" si="13"/>
        <v>9.8170601633336199E-2</v>
      </c>
    </row>
    <row r="47" spans="1:15" x14ac:dyDescent="0.2">
      <c r="A47" s="150" t="s">
        <v>80</v>
      </c>
      <c r="B47" s="151">
        <f>'5. Base Allocation'!G47</f>
        <v>90491628.36817272</v>
      </c>
      <c r="C47" s="151">
        <f>SUM('5. Base Allocation'!D47:E47)</f>
        <v>367340.15089357249</v>
      </c>
      <c r="D47" s="151">
        <f>'6. Supplemental Allocation'!E47</f>
        <v>22486178.543531291</v>
      </c>
      <c r="E47" s="151">
        <f>'7. Success Allocation'!AF47</f>
        <v>9667499.9986022264</v>
      </c>
      <c r="F47" s="151">
        <f t="shared" si="5"/>
        <v>123012647.0611998</v>
      </c>
      <c r="G47" s="158">
        <v>114674531</v>
      </c>
      <c r="H47" s="153">
        <f t="shared" si="6"/>
        <v>117782210.79009999</v>
      </c>
      <c r="I47" s="154">
        <f t="shared" si="8"/>
        <v>121621910.86185725</v>
      </c>
      <c r="J47" s="140" t="str">
        <f t="shared" si="9"/>
        <v xml:space="preserve"> </v>
      </c>
      <c r="K47" s="151">
        <f t="shared" si="10"/>
        <v>0</v>
      </c>
      <c r="L47" s="155"/>
      <c r="M47" s="151">
        <f t="shared" si="11"/>
        <v>0</v>
      </c>
      <c r="N47" s="156">
        <f t="shared" si="12"/>
        <v>123012647.0611998</v>
      </c>
      <c r="O47" s="157">
        <f t="shared" si="13"/>
        <v>4.4407693114378546E-2</v>
      </c>
    </row>
    <row r="48" spans="1:15" x14ac:dyDescent="0.2">
      <c r="A48" s="150" t="s">
        <v>81</v>
      </c>
      <c r="B48" s="151">
        <f>'5. Base Allocation'!G48</f>
        <v>108317986.61205368</v>
      </c>
      <c r="C48" s="151">
        <f>SUM('5. Base Allocation'!D48:E48)</f>
        <v>31709982.134484906</v>
      </c>
      <c r="D48" s="151">
        <f>'6. Supplemental Allocation'!E48</f>
        <v>27167272.688089911</v>
      </c>
      <c r="E48" s="151">
        <f>'7. Success Allocation'!AF48</f>
        <v>15814604.522416115</v>
      </c>
      <c r="F48" s="151">
        <f t="shared" si="5"/>
        <v>183009845.9570446</v>
      </c>
      <c r="G48" s="158">
        <v>164850888</v>
      </c>
      <c r="H48" s="153">
        <f t="shared" si="6"/>
        <v>169318347.06479999</v>
      </c>
      <c r="I48" s="154">
        <f t="shared" si="8"/>
        <v>174838125.17911246</v>
      </c>
      <c r="J48" s="140" t="str">
        <f t="shared" si="9"/>
        <v xml:space="preserve"> </v>
      </c>
      <c r="K48" s="151">
        <f t="shared" si="10"/>
        <v>0</v>
      </c>
      <c r="L48" s="155"/>
      <c r="M48" s="151">
        <f t="shared" si="11"/>
        <v>0</v>
      </c>
      <c r="N48" s="156">
        <f t="shared" si="12"/>
        <v>183009845.9570446</v>
      </c>
      <c r="O48" s="157">
        <f t="shared" si="13"/>
        <v>8.0862464875142676E-2</v>
      </c>
    </row>
    <row r="49" spans="1:15" x14ac:dyDescent="0.2">
      <c r="A49" s="150" t="s">
        <v>82</v>
      </c>
      <c r="B49" s="151">
        <f>'5. Base Allocation'!G49</f>
        <v>21126249.273376819</v>
      </c>
      <c r="C49" s="151">
        <f>SUM('5. Base Allocation'!D49:E49)</f>
        <v>663180.42650143919</v>
      </c>
      <c r="D49" s="151">
        <f>'6. Supplemental Allocation'!E49</f>
        <v>5434038.2151921168</v>
      </c>
      <c r="E49" s="151">
        <f>'7. Success Allocation'!AF49</f>
        <v>2720135.2172635188</v>
      </c>
      <c r="F49" s="151">
        <f t="shared" si="5"/>
        <v>29943603.132333893</v>
      </c>
      <c r="G49" s="158">
        <v>26897607</v>
      </c>
      <c r="H49" s="153">
        <f t="shared" si="6"/>
        <v>27626532.149700001</v>
      </c>
      <c r="I49" s="154">
        <f t="shared" si="8"/>
        <v>28527157.09778022</v>
      </c>
      <c r="J49" s="140" t="str">
        <f t="shared" si="9"/>
        <v xml:space="preserve"> </v>
      </c>
      <c r="K49" s="151">
        <f t="shared" si="10"/>
        <v>0</v>
      </c>
      <c r="L49" s="155"/>
      <c r="M49" s="151">
        <f t="shared" si="11"/>
        <v>0</v>
      </c>
      <c r="N49" s="156">
        <f t="shared" si="12"/>
        <v>29943603.132333893</v>
      </c>
      <c r="O49" s="157">
        <f t="shared" si="13"/>
        <v>8.3871220972591518E-2</v>
      </c>
    </row>
    <row r="50" spans="1:15" x14ac:dyDescent="0.2">
      <c r="A50" s="150" t="s">
        <v>83</v>
      </c>
      <c r="B50" s="151">
        <f>'5. Base Allocation'!G50</f>
        <v>58392895.243044034</v>
      </c>
      <c r="C50" s="151">
        <f>SUM('5. Base Allocation'!D50:E50)</f>
        <v>1731330.4220841201</v>
      </c>
      <c r="D50" s="151">
        <f>'6. Supplemental Allocation'!E50</f>
        <v>17499626.468508948</v>
      </c>
      <c r="E50" s="151">
        <f>'7. Success Allocation'!AF50</f>
        <v>8041366.1575896554</v>
      </c>
      <c r="F50" s="151">
        <f t="shared" si="5"/>
        <v>85665218.29122676</v>
      </c>
      <c r="G50" s="158">
        <v>74478150</v>
      </c>
      <c r="H50" s="153">
        <f t="shared" si="6"/>
        <v>76496507.864999995</v>
      </c>
      <c r="I50" s="154">
        <f t="shared" si="8"/>
        <v>78990294.021398991</v>
      </c>
      <c r="J50" s="140" t="str">
        <f t="shared" si="9"/>
        <v xml:space="preserve"> </v>
      </c>
      <c r="K50" s="151">
        <f t="shared" si="10"/>
        <v>0</v>
      </c>
      <c r="L50" s="155"/>
      <c r="M50" s="151">
        <f t="shared" si="11"/>
        <v>0</v>
      </c>
      <c r="N50" s="156">
        <f t="shared" si="12"/>
        <v>85665218.29122676</v>
      </c>
      <c r="O50" s="157">
        <f t="shared" si="13"/>
        <v>0.11985789524415391</v>
      </c>
    </row>
    <row r="51" spans="1:15" x14ac:dyDescent="0.2">
      <c r="A51" s="150" t="s">
        <v>84</v>
      </c>
      <c r="B51" s="151">
        <f>'5. Base Allocation'!G51</f>
        <v>138386410.93038237</v>
      </c>
      <c r="C51" s="151">
        <f>SUM('5. Base Allocation'!D51:E51)</f>
        <v>644094.47098214971</v>
      </c>
      <c r="D51" s="151">
        <f>'6. Supplemental Allocation'!E51</f>
        <v>45778804.935325064</v>
      </c>
      <c r="E51" s="151">
        <f>'7. Success Allocation'!AF51</f>
        <v>18490478.662985153</v>
      </c>
      <c r="F51" s="151">
        <f t="shared" si="5"/>
        <v>203299788.99967474</v>
      </c>
      <c r="G51" s="158">
        <v>173724960</v>
      </c>
      <c r="H51" s="153">
        <f t="shared" si="6"/>
        <v>178432906.41600001</v>
      </c>
      <c r="I51" s="154">
        <f t="shared" si="8"/>
        <v>184249819.16516161</v>
      </c>
      <c r="J51" s="140" t="str">
        <f t="shared" si="9"/>
        <v xml:space="preserve"> </v>
      </c>
      <c r="K51" s="151">
        <f t="shared" si="10"/>
        <v>0</v>
      </c>
      <c r="L51" s="155"/>
      <c r="M51" s="151">
        <f t="shared" si="11"/>
        <v>0</v>
      </c>
      <c r="N51" s="156">
        <f t="shared" si="12"/>
        <v>203299788.99967474</v>
      </c>
      <c r="O51" s="157">
        <f t="shared" si="13"/>
        <v>0.13936264943025625</v>
      </c>
    </row>
    <row r="52" spans="1:15" x14ac:dyDescent="0.2">
      <c r="A52" s="150" t="s">
        <v>85</v>
      </c>
      <c r="B52" s="151">
        <f>'5. Base Allocation'!G52</f>
        <v>72781596.344914556</v>
      </c>
      <c r="C52" s="151">
        <f>SUM('5. Base Allocation'!D52:E52)</f>
        <v>1613262.0042124544</v>
      </c>
      <c r="D52" s="151">
        <f>'6. Supplemental Allocation'!E52</f>
        <v>23995957.868625842</v>
      </c>
      <c r="E52" s="151">
        <f>'7. Success Allocation'!AF52</f>
        <v>9001209.9301688969</v>
      </c>
      <c r="F52" s="151">
        <f t="shared" si="5"/>
        <v>107392026.14792174</v>
      </c>
      <c r="G52" s="158">
        <v>89045295</v>
      </c>
      <c r="H52" s="153">
        <f t="shared" si="6"/>
        <v>91458422.494499996</v>
      </c>
      <c r="I52" s="154">
        <f t="shared" si="8"/>
        <v>94439967.067820698</v>
      </c>
      <c r="J52" s="140" t="str">
        <f t="shared" si="9"/>
        <v xml:space="preserve"> </v>
      </c>
      <c r="K52" s="151">
        <f t="shared" si="10"/>
        <v>0</v>
      </c>
      <c r="L52" s="155"/>
      <c r="M52" s="151">
        <f t="shared" si="11"/>
        <v>0</v>
      </c>
      <c r="N52" s="156">
        <f t="shared" si="12"/>
        <v>107392026.14792174</v>
      </c>
      <c r="O52" s="157">
        <f t="shared" si="13"/>
        <v>0.17421690882958252</v>
      </c>
    </row>
    <row r="53" spans="1:15" x14ac:dyDescent="0.2">
      <c r="A53" s="150" t="s">
        <v>86</v>
      </c>
      <c r="B53" s="151">
        <f>'5. Base Allocation'!G53</f>
        <v>158610389.76081806</v>
      </c>
      <c r="C53" s="151">
        <f>SUM('5. Base Allocation'!D53:E53)</f>
        <v>40614861.397562705</v>
      </c>
      <c r="D53" s="151">
        <f>'6. Supplemental Allocation'!E53</f>
        <v>45532687.558231689</v>
      </c>
      <c r="E53" s="151">
        <f>'7. Success Allocation'!AF53</f>
        <v>23190024.204969503</v>
      </c>
      <c r="F53" s="151">
        <f t="shared" si="5"/>
        <v>267947962.92158195</v>
      </c>
      <c r="G53" s="158">
        <v>246050130</v>
      </c>
      <c r="H53" s="153">
        <f t="shared" si="6"/>
        <v>252718088.523</v>
      </c>
      <c r="I53" s="154">
        <f t="shared" si="8"/>
        <v>260956698.20884979</v>
      </c>
      <c r="J53" s="140" t="str">
        <f t="shared" si="9"/>
        <v xml:space="preserve"> </v>
      </c>
      <c r="K53" s="151">
        <f t="shared" si="10"/>
        <v>0</v>
      </c>
      <c r="L53" s="155"/>
      <c r="M53" s="151">
        <f t="shared" si="11"/>
        <v>0</v>
      </c>
      <c r="N53" s="156">
        <f t="shared" si="12"/>
        <v>267947962.92158195</v>
      </c>
      <c r="O53" s="157">
        <f t="shared" si="13"/>
        <v>6.026428297076912E-2</v>
      </c>
    </row>
    <row r="54" spans="1:15" x14ac:dyDescent="0.2">
      <c r="A54" s="150" t="s">
        <v>29</v>
      </c>
      <c r="B54" s="151">
        <f>'5. Base Allocation'!G54</f>
        <v>15417726.774484834</v>
      </c>
      <c r="C54" s="151">
        <f>SUM('5. Base Allocation'!D54:E54)</f>
        <v>27553249.527484</v>
      </c>
      <c r="D54" s="151">
        <f>'6. Supplemental Allocation'!E54</f>
        <v>17065759.471735641</v>
      </c>
      <c r="E54" s="151">
        <f>'7. Success Allocation'!AF54</f>
        <v>9535934.9632901829</v>
      </c>
      <c r="F54" s="151">
        <f t="shared" si="5"/>
        <v>69572670.736994654</v>
      </c>
      <c r="G54" s="158">
        <v>128356691</v>
      </c>
      <c r="H54" s="153">
        <f t="shared" si="6"/>
        <v>131835157.32610001</v>
      </c>
      <c r="I54" s="154">
        <f t="shared" si="8"/>
        <v>136132983.45493087</v>
      </c>
      <c r="J54" s="140" t="str">
        <f t="shared" si="9"/>
        <v>Y</v>
      </c>
      <c r="K54" s="151">
        <f t="shared" si="10"/>
        <v>66560312.717936218</v>
      </c>
      <c r="L54" s="155"/>
      <c r="M54" s="151">
        <f t="shared" si="11"/>
        <v>66560312.717936218</v>
      </c>
      <c r="N54" s="156">
        <f t="shared" si="12"/>
        <v>136132983.45493087</v>
      </c>
      <c r="O54" s="157">
        <f t="shared" si="13"/>
        <v>3.2600000000000039E-2</v>
      </c>
    </row>
    <row r="55" spans="1:15" x14ac:dyDescent="0.2">
      <c r="A55" s="150" t="s">
        <v>87</v>
      </c>
      <c r="B55" s="151">
        <f>'5. Base Allocation'!G55</f>
        <v>70145491.553740114</v>
      </c>
      <c r="C55" s="151">
        <f>SUM('5. Base Allocation'!D55:E55)</f>
        <v>570687.35021525784</v>
      </c>
      <c r="D55" s="151">
        <f>'6. Supplemental Allocation'!E55</f>
        <v>21848024.39581091</v>
      </c>
      <c r="E55" s="151">
        <f>'7. Success Allocation'!AF55</f>
        <v>10507492.147132961</v>
      </c>
      <c r="F55" s="151">
        <f t="shared" si="5"/>
        <v>103071695.44689924</v>
      </c>
      <c r="G55" s="158">
        <v>90280054</v>
      </c>
      <c r="H55" s="153">
        <f t="shared" si="6"/>
        <v>92726643.463400006</v>
      </c>
      <c r="I55" s="154">
        <f t="shared" si="8"/>
        <v>95749532.040306851</v>
      </c>
      <c r="J55" s="140" t="str">
        <f t="shared" si="9"/>
        <v xml:space="preserve"> </v>
      </c>
      <c r="K55" s="151">
        <f t="shared" si="10"/>
        <v>0</v>
      </c>
      <c r="L55" s="155"/>
      <c r="M55" s="151">
        <f t="shared" si="11"/>
        <v>0</v>
      </c>
      <c r="N55" s="156">
        <f t="shared" si="12"/>
        <v>103071695.44689924</v>
      </c>
      <c r="O55" s="157">
        <f t="shared" si="13"/>
        <v>0.11156504319691576</v>
      </c>
    </row>
    <row r="56" spans="1:15" x14ac:dyDescent="0.2">
      <c r="A56" s="150" t="s">
        <v>88</v>
      </c>
      <c r="B56" s="151">
        <f>'5. Base Allocation'!G56</f>
        <v>9611863.3818905875</v>
      </c>
      <c r="C56" s="151">
        <f>SUM('5. Base Allocation'!D56:E56)</f>
        <v>849652.43267558608</v>
      </c>
      <c r="D56" s="151">
        <f>'6. Supplemental Allocation'!E56</f>
        <v>16676641.088979315</v>
      </c>
      <c r="E56" s="151">
        <f>'7. Success Allocation'!AF56</f>
        <v>6830792.9124439927</v>
      </c>
      <c r="F56" s="151">
        <f t="shared" si="5"/>
        <v>33968949.815989479</v>
      </c>
      <c r="G56" s="158">
        <v>70622433</v>
      </c>
      <c r="H56" s="153">
        <f t="shared" si="6"/>
        <v>72536300.934300005</v>
      </c>
      <c r="I56" s="154">
        <f t="shared" si="8"/>
        <v>74900984.344758183</v>
      </c>
      <c r="J56" s="140" t="str">
        <f t="shared" si="9"/>
        <v>Y</v>
      </c>
      <c r="K56" s="151">
        <f t="shared" si="10"/>
        <v>40932034.528768703</v>
      </c>
      <c r="L56" s="155" t="s">
        <v>4</v>
      </c>
      <c r="M56" s="151">
        <f t="shared" si="11"/>
        <v>0</v>
      </c>
      <c r="N56" s="156">
        <f t="shared" si="12"/>
        <v>33968949.815989479</v>
      </c>
      <c r="O56" s="157">
        <f t="shared" si="13"/>
        <v>-0.53169724154038445</v>
      </c>
    </row>
    <row r="57" spans="1:15" x14ac:dyDescent="0.2">
      <c r="A57" s="150" t="s">
        <v>89</v>
      </c>
      <c r="B57" s="151">
        <f>'5. Base Allocation'!G57</f>
        <v>36476143.613909818</v>
      </c>
      <c r="C57" s="151">
        <f>SUM('5. Base Allocation'!D57:E57)</f>
        <v>2824390.577099883</v>
      </c>
      <c r="D57" s="151">
        <f>'6. Supplemental Allocation'!E57</f>
        <v>8367018.0252179373</v>
      </c>
      <c r="E57" s="151">
        <f>'7. Success Allocation'!AF57</f>
        <v>5057850.9835950946</v>
      </c>
      <c r="F57" s="151">
        <f t="shared" si="5"/>
        <v>52725403.199822731</v>
      </c>
      <c r="G57" s="158">
        <v>49069768</v>
      </c>
      <c r="H57" s="153">
        <f t="shared" si="6"/>
        <v>50399558.712799996</v>
      </c>
      <c r="I57" s="154">
        <f t="shared" si="8"/>
        <v>52042584.326837279</v>
      </c>
      <c r="J57" s="140" t="str">
        <f t="shared" si="9"/>
        <v xml:space="preserve"> </v>
      </c>
      <c r="K57" s="151">
        <f t="shared" si="10"/>
        <v>0</v>
      </c>
      <c r="L57" s="155"/>
      <c r="M57" s="151">
        <f t="shared" si="11"/>
        <v>0</v>
      </c>
      <c r="N57" s="156">
        <f t="shared" si="12"/>
        <v>52725403.199822731</v>
      </c>
      <c r="O57" s="157">
        <f t="shared" si="13"/>
        <v>4.6148112134800093E-2</v>
      </c>
    </row>
    <row r="58" spans="1:15" x14ac:dyDescent="0.2">
      <c r="A58" s="150" t="s">
        <v>90</v>
      </c>
      <c r="B58" s="151">
        <f>'5. Base Allocation'!G58</f>
        <v>76566803.839222044</v>
      </c>
      <c r="C58" s="151">
        <f>SUM('5. Base Allocation'!D58:E58)</f>
        <v>121863.94172795033</v>
      </c>
      <c r="D58" s="151">
        <f>'6. Supplemental Allocation'!E58</f>
        <v>14429482.428561524</v>
      </c>
      <c r="E58" s="151">
        <f>'7. Success Allocation'!AF58</f>
        <v>9849448.3202291615</v>
      </c>
      <c r="F58" s="151">
        <f t="shared" si="5"/>
        <v>100967598.52974068</v>
      </c>
      <c r="G58" s="158">
        <v>98289606</v>
      </c>
      <c r="H58" s="153">
        <f t="shared" si="6"/>
        <v>100953254.32260001</v>
      </c>
      <c r="I58" s="154">
        <f t="shared" si="8"/>
        <v>104244330.41351676</v>
      </c>
      <c r="J58" s="140" t="str">
        <f t="shared" si="9"/>
        <v>Y</v>
      </c>
      <c r="K58" s="151">
        <f t="shared" si="10"/>
        <v>3276731.8837760836</v>
      </c>
      <c r="L58" s="155" t="s">
        <v>4</v>
      </c>
      <c r="M58" s="151">
        <f t="shared" si="11"/>
        <v>0</v>
      </c>
      <c r="N58" s="156">
        <f t="shared" si="12"/>
        <v>100967598.52974068</v>
      </c>
      <c r="O58" s="157">
        <f t="shared" si="13"/>
        <v>1.4208761507411897E-4</v>
      </c>
    </row>
    <row r="59" spans="1:15" x14ac:dyDescent="0.2">
      <c r="A59" s="150" t="s">
        <v>91</v>
      </c>
      <c r="B59" s="151">
        <f>'5. Base Allocation'!G59</f>
        <v>53636911.742748871</v>
      </c>
      <c r="C59" s="151">
        <f>SUM('5. Base Allocation'!D59:E59)</f>
        <v>5496355.3563506771</v>
      </c>
      <c r="D59" s="151">
        <f>'6. Supplemental Allocation'!E59</f>
        <v>13069513.680828158</v>
      </c>
      <c r="E59" s="151">
        <f>'7. Success Allocation'!AF59</f>
        <v>8228093.5510121137</v>
      </c>
      <c r="F59" s="151">
        <f t="shared" si="5"/>
        <v>80430874.330939814</v>
      </c>
      <c r="G59" s="158">
        <v>72610515</v>
      </c>
      <c r="H59" s="153">
        <f t="shared" si="6"/>
        <v>74578259.956499994</v>
      </c>
      <c r="I59" s="154">
        <f t="shared" si="8"/>
        <v>77009511.231081888</v>
      </c>
      <c r="J59" s="140" t="str">
        <f t="shared" si="9"/>
        <v xml:space="preserve"> </v>
      </c>
      <c r="K59" s="151">
        <f t="shared" si="10"/>
        <v>0</v>
      </c>
      <c r="L59" s="155"/>
      <c r="M59" s="151">
        <f t="shared" si="11"/>
        <v>0</v>
      </c>
      <c r="N59" s="156">
        <f t="shared" si="12"/>
        <v>80430874.330939814</v>
      </c>
      <c r="O59" s="157">
        <f t="shared" si="13"/>
        <v>7.8476145432375785E-2</v>
      </c>
    </row>
    <row r="60" spans="1:15" x14ac:dyDescent="0.2">
      <c r="A60" s="150" t="s">
        <v>92</v>
      </c>
      <c r="B60" s="151">
        <f>'5. Base Allocation'!G60</f>
        <v>73130944.994524166</v>
      </c>
      <c r="C60" s="151">
        <f>SUM('5. Base Allocation'!D60:E60)</f>
        <v>1845416.0135138105</v>
      </c>
      <c r="D60" s="151">
        <f>'6. Supplemental Allocation'!E60</f>
        <v>14247569.58462294</v>
      </c>
      <c r="E60" s="151">
        <f>'7. Success Allocation'!AF60</f>
        <v>10772808.721192908</v>
      </c>
      <c r="F60" s="151">
        <f t="shared" si="5"/>
        <v>99996739.313853815</v>
      </c>
      <c r="G60" s="158">
        <v>94448588</v>
      </c>
      <c r="H60" s="153">
        <f t="shared" si="6"/>
        <v>97008144.734799996</v>
      </c>
      <c r="I60" s="154">
        <f t="shared" si="8"/>
        <v>100170610.25315447</v>
      </c>
      <c r="J60" s="140" t="str">
        <f t="shared" si="9"/>
        <v>Y</v>
      </c>
      <c r="K60" s="151">
        <f t="shared" si="10"/>
        <v>173870.93930065632</v>
      </c>
      <c r="L60" s="155"/>
      <c r="M60" s="151">
        <f t="shared" si="11"/>
        <v>173870.93930065632</v>
      </c>
      <c r="N60" s="156">
        <f t="shared" si="12"/>
        <v>100170610.25315447</v>
      </c>
      <c r="O60" s="157">
        <f t="shared" si="13"/>
        <v>3.2599999999999955E-2</v>
      </c>
    </row>
    <row r="61" spans="1:15" x14ac:dyDescent="0.2">
      <c r="A61" s="150" t="s">
        <v>31</v>
      </c>
      <c r="B61" s="151">
        <f>'5. Base Allocation'!G61</f>
        <v>9592377.3696594723</v>
      </c>
      <c r="C61" s="151">
        <f>SUM('5. Base Allocation'!D61:E61)</f>
        <v>2693049.8176753614</v>
      </c>
      <c r="D61" s="151">
        <f>'6. Supplemental Allocation'!E61</f>
        <v>27413390.065183289</v>
      </c>
      <c r="E61" s="151">
        <f>'7. Success Allocation'!AF61</f>
        <v>12325351.103707097</v>
      </c>
      <c r="F61" s="151">
        <f t="shared" si="5"/>
        <v>52024168.356225222</v>
      </c>
      <c r="G61" s="158">
        <v>129918589</v>
      </c>
      <c r="H61" s="153">
        <f t="shared" si="6"/>
        <v>133439382.76189999</v>
      </c>
      <c r="I61" s="154">
        <f t="shared" si="8"/>
        <v>137789506.63993794</v>
      </c>
      <c r="J61" s="140" t="str">
        <f t="shared" si="9"/>
        <v>Y</v>
      </c>
      <c r="K61" s="151">
        <f t="shared" si="10"/>
        <v>85765338.283712715</v>
      </c>
      <c r="L61" s="155"/>
      <c r="M61" s="151">
        <f t="shared" si="11"/>
        <v>85765338.283712715</v>
      </c>
      <c r="N61" s="156">
        <f t="shared" si="12"/>
        <v>137789506.63993794</v>
      </c>
      <c r="O61" s="157">
        <f t="shared" si="13"/>
        <v>3.2600000000000032E-2</v>
      </c>
    </row>
    <row r="62" spans="1:15" x14ac:dyDescent="0.2">
      <c r="A62" s="150" t="s">
        <v>93</v>
      </c>
      <c r="B62" s="151">
        <f>'5. Base Allocation'!G62</f>
        <v>49310199.764709704</v>
      </c>
      <c r="C62" s="151">
        <f>SUM('5. Base Allocation'!D62:E62)</f>
        <v>1356776.3134683287</v>
      </c>
      <c r="D62" s="151">
        <f>'6. Supplemental Allocation'!E62</f>
        <v>16687341.844505116</v>
      </c>
      <c r="E62" s="151">
        <f>'7. Success Allocation'!AF62</f>
        <v>6693105.6675115414</v>
      </c>
      <c r="F62" s="151">
        <f t="shared" si="5"/>
        <v>74047423.590194687</v>
      </c>
      <c r="G62" s="158">
        <v>61392655</v>
      </c>
      <c r="H62" s="153">
        <f t="shared" si="6"/>
        <v>63056395.950499997</v>
      </c>
      <c r="I62" s="154">
        <f t="shared" si="8"/>
        <v>65112034.458486296</v>
      </c>
      <c r="J62" s="140" t="str">
        <f t="shared" si="9"/>
        <v xml:space="preserve"> </v>
      </c>
      <c r="K62" s="151">
        <f t="shared" si="10"/>
        <v>0</v>
      </c>
      <c r="L62" s="155"/>
      <c r="M62" s="151">
        <f t="shared" si="11"/>
        <v>0</v>
      </c>
      <c r="N62" s="156">
        <f t="shared" si="12"/>
        <v>74047423.590194687</v>
      </c>
      <c r="O62" s="157">
        <f t="shared" si="13"/>
        <v>0.17430472316119644</v>
      </c>
    </row>
    <row r="63" spans="1:15" x14ac:dyDescent="0.2">
      <c r="A63" s="150" t="s">
        <v>94</v>
      </c>
      <c r="B63" s="151">
        <f>'5. Base Allocation'!G63</f>
        <v>33589110.114448838</v>
      </c>
      <c r="C63" s="151">
        <f>SUM('5. Base Allocation'!D63:E63)</f>
        <v>439806.7420014707</v>
      </c>
      <c r="D63" s="151">
        <f>'6. Supplemental Allocation'!E63</f>
        <v>12727089.50400259</v>
      </c>
      <c r="E63" s="151">
        <f>'7. Success Allocation'!AF63</f>
        <v>5147903.6893891646</v>
      </c>
      <c r="F63" s="151">
        <f t="shared" si="5"/>
        <v>51903910.049842067</v>
      </c>
      <c r="G63" s="158">
        <v>41789199</v>
      </c>
      <c r="H63" s="153">
        <f t="shared" si="6"/>
        <v>42921686.292900003</v>
      </c>
      <c r="I63" s="154">
        <f t="shared" si="8"/>
        <v>44320933.266048543</v>
      </c>
      <c r="J63" s="140" t="str">
        <f t="shared" si="9"/>
        <v xml:space="preserve"> </v>
      </c>
      <c r="K63" s="151">
        <f t="shared" si="10"/>
        <v>0</v>
      </c>
      <c r="L63" s="155"/>
      <c r="M63" s="151">
        <f t="shared" si="11"/>
        <v>0</v>
      </c>
      <c r="N63" s="156">
        <f t="shared" si="12"/>
        <v>51903910.049842067</v>
      </c>
      <c r="O63" s="157">
        <f t="shared" si="13"/>
        <v>0.20927005746341984</v>
      </c>
    </row>
    <row r="64" spans="1:15" x14ac:dyDescent="0.2">
      <c r="A64" s="150" t="s">
        <v>95</v>
      </c>
      <c r="B64" s="151">
        <f>'5. Base Allocation'!G64</f>
        <v>61853026.384256095</v>
      </c>
      <c r="C64" s="151">
        <f>SUM('5. Base Allocation'!D64:E64)</f>
        <v>1363556.4791232839</v>
      </c>
      <c r="D64" s="151">
        <f>'6. Supplemental Allocation'!E64</f>
        <v>17461687.426190205</v>
      </c>
      <c r="E64" s="151">
        <f>'7. Success Allocation'!AF64</f>
        <v>10138472.838686505</v>
      </c>
      <c r="F64" s="151">
        <f t="shared" si="5"/>
        <v>90816743.128256097</v>
      </c>
      <c r="G64" s="158">
        <v>86569715</v>
      </c>
      <c r="H64" s="153">
        <f t="shared" si="6"/>
        <v>88915754.276500002</v>
      </c>
      <c r="I64" s="154">
        <f t="shared" si="8"/>
        <v>91814407.865913898</v>
      </c>
      <c r="J64" s="140" t="str">
        <f t="shared" si="9"/>
        <v>Y</v>
      </c>
      <c r="K64" s="151">
        <f t="shared" si="10"/>
        <v>997664.73765780032</v>
      </c>
      <c r="L64" s="155"/>
      <c r="M64" s="151">
        <f t="shared" si="11"/>
        <v>997664.73765780032</v>
      </c>
      <c r="N64" s="156">
        <f t="shared" si="12"/>
        <v>91814407.865913898</v>
      </c>
      <c r="O64" s="157">
        <f t="shared" si="13"/>
        <v>3.2599999999999955E-2</v>
      </c>
    </row>
    <row r="65" spans="1:15" x14ac:dyDescent="0.2">
      <c r="A65" s="150" t="s">
        <v>96</v>
      </c>
      <c r="B65" s="151">
        <f>'5. Base Allocation'!G65</f>
        <v>11273303.124896361</v>
      </c>
      <c r="C65" s="151">
        <f>SUM('5. Base Allocation'!D65:E65)</f>
        <v>4745068.0503230412</v>
      </c>
      <c r="D65" s="151">
        <f>'6. Supplemental Allocation'!E65</f>
        <v>2071082.5922205541</v>
      </c>
      <c r="E65" s="151">
        <f>'7. Success Allocation'!AF65</f>
        <v>1559445.4862188366</v>
      </c>
      <c r="F65" s="151">
        <f t="shared" si="5"/>
        <v>19648899.25365879</v>
      </c>
      <c r="G65" s="158">
        <v>18150995</v>
      </c>
      <c r="H65" s="153">
        <f t="shared" si="6"/>
        <v>18642886.964499999</v>
      </c>
      <c r="I65" s="154">
        <f t="shared" si="8"/>
        <v>19250645.0795427</v>
      </c>
      <c r="J65" s="140" t="str">
        <f t="shared" si="9"/>
        <v xml:space="preserve"> </v>
      </c>
      <c r="K65" s="151">
        <f t="shared" si="10"/>
        <v>0</v>
      </c>
      <c r="L65" s="155"/>
      <c r="M65" s="151">
        <f t="shared" si="11"/>
        <v>0</v>
      </c>
      <c r="N65" s="156">
        <f t="shared" si="12"/>
        <v>19648899.25365879</v>
      </c>
      <c r="O65" s="157">
        <f t="shared" si="13"/>
        <v>5.3962258692789991E-2</v>
      </c>
    </row>
    <row r="66" spans="1:15" x14ac:dyDescent="0.2">
      <c r="A66" s="150" t="s">
        <v>97</v>
      </c>
      <c r="B66" s="151">
        <f>'5. Base Allocation'!G66</f>
        <v>33892285.61613974</v>
      </c>
      <c r="C66" s="151">
        <f>SUM('5. Base Allocation'!D66:E66)</f>
        <v>317044.24468736857</v>
      </c>
      <c r="D66" s="151">
        <f>'6. Supplemental Allocation'!E66</f>
        <v>7502202.4195419978</v>
      </c>
      <c r="E66" s="151">
        <f>'7. Success Allocation'!AF66</f>
        <v>4237100.0652999301</v>
      </c>
      <c r="F66" s="151">
        <f t="shared" si="5"/>
        <v>45948632.345669039</v>
      </c>
      <c r="G66" s="158">
        <v>48526065</v>
      </c>
      <c r="H66" s="153">
        <f t="shared" si="6"/>
        <v>49841121.361500002</v>
      </c>
      <c r="I66" s="154">
        <f t="shared" si="8"/>
        <v>51465941.917884901</v>
      </c>
      <c r="J66" s="140" t="str">
        <f t="shared" si="9"/>
        <v>Y</v>
      </c>
      <c r="K66" s="151">
        <f t="shared" si="10"/>
        <v>5517309.5722158626</v>
      </c>
      <c r="L66" s="155"/>
      <c r="M66" s="151">
        <f t="shared" si="11"/>
        <v>5517309.5722158626</v>
      </c>
      <c r="N66" s="156">
        <f t="shared" si="12"/>
        <v>51465941.917884901</v>
      </c>
      <c r="O66" s="157">
        <f t="shared" si="13"/>
        <v>3.2599999999999976E-2</v>
      </c>
    </row>
    <row r="67" spans="1:15" x14ac:dyDescent="0.2">
      <c r="A67" s="150" t="s">
        <v>98</v>
      </c>
      <c r="B67" s="151">
        <f>'5. Base Allocation'!G67</f>
        <v>78657424.950705647</v>
      </c>
      <c r="C67" s="151">
        <f>SUM('5. Base Allocation'!D67:E67)</f>
        <v>12467104.316770038</v>
      </c>
      <c r="D67" s="151">
        <f>'6. Supplemental Allocation'!E67</f>
        <v>15168807.355798546</v>
      </c>
      <c r="E67" s="151">
        <f>'7. Success Allocation'!AF67</f>
        <v>10116888.926198229</v>
      </c>
      <c r="F67" s="151">
        <f t="shared" si="5"/>
        <v>116410225.54947245</v>
      </c>
      <c r="G67" s="158">
        <v>106270424</v>
      </c>
      <c r="H67" s="153">
        <f t="shared" si="6"/>
        <v>109150352.4904</v>
      </c>
      <c r="I67" s="154">
        <f t="shared" si="8"/>
        <v>112708653.98158704</v>
      </c>
      <c r="J67" s="140" t="str">
        <f t="shared" si="9"/>
        <v xml:space="preserve"> </v>
      </c>
      <c r="K67" s="151">
        <f t="shared" si="10"/>
        <v>0</v>
      </c>
      <c r="L67" s="155"/>
      <c r="M67" s="151">
        <f t="shared" si="11"/>
        <v>0</v>
      </c>
      <c r="N67" s="156">
        <f t="shared" si="12"/>
        <v>116410225.54947245</v>
      </c>
      <c r="O67" s="157">
        <f t="shared" si="13"/>
        <v>6.6512593806886428E-2</v>
      </c>
    </row>
    <row r="68" spans="1:15" x14ac:dyDescent="0.2">
      <c r="A68" s="150" t="s">
        <v>99</v>
      </c>
      <c r="B68" s="151">
        <f>'5. Base Allocation'!G68</f>
        <v>14069879.019428469</v>
      </c>
      <c r="C68" s="151">
        <f>SUM('5. Base Allocation'!D68:E68)</f>
        <v>14474961.209626749</v>
      </c>
      <c r="D68" s="151">
        <f>'6. Supplemental Allocation'!E68</f>
        <v>19534715.610324543</v>
      </c>
      <c r="E68" s="151">
        <f>'7. Success Allocation'!AF68</f>
        <v>16108033.28350855</v>
      </c>
      <c r="F68" s="151">
        <f t="shared" si="5"/>
        <v>64187589.122888312</v>
      </c>
      <c r="G68" s="158">
        <v>152673419</v>
      </c>
      <c r="H68" s="153">
        <f t="shared" si="6"/>
        <v>156810868.65490001</v>
      </c>
      <c r="I68" s="154">
        <f t="shared" si="8"/>
        <v>161922902.97304976</v>
      </c>
      <c r="J68" s="140" t="str">
        <f t="shared" si="9"/>
        <v>Y</v>
      </c>
      <c r="K68" s="151">
        <f t="shared" si="10"/>
        <v>97735313.850161448</v>
      </c>
      <c r="L68" s="155" t="s">
        <v>4</v>
      </c>
      <c r="M68" s="151">
        <f t="shared" si="11"/>
        <v>0</v>
      </c>
      <c r="N68" s="156">
        <f t="shared" si="12"/>
        <v>64187589.122888312</v>
      </c>
      <c r="O68" s="157">
        <f t="shared" si="13"/>
        <v>-0.59066874845168726</v>
      </c>
    </row>
    <row r="69" spans="1:15" x14ac:dyDescent="0.2">
      <c r="A69" s="150" t="s">
        <v>100</v>
      </c>
      <c r="B69" s="151">
        <f>'5. Base Allocation'!G69</f>
        <v>68140251.595482379</v>
      </c>
      <c r="C69" s="151">
        <f>SUM('5. Base Allocation'!D69:E69)</f>
        <v>1025565.1679431174</v>
      </c>
      <c r="D69" s="151">
        <f>'6. Supplemental Allocation'!E69</f>
        <v>21386919.112244662</v>
      </c>
      <c r="E69" s="151">
        <f>'7. Success Allocation'!AF69</f>
        <v>8070540.3605767041</v>
      </c>
      <c r="F69" s="151">
        <f t="shared" si="5"/>
        <v>98623276.236246869</v>
      </c>
      <c r="G69" s="158">
        <v>92612800</v>
      </c>
      <c r="H69" s="153">
        <f t="shared" si="6"/>
        <v>95122606.879999995</v>
      </c>
      <c r="I69" s="154">
        <f t="shared" si="8"/>
        <v>98223603.864288002</v>
      </c>
      <c r="J69" s="140" t="str">
        <f t="shared" si="9"/>
        <v xml:space="preserve"> </v>
      </c>
      <c r="K69" s="151">
        <f t="shared" si="10"/>
        <v>0</v>
      </c>
      <c r="L69" s="155"/>
      <c r="M69" s="151">
        <f t="shared" si="11"/>
        <v>0</v>
      </c>
      <c r="N69" s="156">
        <f t="shared" si="12"/>
        <v>98623276.236246869</v>
      </c>
      <c r="O69" s="157">
        <f t="shared" si="13"/>
        <v>3.6801654948997273E-2</v>
      </c>
    </row>
    <row r="70" spans="1:15" x14ac:dyDescent="0.2">
      <c r="A70" s="150" t="s">
        <v>101</v>
      </c>
      <c r="B70" s="151">
        <f>'5. Base Allocation'!G70</f>
        <v>145127533.59885138</v>
      </c>
      <c r="C70" s="151">
        <f>SUM('5. Base Allocation'!D70:E70)</f>
        <v>2184313.7774100667</v>
      </c>
      <c r="D70" s="151">
        <f>'6. Supplemental Allocation'!E70</f>
        <v>49996848.204403661</v>
      </c>
      <c r="E70" s="151">
        <f>'7. Success Allocation'!AF70</f>
        <v>21300229.285355564</v>
      </c>
      <c r="F70" s="151">
        <f t="shared" si="5"/>
        <v>218608924.86602068</v>
      </c>
      <c r="G70" s="158">
        <v>181156108</v>
      </c>
      <c r="H70" s="153">
        <f t="shared" si="6"/>
        <v>186065438.52680001</v>
      </c>
      <c r="I70" s="154">
        <f t="shared" ref="I70:I77" si="14">(H70*J$1)+H70</f>
        <v>192131171.82277369</v>
      </c>
      <c r="J70" s="140" t="str">
        <f t="shared" ref="J70:J77" si="15">IF(I70&gt;F70,"Y"," " )</f>
        <v xml:space="preserve"> </v>
      </c>
      <c r="K70" s="151">
        <f t="shared" ref="K70:K77" si="16">IF((I70-F70)&gt;1,(I70-F70),0)</f>
        <v>0</v>
      </c>
      <c r="L70" s="155"/>
      <c r="M70" s="151">
        <f t="shared" ref="M70:M77" si="17">IF(L70="x",0,K70)</f>
        <v>0</v>
      </c>
      <c r="N70" s="156">
        <f t="shared" ref="N70:N77" si="18">F70+M70</f>
        <v>218608924.86602068</v>
      </c>
      <c r="O70" s="157">
        <f t="shared" ref="O70:O78" si="19">(N70-H70)/H70</f>
        <v>0.17490344578170147</v>
      </c>
    </row>
    <row r="71" spans="1:15" x14ac:dyDescent="0.2">
      <c r="A71" s="150" t="s">
        <v>102</v>
      </c>
      <c r="B71" s="151">
        <f>'5. Base Allocation'!G71</f>
        <v>123814711.34102876</v>
      </c>
      <c r="C71" s="151">
        <f>SUM('5. Base Allocation'!D71:E71)</f>
        <v>460364.59661511285</v>
      </c>
      <c r="D71" s="151">
        <f>'6. Supplemental Allocation'!E71</f>
        <v>31324029.811884381</v>
      </c>
      <c r="E71" s="151">
        <f>'7. Success Allocation'!AF71</f>
        <v>19138120.980686929</v>
      </c>
      <c r="F71" s="151">
        <f t="shared" ref="F71:F77" si="20">SUM(B71:E71)</f>
        <v>174737226.73021519</v>
      </c>
      <c r="G71" s="158">
        <v>153823885</v>
      </c>
      <c r="H71" s="153">
        <f t="shared" ref="H71:H77" si="21">(G71*H$1)+G71</f>
        <v>157992512.28349999</v>
      </c>
      <c r="I71" s="154">
        <f t="shared" si="14"/>
        <v>163143068.18394208</v>
      </c>
      <c r="J71" s="140" t="str">
        <f t="shared" si="15"/>
        <v xml:space="preserve"> </v>
      </c>
      <c r="K71" s="151">
        <f t="shared" si="16"/>
        <v>0</v>
      </c>
      <c r="L71" s="155"/>
      <c r="M71" s="151">
        <f t="shared" si="17"/>
        <v>0</v>
      </c>
      <c r="N71" s="156">
        <f t="shared" si="18"/>
        <v>174737226.73021519</v>
      </c>
      <c r="O71" s="157">
        <f t="shared" si="19"/>
        <v>0.10598422801625357</v>
      </c>
    </row>
    <row r="72" spans="1:15" x14ac:dyDescent="0.2">
      <c r="A72" s="150" t="s">
        <v>103</v>
      </c>
      <c r="B72" s="151">
        <f>'5. Base Allocation'!G72</f>
        <v>42815469.155173622</v>
      </c>
      <c r="C72" s="151">
        <f>SUM('5. Base Allocation'!D72:E72)</f>
        <v>174336.2720610144</v>
      </c>
      <c r="D72" s="151">
        <f>'6. Supplemental Allocation'!E72</f>
        <v>17910146.362316873</v>
      </c>
      <c r="E72" s="151">
        <f>'7. Success Allocation'!AF72</f>
        <v>5496588.5158821214</v>
      </c>
      <c r="F72" s="151">
        <f t="shared" si="20"/>
        <v>66396540.305433631</v>
      </c>
      <c r="G72" s="158">
        <v>54747776</v>
      </c>
      <c r="H72" s="153">
        <f t="shared" si="21"/>
        <v>56231440.729599997</v>
      </c>
      <c r="I72" s="154">
        <f t="shared" si="14"/>
        <v>58064585.697384953</v>
      </c>
      <c r="J72" s="140" t="str">
        <f t="shared" si="15"/>
        <v xml:space="preserve"> </v>
      </c>
      <c r="K72" s="151">
        <f t="shared" si="16"/>
        <v>0</v>
      </c>
      <c r="L72" s="155"/>
      <c r="M72" s="151">
        <f t="shared" si="17"/>
        <v>0</v>
      </c>
      <c r="N72" s="156">
        <f t="shared" si="18"/>
        <v>66396540.305433631</v>
      </c>
      <c r="O72" s="157">
        <f t="shared" si="19"/>
        <v>0.18077252590262671</v>
      </c>
    </row>
    <row r="73" spans="1:15" x14ac:dyDescent="0.2">
      <c r="A73" s="150" t="s">
        <v>104</v>
      </c>
      <c r="B73" s="151">
        <f>'5. Base Allocation'!G73</f>
        <v>32854644.105269223</v>
      </c>
      <c r="C73" s="151">
        <f>SUM('5. Base Allocation'!D73:E73)</f>
        <v>997673.60661210702</v>
      </c>
      <c r="D73" s="151">
        <f>'6. Supplemental Allocation'!E73</f>
        <v>9272691.0610832907</v>
      </c>
      <c r="E73" s="151">
        <f>'7. Success Allocation'!AF73</f>
        <v>4194963.0205145674</v>
      </c>
      <c r="F73" s="151">
        <f t="shared" si="20"/>
        <v>47319971.793479197</v>
      </c>
      <c r="G73" s="158">
        <v>37644442</v>
      </c>
      <c r="H73" s="153">
        <f t="shared" si="21"/>
        <v>38664606.378200002</v>
      </c>
      <c r="I73" s="154">
        <f t="shared" si="14"/>
        <v>39925072.546129324</v>
      </c>
      <c r="J73" s="140" t="str">
        <f t="shared" si="15"/>
        <v xml:space="preserve"> </v>
      </c>
      <c r="K73" s="151">
        <f t="shared" si="16"/>
        <v>0</v>
      </c>
      <c r="L73" s="155"/>
      <c r="M73" s="151">
        <f t="shared" si="17"/>
        <v>0</v>
      </c>
      <c r="N73" s="156">
        <f t="shared" si="18"/>
        <v>47319971.793479197</v>
      </c>
      <c r="O73" s="157">
        <f t="shared" si="19"/>
        <v>0.22385758516758855</v>
      </c>
    </row>
    <row r="74" spans="1:15" x14ac:dyDescent="0.2">
      <c r="A74" s="150" t="s">
        <v>33</v>
      </c>
      <c r="B74" s="151">
        <f>'5. Base Allocation'!G74</f>
        <v>5610148.0650324048</v>
      </c>
      <c r="C74" s="151">
        <f>SUM('5. Base Allocation'!D74:E74)</f>
        <v>0</v>
      </c>
      <c r="D74" s="151">
        <f>'6. Supplemental Allocation'!E74</f>
        <v>4990443.258849903</v>
      </c>
      <c r="E74" s="151">
        <f>'7. Success Allocation'!AF74</f>
        <v>3474229.0165283191</v>
      </c>
      <c r="F74" s="151">
        <f t="shared" si="20"/>
        <v>14074820.340410627</v>
      </c>
      <c r="G74" s="158">
        <v>24502556</v>
      </c>
      <c r="H74" s="153">
        <f t="shared" si="21"/>
        <v>25166575.2676</v>
      </c>
      <c r="I74" s="154">
        <f t="shared" si="14"/>
        <v>25987005.621323761</v>
      </c>
      <c r="J74" s="140" t="str">
        <f t="shared" si="15"/>
        <v>Y</v>
      </c>
      <c r="K74" s="151">
        <f t="shared" si="16"/>
        <v>11912185.280913133</v>
      </c>
      <c r="L74" s="155"/>
      <c r="M74" s="151">
        <f t="shared" si="17"/>
        <v>11912185.280913133</v>
      </c>
      <c r="N74" s="156">
        <f t="shared" si="18"/>
        <v>25987005.621323761</v>
      </c>
      <c r="O74" s="157">
        <f t="shared" si="19"/>
        <v>3.2600000000000025E-2</v>
      </c>
    </row>
    <row r="75" spans="1:15" ht="15" x14ac:dyDescent="0.2">
      <c r="A75" s="150" t="s">
        <v>214</v>
      </c>
      <c r="B75" s="151">
        <f>'5. Base Allocation'!G75</f>
        <v>50482847.674303018</v>
      </c>
      <c r="C75" s="151">
        <f>SUM('5. Base Allocation'!D75:E75)</f>
        <v>4283051.3031259002</v>
      </c>
      <c r="D75" s="151">
        <f>'6. Supplemental Allocation'!E75</f>
        <v>7618937.9343688972</v>
      </c>
      <c r="E75" s="151">
        <f>'7. Success Allocation'!AF75</f>
        <v>6635163.3264612462</v>
      </c>
      <c r="F75" s="151">
        <f t="shared" si="20"/>
        <v>69020000.238259062</v>
      </c>
      <c r="G75" s="158">
        <v>73379536</v>
      </c>
      <c r="H75" s="153">
        <f t="shared" si="21"/>
        <v>75368121.425600007</v>
      </c>
      <c r="I75" s="154">
        <f t="shared" si="14"/>
        <v>77825122.184074566</v>
      </c>
      <c r="J75" s="140" t="str">
        <f t="shared" si="15"/>
        <v>Y</v>
      </c>
      <c r="K75" s="151">
        <f t="shared" si="16"/>
        <v>8805121.9458155036</v>
      </c>
      <c r="L75" s="155" t="s">
        <v>4</v>
      </c>
      <c r="M75" s="151">
        <f t="shared" si="17"/>
        <v>0</v>
      </c>
      <c r="N75" s="156">
        <f t="shared" si="18"/>
        <v>69020000.238259062</v>
      </c>
      <c r="O75" s="157">
        <f t="shared" si="19"/>
        <v>-8.4228199764903547E-2</v>
      </c>
    </row>
    <row r="76" spans="1:15" x14ac:dyDescent="0.2">
      <c r="A76" s="150" t="s">
        <v>106</v>
      </c>
      <c r="B76" s="151">
        <f>'5. Base Allocation'!G76</f>
        <v>74460892.835548252</v>
      </c>
      <c r="C76" s="151">
        <f>SUM('5. Base Allocation'!D76:E76)</f>
        <v>2671182.2997972979</v>
      </c>
      <c r="D76" s="151">
        <f>'6. Supplemental Allocation'!E76</f>
        <v>27388097.37030413</v>
      </c>
      <c r="E76" s="151">
        <f>'7. Success Allocation'!AF76</f>
        <v>9837172.6652249768</v>
      </c>
      <c r="F76" s="151">
        <f t="shared" si="20"/>
        <v>114357345.17087466</v>
      </c>
      <c r="G76" s="158">
        <v>95628458</v>
      </c>
      <c r="H76" s="153">
        <f t="shared" si="21"/>
        <v>98219989.211799994</v>
      </c>
      <c r="I76" s="154">
        <f t="shared" si="14"/>
        <v>101421960.86010468</v>
      </c>
      <c r="J76" s="140" t="str">
        <f t="shared" si="15"/>
        <v xml:space="preserve"> </v>
      </c>
      <c r="K76" s="151">
        <f t="shared" si="16"/>
        <v>0</v>
      </c>
      <c r="L76" s="155"/>
      <c r="M76" s="151">
        <f t="shared" si="17"/>
        <v>0</v>
      </c>
      <c r="N76" s="156">
        <f t="shared" si="18"/>
        <v>114357345.17087466</v>
      </c>
      <c r="O76" s="157">
        <f t="shared" si="19"/>
        <v>0.16429808319644923</v>
      </c>
    </row>
    <row r="77" spans="1:15" x14ac:dyDescent="0.2">
      <c r="A77" s="150" t="s">
        <v>107</v>
      </c>
      <c r="B77" s="151">
        <f>'5. Base Allocation'!G77</f>
        <v>40533105.533226408</v>
      </c>
      <c r="C77" s="151">
        <f>SUM('5. Base Allocation'!D77:E77)</f>
        <v>410382.91475056717</v>
      </c>
      <c r="D77" s="151">
        <f>'6. Supplemental Allocation'!E77</f>
        <v>11384631.083493259</v>
      </c>
      <c r="E77" s="151">
        <f>'7. Success Allocation'!AF77</f>
        <v>5277094.806685131</v>
      </c>
      <c r="F77" s="151">
        <f t="shared" si="20"/>
        <v>57605214.338155374</v>
      </c>
      <c r="G77" s="158">
        <v>49580375</v>
      </c>
      <c r="H77" s="153">
        <f t="shared" si="21"/>
        <v>50924003.162500001</v>
      </c>
      <c r="I77" s="154">
        <f t="shared" si="14"/>
        <v>52584125.665597498</v>
      </c>
      <c r="J77" s="140" t="str">
        <f t="shared" si="15"/>
        <v xml:space="preserve"> </v>
      </c>
      <c r="K77" s="151">
        <f t="shared" si="16"/>
        <v>0</v>
      </c>
      <c r="L77" s="155"/>
      <c r="M77" s="151">
        <f t="shared" si="17"/>
        <v>0</v>
      </c>
      <c r="N77" s="156">
        <f t="shared" si="18"/>
        <v>57605214.338155374</v>
      </c>
      <c r="O77" s="157">
        <f t="shared" si="19"/>
        <v>0.13119964576106535</v>
      </c>
    </row>
    <row r="78" spans="1:15" s="165" customFormat="1" x14ac:dyDescent="0.2">
      <c r="A78" s="159" t="s">
        <v>108</v>
      </c>
      <c r="B78" s="160">
        <f>SUM(B6:B77)</f>
        <v>4640386205.4447889</v>
      </c>
      <c r="C78" s="160">
        <f>SUM(C6:C77)</f>
        <v>341209337.24917626</v>
      </c>
      <c r="D78" s="160">
        <f t="shared" ref="D78:K78" si="22">SUM(D6:D77)</f>
        <v>1431205622.860523</v>
      </c>
      <c r="E78" s="160">
        <f t="shared" si="22"/>
        <v>675784553.53862906</v>
      </c>
      <c r="F78" s="160">
        <f t="shared" si="22"/>
        <v>7088585719.0931196</v>
      </c>
      <c r="G78" s="161">
        <v>6766922198</v>
      </c>
      <c r="H78" s="162">
        <f t="shared" ref="H78" si="23">SUM(H6:H77)</f>
        <v>6950305789.5658007</v>
      </c>
      <c r="I78" s="163">
        <f t="shared" si="22"/>
        <v>7176885758.3056488</v>
      </c>
      <c r="J78" s="163"/>
      <c r="K78" s="160">
        <f t="shared" si="22"/>
        <v>452199124.85695589</v>
      </c>
      <c r="L78" s="163">
        <f>COUNTA(L6:L77)</f>
        <v>6</v>
      </c>
      <c r="M78" s="160">
        <f>SUM(M6:M77)</f>
        <v>248454948.0255194</v>
      </c>
      <c r="N78" s="156">
        <f>SUM(N6:N77)</f>
        <v>7337040667.1186409</v>
      </c>
      <c r="O78" s="164">
        <f t="shared" si="19"/>
        <v>5.5642857920500263E-2</v>
      </c>
    </row>
    <row r="79" spans="1:15" x14ac:dyDescent="0.2">
      <c r="M79" s="198"/>
      <c r="N79" s="156"/>
    </row>
    <row r="80" spans="1:15" x14ac:dyDescent="0.2">
      <c r="F80" s="151"/>
      <c r="M80" s="140">
        <f t="shared" ref="M80" si="24">COUNTIF(M6:M77,"&gt;0")</f>
        <v>16</v>
      </c>
    </row>
  </sheetData>
  <mergeCells count="1">
    <mergeCell ref="B1:F1"/>
  </mergeCells>
  <pageMargins left="0.7" right="0.7" top="0.75" bottom="0.75" header="0.3" footer="0.3"/>
  <pageSetup orientation="portrait"/>
  <headerFooter>
    <oddHeader>&amp;C&amp;G</oddHeader>
  </headerFooter>
  <legacyDrawingHF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N78"/>
  <sheetViews>
    <sheetView topLeftCell="A2" workbookViewId="0">
      <selection activeCell="B6" sqref="B6"/>
    </sheetView>
  </sheetViews>
  <sheetFormatPr defaultColWidth="8.85546875" defaultRowHeight="15" x14ac:dyDescent="0.25"/>
  <cols>
    <col min="1" max="1" width="18.7109375" bestFit="1" customWidth="1"/>
    <col min="2" max="2" width="14.7109375" customWidth="1"/>
    <col min="3" max="3" width="16.7109375" customWidth="1"/>
    <col min="4" max="4" width="3.85546875" customWidth="1"/>
    <col min="5" max="5" width="16.140625" customWidth="1"/>
    <col min="7" max="7" width="18.7109375" bestFit="1" customWidth="1"/>
  </cols>
  <sheetData>
    <row r="1" spans="1:14" x14ac:dyDescent="0.25">
      <c r="H1" s="298"/>
      <c r="I1" s="298"/>
      <c r="J1" s="298"/>
      <c r="L1" s="298"/>
      <c r="M1" s="298"/>
      <c r="N1" s="298"/>
    </row>
    <row r="2" spans="1:14" ht="105" x14ac:dyDescent="0.25">
      <c r="B2" s="109" t="s">
        <v>231</v>
      </c>
      <c r="C2" s="71" t="s">
        <v>235</v>
      </c>
      <c r="E2" s="71" t="s">
        <v>236</v>
      </c>
      <c r="F2" s="71" t="s">
        <v>200</v>
      </c>
      <c r="H2" s="166"/>
      <c r="I2" s="166"/>
      <c r="J2" s="166"/>
      <c r="L2" s="166"/>
      <c r="M2" s="166"/>
      <c r="N2" s="166"/>
    </row>
    <row r="3" spans="1:14" x14ac:dyDescent="0.25">
      <c r="A3" s="65" t="s">
        <v>8</v>
      </c>
      <c r="B3" s="80"/>
      <c r="C3" s="71"/>
      <c r="G3" s="65"/>
    </row>
    <row r="4" spans="1:14" x14ac:dyDescent="0.25">
      <c r="A4" s="66"/>
      <c r="B4" s="80"/>
      <c r="C4" s="71"/>
      <c r="G4" s="66"/>
    </row>
    <row r="5" spans="1:14" x14ac:dyDescent="0.25">
      <c r="B5" s="80"/>
      <c r="C5" s="71"/>
    </row>
    <row r="6" spans="1:14" x14ac:dyDescent="0.25">
      <c r="A6" s="23" t="s">
        <v>43</v>
      </c>
      <c r="B6" s="110">
        <f>'3. HH-Total'!H6</f>
        <v>60006490.289099999</v>
      </c>
      <c r="C6" s="103">
        <f>'3. HH-Total'!N6</f>
        <v>63529884.663254261</v>
      </c>
      <c r="D6" s="8"/>
      <c r="E6" s="8">
        <f t="shared" ref="E6:E37" si="0">C6-B6</f>
        <v>3523394.3741542622</v>
      </c>
      <c r="F6" s="112">
        <f t="shared" ref="F6:F37" si="1">E6/B6</f>
        <v>5.8716888076259917E-2</v>
      </c>
      <c r="G6" s="23"/>
      <c r="H6" s="112"/>
      <c r="I6" s="112"/>
      <c r="J6" s="112"/>
      <c r="L6" s="112"/>
      <c r="M6" s="112"/>
      <c r="N6" s="112"/>
    </row>
    <row r="7" spans="1:14" x14ac:dyDescent="0.25">
      <c r="A7" s="23" t="s">
        <v>44</v>
      </c>
      <c r="B7" s="110">
        <f>'3. HH-Total'!H7</f>
        <v>64309875.9802</v>
      </c>
      <c r="C7" s="103">
        <f>'3. HH-Total'!N7</f>
        <v>81665972.398026019</v>
      </c>
      <c r="D7" s="8"/>
      <c r="E7" s="8">
        <f t="shared" si="0"/>
        <v>17356096.417826019</v>
      </c>
      <c r="F7" s="112">
        <f t="shared" si="1"/>
        <v>0.26988228718042762</v>
      </c>
      <c r="G7" s="23"/>
      <c r="H7" s="112"/>
      <c r="I7" s="112"/>
      <c r="J7" s="112"/>
      <c r="L7" s="112"/>
      <c r="M7" s="112"/>
      <c r="N7" s="112"/>
    </row>
    <row r="8" spans="1:14" x14ac:dyDescent="0.25">
      <c r="A8" s="23" t="s">
        <v>45</v>
      </c>
      <c r="B8" s="110">
        <f>'3. HH-Total'!H8</f>
        <v>19187727.566</v>
      </c>
      <c r="C8" s="103">
        <f>'3. HH-Total'!N8</f>
        <v>22656689.151764948</v>
      </c>
      <c r="D8" s="8"/>
      <c r="E8" s="8">
        <f t="shared" si="0"/>
        <v>3468961.5857649483</v>
      </c>
      <c r="F8" s="112">
        <f t="shared" si="1"/>
        <v>0.1807906420305774</v>
      </c>
      <c r="G8" s="23"/>
      <c r="H8" s="112"/>
      <c r="I8" s="112"/>
      <c r="J8" s="112"/>
      <c r="L8" s="112"/>
      <c r="M8" s="112"/>
      <c r="N8" s="112"/>
    </row>
    <row r="9" spans="1:14" x14ac:dyDescent="0.25">
      <c r="A9" s="23" t="s">
        <v>46</v>
      </c>
      <c r="B9" s="110">
        <f>'3. HH-Total'!H9</f>
        <v>60465101.737199999</v>
      </c>
      <c r="C9" s="103">
        <f>'3. HH-Total'!N9</f>
        <v>68861562.309398323</v>
      </c>
      <c r="D9" s="8"/>
      <c r="E9" s="8">
        <f t="shared" si="0"/>
        <v>8396460.5721983239</v>
      </c>
      <c r="F9" s="112">
        <f t="shared" si="1"/>
        <v>0.13886457362946206</v>
      </c>
      <c r="G9" s="23"/>
      <c r="H9" s="112"/>
      <c r="I9" s="112"/>
      <c r="J9" s="112"/>
      <c r="L9" s="112"/>
      <c r="M9" s="112"/>
      <c r="N9" s="112"/>
    </row>
    <row r="10" spans="1:14" x14ac:dyDescent="0.25">
      <c r="A10" s="23" t="s">
        <v>47</v>
      </c>
      <c r="B10" s="110">
        <f>'3. HH-Total'!H10</f>
        <v>62721594.217699997</v>
      </c>
      <c r="C10" s="103">
        <f>'3. HH-Total'!N10</f>
        <v>64766318.189197019</v>
      </c>
      <c r="D10" s="8"/>
      <c r="E10" s="8">
        <f t="shared" si="0"/>
        <v>2044723.9714970216</v>
      </c>
      <c r="F10" s="112">
        <f t="shared" si="1"/>
        <v>3.2600000000000025E-2</v>
      </c>
      <c r="G10" s="23"/>
      <c r="H10" s="112"/>
      <c r="I10" s="112"/>
      <c r="J10" s="112"/>
      <c r="L10" s="112"/>
      <c r="M10" s="112"/>
      <c r="N10" s="112"/>
    </row>
    <row r="11" spans="1:14" x14ac:dyDescent="0.25">
      <c r="A11" s="23" t="s">
        <v>48</v>
      </c>
      <c r="B11" s="110">
        <f>'3. HH-Total'!H11</f>
        <v>95980074.125300005</v>
      </c>
      <c r="C11" s="103">
        <f>'3. HH-Total'!N11</f>
        <v>113552963.89007816</v>
      </c>
      <c r="D11" s="8"/>
      <c r="E11" s="8">
        <f t="shared" si="0"/>
        <v>17572889.764778152</v>
      </c>
      <c r="F11" s="112">
        <f t="shared" si="1"/>
        <v>0.1830889372083325</v>
      </c>
      <c r="G11" s="23"/>
      <c r="H11" s="112"/>
      <c r="I11" s="112"/>
      <c r="J11" s="112"/>
      <c r="L11" s="112"/>
      <c r="M11" s="112"/>
      <c r="N11" s="112"/>
    </row>
    <row r="12" spans="1:14" x14ac:dyDescent="0.25">
      <c r="A12" s="23" t="s">
        <v>49</v>
      </c>
      <c r="B12" s="110">
        <f>'3. HH-Total'!H12</f>
        <v>110597916.4174</v>
      </c>
      <c r="C12" s="103">
        <f>'3. HH-Total'!N12</f>
        <v>114203408.49260724</v>
      </c>
      <c r="D12" s="8"/>
      <c r="E12" s="8">
        <f t="shared" si="0"/>
        <v>3605492.0752072334</v>
      </c>
      <c r="F12" s="112">
        <f t="shared" si="1"/>
        <v>3.2599999999999942E-2</v>
      </c>
      <c r="G12" s="23"/>
      <c r="H12" s="112"/>
      <c r="I12" s="112"/>
      <c r="J12" s="112"/>
      <c r="L12" s="112"/>
      <c r="M12" s="112"/>
      <c r="N12" s="112"/>
    </row>
    <row r="13" spans="1:14" x14ac:dyDescent="0.25">
      <c r="A13" s="23" t="s">
        <v>50</v>
      </c>
      <c r="B13" s="110">
        <f>'3. HH-Total'!H13</f>
        <v>96208271.094899997</v>
      </c>
      <c r="C13" s="103">
        <f>'3. HH-Total'!N13</f>
        <v>113558157.74773951</v>
      </c>
      <c r="D13" s="8"/>
      <c r="E13" s="8">
        <f t="shared" si="0"/>
        <v>17349886.652839512</v>
      </c>
      <c r="F13" s="112">
        <f t="shared" si="1"/>
        <v>0.18033674709449413</v>
      </c>
      <c r="G13" s="23"/>
      <c r="H13" s="112"/>
      <c r="I13" s="112"/>
      <c r="J13" s="112"/>
      <c r="L13" s="112"/>
      <c r="M13" s="112"/>
      <c r="N13" s="112"/>
    </row>
    <row r="14" spans="1:14" x14ac:dyDescent="0.25">
      <c r="A14" s="23" t="s">
        <v>51</v>
      </c>
      <c r="B14" s="110">
        <f>'3. HH-Total'!H14</f>
        <v>69985763.076100007</v>
      </c>
      <c r="C14" s="103">
        <f>'3. HH-Total'!N14</f>
        <v>78096620.94013764</v>
      </c>
      <c r="D14" s="8"/>
      <c r="E14" s="8">
        <f t="shared" si="0"/>
        <v>8110857.8640376329</v>
      </c>
      <c r="F14" s="112">
        <f t="shared" si="1"/>
        <v>0.11589296890594987</v>
      </c>
      <c r="G14" s="23"/>
      <c r="H14" s="112"/>
      <c r="I14" s="112"/>
      <c r="J14" s="112"/>
      <c r="L14" s="112"/>
      <c r="M14" s="112"/>
      <c r="N14" s="112"/>
    </row>
    <row r="15" spans="1:14" x14ac:dyDescent="0.25">
      <c r="A15" s="23" t="s">
        <v>52</v>
      </c>
      <c r="B15" s="110">
        <f>'3. HH-Total'!H15</f>
        <v>189278358.3105</v>
      </c>
      <c r="C15" s="103">
        <f>'3. HH-Total'!N15</f>
        <v>209942261.19669247</v>
      </c>
      <c r="D15" s="8"/>
      <c r="E15" s="8">
        <f t="shared" si="0"/>
        <v>20663902.886192471</v>
      </c>
      <c r="F15" s="112">
        <f t="shared" si="1"/>
        <v>0.10917203144954668</v>
      </c>
      <c r="G15" s="23"/>
      <c r="H15" s="112"/>
      <c r="I15" s="112"/>
      <c r="J15" s="112"/>
      <c r="L15" s="112"/>
      <c r="M15" s="112"/>
      <c r="N15" s="112"/>
    </row>
    <row r="16" spans="1:14" x14ac:dyDescent="0.25">
      <c r="A16" s="23" t="s">
        <v>53</v>
      </c>
      <c r="B16" s="110">
        <f>'3. HH-Total'!H16</f>
        <v>36436547.107000001</v>
      </c>
      <c r="C16" s="103">
        <f>'3. HH-Total'!N16</f>
        <v>38647728.899125606</v>
      </c>
      <c r="D16" s="8"/>
      <c r="E16" s="8">
        <f t="shared" si="0"/>
        <v>2211181.792125605</v>
      </c>
      <c r="F16" s="112">
        <f t="shared" si="1"/>
        <v>6.0685821453723983E-2</v>
      </c>
      <c r="G16" s="23"/>
      <c r="H16" s="112"/>
      <c r="I16" s="112"/>
      <c r="J16" s="112"/>
      <c r="L16" s="112"/>
      <c r="M16" s="112"/>
      <c r="N16" s="112"/>
    </row>
    <row r="17" spans="1:14" x14ac:dyDescent="0.25">
      <c r="A17" s="23" t="s">
        <v>54</v>
      </c>
      <c r="B17" s="110">
        <f>'3. HH-Total'!H17</f>
        <v>174860154.4725</v>
      </c>
      <c r="C17" s="103">
        <f>'3. HH-Total'!N17</f>
        <v>180560595.50830349</v>
      </c>
      <c r="D17" s="8"/>
      <c r="E17" s="8">
        <f t="shared" si="0"/>
        <v>5700441.0358034968</v>
      </c>
      <c r="F17" s="112">
        <f t="shared" si="1"/>
        <v>3.2599999999999983E-2</v>
      </c>
      <c r="G17" s="23"/>
      <c r="H17" s="112"/>
      <c r="I17" s="112"/>
      <c r="J17" s="112"/>
      <c r="L17" s="112"/>
      <c r="M17" s="112"/>
      <c r="N17" s="112"/>
    </row>
    <row r="18" spans="1:14" x14ac:dyDescent="0.25">
      <c r="A18" s="23" t="s">
        <v>55</v>
      </c>
      <c r="B18" s="110">
        <f>'3. HH-Total'!H18</f>
        <v>13261477.655400001</v>
      </c>
      <c r="C18" s="103">
        <f>'3. HH-Total'!N18</f>
        <v>15601918.321562467</v>
      </c>
      <c r="D18" s="8"/>
      <c r="E18" s="8">
        <f t="shared" si="0"/>
        <v>2340440.6661624666</v>
      </c>
      <c r="F18" s="112">
        <f t="shared" si="1"/>
        <v>0.17648415410249943</v>
      </c>
      <c r="G18" s="23"/>
      <c r="H18" s="112"/>
      <c r="I18" s="112"/>
      <c r="J18" s="112"/>
      <c r="L18" s="112"/>
      <c r="M18" s="112"/>
      <c r="N18" s="112"/>
    </row>
    <row r="19" spans="1:14" x14ac:dyDescent="0.25">
      <c r="A19" s="23" t="s">
        <v>56</v>
      </c>
      <c r="B19" s="110">
        <f>'3. HH-Total'!H19</f>
        <v>60227485.233499996</v>
      </c>
      <c r="C19" s="103">
        <f>'3. HH-Total'!N19</f>
        <v>77507346.143570215</v>
      </c>
      <c r="D19" s="8"/>
      <c r="E19" s="8">
        <f t="shared" si="0"/>
        <v>17279860.910070218</v>
      </c>
      <c r="F19" s="112">
        <f t="shared" si="1"/>
        <v>0.28690988579511101</v>
      </c>
      <c r="G19" s="23"/>
      <c r="H19" s="112"/>
      <c r="I19" s="112"/>
      <c r="J19" s="112"/>
      <c r="L19" s="112"/>
      <c r="M19" s="112"/>
      <c r="N19" s="112"/>
    </row>
    <row r="20" spans="1:14" x14ac:dyDescent="0.25">
      <c r="A20" s="23" t="s">
        <v>57</v>
      </c>
      <c r="B20" s="110">
        <f>'3. HH-Total'!H20</f>
        <v>117161344.2466</v>
      </c>
      <c r="C20" s="103">
        <f>'3. HH-Total'!N20</f>
        <v>125328735.60287765</v>
      </c>
      <c r="D20" s="8"/>
      <c r="E20" s="8">
        <f t="shared" si="0"/>
        <v>8167391.3562776446</v>
      </c>
      <c r="F20" s="112">
        <f t="shared" si="1"/>
        <v>6.9710632024560959E-2</v>
      </c>
      <c r="G20" s="23"/>
      <c r="H20" s="112"/>
      <c r="I20" s="112"/>
      <c r="J20" s="112"/>
      <c r="L20" s="112"/>
      <c r="M20" s="112"/>
      <c r="N20" s="112"/>
    </row>
    <row r="21" spans="1:14" x14ac:dyDescent="0.25">
      <c r="A21" s="23" t="s">
        <v>58</v>
      </c>
      <c r="B21" s="110">
        <f>'3. HH-Total'!H21</f>
        <v>13999897.848099999</v>
      </c>
      <c r="C21" s="103">
        <f>'3. HH-Total'!N21</f>
        <v>15806530.606474284</v>
      </c>
      <c r="D21" s="8"/>
      <c r="E21" s="8">
        <f t="shared" si="0"/>
        <v>1806632.758374285</v>
      </c>
      <c r="F21" s="112">
        <f t="shared" si="1"/>
        <v>0.12904613862018091</v>
      </c>
      <c r="G21" s="23"/>
      <c r="H21" s="112"/>
      <c r="I21" s="112"/>
      <c r="J21" s="112"/>
      <c r="L21" s="112"/>
      <c r="M21" s="112"/>
      <c r="N21" s="112"/>
    </row>
    <row r="22" spans="1:14" ht="17.25" x14ac:dyDescent="0.25">
      <c r="A22" s="23" t="s">
        <v>59</v>
      </c>
      <c r="B22" s="110">
        <f>'3. HH-Total'!H22</f>
        <v>151922001.0424</v>
      </c>
      <c r="C22" s="103">
        <f>'3. HH-Total'!N22</f>
        <v>156874658.27638224</v>
      </c>
      <c r="D22" s="8"/>
      <c r="E22" s="8">
        <f t="shared" si="0"/>
        <v>4952657.2339822352</v>
      </c>
      <c r="F22" s="112">
        <f t="shared" si="1"/>
        <v>3.2599999999999969E-2</v>
      </c>
      <c r="G22" s="23"/>
      <c r="H22" s="112"/>
      <c r="I22" s="112"/>
      <c r="J22" s="112"/>
      <c r="L22" s="112"/>
      <c r="M22" s="112"/>
      <c r="N22" s="112"/>
    </row>
    <row r="23" spans="1:14" x14ac:dyDescent="0.25">
      <c r="A23" s="23" t="s">
        <v>60</v>
      </c>
      <c r="B23" s="110">
        <f>'3. HH-Total'!H23</f>
        <v>33146984.0942</v>
      </c>
      <c r="C23" s="103">
        <f>'3. HH-Total'!N23</f>
        <v>34921363.742956184</v>
      </c>
      <c r="D23" s="8"/>
      <c r="E23" s="8">
        <f t="shared" si="0"/>
        <v>1774379.6487561837</v>
      </c>
      <c r="F23" s="112">
        <f t="shared" si="1"/>
        <v>5.3530651347151112E-2</v>
      </c>
      <c r="G23" s="23"/>
      <c r="H23" s="112"/>
      <c r="I23" s="112"/>
      <c r="J23" s="112"/>
      <c r="L23" s="112"/>
      <c r="M23" s="112"/>
      <c r="N23" s="112"/>
    </row>
    <row r="24" spans="1:14" x14ac:dyDescent="0.25">
      <c r="A24" s="23" t="s">
        <v>61</v>
      </c>
      <c r="B24" s="110">
        <f>'3. HH-Total'!H24</f>
        <v>90610396.352400005</v>
      </c>
      <c r="C24" s="103">
        <f>'3. HH-Total'!N24</f>
        <v>93564295.273488238</v>
      </c>
      <c r="D24" s="8"/>
      <c r="E24" s="8">
        <f t="shared" si="0"/>
        <v>2953898.9210882336</v>
      </c>
      <c r="F24" s="112">
        <f t="shared" si="1"/>
        <v>3.2599999999999928E-2</v>
      </c>
      <c r="G24" s="23"/>
      <c r="H24" s="112"/>
      <c r="I24" s="112"/>
      <c r="J24" s="112"/>
      <c r="L24" s="112"/>
      <c r="M24" s="112"/>
      <c r="N24" s="112"/>
    </row>
    <row r="25" spans="1:14" x14ac:dyDescent="0.25">
      <c r="A25" s="23" t="s">
        <v>62</v>
      </c>
      <c r="B25" s="110">
        <f>'3. HH-Total'!H25</f>
        <v>112352904.72669999</v>
      </c>
      <c r="C25" s="103">
        <f>'3. HH-Total'!N25</f>
        <v>119260561.59895666</v>
      </c>
      <c r="D25" s="8"/>
      <c r="E25" s="8">
        <f t="shared" si="0"/>
        <v>6907656.8722566664</v>
      </c>
      <c r="F25" s="112">
        <f t="shared" si="1"/>
        <v>6.1481782683408481E-2</v>
      </c>
      <c r="G25" s="23"/>
      <c r="H25" s="112"/>
      <c r="I25" s="112"/>
      <c r="J25" s="112"/>
      <c r="L25" s="112"/>
      <c r="M25" s="112"/>
      <c r="N25" s="112"/>
    </row>
    <row r="26" spans="1:14" x14ac:dyDescent="0.25">
      <c r="A26" s="23" t="s">
        <v>63</v>
      </c>
      <c r="B26" s="110">
        <f>'3. HH-Total'!H26</f>
        <v>44303667.830700003</v>
      </c>
      <c r="C26" s="103">
        <f>'3. HH-Total'!N26</f>
        <v>51706111.198116228</v>
      </c>
      <c r="D26" s="8"/>
      <c r="E26" s="8">
        <f t="shared" si="0"/>
        <v>7402443.3674162254</v>
      </c>
      <c r="F26" s="112">
        <f t="shared" si="1"/>
        <v>0.16708421062796835</v>
      </c>
      <c r="G26" s="23"/>
      <c r="H26" s="112"/>
      <c r="I26" s="112"/>
      <c r="J26" s="112"/>
      <c r="L26" s="112"/>
      <c r="M26" s="112"/>
      <c r="N26" s="112"/>
    </row>
    <row r="27" spans="1:14" x14ac:dyDescent="0.25">
      <c r="A27" s="23" t="s">
        <v>64</v>
      </c>
      <c r="B27" s="110">
        <f>'3. HH-Total'!H27</f>
        <v>44130285.133900002</v>
      </c>
      <c r="C27" s="103">
        <f>'3. HH-Total'!N27</f>
        <v>54751032.493436627</v>
      </c>
      <c r="D27" s="8"/>
      <c r="E27" s="8">
        <f t="shared" si="0"/>
        <v>10620747.359536625</v>
      </c>
      <c r="F27" s="112">
        <f t="shared" si="1"/>
        <v>0.24066799766444247</v>
      </c>
      <c r="G27" s="23"/>
      <c r="H27" s="112"/>
      <c r="I27" s="112"/>
      <c r="J27" s="112"/>
      <c r="L27" s="112"/>
      <c r="M27" s="112"/>
      <c r="N27" s="112"/>
    </row>
    <row r="28" spans="1:14" x14ac:dyDescent="0.25">
      <c r="A28" s="23" t="s">
        <v>65</v>
      </c>
      <c r="B28" s="110">
        <f>'3. HH-Total'!H28</f>
        <v>139269693.31569999</v>
      </c>
      <c r="C28" s="103">
        <f>'3. HH-Total'!N28</f>
        <v>167538901.29324082</v>
      </c>
      <c r="D28" s="8"/>
      <c r="E28" s="8">
        <f t="shared" si="0"/>
        <v>28269207.977540821</v>
      </c>
      <c r="F28" s="112">
        <f t="shared" si="1"/>
        <v>0.20298176368823817</v>
      </c>
      <c r="G28" s="23"/>
      <c r="H28" s="112"/>
      <c r="I28" s="112"/>
      <c r="J28" s="112"/>
      <c r="L28" s="112"/>
      <c r="M28" s="112"/>
      <c r="N28" s="112"/>
    </row>
    <row r="29" spans="1:14" x14ac:dyDescent="0.25">
      <c r="A29" s="23" t="s">
        <v>25</v>
      </c>
      <c r="B29" s="110">
        <f>'3. HH-Total'!H29</f>
        <v>14700532.058900001</v>
      </c>
      <c r="C29" s="103">
        <f>'3. HH-Total'!N29</f>
        <v>15179769.40402014</v>
      </c>
      <c r="D29" s="8"/>
      <c r="E29" s="8">
        <f t="shared" si="0"/>
        <v>479237.34512013942</v>
      </c>
      <c r="F29" s="112">
        <f t="shared" si="1"/>
        <v>3.2599999999999962E-2</v>
      </c>
      <c r="G29" s="23"/>
      <c r="H29" s="112"/>
      <c r="I29" s="112"/>
      <c r="J29" s="112"/>
      <c r="L29" s="112"/>
      <c r="M29" s="112"/>
      <c r="N29" s="112"/>
    </row>
    <row r="30" spans="1:14" x14ac:dyDescent="0.25">
      <c r="A30" s="23" t="s">
        <v>26</v>
      </c>
      <c r="B30" s="110">
        <f>'3. HH-Total'!H30</f>
        <v>13955225.160700001</v>
      </c>
      <c r="C30" s="103">
        <f>'3. HH-Total'!N30</f>
        <v>14806800.650625691</v>
      </c>
      <c r="D30" s="8"/>
      <c r="E30" s="8">
        <f t="shared" si="0"/>
        <v>851575.48992569</v>
      </c>
      <c r="F30" s="112">
        <f t="shared" si="1"/>
        <v>6.1021981381128396E-2</v>
      </c>
      <c r="G30" s="23"/>
      <c r="H30" s="112"/>
      <c r="I30" s="112"/>
      <c r="J30" s="112"/>
      <c r="L30" s="112"/>
      <c r="M30" s="112"/>
      <c r="N30" s="112"/>
    </row>
    <row r="31" spans="1:14" x14ac:dyDescent="0.25">
      <c r="A31" s="23" t="s">
        <v>66</v>
      </c>
      <c r="B31" s="110">
        <f>'3. HH-Total'!H31</f>
        <v>122347064.3011</v>
      </c>
      <c r="C31" s="103">
        <f>'3. HH-Total'!N31</f>
        <v>127034245.74271864</v>
      </c>
      <c r="D31" s="8"/>
      <c r="E31" s="8">
        <f t="shared" si="0"/>
        <v>4687181.4416186363</v>
      </c>
      <c r="F31" s="112">
        <f t="shared" si="1"/>
        <v>3.8310534612284071E-2</v>
      </c>
      <c r="G31" s="23"/>
      <c r="H31" s="112"/>
      <c r="I31" s="112"/>
      <c r="J31" s="112"/>
      <c r="L31" s="112"/>
      <c r="M31" s="112"/>
      <c r="N31" s="112"/>
    </row>
    <row r="32" spans="1:14" x14ac:dyDescent="0.25">
      <c r="A32" s="23" t="s">
        <v>67</v>
      </c>
      <c r="B32" s="110">
        <f>'3. HH-Total'!H32</f>
        <v>622259976.17569995</v>
      </c>
      <c r="C32" s="103">
        <f>'3. HH-Total'!N32</f>
        <v>642545651.39902782</v>
      </c>
      <c r="D32" s="8"/>
      <c r="E32" s="8">
        <f t="shared" si="0"/>
        <v>20285675.223327875</v>
      </c>
      <c r="F32" s="112">
        <f t="shared" si="1"/>
        <v>3.2600000000000094E-2</v>
      </c>
      <c r="G32" s="23"/>
      <c r="H32" s="112"/>
      <c r="I32" s="112"/>
      <c r="J32" s="112"/>
      <c r="L32" s="112"/>
      <c r="M32" s="112"/>
      <c r="N32" s="112"/>
    </row>
    <row r="33" spans="1:14" x14ac:dyDescent="0.25">
      <c r="A33" s="23" t="s">
        <v>68</v>
      </c>
      <c r="B33" s="110">
        <f>'3. HH-Total'!H33</f>
        <v>312197310.86449999</v>
      </c>
      <c r="C33" s="103">
        <f>'3. HH-Total'!N33</f>
        <v>336504006.90762687</v>
      </c>
      <c r="D33" s="8"/>
      <c r="E33" s="8">
        <f t="shared" si="0"/>
        <v>24306696.043126881</v>
      </c>
      <c r="F33" s="112">
        <f t="shared" si="1"/>
        <v>7.7856839880585921E-2</v>
      </c>
      <c r="G33" s="23"/>
      <c r="H33" s="112"/>
      <c r="I33" s="112"/>
      <c r="J33" s="112"/>
      <c r="L33" s="112"/>
      <c r="M33" s="112"/>
      <c r="N33" s="112"/>
    </row>
    <row r="34" spans="1:14" x14ac:dyDescent="0.25">
      <c r="A34" s="23" t="s">
        <v>27</v>
      </c>
      <c r="B34" s="110">
        <f>'3. HH-Total'!H34</f>
        <v>26300882.938499998</v>
      </c>
      <c r="C34" s="103">
        <f>'3. HH-Total'!N34</f>
        <v>10493149.651922997</v>
      </c>
      <c r="D34" s="8"/>
      <c r="E34" s="8">
        <f t="shared" si="0"/>
        <v>-15807733.286577001</v>
      </c>
      <c r="F34" s="112">
        <f t="shared" si="1"/>
        <v>-0.60103431978084587</v>
      </c>
      <c r="G34" s="23"/>
      <c r="H34" s="112"/>
      <c r="I34" s="112"/>
      <c r="J34" s="112"/>
      <c r="L34" s="112"/>
      <c r="M34" s="112"/>
      <c r="N34" s="112"/>
    </row>
    <row r="35" spans="1:14" x14ac:dyDescent="0.25">
      <c r="A35" s="23" t="s">
        <v>69</v>
      </c>
      <c r="B35" s="110">
        <f>'3. HH-Total'!H35</f>
        <v>23042130.8715</v>
      </c>
      <c r="C35" s="103">
        <f>'3. HH-Total'!N35</f>
        <v>24252652.262130436</v>
      </c>
      <c r="D35" s="8"/>
      <c r="E35" s="8">
        <f t="shared" si="0"/>
        <v>1210521.3906304352</v>
      </c>
      <c r="F35" s="112">
        <f t="shared" si="1"/>
        <v>5.2535132162090374E-2</v>
      </c>
      <c r="G35" s="23"/>
      <c r="H35" s="112"/>
      <c r="I35" s="112"/>
      <c r="J35" s="112"/>
      <c r="L35" s="112"/>
      <c r="M35" s="112"/>
      <c r="N35" s="112"/>
    </row>
    <row r="36" spans="1:14" x14ac:dyDescent="0.25">
      <c r="A36" s="23" t="s">
        <v>70</v>
      </c>
      <c r="B36" s="110">
        <f>'3. HH-Total'!H36</f>
        <v>58027463.7381</v>
      </c>
      <c r="C36" s="103">
        <f>'3. HH-Total'!N36</f>
        <v>67923466.219638526</v>
      </c>
      <c r="D36" s="8"/>
      <c r="E36" s="8">
        <f t="shared" si="0"/>
        <v>9896002.4815385267</v>
      </c>
      <c r="F36" s="112">
        <f t="shared" si="1"/>
        <v>0.17053997958971545</v>
      </c>
      <c r="G36" s="23"/>
      <c r="H36" s="112"/>
      <c r="I36" s="112"/>
      <c r="J36" s="112"/>
      <c r="L36" s="112"/>
      <c r="M36" s="112"/>
      <c r="N36" s="112"/>
    </row>
    <row r="37" spans="1:14" x14ac:dyDescent="0.25">
      <c r="A37" s="23" t="s">
        <v>28</v>
      </c>
      <c r="B37" s="110">
        <f>'3. HH-Total'!H37</f>
        <v>65262002.815700002</v>
      </c>
      <c r="C37" s="103">
        <f>'3. HH-Total'!N37</f>
        <v>31059711.554949142</v>
      </c>
      <c r="D37" s="8"/>
      <c r="E37" s="8">
        <f t="shared" si="0"/>
        <v>-34202291.26075086</v>
      </c>
      <c r="F37" s="112">
        <f t="shared" si="1"/>
        <v>-0.52407664161546164</v>
      </c>
      <c r="G37" s="23"/>
      <c r="H37" s="112"/>
      <c r="I37" s="112"/>
      <c r="J37" s="112"/>
      <c r="L37" s="112"/>
      <c r="M37" s="112"/>
      <c r="N37" s="112"/>
    </row>
    <row r="38" spans="1:14" x14ac:dyDescent="0.25">
      <c r="A38" s="23" t="s">
        <v>71</v>
      </c>
      <c r="B38" s="110">
        <f>'3. HH-Total'!H38</f>
        <v>39942761.458300002</v>
      </c>
      <c r="C38" s="103">
        <f>'3. HH-Total'!N38</f>
        <v>41505799.002432659</v>
      </c>
      <c r="D38" s="8"/>
      <c r="E38" s="8">
        <f t="shared" ref="E38:E69" si="2">C38-B38</f>
        <v>1563037.5441326573</v>
      </c>
      <c r="F38" s="112">
        <f t="shared" ref="F38:F69" si="3">E38/B38</f>
        <v>3.9131934975614013E-2</v>
      </c>
      <c r="G38" s="23"/>
      <c r="H38" s="112"/>
      <c r="I38" s="112"/>
      <c r="J38" s="112"/>
      <c r="L38" s="112"/>
      <c r="M38" s="112"/>
      <c r="N38" s="112"/>
    </row>
    <row r="39" spans="1:14" x14ac:dyDescent="0.25">
      <c r="A39" s="23" t="s">
        <v>72</v>
      </c>
      <c r="B39" s="110">
        <f>'3. HH-Total'!H39</f>
        <v>181205395.44870001</v>
      </c>
      <c r="C39" s="103">
        <f>'3. HH-Total'!N39</f>
        <v>205124979.90850118</v>
      </c>
      <c r="D39" s="8"/>
      <c r="E39" s="8">
        <f t="shared" si="2"/>
        <v>23919584.459801167</v>
      </c>
      <c r="F39" s="112">
        <f t="shared" si="3"/>
        <v>0.13200260621694843</v>
      </c>
      <c r="G39" s="23"/>
      <c r="H39" s="112"/>
      <c r="I39" s="112"/>
      <c r="J39" s="112"/>
      <c r="L39" s="112"/>
      <c r="M39" s="112"/>
      <c r="N39" s="112"/>
    </row>
    <row r="40" spans="1:14" x14ac:dyDescent="0.25">
      <c r="A40" s="23" t="s">
        <v>73</v>
      </c>
      <c r="B40" s="110">
        <f>'3. HH-Total'!H40</f>
        <v>73455558.515599996</v>
      </c>
      <c r="C40" s="103">
        <f>'3. HH-Total'!N40</f>
        <v>84017337.284202099</v>
      </c>
      <c r="D40" s="8"/>
      <c r="E40" s="8">
        <f t="shared" si="2"/>
        <v>10561778.768602103</v>
      </c>
      <c r="F40" s="112">
        <f t="shared" si="3"/>
        <v>0.14378460911653218</v>
      </c>
      <c r="G40" s="23"/>
      <c r="H40" s="112"/>
      <c r="I40" s="112"/>
      <c r="J40" s="112"/>
      <c r="L40" s="112"/>
      <c r="M40" s="112"/>
      <c r="N40" s="112"/>
    </row>
    <row r="41" spans="1:14" x14ac:dyDescent="0.25">
      <c r="A41" s="23" t="s">
        <v>74</v>
      </c>
      <c r="B41" s="110">
        <f>'3. HH-Total'!H41</f>
        <v>32477199.859000001</v>
      </c>
      <c r="C41" s="103">
        <f>'3. HH-Total'!N41</f>
        <v>33874389.126002572</v>
      </c>
      <c r="D41" s="8"/>
      <c r="E41" s="8">
        <f t="shared" si="2"/>
        <v>1397189.2670025714</v>
      </c>
      <c r="F41" s="112">
        <f t="shared" si="3"/>
        <v>4.3020619790760245E-2</v>
      </c>
      <c r="G41" s="23"/>
      <c r="H41" s="112"/>
      <c r="I41" s="112"/>
      <c r="J41" s="112"/>
      <c r="L41" s="112"/>
      <c r="M41" s="112"/>
      <c r="N41" s="112"/>
    </row>
    <row r="42" spans="1:14" x14ac:dyDescent="0.25">
      <c r="A42" s="23" t="s">
        <v>75</v>
      </c>
      <c r="B42" s="110">
        <f>'3. HH-Total'!H42</f>
        <v>207531994.917</v>
      </c>
      <c r="C42" s="103">
        <f>'3. HH-Total'!N42</f>
        <v>214297537.95129418</v>
      </c>
      <c r="D42" s="8"/>
      <c r="E42" s="8">
        <f t="shared" si="2"/>
        <v>6765543.034294188</v>
      </c>
      <c r="F42" s="112">
        <f t="shared" si="3"/>
        <v>3.2599999999999942E-2</v>
      </c>
      <c r="G42" s="23"/>
      <c r="H42" s="112"/>
      <c r="I42" s="112"/>
      <c r="J42" s="112"/>
      <c r="L42" s="112"/>
      <c r="M42" s="112"/>
      <c r="N42" s="112"/>
    </row>
    <row r="43" spans="1:14" x14ac:dyDescent="0.25">
      <c r="A43" s="23" t="s">
        <v>76</v>
      </c>
      <c r="B43" s="110">
        <f>'3. HH-Total'!H43</f>
        <v>50085990.2183</v>
      </c>
      <c r="C43" s="103">
        <f>'3. HH-Total'!N43</f>
        <v>51718793.499416582</v>
      </c>
      <c r="D43" s="8"/>
      <c r="E43" s="8">
        <f t="shared" si="2"/>
        <v>1632803.2811165825</v>
      </c>
      <c r="F43" s="112">
        <f t="shared" si="3"/>
        <v>3.2600000000000053E-2</v>
      </c>
      <c r="G43" s="23"/>
      <c r="H43" s="112"/>
      <c r="I43" s="112"/>
      <c r="J43" s="112"/>
      <c r="L43" s="112"/>
      <c r="M43" s="112"/>
      <c r="N43" s="112"/>
    </row>
    <row r="44" spans="1:14" x14ac:dyDescent="0.25">
      <c r="A44" s="23" t="s">
        <v>77</v>
      </c>
      <c r="B44" s="110">
        <f>'3. HH-Total'!H44</f>
        <v>17087630.575399999</v>
      </c>
      <c r="C44" s="103">
        <f>'3. HH-Total'!N44</f>
        <v>19344791.957656771</v>
      </c>
      <c r="D44" s="8"/>
      <c r="E44" s="8">
        <f t="shared" si="2"/>
        <v>2257161.3822567724</v>
      </c>
      <c r="F44" s="112">
        <f t="shared" si="3"/>
        <v>0.13209329241388607</v>
      </c>
      <c r="G44" s="23"/>
      <c r="H44" s="112"/>
      <c r="I44" s="112"/>
      <c r="J44" s="112"/>
      <c r="L44" s="112"/>
      <c r="M44" s="112"/>
      <c r="N44" s="112"/>
    </row>
    <row r="45" spans="1:14" x14ac:dyDescent="0.25">
      <c r="A45" s="23" t="s">
        <v>78</v>
      </c>
      <c r="B45" s="110">
        <f>'3. HH-Total'!H45</f>
        <v>111490106.83239999</v>
      </c>
      <c r="C45" s="103">
        <f>'3. HH-Total'!N45</f>
        <v>115124684.31513624</v>
      </c>
      <c r="D45" s="8"/>
      <c r="E45" s="8">
        <f t="shared" si="2"/>
        <v>3634577.4827362448</v>
      </c>
      <c r="F45" s="112">
        <f t="shared" si="3"/>
        <v>3.2600000000000046E-2</v>
      </c>
      <c r="G45" s="23"/>
      <c r="H45" s="112"/>
      <c r="I45" s="112"/>
      <c r="J45" s="112"/>
      <c r="L45" s="112"/>
      <c r="M45" s="112"/>
      <c r="N45" s="112"/>
    </row>
    <row r="46" spans="1:14" x14ac:dyDescent="0.25">
      <c r="A46" s="23" t="s">
        <v>79</v>
      </c>
      <c r="B46" s="110">
        <f>'3. HH-Total'!H46</f>
        <v>138108473.5706</v>
      </c>
      <c r="C46" s="103">
        <f>'3. HH-Total'!N46</f>
        <v>151666665.51168752</v>
      </c>
      <c r="D46" s="8"/>
      <c r="E46" s="8">
        <f t="shared" si="2"/>
        <v>13558191.941087514</v>
      </c>
      <c r="F46" s="112">
        <f t="shared" si="3"/>
        <v>9.8170601633336199E-2</v>
      </c>
      <c r="G46" s="23"/>
      <c r="H46" s="112"/>
      <c r="I46" s="112"/>
      <c r="J46" s="112"/>
      <c r="L46" s="112"/>
      <c r="M46" s="112"/>
      <c r="N46" s="112"/>
    </row>
    <row r="47" spans="1:14" x14ac:dyDescent="0.25">
      <c r="A47" s="23" t="s">
        <v>80</v>
      </c>
      <c r="B47" s="110">
        <f>'3. HH-Total'!H47</f>
        <v>117782210.79009999</v>
      </c>
      <c r="C47" s="103">
        <f>'3. HH-Total'!N47</f>
        <v>123012647.0611998</v>
      </c>
      <c r="D47" s="8"/>
      <c r="E47" s="8">
        <f t="shared" si="2"/>
        <v>5230436.2710998058</v>
      </c>
      <c r="F47" s="112">
        <f t="shared" si="3"/>
        <v>4.4407693114378546E-2</v>
      </c>
      <c r="G47" s="23"/>
      <c r="H47" s="112"/>
      <c r="I47" s="112"/>
      <c r="J47" s="112"/>
      <c r="L47" s="112"/>
      <c r="M47" s="112"/>
      <c r="N47" s="112"/>
    </row>
    <row r="48" spans="1:14" x14ac:dyDescent="0.25">
      <c r="A48" s="23" t="s">
        <v>81</v>
      </c>
      <c r="B48" s="110">
        <f>'3. HH-Total'!H48</f>
        <v>169318347.06479999</v>
      </c>
      <c r="C48" s="103">
        <f>'3. HH-Total'!N48</f>
        <v>183009845.9570446</v>
      </c>
      <c r="D48" s="8"/>
      <c r="E48" s="8">
        <f t="shared" si="2"/>
        <v>13691498.892244607</v>
      </c>
      <c r="F48" s="112">
        <f t="shared" si="3"/>
        <v>8.0862464875142676E-2</v>
      </c>
      <c r="G48" s="23"/>
      <c r="H48" s="112"/>
      <c r="I48" s="112"/>
      <c r="J48" s="112"/>
      <c r="L48" s="112"/>
      <c r="M48" s="112"/>
      <c r="N48" s="112"/>
    </row>
    <row r="49" spans="1:14" x14ac:dyDescent="0.25">
      <c r="A49" s="23" t="s">
        <v>82</v>
      </c>
      <c r="B49" s="110">
        <f>'3. HH-Total'!H49</f>
        <v>27626532.149700001</v>
      </c>
      <c r="C49" s="103">
        <f>'3. HH-Total'!N49</f>
        <v>29943603.132333893</v>
      </c>
      <c r="D49" s="8"/>
      <c r="E49" s="8">
        <f t="shared" si="2"/>
        <v>2317070.9826338924</v>
      </c>
      <c r="F49" s="112">
        <f t="shared" si="3"/>
        <v>8.3871220972591518E-2</v>
      </c>
      <c r="G49" s="23"/>
      <c r="H49" s="112"/>
      <c r="I49" s="112"/>
      <c r="J49" s="112"/>
      <c r="L49" s="112"/>
      <c r="M49" s="112"/>
      <c r="N49" s="112"/>
    </row>
    <row r="50" spans="1:14" x14ac:dyDescent="0.25">
      <c r="A50" s="23" t="s">
        <v>83</v>
      </c>
      <c r="B50" s="110">
        <f>'3. HH-Total'!H50</f>
        <v>76496507.864999995</v>
      </c>
      <c r="C50" s="103">
        <f>'3. HH-Total'!N50</f>
        <v>85665218.29122676</v>
      </c>
      <c r="D50" s="8"/>
      <c r="E50" s="8">
        <f t="shared" si="2"/>
        <v>9168710.4262267649</v>
      </c>
      <c r="F50" s="112">
        <f t="shared" si="3"/>
        <v>0.11985789524415391</v>
      </c>
      <c r="G50" s="23"/>
      <c r="H50" s="112"/>
      <c r="I50" s="112"/>
      <c r="J50" s="112"/>
      <c r="L50" s="112"/>
      <c r="M50" s="112"/>
      <c r="N50" s="112"/>
    </row>
    <row r="51" spans="1:14" x14ac:dyDescent="0.25">
      <c r="A51" s="23" t="s">
        <v>84</v>
      </c>
      <c r="B51" s="110">
        <f>'3. HH-Total'!H51</f>
        <v>178432906.41600001</v>
      </c>
      <c r="C51" s="103">
        <f>'3. HH-Total'!N51</f>
        <v>203299788.99967474</v>
      </c>
      <c r="D51" s="8"/>
      <c r="E51" s="8">
        <f t="shared" si="2"/>
        <v>24866882.583674729</v>
      </c>
      <c r="F51" s="112">
        <f t="shared" si="3"/>
        <v>0.13936264943025625</v>
      </c>
      <c r="G51" s="23"/>
      <c r="H51" s="112"/>
      <c r="I51" s="112"/>
      <c r="J51" s="112"/>
      <c r="L51" s="112"/>
      <c r="M51" s="112"/>
      <c r="N51" s="112"/>
    </row>
    <row r="52" spans="1:14" x14ac:dyDescent="0.25">
      <c r="A52" s="23" t="s">
        <v>85</v>
      </c>
      <c r="B52" s="110">
        <f>'3. HH-Total'!H52</f>
        <v>91458422.494499996</v>
      </c>
      <c r="C52" s="103">
        <f>'3. HH-Total'!N52</f>
        <v>107392026.14792174</v>
      </c>
      <c r="D52" s="8"/>
      <c r="E52" s="8">
        <f t="shared" si="2"/>
        <v>15933603.653421745</v>
      </c>
      <c r="F52" s="112">
        <f t="shared" si="3"/>
        <v>0.17421690882958252</v>
      </c>
      <c r="G52" s="23"/>
      <c r="H52" s="112"/>
      <c r="I52" s="112"/>
      <c r="J52" s="112"/>
      <c r="L52" s="112"/>
      <c r="M52" s="112"/>
      <c r="N52" s="112"/>
    </row>
    <row r="53" spans="1:14" x14ac:dyDescent="0.25">
      <c r="A53" s="23" t="s">
        <v>86</v>
      </c>
      <c r="B53" s="110">
        <f>'3. HH-Total'!H53</f>
        <v>252718088.523</v>
      </c>
      <c r="C53" s="103">
        <f>'3. HH-Total'!N53</f>
        <v>267947962.92158195</v>
      </c>
      <c r="D53" s="8"/>
      <c r="E53" s="8">
        <f t="shared" si="2"/>
        <v>15229874.398581952</v>
      </c>
      <c r="F53" s="112">
        <f t="shared" si="3"/>
        <v>6.026428297076912E-2</v>
      </c>
      <c r="G53" s="23"/>
      <c r="H53" s="112"/>
      <c r="I53" s="112"/>
      <c r="J53" s="112"/>
      <c r="L53" s="112"/>
      <c r="M53" s="112"/>
      <c r="N53" s="112"/>
    </row>
    <row r="54" spans="1:14" x14ac:dyDescent="0.25">
      <c r="A54" s="23" t="s">
        <v>29</v>
      </c>
      <c r="B54" s="110">
        <f>'3. HH-Total'!H54</f>
        <v>131835157.32610001</v>
      </c>
      <c r="C54" s="103">
        <f>'3. HH-Total'!N54</f>
        <v>136132983.45493087</v>
      </c>
      <c r="D54" s="8"/>
      <c r="E54" s="8">
        <f t="shared" si="2"/>
        <v>4297826.128830865</v>
      </c>
      <c r="F54" s="112">
        <f t="shared" si="3"/>
        <v>3.2600000000000039E-2</v>
      </c>
      <c r="G54" s="23"/>
      <c r="H54" s="112"/>
      <c r="I54" s="112"/>
      <c r="J54" s="112"/>
      <c r="L54" s="112"/>
      <c r="M54" s="112"/>
      <c r="N54" s="112"/>
    </row>
    <row r="55" spans="1:14" x14ac:dyDescent="0.25">
      <c r="A55" s="23" t="s">
        <v>87</v>
      </c>
      <c r="B55" s="110">
        <f>'3. HH-Total'!H55</f>
        <v>92726643.463400006</v>
      </c>
      <c r="C55" s="103">
        <f>'3. HH-Total'!N55</f>
        <v>103071695.44689924</v>
      </c>
      <c r="D55" s="8"/>
      <c r="E55" s="8">
        <f t="shared" si="2"/>
        <v>10345051.983499229</v>
      </c>
      <c r="F55" s="112">
        <f t="shared" si="3"/>
        <v>0.11156504319691576</v>
      </c>
      <c r="G55" s="23"/>
      <c r="H55" s="112"/>
      <c r="I55" s="112"/>
      <c r="J55" s="112"/>
      <c r="L55" s="112"/>
      <c r="M55" s="112"/>
      <c r="N55" s="112"/>
    </row>
    <row r="56" spans="1:14" x14ac:dyDescent="0.25">
      <c r="A56" s="23" t="s">
        <v>88</v>
      </c>
      <c r="B56" s="110">
        <f>'3. HH-Total'!H56</f>
        <v>72536300.934300005</v>
      </c>
      <c r="C56" s="103">
        <f>'3. HH-Total'!N56</f>
        <v>33968949.815989479</v>
      </c>
      <c r="D56" s="8"/>
      <c r="E56" s="8">
        <f t="shared" si="2"/>
        <v>-38567351.118310526</v>
      </c>
      <c r="F56" s="112">
        <f t="shared" si="3"/>
        <v>-0.53169724154038445</v>
      </c>
      <c r="G56" s="23"/>
      <c r="H56" s="112"/>
      <c r="I56" s="112"/>
      <c r="J56" s="112"/>
      <c r="L56" s="112"/>
      <c r="M56" s="112"/>
      <c r="N56" s="112"/>
    </row>
    <row r="57" spans="1:14" x14ac:dyDescent="0.25">
      <c r="A57" s="23" t="s">
        <v>89</v>
      </c>
      <c r="B57" s="110">
        <f>'3. HH-Total'!H57</f>
        <v>50399558.712799996</v>
      </c>
      <c r="C57" s="103">
        <f>'3. HH-Total'!N57</f>
        <v>52725403.199822731</v>
      </c>
      <c r="D57" s="8"/>
      <c r="E57" s="8">
        <f t="shared" si="2"/>
        <v>2325844.4870227352</v>
      </c>
      <c r="F57" s="112">
        <f t="shared" si="3"/>
        <v>4.6148112134800093E-2</v>
      </c>
      <c r="G57" s="23"/>
      <c r="H57" s="112"/>
      <c r="I57" s="112"/>
      <c r="J57" s="112"/>
      <c r="L57" s="112"/>
      <c r="M57" s="112"/>
      <c r="N57" s="112"/>
    </row>
    <row r="58" spans="1:14" x14ac:dyDescent="0.25">
      <c r="A58" s="23" t="s">
        <v>90</v>
      </c>
      <c r="B58" s="110">
        <f>'3. HH-Total'!H58</f>
        <v>100953254.32260001</v>
      </c>
      <c r="C58" s="103">
        <f>'3. HH-Total'!N58</f>
        <v>100967598.52974068</v>
      </c>
      <c r="D58" s="8"/>
      <c r="E58" s="8">
        <f t="shared" si="2"/>
        <v>14344.207140669227</v>
      </c>
      <c r="F58" s="112">
        <f t="shared" si="3"/>
        <v>1.4208761507411897E-4</v>
      </c>
      <c r="G58" s="23"/>
      <c r="H58" s="112"/>
      <c r="I58" s="112"/>
      <c r="J58" s="112"/>
      <c r="L58" s="112"/>
      <c r="M58" s="112"/>
      <c r="N58" s="112"/>
    </row>
    <row r="59" spans="1:14" x14ac:dyDescent="0.25">
      <c r="A59" s="23" t="s">
        <v>91</v>
      </c>
      <c r="B59" s="110">
        <f>'3. HH-Total'!H59</f>
        <v>74578259.956499994</v>
      </c>
      <c r="C59" s="103">
        <f>'3. HH-Total'!N59</f>
        <v>80430874.330939814</v>
      </c>
      <c r="D59" s="8"/>
      <c r="E59" s="8">
        <f t="shared" si="2"/>
        <v>5852614.3744398206</v>
      </c>
      <c r="F59" s="112">
        <f t="shared" si="3"/>
        <v>7.8476145432375785E-2</v>
      </c>
      <c r="G59" s="23"/>
      <c r="H59" s="112"/>
      <c r="I59" s="112"/>
      <c r="J59" s="112"/>
      <c r="L59" s="112"/>
      <c r="M59" s="112"/>
      <c r="N59" s="112"/>
    </row>
    <row r="60" spans="1:14" x14ac:dyDescent="0.25">
      <c r="A60" s="23" t="s">
        <v>92</v>
      </c>
      <c r="B60" s="110">
        <f>'3. HH-Total'!H60</f>
        <v>97008144.734799996</v>
      </c>
      <c r="C60" s="103">
        <f>'3. HH-Total'!N60</f>
        <v>100170610.25315447</v>
      </c>
      <c r="D60" s="8"/>
      <c r="E60" s="8">
        <f t="shared" si="2"/>
        <v>3162465.5183544755</v>
      </c>
      <c r="F60" s="112">
        <f t="shared" si="3"/>
        <v>3.2599999999999955E-2</v>
      </c>
      <c r="G60" s="23"/>
      <c r="H60" s="112"/>
      <c r="I60" s="112"/>
      <c r="J60" s="112"/>
      <c r="L60" s="112"/>
      <c r="M60" s="112"/>
      <c r="N60" s="112"/>
    </row>
    <row r="61" spans="1:14" x14ac:dyDescent="0.25">
      <c r="A61" s="23" t="s">
        <v>31</v>
      </c>
      <c r="B61" s="110">
        <f>'3. HH-Total'!H61</f>
        <v>133439382.76189999</v>
      </c>
      <c r="C61" s="103">
        <f>'3. HH-Total'!N61</f>
        <v>137789506.63993794</v>
      </c>
      <c r="D61" s="8"/>
      <c r="E61" s="8">
        <f t="shared" si="2"/>
        <v>4350123.8780379444</v>
      </c>
      <c r="F61" s="112">
        <f t="shared" si="3"/>
        <v>3.2600000000000032E-2</v>
      </c>
      <c r="G61" s="23"/>
      <c r="H61" s="112"/>
      <c r="I61" s="112"/>
      <c r="J61" s="112"/>
      <c r="L61" s="112"/>
      <c r="M61" s="112"/>
      <c r="N61" s="112"/>
    </row>
    <row r="62" spans="1:14" x14ac:dyDescent="0.25">
      <c r="A62" s="23" t="s">
        <v>93</v>
      </c>
      <c r="B62" s="110">
        <f>'3. HH-Total'!H62</f>
        <v>63056395.950499997</v>
      </c>
      <c r="C62" s="103">
        <f>'3. HH-Total'!N62</f>
        <v>74047423.590194687</v>
      </c>
      <c r="D62" s="8"/>
      <c r="E62" s="8">
        <f t="shared" si="2"/>
        <v>10991027.639694691</v>
      </c>
      <c r="F62" s="112">
        <f t="shared" si="3"/>
        <v>0.17430472316119644</v>
      </c>
      <c r="G62" s="23"/>
      <c r="H62" s="112"/>
      <c r="I62" s="112"/>
      <c r="J62" s="112"/>
      <c r="L62" s="112"/>
      <c r="M62" s="112"/>
      <c r="N62" s="112"/>
    </row>
    <row r="63" spans="1:14" x14ac:dyDescent="0.25">
      <c r="A63" s="23" t="s">
        <v>94</v>
      </c>
      <c r="B63" s="110">
        <f>'3. HH-Total'!H63</f>
        <v>42921686.292900003</v>
      </c>
      <c r="C63" s="103">
        <f>'3. HH-Total'!N63</f>
        <v>51903910.049842067</v>
      </c>
      <c r="D63" s="8"/>
      <c r="E63" s="8">
        <f t="shared" si="2"/>
        <v>8982223.7569420636</v>
      </c>
      <c r="F63" s="112">
        <f t="shared" si="3"/>
        <v>0.20927005746341984</v>
      </c>
      <c r="G63" s="23"/>
      <c r="H63" s="112"/>
      <c r="I63" s="112"/>
      <c r="J63" s="112"/>
      <c r="L63" s="112"/>
      <c r="M63" s="112"/>
      <c r="N63" s="112"/>
    </row>
    <row r="64" spans="1:14" x14ac:dyDescent="0.25">
      <c r="A64" s="23" t="s">
        <v>95</v>
      </c>
      <c r="B64" s="110">
        <f>'3. HH-Total'!H64</f>
        <v>88915754.276500002</v>
      </c>
      <c r="C64" s="103">
        <f>'3. HH-Total'!N64</f>
        <v>91814407.865913898</v>
      </c>
      <c r="D64" s="8"/>
      <c r="E64" s="8">
        <f t="shared" si="2"/>
        <v>2898653.5894138962</v>
      </c>
      <c r="F64" s="112">
        <f t="shared" si="3"/>
        <v>3.2599999999999955E-2</v>
      </c>
      <c r="G64" s="23"/>
      <c r="H64" s="112"/>
      <c r="I64" s="112"/>
      <c r="J64" s="112"/>
      <c r="L64" s="112"/>
      <c r="M64" s="112"/>
      <c r="N64" s="112"/>
    </row>
    <row r="65" spans="1:14" x14ac:dyDescent="0.25">
      <c r="A65" s="23" t="s">
        <v>96</v>
      </c>
      <c r="B65" s="110">
        <f>'3. HH-Total'!H65</f>
        <v>18642886.964499999</v>
      </c>
      <c r="C65" s="103">
        <f>'3. HH-Total'!N65</f>
        <v>19648899.25365879</v>
      </c>
      <c r="D65" s="8"/>
      <c r="E65" s="8">
        <f t="shared" si="2"/>
        <v>1006012.2891587913</v>
      </c>
      <c r="F65" s="112">
        <f t="shared" si="3"/>
        <v>5.3962258692789991E-2</v>
      </c>
      <c r="G65" s="23"/>
      <c r="H65" s="112"/>
      <c r="I65" s="112"/>
      <c r="J65" s="112"/>
      <c r="L65" s="112"/>
      <c r="M65" s="112"/>
      <c r="N65" s="112"/>
    </row>
    <row r="66" spans="1:14" x14ac:dyDescent="0.25">
      <c r="A66" s="23" t="s">
        <v>97</v>
      </c>
      <c r="B66" s="110">
        <f>'3. HH-Total'!H66</f>
        <v>49841121.361500002</v>
      </c>
      <c r="C66" s="103">
        <f>'3. HH-Total'!N66</f>
        <v>51465941.917884901</v>
      </c>
      <c r="D66" s="8"/>
      <c r="E66" s="8">
        <f t="shared" si="2"/>
        <v>1624820.5563848987</v>
      </c>
      <c r="F66" s="112">
        <f t="shared" si="3"/>
        <v>3.2599999999999976E-2</v>
      </c>
      <c r="G66" s="23"/>
      <c r="H66" s="112"/>
      <c r="I66" s="112"/>
      <c r="J66" s="112"/>
      <c r="L66" s="112"/>
      <c r="M66" s="112"/>
      <c r="N66" s="112"/>
    </row>
    <row r="67" spans="1:14" x14ac:dyDescent="0.25">
      <c r="A67" s="23" t="s">
        <v>98</v>
      </c>
      <c r="B67" s="110">
        <f>'3. HH-Total'!H67</f>
        <v>109150352.4904</v>
      </c>
      <c r="C67" s="103">
        <f>'3. HH-Total'!N67</f>
        <v>116410225.54947245</v>
      </c>
      <c r="D67" s="8"/>
      <c r="E67" s="8">
        <f t="shared" si="2"/>
        <v>7259873.0590724498</v>
      </c>
      <c r="F67" s="112">
        <f t="shared" si="3"/>
        <v>6.6512593806886428E-2</v>
      </c>
      <c r="G67" s="23"/>
      <c r="H67" s="112"/>
      <c r="I67" s="112"/>
      <c r="J67" s="112"/>
      <c r="L67" s="112"/>
      <c r="M67" s="112"/>
      <c r="N67" s="112"/>
    </row>
    <row r="68" spans="1:14" x14ac:dyDescent="0.25">
      <c r="A68" s="23" t="s">
        <v>99</v>
      </c>
      <c r="B68" s="110">
        <f>'3. HH-Total'!H68</f>
        <v>156810868.65490001</v>
      </c>
      <c r="C68" s="103">
        <f>'3. HH-Total'!N68</f>
        <v>64187589.122888312</v>
      </c>
      <c r="D68" s="8"/>
      <c r="E68" s="8">
        <f t="shared" si="2"/>
        <v>-92623279.532011703</v>
      </c>
      <c r="F68" s="112">
        <f t="shared" si="3"/>
        <v>-0.59066874845168726</v>
      </c>
      <c r="G68" s="23"/>
      <c r="H68" s="112"/>
      <c r="I68" s="112"/>
      <c r="J68" s="112"/>
      <c r="L68" s="112"/>
      <c r="M68" s="112"/>
      <c r="N68" s="112"/>
    </row>
    <row r="69" spans="1:14" x14ac:dyDescent="0.25">
      <c r="A69" s="23" t="s">
        <v>100</v>
      </c>
      <c r="B69" s="110">
        <f>'3. HH-Total'!H69</f>
        <v>95122606.879999995</v>
      </c>
      <c r="C69" s="103">
        <f>'3. HH-Total'!N69</f>
        <v>98623276.236246869</v>
      </c>
      <c r="D69" s="8"/>
      <c r="E69" s="8">
        <f t="shared" si="2"/>
        <v>3500669.3562468737</v>
      </c>
      <c r="F69" s="112">
        <f t="shared" si="3"/>
        <v>3.6801654948997273E-2</v>
      </c>
      <c r="G69" s="23"/>
      <c r="H69" s="112"/>
      <c r="I69" s="112"/>
      <c r="J69" s="112"/>
      <c r="L69" s="112"/>
      <c r="M69" s="112"/>
      <c r="N69" s="112"/>
    </row>
    <row r="70" spans="1:14" x14ac:dyDescent="0.25">
      <c r="A70" s="23" t="s">
        <v>101</v>
      </c>
      <c r="B70" s="110">
        <f>'3. HH-Total'!H70</f>
        <v>186065438.52680001</v>
      </c>
      <c r="C70" s="103">
        <f>'3. HH-Total'!N70</f>
        <v>218608924.86602068</v>
      </c>
      <c r="D70" s="8"/>
      <c r="E70" s="8">
        <f t="shared" ref="E70:E78" si="4">C70-B70</f>
        <v>32543486.339220673</v>
      </c>
      <c r="F70" s="112">
        <f t="shared" ref="F70:F78" si="5">E70/B70</f>
        <v>0.17490344578170147</v>
      </c>
      <c r="G70" s="23"/>
      <c r="H70" s="112"/>
      <c r="I70" s="112"/>
      <c r="J70" s="112"/>
      <c r="L70" s="112"/>
      <c r="M70" s="112"/>
      <c r="N70" s="112"/>
    </row>
    <row r="71" spans="1:14" x14ac:dyDescent="0.25">
      <c r="A71" s="23" t="s">
        <v>102</v>
      </c>
      <c r="B71" s="110">
        <f>'3. HH-Total'!H71</f>
        <v>157992512.28349999</v>
      </c>
      <c r="C71" s="103">
        <f>'3. HH-Total'!N71</f>
        <v>174737226.73021519</v>
      </c>
      <c r="D71" s="8"/>
      <c r="E71" s="8">
        <f t="shared" si="4"/>
        <v>16744714.446715206</v>
      </c>
      <c r="F71" s="112">
        <f t="shared" si="5"/>
        <v>0.10598422801625357</v>
      </c>
      <c r="G71" s="23"/>
      <c r="H71" s="112"/>
      <c r="I71" s="112"/>
      <c r="J71" s="112"/>
      <c r="L71" s="112"/>
      <c r="M71" s="112"/>
      <c r="N71" s="112"/>
    </row>
    <row r="72" spans="1:14" x14ac:dyDescent="0.25">
      <c r="A72" s="23" t="s">
        <v>103</v>
      </c>
      <c r="B72" s="110">
        <f>'3. HH-Total'!H72</f>
        <v>56231440.729599997</v>
      </c>
      <c r="C72" s="103">
        <f>'3. HH-Total'!N72</f>
        <v>66396540.305433631</v>
      </c>
      <c r="D72" s="8"/>
      <c r="E72" s="8">
        <f t="shared" si="4"/>
        <v>10165099.575833634</v>
      </c>
      <c r="F72" s="112">
        <f t="shared" si="5"/>
        <v>0.18077252590262671</v>
      </c>
      <c r="G72" s="23"/>
      <c r="H72" s="112"/>
      <c r="I72" s="112"/>
      <c r="J72" s="112"/>
      <c r="L72" s="112"/>
      <c r="M72" s="112"/>
      <c r="N72" s="112"/>
    </row>
    <row r="73" spans="1:14" x14ac:dyDescent="0.25">
      <c r="A73" s="23" t="s">
        <v>104</v>
      </c>
      <c r="B73" s="110">
        <f>'3. HH-Total'!H73</f>
        <v>38664606.378200002</v>
      </c>
      <c r="C73" s="103">
        <f>'3. HH-Total'!N73</f>
        <v>47319971.793479197</v>
      </c>
      <c r="D73" s="8"/>
      <c r="E73" s="8">
        <f t="shared" si="4"/>
        <v>8655365.4152791947</v>
      </c>
      <c r="F73" s="112">
        <f t="shared" si="5"/>
        <v>0.22385758516758855</v>
      </c>
      <c r="G73" s="23"/>
      <c r="H73" s="112"/>
      <c r="I73" s="112"/>
      <c r="J73" s="112"/>
      <c r="L73" s="112"/>
      <c r="M73" s="112"/>
      <c r="N73" s="112"/>
    </row>
    <row r="74" spans="1:14" x14ac:dyDescent="0.25">
      <c r="A74" s="23" t="s">
        <v>33</v>
      </c>
      <c r="B74" s="110">
        <f>'3. HH-Total'!H74</f>
        <v>25166575.2676</v>
      </c>
      <c r="C74" s="103">
        <f>'3. HH-Total'!N74</f>
        <v>25987005.621323761</v>
      </c>
      <c r="D74" s="8"/>
      <c r="E74" s="8">
        <f t="shared" si="4"/>
        <v>820430.35372376069</v>
      </c>
      <c r="F74" s="112">
        <f t="shared" si="5"/>
        <v>3.2600000000000025E-2</v>
      </c>
      <c r="G74" s="23"/>
      <c r="H74" s="112"/>
      <c r="I74" s="112"/>
      <c r="J74" s="112"/>
      <c r="L74" s="112"/>
      <c r="M74" s="112"/>
      <c r="N74" s="112"/>
    </row>
    <row r="75" spans="1:14" ht="17.25" x14ac:dyDescent="0.25">
      <c r="A75" s="23" t="s">
        <v>105</v>
      </c>
      <c r="B75" s="110">
        <f>'3. HH-Total'!H75</f>
        <v>75368121.425600007</v>
      </c>
      <c r="C75" s="103">
        <f>'3. HH-Total'!N75</f>
        <v>69020000.238259062</v>
      </c>
      <c r="D75" s="8"/>
      <c r="E75" s="8">
        <f t="shared" si="4"/>
        <v>-6348121.187340945</v>
      </c>
      <c r="F75" s="112">
        <f t="shared" si="5"/>
        <v>-8.4228199764903547E-2</v>
      </c>
      <c r="G75" s="23"/>
      <c r="H75" s="112"/>
      <c r="I75" s="112"/>
      <c r="J75" s="112"/>
      <c r="L75" s="112"/>
      <c r="M75" s="112"/>
      <c r="N75" s="112"/>
    </row>
    <row r="76" spans="1:14" x14ac:dyDescent="0.25">
      <c r="A76" s="23" t="s">
        <v>106</v>
      </c>
      <c r="B76" s="110">
        <f>'3. HH-Total'!H76</f>
        <v>98219989.211799994</v>
      </c>
      <c r="C76" s="103">
        <f>'3. HH-Total'!N76</f>
        <v>114357345.17087466</v>
      </c>
      <c r="D76" s="8"/>
      <c r="E76" s="8">
        <f t="shared" si="4"/>
        <v>16137355.959074661</v>
      </c>
      <c r="F76" s="112">
        <f t="shared" si="5"/>
        <v>0.16429808319644923</v>
      </c>
      <c r="G76" s="23"/>
      <c r="H76" s="112"/>
      <c r="I76" s="112"/>
      <c r="J76" s="112"/>
      <c r="L76" s="112"/>
      <c r="M76" s="112"/>
      <c r="N76" s="112"/>
    </row>
    <row r="77" spans="1:14" s="239" customFormat="1" x14ac:dyDescent="0.25">
      <c r="A77" s="234" t="s">
        <v>107</v>
      </c>
      <c r="B77" s="235">
        <f>'3. HH-Total'!H77</f>
        <v>50924003.162500001</v>
      </c>
      <c r="C77" s="236">
        <f>'3. HH-Total'!N77</f>
        <v>57605214.338155374</v>
      </c>
      <c r="D77" s="237"/>
      <c r="E77" s="237">
        <f t="shared" si="4"/>
        <v>6681211.1756553724</v>
      </c>
      <c r="F77" s="238">
        <f t="shared" si="5"/>
        <v>0.13119964576106535</v>
      </c>
      <c r="G77" s="234"/>
      <c r="H77" s="238"/>
      <c r="I77" s="238"/>
      <c r="J77" s="238"/>
      <c r="L77" s="238"/>
      <c r="M77" s="238"/>
      <c r="N77" s="238"/>
    </row>
    <row r="78" spans="1:14" s="127" customFormat="1" x14ac:dyDescent="0.25">
      <c r="A78" s="229" t="s">
        <v>108</v>
      </c>
      <c r="B78" s="230">
        <f t="shared" ref="B78" si="6">SUM(B6:B77)</f>
        <v>6950305789.5658007</v>
      </c>
      <c r="C78" s="231">
        <f>'3. HH-Total'!N78</f>
        <v>7337040667.1186409</v>
      </c>
      <c r="D78" s="232"/>
      <c r="E78" s="232">
        <f t="shared" si="4"/>
        <v>386734877.55284023</v>
      </c>
      <c r="F78" s="233">
        <f t="shared" si="5"/>
        <v>5.5642857920500263E-2</v>
      </c>
      <c r="G78" s="229"/>
      <c r="H78" s="112"/>
      <c r="I78" s="112"/>
      <c r="J78" s="112"/>
      <c r="K78"/>
      <c r="L78" s="112"/>
      <c r="M78" s="112"/>
      <c r="N78" s="112"/>
    </row>
  </sheetData>
  <mergeCells count="2">
    <mergeCell ref="H1:J1"/>
    <mergeCell ref="L1:N1"/>
  </mergeCells>
  <pageMargins left="0.7" right="0.7" top="0.75" bottom="0.75" header="0.3" footer="0.3"/>
  <pageSetup orientation="portrait"/>
  <headerFooter>
    <oddHeader>&amp;C&amp;G</oddHeader>
  </headerFooter>
  <legacyDrawingHF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2:L83"/>
  <sheetViews>
    <sheetView workbookViewId="0">
      <selection activeCell="B1" sqref="B1:B1048576"/>
    </sheetView>
  </sheetViews>
  <sheetFormatPr defaultColWidth="8.85546875" defaultRowHeight="15" x14ac:dyDescent="0.25"/>
  <cols>
    <col min="1" max="1" width="18.7109375" bestFit="1" customWidth="1"/>
    <col min="2" max="2" width="23.42578125" bestFit="1" customWidth="1"/>
    <col min="3" max="3" width="13.140625" bestFit="1" customWidth="1"/>
    <col min="4" max="5" width="13.42578125" bestFit="1" customWidth="1"/>
    <col min="6" max="6" width="12.42578125" bestFit="1" customWidth="1"/>
    <col min="7" max="7" width="15" customWidth="1"/>
    <col min="8" max="8" width="11.85546875" customWidth="1"/>
    <col min="9" max="12" width="10.85546875" bestFit="1" customWidth="1"/>
  </cols>
  <sheetData>
    <row r="2" spans="1:12" s="80" customFormat="1" x14ac:dyDescent="0.25">
      <c r="H2" s="301" t="s">
        <v>230</v>
      </c>
      <c r="I2" s="301"/>
      <c r="J2" s="301"/>
      <c r="K2" s="301"/>
      <c r="L2" s="301"/>
    </row>
    <row r="3" spans="1:12" s="43" customFormat="1" ht="135" x14ac:dyDescent="0.25">
      <c r="A3" s="37" t="s">
        <v>8</v>
      </c>
      <c r="B3" s="44" t="s">
        <v>225</v>
      </c>
      <c r="C3" s="299" t="s">
        <v>0</v>
      </c>
      <c r="D3" s="299"/>
      <c r="E3" s="299"/>
      <c r="F3" s="44" t="s">
        <v>226</v>
      </c>
      <c r="G3" s="39" t="s">
        <v>244</v>
      </c>
      <c r="H3" s="53"/>
      <c r="I3" s="300" t="s">
        <v>124</v>
      </c>
      <c r="J3" s="300"/>
      <c r="K3" s="300"/>
      <c r="L3" s="44" t="s">
        <v>226</v>
      </c>
    </row>
    <row r="4" spans="1:12" s="43" customFormat="1" x14ac:dyDescent="0.25">
      <c r="A4" s="40"/>
      <c r="B4" s="41"/>
      <c r="C4" s="36" t="s">
        <v>125</v>
      </c>
      <c r="D4" s="38" t="s">
        <v>126</v>
      </c>
      <c r="E4" s="36" t="s">
        <v>127</v>
      </c>
      <c r="F4" s="36" t="s">
        <v>128</v>
      </c>
      <c r="G4" s="42"/>
      <c r="H4" s="52"/>
      <c r="I4" s="36" t="s">
        <v>125</v>
      </c>
      <c r="J4" s="38" t="s">
        <v>126</v>
      </c>
      <c r="K4" s="36" t="s">
        <v>127</v>
      </c>
      <c r="L4" s="36" t="s">
        <v>128</v>
      </c>
    </row>
    <row r="5" spans="1:12" x14ac:dyDescent="0.25">
      <c r="B5" s="70"/>
      <c r="C5" s="50"/>
      <c r="D5" s="50"/>
      <c r="E5" s="5"/>
      <c r="F5" s="54"/>
      <c r="I5" s="6"/>
      <c r="J5" s="6"/>
      <c r="K5" s="6"/>
      <c r="L5" s="6"/>
    </row>
    <row r="6" spans="1:12" x14ac:dyDescent="0.25">
      <c r="A6" s="23" t="s">
        <v>43</v>
      </c>
      <c r="B6" s="178">
        <v>6742470.1229999997</v>
      </c>
      <c r="C6" s="45">
        <f>'5a. Base Counts'!B6*I6</f>
        <v>33873118.438333325</v>
      </c>
      <c r="D6" s="45">
        <f>'5a. Base Counts'!C6*J6</f>
        <v>1215345.7972328013</v>
      </c>
      <c r="E6" s="45">
        <f>'5a. Base Counts'!D6*K6</f>
        <v>1308908.9269305421</v>
      </c>
      <c r="F6" s="45">
        <f>'5a. Base Counts'!E6*L6</f>
        <v>2661757.6217036541</v>
      </c>
      <c r="G6" s="45">
        <f>SUM(B6+C6+F6)</f>
        <v>43277346.183036983</v>
      </c>
      <c r="I6" s="6">
        <f>'2. Weighting'!E$20</f>
        <v>4123.5</v>
      </c>
      <c r="J6" s="171">
        <f>'2. Weighting'!E$15</f>
        <v>3383.8562123644101</v>
      </c>
      <c r="K6" s="172">
        <f>'2. Weighting'!E$16</f>
        <v>5638.1224776607796</v>
      </c>
      <c r="L6" s="172">
        <f>'2. Weighting'!E$21</f>
        <v>5638.1224776607796</v>
      </c>
    </row>
    <row r="7" spans="1:12" x14ac:dyDescent="0.25">
      <c r="A7" s="23" t="s">
        <v>44</v>
      </c>
      <c r="B7" s="179">
        <v>6742470.1229999997</v>
      </c>
      <c r="C7" s="45">
        <f>'5a. Base Counts'!B7*I7</f>
        <v>43594517.098333336</v>
      </c>
      <c r="D7" s="45">
        <f>'5a. Base Counts'!C7*J7</f>
        <v>28909.449924670349</v>
      </c>
      <c r="E7" s="45">
        <f>'5a. Base Counts'!D7*K7</f>
        <v>291941.87288957398</v>
      </c>
      <c r="F7" s="45">
        <f>'5a. Base Counts'!E7*L7</f>
        <v>2148444.157595824</v>
      </c>
      <c r="G7" s="45">
        <f t="shared" ref="G7:G70" si="0">SUM(B7+C7+F7)</f>
        <v>52485431.378929161</v>
      </c>
      <c r="I7" s="6">
        <f>'2. Weighting'!E$20</f>
        <v>4123.5</v>
      </c>
      <c r="J7" s="171">
        <f>'2. Weighting'!E$15</f>
        <v>3383.8562123644101</v>
      </c>
      <c r="K7" s="172">
        <f>'2. Weighting'!E$16</f>
        <v>5638.1224776607796</v>
      </c>
      <c r="L7" s="172">
        <f>'2. Weighting'!E$21</f>
        <v>5638.1224776607796</v>
      </c>
    </row>
    <row r="8" spans="1:12" x14ac:dyDescent="0.25">
      <c r="A8" s="23" t="s">
        <v>45</v>
      </c>
      <c r="B8" s="179">
        <v>5332192.5425999993</v>
      </c>
      <c r="C8" s="45">
        <f>'5a. Base Counts'!B8*I8</f>
        <v>10284082.349276165</v>
      </c>
      <c r="D8" s="45">
        <f>'5a. Base Counts'!C8*J8</f>
        <v>114667.60751632199</v>
      </c>
      <c r="E8" s="45">
        <f>'5a. Base Counts'!D8*K8</f>
        <v>0</v>
      </c>
      <c r="F8" s="45">
        <f>'5a. Base Counts'!E8*L8</f>
        <v>0</v>
      </c>
      <c r="G8" s="45">
        <f t="shared" si="0"/>
        <v>15616274.891876165</v>
      </c>
      <c r="I8" s="6">
        <f>'2. Weighting'!E$20</f>
        <v>4123.5</v>
      </c>
      <c r="J8" s="171">
        <f>'2. Weighting'!E$15</f>
        <v>3383.8562123644101</v>
      </c>
      <c r="K8" s="172">
        <f>'2. Weighting'!E$16</f>
        <v>5638.1224776607796</v>
      </c>
      <c r="L8" s="172">
        <f>'2. Weighting'!E$21</f>
        <v>5638.1224776607796</v>
      </c>
    </row>
    <row r="9" spans="1:12" x14ac:dyDescent="0.25">
      <c r="A9" s="23" t="s">
        <v>46</v>
      </c>
      <c r="B9" s="179">
        <v>6742470.1229999997</v>
      </c>
      <c r="C9" s="45">
        <f>'5a. Base Counts'!B9*I9</f>
        <v>37212754.917636</v>
      </c>
      <c r="D9" s="45">
        <f>'5a. Base Counts'!C9*J9</f>
        <v>3990513.9541171016</v>
      </c>
      <c r="E9" s="45">
        <f>'5a. Base Counts'!D9*K9</f>
        <v>144260.76046174715</v>
      </c>
      <c r="F9" s="45">
        <f>'5a. Base Counts'!E9*L9</f>
        <v>1072671.5951165555</v>
      </c>
      <c r="G9" s="45">
        <f t="shared" si="0"/>
        <v>45027896.635752559</v>
      </c>
      <c r="I9" s="6">
        <f>'2. Weighting'!E$20</f>
        <v>4123.5</v>
      </c>
      <c r="J9" s="171">
        <f>'2. Weighting'!E$15</f>
        <v>3383.8562123644101</v>
      </c>
      <c r="K9" s="172">
        <f>'2. Weighting'!E$16</f>
        <v>5638.1224776607796</v>
      </c>
      <c r="L9" s="172">
        <f>'2. Weighting'!E$21</f>
        <v>5638.1224776607796</v>
      </c>
    </row>
    <row r="10" spans="1:12" x14ac:dyDescent="0.25">
      <c r="A10" s="23" t="s">
        <v>47</v>
      </c>
      <c r="B10" s="179">
        <v>6742470.1229999997</v>
      </c>
      <c r="C10" s="45">
        <f>'5a. Base Counts'!B10*I10</f>
        <v>38180462.394999996</v>
      </c>
      <c r="D10" s="45">
        <f>'5a. Base Counts'!C10*J10</f>
        <v>2356415.9506042046</v>
      </c>
      <c r="E10" s="45">
        <f>'5a. Base Counts'!D10*K10</f>
        <v>491813.42372634984</v>
      </c>
      <c r="F10" s="45">
        <f>'5a. Base Counts'!E10*L10</f>
        <v>1107120.5234550629</v>
      </c>
      <c r="G10" s="45">
        <f t="shared" si="0"/>
        <v>46030053.041455053</v>
      </c>
      <c r="I10" s="6">
        <f>'2. Weighting'!E$20</f>
        <v>4123.5</v>
      </c>
      <c r="J10" s="171">
        <f>'2. Weighting'!E$15</f>
        <v>3383.8562123644101</v>
      </c>
      <c r="K10" s="172">
        <f>'2. Weighting'!E$16</f>
        <v>5638.1224776607796</v>
      </c>
      <c r="L10" s="172">
        <f>'2. Weighting'!E$21</f>
        <v>5638.1224776607796</v>
      </c>
    </row>
    <row r="11" spans="1:12" x14ac:dyDescent="0.25">
      <c r="A11" s="23" t="s">
        <v>48</v>
      </c>
      <c r="B11" s="179">
        <v>5393976.0983999996</v>
      </c>
      <c r="C11" s="45">
        <f>'5a. Base Counts'!B11*I11</f>
        <v>65357305.478333332</v>
      </c>
      <c r="D11" s="45">
        <f>'5a. Base Counts'!C11*J11</f>
        <v>1079608.0450341571</v>
      </c>
      <c r="E11" s="45">
        <f>'5a. Base Counts'!D11*K11</f>
        <v>1351871.4202103175</v>
      </c>
      <c r="F11" s="45">
        <f>'5a. Base Counts'!E11*L11</f>
        <v>677270.06575820502</v>
      </c>
      <c r="G11" s="45">
        <f t="shared" si="0"/>
        <v>71428551.642491534</v>
      </c>
      <c r="I11" s="6">
        <f>'2. Weighting'!E$20</f>
        <v>4123.5</v>
      </c>
      <c r="J11" s="171">
        <f>'2. Weighting'!E$15</f>
        <v>3383.8562123644101</v>
      </c>
      <c r="K11" s="172">
        <f>'2. Weighting'!E$16</f>
        <v>5638.1224776607796</v>
      </c>
      <c r="L11" s="172">
        <f>'2. Weighting'!E$21</f>
        <v>5638.1224776607796</v>
      </c>
    </row>
    <row r="12" spans="1:12" x14ac:dyDescent="0.25">
      <c r="A12" s="23" t="s">
        <v>49</v>
      </c>
      <c r="B12" s="179">
        <v>8765209.6109999996</v>
      </c>
      <c r="C12" s="45">
        <f>'5a. Base Counts'!B12*I12</f>
        <v>64366604.952619329</v>
      </c>
      <c r="D12" s="45">
        <f>'5a. Base Counts'!C12*J12</f>
        <v>630265.77859428723</v>
      </c>
      <c r="E12" s="45">
        <f>'5a. Base Counts'!D12*K12</f>
        <v>0</v>
      </c>
      <c r="F12" s="45">
        <f>'5a. Base Counts'!E12*L12</f>
        <v>2516162.5055888603</v>
      </c>
      <c r="G12" s="45">
        <f t="shared" si="0"/>
        <v>75647977.06920819</v>
      </c>
      <c r="I12" s="6">
        <f>'2. Weighting'!E$20</f>
        <v>4123.5</v>
      </c>
      <c r="J12" s="171">
        <f>'2. Weighting'!E$15</f>
        <v>3383.8562123644101</v>
      </c>
      <c r="K12" s="172">
        <f>'2. Weighting'!E$16</f>
        <v>5638.1224776607796</v>
      </c>
      <c r="L12" s="172">
        <f>'2. Weighting'!E$21</f>
        <v>5638.1224776607796</v>
      </c>
    </row>
    <row r="13" spans="1:12" x14ac:dyDescent="0.25">
      <c r="A13" s="23" t="s">
        <v>50</v>
      </c>
      <c r="B13" s="179">
        <v>8090964.1475999998</v>
      </c>
      <c r="C13" s="45">
        <f>'5a. Base Counts'!B13*I13</f>
        <v>65131653.827078335</v>
      </c>
      <c r="D13" s="45">
        <f>'5a. Base Counts'!C13*J13</f>
        <v>1197061.6941653257</v>
      </c>
      <c r="E13" s="45">
        <f>'5a. Base Counts'!D13*K13</f>
        <v>0</v>
      </c>
      <c r="F13" s="45">
        <f>'5a. Base Counts'!E13*L13</f>
        <v>2001195.1922209167</v>
      </c>
      <c r="G13" s="45">
        <f t="shared" si="0"/>
        <v>75223813.166899249</v>
      </c>
      <c r="I13" s="6">
        <f>'2. Weighting'!E$20</f>
        <v>4123.5</v>
      </c>
      <c r="J13" s="171">
        <f>'2. Weighting'!E$15</f>
        <v>3383.8562123644101</v>
      </c>
      <c r="K13" s="172">
        <f>'2. Weighting'!E$16</f>
        <v>5638.1224776607796</v>
      </c>
      <c r="L13" s="172">
        <f>'2. Weighting'!E$21</f>
        <v>5638.1224776607796</v>
      </c>
    </row>
    <row r="14" spans="1:12" x14ac:dyDescent="0.25">
      <c r="A14" s="23" t="s">
        <v>51</v>
      </c>
      <c r="B14" s="179">
        <v>5393976.0983999996</v>
      </c>
      <c r="C14" s="45">
        <f>'5a. Base Counts'!B14*I14</f>
        <v>44713855.154289171</v>
      </c>
      <c r="D14" s="45">
        <f>'5a. Base Counts'!C14*J14</f>
        <v>1084435.6798971305</v>
      </c>
      <c r="E14" s="45">
        <f>'5a. Base Counts'!D14*K14</f>
        <v>535095.41061319236</v>
      </c>
      <c r="F14" s="45">
        <f>'5a. Base Counts'!E14*L14</f>
        <v>2088510.9156582905</v>
      </c>
      <c r="G14" s="45">
        <f t="shared" si="0"/>
        <v>52196342.168347456</v>
      </c>
      <c r="I14" s="6">
        <f>'2. Weighting'!E$20</f>
        <v>4123.5</v>
      </c>
      <c r="J14" s="171">
        <f>'2. Weighting'!E$15</f>
        <v>3383.8562123644101</v>
      </c>
      <c r="K14" s="172">
        <f>'2. Weighting'!E$16</f>
        <v>5638.1224776607796</v>
      </c>
      <c r="L14" s="172">
        <f>'2. Weighting'!E$21</f>
        <v>5638.1224776607796</v>
      </c>
    </row>
    <row r="15" spans="1:12" x14ac:dyDescent="0.25">
      <c r="A15" s="23" t="s">
        <v>52</v>
      </c>
      <c r="B15" s="179">
        <v>12810689.6196</v>
      </c>
      <c r="C15" s="45">
        <f>'5a. Base Counts'!B15*I15</f>
        <v>126511417.36236399</v>
      </c>
      <c r="D15" s="45">
        <f>'5a. Base Counts'!C15*J15</f>
        <v>160327.10734182593</v>
      </c>
      <c r="E15" s="45">
        <f>'5a. Base Counts'!D15*K15</f>
        <v>2942066.2775513553</v>
      </c>
      <c r="F15" s="45">
        <f>'5a. Base Counts'!E15*L15</f>
        <v>1138336.9282397113</v>
      </c>
      <c r="G15" s="45">
        <f t="shared" si="0"/>
        <v>140460443.9102037</v>
      </c>
      <c r="I15" s="6">
        <f>'2. Weighting'!E$20</f>
        <v>4123.5</v>
      </c>
      <c r="J15" s="171">
        <f>'2. Weighting'!E$15</f>
        <v>3383.8562123644101</v>
      </c>
      <c r="K15" s="172">
        <f>'2. Weighting'!E$16</f>
        <v>5638.1224776607796</v>
      </c>
      <c r="L15" s="172">
        <f>'2. Weighting'!E$21</f>
        <v>5638.1224776607796</v>
      </c>
    </row>
    <row r="16" spans="1:12" x14ac:dyDescent="0.25">
      <c r="A16" s="23" t="s">
        <v>53</v>
      </c>
      <c r="B16" s="179">
        <v>4045480.0085999998</v>
      </c>
      <c r="C16" s="45">
        <f>'5a. Base Counts'!B16*I16</f>
        <v>23964208.915478725</v>
      </c>
      <c r="D16" s="45">
        <f>'5a. Base Counts'!C16*J16</f>
        <v>59555.869337613622</v>
      </c>
      <c r="E16" s="45">
        <f>'5a. Base Counts'!D16*K16</f>
        <v>0</v>
      </c>
      <c r="F16" s="45">
        <f>'5a. Base Counts'!E16*L16</f>
        <v>1437687.5098771185</v>
      </c>
      <c r="G16" s="45">
        <f t="shared" si="0"/>
        <v>29447376.433955844</v>
      </c>
      <c r="I16" s="6">
        <f>'2. Weighting'!E$20</f>
        <v>4123.5</v>
      </c>
      <c r="J16" s="171">
        <f>'2. Weighting'!E$15</f>
        <v>3383.8562123644101</v>
      </c>
      <c r="K16" s="172">
        <f>'2. Weighting'!E$16</f>
        <v>5638.1224776607796</v>
      </c>
      <c r="L16" s="172">
        <f>'2. Weighting'!E$21</f>
        <v>5638.1224776607796</v>
      </c>
    </row>
    <row r="17" spans="1:12" x14ac:dyDescent="0.25">
      <c r="A17" s="23" t="s">
        <v>54</v>
      </c>
      <c r="B17" s="179">
        <v>15507677.6688</v>
      </c>
      <c r="C17" s="45">
        <f>'5a. Base Counts'!B17*I17</f>
        <v>104041948.26506633</v>
      </c>
      <c r="D17" s="45">
        <f>'5a. Base Counts'!C17*J17</f>
        <v>524948.89374479884</v>
      </c>
      <c r="E17" s="45">
        <f>'5a. Base Counts'!D17*K17</f>
        <v>0</v>
      </c>
      <c r="F17" s="45">
        <f>'5a. Base Counts'!E17*L17</f>
        <v>5438119.4796365583</v>
      </c>
      <c r="G17" s="45">
        <f t="shared" si="0"/>
        <v>124987745.41350289</v>
      </c>
      <c r="I17" s="6">
        <f>'2. Weighting'!E$20</f>
        <v>4123.5</v>
      </c>
      <c r="J17" s="171">
        <f>'2. Weighting'!E$15</f>
        <v>3383.8562123644101</v>
      </c>
      <c r="K17" s="172">
        <f>'2. Weighting'!E$16</f>
        <v>5638.1224776607796</v>
      </c>
      <c r="L17" s="172">
        <f>'2. Weighting'!E$21</f>
        <v>5638.1224776607796</v>
      </c>
    </row>
    <row r="18" spans="1:12" x14ac:dyDescent="0.25">
      <c r="A18" s="23" t="s">
        <v>55</v>
      </c>
      <c r="B18" s="179">
        <v>5332192.5425999993</v>
      </c>
      <c r="C18" s="45">
        <f>'5a. Base Counts'!B18*I18</f>
        <v>6030513.3652523337</v>
      </c>
      <c r="D18" s="45">
        <f>'5a. Base Counts'!C18*J18</f>
        <v>173640.75781516577</v>
      </c>
      <c r="E18" s="45">
        <f>'5a. Base Counts'!D18*K18</f>
        <v>2048.5178335500832</v>
      </c>
      <c r="F18" s="45">
        <f>'5a. Base Counts'!E18*L18</f>
        <v>0</v>
      </c>
      <c r="G18" s="45">
        <f t="shared" si="0"/>
        <v>11362705.907852333</v>
      </c>
      <c r="I18" s="6">
        <f>'2. Weighting'!E$20</f>
        <v>4123.5</v>
      </c>
      <c r="J18" s="171">
        <f>'2. Weighting'!E$15</f>
        <v>3383.8562123644101</v>
      </c>
      <c r="K18" s="172">
        <f>'2. Weighting'!E$16</f>
        <v>5638.1224776607796</v>
      </c>
      <c r="L18" s="172">
        <f>'2. Weighting'!E$21</f>
        <v>5638.1224776607796</v>
      </c>
    </row>
    <row r="19" spans="1:12" x14ac:dyDescent="0.25">
      <c r="A19" s="23" t="s">
        <v>56</v>
      </c>
      <c r="B19" s="179">
        <v>6742470.1229999997</v>
      </c>
      <c r="C19" s="45">
        <f>'5a. Base Counts'!B19*I19</f>
        <v>36463142.919055514</v>
      </c>
      <c r="D19" s="45">
        <f>'5a. Base Counts'!C19*J19</f>
        <v>1600688.0631761521</v>
      </c>
      <c r="E19" s="45">
        <f>'5a. Base Counts'!D19*K19</f>
        <v>11129875.90288933</v>
      </c>
      <c r="F19" s="45">
        <f>'5a. Base Counts'!E19*L19</f>
        <v>0</v>
      </c>
      <c r="G19" s="45">
        <f t="shared" si="0"/>
        <v>43205613.042055517</v>
      </c>
      <c r="I19" s="6">
        <f>'2. Weighting'!E$20</f>
        <v>4123.5</v>
      </c>
      <c r="J19" s="171">
        <f>'2. Weighting'!E$15</f>
        <v>3383.8562123644101</v>
      </c>
      <c r="K19" s="172">
        <f>'2. Weighting'!E$16</f>
        <v>5638.1224776607796</v>
      </c>
      <c r="L19" s="172">
        <f>'2. Weighting'!E$21</f>
        <v>5638.1224776607796</v>
      </c>
    </row>
    <row r="20" spans="1:12" x14ac:dyDescent="0.25">
      <c r="A20" s="23" t="s">
        <v>57</v>
      </c>
      <c r="B20" s="179">
        <v>10787950.1316</v>
      </c>
      <c r="C20" s="45">
        <f>'5a. Base Counts'!B20*I20</f>
        <v>75274652.811600342</v>
      </c>
      <c r="D20" s="45">
        <f>'5a. Base Counts'!C20*J20</f>
        <v>214829.75140230852</v>
      </c>
      <c r="E20" s="45">
        <f>'5a. Base Counts'!D20*K20</f>
        <v>0</v>
      </c>
      <c r="F20" s="45">
        <f>'5a. Base Counts'!E20*L20</f>
        <v>3968956.3181493054</v>
      </c>
      <c r="G20" s="45">
        <f t="shared" si="0"/>
        <v>90031559.261349648</v>
      </c>
      <c r="I20" s="6">
        <f>'2. Weighting'!E$20</f>
        <v>4123.5</v>
      </c>
      <c r="J20" s="171">
        <f>'2. Weighting'!E$15</f>
        <v>3383.8562123644101</v>
      </c>
      <c r="K20" s="172">
        <f>'2. Weighting'!E$16</f>
        <v>5638.1224776607796</v>
      </c>
      <c r="L20" s="172">
        <f>'2. Weighting'!E$21</f>
        <v>5638.1224776607796</v>
      </c>
    </row>
    <row r="21" spans="1:12" x14ac:dyDescent="0.25">
      <c r="A21" s="23" t="s">
        <v>58</v>
      </c>
      <c r="B21" s="179">
        <v>5332192.5425999993</v>
      </c>
      <c r="C21" s="45">
        <f>'5a. Base Counts'!B21*I21</f>
        <v>5490875.0701014129</v>
      </c>
      <c r="D21" s="45">
        <f>'5a. Base Counts'!C21*J21</f>
        <v>127289.39118844121</v>
      </c>
      <c r="E21" s="45">
        <f>'5a. Base Counts'!D21*K21</f>
        <v>0</v>
      </c>
      <c r="F21" s="45">
        <f>'5a. Base Counts'!E21*L21</f>
        <v>1340295.8502576503</v>
      </c>
      <c r="G21" s="45">
        <f t="shared" si="0"/>
        <v>12163363.462959062</v>
      </c>
      <c r="I21" s="6">
        <f>'2. Weighting'!E$20</f>
        <v>4123.5</v>
      </c>
      <c r="J21" s="171">
        <f>'2. Weighting'!E$15</f>
        <v>3383.8562123644101</v>
      </c>
      <c r="K21" s="172">
        <f>'2. Weighting'!E$16</f>
        <v>5638.1224776607796</v>
      </c>
      <c r="L21" s="172">
        <f>'2. Weighting'!E$21</f>
        <v>5638.1224776607796</v>
      </c>
    </row>
    <row r="22" spans="1:12" ht="17.25" x14ac:dyDescent="0.25">
      <c r="A22" s="23" t="s">
        <v>59</v>
      </c>
      <c r="B22" s="179">
        <v>10787952.196799999</v>
      </c>
      <c r="C22" s="45">
        <f>'5a. Base Counts'!B22*I22</f>
        <v>90407219.771666661</v>
      </c>
      <c r="D22" s="45">
        <f>'5a. Base Counts'!C22*J22</f>
        <v>778275.64932310639</v>
      </c>
      <c r="E22" s="45">
        <f>'5a. Base Counts'!D22*K22</f>
        <v>1782905.8836274841</v>
      </c>
      <c r="F22" s="45">
        <f>'5a. Base Counts'!E22*L22</f>
        <v>4708358.493611333</v>
      </c>
      <c r="G22" s="45">
        <f t="shared" si="0"/>
        <v>105903530.46207799</v>
      </c>
      <c r="I22" s="181">
        <f>'2. Weighting'!E20+'2. Weighting'!I20</f>
        <v>4123.5</v>
      </c>
      <c r="J22" s="171">
        <f>'2. Weighting'!E$15</f>
        <v>3383.8562123644101</v>
      </c>
      <c r="K22" s="172">
        <f>'2. Weighting'!E$16</f>
        <v>5638.1224776607796</v>
      </c>
      <c r="L22" s="172">
        <f>'2. Weighting'!E$21</f>
        <v>5638.1224776607796</v>
      </c>
    </row>
    <row r="23" spans="1:12" x14ac:dyDescent="0.25">
      <c r="A23" s="23" t="s">
        <v>60</v>
      </c>
      <c r="B23" s="179">
        <v>5332192.5425999993</v>
      </c>
      <c r="C23" s="45">
        <f>'5a. Base Counts'!B23*I23</f>
        <v>18781729.838787336</v>
      </c>
      <c r="D23" s="45">
        <f>'5a. Base Counts'!C23*J23</f>
        <v>591781.18189106672</v>
      </c>
      <c r="E23" s="45">
        <f>'5a. Base Counts'!D23*K23</f>
        <v>669940.50653724594</v>
      </c>
      <c r="F23" s="45">
        <f>'5a. Base Counts'!E23*L23</f>
        <v>1357847.8300366376</v>
      </c>
      <c r="G23" s="45">
        <f t="shared" si="0"/>
        <v>25471770.211423971</v>
      </c>
      <c r="I23" s="6">
        <f>'2. Weighting'!E$20</f>
        <v>4123.5</v>
      </c>
      <c r="J23" s="171">
        <f>'2. Weighting'!E$15</f>
        <v>3383.8562123644101</v>
      </c>
      <c r="K23" s="172">
        <f>'2. Weighting'!E$16</f>
        <v>5638.1224776607796</v>
      </c>
      <c r="L23" s="172">
        <f>'2. Weighting'!E$21</f>
        <v>5638.1224776607796</v>
      </c>
    </row>
    <row r="24" spans="1:12" x14ac:dyDescent="0.25">
      <c r="A24" s="23" t="s">
        <v>61</v>
      </c>
      <c r="B24" s="179">
        <v>6742470.1229999997</v>
      </c>
      <c r="C24" s="45">
        <f>'5a. Base Counts'!B24*I24</f>
        <v>43993117.516666666</v>
      </c>
      <c r="D24" s="45">
        <f>'5a. Base Counts'!C24*J24</f>
        <v>452375.14261854923</v>
      </c>
      <c r="E24" s="45">
        <f>'5a. Base Counts'!D24*K24</f>
        <v>13488625.421814056</v>
      </c>
      <c r="F24" s="45">
        <f>'5a. Base Counts'!E24*L24</f>
        <v>1850488.1783930447</v>
      </c>
      <c r="G24" s="45">
        <f t="shared" si="0"/>
        <v>52586075.818059705</v>
      </c>
      <c r="I24" s="6">
        <f>'2. Weighting'!E$20</f>
        <v>4123.5</v>
      </c>
      <c r="J24" s="171">
        <f>'2. Weighting'!E$15</f>
        <v>3383.8562123644101</v>
      </c>
      <c r="K24" s="172">
        <f>'2. Weighting'!E$16</f>
        <v>5638.1224776607796</v>
      </c>
      <c r="L24" s="172">
        <f>'2. Weighting'!E$21</f>
        <v>5638.1224776607796</v>
      </c>
    </row>
    <row r="25" spans="1:12" x14ac:dyDescent="0.25">
      <c r="A25" s="23" t="s">
        <v>62</v>
      </c>
      <c r="B25" s="179">
        <v>8765209.6109999996</v>
      </c>
      <c r="C25" s="45">
        <f>'5a. Base Counts'!B25*I25</f>
        <v>70701553.8758035</v>
      </c>
      <c r="D25" s="45">
        <f>'5a. Base Counts'!C25*J25</f>
        <v>50994.713120331653</v>
      </c>
      <c r="E25" s="45">
        <f>'5a. Base Counts'!D25*K25</f>
        <v>0</v>
      </c>
      <c r="F25" s="45">
        <f>'5a. Base Counts'!E25*L25</f>
        <v>1632029.726125282</v>
      </c>
      <c r="G25" s="45">
        <f t="shared" si="0"/>
        <v>81098793.212928787</v>
      </c>
      <c r="I25" s="6">
        <f>'2. Weighting'!E$20</f>
        <v>4123.5</v>
      </c>
      <c r="J25" s="171">
        <f>'2. Weighting'!E$15</f>
        <v>3383.8562123644101</v>
      </c>
      <c r="K25" s="172">
        <f>'2. Weighting'!E$16</f>
        <v>5638.1224776607796</v>
      </c>
      <c r="L25" s="172">
        <f>'2. Weighting'!E$21</f>
        <v>5638.1224776607796</v>
      </c>
    </row>
    <row r="26" spans="1:12" x14ac:dyDescent="0.25">
      <c r="A26" s="23" t="s">
        <v>63</v>
      </c>
      <c r="B26" s="179">
        <v>4382603.2566</v>
      </c>
      <c r="C26" s="45">
        <f>'5a. Base Counts'!B26*I26</f>
        <v>29675904.805799969</v>
      </c>
      <c r="D26" s="45">
        <f>'5a. Base Counts'!C26*J26</f>
        <v>73158.971311318543</v>
      </c>
      <c r="E26" s="45">
        <f>'5a. Base Counts'!D26*K26</f>
        <v>115017.69854427989</v>
      </c>
      <c r="F26" s="45">
        <f>'5a. Base Counts'!E26*L26</f>
        <v>929031.1849691245</v>
      </c>
      <c r="G26" s="45">
        <f t="shared" si="0"/>
        <v>34987539.247369096</v>
      </c>
      <c r="I26" s="6">
        <f>'2. Weighting'!E$20</f>
        <v>4123.5</v>
      </c>
      <c r="J26" s="171">
        <f>'2. Weighting'!E$15</f>
        <v>3383.8562123644101</v>
      </c>
      <c r="K26" s="172">
        <f>'2. Weighting'!E$16</f>
        <v>5638.1224776607796</v>
      </c>
      <c r="L26" s="172">
        <f>'2. Weighting'!E$21</f>
        <v>5638.1224776607796</v>
      </c>
    </row>
    <row r="27" spans="1:12" x14ac:dyDescent="0.25">
      <c r="A27" s="23" t="s">
        <v>64</v>
      </c>
      <c r="B27" s="179">
        <v>4045480.0085999998</v>
      </c>
      <c r="C27" s="45">
        <f>'5a. Base Counts'!B27*I27</f>
        <v>29769525.515503153</v>
      </c>
      <c r="D27" s="45">
        <f>'5a. Base Counts'!C27*J27</f>
        <v>109197.03997299956</v>
      </c>
      <c r="E27" s="45">
        <f>'5a. Base Counts'!D27*K27</f>
        <v>59801.68574638867</v>
      </c>
      <c r="F27" s="45">
        <f>'5a. Base Counts'!E27*L27</f>
        <v>1650388.9516856736</v>
      </c>
      <c r="G27" s="45">
        <f t="shared" si="0"/>
        <v>35465394.475788824</v>
      </c>
      <c r="I27" s="6">
        <f>'2. Weighting'!E$20</f>
        <v>4123.5</v>
      </c>
      <c r="J27" s="171">
        <f>'2. Weighting'!E$15</f>
        <v>3383.8562123644101</v>
      </c>
      <c r="K27" s="172">
        <f>'2. Weighting'!E$16</f>
        <v>5638.1224776607796</v>
      </c>
      <c r="L27" s="172">
        <f>'2. Weighting'!E$21</f>
        <v>5638.1224776607796</v>
      </c>
    </row>
    <row r="28" spans="1:12" x14ac:dyDescent="0.25">
      <c r="A28" s="23" t="s">
        <v>65</v>
      </c>
      <c r="B28" s="179">
        <v>17024735.382599998</v>
      </c>
      <c r="C28" s="45">
        <f>'5a. Base Counts'!B28*I28</f>
        <v>90114799.741319433</v>
      </c>
      <c r="D28" s="45">
        <f>'5a. Base Counts'!C28*J28</f>
        <v>257759.60721650498</v>
      </c>
      <c r="E28" s="45">
        <f>'5a. Base Counts'!D28*K28</f>
        <v>328627.36548125459</v>
      </c>
      <c r="F28" s="45">
        <f>'5a. Base Counts'!E28*L28</f>
        <v>6597103.1736314101</v>
      </c>
      <c r="G28" s="45">
        <f t="shared" si="0"/>
        <v>113736638.29755084</v>
      </c>
      <c r="I28" s="6">
        <f>'2. Weighting'!E$20</f>
        <v>4123.5</v>
      </c>
      <c r="J28" s="171">
        <f>'2. Weighting'!E$15</f>
        <v>3383.8562123644101</v>
      </c>
      <c r="K28" s="172">
        <f>'2. Weighting'!E$16</f>
        <v>5638.1224776607796</v>
      </c>
      <c r="L28" s="172">
        <f>'2. Weighting'!E$21</f>
        <v>5638.1224776607796</v>
      </c>
    </row>
    <row r="29" spans="1:12" x14ac:dyDescent="0.25">
      <c r="A29" s="23" t="s">
        <v>25</v>
      </c>
      <c r="B29" s="179">
        <v>5332192.5425999993</v>
      </c>
      <c r="C29" s="45">
        <f>'5a. Base Counts'!B29*I29</f>
        <v>0</v>
      </c>
      <c r="D29" s="45">
        <f>'5a. Base Counts'!C29*J29</f>
        <v>189371.96227283386</v>
      </c>
      <c r="E29" s="45">
        <f>'5a. Base Counts'!D29*K29</f>
        <v>11163.482505768347</v>
      </c>
      <c r="F29" s="45">
        <f>'5a. Base Counts'!E29*L29</f>
        <v>749023.82697568368</v>
      </c>
      <c r="G29" s="45">
        <f t="shared" si="0"/>
        <v>6081216.369575683</v>
      </c>
      <c r="I29" s="181">
        <f>'2. Weighting'!E20*'2. Weighting'!I21</f>
        <v>0</v>
      </c>
      <c r="J29" s="171">
        <f>'2. Weighting'!E$15</f>
        <v>3383.8562123644101</v>
      </c>
      <c r="K29" s="172">
        <f>'2. Weighting'!E$16</f>
        <v>5638.1224776607796</v>
      </c>
      <c r="L29" s="172">
        <f>'2. Weighting'!E$21</f>
        <v>5638.1224776607796</v>
      </c>
    </row>
    <row r="30" spans="1:12" x14ac:dyDescent="0.25">
      <c r="A30" s="23" t="s">
        <v>26</v>
      </c>
      <c r="B30" s="179">
        <v>5332192.5425999993</v>
      </c>
      <c r="C30" s="45">
        <f>'5a. Base Counts'!B30*I30</f>
        <v>0</v>
      </c>
      <c r="D30" s="45">
        <f>'5a. Base Counts'!C30*J30</f>
        <v>16366.58454713587</v>
      </c>
      <c r="E30" s="45">
        <f>'5a. Base Counts'!D30*K30</f>
        <v>11332.626180098167</v>
      </c>
      <c r="F30" s="45">
        <f>'5a. Base Counts'!E30*L30</f>
        <v>5072930.9129689559</v>
      </c>
      <c r="G30" s="45">
        <f t="shared" si="0"/>
        <v>10405123.455568954</v>
      </c>
      <c r="I30" s="181">
        <f>'2. Weighting'!E20*'2. Weighting'!I22</f>
        <v>0</v>
      </c>
      <c r="J30" s="171">
        <f>'2. Weighting'!E$15</f>
        <v>3383.8562123644101</v>
      </c>
      <c r="K30" s="172">
        <f>'2. Weighting'!E$16</f>
        <v>5638.1224776607796</v>
      </c>
      <c r="L30" s="172">
        <f>'2. Weighting'!E$21</f>
        <v>5638.1224776607796</v>
      </c>
    </row>
    <row r="31" spans="1:12" x14ac:dyDescent="0.25">
      <c r="A31" s="23" t="s">
        <v>66</v>
      </c>
      <c r="B31" s="179">
        <v>8090964.1475999998</v>
      </c>
      <c r="C31" s="45">
        <f>'5a. Base Counts'!B31*I31</f>
        <v>75537503.072709158</v>
      </c>
      <c r="D31" s="45">
        <f>'5a. Base Counts'!C31*J31</f>
        <v>107606.62755318817</v>
      </c>
      <c r="E31" s="45">
        <f>'5a. Base Counts'!D31*K31</f>
        <v>2223825.855122149</v>
      </c>
      <c r="F31" s="45">
        <f>'5a. Base Counts'!E31*L31</f>
        <v>1136307.2041477535</v>
      </c>
      <c r="G31" s="45">
        <f t="shared" si="0"/>
        <v>84764774.424456909</v>
      </c>
      <c r="I31" s="6">
        <f>'2. Weighting'!E$20</f>
        <v>4123.5</v>
      </c>
      <c r="J31" s="171">
        <f>'2. Weighting'!E$15</f>
        <v>3383.8562123644101</v>
      </c>
      <c r="K31" s="172">
        <f>'2. Weighting'!E$16</f>
        <v>5638.1224776607796</v>
      </c>
      <c r="L31" s="172">
        <f>'2. Weighting'!E$21</f>
        <v>5638.1224776607796</v>
      </c>
    </row>
    <row r="32" spans="1:12" x14ac:dyDescent="0.25">
      <c r="A32" s="23" t="s">
        <v>67</v>
      </c>
      <c r="B32" s="179">
        <v>40454813.509800002</v>
      </c>
      <c r="C32" s="45">
        <f>'5a. Base Counts'!B32*I32</f>
        <v>348640297.63781673</v>
      </c>
      <c r="D32" s="45">
        <f>'5a. Base Counts'!C32*J32</f>
        <v>9533315.5480528362</v>
      </c>
      <c r="E32" s="45">
        <f>'5a. Base Counts'!D32*K32</f>
        <v>26429845.532272026</v>
      </c>
      <c r="F32" s="45">
        <f>'5a. Base Counts'!E32*L32</f>
        <v>31674088.773643427</v>
      </c>
      <c r="G32" s="45">
        <f t="shared" si="0"/>
        <v>420769199.92126018</v>
      </c>
      <c r="I32" s="6">
        <f>'2. Weighting'!E$20</f>
        <v>4123.5</v>
      </c>
      <c r="J32" s="171">
        <f>'2. Weighting'!E$15</f>
        <v>3383.8562123644101</v>
      </c>
      <c r="K32" s="172">
        <f>'2. Weighting'!E$16</f>
        <v>5638.1224776607796</v>
      </c>
      <c r="L32" s="172">
        <f>'2. Weighting'!E$21</f>
        <v>5638.1224776607796</v>
      </c>
    </row>
    <row r="33" spans="1:12" x14ac:dyDescent="0.25">
      <c r="A33" s="23" t="s">
        <v>68</v>
      </c>
      <c r="B33" s="179">
        <v>26295630.898199998</v>
      </c>
      <c r="C33" s="45">
        <f>'5a. Base Counts'!B33*I33</f>
        <v>204500973.57557097</v>
      </c>
      <c r="D33" s="45">
        <f>'5a. Base Counts'!C33*J33</f>
        <v>943768.777149142</v>
      </c>
      <c r="E33" s="45">
        <f>'5a. Base Counts'!D33*K33</f>
        <v>0</v>
      </c>
      <c r="F33" s="45">
        <f>'5a. Base Counts'!E33*L33</f>
        <v>4372439.1563923024</v>
      </c>
      <c r="G33" s="45">
        <f t="shared" si="0"/>
        <v>235169043.63016328</v>
      </c>
      <c r="I33" s="6">
        <f>'2. Weighting'!E$20</f>
        <v>4123.5</v>
      </c>
      <c r="J33" s="171">
        <f>'2. Weighting'!E$15</f>
        <v>3383.8562123644101</v>
      </c>
      <c r="K33" s="172">
        <f>'2. Weighting'!E$16</f>
        <v>5638.1224776607796</v>
      </c>
      <c r="L33" s="172">
        <f>'2. Weighting'!E$21</f>
        <v>5638.1224776607796</v>
      </c>
    </row>
    <row r="34" spans="1:12" x14ac:dyDescent="0.25">
      <c r="A34" s="23" t="s">
        <v>27</v>
      </c>
      <c r="B34" s="179">
        <v>4045480.0085999998</v>
      </c>
      <c r="C34" s="45">
        <f>'5a. Base Counts'!B34*I34</f>
        <v>0</v>
      </c>
      <c r="D34" s="45">
        <f>'5a. Base Counts'!C34*J34</f>
        <v>979615.0939587889</v>
      </c>
      <c r="E34" s="45">
        <f>'5a. Base Counts'!D34*K34</f>
        <v>0</v>
      </c>
      <c r="F34" s="45">
        <f>'5a. Base Counts'!E34*L34</f>
        <v>809991.46888233989</v>
      </c>
      <c r="G34" s="45">
        <f t="shared" si="0"/>
        <v>4855471.4774823394</v>
      </c>
      <c r="I34" s="182">
        <f>'2. Weighting'!E20*'2. Weighting'!I23</f>
        <v>0</v>
      </c>
      <c r="J34" s="171">
        <f>'2. Weighting'!E$15</f>
        <v>3383.8562123644101</v>
      </c>
      <c r="K34" s="172">
        <f>'2. Weighting'!E$16</f>
        <v>5638.1224776607796</v>
      </c>
      <c r="L34" s="172">
        <f>'2. Weighting'!E$21</f>
        <v>5638.1224776607796</v>
      </c>
    </row>
    <row r="35" spans="1:12" x14ac:dyDescent="0.25">
      <c r="A35" s="23" t="s">
        <v>69</v>
      </c>
      <c r="B35" s="179">
        <v>6343562.2866000002</v>
      </c>
      <c r="C35" s="45">
        <f>'5a. Base Counts'!B35*I35</f>
        <v>10015088.074083665</v>
      </c>
      <c r="D35" s="45">
        <f>'5a. Base Counts'!C35*J35</f>
        <v>91792.739520738571</v>
      </c>
      <c r="E35" s="45">
        <f>'5a. Base Counts'!D35*K35</f>
        <v>360576.72618799907</v>
      </c>
      <c r="F35" s="45">
        <f>'5a. Base Counts'!E35*L35</f>
        <v>1579670.3620494055</v>
      </c>
      <c r="G35" s="45">
        <f t="shared" si="0"/>
        <v>17938320.722733069</v>
      </c>
      <c r="I35" s="6">
        <f>'2. Weighting'!E$20</f>
        <v>4123.5</v>
      </c>
      <c r="J35" s="171">
        <f>'2. Weighting'!E$15</f>
        <v>3383.8562123644101</v>
      </c>
      <c r="K35" s="172">
        <f>'2. Weighting'!E$16</f>
        <v>5638.1224776607796</v>
      </c>
      <c r="L35" s="172">
        <f>'2. Weighting'!E$21</f>
        <v>5638.1224776607796</v>
      </c>
    </row>
    <row r="36" spans="1:12" x14ac:dyDescent="0.25">
      <c r="A36" s="23" t="s">
        <v>70</v>
      </c>
      <c r="B36" s="179">
        <v>5393974.0331999995</v>
      </c>
      <c r="C36" s="45">
        <f>'5a. Base Counts'!B36*I36</f>
        <v>35380605.975887068</v>
      </c>
      <c r="D36" s="45">
        <f>'5a. Base Counts'!C36*J36</f>
        <v>1597913.3010820136</v>
      </c>
      <c r="E36" s="45">
        <f>'5a. Base Counts'!D36*K36</f>
        <v>3887936.4981453205</v>
      </c>
      <c r="F36" s="45">
        <f>'5a. Base Counts'!E36*L36</f>
        <v>1568551.4156286481</v>
      </c>
      <c r="G36" s="45">
        <f t="shared" si="0"/>
        <v>42343131.42471572</v>
      </c>
      <c r="I36" s="6">
        <f>'2. Weighting'!E$20</f>
        <v>4123.5</v>
      </c>
      <c r="J36" s="171">
        <f>'2. Weighting'!E$15</f>
        <v>3383.8562123644101</v>
      </c>
      <c r="K36" s="172">
        <f>'2. Weighting'!E$16</f>
        <v>5638.1224776607796</v>
      </c>
      <c r="L36" s="172">
        <f>'2. Weighting'!E$21</f>
        <v>5638.1224776607796</v>
      </c>
    </row>
    <row r="37" spans="1:12" x14ac:dyDescent="0.25">
      <c r="A37" s="23" t="s">
        <v>28</v>
      </c>
      <c r="B37" s="179">
        <v>6742470.1229999997</v>
      </c>
      <c r="C37" s="45">
        <f>'5a. Base Counts'!B37*I37</f>
        <v>0</v>
      </c>
      <c r="D37" s="45">
        <f>'5a. Base Counts'!C37*J37</f>
        <v>2545866.7804137799</v>
      </c>
      <c r="E37" s="45">
        <f>'5a. Base Counts'!D37*K37</f>
        <v>0</v>
      </c>
      <c r="F37" s="45">
        <f>'5a. Base Counts'!E37*L37</f>
        <v>584729.68215819937</v>
      </c>
      <c r="G37" s="45">
        <f t="shared" si="0"/>
        <v>7327199.8051581988</v>
      </c>
      <c r="I37" s="181">
        <f>'2. Weighting'!E20*'2. Weighting'!I24</f>
        <v>0</v>
      </c>
      <c r="J37" s="171">
        <f>'2. Weighting'!E$15</f>
        <v>3383.8562123644101</v>
      </c>
      <c r="K37" s="172">
        <f>'2. Weighting'!E$16</f>
        <v>5638.1224776607796</v>
      </c>
      <c r="L37" s="172">
        <f>'2. Weighting'!E$21</f>
        <v>5638.1224776607796</v>
      </c>
    </row>
    <row r="38" spans="1:12" x14ac:dyDescent="0.25">
      <c r="A38" s="23" t="s">
        <v>71</v>
      </c>
      <c r="B38" s="179">
        <v>4382603.2566</v>
      </c>
      <c r="C38" s="45">
        <f>'5a. Base Counts'!B38*I38</f>
        <v>23845394.099176668</v>
      </c>
      <c r="D38" s="45">
        <f>'5a. Base Counts'!C38*J38</f>
        <v>996241.10748220608</v>
      </c>
      <c r="E38" s="45">
        <f>'5a. Base Counts'!D38*K38</f>
        <v>29562.555524534702</v>
      </c>
      <c r="F38" s="45">
        <f>'5a. Base Counts'!E38*L38</f>
        <v>919371.04494895891</v>
      </c>
      <c r="G38" s="45">
        <f t="shared" si="0"/>
        <v>29147368.400725625</v>
      </c>
      <c r="I38" s="6">
        <f>'2. Weighting'!E$20</f>
        <v>4123.5</v>
      </c>
      <c r="J38" s="171">
        <f>'2. Weighting'!E$15</f>
        <v>3383.8562123644101</v>
      </c>
      <c r="K38" s="172">
        <f>'2. Weighting'!E$16</f>
        <v>5638.1224776607796</v>
      </c>
      <c r="L38" s="172">
        <f>'2. Weighting'!E$21</f>
        <v>5638.1224776607796</v>
      </c>
    </row>
    <row r="39" spans="1:12" x14ac:dyDescent="0.25">
      <c r="A39" s="23" t="s">
        <v>72</v>
      </c>
      <c r="B39" s="179">
        <v>6742470.1229999997</v>
      </c>
      <c r="C39" s="45">
        <f>'5a. Base Counts'!B39*I39</f>
        <v>102959760.3798072</v>
      </c>
      <c r="D39" s="45">
        <f>'5a. Base Counts'!C39*J39</f>
        <v>5555344.4209629027</v>
      </c>
      <c r="E39" s="45">
        <f>'5a. Base Counts'!D39*K39</f>
        <v>38057571.042850956</v>
      </c>
      <c r="F39" s="45">
        <f>'5a. Base Counts'!E39*L39</f>
        <v>288211.21026607015</v>
      </c>
      <c r="G39" s="45">
        <f t="shared" si="0"/>
        <v>109990441.71307327</v>
      </c>
      <c r="I39" s="6">
        <f>'2. Weighting'!E$20</f>
        <v>4123.5</v>
      </c>
      <c r="J39" s="171">
        <f>'2. Weighting'!E$15</f>
        <v>3383.8562123644101</v>
      </c>
      <c r="K39" s="172">
        <f>'2. Weighting'!E$16</f>
        <v>5638.1224776607796</v>
      </c>
      <c r="L39" s="172">
        <f>'2. Weighting'!E$21</f>
        <v>5638.1224776607796</v>
      </c>
    </row>
    <row r="40" spans="1:12" x14ac:dyDescent="0.25">
      <c r="A40" s="23" t="s">
        <v>73</v>
      </c>
      <c r="B40" s="179">
        <v>6742470.1229999997</v>
      </c>
      <c r="C40" s="45">
        <f>'5a. Base Counts'!B40*I40</f>
        <v>45362962.532795496</v>
      </c>
      <c r="D40" s="45">
        <f>'5a. Base Counts'!C40*J40</f>
        <v>769827.28831290337</v>
      </c>
      <c r="E40" s="45">
        <f>'5a. Base Counts'!D40*K40</f>
        <v>1485551.3041556545</v>
      </c>
      <c r="F40" s="45">
        <f>'5a. Base Counts'!E40*L40</f>
        <v>988080.96421005158</v>
      </c>
      <c r="G40" s="45">
        <f t="shared" si="0"/>
        <v>53093513.620005548</v>
      </c>
      <c r="I40" s="6">
        <f>'2. Weighting'!E$20</f>
        <v>4123.5</v>
      </c>
      <c r="J40" s="171">
        <f>'2. Weighting'!E$15</f>
        <v>3383.8562123644101</v>
      </c>
      <c r="K40" s="172">
        <f>'2. Weighting'!E$16</f>
        <v>5638.1224776607796</v>
      </c>
      <c r="L40" s="172">
        <f>'2. Weighting'!E$21</f>
        <v>5638.1224776607796</v>
      </c>
    </row>
    <row r="41" spans="1:12" x14ac:dyDescent="0.25">
      <c r="A41" s="23" t="s">
        <v>74</v>
      </c>
      <c r="B41" s="179">
        <v>4719726.5045999996</v>
      </c>
      <c r="C41" s="45">
        <f>'5a. Base Counts'!B41*I41</f>
        <v>18349442.131666668</v>
      </c>
      <c r="D41" s="45">
        <f>'5a. Base Counts'!C41*J41</f>
        <v>1377838.5725505408</v>
      </c>
      <c r="E41" s="45">
        <f>'5a. Base Counts'!D41*K41</f>
        <v>20842.259425752683</v>
      </c>
      <c r="F41" s="45">
        <f>'5a. Base Counts'!E41*L41</f>
        <v>755865.49309679633</v>
      </c>
      <c r="G41" s="45">
        <f t="shared" si="0"/>
        <v>23825034.129363462</v>
      </c>
      <c r="I41" s="6">
        <f>'2. Weighting'!E$20</f>
        <v>4123.5</v>
      </c>
      <c r="J41" s="171">
        <f>'2. Weighting'!E$15</f>
        <v>3383.8562123644101</v>
      </c>
      <c r="K41" s="172">
        <f>'2. Weighting'!E$16</f>
        <v>5638.1224776607796</v>
      </c>
      <c r="L41" s="172">
        <f>'2. Weighting'!E$21</f>
        <v>5638.1224776607796</v>
      </c>
    </row>
    <row r="42" spans="1:12" x14ac:dyDescent="0.25">
      <c r="A42" s="23" t="s">
        <v>75</v>
      </c>
      <c r="B42" s="179">
        <v>10787952.196799999</v>
      </c>
      <c r="C42" s="45">
        <f>'5a. Base Counts'!B42*I42</f>
        <v>111117127.37688583</v>
      </c>
      <c r="D42" s="45">
        <f>'5a. Base Counts'!C42*J42</f>
        <v>16911768.901030596</v>
      </c>
      <c r="E42" s="45">
        <f>'5a. Base Counts'!D42*K42</f>
        <v>188369.6719786484</v>
      </c>
      <c r="F42" s="45">
        <f>'5a. Base Counts'!E42*L42</f>
        <v>3769066.082574639</v>
      </c>
      <c r="G42" s="45">
        <f t="shared" si="0"/>
        <v>125674145.65626046</v>
      </c>
      <c r="I42" s="6">
        <f>'2. Weighting'!E$20</f>
        <v>4123.5</v>
      </c>
      <c r="J42" s="171">
        <f>'2. Weighting'!E$15</f>
        <v>3383.8562123644101</v>
      </c>
      <c r="K42" s="172">
        <f>'2. Weighting'!E$16</f>
        <v>5638.1224776607796</v>
      </c>
      <c r="L42" s="172">
        <f>'2. Weighting'!E$21</f>
        <v>5638.1224776607796</v>
      </c>
    </row>
    <row r="43" spans="1:12" x14ac:dyDescent="0.25">
      <c r="A43" s="23" t="s">
        <v>76</v>
      </c>
      <c r="B43" s="179">
        <v>5393974.0331999995</v>
      </c>
      <c r="C43" s="45">
        <f>'5a. Base Counts'!B43*I43</f>
        <v>29189825.868233666</v>
      </c>
      <c r="D43" s="45">
        <f>'5a. Base Counts'!C43*J43</f>
        <v>169.19281061822065</v>
      </c>
      <c r="E43" s="45">
        <f>'5a. Base Counts'!D43*K43</f>
        <v>13907.368778229924</v>
      </c>
      <c r="F43" s="45">
        <f>'5a. Base Counts'!E43*L43</f>
        <v>396792.26623617345</v>
      </c>
      <c r="G43" s="45">
        <f t="shared" si="0"/>
        <v>34980592.167669833</v>
      </c>
      <c r="I43" s="6">
        <f>'2. Weighting'!E$20</f>
        <v>4123.5</v>
      </c>
      <c r="J43" s="171">
        <f>'2. Weighting'!E$15</f>
        <v>3383.8562123644101</v>
      </c>
      <c r="K43" s="172">
        <f>'2. Weighting'!E$16</f>
        <v>5638.1224776607796</v>
      </c>
      <c r="L43" s="172">
        <f>'2. Weighting'!E$21</f>
        <v>5638.1224776607796</v>
      </c>
    </row>
    <row r="44" spans="1:12" x14ac:dyDescent="0.25">
      <c r="A44" s="23" t="s">
        <v>77</v>
      </c>
      <c r="B44" s="179">
        <v>5500755.1991999997</v>
      </c>
      <c r="C44" s="45">
        <f>'5a. Base Counts'!B44*I44</f>
        <v>5546298.1256254418</v>
      </c>
      <c r="D44" s="45">
        <f>'5a. Base Counts'!C44*J44</f>
        <v>93541.065230460183</v>
      </c>
      <c r="E44" s="45">
        <f>'5a. Base Counts'!D44*K44</f>
        <v>33941.497315517874</v>
      </c>
      <c r="F44" s="45">
        <f>'5a. Base Counts'!E44*L44</f>
        <v>3595107.0091141956</v>
      </c>
      <c r="G44" s="45">
        <f t="shared" si="0"/>
        <v>14642160.333939638</v>
      </c>
      <c r="I44" s="6">
        <f>'2. Weighting'!E$20</f>
        <v>4123.5</v>
      </c>
      <c r="J44" s="171">
        <f>'2. Weighting'!E$15</f>
        <v>3383.8562123644101</v>
      </c>
      <c r="K44" s="172">
        <f>'2. Weighting'!E$16</f>
        <v>5638.1224776607796</v>
      </c>
      <c r="L44" s="172">
        <f>'2. Weighting'!E$21</f>
        <v>5638.1224776607796</v>
      </c>
    </row>
    <row r="45" spans="1:12" x14ac:dyDescent="0.25">
      <c r="A45" s="23" t="s">
        <v>78</v>
      </c>
      <c r="B45" s="179">
        <v>6742470.1229999997</v>
      </c>
      <c r="C45" s="45">
        <f>'5a. Base Counts'!B45*I45</f>
        <v>69926005.987098321</v>
      </c>
      <c r="D45" s="45">
        <f>'5a. Base Counts'!C45*J45</f>
        <v>922247.45163850428</v>
      </c>
      <c r="E45" s="45">
        <f>'5a. Base Counts'!D45*K45</f>
        <v>2226513.3601698345</v>
      </c>
      <c r="F45" s="45">
        <f>'5a. Base Counts'!E45*L45</f>
        <v>2937950.4481426636</v>
      </c>
      <c r="G45" s="45">
        <f t="shared" si="0"/>
        <v>79606426.55824098</v>
      </c>
      <c r="I45" s="6">
        <f>'2. Weighting'!E$20</f>
        <v>4123.5</v>
      </c>
      <c r="J45" s="171">
        <f>'2. Weighting'!E$15</f>
        <v>3383.8562123644101</v>
      </c>
      <c r="K45" s="172">
        <f>'2. Weighting'!E$16</f>
        <v>5638.1224776607796</v>
      </c>
      <c r="L45" s="172">
        <f>'2. Weighting'!E$21</f>
        <v>5638.1224776607796</v>
      </c>
    </row>
    <row r="46" spans="1:12" x14ac:dyDescent="0.25">
      <c r="A46" s="23" t="s">
        <v>79</v>
      </c>
      <c r="B46" s="179">
        <v>8090964.1475999998</v>
      </c>
      <c r="C46" s="45">
        <f>'5a. Base Counts'!B46*I46</f>
        <v>93050076.376055658</v>
      </c>
      <c r="D46" s="45">
        <f>'5a. Base Counts'!C46*J46</f>
        <v>470853.4749196117</v>
      </c>
      <c r="E46" s="45">
        <f>'5a. Base Counts'!D46*K46</f>
        <v>4940198.0898927441</v>
      </c>
      <c r="F46" s="45">
        <f>'5a. Base Counts'!E46*L46</f>
        <v>1619513.0942248746</v>
      </c>
      <c r="G46" s="45">
        <f t="shared" si="0"/>
        <v>102760553.61788052</v>
      </c>
      <c r="I46" s="6">
        <f>'2. Weighting'!E$20</f>
        <v>4123.5</v>
      </c>
      <c r="J46" s="171">
        <f>'2. Weighting'!E$15</f>
        <v>3383.8562123644101</v>
      </c>
      <c r="K46" s="172">
        <f>'2. Weighting'!E$16</f>
        <v>5638.1224776607796</v>
      </c>
      <c r="L46" s="172">
        <f>'2. Weighting'!E$21</f>
        <v>5638.1224776607796</v>
      </c>
    </row>
    <row r="47" spans="1:12" x14ac:dyDescent="0.25">
      <c r="A47" s="23" t="s">
        <v>80</v>
      </c>
      <c r="B47" s="179">
        <v>16181921.067</v>
      </c>
      <c r="C47" s="45">
        <f>'5a. Base Counts'!B47*I47</f>
        <v>68082664.136978671</v>
      </c>
      <c r="D47" s="45">
        <f>'5a. Base Counts'!C47*J47</f>
        <v>367340.15089357249</v>
      </c>
      <c r="E47" s="45">
        <f>'5a. Base Counts'!D47*K47</f>
        <v>0</v>
      </c>
      <c r="F47" s="45">
        <f>'5a. Base Counts'!E47*L47</f>
        <v>6227043.1641940409</v>
      </c>
      <c r="G47" s="45">
        <f t="shared" si="0"/>
        <v>90491628.36817272</v>
      </c>
      <c r="I47" s="6">
        <f>'2. Weighting'!E$20</f>
        <v>4123.5</v>
      </c>
      <c r="J47" s="171">
        <f>'2. Weighting'!E$15</f>
        <v>3383.8562123644101</v>
      </c>
      <c r="K47" s="172">
        <f>'2. Weighting'!E$16</f>
        <v>5638.1224776607796</v>
      </c>
      <c r="L47" s="172">
        <f>'2. Weighting'!E$21</f>
        <v>5638.1224776607796</v>
      </c>
    </row>
    <row r="48" spans="1:12" x14ac:dyDescent="0.25">
      <c r="A48" s="23" t="s">
        <v>81</v>
      </c>
      <c r="B48" s="179">
        <v>12136444.156199999</v>
      </c>
      <c r="C48" s="45">
        <f>'5a. Base Counts'!B48*I48</f>
        <v>79690259.733594999</v>
      </c>
      <c r="D48" s="45">
        <f>'5a. Base Counts'!C48*J48</f>
        <v>3964142.4347020756</v>
      </c>
      <c r="E48" s="45">
        <f>'5a. Base Counts'!D48*K48</f>
        <v>27745839.69978283</v>
      </c>
      <c r="F48" s="45">
        <f>'5a. Base Counts'!E48*L48</f>
        <v>16491282.722258674</v>
      </c>
      <c r="G48" s="45">
        <f t="shared" si="0"/>
        <v>108317986.61205368</v>
      </c>
      <c r="I48" s="6">
        <f>'2. Weighting'!E$20</f>
        <v>4123.5</v>
      </c>
      <c r="J48" s="171">
        <f>'2. Weighting'!E$15</f>
        <v>3383.8562123644101</v>
      </c>
      <c r="K48" s="172">
        <f>'2. Weighting'!E$16</f>
        <v>5638.1224776607796</v>
      </c>
      <c r="L48" s="172">
        <f>'2. Weighting'!E$21</f>
        <v>5638.1224776607796</v>
      </c>
    </row>
    <row r="49" spans="1:12" x14ac:dyDescent="0.25">
      <c r="A49" s="23" t="s">
        <v>82</v>
      </c>
      <c r="B49" s="179">
        <v>6006439.0385999996</v>
      </c>
      <c r="C49" s="45">
        <f>'5a. Base Counts'!B49*I49</f>
        <v>12937123.880000001</v>
      </c>
      <c r="D49" s="45">
        <f>'5a. Base Counts'!C49*J49</f>
        <v>368964.40187550738</v>
      </c>
      <c r="E49" s="45">
        <f>'5a. Base Counts'!D49*K49</f>
        <v>294216.02462593175</v>
      </c>
      <c r="F49" s="45">
        <f>'5a. Base Counts'!E49*L49</f>
        <v>2182686.3547768174</v>
      </c>
      <c r="G49" s="45">
        <f t="shared" si="0"/>
        <v>21126249.273376819</v>
      </c>
      <c r="I49" s="6">
        <f>'2. Weighting'!E$20</f>
        <v>4123.5</v>
      </c>
      <c r="J49" s="171">
        <f>'2. Weighting'!E$15</f>
        <v>3383.8562123644101</v>
      </c>
      <c r="K49" s="172">
        <f>'2. Weighting'!E$16</f>
        <v>5638.1224776607796</v>
      </c>
      <c r="L49" s="172">
        <f>'2. Weighting'!E$21</f>
        <v>5638.1224776607796</v>
      </c>
    </row>
    <row r="50" spans="1:12" x14ac:dyDescent="0.25">
      <c r="A50" s="23" t="s">
        <v>83</v>
      </c>
      <c r="B50" s="179">
        <v>5393976.0983999996</v>
      </c>
      <c r="C50" s="45">
        <f>'5a. Base Counts'!B50*I50</f>
        <v>50810481.904940002</v>
      </c>
      <c r="D50" s="45">
        <f>'5a. Base Counts'!C50*J50</f>
        <v>1521460.7097239937</v>
      </c>
      <c r="E50" s="45">
        <f>'5a. Base Counts'!D50*K50</f>
        <v>209869.71236012649</v>
      </c>
      <c r="F50" s="45">
        <f>'5a. Base Counts'!E50*L50</f>
        <v>2188437.239704032</v>
      </c>
      <c r="G50" s="45">
        <f t="shared" si="0"/>
        <v>58392895.243044034</v>
      </c>
      <c r="I50" s="6">
        <f>'2. Weighting'!E$20</f>
        <v>4123.5</v>
      </c>
      <c r="J50" s="171">
        <f>'2. Weighting'!E$15</f>
        <v>3383.8562123644101</v>
      </c>
      <c r="K50" s="172">
        <f>'2. Weighting'!E$16</f>
        <v>5638.1224776607796</v>
      </c>
      <c r="L50" s="172">
        <f>'2. Weighting'!E$21</f>
        <v>5638.1224776607796</v>
      </c>
    </row>
    <row r="51" spans="1:12" x14ac:dyDescent="0.25">
      <c r="A51" s="23" t="s">
        <v>84</v>
      </c>
      <c r="B51" s="179">
        <v>12810689.6196</v>
      </c>
      <c r="C51" s="45">
        <f>'5a. Base Counts'!B51*I51</f>
        <v>119721959.44209267</v>
      </c>
      <c r="D51" s="45">
        <f>'5a. Base Counts'!C51*J51</f>
        <v>644094.47098214971</v>
      </c>
      <c r="E51" s="45">
        <f>'5a. Base Counts'!D51*K51</f>
        <v>0</v>
      </c>
      <c r="F51" s="45">
        <f>'5a. Base Counts'!E51*L51</f>
        <v>5853761.8686897121</v>
      </c>
      <c r="G51" s="45">
        <f t="shared" si="0"/>
        <v>138386410.93038237</v>
      </c>
      <c r="I51" s="6">
        <f>'2. Weighting'!E$20</f>
        <v>4123.5</v>
      </c>
      <c r="J51" s="171">
        <f>'2. Weighting'!E$15</f>
        <v>3383.8562123644101</v>
      </c>
      <c r="K51" s="172">
        <f>'2. Weighting'!E$16</f>
        <v>5638.1224776607796</v>
      </c>
      <c r="L51" s="172">
        <f>'2. Weighting'!E$21</f>
        <v>5638.1224776607796</v>
      </c>
    </row>
    <row r="52" spans="1:12" x14ac:dyDescent="0.25">
      <c r="A52" s="23" t="s">
        <v>85</v>
      </c>
      <c r="B52" s="179">
        <v>8765209.6109999996</v>
      </c>
      <c r="C52" s="45">
        <f>'5a. Base Counts'!B52*I52</f>
        <v>61394626.211992815</v>
      </c>
      <c r="D52" s="45">
        <f>'5a. Base Counts'!C52*J52</f>
        <v>1319139.961450103</v>
      </c>
      <c r="E52" s="45">
        <f>'5a. Base Counts'!D52*K52</f>
        <v>294122.04276235157</v>
      </c>
      <c r="F52" s="45">
        <f>'5a. Base Counts'!E52*L52</f>
        <v>2621760.5219217427</v>
      </c>
      <c r="G52" s="45">
        <f t="shared" si="0"/>
        <v>72781596.344914556</v>
      </c>
      <c r="I52" s="6">
        <f>'2. Weighting'!E$20</f>
        <v>4123.5</v>
      </c>
      <c r="J52" s="171">
        <f>'2. Weighting'!E$15</f>
        <v>3383.8562123644101</v>
      </c>
      <c r="K52" s="172">
        <f>'2. Weighting'!E$16</f>
        <v>5638.1224776607796</v>
      </c>
      <c r="L52" s="172">
        <f>'2. Weighting'!E$21</f>
        <v>5638.1224776607796</v>
      </c>
    </row>
    <row r="53" spans="1:12" x14ac:dyDescent="0.25">
      <c r="A53" s="23" t="s">
        <v>86</v>
      </c>
      <c r="B53" s="179">
        <v>20901657.897599999</v>
      </c>
      <c r="C53" s="45">
        <f>'5a. Base Counts'!B53*I53</f>
        <v>131193674.60912351</v>
      </c>
      <c r="D53" s="45">
        <f>'5a. Base Counts'!C53*J53</f>
        <v>6923020.1453556372</v>
      </c>
      <c r="E53" s="45">
        <f>'5a. Base Counts'!D53*K53</f>
        <v>33691841.252207071</v>
      </c>
      <c r="F53" s="45">
        <f>'5a. Base Counts'!E53*L53</f>
        <v>6515057.2540945457</v>
      </c>
      <c r="G53" s="45">
        <f t="shared" si="0"/>
        <v>158610389.76081806</v>
      </c>
      <c r="I53" s="6">
        <f>'2. Weighting'!E$20</f>
        <v>4123.5</v>
      </c>
      <c r="J53" s="171">
        <f>'2. Weighting'!E$15</f>
        <v>3383.8562123644101</v>
      </c>
      <c r="K53" s="172">
        <f>'2. Weighting'!E$16</f>
        <v>5638.1224776607796</v>
      </c>
      <c r="L53" s="172">
        <f>'2. Weighting'!E$21</f>
        <v>5638.1224776607796</v>
      </c>
    </row>
    <row r="54" spans="1:12" x14ac:dyDescent="0.25">
      <c r="A54" s="23" t="s">
        <v>29</v>
      </c>
      <c r="B54" s="179">
        <v>13653501.869999999</v>
      </c>
      <c r="C54" s="45">
        <f>'5a. Base Counts'!B54*I54</f>
        <v>0</v>
      </c>
      <c r="D54" s="45">
        <f>'5a. Base Counts'!C54*J54</f>
        <v>5691016.158039297</v>
      </c>
      <c r="E54" s="45">
        <f>'5a. Base Counts'!D54*K54</f>
        <v>21862233.369444702</v>
      </c>
      <c r="F54" s="45">
        <f>'5a. Base Counts'!E54*L54</f>
        <v>1764224.9044848343</v>
      </c>
      <c r="G54" s="45">
        <f t="shared" si="0"/>
        <v>15417726.774484834</v>
      </c>
      <c r="I54" s="181">
        <f>'2. Weighting'!E20*'2. Weighting'!I25</f>
        <v>0</v>
      </c>
      <c r="J54" s="171">
        <f>'2. Weighting'!E$15</f>
        <v>3383.8562123644101</v>
      </c>
      <c r="K54" s="172">
        <f>'2. Weighting'!E$16</f>
        <v>5638.1224776607796</v>
      </c>
      <c r="L54" s="172">
        <f>'2. Weighting'!E$21</f>
        <v>5638.1224776607796</v>
      </c>
    </row>
    <row r="55" spans="1:12" x14ac:dyDescent="0.25">
      <c r="A55" s="23" t="s">
        <v>87</v>
      </c>
      <c r="B55" s="179">
        <v>6742470.1229999997</v>
      </c>
      <c r="C55" s="45">
        <f>'5a. Base Counts'!B55*I55</f>
        <v>60053206.135604337</v>
      </c>
      <c r="D55" s="45">
        <f>'5a. Base Counts'!C55*J55</f>
        <v>570687.35021525784</v>
      </c>
      <c r="E55" s="45">
        <f>'5a. Base Counts'!D55*K55</f>
        <v>0</v>
      </c>
      <c r="F55" s="45">
        <f>'5a. Base Counts'!E55*L55</f>
        <v>3349815.2951357835</v>
      </c>
      <c r="G55" s="45">
        <f t="shared" si="0"/>
        <v>70145491.553740114</v>
      </c>
      <c r="I55" s="6">
        <f>'2. Weighting'!E$20</f>
        <v>4123.5</v>
      </c>
      <c r="J55" s="171">
        <f>'2. Weighting'!E$15</f>
        <v>3383.8562123644101</v>
      </c>
      <c r="K55" s="172">
        <f>'2. Weighting'!E$16</f>
        <v>5638.1224776607796</v>
      </c>
      <c r="L55" s="172">
        <f>'2. Weighting'!E$21</f>
        <v>5638.1224776607796</v>
      </c>
    </row>
    <row r="56" spans="1:12" x14ac:dyDescent="0.25">
      <c r="A56" s="23" t="s">
        <v>88</v>
      </c>
      <c r="B56" s="179">
        <v>8090961.0498000002</v>
      </c>
      <c r="C56" s="45">
        <f>'5a. Base Counts'!B56*I56</f>
        <v>0</v>
      </c>
      <c r="D56" s="45">
        <f>'5a. Base Counts'!C56*J56</f>
        <v>849652.43267558608</v>
      </c>
      <c r="E56" s="45">
        <f>'5a. Base Counts'!D56*K56</f>
        <v>0</v>
      </c>
      <c r="F56" s="45">
        <f>'5a. Base Counts'!E56*L56</f>
        <v>1520902.3320905876</v>
      </c>
      <c r="G56" s="45">
        <f t="shared" si="0"/>
        <v>9611863.3818905875</v>
      </c>
      <c r="I56" s="181">
        <f>'2. Weighting'!E20*'2. Weighting'!I26</f>
        <v>0</v>
      </c>
      <c r="J56" s="171">
        <f>'2. Weighting'!E$15</f>
        <v>3383.8562123644101</v>
      </c>
      <c r="K56" s="172">
        <f>'2. Weighting'!E$16</f>
        <v>5638.1224776607796</v>
      </c>
      <c r="L56" s="172">
        <f>'2. Weighting'!E$21</f>
        <v>5638.1224776607796</v>
      </c>
    </row>
    <row r="57" spans="1:12" x14ac:dyDescent="0.25">
      <c r="A57" s="23" t="s">
        <v>89</v>
      </c>
      <c r="B57" s="179">
        <v>5393974.0331999995</v>
      </c>
      <c r="C57" s="45">
        <f>'5a. Base Counts'!B57*I57</f>
        <v>25399637.491666663</v>
      </c>
      <c r="D57" s="45">
        <f>'5a. Base Counts'!C57*J57</f>
        <v>1538222.0774959058</v>
      </c>
      <c r="E57" s="45">
        <f>'5a. Base Counts'!D57*K57</f>
        <v>1286168.499603977</v>
      </c>
      <c r="F57" s="45">
        <f>'5a. Base Counts'!E57*L57</f>
        <v>5682532.0890431534</v>
      </c>
      <c r="G57" s="45">
        <f t="shared" si="0"/>
        <v>36476143.613909818</v>
      </c>
      <c r="I57" s="6">
        <f>'2. Weighting'!E$20</f>
        <v>4123.5</v>
      </c>
      <c r="J57" s="171">
        <f>'2. Weighting'!E$15</f>
        <v>3383.8562123644101</v>
      </c>
      <c r="K57" s="172">
        <f>'2. Weighting'!E$16</f>
        <v>5638.1224776607796</v>
      </c>
      <c r="L57" s="172">
        <f>'2. Weighting'!E$21</f>
        <v>5638.1224776607796</v>
      </c>
    </row>
    <row r="58" spans="1:12" x14ac:dyDescent="0.25">
      <c r="A58" s="23" t="s">
        <v>90</v>
      </c>
      <c r="B58" s="179">
        <v>12136441.0584</v>
      </c>
      <c r="C58" s="45">
        <f>'5a. Base Counts'!B58*I58</f>
        <v>59060088.708333328</v>
      </c>
      <c r="D58" s="45">
        <f>'5a. Base Counts'!C58*J58</f>
        <v>121863.94172795033</v>
      </c>
      <c r="E58" s="45">
        <f>'5a. Base Counts'!D58*K58</f>
        <v>0</v>
      </c>
      <c r="F58" s="45">
        <f>'5a. Base Counts'!E58*L58</f>
        <v>5370274.0724887084</v>
      </c>
      <c r="G58" s="45">
        <f t="shared" si="0"/>
        <v>76566803.839222044</v>
      </c>
      <c r="I58" s="6">
        <f>'2. Weighting'!E$20</f>
        <v>4123.5</v>
      </c>
      <c r="J58" s="171">
        <f>'2. Weighting'!E$15</f>
        <v>3383.8562123644101</v>
      </c>
      <c r="K58" s="172">
        <f>'2. Weighting'!E$16</f>
        <v>5638.1224776607796</v>
      </c>
      <c r="L58" s="172">
        <f>'2. Weighting'!E$21</f>
        <v>5638.1224776607796</v>
      </c>
    </row>
    <row r="59" spans="1:12" x14ac:dyDescent="0.25">
      <c r="A59" s="23" t="s">
        <v>91</v>
      </c>
      <c r="B59" s="179">
        <v>7416716.6189999999</v>
      </c>
      <c r="C59" s="45">
        <f>'5a. Base Counts'!B59*I59</f>
        <v>45530051.345000006</v>
      </c>
      <c r="D59" s="45">
        <f>'5a. Base Counts'!C59*J59</f>
        <v>3603524.8781503998</v>
      </c>
      <c r="E59" s="45">
        <f>'5a. Base Counts'!D59*K59</f>
        <v>1892830.4782002771</v>
      </c>
      <c r="F59" s="45">
        <f>'5a. Base Counts'!E59*L59</f>
        <v>690143.77874886373</v>
      </c>
      <c r="G59" s="45">
        <f t="shared" si="0"/>
        <v>53636911.742748871</v>
      </c>
      <c r="I59" s="6">
        <f>'2. Weighting'!E$20</f>
        <v>4123.5</v>
      </c>
      <c r="J59" s="171">
        <f>'2. Weighting'!E$15</f>
        <v>3383.8562123644101</v>
      </c>
      <c r="K59" s="172">
        <f>'2. Weighting'!E$16</f>
        <v>5638.1224776607796</v>
      </c>
      <c r="L59" s="172">
        <f>'2. Weighting'!E$21</f>
        <v>5638.1224776607796</v>
      </c>
    </row>
    <row r="60" spans="1:12" x14ac:dyDescent="0.25">
      <c r="A60" s="23" t="s">
        <v>92</v>
      </c>
      <c r="B60" s="179">
        <v>6742470.1229999997</v>
      </c>
      <c r="C60" s="45">
        <f>'5a. Base Counts'!B60*I60</f>
        <v>61451246.192802995</v>
      </c>
      <c r="D60" s="45">
        <f>'5a. Base Counts'!C60*J60</f>
        <v>822773.35851569835</v>
      </c>
      <c r="E60" s="45">
        <f>'5a. Base Counts'!D60*K60</f>
        <v>1022642.6549981122</v>
      </c>
      <c r="F60" s="45">
        <f>'5a. Base Counts'!E60*L60</f>
        <v>4937228.6787211765</v>
      </c>
      <c r="G60" s="45">
        <f t="shared" si="0"/>
        <v>73130944.994524166</v>
      </c>
      <c r="I60" s="6">
        <f>'2. Weighting'!E$20</f>
        <v>4123.5</v>
      </c>
      <c r="J60" s="171">
        <f>'2. Weighting'!E$15</f>
        <v>3383.8562123644101</v>
      </c>
      <c r="K60" s="172">
        <f>'2. Weighting'!E$16</f>
        <v>5638.1224776607796</v>
      </c>
      <c r="L60" s="172">
        <f>'2. Weighting'!E$21</f>
        <v>5638.1224776607796</v>
      </c>
    </row>
    <row r="61" spans="1:12" x14ac:dyDescent="0.25">
      <c r="A61" s="23" t="s">
        <v>31</v>
      </c>
      <c r="B61" s="179">
        <v>8090964.1475999998</v>
      </c>
      <c r="C61" s="45">
        <f>'5a. Base Counts'!B61*I61</f>
        <v>0</v>
      </c>
      <c r="D61" s="45">
        <f>'5a. Base Counts'!C61*J61</f>
        <v>2176485.0362720806</v>
      </c>
      <c r="E61" s="45">
        <f>'5a. Base Counts'!D61*K61</f>
        <v>516564.78140328068</v>
      </c>
      <c r="F61" s="45">
        <f>'5a. Base Counts'!E61*L61</f>
        <v>1501413.2220594732</v>
      </c>
      <c r="G61" s="45">
        <f t="shared" si="0"/>
        <v>9592377.3696594723</v>
      </c>
      <c r="I61" s="181">
        <f>'2. Weighting'!E20*'2. Weighting'!I27</f>
        <v>0</v>
      </c>
      <c r="J61" s="171">
        <f>'2. Weighting'!E$15</f>
        <v>3383.8562123644101</v>
      </c>
      <c r="K61" s="172">
        <f>'2. Weighting'!E$16</f>
        <v>5638.1224776607796</v>
      </c>
      <c r="L61" s="172">
        <f>'2. Weighting'!E$21</f>
        <v>5638.1224776607796</v>
      </c>
    </row>
    <row r="62" spans="1:12" x14ac:dyDescent="0.25">
      <c r="A62" s="23" t="s">
        <v>93</v>
      </c>
      <c r="B62" s="179">
        <v>8090964.1475999998</v>
      </c>
      <c r="C62" s="45">
        <f>'5a. Base Counts'!B62*I62</f>
        <v>38309644.925029673</v>
      </c>
      <c r="D62" s="45">
        <f>'5a. Base Counts'!C62*J62</f>
        <v>969756.79286010051</v>
      </c>
      <c r="E62" s="45">
        <f>'5a. Base Counts'!D62*K62</f>
        <v>387019.52060822805</v>
      </c>
      <c r="F62" s="45">
        <f>'5a. Base Counts'!E62*L62</f>
        <v>2909590.6920800293</v>
      </c>
      <c r="G62" s="45">
        <f t="shared" si="0"/>
        <v>49310199.764709704</v>
      </c>
      <c r="I62" s="6">
        <f>'2. Weighting'!E$20</f>
        <v>4123.5</v>
      </c>
      <c r="J62" s="171">
        <f>'2. Weighting'!E$15</f>
        <v>3383.8562123644101</v>
      </c>
      <c r="K62" s="172">
        <f>'2. Weighting'!E$16</f>
        <v>5638.1224776607796</v>
      </c>
      <c r="L62" s="172">
        <f>'2. Weighting'!E$21</f>
        <v>5638.1224776607796</v>
      </c>
    </row>
    <row r="63" spans="1:12" x14ac:dyDescent="0.25">
      <c r="A63" s="23" t="s">
        <v>94</v>
      </c>
      <c r="B63" s="179">
        <v>4045480.0085999998</v>
      </c>
      <c r="C63" s="45">
        <f>'5a. Base Counts'!B63*I63</f>
        <v>25176776.7759162</v>
      </c>
      <c r="D63" s="45">
        <f>'5a. Base Counts'!C63*J63</f>
        <v>386075.43478936347</v>
      </c>
      <c r="E63" s="45">
        <f>'5a. Base Counts'!D63*K63</f>
        <v>53731.307212107233</v>
      </c>
      <c r="F63" s="45">
        <f>'5a. Base Counts'!E63*L63</f>
        <v>4366853.3299326403</v>
      </c>
      <c r="G63" s="45">
        <f t="shared" si="0"/>
        <v>33589110.114448838</v>
      </c>
      <c r="I63" s="6">
        <f>'2. Weighting'!E$20</f>
        <v>4123.5</v>
      </c>
      <c r="J63" s="171">
        <f>'2. Weighting'!E$15</f>
        <v>3383.8562123644101</v>
      </c>
      <c r="K63" s="172">
        <f>'2. Weighting'!E$16</f>
        <v>5638.1224776607796</v>
      </c>
      <c r="L63" s="172">
        <f>'2. Weighting'!E$21</f>
        <v>5638.1224776607796</v>
      </c>
    </row>
    <row r="64" spans="1:12" x14ac:dyDescent="0.25">
      <c r="A64" s="23" t="s">
        <v>95</v>
      </c>
      <c r="B64" s="179">
        <v>6911032.7796</v>
      </c>
      <c r="C64" s="45">
        <f>'5a. Base Counts'!B64*I64</f>
        <v>52129754.494023673</v>
      </c>
      <c r="D64" s="45">
        <f>'5a. Base Counts'!C64*J64</f>
        <v>1291200.5739933038</v>
      </c>
      <c r="E64" s="45">
        <f>'5a. Base Counts'!D64*K64</f>
        <v>72355.905129980005</v>
      </c>
      <c r="F64" s="45">
        <f>'5a. Base Counts'!E64*L64</f>
        <v>2812239.1106324201</v>
      </c>
      <c r="G64" s="45">
        <f t="shared" si="0"/>
        <v>61853026.384256095</v>
      </c>
      <c r="I64" s="6">
        <f>'2. Weighting'!E$20</f>
        <v>4123.5</v>
      </c>
      <c r="J64" s="171">
        <f>'2. Weighting'!E$15</f>
        <v>3383.8562123644101</v>
      </c>
      <c r="K64" s="172">
        <f>'2. Weighting'!E$16</f>
        <v>5638.1224776607796</v>
      </c>
      <c r="L64" s="172">
        <f>'2. Weighting'!E$21</f>
        <v>5638.1224776607796</v>
      </c>
    </row>
    <row r="65" spans="1:12" x14ac:dyDescent="0.25">
      <c r="A65" s="23" t="s">
        <v>96</v>
      </c>
      <c r="B65" s="179">
        <v>5332192.5425999993</v>
      </c>
      <c r="C65" s="45">
        <f>'5a. Base Counts'!B65*I65</f>
        <v>5683598.7350000003</v>
      </c>
      <c r="D65" s="45">
        <f>'5a. Base Counts'!C65*J65</f>
        <v>419744.80410238932</v>
      </c>
      <c r="E65" s="45">
        <f>'5a. Base Counts'!D65*K65</f>
        <v>4325323.246220652</v>
      </c>
      <c r="F65" s="45">
        <f>'5a. Base Counts'!E65*L65</f>
        <v>257511.84729636009</v>
      </c>
      <c r="G65" s="45">
        <f t="shared" si="0"/>
        <v>11273303.124896361</v>
      </c>
      <c r="I65" s="6">
        <f>'2. Weighting'!E$20</f>
        <v>4123.5</v>
      </c>
      <c r="J65" s="171">
        <f>'2. Weighting'!E$15</f>
        <v>3383.8562123644101</v>
      </c>
      <c r="K65" s="172">
        <f>'2. Weighting'!E$16</f>
        <v>5638.1224776607796</v>
      </c>
      <c r="L65" s="172">
        <f>'2. Weighting'!E$21</f>
        <v>5638.1224776607796</v>
      </c>
    </row>
    <row r="66" spans="1:12" x14ac:dyDescent="0.25">
      <c r="A66" s="23" t="s">
        <v>97</v>
      </c>
      <c r="B66" s="179">
        <v>6742469.0904000001</v>
      </c>
      <c r="C66" s="45">
        <f>'5a. Base Counts'!B66*I66</f>
        <v>24985115.781666663</v>
      </c>
      <c r="D66" s="45">
        <f>'5a. Base Counts'!C66*J66</f>
        <v>317044.24468736857</v>
      </c>
      <c r="E66" s="45">
        <f>'5a. Base Counts'!D66*K66</f>
        <v>0</v>
      </c>
      <c r="F66" s="45">
        <f>'5a. Base Counts'!E66*L66</f>
        <v>2164700.7440730794</v>
      </c>
      <c r="G66" s="45">
        <f t="shared" si="0"/>
        <v>33892285.61613974</v>
      </c>
      <c r="I66" s="6">
        <f>'2. Weighting'!E$20</f>
        <v>4123.5</v>
      </c>
      <c r="J66" s="171">
        <f>'2. Weighting'!E$15</f>
        <v>3383.8562123644101</v>
      </c>
      <c r="K66" s="172">
        <f>'2. Weighting'!E$16</f>
        <v>5638.1224776607796</v>
      </c>
      <c r="L66" s="172">
        <f>'2. Weighting'!E$21</f>
        <v>5638.1224776607796</v>
      </c>
    </row>
    <row r="67" spans="1:12" x14ac:dyDescent="0.25">
      <c r="A67" s="23" t="s">
        <v>98</v>
      </c>
      <c r="B67" s="179">
        <v>9776581.4201999996</v>
      </c>
      <c r="C67" s="45">
        <f>'5a. Base Counts'!B67*I67</f>
        <v>65792637.118333332</v>
      </c>
      <c r="D67" s="45">
        <f>'5a. Base Counts'!C67*J67</f>
        <v>8572909.5026745144</v>
      </c>
      <c r="E67" s="45">
        <f>'5a. Base Counts'!D67*K67</f>
        <v>3894194.8140955237</v>
      </c>
      <c r="F67" s="45">
        <f>'5a. Base Counts'!E67*L67</f>
        <v>3088206.4121723231</v>
      </c>
      <c r="G67" s="45">
        <f t="shared" si="0"/>
        <v>78657424.950705647</v>
      </c>
      <c r="I67" s="6">
        <f>'2. Weighting'!E$20</f>
        <v>4123.5</v>
      </c>
      <c r="J67" s="171">
        <f>'2. Weighting'!E$15</f>
        <v>3383.8562123644101</v>
      </c>
      <c r="K67" s="172">
        <f>'2. Weighting'!E$16</f>
        <v>5638.1224776607796</v>
      </c>
      <c r="L67" s="172">
        <f>'2. Weighting'!E$21</f>
        <v>5638.1224776607796</v>
      </c>
    </row>
    <row r="68" spans="1:12" x14ac:dyDescent="0.25">
      <c r="A68" s="23" t="s">
        <v>99</v>
      </c>
      <c r="B68" s="179">
        <v>9439458.1721999999</v>
      </c>
      <c r="C68" s="45">
        <f>'5a. Base Counts'!B68*I68</f>
        <v>0</v>
      </c>
      <c r="D68" s="45">
        <f>'5a. Base Counts'!C68*J68</f>
        <v>7036323.1124665905</v>
      </c>
      <c r="E68" s="45">
        <f>'5a. Base Counts'!D68*K68</f>
        <v>7438638.0971601577</v>
      </c>
      <c r="F68" s="45">
        <f>'5a. Base Counts'!E68*L68</f>
        <v>4630420.8472284693</v>
      </c>
      <c r="G68" s="45">
        <f t="shared" si="0"/>
        <v>14069879.019428469</v>
      </c>
      <c r="I68" s="181">
        <f>'2. Weighting'!E20*'2. Weighting'!I28</f>
        <v>0</v>
      </c>
      <c r="J68" s="171">
        <f>'2. Weighting'!E$15</f>
        <v>3383.8562123644101</v>
      </c>
      <c r="K68" s="172">
        <f>'2. Weighting'!E$16</f>
        <v>5638.1224776607796</v>
      </c>
      <c r="L68" s="172">
        <f>'2. Weighting'!E$21</f>
        <v>5638.1224776607796</v>
      </c>
    </row>
    <row r="69" spans="1:12" x14ac:dyDescent="0.25">
      <c r="A69" s="23" t="s">
        <v>100</v>
      </c>
      <c r="B69" s="179">
        <v>9439458.1721999999</v>
      </c>
      <c r="C69" s="45">
        <f>'5a. Base Counts'!B69*I69</f>
        <v>56846057.859289497</v>
      </c>
      <c r="D69" s="45">
        <f>'5a. Base Counts'!C69*J69</f>
        <v>964523.09525164345</v>
      </c>
      <c r="E69" s="45">
        <f>'5a. Base Counts'!D69*K69</f>
        <v>61042.072691474008</v>
      </c>
      <c r="F69" s="45">
        <f>'5a. Base Counts'!E69*L69</f>
        <v>1854735.5639928824</v>
      </c>
      <c r="G69" s="45">
        <f t="shared" si="0"/>
        <v>68140251.595482379</v>
      </c>
      <c r="I69" s="6">
        <f>'2. Weighting'!E$20</f>
        <v>4123.5</v>
      </c>
      <c r="J69" s="171">
        <f>'2. Weighting'!E$15</f>
        <v>3383.8562123644101</v>
      </c>
      <c r="K69" s="172">
        <f>'2. Weighting'!E$16</f>
        <v>5638.1224776607796</v>
      </c>
      <c r="L69" s="172">
        <f>'2. Weighting'!E$21</f>
        <v>5638.1224776607796</v>
      </c>
    </row>
    <row r="70" spans="1:12" x14ac:dyDescent="0.25">
      <c r="A70" s="23" t="s">
        <v>101</v>
      </c>
      <c r="B70" s="179">
        <v>15507677.6688</v>
      </c>
      <c r="C70" s="45">
        <f>'5a. Base Counts'!B70*I70</f>
        <v>118618582.20796536</v>
      </c>
      <c r="D70" s="45">
        <f>'5a. Base Counts'!C70*J70</f>
        <v>1138554.8202535452</v>
      </c>
      <c r="E70" s="45">
        <f>'5a. Base Counts'!D70*K70</f>
        <v>1045758.9571565215</v>
      </c>
      <c r="F70" s="45">
        <f>'5a. Base Counts'!E70*L70</f>
        <v>11001273.722086042</v>
      </c>
      <c r="G70" s="45">
        <f t="shared" si="0"/>
        <v>145127533.59885138</v>
      </c>
      <c r="I70" s="6">
        <f>'2. Weighting'!E$20</f>
        <v>4123.5</v>
      </c>
      <c r="J70" s="171">
        <f>'2. Weighting'!E$15</f>
        <v>3383.8562123644101</v>
      </c>
      <c r="K70" s="172">
        <f>'2. Weighting'!E$16</f>
        <v>5638.1224776607796</v>
      </c>
      <c r="L70" s="172">
        <f>'2. Weighting'!E$21</f>
        <v>5638.1224776607796</v>
      </c>
    </row>
    <row r="71" spans="1:12" x14ac:dyDescent="0.25">
      <c r="A71" s="23" t="s">
        <v>102</v>
      </c>
      <c r="B71" s="179">
        <v>13484938.1808</v>
      </c>
      <c r="C71" s="45">
        <f>'5a. Base Counts'!B71*I71</f>
        <v>98068341.476902351</v>
      </c>
      <c r="D71" s="45">
        <f>'5a. Base Counts'!C71*J71</f>
        <v>429242.16053842538</v>
      </c>
      <c r="E71" s="45">
        <f>'5a. Base Counts'!D71*K71</f>
        <v>31122.4360766875</v>
      </c>
      <c r="F71" s="45">
        <f>'5a. Base Counts'!E71*L71</f>
        <v>12261431.683326412</v>
      </c>
      <c r="G71" s="45">
        <f t="shared" ref="G71:G77" si="1">SUM(B71+C71+F71)</f>
        <v>123814711.34102876</v>
      </c>
      <c r="I71" s="6">
        <f>'2. Weighting'!E$20</f>
        <v>4123.5</v>
      </c>
      <c r="J71" s="171">
        <f>'2. Weighting'!E$15</f>
        <v>3383.8562123644101</v>
      </c>
      <c r="K71" s="172">
        <f>'2. Weighting'!E$16</f>
        <v>5638.1224776607796</v>
      </c>
      <c r="L71" s="172">
        <f>'2. Weighting'!E$21</f>
        <v>5638.1224776607796</v>
      </c>
    </row>
    <row r="72" spans="1:12" x14ac:dyDescent="0.25">
      <c r="A72" s="23" t="s">
        <v>103</v>
      </c>
      <c r="B72" s="179">
        <v>4045480.0085999998</v>
      </c>
      <c r="C72" s="45">
        <f>'5a. Base Counts'!B72*I72</f>
        <v>38196554.503112338</v>
      </c>
      <c r="D72" s="45">
        <f>'5a. Base Counts'!C72*J72</f>
        <v>174336.2720610144</v>
      </c>
      <c r="E72" s="45">
        <f>'5a. Base Counts'!D72*K72</f>
        <v>0</v>
      </c>
      <c r="F72" s="45">
        <f>'5a. Base Counts'!E72*L72</f>
        <v>573434.64346128562</v>
      </c>
      <c r="G72" s="45">
        <f t="shared" si="1"/>
        <v>42815469.155173622</v>
      </c>
      <c r="I72" s="6">
        <f>'2. Weighting'!E$20</f>
        <v>4123.5</v>
      </c>
      <c r="J72" s="171">
        <f>'2. Weighting'!E$15</f>
        <v>3383.8562123644101</v>
      </c>
      <c r="K72" s="172">
        <f>'2. Weighting'!E$16</f>
        <v>5638.1224776607796</v>
      </c>
      <c r="L72" s="172">
        <f>'2. Weighting'!E$21</f>
        <v>5638.1224776607796</v>
      </c>
    </row>
    <row r="73" spans="1:12" x14ac:dyDescent="0.25">
      <c r="A73" s="23" t="s">
        <v>104</v>
      </c>
      <c r="B73" s="179">
        <v>8428084.2977999989</v>
      </c>
      <c r="C73" s="45">
        <f>'5a. Base Counts'!B73*I73</f>
        <v>21743322.120944738</v>
      </c>
      <c r="D73" s="45">
        <f>'5a. Base Counts'!C73*J73</f>
        <v>997673.60661210702</v>
      </c>
      <c r="E73" s="45">
        <f>'5a. Base Counts'!D73*K73</f>
        <v>0</v>
      </c>
      <c r="F73" s="45">
        <f>'5a. Base Counts'!E73*L73</f>
        <v>2683237.6865244871</v>
      </c>
      <c r="G73" s="45">
        <f t="shared" si="1"/>
        <v>32854644.105269223</v>
      </c>
      <c r="I73" s="6">
        <f>'2. Weighting'!E$20</f>
        <v>4123.5</v>
      </c>
      <c r="J73" s="171">
        <f>'2. Weighting'!E$15</f>
        <v>3383.8562123644101</v>
      </c>
      <c r="K73" s="172">
        <f>'2. Weighting'!E$16</f>
        <v>5638.1224776607796</v>
      </c>
      <c r="L73" s="172">
        <f>'2. Weighting'!E$21</f>
        <v>5638.1224776607796</v>
      </c>
    </row>
    <row r="74" spans="1:12" x14ac:dyDescent="0.25">
      <c r="A74" s="23" t="s">
        <v>33</v>
      </c>
      <c r="B74" s="179">
        <v>5332192.5425999993</v>
      </c>
      <c r="C74" s="45">
        <f>'5a. Base Counts'!B74*I74</f>
        <v>0</v>
      </c>
      <c r="D74" s="45">
        <f>'5a. Base Counts'!C74*J74</f>
        <v>0</v>
      </c>
      <c r="E74" s="45">
        <f>'5a. Base Counts'!D74*K74</f>
        <v>0</v>
      </c>
      <c r="F74" s="45">
        <f>'5a. Base Counts'!E74*L74</f>
        <v>277955.52243240579</v>
      </c>
      <c r="G74" s="45">
        <f t="shared" si="1"/>
        <v>5610148.0650324048</v>
      </c>
      <c r="I74" s="181">
        <f>'2. Weighting'!E20*'2. Weighting'!I29</f>
        <v>0</v>
      </c>
      <c r="J74" s="171">
        <f>'2. Weighting'!E$15</f>
        <v>3383.8562123644101</v>
      </c>
      <c r="K74" s="172">
        <f>'2. Weighting'!E$16</f>
        <v>5638.1224776607796</v>
      </c>
      <c r="L74" s="172">
        <f>'2. Weighting'!E$21</f>
        <v>5638.1224776607796</v>
      </c>
    </row>
    <row r="75" spans="1:12" ht="17.25" x14ac:dyDescent="0.25">
      <c r="A75" s="23" t="s">
        <v>105</v>
      </c>
      <c r="B75" s="179">
        <v>8090961.0498000002</v>
      </c>
      <c r="C75" s="45">
        <f>'5a. Base Counts'!B75*I75</f>
        <v>40022315.303333335</v>
      </c>
      <c r="D75" s="45">
        <f>'5a. Base Counts'!C75*J75</f>
        <v>4247326.0815941459</v>
      </c>
      <c r="E75" s="45">
        <f>'5a. Base Counts'!D75*K75</f>
        <v>35725.221531754461</v>
      </c>
      <c r="F75" s="45">
        <f>'5a. Base Counts'!E75*L75</f>
        <v>2369571.3211696805</v>
      </c>
      <c r="G75" s="45">
        <f t="shared" si="1"/>
        <v>50482847.674303018</v>
      </c>
      <c r="I75" s="6">
        <f>'2. Weighting'!E$20</f>
        <v>4123.5</v>
      </c>
      <c r="J75" s="171">
        <f>'2. Weighting'!E$15</f>
        <v>3383.8562123644101</v>
      </c>
      <c r="K75" s="172">
        <f>'2. Weighting'!E$16</f>
        <v>5638.1224776607796</v>
      </c>
      <c r="L75" s="172">
        <f>'2. Weighting'!E$21</f>
        <v>5638.1224776607796</v>
      </c>
    </row>
    <row r="76" spans="1:12" x14ac:dyDescent="0.25">
      <c r="A76" s="23" t="s">
        <v>106</v>
      </c>
      <c r="B76" s="179">
        <v>8765209.6109999996</v>
      </c>
      <c r="C76" s="45">
        <f>'5a. Base Counts'!B76*I76</f>
        <v>63043078.155000009</v>
      </c>
      <c r="D76" s="45">
        <f>'5a. Base Counts'!C76*J76</f>
        <v>1053924.4545634878</v>
      </c>
      <c r="E76" s="45">
        <f>'5a. Base Counts'!D76*K76</f>
        <v>1617257.8452338101</v>
      </c>
      <c r="F76" s="45">
        <f>'5a. Base Counts'!E76*L76</f>
        <v>2652605.0695482511</v>
      </c>
      <c r="G76" s="45">
        <f t="shared" si="1"/>
        <v>74460892.835548252</v>
      </c>
      <c r="I76" s="6">
        <f>'2. Weighting'!E$20</f>
        <v>4123.5</v>
      </c>
      <c r="J76" s="171">
        <f>'2. Weighting'!E$15</f>
        <v>3383.8562123644101</v>
      </c>
      <c r="K76" s="172">
        <f>'2. Weighting'!E$16</f>
        <v>5638.1224776607796</v>
      </c>
      <c r="L76" s="172">
        <f>'2. Weighting'!E$21</f>
        <v>5638.1224776607796</v>
      </c>
    </row>
    <row r="77" spans="1:12" x14ac:dyDescent="0.25">
      <c r="A77" s="23" t="s">
        <v>107</v>
      </c>
      <c r="B77" s="179">
        <v>10113701.5704</v>
      </c>
      <c r="C77" s="45">
        <f>'5a. Base Counts'!B77*I77</f>
        <v>29817366.008678015</v>
      </c>
      <c r="D77" s="45">
        <f>'5a. Base Counts'!C77*J77</f>
        <v>397828.69536697585</v>
      </c>
      <c r="E77" s="45">
        <f>'5a. Base Counts'!D77*K77</f>
        <v>12554.219383591339</v>
      </c>
      <c r="F77" s="45">
        <f>'5a. Base Counts'!E77*L77</f>
        <v>602037.95414839045</v>
      </c>
      <c r="G77" s="45">
        <f t="shared" si="1"/>
        <v>40533105.533226408</v>
      </c>
      <c r="I77" s="6">
        <f>'2. Weighting'!E$20</f>
        <v>4123.5</v>
      </c>
      <c r="J77" s="171">
        <f>'2. Weighting'!E$15</f>
        <v>3383.8562123644101</v>
      </c>
      <c r="K77" s="172">
        <f>'2. Weighting'!E$16</f>
        <v>5638.1224776607796</v>
      </c>
      <c r="L77" s="172">
        <f>'2. Weighting'!E$21</f>
        <v>5638.1224776607796</v>
      </c>
    </row>
    <row r="78" spans="1:12" s="7" customFormat="1" x14ac:dyDescent="0.25">
      <c r="A78" s="47" t="s">
        <v>108</v>
      </c>
      <c r="B78" s="59">
        <f>SUM(B6:B77)</f>
        <v>628729878.32280004</v>
      </c>
      <c r="C78" s="59">
        <f>SUM(C6:C77)</f>
        <v>3781114490.8561029</v>
      </c>
      <c r="D78" s="59">
        <f t="shared" ref="D78:F78" si="2">SUM(D6:D77)</f>
        <v>118854346.14592518</v>
      </c>
      <c r="E78" s="59">
        <f t="shared" si="2"/>
        <v>222354991.10325098</v>
      </c>
      <c r="F78" s="59">
        <f t="shared" si="2"/>
        <v>230541836.26588863</v>
      </c>
      <c r="G78" s="60">
        <f>SUM(G6:G77)</f>
        <v>4640386205.4447889</v>
      </c>
      <c r="H78" s="48"/>
    </row>
    <row r="79" spans="1:12" x14ac:dyDescent="0.25">
      <c r="C79" s="45"/>
      <c r="D79" s="45"/>
      <c r="E79" s="45"/>
      <c r="F79" s="45"/>
      <c r="G79" s="58">
        <f>'2. Weighting'!C23</f>
        <v>5009219680.0118313</v>
      </c>
      <c r="H79" s="18"/>
    </row>
    <row r="80" spans="1:12" x14ac:dyDescent="0.25">
      <c r="G80" s="18"/>
    </row>
    <row r="81" spans="4:7" x14ac:dyDescent="0.25">
      <c r="D81" s="45"/>
      <c r="G81" s="4"/>
    </row>
    <row r="82" spans="4:7" x14ac:dyDescent="0.25">
      <c r="D82" s="45"/>
    </row>
    <row r="83" spans="4:7" x14ac:dyDescent="0.25">
      <c r="D83" s="45"/>
    </row>
  </sheetData>
  <sortState ref="A6:L77">
    <sortCondition ref="A6:A77"/>
  </sortState>
  <mergeCells count="3">
    <mergeCell ref="C3:E3"/>
    <mergeCell ref="I3:K3"/>
    <mergeCell ref="H2:L2"/>
  </mergeCells>
  <pageMargins left="0.7" right="0.7" top="0.75" bottom="0.75" header="0.3" footer="0.3"/>
  <pageSetup orientation="portrait"/>
  <headerFooter>
    <oddHeader>&amp;LDraft/Not for Circulation&amp;C&amp;F</oddHead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2:F78"/>
  <sheetViews>
    <sheetView topLeftCell="A3" workbookViewId="0">
      <selection activeCell="E22" sqref="E22"/>
    </sheetView>
  </sheetViews>
  <sheetFormatPr defaultColWidth="8.85546875" defaultRowHeight="15" x14ac:dyDescent="0.25"/>
  <cols>
    <col min="1" max="1" width="18.7109375" bestFit="1" customWidth="1"/>
    <col min="2" max="2" width="12.42578125" bestFit="1" customWidth="1"/>
    <col min="3" max="5" width="10.42578125" customWidth="1"/>
    <col min="7" max="7" width="23.42578125" bestFit="1" customWidth="1"/>
    <col min="8" max="8" width="15" customWidth="1"/>
    <col min="9" max="9" width="10" bestFit="1" customWidth="1"/>
    <col min="10" max="11" width="12.28515625" customWidth="1"/>
    <col min="12" max="13" width="8.7109375" customWidth="1"/>
  </cols>
  <sheetData>
    <row r="2" spans="1:5" ht="59.1" customHeight="1" x14ac:dyDescent="0.25">
      <c r="B2" s="302" t="s">
        <v>288</v>
      </c>
      <c r="C2" s="302"/>
      <c r="D2" s="302"/>
      <c r="E2" s="302"/>
    </row>
    <row r="3" spans="1:5" ht="210" x14ac:dyDescent="0.25">
      <c r="B3" s="136" t="s">
        <v>290</v>
      </c>
      <c r="C3" s="111" t="s">
        <v>201</v>
      </c>
      <c r="D3" s="44" t="s">
        <v>202</v>
      </c>
      <c r="E3" s="44" t="s">
        <v>289</v>
      </c>
    </row>
    <row r="6" spans="1:5" x14ac:dyDescent="0.25">
      <c r="A6" s="23" t="s">
        <v>43</v>
      </c>
      <c r="B6" s="184">
        <f>AVERAGE('5b. Base Hist'!Z11,'5b. Base Hist'!T11,'5b. Base Hist'!N11)</f>
        <v>8214.6522222222211</v>
      </c>
      <c r="C6" s="9">
        <f>'5b. Base Hist'!V11</f>
        <v>359.15999999999997</v>
      </c>
      <c r="D6" s="9">
        <f>'5b. Base Hist'!W11</f>
        <v>232.15333333333331</v>
      </c>
      <c r="E6" s="180">
        <f>'5b. Base Hist'!X11+'5b. Base Hist'!Y11</f>
        <v>472.1</v>
      </c>
    </row>
    <row r="7" spans="1:5" x14ac:dyDescent="0.25">
      <c r="A7" s="23" t="s">
        <v>44</v>
      </c>
      <c r="B7" s="184">
        <f>AVERAGE('5b. Base Hist'!Z12,'5b. Base Hist'!T12,'5b. Base Hist'!N12)</f>
        <v>10572.212222222222</v>
      </c>
      <c r="C7" s="9">
        <f>'5b. Base Hist'!V12</f>
        <v>8.5433446666666661</v>
      </c>
      <c r="D7" s="9">
        <f>'5b. Base Hist'!W12</f>
        <v>51.779980666666674</v>
      </c>
      <c r="E7" s="180">
        <f>'5b. Base Hist'!X12+'5b. Base Hist'!Y12</f>
        <v>381.05666666666662</v>
      </c>
    </row>
    <row r="8" spans="1:5" x14ac:dyDescent="0.25">
      <c r="A8" s="23" t="s">
        <v>45</v>
      </c>
      <c r="B8" s="184">
        <f>AVERAGE('5b. Base Hist'!Z13,'5b. Base Hist'!T13,'5b. Base Hist'!N13)</f>
        <v>2494.0177881111108</v>
      </c>
      <c r="C8" s="9">
        <f>'5b. Base Hist'!V13</f>
        <v>33.88666666666667</v>
      </c>
      <c r="D8" s="9">
        <f>'5b. Base Hist'!W13</f>
        <v>0</v>
      </c>
      <c r="E8" s="180">
        <f>'5b. Base Hist'!X13+'5b. Base Hist'!Y13</f>
        <v>0</v>
      </c>
    </row>
    <row r="9" spans="1:5" x14ac:dyDescent="0.25">
      <c r="A9" s="23" t="s">
        <v>46</v>
      </c>
      <c r="B9" s="184">
        <f>AVERAGE('5b. Base Hist'!Z14,'5b. Base Hist'!T14,'5b. Base Hist'!N14)</f>
        <v>9024.5555760000007</v>
      </c>
      <c r="C9" s="9">
        <f>'5b. Base Hist'!V14</f>
        <v>1179.28</v>
      </c>
      <c r="D9" s="9">
        <f>'5b. Base Hist'!W14</f>
        <v>25.58666666666667</v>
      </c>
      <c r="E9" s="180">
        <f>'5b. Base Hist'!X14+'5b. Base Hist'!Y14</f>
        <v>190.25333333333333</v>
      </c>
    </row>
    <row r="10" spans="1:5" x14ac:dyDescent="0.25">
      <c r="A10" s="23" t="s">
        <v>47</v>
      </c>
      <c r="B10" s="184">
        <f>AVERAGE('5b. Base Hist'!Z15,'5b. Base Hist'!T15,'5b. Base Hist'!N15)</f>
        <v>9259.2366666666658</v>
      </c>
      <c r="C10" s="9">
        <f>'5b. Base Hist'!V15</f>
        <v>696.37000000000012</v>
      </c>
      <c r="D10" s="9">
        <f>'5b. Base Hist'!W15</f>
        <v>87.23</v>
      </c>
      <c r="E10" s="180">
        <f>'5b. Base Hist'!X15+'5b. Base Hist'!Y15</f>
        <v>196.36333333333334</v>
      </c>
    </row>
    <row r="11" spans="1:5" x14ac:dyDescent="0.25">
      <c r="A11" s="23" t="s">
        <v>48</v>
      </c>
      <c r="B11" s="184">
        <f>AVERAGE('5b. Base Hist'!Z16,'5b. Base Hist'!T16,'5b. Base Hist'!N16)</f>
        <v>15849.958888888888</v>
      </c>
      <c r="C11" s="9">
        <f>'5b. Base Hist'!V16</f>
        <v>319.04666666666662</v>
      </c>
      <c r="D11" s="9">
        <f>'5b. Base Hist'!W16</f>
        <v>239.77333333333334</v>
      </c>
      <c r="E11" s="180">
        <f>'5b. Base Hist'!X16+'5b. Base Hist'!Y16</f>
        <v>120.12333333333332</v>
      </c>
    </row>
    <row r="12" spans="1:5" x14ac:dyDescent="0.25">
      <c r="A12" s="23" t="s">
        <v>49</v>
      </c>
      <c r="B12" s="184">
        <f>AVERAGE('5b. Base Hist'!Z17,'5b. Base Hist'!T17,'5b. Base Hist'!N17)</f>
        <v>15609.701698222221</v>
      </c>
      <c r="C12" s="9">
        <f>'5b. Base Hist'!V17</f>
        <v>186.25666666666669</v>
      </c>
      <c r="D12" s="9">
        <f>'5b. Base Hist'!W17</f>
        <v>0</v>
      </c>
      <c r="E12" s="180">
        <f>'5b. Base Hist'!X17+'5b. Base Hist'!Y17</f>
        <v>446.27666666666664</v>
      </c>
    </row>
    <row r="13" spans="1:5" x14ac:dyDescent="0.25">
      <c r="A13" s="23" t="s">
        <v>50</v>
      </c>
      <c r="B13" s="184">
        <f>AVERAGE('5b. Base Hist'!Z18,'5b. Base Hist'!T18,'5b. Base Hist'!N18)</f>
        <v>15795.235558888889</v>
      </c>
      <c r="C13" s="9">
        <f>'5b. Base Hist'!V18</f>
        <v>353.75666666666666</v>
      </c>
      <c r="D13" s="9">
        <f>'5b. Base Hist'!W18</f>
        <v>0</v>
      </c>
      <c r="E13" s="180">
        <f>'5b. Base Hist'!X18+'5b. Base Hist'!Y18</f>
        <v>354.93999999999994</v>
      </c>
    </row>
    <row r="14" spans="1:5" x14ac:dyDescent="0.25">
      <c r="A14" s="23" t="s">
        <v>51</v>
      </c>
      <c r="B14" s="184">
        <f>AVERAGE('5b. Base Hist'!Z19,'5b. Base Hist'!T19,'5b. Base Hist'!N19)</f>
        <v>10843.665612777779</v>
      </c>
      <c r="C14" s="9">
        <f>'5b. Base Hist'!V19</f>
        <v>320.47333333333336</v>
      </c>
      <c r="D14" s="9">
        <f>'5b. Base Hist'!W19</f>
        <v>94.906666666666666</v>
      </c>
      <c r="E14" s="180">
        <f>'5b. Base Hist'!X19+'5b. Base Hist'!Y19</f>
        <v>370.42666666666668</v>
      </c>
    </row>
    <row r="15" spans="1:5" x14ac:dyDescent="0.25">
      <c r="A15" s="23" t="s">
        <v>52</v>
      </c>
      <c r="B15" s="184">
        <f>AVERAGE('5b. Base Hist'!Z20,'5b. Base Hist'!T20,'5b. Base Hist'!N20)</f>
        <v>30680.591090666665</v>
      </c>
      <c r="C15" s="9">
        <f>'5b. Base Hist'!V20</f>
        <v>47.380000000000052</v>
      </c>
      <c r="D15" s="9">
        <f>'5b. Base Hist'!W20</f>
        <v>521.81666666666661</v>
      </c>
      <c r="E15" s="180">
        <f>'5b. Base Hist'!X20+'5b. Base Hist'!Y20</f>
        <v>201.89999999999998</v>
      </c>
    </row>
    <row r="16" spans="1:5" x14ac:dyDescent="0.25">
      <c r="A16" s="23" t="s">
        <v>53</v>
      </c>
      <c r="B16" s="184">
        <f>AVERAGE('5b. Base Hist'!Z21,'5b. Base Hist'!T21,'5b. Base Hist'!N21)</f>
        <v>5811.6185074520981</v>
      </c>
      <c r="C16" s="9">
        <f>'5b. Base Hist'!V21</f>
        <v>17.600000000000001</v>
      </c>
      <c r="D16" s="9">
        <f>'5b. Base Hist'!W21</f>
        <v>0</v>
      </c>
      <c r="E16" s="180">
        <f>'5b. Base Hist'!X21+'5b. Base Hist'!Y21</f>
        <v>254.9940189439811</v>
      </c>
    </row>
    <row r="17" spans="1:5" x14ac:dyDescent="0.25">
      <c r="A17" s="23" t="s">
        <v>54</v>
      </c>
      <c r="B17" s="184">
        <f>AVERAGE('5b. Base Hist'!Z22,'5b. Base Hist'!T22,'5b. Base Hist'!N22)</f>
        <v>25231.465566888888</v>
      </c>
      <c r="C17" s="9">
        <f>'5b. Base Hist'!V22</f>
        <v>155.13333333333335</v>
      </c>
      <c r="D17" s="9">
        <f>'5b. Base Hist'!W22</f>
        <v>0</v>
      </c>
      <c r="E17" s="180">
        <f>'5b. Base Hist'!X22+'5b. Base Hist'!Y22</f>
        <v>964.52666666666653</v>
      </c>
    </row>
    <row r="18" spans="1:5" x14ac:dyDescent="0.25">
      <c r="A18" s="23" t="s">
        <v>55</v>
      </c>
      <c r="B18" s="184">
        <f>AVERAGE('5b. Base Hist'!Z23,'5b. Base Hist'!T23,'5b. Base Hist'!N23)</f>
        <v>1462.4744428888889</v>
      </c>
      <c r="C18" s="9">
        <f>'5b. Base Hist'!V23</f>
        <v>51.3144610520662</v>
      </c>
      <c r="D18" s="9">
        <f>'5b. Base Hist'!W23</f>
        <v>0.36333333333333329</v>
      </c>
      <c r="E18" s="180">
        <f>'5b. Base Hist'!X23+'5b. Base Hist'!Y23</f>
        <v>0</v>
      </c>
    </row>
    <row r="19" spans="1:5" x14ac:dyDescent="0.25">
      <c r="A19" s="23" t="s">
        <v>56</v>
      </c>
      <c r="B19" s="184">
        <f>AVERAGE('5b. Base Hist'!Z24,'5b. Base Hist'!T24,'5b. Base Hist'!N24)</f>
        <v>8842.765349595129</v>
      </c>
      <c r="C19" s="9">
        <f>'5b. Base Hist'!V24</f>
        <v>473.03666666666646</v>
      </c>
      <c r="D19" s="9">
        <f>'5b. Base Hist'!W24</f>
        <v>1974.0393982195014</v>
      </c>
      <c r="E19" s="180">
        <f>'5b. Base Hist'!X24+'5b. Base Hist'!Y24</f>
        <v>0</v>
      </c>
    </row>
    <row r="20" spans="1:5" x14ac:dyDescent="0.25">
      <c r="A20" s="23" t="s">
        <v>57</v>
      </c>
      <c r="B20" s="184">
        <f>AVERAGE('5b. Base Hist'!Z25,'5b. Base Hist'!T25,'5b. Base Hist'!N25)</f>
        <v>18255.038877555558</v>
      </c>
      <c r="C20" s="9">
        <f>'5b. Base Hist'!V25</f>
        <v>63.486666666666665</v>
      </c>
      <c r="D20" s="9">
        <f>'5b. Base Hist'!W25</f>
        <v>0</v>
      </c>
      <c r="E20" s="180">
        <f>'5b. Base Hist'!X25+'5b. Base Hist'!Y25</f>
        <v>703.94999999999993</v>
      </c>
    </row>
    <row r="21" spans="1:5" x14ac:dyDescent="0.25">
      <c r="A21" s="23" t="s">
        <v>58</v>
      </c>
      <c r="B21" s="184">
        <f>AVERAGE('5b. Base Hist'!Z26,'5b. Base Hist'!T26,'5b. Base Hist'!N26)</f>
        <v>1331.6054492788683</v>
      </c>
      <c r="C21" s="9">
        <f>'5b. Base Hist'!V26</f>
        <v>37.61666666666666</v>
      </c>
      <c r="D21" s="9">
        <f>'5b. Base Hist'!W26</f>
        <v>0</v>
      </c>
      <c r="E21" s="180">
        <f>'5b. Base Hist'!X26+'5b. Base Hist'!Y26</f>
        <v>237.72024385212191</v>
      </c>
    </row>
    <row r="22" spans="1:5" ht="17.25" x14ac:dyDescent="0.25">
      <c r="A22" s="23" t="s">
        <v>59</v>
      </c>
      <c r="B22" s="184">
        <f>AVERAGE('5b. Base Hist'!Z27,'5b. Base Hist'!T27,'5b. Base Hist'!N27)</f>
        <v>21924.874444444442</v>
      </c>
      <c r="C22" s="9">
        <f>'5b. Base Hist'!V27</f>
        <v>229.99666666666664</v>
      </c>
      <c r="D22" s="9">
        <f>'5b. Base Hist'!W27</f>
        <v>316.22333333333336</v>
      </c>
      <c r="E22" s="180">
        <f>'5b. Base Hist'!X27+'5b. Base Hist'!Y27</f>
        <v>835.09333333333336</v>
      </c>
    </row>
    <row r="23" spans="1:5" x14ac:dyDescent="0.25">
      <c r="A23" s="23" t="s">
        <v>60</v>
      </c>
      <c r="B23" s="184">
        <f>AVERAGE('5b. Base Hist'!Z28,'5b. Base Hist'!T28,'5b. Base Hist'!N28)</f>
        <v>4554.8029195555564</v>
      </c>
      <c r="C23" s="9">
        <f>'5b. Base Hist'!V28</f>
        <v>174.88366666666667</v>
      </c>
      <c r="D23" s="9">
        <f>'5b. Base Hist'!W28</f>
        <v>118.82333333333332</v>
      </c>
      <c r="E23" s="180">
        <f>'5b. Base Hist'!X28+'5b. Base Hist'!Y28</f>
        <v>240.83333333333331</v>
      </c>
    </row>
    <row r="24" spans="1:5" x14ac:dyDescent="0.25">
      <c r="A24" s="23" t="s">
        <v>61</v>
      </c>
      <c r="B24" s="184">
        <f>AVERAGE('5b. Base Hist'!Z29,'5b. Base Hist'!T29,'5b. Base Hist'!N29)</f>
        <v>10668.877777777778</v>
      </c>
      <c r="C24" s="9">
        <f>'5b. Base Hist'!V29</f>
        <v>133.68627808876667</v>
      </c>
      <c r="D24" s="9">
        <f>'5b. Base Hist'!W29</f>
        <v>2392.3966666666665</v>
      </c>
      <c r="E24" s="180">
        <f>'5b. Base Hist'!X29+'5b. Base Hist'!Y29</f>
        <v>328.21000000000004</v>
      </c>
    </row>
    <row r="25" spans="1:5" x14ac:dyDescent="0.25">
      <c r="A25" s="23" t="s">
        <v>62</v>
      </c>
      <c r="B25" s="184">
        <f>AVERAGE('5b. Base Hist'!Z30,'5b. Base Hist'!T30,'5b. Base Hist'!N30)</f>
        <v>17146.005547666668</v>
      </c>
      <c r="C25" s="9">
        <f>'5b. Base Hist'!V30</f>
        <v>15.069999999999999</v>
      </c>
      <c r="D25" s="9">
        <f>'5b. Base Hist'!W30</f>
        <v>0</v>
      </c>
      <c r="E25" s="180">
        <f>'5b. Base Hist'!X30+'5b. Base Hist'!Y30</f>
        <v>289.46333333333342</v>
      </c>
    </row>
    <row r="26" spans="1:5" x14ac:dyDescent="0.25">
      <c r="A26" s="23" t="s">
        <v>63</v>
      </c>
      <c r="B26" s="184">
        <f>AVERAGE('5b. Base Hist'!Z31,'5b. Base Hist'!T31,'5b. Base Hist'!N31)</f>
        <v>7196.7757501636879</v>
      </c>
      <c r="C26" s="9">
        <f>'5b. Base Hist'!V31</f>
        <v>21.619999999999997</v>
      </c>
      <c r="D26" s="9">
        <f>'5b. Base Hist'!W31</f>
        <v>20.399999999999999</v>
      </c>
      <c r="E26" s="180">
        <f>'5b. Base Hist'!X31+'5b. Base Hist'!Y31</f>
        <v>164.77669448475223</v>
      </c>
    </row>
    <row r="27" spans="1:5" x14ac:dyDescent="0.25">
      <c r="A27" s="23" t="s">
        <v>64</v>
      </c>
      <c r="B27" s="184">
        <f>AVERAGE('5b. Base Hist'!Z32,'5b. Base Hist'!T32,'5b. Base Hist'!N32)</f>
        <v>7219.4799358562277</v>
      </c>
      <c r="C27" s="9">
        <f>'5b. Base Hist'!V32</f>
        <v>32.27000000000001</v>
      </c>
      <c r="D27" s="9">
        <f>'5b. Base Hist'!W32</f>
        <v>10.606666666666667</v>
      </c>
      <c r="E27" s="180">
        <f>'5b. Base Hist'!X32+'5b. Base Hist'!Y32</f>
        <v>292.71959916174245</v>
      </c>
    </row>
    <row r="28" spans="1:5" x14ac:dyDescent="0.25">
      <c r="A28" s="23" t="s">
        <v>65</v>
      </c>
      <c r="B28" s="184">
        <f>AVERAGE('5b. Base Hist'!Z33,'5b. Base Hist'!T33,'5b. Base Hist'!N33)</f>
        <v>21853.958952666286</v>
      </c>
      <c r="C28" s="9">
        <f>'5b. Base Hist'!V33</f>
        <v>76.173333333333332</v>
      </c>
      <c r="D28" s="9">
        <f>'5b. Base Hist'!W33</f>
        <v>58.286666666666662</v>
      </c>
      <c r="E28" s="180">
        <f>'5b. Base Hist'!X33+'5b. Base Hist'!Y33</f>
        <v>1170.0886597923827</v>
      </c>
    </row>
    <row r="29" spans="1:5" x14ac:dyDescent="0.25">
      <c r="A29" s="23" t="s">
        <v>25</v>
      </c>
      <c r="B29" s="184">
        <f>AVERAGE('5b. Base Hist'!Z34,'5b. Base Hist'!T34,'5b. Base Hist'!N34)</f>
        <v>1595.5534506586866</v>
      </c>
      <c r="C29" s="9">
        <f>'5b. Base Hist'!V34</f>
        <v>55.963359666666669</v>
      </c>
      <c r="D29" s="9">
        <f>'5b. Base Hist'!W34</f>
        <v>1.9800000000000004</v>
      </c>
      <c r="E29" s="180">
        <f>'5b. Base Hist'!X34+'5b. Base Hist'!Y34</f>
        <v>132.8498680089775</v>
      </c>
    </row>
    <row r="30" spans="1:5" x14ac:dyDescent="0.25">
      <c r="A30" s="23" t="s">
        <v>26</v>
      </c>
      <c r="B30" s="184">
        <f>AVERAGE('5b. Base Hist'!Z35,'5b. Base Hist'!T35,'5b. Base Hist'!N35)</f>
        <v>755.73114973948213</v>
      </c>
      <c r="C30" s="9">
        <f>'5b. Base Hist'!V35</f>
        <v>4.8366666666666687</v>
      </c>
      <c r="D30" s="9">
        <f>'5b. Base Hist'!W35</f>
        <v>2.0099999999999998</v>
      </c>
      <c r="E30" s="180">
        <f>'5b. Base Hist'!X35+'5b. Base Hist'!Y35</f>
        <v>899.75535882180441</v>
      </c>
    </row>
    <row r="31" spans="1:5" x14ac:dyDescent="0.25">
      <c r="A31" s="23" t="s">
        <v>66</v>
      </c>
      <c r="B31" s="184">
        <f>AVERAGE('5b. Base Hist'!Z36,'5b. Base Hist'!T36,'5b. Base Hist'!N36)</f>
        <v>18318.783332777777</v>
      </c>
      <c r="C31" s="9">
        <f>'5b. Base Hist'!V36</f>
        <v>31.799999999999979</v>
      </c>
      <c r="D31" s="9">
        <f>'5b. Base Hist'!W36</f>
        <v>394.42666666666668</v>
      </c>
      <c r="E31" s="180">
        <f>'5b. Base Hist'!X36+'5b. Base Hist'!Y36</f>
        <v>201.54000000000002</v>
      </c>
    </row>
    <row r="32" spans="1:5" x14ac:dyDescent="0.25">
      <c r="A32" s="23" t="s">
        <v>67</v>
      </c>
      <c r="B32" s="184">
        <f>AVERAGE('5b. Base Hist'!Z37,'5b. Base Hist'!T37,'5b. Base Hist'!N37)</f>
        <v>84549.605344444455</v>
      </c>
      <c r="C32" s="9">
        <f>'5b. Base Hist'!V37</f>
        <v>2817.2933333333331</v>
      </c>
      <c r="D32" s="9">
        <f>'5b. Base Hist'!W37</f>
        <v>4687.7033333333329</v>
      </c>
      <c r="E32" s="180">
        <f>'5b. Base Hist'!X37+'5b. Base Hist'!Y37</f>
        <v>5617.8433333333332</v>
      </c>
    </row>
    <row r="33" spans="1:5" x14ac:dyDescent="0.25">
      <c r="A33" s="23" t="s">
        <v>68</v>
      </c>
      <c r="B33" s="184">
        <f>AVERAGE('5b. Base Hist'!Z38,'5b. Base Hist'!T38,'5b. Base Hist'!N38)</f>
        <v>49594.027785999991</v>
      </c>
      <c r="C33" s="9">
        <f>'5b. Base Hist'!V38</f>
        <v>278.90333333333336</v>
      </c>
      <c r="D33" s="9">
        <f>'5b. Base Hist'!W38</f>
        <v>0</v>
      </c>
      <c r="E33" s="180">
        <f>'5b. Base Hist'!X38+'5b. Base Hist'!Y38</f>
        <v>775.51333333333321</v>
      </c>
    </row>
    <row r="34" spans="1:5" x14ac:dyDescent="0.25">
      <c r="A34" s="23" t="s">
        <v>27</v>
      </c>
      <c r="B34" s="184">
        <f>AVERAGE('5b. Base Hist'!Z39,'5b. Base Hist'!T39,'5b. Base Hist'!N39)</f>
        <v>2960.3377777777773</v>
      </c>
      <c r="C34" s="9">
        <f>'5b. Base Hist'!V39</f>
        <v>289.49666666666667</v>
      </c>
      <c r="D34" s="9">
        <f>'5b. Base Hist'!W39</f>
        <v>0</v>
      </c>
      <c r="E34" s="180">
        <f>'5b. Base Hist'!X39+'5b. Base Hist'!Y39</f>
        <v>143.66333333333336</v>
      </c>
    </row>
    <row r="35" spans="1:5" x14ac:dyDescent="0.25">
      <c r="A35" s="23" t="s">
        <v>69</v>
      </c>
      <c r="B35" s="184">
        <f>AVERAGE('5b. Base Hist'!Z40,'5b. Base Hist'!T40,'5b. Base Hist'!N40)</f>
        <v>2428.783333111111</v>
      </c>
      <c r="C35" s="9">
        <f>'5b. Base Hist'!V40</f>
        <v>27.126666666666669</v>
      </c>
      <c r="D35" s="9">
        <f>'5b. Base Hist'!W40</f>
        <v>63.953333333333333</v>
      </c>
      <c r="E35" s="180">
        <f>'5b. Base Hist'!X40+'5b. Base Hist'!Y40</f>
        <v>280.17666666666673</v>
      </c>
    </row>
    <row r="36" spans="1:5" x14ac:dyDescent="0.25">
      <c r="A36" s="23" t="s">
        <v>70</v>
      </c>
      <c r="B36" s="184">
        <f>AVERAGE('5b. Base Hist'!Z41,'5b. Base Hist'!T41,'5b. Base Hist'!N41)</f>
        <v>8580.2366862827857</v>
      </c>
      <c r="C36" s="9">
        <f>'5b. Base Hist'!V41</f>
        <v>472.21666666666658</v>
      </c>
      <c r="D36" s="9">
        <f>'5b. Base Hist'!W41</f>
        <v>689.58</v>
      </c>
      <c r="E36" s="180">
        <f>'5b. Base Hist'!X41+'5b. Base Hist'!Y41</f>
        <v>278.20456576520309</v>
      </c>
    </row>
    <row r="37" spans="1:5" x14ac:dyDescent="0.25">
      <c r="A37" s="23" t="s">
        <v>28</v>
      </c>
      <c r="B37" s="184">
        <f>AVERAGE('5b. Base Hist'!Z42,'5b. Base Hist'!T42,'5b. Base Hist'!N42)</f>
        <v>9235.1822222222218</v>
      </c>
      <c r="C37" s="9">
        <f>'5b. Base Hist'!V42</f>
        <v>752.35666666666668</v>
      </c>
      <c r="D37" s="9">
        <f>'5b. Base Hist'!W42</f>
        <v>0</v>
      </c>
      <c r="E37" s="180">
        <f>'5b. Base Hist'!X42+'5b. Base Hist'!Y42</f>
        <v>103.71</v>
      </c>
    </row>
    <row r="38" spans="1:5" x14ac:dyDescent="0.25">
      <c r="A38" s="23" t="s">
        <v>71</v>
      </c>
      <c r="B38" s="184">
        <f>AVERAGE('5b. Base Hist'!Z43,'5b. Base Hist'!T43,'5b. Base Hist'!N43)</f>
        <v>5782.8044377777778</v>
      </c>
      <c r="C38" s="9">
        <f>'5b. Base Hist'!V43</f>
        <v>294.41000000000003</v>
      </c>
      <c r="D38" s="9">
        <f>'5b. Base Hist'!W43</f>
        <v>5.2433333333333358</v>
      </c>
      <c r="E38" s="180">
        <f>'5b. Base Hist'!X43+'5b. Base Hist'!Y43</f>
        <v>163.06333333333333</v>
      </c>
    </row>
    <row r="39" spans="1:5" x14ac:dyDescent="0.25">
      <c r="A39" s="23" t="s">
        <v>72</v>
      </c>
      <c r="B39" s="184">
        <f>AVERAGE('5b. Base Hist'!Z44,'5b. Base Hist'!T44,'5b. Base Hist'!N44)</f>
        <v>24969.021554457911</v>
      </c>
      <c r="C39" s="9">
        <f>'5b. Base Hist'!V44</f>
        <v>1641.7200000000009</v>
      </c>
      <c r="D39" s="9">
        <f>'5b. Base Hist'!W44</f>
        <v>6750.0433333333322</v>
      </c>
      <c r="E39" s="180">
        <f>'5b. Base Hist'!X44+'5b. Base Hist'!Y44</f>
        <v>51.118295391420283</v>
      </c>
    </row>
    <row r="40" spans="1:5" x14ac:dyDescent="0.25">
      <c r="A40" s="23" t="s">
        <v>73</v>
      </c>
      <c r="B40" s="184">
        <f>AVERAGE('5b. Base Hist'!Z45,'5b. Base Hist'!T45,'5b. Base Hist'!N45)</f>
        <v>11001.082219666665</v>
      </c>
      <c r="C40" s="9">
        <f>'5b. Base Hist'!V45</f>
        <v>227.50000000000003</v>
      </c>
      <c r="D40" s="9">
        <f>'5b. Base Hist'!W45</f>
        <v>263.48333333333335</v>
      </c>
      <c r="E40" s="180">
        <f>'5b. Base Hist'!X45+'5b. Base Hist'!Y45</f>
        <v>175.25</v>
      </c>
    </row>
    <row r="41" spans="1:5" x14ac:dyDescent="0.25">
      <c r="A41" s="23" t="s">
        <v>74</v>
      </c>
      <c r="B41" s="184">
        <f>AVERAGE('5b. Base Hist'!Z46,'5b. Base Hist'!T46,'5b. Base Hist'!N46)</f>
        <v>4449.9677777777779</v>
      </c>
      <c r="C41" s="9">
        <f>'5b. Base Hist'!V46</f>
        <v>407.18000000000006</v>
      </c>
      <c r="D41" s="9">
        <f>'5b. Base Hist'!W46</f>
        <v>3.6966666666666672</v>
      </c>
      <c r="E41" s="180">
        <f>'5b. Base Hist'!X46+'5b. Base Hist'!Y46</f>
        <v>134.06333333333333</v>
      </c>
    </row>
    <row r="42" spans="1:5" x14ac:dyDescent="0.25">
      <c r="A42" s="23" t="s">
        <v>75</v>
      </c>
      <c r="B42" s="184">
        <f>AVERAGE('5b. Base Hist'!Z47,'5b. Base Hist'!T47,'5b. Base Hist'!N47)</f>
        <v>26947.284437222221</v>
      </c>
      <c r="C42" s="9">
        <f>'5b. Base Hist'!V47</f>
        <v>4997.7799999999988</v>
      </c>
      <c r="D42" s="9">
        <f>'5b. Base Hist'!W47</f>
        <v>33.410000000000309</v>
      </c>
      <c r="E42" s="180">
        <f>'5b. Base Hist'!X47+'5b. Base Hist'!Y47</f>
        <v>668.49666666666667</v>
      </c>
    </row>
    <row r="43" spans="1:5" x14ac:dyDescent="0.25">
      <c r="A43" s="23" t="s">
        <v>76</v>
      </c>
      <c r="B43" s="184">
        <f>AVERAGE('5b. Base Hist'!Z48,'5b. Base Hist'!T48,'5b. Base Hist'!N48)</f>
        <v>7078.8955664444438</v>
      </c>
      <c r="C43" s="9">
        <f>'5b. Base Hist'!V48</f>
        <v>5.0000000000000044E-2</v>
      </c>
      <c r="D43" s="9">
        <f>'5b. Base Hist'!W48</f>
        <v>2.4666666666666668</v>
      </c>
      <c r="E43" s="180">
        <f>'5b. Base Hist'!X48+'5b. Base Hist'!Y48</f>
        <v>70.376666666666665</v>
      </c>
    </row>
    <row r="44" spans="1:5" x14ac:dyDescent="0.25">
      <c r="A44" s="23" t="s">
        <v>77</v>
      </c>
      <c r="B44" s="184">
        <f>AVERAGE('5b. Base Hist'!Z49,'5b. Base Hist'!T49,'5b. Base Hist'!N49)</f>
        <v>1345.0462290834103</v>
      </c>
      <c r="C44" s="9">
        <f>'5b. Base Hist'!V49</f>
        <v>27.643333333333334</v>
      </c>
      <c r="D44" s="9">
        <f>'5b. Base Hist'!W49</f>
        <v>6.019999999999996</v>
      </c>
      <c r="E44" s="180">
        <f>'5b. Base Hist'!X49+'5b. Base Hist'!Y49</f>
        <v>637.64258817693906</v>
      </c>
    </row>
    <row r="45" spans="1:5" x14ac:dyDescent="0.25">
      <c r="A45" s="23" t="s">
        <v>78</v>
      </c>
      <c r="B45" s="184">
        <f>AVERAGE('5b. Base Hist'!Z50,'5b. Base Hist'!T50,'5b. Base Hist'!N50)</f>
        <v>16957.925545555554</v>
      </c>
      <c r="C45" s="9">
        <f>'5b. Base Hist'!V50</f>
        <v>272.54333333333335</v>
      </c>
      <c r="D45" s="9">
        <f>'5b. Base Hist'!W50</f>
        <v>394.90333333333336</v>
      </c>
      <c r="E45" s="180">
        <f>'5b. Base Hist'!X50+'5b. Base Hist'!Y50</f>
        <v>521.0866666666667</v>
      </c>
    </row>
    <row r="46" spans="1:5" x14ac:dyDescent="0.25">
      <c r="A46" s="23" t="s">
        <v>79</v>
      </c>
      <c r="B46" s="184">
        <f>AVERAGE('5b. Base Hist'!Z51,'5b. Base Hist'!T51,'5b. Base Hist'!N51)</f>
        <v>22565.800018444443</v>
      </c>
      <c r="C46" s="9">
        <f>'5b. Base Hist'!V51</f>
        <v>139.14701020662196</v>
      </c>
      <c r="D46" s="9">
        <f>'5b. Base Hist'!W51</f>
        <v>876.21333333333337</v>
      </c>
      <c r="E46" s="180">
        <f>'5b. Base Hist'!X51+'5b. Base Hist'!Y51</f>
        <v>287.24333333333334</v>
      </c>
    </row>
    <row r="47" spans="1:5" x14ac:dyDescent="0.25">
      <c r="A47" s="23" t="s">
        <v>80</v>
      </c>
      <c r="B47" s="184">
        <f>AVERAGE('5b. Base Hist'!Z52,'5b. Base Hist'!T52,'5b. Base Hist'!N52)</f>
        <v>16510.892236444444</v>
      </c>
      <c r="C47" s="9">
        <f>'5b. Base Hist'!V52</f>
        <v>108.55666666666667</v>
      </c>
      <c r="D47" s="9">
        <f>'5b. Base Hist'!W52</f>
        <v>0</v>
      </c>
      <c r="E47" s="180">
        <f>'5b. Base Hist'!X52+'5b. Base Hist'!Y52</f>
        <v>1104.4533333333334</v>
      </c>
    </row>
    <row r="48" spans="1:5" x14ac:dyDescent="0.25">
      <c r="A48" s="23" t="s">
        <v>81</v>
      </c>
      <c r="B48" s="184">
        <f>AVERAGE('5b. Base Hist'!Z53,'5b. Base Hist'!T53,'5b. Base Hist'!N53)</f>
        <v>19325.878436666666</v>
      </c>
      <c r="C48" s="9">
        <f>'5b. Base Hist'!V53</f>
        <v>1171.4866666666669</v>
      </c>
      <c r="D48" s="9">
        <f>'5b. Base Hist'!W53</f>
        <v>4921.1133333333328</v>
      </c>
      <c r="E48" s="180">
        <f>'5b. Base Hist'!X53+'5b. Base Hist'!Y53</f>
        <v>2924.96</v>
      </c>
    </row>
    <row r="49" spans="1:5" x14ac:dyDescent="0.25">
      <c r="A49" s="23" t="s">
        <v>82</v>
      </c>
      <c r="B49" s="184">
        <f>AVERAGE('5b. Base Hist'!Z54,'5b. Base Hist'!T54,'5b. Base Hist'!N54)</f>
        <v>3137.4133333333334</v>
      </c>
      <c r="C49" s="9">
        <f>'5b. Base Hist'!V54</f>
        <v>109.03666666666666</v>
      </c>
      <c r="D49" s="9">
        <f>'5b. Base Hist'!W54</f>
        <v>52.183333333333344</v>
      </c>
      <c r="E49" s="180">
        <f>'5b. Base Hist'!X54+'5b. Base Hist'!Y54</f>
        <v>387.13</v>
      </c>
    </row>
    <row r="50" spans="1:5" x14ac:dyDescent="0.25">
      <c r="A50" s="23" t="s">
        <v>83</v>
      </c>
      <c r="B50" s="184">
        <f>AVERAGE('5b. Base Hist'!Z55,'5b. Base Hist'!T55,'5b. Base Hist'!N55)</f>
        <v>12322.173373333333</v>
      </c>
      <c r="C50" s="9">
        <f>'5b. Base Hist'!V55</f>
        <v>449.62333333333328</v>
      </c>
      <c r="D50" s="9">
        <f>'5b. Base Hist'!W55</f>
        <v>37.223333333333343</v>
      </c>
      <c r="E50" s="180">
        <f>'5b. Base Hist'!X55+'5b. Base Hist'!Y55</f>
        <v>388.15000000000003</v>
      </c>
    </row>
    <row r="51" spans="1:5" x14ac:dyDescent="0.25">
      <c r="A51" s="23" t="s">
        <v>84</v>
      </c>
      <c r="B51" s="184">
        <f>AVERAGE('5b. Base Hist'!Z56,'5b. Base Hist'!T56,'5b. Base Hist'!N56)</f>
        <v>29034.063160444446</v>
      </c>
      <c r="C51" s="9">
        <f>'5b. Base Hist'!V56</f>
        <v>190.34333333333333</v>
      </c>
      <c r="D51" s="9">
        <f>'5b. Base Hist'!W56</f>
        <v>0</v>
      </c>
      <c r="E51" s="180">
        <f>'5b. Base Hist'!X56+'5b. Base Hist'!Y56</f>
        <v>1038.2466666666667</v>
      </c>
    </row>
    <row r="52" spans="1:5" x14ac:dyDescent="0.25">
      <c r="A52" s="23" t="s">
        <v>85</v>
      </c>
      <c r="B52" s="184">
        <f>AVERAGE('5b. Base Hist'!Z57,'5b. Base Hist'!T57,'5b. Base Hist'!N57)</f>
        <v>14888.959915603933</v>
      </c>
      <c r="C52" s="9">
        <f>'5b. Base Hist'!V57</f>
        <v>389.83333766666669</v>
      </c>
      <c r="D52" s="9">
        <f>'5b. Base Hist'!W57</f>
        <v>52.166664333333337</v>
      </c>
      <c r="E52" s="180">
        <f>'5b. Base Hist'!X57+'5b. Base Hist'!Y57</f>
        <v>465.00595407595586</v>
      </c>
    </row>
    <row r="53" spans="1:5" x14ac:dyDescent="0.25">
      <c r="A53" s="23" t="s">
        <v>86</v>
      </c>
      <c r="B53" s="184">
        <f>AVERAGE('5b. Base Hist'!Z58,'5b. Base Hist'!T58,'5b. Base Hist'!N58)</f>
        <v>31816.096667666669</v>
      </c>
      <c r="C53" s="9">
        <f>'5b. Base Hist'!V58</f>
        <v>2045.8966666666663</v>
      </c>
      <c r="D53" s="9">
        <f>'5b. Base Hist'!W58</f>
        <v>5975.7199999999993</v>
      </c>
      <c r="E53" s="180">
        <f>'5b. Base Hist'!X58+'5b. Base Hist'!Y58</f>
        <v>1155.5366666666669</v>
      </c>
    </row>
    <row r="54" spans="1:5" x14ac:dyDescent="0.25">
      <c r="A54" s="23" t="s">
        <v>29</v>
      </c>
      <c r="B54" s="184">
        <f>AVERAGE('5b. Base Hist'!Z59,'5b. Base Hist'!T59,'5b. Base Hist'!N59)</f>
        <v>16320.545535133335</v>
      </c>
      <c r="C54" s="9">
        <f>'5b. Base Hist'!V59</f>
        <v>1681.8138244895456</v>
      </c>
      <c r="D54" s="9">
        <f>'5b. Base Hist'!W59</f>
        <v>3877.5733333333333</v>
      </c>
      <c r="E54" s="180">
        <f>'5b. Base Hist'!X59+'5b. Base Hist'!Y59</f>
        <v>312.90999999999997</v>
      </c>
    </row>
    <row r="55" spans="1:5" x14ac:dyDescent="0.25">
      <c r="A55" s="23" t="s">
        <v>87</v>
      </c>
      <c r="B55" s="184">
        <f>AVERAGE('5b. Base Hist'!Z60,'5b. Base Hist'!T60,'5b. Base Hist'!N60)</f>
        <v>14563.64887488889</v>
      </c>
      <c r="C55" s="9">
        <f>'5b. Base Hist'!V60</f>
        <v>168.65000000000003</v>
      </c>
      <c r="D55" s="9">
        <f>'5b. Base Hist'!W60</f>
        <v>0</v>
      </c>
      <c r="E55" s="180">
        <f>'5b. Base Hist'!X60+'5b. Base Hist'!Y60</f>
        <v>594.13666666666666</v>
      </c>
    </row>
    <row r="56" spans="1:5" x14ac:dyDescent="0.25">
      <c r="A56" s="23" t="s">
        <v>88</v>
      </c>
      <c r="B56" s="184">
        <f>AVERAGE('5b. Base Hist'!Z61,'5b. Base Hist'!T61,'5b. Base Hist'!N61)</f>
        <v>11791.25110911111</v>
      </c>
      <c r="C56" s="9">
        <f>'5b. Base Hist'!V61</f>
        <v>251.08999299999996</v>
      </c>
      <c r="D56" s="9">
        <f>'5b. Base Hist'!W61</f>
        <v>0</v>
      </c>
      <c r="E56" s="180">
        <f>'5b. Base Hist'!X61+'5b. Base Hist'!Y61</f>
        <v>269.75333333333333</v>
      </c>
    </row>
    <row r="57" spans="1:5" x14ac:dyDescent="0.25">
      <c r="A57" s="23" t="s">
        <v>89</v>
      </c>
      <c r="B57" s="184">
        <f>AVERAGE('5b. Base Hist'!Z62,'5b. Base Hist'!T62,'5b. Base Hist'!N62)</f>
        <v>6159.7277777777772</v>
      </c>
      <c r="C57" s="9">
        <f>'5b. Base Hist'!V62</f>
        <v>454.57666666666671</v>
      </c>
      <c r="D57" s="9">
        <f>'5b. Base Hist'!W62</f>
        <v>228.11999999999998</v>
      </c>
      <c r="E57" s="180">
        <f>'5b. Base Hist'!X62+'5b. Base Hist'!Y62</f>
        <v>1007.8766666666666</v>
      </c>
    </row>
    <row r="58" spans="1:5" x14ac:dyDescent="0.25">
      <c r="A58" s="23" t="s">
        <v>90</v>
      </c>
      <c r="B58" s="184">
        <f>AVERAGE('5b. Base Hist'!Z63,'5b. Base Hist'!T63,'5b. Base Hist'!N63)</f>
        <v>14322.805555555555</v>
      </c>
      <c r="C58" s="9">
        <f>'5b. Base Hist'!V63</f>
        <v>36.013333333333343</v>
      </c>
      <c r="D58" s="9">
        <f>'5b. Base Hist'!W63</f>
        <v>0</v>
      </c>
      <c r="E58" s="180">
        <f>'5b. Base Hist'!X63+'5b. Base Hist'!Y63</f>
        <v>952.49333333333334</v>
      </c>
    </row>
    <row r="59" spans="1:5" x14ac:dyDescent="0.25">
      <c r="A59" s="23" t="s">
        <v>91</v>
      </c>
      <c r="B59" s="184">
        <f>AVERAGE('5b. Base Hist'!Z64,'5b. Base Hist'!T64,'5b. Base Hist'!N64)</f>
        <v>11041.603333333334</v>
      </c>
      <c r="C59" s="9">
        <f>'5b. Base Hist'!V64</f>
        <v>1064.9166666666667</v>
      </c>
      <c r="D59" s="9">
        <f>'5b. Base Hist'!W64</f>
        <v>335.72</v>
      </c>
      <c r="E59" s="180">
        <f>'5b. Base Hist'!X64+'5b. Base Hist'!Y64</f>
        <v>122.40666666666665</v>
      </c>
    </row>
    <row r="60" spans="1:5" x14ac:dyDescent="0.25">
      <c r="A60" s="23" t="s">
        <v>92</v>
      </c>
      <c r="B60" s="184">
        <f>AVERAGE('5b. Base Hist'!Z65,'5b. Base Hist'!T65,'5b. Base Hist'!N65)</f>
        <v>14902.690964666666</v>
      </c>
      <c r="C60" s="9">
        <f>'5b. Base Hist'!V65</f>
        <v>243.14666666666665</v>
      </c>
      <c r="D60" s="9">
        <f>'5b. Base Hist'!W65</f>
        <v>181.38</v>
      </c>
      <c r="E60" s="180">
        <f>'5b. Base Hist'!X65+'5b. Base Hist'!Y65</f>
        <v>875.68666666666672</v>
      </c>
    </row>
    <row r="61" spans="1:5" x14ac:dyDescent="0.25">
      <c r="A61" s="23" t="s">
        <v>31</v>
      </c>
      <c r="B61" s="184">
        <f>AVERAGE('5b. Base Hist'!Z66,'5b. Base Hist'!T66,'5b. Base Hist'!N66)</f>
        <v>18684.955556333331</v>
      </c>
      <c r="C61" s="9">
        <f>'5b. Base Hist'!V66</f>
        <v>643.1966666666666</v>
      </c>
      <c r="D61" s="9">
        <f>'5b. Base Hist'!W66</f>
        <v>91.62</v>
      </c>
      <c r="E61" s="180">
        <f>'5b. Base Hist'!X66+'5b. Base Hist'!Y66</f>
        <v>266.29666666666662</v>
      </c>
    </row>
    <row r="62" spans="1:5" x14ac:dyDescent="0.25">
      <c r="A62" s="23" t="s">
        <v>93</v>
      </c>
      <c r="B62" s="184">
        <f>AVERAGE('5b. Base Hist'!Z67,'5b. Base Hist'!T67,'5b. Base Hist'!N67)</f>
        <v>9290.5650357777795</v>
      </c>
      <c r="C62" s="9">
        <f>'5b. Base Hist'!V67</f>
        <v>286.58333333333331</v>
      </c>
      <c r="D62" s="9">
        <f>'5b. Base Hist'!W67</f>
        <v>68.643333333333317</v>
      </c>
      <c r="E62" s="180">
        <f>'5b. Base Hist'!X67+'5b. Base Hist'!Y67</f>
        <v>516.05666666666662</v>
      </c>
    </row>
    <row r="63" spans="1:5" x14ac:dyDescent="0.25">
      <c r="A63" s="23" t="s">
        <v>94</v>
      </c>
      <c r="B63" s="184">
        <f>AVERAGE('5b. Base Hist'!Z68,'5b. Base Hist'!T68,'5b. Base Hist'!N68)</f>
        <v>6105.6812843255002</v>
      </c>
      <c r="C63" s="9">
        <f>'5b. Base Hist'!V68</f>
        <v>114.09333333333335</v>
      </c>
      <c r="D63" s="9">
        <f>'5b. Base Hist'!W68</f>
        <v>9.5300000000000011</v>
      </c>
      <c r="E63" s="180">
        <f>'5b. Base Hist'!X68+'5b. Base Hist'!Y68</f>
        <v>774.52260876468563</v>
      </c>
    </row>
    <row r="64" spans="1:5" x14ac:dyDescent="0.25">
      <c r="A64" s="23" t="s">
        <v>95</v>
      </c>
      <c r="B64" s="184">
        <f>AVERAGE('5b. Base Hist'!Z69,'5b. Base Hist'!T69,'5b. Base Hist'!N69)</f>
        <v>12642.113373111113</v>
      </c>
      <c r="C64" s="9">
        <f>'5b. Base Hist'!V69</f>
        <v>381.57666666666671</v>
      </c>
      <c r="D64" s="9">
        <f>'5b. Base Hist'!W69</f>
        <v>12.833333333333334</v>
      </c>
      <c r="E64" s="180">
        <f>'5b. Base Hist'!X69+'5b. Base Hist'!Y69</f>
        <v>498.78999999999996</v>
      </c>
    </row>
    <row r="65" spans="1:6" x14ac:dyDescent="0.25">
      <c r="A65" s="23" t="s">
        <v>96</v>
      </c>
      <c r="B65" s="184">
        <f>AVERAGE('5b. Base Hist'!Z70,'5b. Base Hist'!T70,'5b. Base Hist'!N70)</f>
        <v>1378.3433333333335</v>
      </c>
      <c r="C65" s="9">
        <f>'5b. Base Hist'!V70</f>
        <v>124.04333333333334</v>
      </c>
      <c r="D65" s="9">
        <f>'5b. Base Hist'!W70</f>
        <v>767.15666666666675</v>
      </c>
      <c r="E65" s="180">
        <f>'5b. Base Hist'!X70+'5b. Base Hist'!Y70</f>
        <v>45.673333333333346</v>
      </c>
    </row>
    <row r="66" spans="1:6" x14ac:dyDescent="0.25">
      <c r="A66" s="23" t="s">
        <v>97</v>
      </c>
      <c r="B66" s="184">
        <f>AVERAGE('5b. Base Hist'!Z71,'5b. Base Hist'!T71,'5b. Base Hist'!N71)</f>
        <v>6059.2011111111105</v>
      </c>
      <c r="C66" s="9">
        <f>'5b. Base Hist'!V71</f>
        <v>93.693178666666654</v>
      </c>
      <c r="D66" s="9">
        <f>'5b. Base Hist'!W71</f>
        <v>0</v>
      </c>
      <c r="E66" s="180">
        <f>'5b. Base Hist'!X71+'5b. Base Hist'!Y71</f>
        <v>383.93999999999994</v>
      </c>
    </row>
    <row r="67" spans="1:6" x14ac:dyDescent="0.25">
      <c r="A67" s="23" t="s">
        <v>98</v>
      </c>
      <c r="B67" s="184">
        <f>AVERAGE('5b. Base Hist'!Z72,'5b. Base Hist'!T72,'5b. Base Hist'!N72)</f>
        <v>15955.532222222222</v>
      </c>
      <c r="C67" s="9">
        <f>'5b. Base Hist'!V72</f>
        <v>2533.4733406666664</v>
      </c>
      <c r="D67" s="9">
        <f>'5b. Base Hist'!W72</f>
        <v>690.68999999999994</v>
      </c>
      <c r="E67" s="180">
        <f>'5b. Base Hist'!X72+'5b. Base Hist'!Y72</f>
        <v>547.73666666666668</v>
      </c>
    </row>
    <row r="68" spans="1:6" x14ac:dyDescent="0.25">
      <c r="A68" s="23" t="s">
        <v>99</v>
      </c>
      <c r="B68" s="184">
        <f>AVERAGE('5b. Base Hist'!Z73,'5b. Base Hist'!T73,'5b. Base Hist'!N73)</f>
        <v>22488.815555555553</v>
      </c>
      <c r="C68" s="9">
        <f>'5b. Base Hist'!V73</f>
        <v>2079.3800536666668</v>
      </c>
      <c r="D68" s="9">
        <f>'5b. Base Hist'!W73</f>
        <v>1319.3466666666668</v>
      </c>
      <c r="E68" s="180">
        <f>'5b. Base Hist'!X73+'5b. Base Hist'!Y73</f>
        <v>821.2700000000001</v>
      </c>
    </row>
    <row r="69" spans="1:6" x14ac:dyDescent="0.25">
      <c r="A69" s="23" t="s">
        <v>100</v>
      </c>
      <c r="B69" s="184">
        <f>AVERAGE('5b. Base Hist'!Z74,'5b. Base Hist'!T74,'5b. Base Hist'!N74)</f>
        <v>13785.875556999999</v>
      </c>
      <c r="C69" s="9">
        <f>'5b. Base Hist'!V74</f>
        <v>285.03666666666663</v>
      </c>
      <c r="D69" s="9">
        <f>'5b. Base Hist'!W74</f>
        <v>10.826666666666661</v>
      </c>
      <c r="E69" s="180">
        <f>'5b. Base Hist'!X74+'5b. Base Hist'!Y74</f>
        <v>328.96333333333337</v>
      </c>
    </row>
    <row r="70" spans="1:6" x14ac:dyDescent="0.25">
      <c r="A70" s="23" t="s">
        <v>101</v>
      </c>
      <c r="B70" s="184">
        <f>AVERAGE('5b. Base Hist'!Z75,'5b. Base Hist'!T75,'5b. Base Hist'!N75)</f>
        <v>28766.480467555561</v>
      </c>
      <c r="C70" s="9">
        <f>'5b. Base Hist'!V75</f>
        <v>336.4666666666667</v>
      </c>
      <c r="D70" s="9">
        <f>'5b. Base Hist'!W75</f>
        <v>185.48000000000002</v>
      </c>
      <c r="E70" s="180">
        <f>'5b. Base Hist'!X75+'5b. Base Hist'!Y75</f>
        <v>1951.2299999999998</v>
      </c>
    </row>
    <row r="71" spans="1:6" x14ac:dyDescent="0.25">
      <c r="A71" s="23" t="s">
        <v>102</v>
      </c>
      <c r="B71" s="184">
        <f>AVERAGE('5b. Base Hist'!Z76,'5b. Base Hist'!T76,'5b. Base Hist'!N76)</f>
        <v>23782.791676222227</v>
      </c>
      <c r="C71" s="9">
        <f>'5b. Base Hist'!V76</f>
        <v>126.84999999999998</v>
      </c>
      <c r="D71" s="9">
        <f>'5b. Base Hist'!W76</f>
        <v>5.52</v>
      </c>
      <c r="E71" s="180">
        <f>'5b. Base Hist'!X76+'5b. Base Hist'!Y76</f>
        <v>2174.7366666666667</v>
      </c>
    </row>
    <row r="72" spans="1:6" x14ac:dyDescent="0.25">
      <c r="A72" s="23" t="s">
        <v>103</v>
      </c>
      <c r="B72" s="184">
        <f>AVERAGE('5b. Base Hist'!Z77,'5b. Base Hist'!T77,'5b. Base Hist'!N77)</f>
        <v>9263.1392028888895</v>
      </c>
      <c r="C72" s="9">
        <f>'5b. Base Hist'!V77</f>
        <v>51.519999999999996</v>
      </c>
      <c r="D72" s="9">
        <f>'5b. Base Hist'!W77</f>
        <v>0</v>
      </c>
      <c r="E72" s="180">
        <f>'5b. Base Hist'!X77+'5b. Base Hist'!Y77</f>
        <v>101.70666666666665</v>
      </c>
    </row>
    <row r="73" spans="1:6" x14ac:dyDescent="0.25">
      <c r="A73" s="23" t="s">
        <v>104</v>
      </c>
      <c r="B73" s="184">
        <f>AVERAGE('5b. Base Hist'!Z78,'5b. Base Hist'!T78,'5b. Base Hist'!N78)</f>
        <v>5273.0258569042653</v>
      </c>
      <c r="C73" s="9">
        <f>'5b. Base Hist'!V78</f>
        <v>294.83333333333337</v>
      </c>
      <c r="D73" s="9">
        <f>'5b. Base Hist'!W78</f>
        <v>0</v>
      </c>
      <c r="E73" s="180">
        <f>'5b. Base Hist'!X78+'5b. Base Hist'!Y78</f>
        <v>475.90979038783581</v>
      </c>
    </row>
    <row r="74" spans="1:6" x14ac:dyDescent="0.25">
      <c r="A74" s="23" t="s">
        <v>33</v>
      </c>
      <c r="B74" s="184">
        <f>AVERAGE('5b. Base Hist'!Z79,'5b. Base Hist'!T79,'5b. Base Hist'!N79)</f>
        <v>2874.3797341815812</v>
      </c>
      <c r="C74" s="9">
        <f>'5b. Base Hist'!V79</f>
        <v>0</v>
      </c>
      <c r="D74" s="9">
        <f>'5b. Base Hist'!W79</f>
        <v>0</v>
      </c>
      <c r="E74" s="180">
        <f>'5b. Base Hist'!X79+'5b. Base Hist'!Y79</f>
        <v>49.299305492868214</v>
      </c>
    </row>
    <row r="75" spans="1:6" ht="17.25" x14ac:dyDescent="0.25">
      <c r="A75" s="23" t="s">
        <v>105</v>
      </c>
      <c r="B75" s="184">
        <f>AVERAGE('5b. Base Hist'!Z80,'5b. Base Hist'!T80,'5b. Base Hist'!N80)</f>
        <v>9705.9088888888891</v>
      </c>
      <c r="C75" s="9">
        <f>'5b. Base Hist'!V80</f>
        <v>1255.1733333333336</v>
      </c>
      <c r="D75" s="9">
        <f>'5b. Base Hist'!W80</f>
        <v>6.3363684760847239</v>
      </c>
      <c r="E75" s="180">
        <f>'5b. Base Hist'!X80+'5b. Base Hist'!Y80</f>
        <v>420.2766666666667</v>
      </c>
    </row>
    <row r="76" spans="1:6" x14ac:dyDescent="0.25">
      <c r="A76" s="23" t="s">
        <v>106</v>
      </c>
      <c r="B76" s="184">
        <f>AVERAGE('5b. Base Hist'!Z81,'5b. Base Hist'!T81,'5b. Base Hist'!N81)</f>
        <v>15288.730000000001</v>
      </c>
      <c r="C76" s="9">
        <f>'5b. Base Hist'!V81</f>
        <v>311.45663066666668</v>
      </c>
      <c r="D76" s="9">
        <f>'5b. Base Hist'!W81</f>
        <v>286.84333333333331</v>
      </c>
      <c r="E76" s="180">
        <f>'5b. Base Hist'!X81+'5b. Base Hist'!Y81</f>
        <v>470.47666666666663</v>
      </c>
    </row>
    <row r="77" spans="1:6" x14ac:dyDescent="0.25">
      <c r="A77" s="23" t="s">
        <v>107</v>
      </c>
      <c r="B77" s="184">
        <f>AVERAGE('5b. Base Hist'!Z82,'5b. Base Hist'!T82,'5b. Base Hist'!N82)</f>
        <v>7231.0818500492342</v>
      </c>
      <c r="C77" s="9">
        <f>'5b. Base Hist'!V82</f>
        <v>117.56666666666668</v>
      </c>
      <c r="D77" s="9">
        <f>'5b. Base Hist'!W82</f>
        <v>2.226666666666667</v>
      </c>
      <c r="E77" s="180">
        <f>'5b. Base Hist'!X82+'5b. Base Hist'!Y82</f>
        <v>106.77986449101972</v>
      </c>
    </row>
    <row r="78" spans="1:6" s="7" customFormat="1" x14ac:dyDescent="0.25">
      <c r="A78" s="47" t="s">
        <v>108</v>
      </c>
      <c r="B78" s="55">
        <f>SUM(B6:B77)</f>
        <v>1003674.0106953213</v>
      </c>
      <c r="C78" s="55">
        <f>SUM(C6:C77)</f>
        <v>35123.935145837015</v>
      </c>
      <c r="D78" s="55">
        <f>SUM(D6:D77)</f>
        <v>39437.772411695594</v>
      </c>
      <c r="E78" s="55">
        <f>SUM(E6:E77)</f>
        <v>40889.824082278348</v>
      </c>
      <c r="F78" s="55"/>
    </row>
  </sheetData>
  <mergeCells count="1">
    <mergeCell ref="B2:E2"/>
  </mergeCells>
  <pageMargins left="0.7" right="0.7" top="0.75" bottom="0.75" header="0.3" footer="0.3"/>
  <pageSetup orientation="portrait" horizontalDpi="300" verticalDpi="30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5:Z107"/>
  <sheetViews>
    <sheetView topLeftCell="A7" workbookViewId="0">
      <selection activeCell="U11" sqref="U11"/>
    </sheetView>
  </sheetViews>
  <sheetFormatPr defaultColWidth="8.85546875" defaultRowHeight="15" x14ac:dyDescent="0.25"/>
  <cols>
    <col min="1" max="1" width="20.85546875" customWidth="1"/>
    <col min="2" max="2" width="11.28515625" bestFit="1" customWidth="1"/>
    <col min="3" max="6" width="8.7109375" customWidth="1"/>
    <col min="7" max="7" width="12.28515625" customWidth="1"/>
    <col min="8" max="8" width="2.7109375" customWidth="1"/>
    <col min="9" max="9" width="11.28515625" bestFit="1" customWidth="1"/>
    <col min="10" max="13" width="8.7109375" customWidth="1"/>
    <col min="14" max="14" width="12.28515625" customWidth="1"/>
    <col min="15" max="15" width="10.5703125" bestFit="1" customWidth="1"/>
    <col min="20" max="20" width="8.85546875" bestFit="1" customWidth="1"/>
  </cols>
  <sheetData>
    <row r="5" spans="1:26" x14ac:dyDescent="0.25">
      <c r="A5" s="71"/>
      <c r="B5" s="303" t="s">
        <v>204</v>
      </c>
      <c r="C5" s="303"/>
      <c r="D5" s="303"/>
      <c r="E5" s="303"/>
      <c r="F5" s="303"/>
      <c r="G5" s="303"/>
      <c r="H5" s="71"/>
      <c r="I5" s="303" t="s">
        <v>129</v>
      </c>
      <c r="J5" s="303"/>
      <c r="K5" s="303"/>
      <c r="L5" s="303"/>
      <c r="M5" s="303"/>
      <c r="N5" s="303"/>
      <c r="O5" s="298" t="s">
        <v>269</v>
      </c>
      <c r="P5" s="298"/>
      <c r="Q5" s="298"/>
      <c r="R5" s="298"/>
      <c r="S5" s="298"/>
      <c r="T5" s="298"/>
      <c r="U5" t="s">
        <v>286</v>
      </c>
    </row>
    <row r="6" spans="1:26" x14ac:dyDescent="0.25">
      <c r="O6" s="307"/>
      <c r="P6" s="307"/>
      <c r="Q6" s="307"/>
      <c r="R6" s="307"/>
      <c r="S6" s="307"/>
      <c r="T6" s="307"/>
      <c r="U6" s="298" t="s">
        <v>285</v>
      </c>
      <c r="V6" s="298"/>
      <c r="W6" s="298"/>
      <c r="X6" s="298"/>
      <c r="Y6" s="298"/>
      <c r="Z6" s="298"/>
    </row>
    <row r="7" spans="1:26" x14ac:dyDescent="0.25">
      <c r="B7" s="269"/>
      <c r="C7" s="269"/>
      <c r="D7" s="269"/>
      <c r="E7" s="270"/>
      <c r="F7" s="271"/>
      <c r="G7" s="271"/>
      <c r="H7" s="272"/>
      <c r="I7" s="271"/>
      <c r="J7" s="273"/>
      <c r="K7" s="273"/>
      <c r="L7" s="271"/>
      <c r="M7" s="271"/>
      <c r="N7" s="271"/>
      <c r="U7" s="298" t="s">
        <v>291</v>
      </c>
      <c r="V7" s="298"/>
      <c r="W7" s="298"/>
      <c r="X7" s="298"/>
      <c r="Y7" s="298"/>
      <c r="Z7" s="18"/>
    </row>
    <row r="8" spans="1:26" ht="120" x14ac:dyDescent="0.25">
      <c r="A8" s="263" t="s">
        <v>270</v>
      </c>
      <c r="B8" s="304" t="s">
        <v>280</v>
      </c>
      <c r="C8" s="305"/>
      <c r="D8" s="306"/>
      <c r="E8" s="292" t="s">
        <v>281</v>
      </c>
      <c r="F8" s="274" t="s">
        <v>268</v>
      </c>
      <c r="G8" s="275" t="s">
        <v>282</v>
      </c>
      <c r="H8" s="276"/>
      <c r="I8" s="304" t="s">
        <v>283</v>
      </c>
      <c r="J8" s="305"/>
      <c r="K8" s="306"/>
      <c r="L8" s="292" t="s">
        <v>281</v>
      </c>
      <c r="M8" s="274" t="s">
        <v>268</v>
      </c>
      <c r="N8" s="275" t="s">
        <v>282</v>
      </c>
      <c r="O8" s="304" t="s">
        <v>287</v>
      </c>
      <c r="P8" s="305"/>
      <c r="Q8" s="306"/>
      <c r="R8" s="292" t="s">
        <v>281</v>
      </c>
      <c r="S8" s="274" t="s">
        <v>268</v>
      </c>
      <c r="T8" s="275" t="s">
        <v>282</v>
      </c>
      <c r="U8" s="79" t="s">
        <v>256</v>
      </c>
      <c r="V8" s="71" t="s">
        <v>266</v>
      </c>
      <c r="W8" s="71" t="s">
        <v>267</v>
      </c>
      <c r="X8" s="292" t="s">
        <v>281</v>
      </c>
      <c r="Y8" s="274" t="s">
        <v>268</v>
      </c>
      <c r="Z8" s="275" t="s">
        <v>282</v>
      </c>
    </row>
    <row r="9" spans="1:26" ht="90" x14ac:dyDescent="0.25">
      <c r="A9" s="264" t="s">
        <v>8</v>
      </c>
      <c r="B9" s="277" t="s">
        <v>128</v>
      </c>
      <c r="C9" s="278" t="s">
        <v>284</v>
      </c>
      <c r="D9" s="279" t="s">
        <v>127</v>
      </c>
      <c r="E9" s="277" t="s">
        <v>128</v>
      </c>
      <c r="F9" s="280" t="s">
        <v>128</v>
      </c>
      <c r="G9" s="281" t="s">
        <v>128</v>
      </c>
      <c r="H9" s="282"/>
      <c r="I9" s="277" t="s">
        <v>128</v>
      </c>
      <c r="J9" s="278" t="s">
        <v>284</v>
      </c>
      <c r="K9" s="279" t="s">
        <v>127</v>
      </c>
      <c r="L9" s="277" t="s">
        <v>128</v>
      </c>
      <c r="M9" s="280" t="s">
        <v>128</v>
      </c>
      <c r="N9" s="281" t="s">
        <v>128</v>
      </c>
      <c r="O9" s="79" t="s">
        <v>292</v>
      </c>
      <c r="P9" s="71" t="s">
        <v>266</v>
      </c>
      <c r="Q9" s="71" t="s">
        <v>267</v>
      </c>
      <c r="T9" s="281" t="s">
        <v>128</v>
      </c>
    </row>
    <row r="10" spans="1:26" x14ac:dyDescent="0.25">
      <c r="A10" s="23"/>
      <c r="B10" s="283"/>
      <c r="C10" s="283"/>
      <c r="D10" s="283"/>
      <c r="E10" s="283"/>
      <c r="F10" s="283"/>
      <c r="G10" s="283"/>
      <c r="H10" s="283"/>
      <c r="I10" s="283"/>
      <c r="J10" s="283"/>
      <c r="K10" s="283"/>
      <c r="L10" s="283"/>
      <c r="M10" s="283"/>
      <c r="N10" s="283"/>
    </row>
    <row r="11" spans="1:26" x14ac:dyDescent="0.25">
      <c r="A11" s="23" t="str">
        <f>[9]NamesDistrictCollegeCenter!B11</f>
        <v>Allan Hancock Joint CCD</v>
      </c>
      <c r="B11" s="284">
        <v>9202.61</v>
      </c>
      <c r="C11" s="284">
        <v>499.92</v>
      </c>
      <c r="D11" s="284">
        <v>319.04000000000002</v>
      </c>
      <c r="E11" s="284">
        <v>106.5</v>
      </c>
      <c r="F11" s="284">
        <v>425.76</v>
      </c>
      <c r="G11" s="285">
        <f t="shared" ref="G11:G42" si="0">B11-E11-F11</f>
        <v>8670.35</v>
      </c>
      <c r="H11" s="261"/>
      <c r="I11" s="284">
        <v>7860.1600000000008</v>
      </c>
      <c r="J11" s="284">
        <v>431.70000000000005</v>
      </c>
      <c r="K11" s="284">
        <v>261.70000000000005</v>
      </c>
      <c r="L11" s="284">
        <v>83.47</v>
      </c>
      <c r="M11" s="284">
        <v>436.82</v>
      </c>
      <c r="N11" s="285">
        <f t="shared" ref="N11:N42" si="1">I11-L11-M11</f>
        <v>7339.8700000000008</v>
      </c>
      <c r="O11" s="262">
        <v>8984.08</v>
      </c>
      <c r="P11" s="6">
        <v>401.82</v>
      </c>
      <c r="Q11" s="6">
        <v>255.44</v>
      </c>
      <c r="R11" s="6">
        <v>73.67</v>
      </c>
      <c r="S11" s="6">
        <v>420.1</v>
      </c>
      <c r="T11" s="6">
        <f>O11-R11-S11</f>
        <v>8490.31</v>
      </c>
      <c r="U11" s="291">
        <f t="shared" ref="U11:Z11" si="2">IF(((((I11-B11)+(2*(O11-I11)))/3)+O11)&gt;0,((((I11-B11)+(2*(O11-I11)))/3)+O11),O11)</f>
        <v>9285.876666666667</v>
      </c>
      <c r="V11" s="291">
        <f t="shared" si="2"/>
        <v>359.15999999999997</v>
      </c>
      <c r="W11" s="291">
        <f t="shared" si="2"/>
        <v>232.15333333333331</v>
      </c>
      <c r="X11" s="291">
        <f t="shared" si="2"/>
        <v>59.46</v>
      </c>
      <c r="Y11" s="291">
        <f t="shared" si="2"/>
        <v>412.64000000000004</v>
      </c>
      <c r="Z11" s="291">
        <f t="shared" si="2"/>
        <v>8813.7766666666648</v>
      </c>
    </row>
    <row r="12" spans="1:26" x14ac:dyDescent="0.25">
      <c r="A12" s="23" t="str">
        <f>[9]NamesDistrictCollegeCenter!B12</f>
        <v>Antelope Valley CCD</v>
      </c>
      <c r="B12" s="284">
        <v>10523.449999999999</v>
      </c>
      <c r="C12" s="284">
        <v>4.5</v>
      </c>
      <c r="D12" s="284">
        <v>39.28</v>
      </c>
      <c r="E12" s="284">
        <v>8.68</v>
      </c>
      <c r="F12" s="284">
        <v>302.60000000000002</v>
      </c>
      <c r="G12" s="285">
        <f t="shared" si="0"/>
        <v>10212.169999999998</v>
      </c>
      <c r="H12" s="261"/>
      <c r="I12" s="284">
        <v>10527.039999999999</v>
      </c>
      <c r="J12" s="284">
        <v>7.9199660000000005</v>
      </c>
      <c r="K12" s="284">
        <v>80.880057999999991</v>
      </c>
      <c r="L12" s="284">
        <v>1.79</v>
      </c>
      <c r="M12" s="284">
        <v>308.01</v>
      </c>
      <c r="N12" s="285">
        <f t="shared" si="1"/>
        <v>10217.239999999998</v>
      </c>
      <c r="O12" s="262">
        <v>10968.8</v>
      </c>
      <c r="P12" s="6">
        <v>7.6099999999999994</v>
      </c>
      <c r="Q12" s="6">
        <v>55.1</v>
      </c>
      <c r="R12" s="6">
        <v>11.01</v>
      </c>
      <c r="S12" s="6">
        <v>341.84</v>
      </c>
      <c r="T12" s="6">
        <f t="shared" ref="T12:T75" si="3">O12-R12-S12</f>
        <v>10615.949999999999</v>
      </c>
      <c r="U12" s="291">
        <f t="shared" ref="U12:U43" si="4">IF(((((I12-B12)+(2*(O12-I12)))/3)+O12)&gt;0,((((I12-B12)+(2*(O12-I12)))/3)+O12),O12)</f>
        <v>11264.503333333332</v>
      </c>
      <c r="V12" s="291">
        <f t="shared" ref="V12:V75" si="5">IF(((((J12-C12)+(2*(P12-J12)))/3)+P12)&gt;0,((((J12-C12)+(2*(P12-J12)))/3)+P12),P12)</f>
        <v>8.5433446666666661</v>
      </c>
      <c r="W12" s="291">
        <f t="shared" ref="W12:W75" si="6">IF(((((K12-D12)+(2*(Q12-K12)))/3)+Q12)&gt;0,((((K12-D12)+(2*(Q12-K12)))/3)+Q12),Q12)</f>
        <v>51.779980666666674</v>
      </c>
      <c r="X12" s="291">
        <f t="shared" ref="X12:X75" si="7">IF(((((L12-E12)+(2*(R12-L12)))/3)+R12)&gt;0,((((L12-E12)+(2*(R12-L12)))/3)+R12),R12)</f>
        <v>14.86</v>
      </c>
      <c r="Y12" s="291">
        <f t="shared" ref="Y12:Y75" si="8">IF(((((M12-F12)+(2*(S12-M12)))/3)+S12)&gt;0,((((M12-F12)+(2*(S12-M12)))/3)+S12),S12)</f>
        <v>366.1966666666666</v>
      </c>
      <c r="Z12" s="291">
        <f t="shared" ref="Z12:Z75" si="9">IF(((((N12-G12)+(2*(T12-N12)))/3)+T12)&gt;0,((((N12-G12)+(2*(T12-N12)))/3)+T12),T12)</f>
        <v>10883.446666666667</v>
      </c>
    </row>
    <row r="13" spans="1:26" x14ac:dyDescent="0.25">
      <c r="A13" s="23" t="str">
        <f>[9]NamesDistrictCollegeCenter!B13</f>
        <v>Barstow CCD</v>
      </c>
      <c r="B13" s="284">
        <v>2565.1499069999995</v>
      </c>
      <c r="C13" s="284">
        <v>17.72</v>
      </c>
      <c r="D13" s="284">
        <v>0</v>
      </c>
      <c r="E13" s="284"/>
      <c r="F13" s="284">
        <v>39.21</v>
      </c>
      <c r="G13" s="285">
        <f t="shared" si="0"/>
        <v>2525.9399069999995</v>
      </c>
      <c r="H13" s="261"/>
      <c r="I13" s="284">
        <v>2320.7099999999996</v>
      </c>
      <c r="J13" s="284">
        <v>29.82</v>
      </c>
      <c r="K13" s="284">
        <v>0</v>
      </c>
      <c r="L13" s="284"/>
      <c r="M13" s="284">
        <v>43.74</v>
      </c>
      <c r="N13" s="285">
        <f t="shared" si="1"/>
        <v>2276.9699999999998</v>
      </c>
      <c r="O13" s="262">
        <v>2552.27</v>
      </c>
      <c r="P13" s="6">
        <v>29.84</v>
      </c>
      <c r="Q13" s="6">
        <v>0</v>
      </c>
      <c r="R13" s="6">
        <v>0</v>
      </c>
      <c r="S13" s="6">
        <v>0</v>
      </c>
      <c r="T13" s="6">
        <f t="shared" si="3"/>
        <v>2552.27</v>
      </c>
      <c r="U13" s="291">
        <f t="shared" si="4"/>
        <v>2625.1633643333334</v>
      </c>
      <c r="V13" s="291">
        <f t="shared" si="5"/>
        <v>33.88666666666667</v>
      </c>
      <c r="W13" s="291">
        <f t="shared" si="6"/>
        <v>0</v>
      </c>
      <c r="X13" s="291">
        <f t="shared" si="7"/>
        <v>0</v>
      </c>
      <c r="Y13" s="291">
        <f t="shared" si="8"/>
        <v>0</v>
      </c>
      <c r="Z13" s="291">
        <f t="shared" si="9"/>
        <v>2652.8133643333335</v>
      </c>
    </row>
    <row r="14" spans="1:26" x14ac:dyDescent="0.25">
      <c r="A14" s="23" t="str">
        <f>[9]NamesDistrictCollegeCenter!B14</f>
        <v>Butte-Glenn CCD</v>
      </c>
      <c r="B14" s="284">
        <v>8717.9200000000019</v>
      </c>
      <c r="C14" s="284">
        <v>1245.24</v>
      </c>
      <c r="D14" s="284">
        <v>23.440000000000005</v>
      </c>
      <c r="E14" s="284"/>
      <c r="F14" s="284">
        <v>172.12</v>
      </c>
      <c r="G14" s="285">
        <f t="shared" si="0"/>
        <v>8545.8000000000011</v>
      </c>
      <c r="H14" s="261"/>
      <c r="I14" s="284">
        <v>9162.4000920000017</v>
      </c>
      <c r="J14" s="284">
        <v>1195.77</v>
      </c>
      <c r="K14" s="284">
        <v>25.050000000000004</v>
      </c>
      <c r="L14" s="284"/>
      <c r="M14" s="284">
        <v>185.72</v>
      </c>
      <c r="N14" s="285">
        <f t="shared" si="1"/>
        <v>8976.6800920000023</v>
      </c>
      <c r="O14" s="262">
        <v>9162.4</v>
      </c>
      <c r="P14" s="6">
        <v>1195.77</v>
      </c>
      <c r="Q14" s="6">
        <v>25.050000000000004</v>
      </c>
      <c r="R14" s="6">
        <v>0</v>
      </c>
      <c r="S14" s="6">
        <v>185.72</v>
      </c>
      <c r="T14" s="6">
        <f t="shared" si="3"/>
        <v>8976.68</v>
      </c>
      <c r="U14" s="291">
        <f t="shared" si="4"/>
        <v>9310.5599693333315</v>
      </c>
      <c r="V14" s="291">
        <f t="shared" si="5"/>
        <v>1179.28</v>
      </c>
      <c r="W14" s="291">
        <f t="shared" si="6"/>
        <v>25.58666666666667</v>
      </c>
      <c r="X14" s="291">
        <f t="shared" si="7"/>
        <v>0</v>
      </c>
      <c r="Y14" s="291">
        <f t="shared" si="8"/>
        <v>190.25333333333333</v>
      </c>
      <c r="Z14" s="291">
        <f t="shared" si="9"/>
        <v>9120.3066359999993</v>
      </c>
    </row>
    <row r="15" spans="1:26" x14ac:dyDescent="0.25">
      <c r="A15" s="23" t="str">
        <f>[9]NamesDistrictCollegeCenter!B15</f>
        <v>Cabrillo CCD</v>
      </c>
      <c r="B15" s="284">
        <v>10208.64</v>
      </c>
      <c r="C15" s="284">
        <v>181.85999999999999</v>
      </c>
      <c r="D15" s="284">
        <v>2.96</v>
      </c>
      <c r="E15" s="284"/>
      <c r="F15" s="284">
        <v>300.29000000000002</v>
      </c>
      <c r="G15" s="285">
        <f t="shared" si="0"/>
        <v>9908.3499999999985</v>
      </c>
      <c r="H15" s="261"/>
      <c r="I15" s="284">
        <v>8791.82</v>
      </c>
      <c r="J15" s="284">
        <v>136.63</v>
      </c>
      <c r="K15" s="284">
        <v>15</v>
      </c>
      <c r="L15" s="284"/>
      <c r="M15" s="284">
        <v>285.12</v>
      </c>
      <c r="N15" s="285">
        <f t="shared" si="1"/>
        <v>8506.6999999999989</v>
      </c>
      <c r="O15" s="262">
        <v>9763.41</v>
      </c>
      <c r="P15" s="6">
        <v>481.52000000000004</v>
      </c>
      <c r="Q15" s="6">
        <v>55.93</v>
      </c>
      <c r="R15" s="6">
        <v>0</v>
      </c>
      <c r="S15" s="6">
        <v>234.9</v>
      </c>
      <c r="T15" s="6">
        <f t="shared" si="3"/>
        <v>9528.51</v>
      </c>
      <c r="U15" s="291">
        <f t="shared" si="4"/>
        <v>9938.8633333333328</v>
      </c>
      <c r="V15" s="291">
        <f t="shared" si="5"/>
        <v>696.37000000000012</v>
      </c>
      <c r="W15" s="291">
        <f t="shared" si="6"/>
        <v>87.23</v>
      </c>
      <c r="X15" s="291">
        <f t="shared" si="7"/>
        <v>0</v>
      </c>
      <c r="Y15" s="291">
        <f t="shared" si="8"/>
        <v>196.36333333333334</v>
      </c>
      <c r="Z15" s="291">
        <f t="shared" si="9"/>
        <v>9742.5000000000018</v>
      </c>
    </row>
    <row r="16" spans="1:26" x14ac:dyDescent="0.25">
      <c r="A16" s="23" t="str">
        <f>[9]NamesDistrictCollegeCenter!B16</f>
        <v>Cerritos CCD</v>
      </c>
      <c r="B16" s="284">
        <v>16303.43</v>
      </c>
      <c r="C16" s="284">
        <v>138.5</v>
      </c>
      <c r="D16" s="284">
        <v>279.76</v>
      </c>
      <c r="E16" s="284"/>
      <c r="F16" s="284">
        <v>81.08</v>
      </c>
      <c r="G16" s="285">
        <f t="shared" si="0"/>
        <v>16222.35</v>
      </c>
      <c r="H16" s="261"/>
      <c r="I16" s="284">
        <v>16254.429999999998</v>
      </c>
      <c r="J16" s="284">
        <v>273.90999999999997</v>
      </c>
      <c r="K16" s="284">
        <v>249.77</v>
      </c>
      <c r="L16" s="284"/>
      <c r="M16" s="284">
        <v>91</v>
      </c>
      <c r="N16" s="285">
        <f t="shared" si="1"/>
        <v>16163.429999999998</v>
      </c>
      <c r="O16" s="262">
        <v>15924.63</v>
      </c>
      <c r="P16" s="6">
        <v>273.90999999999997</v>
      </c>
      <c r="Q16" s="6">
        <v>249.77</v>
      </c>
      <c r="R16" s="6">
        <v>0</v>
      </c>
      <c r="S16" s="6">
        <v>106.49</v>
      </c>
      <c r="T16" s="6">
        <f t="shared" si="3"/>
        <v>15818.14</v>
      </c>
      <c r="U16" s="291">
        <f t="shared" si="4"/>
        <v>15688.429999999998</v>
      </c>
      <c r="V16" s="291">
        <f t="shared" si="5"/>
        <v>319.04666666666662</v>
      </c>
      <c r="W16" s="291">
        <f t="shared" si="6"/>
        <v>239.77333333333334</v>
      </c>
      <c r="X16" s="291">
        <f t="shared" si="7"/>
        <v>0</v>
      </c>
      <c r="Y16" s="291">
        <f t="shared" si="8"/>
        <v>120.12333333333332</v>
      </c>
      <c r="Z16" s="291">
        <f t="shared" si="9"/>
        <v>15568.306666666665</v>
      </c>
    </row>
    <row r="17" spans="1:26" x14ac:dyDescent="0.25">
      <c r="A17" s="23" t="str">
        <f>[9]NamesDistrictCollegeCenter!B17</f>
        <v>Chabot-Las Positas CCD</v>
      </c>
      <c r="B17" s="284">
        <v>15460.45</v>
      </c>
      <c r="C17" s="284">
        <v>164.82999999999998</v>
      </c>
      <c r="D17" s="284">
        <v>0</v>
      </c>
      <c r="E17" s="284"/>
      <c r="F17" s="284">
        <v>212.72</v>
      </c>
      <c r="G17" s="285">
        <f t="shared" si="0"/>
        <v>15247.730000000001</v>
      </c>
      <c r="H17" s="261"/>
      <c r="I17" s="284">
        <v>18651.602642000002</v>
      </c>
      <c r="J17" s="284">
        <v>171.54999999999998</v>
      </c>
      <c r="K17" s="284">
        <v>0</v>
      </c>
      <c r="L17" s="284"/>
      <c r="M17" s="284">
        <v>278.60000000000002</v>
      </c>
      <c r="N17" s="285">
        <f t="shared" si="1"/>
        <v>18373.002642000003</v>
      </c>
      <c r="O17" s="262">
        <v>15239.66</v>
      </c>
      <c r="P17" s="6">
        <v>179.03</v>
      </c>
      <c r="Q17" s="6">
        <v>0</v>
      </c>
      <c r="R17" s="6">
        <v>0</v>
      </c>
      <c r="S17" s="6">
        <v>366.03</v>
      </c>
      <c r="T17" s="6">
        <f t="shared" si="3"/>
        <v>14873.63</v>
      </c>
      <c r="U17" s="291">
        <f t="shared" si="4"/>
        <v>14028.749119333332</v>
      </c>
      <c r="V17" s="291">
        <f t="shared" si="5"/>
        <v>186.25666666666669</v>
      </c>
      <c r="W17" s="291">
        <f t="shared" si="6"/>
        <v>0</v>
      </c>
      <c r="X17" s="291">
        <f t="shared" si="7"/>
        <v>0</v>
      </c>
      <c r="Y17" s="291">
        <f t="shared" si="8"/>
        <v>446.27666666666664</v>
      </c>
      <c r="Z17" s="291">
        <f t="shared" si="9"/>
        <v>13582.472452666663</v>
      </c>
    </row>
    <row r="18" spans="1:26" x14ac:dyDescent="0.25">
      <c r="A18" s="23" t="str">
        <f>[9]NamesDistrictCollegeCenter!B18</f>
        <v>Chaffey CCD</v>
      </c>
      <c r="B18" s="284">
        <v>16000.019969999999</v>
      </c>
      <c r="C18" s="284">
        <v>385.28000000000003</v>
      </c>
      <c r="D18" s="284">
        <v>0</v>
      </c>
      <c r="E18" s="284"/>
      <c r="F18" s="284">
        <v>131.12</v>
      </c>
      <c r="G18" s="285">
        <f t="shared" si="0"/>
        <v>15868.899969999999</v>
      </c>
      <c r="H18" s="261"/>
      <c r="I18" s="284">
        <v>14222.029999999999</v>
      </c>
      <c r="J18" s="284">
        <v>404.90000000000003</v>
      </c>
      <c r="K18" s="284">
        <v>0</v>
      </c>
      <c r="L18" s="284">
        <v>59.64</v>
      </c>
      <c r="M18" s="284">
        <v>182.02</v>
      </c>
      <c r="N18" s="285">
        <f t="shared" si="1"/>
        <v>13980.369999999999</v>
      </c>
      <c r="O18" s="262">
        <v>16545.68</v>
      </c>
      <c r="P18" s="6">
        <v>370.29</v>
      </c>
      <c r="Q18" s="6">
        <v>0</v>
      </c>
      <c r="R18" s="6">
        <v>47.26</v>
      </c>
      <c r="S18" s="6">
        <v>240.26</v>
      </c>
      <c r="T18" s="6">
        <f t="shared" si="3"/>
        <v>16258.160000000002</v>
      </c>
      <c r="U18" s="291">
        <f t="shared" si="4"/>
        <v>17502.116676666668</v>
      </c>
      <c r="V18" s="291">
        <f t="shared" si="5"/>
        <v>353.75666666666666</v>
      </c>
      <c r="W18" s="291">
        <f t="shared" si="6"/>
        <v>0</v>
      </c>
      <c r="X18" s="291">
        <f t="shared" si="7"/>
        <v>58.886666666666663</v>
      </c>
      <c r="Y18" s="291">
        <f t="shared" si="8"/>
        <v>296.05333333333328</v>
      </c>
      <c r="Z18" s="291">
        <f t="shared" si="9"/>
        <v>17147.17667666667</v>
      </c>
    </row>
    <row r="19" spans="1:26" x14ac:dyDescent="0.25">
      <c r="A19" s="23" t="str">
        <f>[9]NamesDistrictCollegeCenter!B19</f>
        <v>Citrus CCD</v>
      </c>
      <c r="B19" s="284">
        <v>11468.249939000001</v>
      </c>
      <c r="C19" s="284">
        <v>219.1</v>
      </c>
      <c r="D19" s="284">
        <v>113.84</v>
      </c>
      <c r="E19" s="284"/>
      <c r="F19" s="284">
        <v>129.29</v>
      </c>
      <c r="G19" s="285">
        <f t="shared" si="0"/>
        <v>11338.959939</v>
      </c>
      <c r="H19" s="261"/>
      <c r="I19" s="284">
        <v>11617.945227000002</v>
      </c>
      <c r="J19" s="284">
        <v>295.13</v>
      </c>
      <c r="K19" s="284">
        <v>99.64</v>
      </c>
      <c r="L19" s="284"/>
      <c r="M19" s="284">
        <v>208.13</v>
      </c>
      <c r="N19" s="285">
        <f t="shared" si="1"/>
        <v>11409.815227000003</v>
      </c>
      <c r="O19" s="262">
        <v>11053.78</v>
      </c>
      <c r="P19" s="6">
        <v>295.13</v>
      </c>
      <c r="Q19" s="6">
        <v>99.64</v>
      </c>
      <c r="R19" s="6">
        <v>0</v>
      </c>
      <c r="S19" s="6">
        <v>289.74</v>
      </c>
      <c r="T19" s="6">
        <f t="shared" si="3"/>
        <v>10764.04</v>
      </c>
      <c r="U19" s="291">
        <f t="shared" si="4"/>
        <v>10727.568278000001</v>
      </c>
      <c r="V19" s="291">
        <f t="shared" si="5"/>
        <v>320.47333333333336</v>
      </c>
      <c r="W19" s="291">
        <f t="shared" si="6"/>
        <v>94.906666666666666</v>
      </c>
      <c r="X19" s="291">
        <f t="shared" si="7"/>
        <v>0</v>
      </c>
      <c r="Y19" s="291">
        <f t="shared" si="8"/>
        <v>370.42666666666668</v>
      </c>
      <c r="Z19" s="291">
        <f t="shared" si="9"/>
        <v>10357.141611333334</v>
      </c>
    </row>
    <row r="20" spans="1:26" x14ac:dyDescent="0.25">
      <c r="A20" s="23" t="str">
        <f>[9]NamesDistrictCollegeCenter!B20</f>
        <v>Coast CCD</v>
      </c>
      <c r="B20" s="284">
        <v>29983.059999999994</v>
      </c>
      <c r="C20" s="284">
        <v>309.27</v>
      </c>
      <c r="D20" s="284">
        <v>0</v>
      </c>
      <c r="E20" s="284"/>
      <c r="F20" s="284">
        <v>78.42</v>
      </c>
      <c r="G20" s="285">
        <f t="shared" si="0"/>
        <v>29904.639999999996</v>
      </c>
      <c r="H20" s="261"/>
      <c r="I20" s="284">
        <v>32276.789907999995</v>
      </c>
      <c r="J20" s="284">
        <v>349.01011299999999</v>
      </c>
      <c r="K20" s="284">
        <v>0</v>
      </c>
      <c r="L20" s="284">
        <v>201.08</v>
      </c>
      <c r="M20" s="284">
        <v>187.33</v>
      </c>
      <c r="N20" s="285">
        <f t="shared" si="1"/>
        <v>31888.379907999992</v>
      </c>
      <c r="O20" s="262">
        <v>30455.94</v>
      </c>
      <c r="P20" s="6">
        <v>47.380000000000052</v>
      </c>
      <c r="Q20" s="6">
        <v>313.08999999999997</v>
      </c>
      <c r="R20" s="6">
        <v>0</v>
      </c>
      <c r="S20" s="6">
        <v>174.29</v>
      </c>
      <c r="T20" s="6">
        <f t="shared" si="3"/>
        <v>30281.649999999998</v>
      </c>
      <c r="U20" s="291">
        <f t="shared" si="4"/>
        <v>30006.616697333335</v>
      </c>
      <c r="V20" s="291">
        <f t="shared" si="5"/>
        <v>47.380000000000052</v>
      </c>
      <c r="W20" s="291">
        <f t="shared" si="6"/>
        <v>521.81666666666661</v>
      </c>
      <c r="X20" s="291">
        <f t="shared" si="7"/>
        <v>0</v>
      </c>
      <c r="Y20" s="291">
        <f t="shared" si="8"/>
        <v>201.89999999999998</v>
      </c>
      <c r="Z20" s="291">
        <f t="shared" si="9"/>
        <v>29871.743364000002</v>
      </c>
    </row>
    <row r="21" spans="1:26" x14ac:dyDescent="0.25">
      <c r="A21" s="23" t="str">
        <f>[9]NamesDistrictCollegeCenter!B21</f>
        <v>Compton CCD</v>
      </c>
      <c r="B21" s="284">
        <v>5088.510000000002</v>
      </c>
      <c r="C21" s="284">
        <v>21.279999999999998</v>
      </c>
      <c r="D21" s="284">
        <v>0</v>
      </c>
      <c r="E21" s="284"/>
      <c r="F21" s="284">
        <v>195.16</v>
      </c>
      <c r="G21" s="285">
        <f t="shared" si="0"/>
        <v>4893.3500000000022</v>
      </c>
      <c r="H21" s="261"/>
      <c r="I21" s="284">
        <v>5961.6899290000019</v>
      </c>
      <c r="J21" s="284">
        <v>18.52</v>
      </c>
      <c r="K21" s="284">
        <v>0</v>
      </c>
      <c r="L21" s="284"/>
      <c r="M21" s="284">
        <v>245.21</v>
      </c>
      <c r="N21" s="285">
        <f t="shared" si="1"/>
        <v>5716.4799290000019</v>
      </c>
      <c r="O21" s="262">
        <v>5961.69</v>
      </c>
      <c r="P21" s="6">
        <v>18.52</v>
      </c>
      <c r="Q21" s="6">
        <v>0</v>
      </c>
      <c r="R21" s="6">
        <v>0</v>
      </c>
      <c r="S21" s="6">
        <v>241.07041136638867</v>
      </c>
      <c r="T21" s="6">
        <f t="shared" si="3"/>
        <v>5720.6195886336109</v>
      </c>
      <c r="U21" s="291">
        <f t="shared" si="4"/>
        <v>6252.7500236666647</v>
      </c>
      <c r="V21" s="291">
        <f t="shared" si="5"/>
        <v>17.600000000000001</v>
      </c>
      <c r="W21" s="291">
        <f t="shared" si="6"/>
        <v>0</v>
      </c>
      <c r="X21" s="291">
        <f t="shared" si="7"/>
        <v>0</v>
      </c>
      <c r="Y21" s="291">
        <f t="shared" si="8"/>
        <v>254.9940189439811</v>
      </c>
      <c r="Z21" s="291">
        <f t="shared" si="9"/>
        <v>5997.7560047226834</v>
      </c>
    </row>
    <row r="22" spans="1:26" x14ac:dyDescent="0.25">
      <c r="A22" s="23" t="str">
        <f>[9]NamesDistrictCollegeCenter!B22</f>
        <v>Contra Costa CCD</v>
      </c>
      <c r="B22" s="284">
        <v>23962.510000000002</v>
      </c>
      <c r="C22" s="284">
        <v>153.79000000000002</v>
      </c>
      <c r="D22" s="284">
        <v>0</v>
      </c>
      <c r="E22" s="284"/>
      <c r="F22" s="284">
        <v>583.12</v>
      </c>
      <c r="G22" s="285">
        <f t="shared" si="0"/>
        <v>23379.390000000003</v>
      </c>
      <c r="H22" s="261"/>
      <c r="I22" s="284">
        <v>29269.360051</v>
      </c>
      <c r="J22" s="284">
        <v>148.56</v>
      </c>
      <c r="K22" s="284">
        <v>0</v>
      </c>
      <c r="L22" s="284"/>
      <c r="M22" s="284">
        <v>1002.35</v>
      </c>
      <c r="N22" s="285">
        <f t="shared" si="1"/>
        <v>28267.010051000001</v>
      </c>
      <c r="O22" s="262">
        <v>25136.880000000001</v>
      </c>
      <c r="P22" s="6">
        <v>153.55000000000001</v>
      </c>
      <c r="Q22" s="6">
        <v>0</v>
      </c>
      <c r="R22" s="6">
        <v>0</v>
      </c>
      <c r="S22" s="6">
        <v>895.81</v>
      </c>
      <c r="T22" s="6">
        <f t="shared" si="3"/>
        <v>24241.07</v>
      </c>
      <c r="U22" s="291">
        <f t="shared" si="4"/>
        <v>24150.843316333336</v>
      </c>
      <c r="V22" s="291">
        <f t="shared" si="5"/>
        <v>155.13333333333335</v>
      </c>
      <c r="W22" s="291">
        <f t="shared" si="6"/>
        <v>0</v>
      </c>
      <c r="X22" s="291">
        <f t="shared" si="7"/>
        <v>0</v>
      </c>
      <c r="Y22" s="291">
        <f t="shared" si="8"/>
        <v>964.52666666666653</v>
      </c>
      <c r="Z22" s="291">
        <f t="shared" si="9"/>
        <v>23186.316649666664</v>
      </c>
    </row>
    <row r="23" spans="1:26" x14ac:dyDescent="0.25">
      <c r="A23" s="23" t="str">
        <f>[9]NamesDistrictCollegeCenter!B23</f>
        <v>Copper Mountain CCD</v>
      </c>
      <c r="B23" s="284">
        <v>1318.9300000000003</v>
      </c>
      <c r="C23" s="284">
        <v>91.78</v>
      </c>
      <c r="D23" s="284">
        <v>3.13</v>
      </c>
      <c r="E23" s="284"/>
      <c r="F23" s="284">
        <v>3.38</v>
      </c>
      <c r="G23" s="285">
        <f t="shared" si="0"/>
        <v>1315.5500000000002</v>
      </c>
      <c r="H23" s="261"/>
      <c r="I23" s="284">
        <v>1431.8299930000003</v>
      </c>
      <c r="J23" s="284">
        <v>87.31</v>
      </c>
      <c r="K23" s="284">
        <v>2.98</v>
      </c>
      <c r="L23" s="284"/>
      <c r="M23" s="284">
        <v>3.64</v>
      </c>
      <c r="N23" s="285">
        <f t="shared" si="1"/>
        <v>1428.1899930000002</v>
      </c>
      <c r="O23" s="262">
        <v>1452.68</v>
      </c>
      <c r="P23" s="6">
        <v>66.606676631239722</v>
      </c>
      <c r="Q23" s="6">
        <v>1.44</v>
      </c>
      <c r="R23" s="6">
        <v>0</v>
      </c>
      <c r="S23" s="6">
        <v>0</v>
      </c>
      <c r="T23" s="6">
        <f t="shared" si="3"/>
        <v>1452.68</v>
      </c>
      <c r="U23" s="291">
        <f t="shared" si="4"/>
        <v>1504.2133356666666</v>
      </c>
      <c r="V23" s="291">
        <f t="shared" si="5"/>
        <v>51.3144610520662</v>
      </c>
      <c r="W23" s="291">
        <f t="shared" si="6"/>
        <v>0.36333333333333329</v>
      </c>
      <c r="X23" s="291">
        <f t="shared" si="7"/>
        <v>0</v>
      </c>
      <c r="Y23" s="291">
        <f t="shared" si="8"/>
        <v>0</v>
      </c>
      <c r="Z23" s="291">
        <f t="shared" si="9"/>
        <v>1506.5533356666667</v>
      </c>
    </row>
    <row r="24" spans="1:26" x14ac:dyDescent="0.25">
      <c r="A24" s="23" t="str">
        <f>[9]NamesDistrictCollegeCenter!B24</f>
        <v>Desert CCD</v>
      </c>
      <c r="B24" s="284">
        <v>7758.6100003561596</v>
      </c>
      <c r="C24" s="284">
        <v>40.669999999999959</v>
      </c>
      <c r="D24" s="284">
        <v>738.4</v>
      </c>
      <c r="E24" s="284"/>
      <c r="F24" s="284">
        <v>45.02</v>
      </c>
      <c r="G24" s="285">
        <f t="shared" si="0"/>
        <v>7713.5900003561592</v>
      </c>
      <c r="H24" s="261"/>
      <c r="I24" s="284">
        <v>9398.6090733561596</v>
      </c>
      <c r="J24" s="284">
        <v>59.719999999999956</v>
      </c>
      <c r="K24" s="284">
        <v>668.2</v>
      </c>
      <c r="L24" s="284"/>
      <c r="M24" s="284">
        <v>298.45</v>
      </c>
      <c r="N24" s="285">
        <f t="shared" si="1"/>
        <v>9100.1590733561588</v>
      </c>
      <c r="O24" s="262">
        <v>8637.27</v>
      </c>
      <c r="P24" s="6">
        <v>303.89999999999986</v>
      </c>
      <c r="Q24" s="6">
        <v>1465.7436389317008</v>
      </c>
      <c r="R24" s="6">
        <v>0</v>
      </c>
      <c r="S24" s="6">
        <v>0</v>
      </c>
      <c r="T24" s="6">
        <f t="shared" si="3"/>
        <v>8637.27</v>
      </c>
      <c r="U24" s="291">
        <f t="shared" si="4"/>
        <v>8676.376975429228</v>
      </c>
      <c r="V24" s="291">
        <f t="shared" si="5"/>
        <v>473.03666666666646</v>
      </c>
      <c r="W24" s="291">
        <f t="shared" si="6"/>
        <v>1974.0393982195014</v>
      </c>
      <c r="X24" s="291">
        <f t="shared" si="7"/>
        <v>0</v>
      </c>
      <c r="Y24" s="291">
        <f t="shared" si="8"/>
        <v>0</v>
      </c>
      <c r="Z24" s="291">
        <f t="shared" si="9"/>
        <v>8790.8669754292278</v>
      </c>
    </row>
    <row r="25" spans="1:26" x14ac:dyDescent="0.25">
      <c r="A25" s="23" t="str">
        <f>[9]NamesDistrictCollegeCenter!B25</f>
        <v>El Camino CCD</v>
      </c>
      <c r="B25" s="284">
        <v>17898.23</v>
      </c>
      <c r="C25" s="284">
        <v>30.3</v>
      </c>
      <c r="D25" s="284">
        <v>0</v>
      </c>
      <c r="E25" s="284"/>
      <c r="F25" s="284">
        <v>233.94</v>
      </c>
      <c r="G25" s="285">
        <f t="shared" si="0"/>
        <v>17664.29</v>
      </c>
      <c r="H25" s="261"/>
      <c r="I25" s="284">
        <v>19587.659949000001</v>
      </c>
      <c r="J25" s="284">
        <v>55.19</v>
      </c>
      <c r="K25" s="284">
        <v>0</v>
      </c>
      <c r="L25" s="284"/>
      <c r="M25" s="284">
        <v>360.76</v>
      </c>
      <c r="N25" s="285">
        <f t="shared" si="1"/>
        <v>19226.899949000002</v>
      </c>
      <c r="O25" s="262">
        <v>18479.54</v>
      </c>
      <c r="P25" s="6">
        <v>55.19</v>
      </c>
      <c r="Q25" s="6">
        <v>0</v>
      </c>
      <c r="R25" s="6">
        <v>0</v>
      </c>
      <c r="S25" s="6">
        <v>541.30999999999995</v>
      </c>
      <c r="T25" s="6">
        <f t="shared" si="3"/>
        <v>17938.23</v>
      </c>
      <c r="U25" s="291">
        <f t="shared" si="4"/>
        <v>18303.936683666667</v>
      </c>
      <c r="V25" s="291">
        <f t="shared" si="5"/>
        <v>63.486666666666665</v>
      </c>
      <c r="W25" s="291">
        <f t="shared" si="6"/>
        <v>0</v>
      </c>
      <c r="X25" s="291">
        <f t="shared" si="7"/>
        <v>0</v>
      </c>
      <c r="Y25" s="291">
        <f t="shared" si="8"/>
        <v>703.94999999999993</v>
      </c>
      <c r="Z25" s="291">
        <f t="shared" si="9"/>
        <v>17599.986683666666</v>
      </c>
    </row>
    <row r="26" spans="1:26" x14ac:dyDescent="0.25">
      <c r="A26" s="23" t="str">
        <f>[9]NamesDistrictCollegeCenter!B26</f>
        <v>Feather River CCD</v>
      </c>
      <c r="B26" s="284">
        <v>1580.2900000000002</v>
      </c>
      <c r="C26" s="284">
        <v>33.300000000000011</v>
      </c>
      <c r="D26" s="284">
        <v>0</v>
      </c>
      <c r="E26" s="284">
        <v>273.92</v>
      </c>
      <c r="F26" s="284">
        <v>116.74</v>
      </c>
      <c r="G26" s="285">
        <f t="shared" si="0"/>
        <v>1189.6300000000001</v>
      </c>
      <c r="H26" s="261"/>
      <c r="I26" s="284">
        <v>1599.3681070000002</v>
      </c>
      <c r="J26" s="284">
        <v>39.20000000000001</v>
      </c>
      <c r="K26" s="284">
        <v>0</v>
      </c>
      <c r="L26" s="284">
        <v>301.23</v>
      </c>
      <c r="M26" s="284">
        <v>92.89</v>
      </c>
      <c r="N26" s="285">
        <f t="shared" si="1"/>
        <v>1205.2481070000001</v>
      </c>
      <c r="O26" s="262">
        <v>1603.11</v>
      </c>
      <c r="P26" s="6">
        <v>37.07</v>
      </c>
      <c r="Q26" s="6">
        <v>0</v>
      </c>
      <c r="R26" s="6">
        <v>257.66214631127315</v>
      </c>
      <c r="S26" s="6">
        <v>0</v>
      </c>
      <c r="T26" s="6">
        <f t="shared" si="3"/>
        <v>1345.4478536887268</v>
      </c>
      <c r="U26" s="291">
        <f t="shared" si="4"/>
        <v>1611.963964333333</v>
      </c>
      <c r="V26" s="291">
        <f t="shared" si="5"/>
        <v>37.61666666666666</v>
      </c>
      <c r="W26" s="291">
        <f t="shared" si="6"/>
        <v>0</v>
      </c>
      <c r="X26" s="291">
        <f t="shared" si="7"/>
        <v>237.72024385212191</v>
      </c>
      <c r="Y26" s="291">
        <f t="shared" si="8"/>
        <v>0</v>
      </c>
      <c r="Z26" s="291">
        <f t="shared" si="9"/>
        <v>1444.1203871478779</v>
      </c>
    </row>
    <row r="27" spans="1:26" x14ac:dyDescent="0.25">
      <c r="A27" s="23" t="str">
        <f>[9]NamesDistrictCollegeCenter!B27</f>
        <v>Foothill-DeAnza CCD</v>
      </c>
      <c r="B27" s="284">
        <v>25518.78</v>
      </c>
      <c r="C27" s="284">
        <v>264.28999999999996</v>
      </c>
      <c r="D27" s="284">
        <v>184.45000000000002</v>
      </c>
      <c r="E27" s="284"/>
      <c r="F27" s="284">
        <v>693.85</v>
      </c>
      <c r="G27" s="285">
        <f t="shared" si="0"/>
        <v>24824.93</v>
      </c>
      <c r="H27" s="261"/>
      <c r="I27" s="284">
        <v>23961.87</v>
      </c>
      <c r="J27" s="284">
        <v>238.56999999999996</v>
      </c>
      <c r="K27" s="284">
        <v>283.28000000000003</v>
      </c>
      <c r="L27" s="284"/>
      <c r="M27" s="284">
        <v>575.87</v>
      </c>
      <c r="N27" s="285">
        <f t="shared" si="1"/>
        <v>23386</v>
      </c>
      <c r="O27" s="262">
        <v>22677.1</v>
      </c>
      <c r="P27" s="6">
        <v>238.56999999999996</v>
      </c>
      <c r="Q27" s="6">
        <v>283.28000000000003</v>
      </c>
      <c r="R27" s="6">
        <v>0</v>
      </c>
      <c r="S27" s="6">
        <v>755</v>
      </c>
      <c r="T27" s="6">
        <f t="shared" si="3"/>
        <v>21922.1</v>
      </c>
      <c r="U27" s="291">
        <f t="shared" si="4"/>
        <v>21301.616666666665</v>
      </c>
      <c r="V27" s="291">
        <f t="shared" si="5"/>
        <v>229.99666666666664</v>
      </c>
      <c r="W27" s="291">
        <f t="shared" si="6"/>
        <v>316.22333333333336</v>
      </c>
      <c r="X27" s="291">
        <f t="shared" si="7"/>
        <v>0</v>
      </c>
      <c r="Y27" s="291">
        <f t="shared" si="8"/>
        <v>835.09333333333336</v>
      </c>
      <c r="Z27" s="291">
        <f t="shared" si="9"/>
        <v>20466.523333333331</v>
      </c>
    </row>
    <row r="28" spans="1:26" x14ac:dyDescent="0.25">
      <c r="A28" s="23" t="str">
        <f>[9]NamesDistrictCollegeCenter!B28</f>
        <v>Gavilan Joint CCD</v>
      </c>
      <c r="B28" s="284">
        <v>4751.6037240000014</v>
      </c>
      <c r="C28" s="284">
        <v>454.97899999999993</v>
      </c>
      <c r="D28" s="284">
        <v>114.54</v>
      </c>
      <c r="E28" s="284">
        <v>0.54</v>
      </c>
      <c r="F28" s="284">
        <v>189.99</v>
      </c>
      <c r="G28" s="285">
        <f t="shared" si="0"/>
        <v>4561.0737240000017</v>
      </c>
      <c r="H28" s="261"/>
      <c r="I28" s="284">
        <v>4106.6200000000017</v>
      </c>
      <c r="J28" s="284">
        <v>481.46999999999991</v>
      </c>
      <c r="K28" s="284">
        <v>117.69000000000001</v>
      </c>
      <c r="L28" s="284">
        <v>0.44</v>
      </c>
      <c r="M28" s="284">
        <v>187.71</v>
      </c>
      <c r="N28" s="285">
        <f t="shared" si="1"/>
        <v>3918.4700000000021</v>
      </c>
      <c r="O28" s="262">
        <v>4934.71</v>
      </c>
      <c r="P28" s="6">
        <v>292.21999999999997</v>
      </c>
      <c r="Q28" s="6">
        <v>117.74</v>
      </c>
      <c r="R28" s="6">
        <v>0</v>
      </c>
      <c r="S28" s="6">
        <v>220.04</v>
      </c>
      <c r="T28" s="6">
        <f t="shared" si="3"/>
        <v>4714.67</v>
      </c>
      <c r="U28" s="291">
        <f t="shared" si="4"/>
        <v>5271.7754253333324</v>
      </c>
      <c r="V28" s="291">
        <f t="shared" si="5"/>
        <v>174.88366666666667</v>
      </c>
      <c r="W28" s="291">
        <f t="shared" si="6"/>
        <v>118.82333333333332</v>
      </c>
      <c r="X28" s="291">
        <f t="shared" si="7"/>
        <v>0</v>
      </c>
      <c r="Y28" s="291">
        <f t="shared" si="8"/>
        <v>240.83333333333331</v>
      </c>
      <c r="Z28" s="291">
        <f t="shared" si="9"/>
        <v>5031.2687586666652</v>
      </c>
    </row>
    <row r="29" spans="1:26" x14ac:dyDescent="0.25">
      <c r="A29" s="23" t="str">
        <f>[9]NamesDistrictCollegeCenter!B29</f>
        <v>Glendale CCD</v>
      </c>
      <c r="B29" s="284">
        <v>12449.54</v>
      </c>
      <c r="C29" s="284">
        <v>243.84999999999991</v>
      </c>
      <c r="D29" s="284">
        <v>2847.21</v>
      </c>
      <c r="E29" s="284"/>
      <c r="F29" s="284">
        <v>230.88</v>
      </c>
      <c r="G29" s="285">
        <f t="shared" si="0"/>
        <v>12218.660000000002</v>
      </c>
      <c r="H29" s="261"/>
      <c r="I29" s="284">
        <v>11026.53</v>
      </c>
      <c r="J29" s="284">
        <v>272.55999999999989</v>
      </c>
      <c r="K29" s="284">
        <v>2656.3</v>
      </c>
      <c r="L29" s="284"/>
      <c r="M29" s="284">
        <v>282.49</v>
      </c>
      <c r="N29" s="285">
        <f t="shared" si="1"/>
        <v>10744.04</v>
      </c>
      <c r="O29" s="262">
        <v>11143.41</v>
      </c>
      <c r="P29" s="6">
        <v>183.49376685325996</v>
      </c>
      <c r="Q29" s="6">
        <v>2536.14</v>
      </c>
      <c r="R29" s="6">
        <v>0</v>
      </c>
      <c r="S29" s="6">
        <v>299.60000000000002</v>
      </c>
      <c r="T29" s="6">
        <f t="shared" si="3"/>
        <v>10843.81</v>
      </c>
      <c r="U29" s="291">
        <f t="shared" si="4"/>
        <v>10746.993333333332</v>
      </c>
      <c r="V29" s="291">
        <f t="shared" si="5"/>
        <v>133.68627808876667</v>
      </c>
      <c r="W29" s="291">
        <f t="shared" si="6"/>
        <v>2392.3966666666665</v>
      </c>
      <c r="X29" s="291">
        <f t="shared" si="7"/>
        <v>0</v>
      </c>
      <c r="Y29" s="291">
        <f t="shared" si="8"/>
        <v>328.21000000000004</v>
      </c>
      <c r="Z29" s="291">
        <f t="shared" si="9"/>
        <v>10418.783333333331</v>
      </c>
    </row>
    <row r="30" spans="1:26" x14ac:dyDescent="0.25">
      <c r="A30" s="23" t="str">
        <f>[9]NamesDistrictCollegeCenter!B30</f>
        <v>Grossmont-Cuyamaca CCD</v>
      </c>
      <c r="B30" s="284">
        <v>19064.970071000003</v>
      </c>
      <c r="C30" s="284">
        <v>20.18</v>
      </c>
      <c r="D30" s="284">
        <v>0</v>
      </c>
      <c r="E30" s="284"/>
      <c r="F30" s="284">
        <v>317.76</v>
      </c>
      <c r="G30" s="285">
        <f t="shared" si="0"/>
        <v>18747.210071000005</v>
      </c>
      <c r="H30" s="261"/>
      <c r="I30" s="284">
        <v>17160.770000000004</v>
      </c>
      <c r="J30" s="284">
        <v>19.71</v>
      </c>
      <c r="K30" s="284">
        <v>0</v>
      </c>
      <c r="L30" s="284"/>
      <c r="M30" s="284">
        <v>334.9</v>
      </c>
      <c r="N30" s="285">
        <f t="shared" si="1"/>
        <v>16825.870000000003</v>
      </c>
      <c r="O30" s="262">
        <v>17730.400000000001</v>
      </c>
      <c r="P30" s="6">
        <v>17.02</v>
      </c>
      <c r="Q30" s="6">
        <v>0</v>
      </c>
      <c r="R30" s="6">
        <v>5.42</v>
      </c>
      <c r="S30" s="6">
        <v>298.79000000000002</v>
      </c>
      <c r="T30" s="6">
        <f t="shared" si="3"/>
        <v>17426.190000000002</v>
      </c>
      <c r="U30" s="291">
        <f t="shared" si="4"/>
        <v>17475.419976333334</v>
      </c>
      <c r="V30" s="291">
        <f t="shared" si="5"/>
        <v>15.069999999999999</v>
      </c>
      <c r="W30" s="291">
        <f t="shared" si="6"/>
        <v>0</v>
      </c>
      <c r="X30" s="291">
        <f t="shared" si="7"/>
        <v>9.0333333333333332</v>
      </c>
      <c r="Y30" s="291">
        <f t="shared" si="8"/>
        <v>280.43000000000006</v>
      </c>
      <c r="Z30" s="291">
        <f t="shared" si="9"/>
        <v>17185.956643000001</v>
      </c>
    </row>
    <row r="31" spans="1:26" x14ac:dyDescent="0.25">
      <c r="A31" s="23" t="str">
        <f>[9]NamesDistrictCollegeCenter!B31</f>
        <v>Hartnell CCD</v>
      </c>
      <c r="B31" s="284">
        <v>7340.3599370000002</v>
      </c>
      <c r="C31" s="284">
        <v>4.43</v>
      </c>
      <c r="D31" s="284">
        <v>0</v>
      </c>
      <c r="E31" s="284"/>
      <c r="F31" s="284">
        <v>33.53</v>
      </c>
      <c r="G31" s="285">
        <f t="shared" si="0"/>
        <v>7306.8299370000004</v>
      </c>
      <c r="H31" s="261"/>
      <c r="I31" s="284">
        <v>7356.089911</v>
      </c>
      <c r="J31" s="284">
        <v>2.91</v>
      </c>
      <c r="K31" s="284">
        <v>0</v>
      </c>
      <c r="L31" s="284">
        <v>65.25</v>
      </c>
      <c r="M31" s="284">
        <v>48.47</v>
      </c>
      <c r="N31" s="285">
        <f t="shared" si="1"/>
        <v>7242.3699109999998</v>
      </c>
      <c r="O31" s="262">
        <v>7327.45</v>
      </c>
      <c r="P31" s="6">
        <v>14.44</v>
      </c>
      <c r="Q31" s="6">
        <v>12.24</v>
      </c>
      <c r="R31" s="6">
        <v>77.930000000000007</v>
      </c>
      <c r="S31" s="6">
        <v>50.386016690851328</v>
      </c>
      <c r="T31" s="6">
        <f t="shared" si="3"/>
        <v>7199.1339833091479</v>
      </c>
      <c r="U31" s="291">
        <f t="shared" si="4"/>
        <v>7313.600050666666</v>
      </c>
      <c r="V31" s="291">
        <f t="shared" si="5"/>
        <v>21.619999999999997</v>
      </c>
      <c r="W31" s="291">
        <f t="shared" si="6"/>
        <v>20.399999999999999</v>
      </c>
      <c r="X31" s="291">
        <f t="shared" si="7"/>
        <v>108.13333333333334</v>
      </c>
      <c r="Y31" s="291">
        <f t="shared" si="8"/>
        <v>56.64336115141888</v>
      </c>
      <c r="Z31" s="291">
        <f t="shared" si="9"/>
        <v>7148.8233561819134</v>
      </c>
    </row>
    <row r="32" spans="1:26" x14ac:dyDescent="0.25">
      <c r="A32" s="23" t="str">
        <f>[9]NamesDistrictCollegeCenter!B32</f>
        <v>Imperial CCD</v>
      </c>
      <c r="B32" s="284">
        <v>6799.880000000001</v>
      </c>
      <c r="C32" s="284">
        <v>38.44</v>
      </c>
      <c r="D32" s="284">
        <v>15.96</v>
      </c>
      <c r="E32" s="284">
        <v>55.11</v>
      </c>
      <c r="F32" s="284">
        <v>21.49</v>
      </c>
      <c r="G32" s="285">
        <f t="shared" si="0"/>
        <v>6723.2800000000016</v>
      </c>
      <c r="H32" s="261"/>
      <c r="I32" s="284">
        <v>7347.2481080000007</v>
      </c>
      <c r="J32" s="284">
        <v>24.1</v>
      </c>
      <c r="K32" s="284">
        <v>24.22</v>
      </c>
      <c r="L32" s="284">
        <v>167.75</v>
      </c>
      <c r="M32" s="284">
        <v>61.2</v>
      </c>
      <c r="N32" s="285">
        <f t="shared" si="1"/>
        <v>7118.2981080000009</v>
      </c>
      <c r="O32" s="262">
        <v>7403.73</v>
      </c>
      <c r="P32" s="6">
        <v>31.870000000000005</v>
      </c>
      <c r="Q32" s="6">
        <v>14.4</v>
      </c>
      <c r="R32" s="6">
        <v>219.04</v>
      </c>
      <c r="S32" s="6">
        <v>1.9395991617424897</v>
      </c>
      <c r="T32" s="6">
        <f t="shared" si="3"/>
        <v>7182.7504008382575</v>
      </c>
      <c r="U32" s="291">
        <f t="shared" si="4"/>
        <v>7623.8406306666657</v>
      </c>
      <c r="V32" s="291">
        <f t="shared" si="5"/>
        <v>32.27000000000001</v>
      </c>
      <c r="W32" s="291">
        <f t="shared" si="6"/>
        <v>10.606666666666667</v>
      </c>
      <c r="X32" s="291">
        <f t="shared" si="7"/>
        <v>290.77999999999997</v>
      </c>
      <c r="Y32" s="291">
        <f t="shared" si="8"/>
        <v>1.9395991617424897</v>
      </c>
      <c r="Z32" s="291">
        <f t="shared" si="9"/>
        <v>7357.3912987304284</v>
      </c>
    </row>
    <row r="33" spans="1:26" x14ac:dyDescent="0.25">
      <c r="A33" s="23" t="str">
        <f>[9]NamesDistrictCollegeCenter!B33</f>
        <v>Kern CCD</v>
      </c>
      <c r="B33" s="284">
        <v>21647.559923000004</v>
      </c>
      <c r="C33" s="284">
        <v>74.239999999999995</v>
      </c>
      <c r="D33" s="284">
        <v>0</v>
      </c>
      <c r="E33" s="284">
        <v>3.88</v>
      </c>
      <c r="F33" s="284">
        <v>1141.01</v>
      </c>
      <c r="G33" s="285">
        <f t="shared" si="0"/>
        <v>20502.669923000005</v>
      </c>
      <c r="H33" s="261"/>
      <c r="I33" s="284">
        <v>22475.839032000003</v>
      </c>
      <c r="J33" s="284">
        <v>26.64</v>
      </c>
      <c r="K33" s="284">
        <v>29.99</v>
      </c>
      <c r="L33" s="284">
        <v>476.99</v>
      </c>
      <c r="M33" s="284">
        <v>1325.59</v>
      </c>
      <c r="N33" s="285">
        <f t="shared" si="1"/>
        <v>20673.259032000002</v>
      </c>
      <c r="O33" s="262">
        <v>23271.77</v>
      </c>
      <c r="P33" s="6">
        <v>65.88</v>
      </c>
      <c r="Q33" s="6">
        <v>40.97</v>
      </c>
      <c r="R33" s="6">
        <v>735.11</v>
      </c>
      <c r="S33" s="6">
        <v>556.43719587542955</v>
      </c>
      <c r="T33" s="6">
        <f t="shared" si="3"/>
        <v>21980.222804124569</v>
      </c>
      <c r="U33" s="291">
        <f t="shared" si="4"/>
        <v>24078.483681666665</v>
      </c>
      <c r="V33" s="291">
        <f t="shared" si="5"/>
        <v>76.173333333333332</v>
      </c>
      <c r="W33" s="291">
        <f t="shared" si="6"/>
        <v>58.286666666666662</v>
      </c>
      <c r="X33" s="291">
        <f t="shared" si="7"/>
        <v>1064.8933333333334</v>
      </c>
      <c r="Y33" s="291">
        <f t="shared" si="8"/>
        <v>105.19532645904928</v>
      </c>
      <c r="Z33" s="291">
        <f t="shared" si="9"/>
        <v>22908.395021874279</v>
      </c>
    </row>
    <row r="34" spans="1:26" x14ac:dyDescent="0.25">
      <c r="A34" s="23" t="str">
        <f>[9]NamesDistrictCollegeCenter!B34</f>
        <v>Lake Tahoe CCD</v>
      </c>
      <c r="B34" s="284">
        <v>1663.3</v>
      </c>
      <c r="C34" s="284">
        <v>56.419921000000002</v>
      </c>
      <c r="D34" s="284">
        <v>14.09</v>
      </c>
      <c r="E34" s="284">
        <v>690.1</v>
      </c>
      <c r="F34" s="284">
        <v>30.88</v>
      </c>
      <c r="G34" s="285">
        <f t="shared" si="0"/>
        <v>942.31999999999994</v>
      </c>
      <c r="H34" s="261"/>
      <c r="I34" s="284">
        <v>1628.82</v>
      </c>
      <c r="J34" s="284">
        <v>40.14</v>
      </c>
      <c r="K34" s="284">
        <v>9.870000000000001</v>
      </c>
      <c r="L34" s="284">
        <v>741.25</v>
      </c>
      <c r="M34" s="284">
        <v>41.54</v>
      </c>
      <c r="N34" s="285">
        <f t="shared" si="1"/>
        <v>846.03</v>
      </c>
      <c r="O34" s="262">
        <v>1834.13</v>
      </c>
      <c r="P34" s="6">
        <v>52.89</v>
      </c>
      <c r="Q34" s="6">
        <v>5.98</v>
      </c>
      <c r="R34" s="6">
        <v>132.8498680089775</v>
      </c>
      <c r="S34" s="6">
        <v>0</v>
      </c>
      <c r="T34" s="6">
        <f t="shared" si="3"/>
        <v>1701.2801319910227</v>
      </c>
      <c r="U34" s="291">
        <f t="shared" si="4"/>
        <v>1959.5100000000002</v>
      </c>
      <c r="V34" s="291">
        <f t="shared" si="5"/>
        <v>55.963359666666669</v>
      </c>
      <c r="W34" s="291">
        <f t="shared" si="6"/>
        <v>1.9800000000000004</v>
      </c>
      <c r="X34" s="291">
        <f t="shared" si="7"/>
        <v>132.8498680089775</v>
      </c>
      <c r="Y34" s="291">
        <f t="shared" si="8"/>
        <v>0</v>
      </c>
      <c r="Z34" s="291">
        <f t="shared" si="9"/>
        <v>2239.3502199850377</v>
      </c>
    </row>
    <row r="35" spans="1:26" x14ac:dyDescent="0.25">
      <c r="A35" s="23" t="str">
        <f>[9]NamesDistrictCollegeCenter!B35</f>
        <v>Lassen CCD</v>
      </c>
      <c r="B35" s="284">
        <v>1570.5699300000001</v>
      </c>
      <c r="C35" s="284">
        <v>23.93</v>
      </c>
      <c r="D35" s="284">
        <v>1.62</v>
      </c>
      <c r="E35" s="284">
        <v>497</v>
      </c>
      <c r="F35" s="284">
        <v>35.5</v>
      </c>
      <c r="G35" s="285">
        <f t="shared" si="0"/>
        <v>1038.0699300000001</v>
      </c>
      <c r="H35" s="261"/>
      <c r="I35" s="284">
        <v>1341.9</v>
      </c>
      <c r="J35" s="284">
        <v>12.959999999999999</v>
      </c>
      <c r="K35" s="284">
        <v>2.6</v>
      </c>
      <c r="L35" s="284">
        <v>613.04</v>
      </c>
      <c r="M35" s="284">
        <v>88.43</v>
      </c>
      <c r="N35" s="285">
        <f t="shared" si="1"/>
        <v>640.43000000000006</v>
      </c>
      <c r="O35" s="262">
        <v>1581.71</v>
      </c>
      <c r="P35" s="6">
        <v>10.280000000000001</v>
      </c>
      <c r="Q35" s="6">
        <v>2.0499999999999998</v>
      </c>
      <c r="R35" s="6">
        <v>761.86121529308264</v>
      </c>
      <c r="S35" s="6">
        <v>0</v>
      </c>
      <c r="T35" s="6">
        <f t="shared" si="3"/>
        <v>819.8487847069174</v>
      </c>
      <c r="U35" s="291">
        <f t="shared" si="4"/>
        <v>1665.3600233333334</v>
      </c>
      <c r="V35" s="291">
        <f t="shared" si="5"/>
        <v>4.8366666666666687</v>
      </c>
      <c r="W35" s="291">
        <f t="shared" si="6"/>
        <v>2.0099999999999998</v>
      </c>
      <c r="X35" s="291">
        <f t="shared" si="7"/>
        <v>899.75535882180441</v>
      </c>
      <c r="Y35" s="291">
        <f t="shared" si="8"/>
        <v>0</v>
      </c>
      <c r="Z35" s="291">
        <f t="shared" si="9"/>
        <v>806.91466451152894</v>
      </c>
    </row>
    <row r="36" spans="1:26" x14ac:dyDescent="0.25">
      <c r="A36" s="23" t="str">
        <f>[9]NamesDistrictCollegeCenter!B36</f>
        <v>Long Beach CCD</v>
      </c>
      <c r="B36" s="284">
        <v>20580.630004999999</v>
      </c>
      <c r="C36" s="284">
        <v>108.52</v>
      </c>
      <c r="D36" s="284">
        <v>386.81</v>
      </c>
      <c r="E36" s="284"/>
      <c r="F36" s="284">
        <v>105.44</v>
      </c>
      <c r="G36" s="285">
        <f t="shared" si="0"/>
        <v>20475.190005</v>
      </c>
      <c r="H36" s="261"/>
      <c r="I36" s="284">
        <v>18388.579999999998</v>
      </c>
      <c r="J36" s="284">
        <v>100.53</v>
      </c>
      <c r="K36" s="284">
        <v>407.61</v>
      </c>
      <c r="L36" s="284"/>
      <c r="M36" s="284">
        <v>76.14</v>
      </c>
      <c r="N36" s="285">
        <f t="shared" si="1"/>
        <v>18312.439999999999</v>
      </c>
      <c r="O36" s="262">
        <v>18747.16</v>
      </c>
      <c r="P36" s="6">
        <v>60.889999999999986</v>
      </c>
      <c r="Q36" s="6">
        <v>395.54</v>
      </c>
      <c r="R36" s="6">
        <v>0</v>
      </c>
      <c r="S36" s="6">
        <v>157.24</v>
      </c>
      <c r="T36" s="6">
        <f t="shared" si="3"/>
        <v>18589.919999999998</v>
      </c>
      <c r="U36" s="291">
        <f t="shared" si="4"/>
        <v>18255.529998333335</v>
      </c>
      <c r="V36" s="291">
        <f t="shared" si="5"/>
        <v>31.799999999999979</v>
      </c>
      <c r="W36" s="291">
        <f t="shared" si="6"/>
        <v>394.42666666666668</v>
      </c>
      <c r="X36" s="291">
        <f t="shared" si="7"/>
        <v>0</v>
      </c>
      <c r="Y36" s="291">
        <f t="shared" si="8"/>
        <v>201.54000000000002</v>
      </c>
      <c r="Z36" s="291">
        <f t="shared" si="9"/>
        <v>18053.989998333331</v>
      </c>
    </row>
    <row r="37" spans="1:26" x14ac:dyDescent="0.25">
      <c r="A37" s="23" t="str">
        <f>[9]NamesDistrictCollegeCenter!B37</f>
        <v>Los Angeles CCD</v>
      </c>
      <c r="B37" s="284">
        <v>101333.9319</v>
      </c>
      <c r="C37" s="284">
        <v>2226.65</v>
      </c>
      <c r="D37" s="284">
        <v>4423.7</v>
      </c>
      <c r="E37" s="284">
        <f>41.86+13.74</f>
        <v>55.6</v>
      </c>
      <c r="F37" s="284">
        <v>5149.3999999999996</v>
      </c>
      <c r="G37" s="285">
        <f t="shared" si="0"/>
        <v>96128.931899999996</v>
      </c>
      <c r="H37" s="261"/>
      <c r="I37" s="284">
        <v>93053.62</v>
      </c>
      <c r="J37" s="284">
        <v>2917.27</v>
      </c>
      <c r="K37" s="284">
        <v>4074.5899999999997</v>
      </c>
      <c r="L37" s="284">
        <v>27.630000000000003</v>
      </c>
      <c r="M37" s="284">
        <v>5496.54</v>
      </c>
      <c r="N37" s="285">
        <f t="shared" si="1"/>
        <v>87529.45</v>
      </c>
      <c r="O37" s="262">
        <v>90768.6</v>
      </c>
      <c r="P37" s="6">
        <v>2719.16</v>
      </c>
      <c r="Q37" s="6">
        <v>4512.28</v>
      </c>
      <c r="R37" s="6">
        <v>20</v>
      </c>
      <c r="S37" s="6">
        <v>5496.54</v>
      </c>
      <c r="T37" s="6">
        <f t="shared" si="3"/>
        <v>85252.060000000012</v>
      </c>
      <c r="U37" s="291">
        <f t="shared" si="4"/>
        <v>86485.149366666679</v>
      </c>
      <c r="V37" s="291">
        <f t="shared" si="5"/>
        <v>2817.2933333333331</v>
      </c>
      <c r="W37" s="291">
        <f t="shared" si="6"/>
        <v>4687.7033333333329</v>
      </c>
      <c r="X37" s="291">
        <f t="shared" si="7"/>
        <v>5.5899999999999981</v>
      </c>
      <c r="Y37" s="291">
        <f t="shared" si="8"/>
        <v>5612.2533333333331</v>
      </c>
      <c r="Z37" s="291">
        <f t="shared" si="9"/>
        <v>80867.306033333356</v>
      </c>
    </row>
    <row r="38" spans="1:26" x14ac:dyDescent="0.25">
      <c r="A38" s="23" t="str">
        <f>[9]NamesDistrictCollegeCenter!B38</f>
        <v>Los Rios CCD</v>
      </c>
      <c r="B38" s="284">
        <v>52402.089926000001</v>
      </c>
      <c r="C38" s="284">
        <v>237.67</v>
      </c>
      <c r="D38" s="284">
        <v>0</v>
      </c>
      <c r="E38" s="284"/>
      <c r="F38" s="284">
        <v>358.34</v>
      </c>
      <c r="G38" s="285">
        <f t="shared" si="0"/>
        <v>52043.749926000004</v>
      </c>
      <c r="H38" s="261"/>
      <c r="I38" s="284">
        <v>44183.24</v>
      </c>
      <c r="J38" s="284">
        <v>129.82</v>
      </c>
      <c r="K38" s="284">
        <v>0</v>
      </c>
      <c r="L38" s="284">
        <v>60.8</v>
      </c>
      <c r="M38" s="284">
        <v>449.12</v>
      </c>
      <c r="N38" s="285">
        <f t="shared" si="1"/>
        <v>43673.319999999992</v>
      </c>
      <c r="O38" s="262">
        <v>52019.38</v>
      </c>
      <c r="P38" s="6">
        <v>240.84</v>
      </c>
      <c r="Q38" s="6">
        <v>0</v>
      </c>
      <c r="R38" s="6">
        <v>93.53</v>
      </c>
      <c r="S38" s="6">
        <v>545.42999999999995</v>
      </c>
      <c r="T38" s="6">
        <f t="shared" si="3"/>
        <v>51380.42</v>
      </c>
      <c r="U38" s="291">
        <f t="shared" si="4"/>
        <v>54503.856691333327</v>
      </c>
      <c r="V38" s="291">
        <f t="shared" si="5"/>
        <v>278.90333333333336</v>
      </c>
      <c r="W38" s="291">
        <f t="shared" si="6"/>
        <v>0</v>
      </c>
      <c r="X38" s="291">
        <f t="shared" si="7"/>
        <v>135.61666666666667</v>
      </c>
      <c r="Y38" s="291">
        <f t="shared" si="8"/>
        <v>639.89666666666653</v>
      </c>
      <c r="Z38" s="291">
        <f t="shared" si="9"/>
        <v>53728.343357999998</v>
      </c>
    </row>
    <row r="39" spans="1:26" x14ac:dyDescent="0.25">
      <c r="A39" s="23" t="str">
        <f>[9]NamesDistrictCollegeCenter!B39</f>
        <v>Marin CCD</v>
      </c>
      <c r="B39" s="284">
        <v>3452.6599999999994</v>
      </c>
      <c r="C39" s="284">
        <v>270.67</v>
      </c>
      <c r="D39" s="284">
        <v>0</v>
      </c>
      <c r="E39" s="284"/>
      <c r="F39" s="284">
        <v>150.63999999999999</v>
      </c>
      <c r="G39" s="285">
        <f t="shared" si="0"/>
        <v>3302.0199999999995</v>
      </c>
      <c r="H39" s="261"/>
      <c r="I39" s="284">
        <v>3439.7299999999996</v>
      </c>
      <c r="J39" s="284">
        <v>284.79000000000002</v>
      </c>
      <c r="K39" s="284">
        <v>0</v>
      </c>
      <c r="L39" s="284"/>
      <c r="M39" s="284">
        <v>201.12</v>
      </c>
      <c r="N39" s="285">
        <f t="shared" si="1"/>
        <v>3238.6099999999997</v>
      </c>
      <c r="O39" s="262">
        <v>3090.03</v>
      </c>
      <c r="P39" s="6">
        <v>284.79000000000002</v>
      </c>
      <c r="Q39" s="6">
        <v>0</v>
      </c>
      <c r="R39" s="6">
        <v>0</v>
      </c>
      <c r="S39" s="6">
        <v>156.55000000000001</v>
      </c>
      <c r="T39" s="6">
        <f t="shared" si="3"/>
        <v>2933.48</v>
      </c>
      <c r="U39" s="291">
        <f t="shared" si="4"/>
        <v>2852.5866666666675</v>
      </c>
      <c r="V39" s="291">
        <f t="shared" si="5"/>
        <v>289.49666666666667</v>
      </c>
      <c r="W39" s="291">
        <f t="shared" si="6"/>
        <v>0</v>
      </c>
      <c r="X39" s="291">
        <f t="shared" si="7"/>
        <v>0</v>
      </c>
      <c r="Y39" s="291">
        <f t="shared" si="8"/>
        <v>143.66333333333336</v>
      </c>
      <c r="Z39" s="291">
        <f t="shared" si="9"/>
        <v>2708.9233333333336</v>
      </c>
    </row>
    <row r="40" spans="1:26" x14ac:dyDescent="0.25">
      <c r="A40" s="23" t="str">
        <f>[9]NamesDistrictCollegeCenter!B40</f>
        <v>Mendocino-Lake CCD</v>
      </c>
      <c r="B40" s="284">
        <v>2983.3100019999997</v>
      </c>
      <c r="C40" s="284">
        <v>42.120000000000005</v>
      </c>
      <c r="D40" s="284">
        <v>39.6</v>
      </c>
      <c r="E40" s="284"/>
      <c r="F40" s="284">
        <v>398.58</v>
      </c>
      <c r="G40" s="285">
        <f t="shared" si="0"/>
        <v>2584.7300019999998</v>
      </c>
      <c r="H40" s="261"/>
      <c r="I40" s="284">
        <v>2369.96</v>
      </c>
      <c r="J40" s="284">
        <v>36.400000000000006</v>
      </c>
      <c r="K40" s="284">
        <v>49.79</v>
      </c>
      <c r="L40" s="284"/>
      <c r="M40" s="284">
        <v>205.79</v>
      </c>
      <c r="N40" s="285">
        <f t="shared" si="1"/>
        <v>2164.17</v>
      </c>
      <c r="O40" s="262">
        <v>2803.41</v>
      </c>
      <c r="P40" s="6">
        <v>31.980000000000004</v>
      </c>
      <c r="Q40" s="6">
        <v>56.25</v>
      </c>
      <c r="R40" s="6">
        <v>0</v>
      </c>
      <c r="S40" s="6">
        <v>288.98</v>
      </c>
      <c r="T40" s="6">
        <f t="shared" si="3"/>
        <v>2514.4299999999998</v>
      </c>
      <c r="U40" s="291">
        <f t="shared" si="4"/>
        <v>2887.9266659999998</v>
      </c>
      <c r="V40" s="291">
        <f t="shared" si="5"/>
        <v>27.126666666666669</v>
      </c>
      <c r="W40" s="291">
        <f t="shared" si="6"/>
        <v>63.953333333333333</v>
      </c>
      <c r="X40" s="291">
        <f t="shared" si="7"/>
        <v>0</v>
      </c>
      <c r="Y40" s="291">
        <f t="shared" si="8"/>
        <v>280.17666666666673</v>
      </c>
      <c r="Z40" s="291">
        <f t="shared" si="9"/>
        <v>2607.7499993333331</v>
      </c>
    </row>
    <row r="41" spans="1:26" x14ac:dyDescent="0.25">
      <c r="A41" s="23" t="str">
        <f>[9]NamesDistrictCollegeCenter!B41</f>
        <v>Merced CCD</v>
      </c>
      <c r="B41" s="284">
        <v>8760.9799640000019</v>
      </c>
      <c r="C41" s="284">
        <v>228.52999999999997</v>
      </c>
      <c r="D41" s="284">
        <v>560.37</v>
      </c>
      <c r="E41" s="284">
        <v>45.26</v>
      </c>
      <c r="F41" s="284">
        <v>357.36</v>
      </c>
      <c r="G41" s="285">
        <f t="shared" si="0"/>
        <v>8358.3599640000011</v>
      </c>
      <c r="H41" s="261"/>
      <c r="I41" s="284">
        <v>8379.0300000000025</v>
      </c>
      <c r="J41" s="284">
        <v>183.31999999999996</v>
      </c>
      <c r="K41" s="284">
        <v>690.09</v>
      </c>
      <c r="L41" s="284">
        <v>75</v>
      </c>
      <c r="M41" s="284">
        <v>519.14</v>
      </c>
      <c r="N41" s="285">
        <f t="shared" si="1"/>
        <v>7784.8900000000021</v>
      </c>
      <c r="O41" s="262">
        <v>8971.49</v>
      </c>
      <c r="P41" s="6">
        <v>365.69999999999993</v>
      </c>
      <c r="Q41" s="6">
        <v>663.84</v>
      </c>
      <c r="R41" s="6">
        <v>147.21</v>
      </c>
      <c r="S41" s="6">
        <v>72.941232431869736</v>
      </c>
      <c r="T41" s="6">
        <f t="shared" si="3"/>
        <v>8751.3387675681315</v>
      </c>
      <c r="U41" s="291">
        <f t="shared" si="4"/>
        <v>9239.1466786666642</v>
      </c>
      <c r="V41" s="291">
        <f t="shared" si="5"/>
        <v>472.21666666666658</v>
      </c>
      <c r="W41" s="291">
        <f t="shared" si="6"/>
        <v>689.58</v>
      </c>
      <c r="X41" s="291">
        <f t="shared" si="7"/>
        <v>205.26333333333335</v>
      </c>
      <c r="Y41" s="291">
        <f t="shared" si="8"/>
        <v>72.941232431869736</v>
      </c>
      <c r="Z41" s="291">
        <f t="shared" si="9"/>
        <v>9204.481291280219</v>
      </c>
    </row>
    <row r="42" spans="1:26" x14ac:dyDescent="0.25">
      <c r="A42" s="23" t="str">
        <f>[9]NamesDistrictCollegeCenter!B42</f>
        <v>MiraCosta CCD</v>
      </c>
      <c r="B42" s="284">
        <v>10299.250000000002</v>
      </c>
      <c r="C42" s="284">
        <v>782.45</v>
      </c>
      <c r="D42" s="284">
        <v>0</v>
      </c>
      <c r="E42" s="284"/>
      <c r="F42" s="284">
        <v>151.13</v>
      </c>
      <c r="G42" s="285">
        <f t="shared" si="0"/>
        <v>10148.120000000003</v>
      </c>
      <c r="H42" s="261"/>
      <c r="I42" s="284">
        <v>10274.230000000001</v>
      </c>
      <c r="J42" s="284">
        <v>759.88</v>
      </c>
      <c r="K42" s="284">
        <v>0</v>
      </c>
      <c r="L42" s="284"/>
      <c r="M42" s="284">
        <v>150.49</v>
      </c>
      <c r="N42" s="285">
        <f t="shared" si="1"/>
        <v>10123.740000000002</v>
      </c>
      <c r="O42" s="262">
        <v>9249.7099999999991</v>
      </c>
      <c r="P42" s="6">
        <v>759.88</v>
      </c>
      <c r="Q42" s="6">
        <v>0</v>
      </c>
      <c r="R42" s="6">
        <v>0</v>
      </c>
      <c r="S42" s="6">
        <v>122.55</v>
      </c>
      <c r="T42" s="6">
        <f t="shared" si="3"/>
        <v>9127.16</v>
      </c>
      <c r="U42" s="291">
        <f t="shared" si="4"/>
        <v>8558.3566666666648</v>
      </c>
      <c r="V42" s="291">
        <f t="shared" si="5"/>
        <v>752.35666666666668</v>
      </c>
      <c r="W42" s="291">
        <f t="shared" si="6"/>
        <v>0</v>
      </c>
      <c r="X42" s="291">
        <f t="shared" si="7"/>
        <v>0</v>
      </c>
      <c r="Y42" s="291">
        <f t="shared" si="8"/>
        <v>103.71</v>
      </c>
      <c r="Z42" s="291">
        <f t="shared" si="9"/>
        <v>8454.6466666666656</v>
      </c>
    </row>
    <row r="43" spans="1:26" x14ac:dyDescent="0.25">
      <c r="A43" s="23" t="str">
        <f>[9]NamesDistrictCollegeCenter!B43</f>
        <v>Monterey Peninsula CCD</v>
      </c>
      <c r="B43" s="284">
        <v>6258.5700600000009</v>
      </c>
      <c r="C43" s="284">
        <v>355.89999999999992</v>
      </c>
      <c r="D43" s="284">
        <v>82.58</v>
      </c>
      <c r="E43" s="284"/>
      <c r="F43" s="284">
        <v>120.21</v>
      </c>
      <c r="G43" s="285">
        <f t="shared" ref="G43:G74" si="10">B43-E43-F43</f>
        <v>6138.3600600000009</v>
      </c>
      <c r="H43" s="261"/>
      <c r="I43" s="284">
        <v>5956.3000000000011</v>
      </c>
      <c r="J43" s="284">
        <v>230.01999999999992</v>
      </c>
      <c r="K43" s="284">
        <v>87.89</v>
      </c>
      <c r="L43" s="284"/>
      <c r="M43" s="284">
        <v>140.1</v>
      </c>
      <c r="N43" s="285">
        <f t="shared" ref="N43:N74" si="11">I43-L43-M43</f>
        <v>5816.2000000000007</v>
      </c>
      <c r="O43" s="262">
        <v>5968.8</v>
      </c>
      <c r="P43" s="6">
        <v>293.83</v>
      </c>
      <c r="Q43" s="6">
        <v>37.24</v>
      </c>
      <c r="R43" s="6">
        <v>0</v>
      </c>
      <c r="S43" s="6">
        <v>149.9</v>
      </c>
      <c r="T43" s="6">
        <f t="shared" si="3"/>
        <v>5818.9000000000005</v>
      </c>
      <c r="U43" s="291">
        <f t="shared" si="4"/>
        <v>5876.3766466666666</v>
      </c>
      <c r="V43" s="291">
        <f t="shared" si="5"/>
        <v>294.41000000000003</v>
      </c>
      <c r="W43" s="291">
        <f t="shared" si="6"/>
        <v>5.2433333333333358</v>
      </c>
      <c r="X43" s="291">
        <f t="shared" si="7"/>
        <v>0</v>
      </c>
      <c r="Y43" s="291">
        <f t="shared" si="8"/>
        <v>163.06333333333333</v>
      </c>
      <c r="Z43" s="291">
        <f t="shared" si="9"/>
        <v>5713.313313333334</v>
      </c>
    </row>
    <row r="44" spans="1:26" x14ac:dyDescent="0.25">
      <c r="A44" s="23" t="str">
        <f>[9]NamesDistrictCollegeCenter!B44</f>
        <v>Mt. San Antonio CCD</v>
      </c>
      <c r="B44" s="284">
        <v>24240.05</v>
      </c>
      <c r="C44" s="284">
        <v>1697.1799999999998</v>
      </c>
      <c r="D44" s="284">
        <v>5080.4000000000005</v>
      </c>
      <c r="E44" s="284"/>
      <c r="F44" s="284">
        <v>24.49</v>
      </c>
      <c r="G44" s="285">
        <f t="shared" si="10"/>
        <v>24215.559999999998</v>
      </c>
      <c r="H44" s="261"/>
      <c r="I44" s="284">
        <v>24977.134903999999</v>
      </c>
      <c r="J44" s="284">
        <v>1557.8100000000004</v>
      </c>
      <c r="K44" s="284">
        <v>6169.3700000000008</v>
      </c>
      <c r="L44" s="284"/>
      <c r="M44" s="284">
        <v>108.69</v>
      </c>
      <c r="N44" s="285">
        <f t="shared" si="11"/>
        <v>24868.444904</v>
      </c>
      <c r="O44" s="262">
        <v>24957.29</v>
      </c>
      <c r="P44" s="6">
        <v>1636.0300000000007</v>
      </c>
      <c r="Q44" s="6">
        <v>6299.98</v>
      </c>
      <c r="R44" s="6">
        <v>0</v>
      </c>
      <c r="S44" s="6">
        <v>57.30697723485217</v>
      </c>
      <c r="T44" s="6">
        <f t="shared" si="3"/>
        <v>24899.983022765147</v>
      </c>
      <c r="U44" s="291">
        <f t="shared" ref="U44:U75" si="12">IF(((((I44-B44)+(2*(O44-I44)))/3)+O44)&gt;0,((((I44-B44)+(2*(O44-I44)))/3)+O44),O44)</f>
        <v>25189.755032000001</v>
      </c>
      <c r="V44" s="291">
        <f t="shared" si="5"/>
        <v>1641.7200000000009</v>
      </c>
      <c r="W44" s="291">
        <f t="shared" si="6"/>
        <v>6750.0433333333322</v>
      </c>
      <c r="X44" s="291">
        <f t="shared" si="7"/>
        <v>0</v>
      </c>
      <c r="Y44" s="291">
        <f t="shared" si="8"/>
        <v>51.118295391420283</v>
      </c>
      <c r="Z44" s="291">
        <f t="shared" si="9"/>
        <v>25138.63673660858</v>
      </c>
    </row>
    <row r="45" spans="1:26" x14ac:dyDescent="0.25">
      <c r="A45" s="23" t="str">
        <f>[9]NamesDistrictCollegeCenter!B45</f>
        <v>Mt. San Jacinto CCD</v>
      </c>
      <c r="B45" s="284">
        <v>11828.490023</v>
      </c>
      <c r="C45" s="284">
        <v>320.34000000000003</v>
      </c>
      <c r="D45" s="284">
        <v>271.38</v>
      </c>
      <c r="E45" s="284"/>
      <c r="F45" s="284">
        <v>100.61</v>
      </c>
      <c r="G45" s="285">
        <f t="shared" si="10"/>
        <v>11727.880023</v>
      </c>
      <c r="H45" s="261"/>
      <c r="I45" s="284">
        <v>10195.460000000001</v>
      </c>
      <c r="J45" s="284">
        <v>367.36</v>
      </c>
      <c r="K45" s="284">
        <v>242.17</v>
      </c>
      <c r="L45" s="284"/>
      <c r="M45" s="284">
        <v>79.69</v>
      </c>
      <c r="N45" s="285">
        <f t="shared" si="11"/>
        <v>10115.77</v>
      </c>
      <c r="O45" s="262">
        <v>11454.47</v>
      </c>
      <c r="P45" s="6">
        <v>274.04000000000002</v>
      </c>
      <c r="Q45" s="6">
        <v>260.8</v>
      </c>
      <c r="R45" s="6">
        <v>0</v>
      </c>
      <c r="S45" s="6">
        <v>141.21</v>
      </c>
      <c r="T45" s="6">
        <f t="shared" si="3"/>
        <v>11313.26</v>
      </c>
      <c r="U45" s="291">
        <f t="shared" si="12"/>
        <v>11749.466658999998</v>
      </c>
      <c r="V45" s="291">
        <f t="shared" si="5"/>
        <v>227.50000000000003</v>
      </c>
      <c r="W45" s="291">
        <f t="shared" si="6"/>
        <v>263.48333333333335</v>
      </c>
      <c r="X45" s="291">
        <f t="shared" si="7"/>
        <v>0</v>
      </c>
      <c r="Y45" s="291">
        <f t="shared" si="8"/>
        <v>175.25</v>
      </c>
      <c r="Z45" s="291">
        <f t="shared" si="9"/>
        <v>11574.216659</v>
      </c>
    </row>
    <row r="46" spans="1:26" x14ac:dyDescent="0.25">
      <c r="A46" s="23" t="str">
        <f>[9]NamesDistrictCollegeCenter!B46</f>
        <v>Napa Valley CCD</v>
      </c>
      <c r="B46" s="284">
        <v>4840.9999999999991</v>
      </c>
      <c r="C46" s="284">
        <v>453.46000000000004</v>
      </c>
      <c r="D46" s="284">
        <v>11.99</v>
      </c>
      <c r="E46" s="284"/>
      <c r="F46" s="284">
        <v>129.38999999999999</v>
      </c>
      <c r="G46" s="285">
        <f t="shared" si="10"/>
        <v>4711.6099999999988</v>
      </c>
      <c r="H46" s="261"/>
      <c r="I46" s="284">
        <v>4749.6299999999992</v>
      </c>
      <c r="J46" s="284">
        <v>418.75000000000006</v>
      </c>
      <c r="K46" s="284">
        <v>5.7700000000000005</v>
      </c>
      <c r="L46" s="284"/>
      <c r="M46" s="284">
        <v>185.77</v>
      </c>
      <c r="N46" s="285">
        <f t="shared" si="11"/>
        <v>4563.8599999999988</v>
      </c>
      <c r="O46" s="262">
        <v>4597.67</v>
      </c>
      <c r="P46" s="6">
        <v>418.75000000000006</v>
      </c>
      <c r="Q46" s="6">
        <v>5.7700000000000005</v>
      </c>
      <c r="R46" s="6">
        <v>0</v>
      </c>
      <c r="S46" s="6">
        <v>143.47</v>
      </c>
      <c r="T46" s="6">
        <f t="shared" si="3"/>
        <v>4454.2</v>
      </c>
      <c r="U46" s="291">
        <f t="shared" si="12"/>
        <v>4465.9066666666677</v>
      </c>
      <c r="V46" s="291">
        <f t="shared" si="5"/>
        <v>407.18000000000006</v>
      </c>
      <c r="W46" s="291">
        <f t="shared" si="6"/>
        <v>3.6966666666666672</v>
      </c>
      <c r="X46" s="291">
        <f t="shared" si="7"/>
        <v>0</v>
      </c>
      <c r="Y46" s="291">
        <f t="shared" si="8"/>
        <v>134.06333333333333</v>
      </c>
      <c r="Z46" s="291">
        <f t="shared" si="9"/>
        <v>4331.8433333333342</v>
      </c>
    </row>
    <row r="47" spans="1:26" x14ac:dyDescent="0.25">
      <c r="A47" s="23" t="str">
        <f>[9]NamesDistrictCollegeCenter!B47</f>
        <v>North Orange County CCD</v>
      </c>
      <c r="B47" s="284">
        <v>32051.030064999999</v>
      </c>
      <c r="C47" s="284">
        <v>2631.7900000000004</v>
      </c>
      <c r="D47" s="284">
        <v>2565.56</v>
      </c>
      <c r="E47" s="284"/>
      <c r="F47" s="284">
        <v>263.70999999999998</v>
      </c>
      <c r="G47" s="285">
        <f t="shared" si="10"/>
        <v>31787.320065</v>
      </c>
      <c r="H47" s="261"/>
      <c r="I47" s="284">
        <v>27208.32</v>
      </c>
      <c r="J47" s="284">
        <v>2573.5700000000006</v>
      </c>
      <c r="K47" s="284">
        <v>2664.91</v>
      </c>
      <c r="L47" s="284"/>
      <c r="M47" s="284">
        <v>251.8</v>
      </c>
      <c r="N47" s="285">
        <f t="shared" si="11"/>
        <v>26956.52</v>
      </c>
      <c r="O47" s="262">
        <v>28054.18</v>
      </c>
      <c r="P47" s="6">
        <v>4039.74</v>
      </c>
      <c r="Q47" s="6">
        <v>1066.1400000000001</v>
      </c>
      <c r="R47" s="6">
        <v>0</v>
      </c>
      <c r="S47" s="6">
        <v>504.2</v>
      </c>
      <c r="T47" s="6">
        <f t="shared" si="3"/>
        <v>27549.98</v>
      </c>
      <c r="U47" s="291">
        <f t="shared" si="12"/>
        <v>27003.849978333335</v>
      </c>
      <c r="V47" s="291">
        <f t="shared" si="5"/>
        <v>4997.7799999999988</v>
      </c>
      <c r="W47" s="291">
        <f t="shared" si="6"/>
        <v>33.410000000000309</v>
      </c>
      <c r="X47" s="291">
        <f t="shared" si="7"/>
        <v>0</v>
      </c>
      <c r="Y47" s="291">
        <f t="shared" si="8"/>
        <v>668.49666666666667</v>
      </c>
      <c r="Z47" s="291">
        <f t="shared" si="9"/>
        <v>26335.353311666666</v>
      </c>
    </row>
    <row r="48" spans="1:26" x14ac:dyDescent="0.25">
      <c r="A48" s="23" t="str">
        <f>[9]NamesDistrictCollegeCenter!B48</f>
        <v>Ohlone CCD</v>
      </c>
      <c r="B48" s="284">
        <v>8239.9999019999996</v>
      </c>
      <c r="C48" s="284">
        <v>0</v>
      </c>
      <c r="D48" s="284">
        <v>0</v>
      </c>
      <c r="E48" s="284"/>
      <c r="F48" s="284">
        <v>1307.92</v>
      </c>
      <c r="G48" s="285">
        <f t="shared" si="10"/>
        <v>6932.0799019999995</v>
      </c>
      <c r="H48" s="261"/>
      <c r="I48" s="284">
        <v>6833.4599999999991</v>
      </c>
      <c r="J48" s="284">
        <v>0</v>
      </c>
      <c r="K48" s="284">
        <v>0</v>
      </c>
      <c r="L48" s="284"/>
      <c r="M48" s="284">
        <v>943.95</v>
      </c>
      <c r="N48" s="285">
        <f t="shared" si="11"/>
        <v>5889.5099999999993</v>
      </c>
      <c r="O48" s="262">
        <v>7850.49</v>
      </c>
      <c r="P48" s="6">
        <v>3.0000000000000027E-2</v>
      </c>
      <c r="Q48" s="6">
        <v>1.48</v>
      </c>
      <c r="R48" s="6">
        <v>0</v>
      </c>
      <c r="S48" s="6">
        <v>492.6</v>
      </c>
      <c r="T48" s="6">
        <f t="shared" si="3"/>
        <v>7357.8899999999994</v>
      </c>
      <c r="U48" s="291">
        <f t="shared" si="12"/>
        <v>8059.6633659999998</v>
      </c>
      <c r="V48" s="291">
        <f t="shared" si="5"/>
        <v>5.0000000000000044E-2</v>
      </c>
      <c r="W48" s="291">
        <f t="shared" si="6"/>
        <v>2.4666666666666668</v>
      </c>
      <c r="X48" s="291">
        <f t="shared" si="7"/>
        <v>0</v>
      </c>
      <c r="Y48" s="291">
        <f t="shared" si="8"/>
        <v>70.376666666666665</v>
      </c>
      <c r="Z48" s="291">
        <f t="shared" si="9"/>
        <v>7989.2866993333328</v>
      </c>
    </row>
    <row r="49" spans="1:26" x14ac:dyDescent="0.25">
      <c r="A49" s="23" t="str">
        <f>[9]NamesDistrictCollegeCenter!B49</f>
        <v>Palo Verde CCD</v>
      </c>
      <c r="B49" s="284">
        <v>1957.9300189999997</v>
      </c>
      <c r="C49" s="284">
        <v>21.959999999999994</v>
      </c>
      <c r="D49" s="284">
        <v>115.11</v>
      </c>
      <c r="E49" s="284">
        <v>890.02</v>
      </c>
      <c r="F49" s="284">
        <v>58.77</v>
      </c>
      <c r="G49" s="285">
        <f t="shared" si="10"/>
        <v>1009.1400189999997</v>
      </c>
      <c r="H49" s="261"/>
      <c r="I49" s="284">
        <v>2051.5482519999996</v>
      </c>
      <c r="J49" s="284">
        <v>12.510000000000005</v>
      </c>
      <c r="K49" s="284">
        <v>101.02</v>
      </c>
      <c r="L49" s="284">
        <v>816.79</v>
      </c>
      <c r="M49" s="284">
        <v>50.25</v>
      </c>
      <c r="N49" s="285">
        <f t="shared" si="11"/>
        <v>1184.5082519999996</v>
      </c>
      <c r="O49" s="262">
        <v>2067.14</v>
      </c>
      <c r="P49" s="6">
        <v>23.48</v>
      </c>
      <c r="Q49" s="6">
        <v>6.019999999999996</v>
      </c>
      <c r="R49" s="6">
        <v>723.94755290616342</v>
      </c>
      <c r="S49" s="6">
        <v>0</v>
      </c>
      <c r="T49" s="6">
        <f t="shared" si="3"/>
        <v>1343.1924470938366</v>
      </c>
      <c r="U49" s="291">
        <f t="shared" si="12"/>
        <v>2108.7405763333336</v>
      </c>
      <c r="V49" s="291">
        <f t="shared" si="5"/>
        <v>27.643333333333334</v>
      </c>
      <c r="W49" s="291">
        <f t="shared" si="6"/>
        <v>6.019999999999996</v>
      </c>
      <c r="X49" s="291">
        <f t="shared" si="7"/>
        <v>637.64258817693906</v>
      </c>
      <c r="Y49" s="291">
        <f t="shared" si="8"/>
        <v>0</v>
      </c>
      <c r="Z49" s="291">
        <f t="shared" si="9"/>
        <v>1507.4379881563946</v>
      </c>
    </row>
    <row r="50" spans="1:26" x14ac:dyDescent="0.25">
      <c r="A50" s="23" t="str">
        <f>[9]NamesDistrictCollegeCenter!B50</f>
        <v>Palomar CCD</v>
      </c>
      <c r="B50" s="284">
        <v>17424.789972000002</v>
      </c>
      <c r="C50" s="284">
        <v>289.81</v>
      </c>
      <c r="D50" s="284">
        <v>504.25</v>
      </c>
      <c r="E50" s="284"/>
      <c r="F50" s="284">
        <v>453.88</v>
      </c>
      <c r="G50" s="285">
        <f t="shared" si="10"/>
        <v>16970.909972000001</v>
      </c>
      <c r="H50" s="261"/>
      <c r="I50" s="284">
        <v>18449.839941000002</v>
      </c>
      <c r="J50" s="284">
        <v>276.86</v>
      </c>
      <c r="K50" s="284">
        <v>422.24</v>
      </c>
      <c r="L50" s="284">
        <v>1.52</v>
      </c>
      <c r="M50" s="284">
        <v>522.44000000000005</v>
      </c>
      <c r="N50" s="285">
        <f t="shared" si="11"/>
        <v>17925.879941000003</v>
      </c>
      <c r="O50" s="262">
        <v>17225.78</v>
      </c>
      <c r="P50" s="6">
        <v>276.86</v>
      </c>
      <c r="Q50" s="6">
        <v>422.24</v>
      </c>
      <c r="R50" s="6">
        <v>13.22</v>
      </c>
      <c r="S50" s="6">
        <v>495</v>
      </c>
      <c r="T50" s="6">
        <f t="shared" si="3"/>
        <v>16717.559999999998</v>
      </c>
      <c r="U50" s="291">
        <f t="shared" si="12"/>
        <v>16751.423362333331</v>
      </c>
      <c r="V50" s="291">
        <f t="shared" si="5"/>
        <v>272.54333333333335</v>
      </c>
      <c r="W50" s="291">
        <f t="shared" si="6"/>
        <v>394.90333333333336</v>
      </c>
      <c r="X50" s="291">
        <f t="shared" si="7"/>
        <v>21.526666666666667</v>
      </c>
      <c r="Y50" s="291">
        <f t="shared" si="8"/>
        <v>499.56</v>
      </c>
      <c r="Z50" s="291">
        <f t="shared" si="9"/>
        <v>16230.336695666661</v>
      </c>
    </row>
    <row r="51" spans="1:26" x14ac:dyDescent="0.25">
      <c r="A51" s="23" t="str">
        <f>[9]NamesDistrictCollegeCenter!B51</f>
        <v>Pasadena Area CCD</v>
      </c>
      <c r="B51" s="284">
        <v>22765.300016000001</v>
      </c>
      <c r="C51" s="284">
        <v>166.57000000000016</v>
      </c>
      <c r="D51" s="284">
        <v>1056.3499999999999</v>
      </c>
      <c r="E51" s="284"/>
      <c r="F51" s="284">
        <v>252.26</v>
      </c>
      <c r="G51" s="285">
        <f t="shared" si="10"/>
        <v>22513.040016000003</v>
      </c>
      <c r="H51" s="261"/>
      <c r="I51" s="284">
        <v>22801.970091000003</v>
      </c>
      <c r="J51" s="284">
        <v>152.76999999999998</v>
      </c>
      <c r="K51" s="284">
        <v>1033.81</v>
      </c>
      <c r="L51" s="284"/>
      <c r="M51" s="284">
        <v>206.91</v>
      </c>
      <c r="N51" s="285">
        <f t="shared" si="11"/>
        <v>22595.060091000003</v>
      </c>
      <c r="O51" s="262">
        <v>22816.07</v>
      </c>
      <c r="P51" s="6">
        <v>147.35620612397321</v>
      </c>
      <c r="Q51" s="6">
        <v>943.76</v>
      </c>
      <c r="R51" s="6">
        <v>0</v>
      </c>
      <c r="S51" s="6">
        <v>264.18</v>
      </c>
      <c r="T51" s="6">
        <f t="shared" si="3"/>
        <v>22551.89</v>
      </c>
      <c r="U51" s="291">
        <f t="shared" si="12"/>
        <v>22837.693297666665</v>
      </c>
      <c r="V51" s="291">
        <f t="shared" si="5"/>
        <v>139.14701020662196</v>
      </c>
      <c r="W51" s="291">
        <f t="shared" si="6"/>
        <v>876.21333333333337</v>
      </c>
      <c r="X51" s="291">
        <f t="shared" si="7"/>
        <v>0</v>
      </c>
      <c r="Y51" s="291">
        <f t="shared" si="8"/>
        <v>287.24333333333334</v>
      </c>
      <c r="Z51" s="291">
        <f t="shared" si="9"/>
        <v>22550.449964333329</v>
      </c>
    </row>
    <row r="52" spans="1:26" x14ac:dyDescent="0.25">
      <c r="A52" s="23" t="str">
        <f>[9]NamesDistrictCollegeCenter!B52</f>
        <v>Peralta CCD</v>
      </c>
      <c r="B52" s="284">
        <v>15624.749999999996</v>
      </c>
      <c r="C52" s="284">
        <v>143.57</v>
      </c>
      <c r="D52" s="284">
        <v>0</v>
      </c>
      <c r="E52" s="284"/>
      <c r="F52" s="284">
        <v>1093.24</v>
      </c>
      <c r="G52" s="285">
        <f t="shared" si="10"/>
        <v>14531.509999999997</v>
      </c>
      <c r="H52" s="261"/>
      <c r="I52" s="284">
        <v>18684.530063999995</v>
      </c>
      <c r="J52" s="284">
        <v>117.31</v>
      </c>
      <c r="K52" s="284">
        <v>0</v>
      </c>
      <c r="L52" s="284"/>
      <c r="M52" s="284">
        <v>0</v>
      </c>
      <c r="N52" s="285">
        <f t="shared" si="11"/>
        <v>18684.530063999995</v>
      </c>
      <c r="O52" s="262">
        <v>16601.38</v>
      </c>
      <c r="P52" s="6">
        <v>117.31</v>
      </c>
      <c r="Q52" s="6">
        <v>0</v>
      </c>
      <c r="R52" s="6">
        <v>0</v>
      </c>
      <c r="S52" s="6">
        <v>881.32</v>
      </c>
      <c r="T52" s="6">
        <f t="shared" si="3"/>
        <v>15720.060000000001</v>
      </c>
      <c r="U52" s="291">
        <f t="shared" si="12"/>
        <v>16232.539978666671</v>
      </c>
      <c r="V52" s="291">
        <f t="shared" si="5"/>
        <v>108.55666666666667</v>
      </c>
      <c r="W52" s="291">
        <f t="shared" si="6"/>
        <v>0</v>
      </c>
      <c r="X52" s="291">
        <f t="shared" si="7"/>
        <v>0</v>
      </c>
      <c r="Y52" s="291">
        <f t="shared" si="8"/>
        <v>1104.4533333333334</v>
      </c>
      <c r="Z52" s="291">
        <f t="shared" si="9"/>
        <v>15128.086645333338</v>
      </c>
    </row>
    <row r="53" spans="1:26" x14ac:dyDescent="0.25">
      <c r="A53" s="23" t="str">
        <f>[9]NamesDistrictCollegeCenter!B53</f>
        <v>Rancho Santiago CCD</v>
      </c>
      <c r="B53" s="284">
        <v>21499.15</v>
      </c>
      <c r="C53" s="284">
        <v>854.66000000000031</v>
      </c>
      <c r="D53" s="284">
        <v>5163.5000000000009</v>
      </c>
      <c r="E53" s="284">
        <v>6.72</v>
      </c>
      <c r="F53" s="284">
        <v>1944.53</v>
      </c>
      <c r="G53" s="285">
        <f t="shared" si="10"/>
        <v>19547.900000000001</v>
      </c>
      <c r="H53" s="261"/>
      <c r="I53" s="284">
        <v>23301.942965000002</v>
      </c>
      <c r="J53" s="284">
        <v>1092.2800000000002</v>
      </c>
      <c r="K53" s="284">
        <v>4981.71</v>
      </c>
      <c r="L53" s="284"/>
      <c r="M53" s="284">
        <v>2196.94</v>
      </c>
      <c r="N53" s="285">
        <f t="shared" si="11"/>
        <v>21105.002965000003</v>
      </c>
      <c r="O53" s="262">
        <v>21492.12</v>
      </c>
      <c r="P53" s="6">
        <v>1092.2800000000002</v>
      </c>
      <c r="Q53" s="6">
        <v>4981.71</v>
      </c>
      <c r="R53" s="6">
        <v>0</v>
      </c>
      <c r="S53" s="6">
        <v>2583.27</v>
      </c>
      <c r="T53" s="6">
        <f t="shared" si="3"/>
        <v>18908.849999999999</v>
      </c>
      <c r="U53" s="291">
        <f t="shared" si="12"/>
        <v>20886.502344999997</v>
      </c>
      <c r="V53" s="291">
        <f t="shared" si="5"/>
        <v>1171.4866666666669</v>
      </c>
      <c r="W53" s="291">
        <f t="shared" si="6"/>
        <v>4921.1133333333328</v>
      </c>
      <c r="X53" s="291">
        <f t="shared" si="7"/>
        <v>0</v>
      </c>
      <c r="Y53" s="291">
        <f t="shared" si="8"/>
        <v>2924.96</v>
      </c>
      <c r="Z53" s="291">
        <f t="shared" si="9"/>
        <v>17963.782344999996</v>
      </c>
    </row>
    <row r="54" spans="1:26" x14ac:dyDescent="0.25">
      <c r="A54" s="23" t="str">
        <f>[9]NamesDistrictCollegeCenter!B54</f>
        <v>Redwoods CCD</v>
      </c>
      <c r="B54" s="284">
        <v>3900.8599999999997</v>
      </c>
      <c r="C54" s="284">
        <v>31.840000000000003</v>
      </c>
      <c r="D54" s="284">
        <v>85.85</v>
      </c>
      <c r="E54" s="284"/>
      <c r="F54" s="284">
        <v>209.78</v>
      </c>
      <c r="G54" s="285">
        <f t="shared" si="10"/>
        <v>3691.0799999999995</v>
      </c>
      <c r="H54" s="261"/>
      <c r="I54" s="284">
        <v>3477.4500000000003</v>
      </c>
      <c r="J54" s="284">
        <v>87</v>
      </c>
      <c r="K54" s="284">
        <v>83.5</v>
      </c>
      <c r="L54" s="284"/>
      <c r="M54" s="284">
        <v>165.43</v>
      </c>
      <c r="N54" s="285">
        <f t="shared" si="11"/>
        <v>3312.0200000000004</v>
      </c>
      <c r="O54" s="262">
        <v>3470.29</v>
      </c>
      <c r="P54" s="6">
        <v>89.19</v>
      </c>
      <c r="Q54" s="6">
        <v>65.180000000000007</v>
      </c>
      <c r="R54" s="6">
        <v>116.57</v>
      </c>
      <c r="S54" s="6">
        <v>190.75</v>
      </c>
      <c r="T54" s="6">
        <f t="shared" si="3"/>
        <v>3162.97</v>
      </c>
      <c r="U54" s="291">
        <f t="shared" si="12"/>
        <v>3324.38</v>
      </c>
      <c r="V54" s="291">
        <f t="shared" si="5"/>
        <v>109.03666666666666</v>
      </c>
      <c r="W54" s="291">
        <f t="shared" si="6"/>
        <v>52.183333333333344</v>
      </c>
      <c r="X54" s="291">
        <f t="shared" si="7"/>
        <v>194.2833333333333</v>
      </c>
      <c r="Y54" s="291">
        <f t="shared" si="8"/>
        <v>192.84666666666666</v>
      </c>
      <c r="Z54" s="291">
        <f t="shared" si="9"/>
        <v>2937.2499999999995</v>
      </c>
    </row>
    <row r="55" spans="1:26" x14ac:dyDescent="0.25">
      <c r="A55" s="23" t="str">
        <f>[9]NamesDistrictCollegeCenter!B55</f>
        <v>Rio Hondo CCD</v>
      </c>
      <c r="B55" s="284">
        <v>11122.72</v>
      </c>
      <c r="C55" s="284">
        <v>462.45000000000005</v>
      </c>
      <c r="D55" s="284">
        <v>34.290000000000006</v>
      </c>
      <c r="E55" s="284"/>
      <c r="F55" s="284">
        <v>197.97</v>
      </c>
      <c r="G55" s="285">
        <f t="shared" si="10"/>
        <v>10924.75</v>
      </c>
      <c r="H55" s="261"/>
      <c r="I55" s="284">
        <v>12782.115179999999</v>
      </c>
      <c r="J55" s="284">
        <v>452.83</v>
      </c>
      <c r="K55" s="284">
        <v>36.490000000000009</v>
      </c>
      <c r="L55" s="284"/>
      <c r="M55" s="284">
        <v>442.48</v>
      </c>
      <c r="N55" s="285">
        <f t="shared" si="11"/>
        <v>12339.635179999999</v>
      </c>
      <c r="O55" s="262">
        <v>12504.11</v>
      </c>
      <c r="P55" s="6">
        <v>452.83</v>
      </c>
      <c r="Q55" s="6">
        <v>36.490000000000009</v>
      </c>
      <c r="R55" s="6">
        <v>0</v>
      </c>
      <c r="S55" s="6">
        <v>360.98</v>
      </c>
      <c r="T55" s="6">
        <f t="shared" si="3"/>
        <v>12143.130000000001</v>
      </c>
      <c r="U55" s="291">
        <f t="shared" si="12"/>
        <v>12871.904940000002</v>
      </c>
      <c r="V55" s="291">
        <f t="shared" si="5"/>
        <v>449.62333333333328</v>
      </c>
      <c r="W55" s="291">
        <f t="shared" si="6"/>
        <v>37.223333333333343</v>
      </c>
      <c r="X55" s="291">
        <f t="shared" si="7"/>
        <v>0</v>
      </c>
      <c r="Y55" s="291">
        <f t="shared" si="8"/>
        <v>388.15000000000003</v>
      </c>
      <c r="Z55" s="291">
        <f t="shared" si="9"/>
        <v>12483.754940000003</v>
      </c>
    </row>
    <row r="56" spans="1:26" x14ac:dyDescent="0.25">
      <c r="A56" s="23" t="str">
        <f>[9]NamesDistrictCollegeCenter!B56</f>
        <v>Riverside CCD</v>
      </c>
      <c r="B56" s="284">
        <v>29578.890019999995</v>
      </c>
      <c r="C56" s="284">
        <v>73.45</v>
      </c>
      <c r="D56" s="284">
        <v>0</v>
      </c>
      <c r="E56" s="284"/>
      <c r="F56" s="284">
        <v>712.52</v>
      </c>
      <c r="G56" s="285">
        <f t="shared" si="10"/>
        <v>28866.370019999995</v>
      </c>
      <c r="H56" s="261"/>
      <c r="I56" s="284">
        <v>30445.289231999996</v>
      </c>
      <c r="J56" s="284">
        <v>82.070000000000007</v>
      </c>
      <c r="K56" s="284">
        <v>0</v>
      </c>
      <c r="L56" s="284">
        <v>34.909999999999997</v>
      </c>
      <c r="M56" s="284">
        <v>802.83</v>
      </c>
      <c r="N56" s="285">
        <f t="shared" si="11"/>
        <v>29607.549231999994</v>
      </c>
      <c r="O56" s="262">
        <v>29802.73</v>
      </c>
      <c r="P56" s="6">
        <v>145.31</v>
      </c>
      <c r="Q56" s="6">
        <v>0</v>
      </c>
      <c r="R56" s="6">
        <v>83</v>
      </c>
      <c r="S56" s="6">
        <v>850</v>
      </c>
      <c r="T56" s="6">
        <f t="shared" si="3"/>
        <v>28869.73</v>
      </c>
      <c r="U56" s="291">
        <f t="shared" si="12"/>
        <v>29663.156916000004</v>
      </c>
      <c r="V56" s="291">
        <f t="shared" si="5"/>
        <v>190.34333333333333</v>
      </c>
      <c r="W56" s="291">
        <f t="shared" si="6"/>
        <v>0</v>
      </c>
      <c r="X56" s="291">
        <f t="shared" si="7"/>
        <v>126.69666666666666</v>
      </c>
      <c r="Y56" s="291">
        <f t="shared" si="8"/>
        <v>911.55</v>
      </c>
      <c r="Z56" s="291">
        <f t="shared" si="9"/>
        <v>28624.910249333338</v>
      </c>
    </row>
    <row r="57" spans="1:26" x14ac:dyDescent="0.25">
      <c r="A57" s="23" t="str">
        <f>[9]NamesDistrictCollegeCenter!B57</f>
        <v>San Bernardino CCD</v>
      </c>
      <c r="B57" s="284">
        <v>14114.1</v>
      </c>
      <c r="C57" s="284">
        <v>139.13</v>
      </c>
      <c r="D57" s="284">
        <v>0</v>
      </c>
      <c r="E57" s="284"/>
      <c r="F57" s="284">
        <v>117.7</v>
      </c>
      <c r="G57" s="285">
        <f t="shared" si="10"/>
        <v>13996.4</v>
      </c>
      <c r="H57" s="261"/>
      <c r="I57" s="284">
        <v>15066.38991</v>
      </c>
      <c r="J57" s="284">
        <v>162.569987</v>
      </c>
      <c r="K57" s="284">
        <v>75.200006999999999</v>
      </c>
      <c r="L57" s="284"/>
      <c r="M57" s="284">
        <v>229.32</v>
      </c>
      <c r="N57" s="285">
        <f t="shared" si="11"/>
        <v>14837.06991</v>
      </c>
      <c r="O57" s="262">
        <v>15138.77</v>
      </c>
      <c r="P57" s="6">
        <v>294.24</v>
      </c>
      <c r="Q57" s="6">
        <v>46.34</v>
      </c>
      <c r="R57" s="6">
        <v>0</v>
      </c>
      <c r="S57" s="6">
        <v>348.40757244557352</v>
      </c>
      <c r="T57" s="6">
        <f t="shared" si="3"/>
        <v>14790.362427554426</v>
      </c>
      <c r="U57" s="291">
        <f t="shared" si="12"/>
        <v>15504.453363333334</v>
      </c>
      <c r="V57" s="291">
        <f t="shared" si="5"/>
        <v>389.83333766666669</v>
      </c>
      <c r="W57" s="291">
        <f t="shared" si="6"/>
        <v>52.166664333333337</v>
      </c>
      <c r="X57" s="291">
        <f t="shared" si="7"/>
        <v>0</v>
      </c>
      <c r="Y57" s="291">
        <f t="shared" si="8"/>
        <v>465.00595407595586</v>
      </c>
      <c r="Z57" s="291">
        <f t="shared" si="9"/>
        <v>15039.447409257376</v>
      </c>
    </row>
    <row r="58" spans="1:26" x14ac:dyDescent="0.25">
      <c r="A58" s="23" t="str">
        <f>[9]NamesDistrictCollegeCenter!B58</f>
        <v>San Diego CCD</v>
      </c>
      <c r="B58" s="284">
        <v>34927.689990999999</v>
      </c>
      <c r="C58" s="284">
        <v>2061.91</v>
      </c>
      <c r="D58" s="284">
        <v>6532.08</v>
      </c>
      <c r="E58" s="284"/>
      <c r="F58" s="284">
        <v>630.17999999999995</v>
      </c>
      <c r="G58" s="285">
        <f t="shared" si="10"/>
        <v>34297.509990999999</v>
      </c>
      <c r="H58" s="261"/>
      <c r="I58" s="284">
        <v>35115.99</v>
      </c>
      <c r="J58" s="284">
        <v>2049.8999999999996</v>
      </c>
      <c r="K58" s="284">
        <v>6114.8099999999995</v>
      </c>
      <c r="L58" s="284"/>
      <c r="M58" s="284">
        <v>864.16</v>
      </c>
      <c r="N58" s="285">
        <f t="shared" si="11"/>
        <v>34251.829999999994</v>
      </c>
      <c r="O58" s="262">
        <v>32509.53</v>
      </c>
      <c r="P58" s="6">
        <v>2049.8999999999996</v>
      </c>
      <c r="Q58" s="6">
        <v>6114.8099999999995</v>
      </c>
      <c r="R58" s="6">
        <v>0</v>
      </c>
      <c r="S58" s="6">
        <v>992.19</v>
      </c>
      <c r="T58" s="6">
        <f t="shared" si="3"/>
        <v>31517.34</v>
      </c>
      <c r="U58" s="291">
        <f t="shared" si="12"/>
        <v>30834.656669666667</v>
      </c>
      <c r="V58" s="291">
        <f t="shared" si="5"/>
        <v>2045.8966666666663</v>
      </c>
      <c r="W58" s="291">
        <f t="shared" si="6"/>
        <v>5975.7199999999993</v>
      </c>
      <c r="X58" s="291">
        <f t="shared" si="7"/>
        <v>0</v>
      </c>
      <c r="Y58" s="291">
        <f t="shared" si="8"/>
        <v>1155.5366666666669</v>
      </c>
      <c r="Z58" s="291">
        <f t="shared" si="9"/>
        <v>29679.120003000004</v>
      </c>
    </row>
    <row r="59" spans="1:26" x14ac:dyDescent="0.25">
      <c r="A59" s="23" t="str">
        <f>[9]NamesDistrictCollegeCenter!B59</f>
        <v>San Francisco CCD</v>
      </c>
      <c r="B59" s="284">
        <v>14108.980000199999</v>
      </c>
      <c r="C59" s="284">
        <v>1699.39</v>
      </c>
      <c r="D59" s="284">
        <v>4713.1500000000005</v>
      </c>
      <c r="E59" s="284">
        <v>3.5900000000000003</v>
      </c>
      <c r="F59" s="284">
        <v>203.6</v>
      </c>
      <c r="G59" s="285">
        <f t="shared" si="10"/>
        <v>13901.790000199999</v>
      </c>
      <c r="H59" s="261"/>
      <c r="I59" s="284">
        <v>16031.3399082</v>
      </c>
      <c r="J59" s="284">
        <v>1734.96</v>
      </c>
      <c r="K59" s="284">
        <v>4542.28</v>
      </c>
      <c r="L59" s="284">
        <v>7.68</v>
      </c>
      <c r="M59" s="284">
        <v>305.14999999999998</v>
      </c>
      <c r="N59" s="285">
        <f t="shared" si="11"/>
        <v>15718.5099082</v>
      </c>
      <c r="O59" s="262">
        <v>16460.46</v>
      </c>
      <c r="P59" s="6">
        <v>1695.9582946937273</v>
      </c>
      <c r="Q59" s="6">
        <v>4177.63</v>
      </c>
      <c r="R59" s="6">
        <v>19.91</v>
      </c>
      <c r="S59" s="6">
        <v>271.83999999999997</v>
      </c>
      <c r="T59" s="6">
        <f t="shared" si="3"/>
        <v>16168.71</v>
      </c>
      <c r="U59" s="291">
        <f t="shared" si="12"/>
        <v>17387.326697199998</v>
      </c>
      <c r="V59" s="291">
        <f t="shared" si="5"/>
        <v>1681.8138244895456</v>
      </c>
      <c r="W59" s="291">
        <f t="shared" si="6"/>
        <v>3877.5733333333333</v>
      </c>
      <c r="X59" s="291">
        <f t="shared" si="7"/>
        <v>29.426666666666669</v>
      </c>
      <c r="Y59" s="291">
        <f t="shared" si="8"/>
        <v>283.48333333333329</v>
      </c>
      <c r="Z59" s="291">
        <f t="shared" si="9"/>
        <v>17074.416697199998</v>
      </c>
    </row>
    <row r="60" spans="1:26" x14ac:dyDescent="0.25">
      <c r="A60" s="23" t="str">
        <f>[9]NamesDistrictCollegeCenter!B60</f>
        <v>San Joaquin Delta CCD</v>
      </c>
      <c r="B60" s="284">
        <v>13337.72</v>
      </c>
      <c r="C60" s="284">
        <v>175.48999999999998</v>
      </c>
      <c r="D60" s="284">
        <v>0</v>
      </c>
      <c r="E60" s="284"/>
      <c r="F60" s="284">
        <v>425.5</v>
      </c>
      <c r="G60" s="285">
        <f t="shared" si="10"/>
        <v>12912.22</v>
      </c>
      <c r="H60" s="261"/>
      <c r="I60" s="284">
        <v>15729.639937</v>
      </c>
      <c r="J60" s="284">
        <v>170.36</v>
      </c>
      <c r="K60" s="284">
        <v>0</v>
      </c>
      <c r="L60" s="284">
        <v>20.09</v>
      </c>
      <c r="M60" s="284">
        <v>481.3</v>
      </c>
      <c r="N60" s="285">
        <f t="shared" si="11"/>
        <v>15228.249937000001</v>
      </c>
      <c r="O60" s="262">
        <v>14732.93</v>
      </c>
      <c r="P60" s="6">
        <v>170.36</v>
      </c>
      <c r="Q60" s="6">
        <v>0</v>
      </c>
      <c r="R60" s="6">
        <v>13.44</v>
      </c>
      <c r="S60" s="6">
        <v>528.41999999999996</v>
      </c>
      <c r="T60" s="6">
        <f t="shared" si="3"/>
        <v>14191.07</v>
      </c>
      <c r="U60" s="291">
        <f t="shared" si="12"/>
        <v>14865.763354333334</v>
      </c>
      <c r="V60" s="291">
        <f t="shared" si="5"/>
        <v>168.65000000000003</v>
      </c>
      <c r="W60" s="291">
        <f t="shared" si="6"/>
        <v>0</v>
      </c>
      <c r="X60" s="291">
        <f t="shared" si="7"/>
        <v>15.703333333333333</v>
      </c>
      <c r="Y60" s="291">
        <f t="shared" si="8"/>
        <v>578.43333333333328</v>
      </c>
      <c r="Z60" s="291">
        <f t="shared" si="9"/>
        <v>14271.626687666667</v>
      </c>
    </row>
    <row r="61" spans="1:26" x14ac:dyDescent="0.25">
      <c r="A61" s="23" t="str">
        <f>[9]NamesDistrictCollegeCenter!B61</f>
        <v>San Jose-Evergreen CCD</v>
      </c>
      <c r="B61" s="284">
        <v>11234.879999999997</v>
      </c>
      <c r="C61" s="284">
        <v>116.72</v>
      </c>
      <c r="D61" s="284">
        <v>0</v>
      </c>
      <c r="E61" s="284"/>
      <c r="F61" s="284">
        <v>193.38</v>
      </c>
      <c r="G61" s="285">
        <f t="shared" si="10"/>
        <v>11041.499999999998</v>
      </c>
      <c r="H61" s="261"/>
      <c r="I61" s="284">
        <v>11715.929990999997</v>
      </c>
      <c r="J61" s="284">
        <v>197.11002100000002</v>
      </c>
      <c r="K61" s="284">
        <v>0</v>
      </c>
      <c r="L61" s="284"/>
      <c r="M61" s="284">
        <v>308.31</v>
      </c>
      <c r="N61" s="285">
        <f t="shared" si="11"/>
        <v>11407.619990999998</v>
      </c>
      <c r="O61" s="262">
        <v>12055.63</v>
      </c>
      <c r="P61" s="6">
        <v>213.42</v>
      </c>
      <c r="Q61" s="6">
        <v>0</v>
      </c>
      <c r="R61" s="6">
        <v>0</v>
      </c>
      <c r="S61" s="6">
        <v>262.19</v>
      </c>
      <c r="T61" s="6">
        <f t="shared" si="3"/>
        <v>11793.439999999999</v>
      </c>
      <c r="U61" s="291">
        <f t="shared" si="12"/>
        <v>12442.446669666668</v>
      </c>
      <c r="V61" s="291">
        <f t="shared" si="5"/>
        <v>251.08999299999996</v>
      </c>
      <c r="W61" s="291">
        <f t="shared" si="6"/>
        <v>0</v>
      </c>
      <c r="X61" s="291">
        <f t="shared" si="7"/>
        <v>0</v>
      </c>
      <c r="Y61" s="291">
        <f t="shared" si="8"/>
        <v>269.75333333333333</v>
      </c>
      <c r="Z61" s="291">
        <f t="shared" si="9"/>
        <v>12172.693336333332</v>
      </c>
    </row>
    <row r="62" spans="1:26" x14ac:dyDescent="0.25">
      <c r="A62" s="23" t="str">
        <f>[9]NamesDistrictCollegeCenter!B62</f>
        <v>San Luis Obispo County CCD</v>
      </c>
      <c r="B62" s="284">
        <v>6739.4199999999983</v>
      </c>
      <c r="C62" s="284">
        <v>149.56</v>
      </c>
      <c r="D62" s="284">
        <v>239.43</v>
      </c>
      <c r="E62" s="284">
        <v>20.799999999999997</v>
      </c>
      <c r="F62" s="284">
        <v>562.09</v>
      </c>
      <c r="G62" s="285">
        <f t="shared" si="10"/>
        <v>6156.5299999999979</v>
      </c>
      <c r="H62" s="261"/>
      <c r="I62" s="284">
        <v>7933.1099999999979</v>
      </c>
      <c r="J62" s="284">
        <v>337.21000000000004</v>
      </c>
      <c r="K62" s="284">
        <v>161.71</v>
      </c>
      <c r="L62" s="284">
        <v>39.18</v>
      </c>
      <c r="M62" s="284">
        <v>769.85</v>
      </c>
      <c r="N62" s="285">
        <f t="shared" si="11"/>
        <v>7124.0799999999972</v>
      </c>
      <c r="O62" s="262">
        <v>6801.35</v>
      </c>
      <c r="P62" s="6">
        <v>370.1</v>
      </c>
      <c r="Q62" s="6">
        <v>217.1</v>
      </c>
      <c r="R62" s="6">
        <v>110.22</v>
      </c>
      <c r="S62" s="6">
        <v>772.89</v>
      </c>
      <c r="T62" s="6">
        <f t="shared" si="3"/>
        <v>5918.24</v>
      </c>
      <c r="U62" s="291">
        <f t="shared" si="12"/>
        <v>6444.7400000000016</v>
      </c>
      <c r="V62" s="291">
        <f t="shared" si="5"/>
        <v>454.57666666666671</v>
      </c>
      <c r="W62" s="291">
        <f t="shared" si="6"/>
        <v>228.11999999999998</v>
      </c>
      <c r="X62" s="291">
        <f t="shared" si="7"/>
        <v>163.70666666666665</v>
      </c>
      <c r="Y62" s="291">
        <f t="shared" si="8"/>
        <v>844.17</v>
      </c>
      <c r="Z62" s="291">
        <f t="shared" si="9"/>
        <v>5436.8633333333346</v>
      </c>
    </row>
    <row r="63" spans="1:26" x14ac:dyDescent="0.25">
      <c r="A63" s="23" t="str">
        <f>[9]NamesDistrictCollegeCenter!B63</f>
        <v>San Mateo County CCD</v>
      </c>
      <c r="B63" s="284">
        <v>16348.829999999998</v>
      </c>
      <c r="C63" s="284">
        <v>57.88000000000001</v>
      </c>
      <c r="D63" s="284">
        <v>0</v>
      </c>
      <c r="E63" s="284">
        <v>4.5999999999999996</v>
      </c>
      <c r="F63" s="284">
        <v>563.44000000000005</v>
      </c>
      <c r="G63" s="285">
        <f t="shared" si="10"/>
        <v>15780.789999999997</v>
      </c>
      <c r="H63" s="261"/>
      <c r="I63" s="284">
        <v>15680.999999999998</v>
      </c>
      <c r="J63" s="284">
        <v>41.480000000000011</v>
      </c>
      <c r="K63" s="284">
        <v>0</v>
      </c>
      <c r="L63" s="284"/>
      <c r="M63" s="284">
        <v>847.58</v>
      </c>
      <c r="N63" s="285">
        <f t="shared" si="11"/>
        <v>14833.419999999998</v>
      </c>
      <c r="O63" s="262">
        <v>15232.02</v>
      </c>
      <c r="P63" s="6">
        <v>41.480000000000011</v>
      </c>
      <c r="Q63" s="6">
        <v>0</v>
      </c>
      <c r="R63" s="6">
        <v>3.26</v>
      </c>
      <c r="S63" s="6">
        <v>851.36</v>
      </c>
      <c r="T63" s="6">
        <f t="shared" si="3"/>
        <v>14377.4</v>
      </c>
      <c r="U63" s="291">
        <f t="shared" si="12"/>
        <v>14710.090000000002</v>
      </c>
      <c r="V63" s="291">
        <f t="shared" si="5"/>
        <v>36.013333333333343</v>
      </c>
      <c r="W63" s="291">
        <f t="shared" si="6"/>
        <v>0</v>
      </c>
      <c r="X63" s="291">
        <f t="shared" si="7"/>
        <v>3.9</v>
      </c>
      <c r="Y63" s="291">
        <f t="shared" si="8"/>
        <v>948.59333333333336</v>
      </c>
      <c r="Z63" s="291">
        <f t="shared" si="9"/>
        <v>13757.596666666668</v>
      </c>
    </row>
    <row r="64" spans="1:26" x14ac:dyDescent="0.25">
      <c r="A64" s="23" t="str">
        <f>[9]NamesDistrictCollegeCenter!B64</f>
        <v>Santa Barbara CCD</v>
      </c>
      <c r="B64" s="284">
        <v>11805.670000000002</v>
      </c>
      <c r="C64" s="284">
        <v>2.7400000000000375</v>
      </c>
      <c r="D64" s="284">
        <v>571.46</v>
      </c>
      <c r="E64" s="284"/>
      <c r="F64" s="284">
        <v>709.7</v>
      </c>
      <c r="G64" s="285">
        <f t="shared" si="10"/>
        <v>11095.970000000001</v>
      </c>
      <c r="H64" s="261"/>
      <c r="I64" s="284">
        <v>11660.820000000002</v>
      </c>
      <c r="J64" s="284">
        <v>294.71000000000004</v>
      </c>
      <c r="K64" s="284">
        <v>489.98</v>
      </c>
      <c r="L64" s="284">
        <v>3.25</v>
      </c>
      <c r="M64" s="284">
        <v>726.33</v>
      </c>
      <c r="N64" s="285">
        <f t="shared" si="11"/>
        <v>10931.240000000002</v>
      </c>
      <c r="O64" s="262">
        <v>11437.29</v>
      </c>
      <c r="P64" s="6">
        <v>698.44</v>
      </c>
      <c r="Q64" s="6">
        <v>413.72</v>
      </c>
      <c r="R64" s="6">
        <v>4.05</v>
      </c>
      <c r="S64" s="6">
        <v>357.25</v>
      </c>
      <c r="T64" s="6">
        <f t="shared" si="3"/>
        <v>11075.990000000002</v>
      </c>
      <c r="U64" s="291">
        <f t="shared" si="12"/>
        <v>11239.986666666668</v>
      </c>
      <c r="V64" s="291">
        <f t="shared" si="5"/>
        <v>1064.9166666666667</v>
      </c>
      <c r="W64" s="291">
        <f t="shared" si="6"/>
        <v>335.72</v>
      </c>
      <c r="X64" s="291">
        <f t="shared" si="7"/>
        <v>5.6666666666666661</v>
      </c>
      <c r="Y64" s="291">
        <f t="shared" si="8"/>
        <v>116.73999999999998</v>
      </c>
      <c r="Z64" s="291">
        <f t="shared" si="9"/>
        <v>11117.580000000002</v>
      </c>
    </row>
    <row r="65" spans="1:26" x14ac:dyDescent="0.25">
      <c r="A65" s="23" t="str">
        <f>[9]NamesDistrictCollegeCenter!B65</f>
        <v>Santa Clarita CCD</v>
      </c>
      <c r="B65" s="284">
        <v>16098.699926000001</v>
      </c>
      <c r="C65" s="284">
        <v>221.51999999999998</v>
      </c>
      <c r="D65" s="284">
        <v>123.86</v>
      </c>
      <c r="E65" s="284">
        <v>2.39</v>
      </c>
      <c r="F65" s="284">
        <v>675.23</v>
      </c>
      <c r="G65" s="285">
        <f t="shared" si="10"/>
        <v>15421.079926000002</v>
      </c>
      <c r="H65" s="261"/>
      <c r="I65" s="284">
        <v>16308.519304000001</v>
      </c>
      <c r="J65" s="284">
        <v>237.73999999999998</v>
      </c>
      <c r="K65" s="284">
        <v>167</v>
      </c>
      <c r="L65" s="284">
        <v>27.8</v>
      </c>
      <c r="M65" s="284">
        <v>983.67</v>
      </c>
      <c r="N65" s="285">
        <f t="shared" si="11"/>
        <v>15297.049304000002</v>
      </c>
      <c r="O65" s="262">
        <v>15732.13</v>
      </c>
      <c r="P65" s="6">
        <v>237.73999999999998</v>
      </c>
      <c r="Q65" s="6">
        <v>167</v>
      </c>
      <c r="R65" s="6">
        <v>22.73</v>
      </c>
      <c r="S65" s="6">
        <v>840.5</v>
      </c>
      <c r="T65" s="6">
        <f t="shared" si="3"/>
        <v>14868.9</v>
      </c>
      <c r="U65" s="291">
        <f t="shared" si="12"/>
        <v>15417.810256666664</v>
      </c>
      <c r="V65" s="291">
        <f t="shared" si="5"/>
        <v>243.14666666666665</v>
      </c>
      <c r="W65" s="291">
        <f t="shared" si="6"/>
        <v>181.38</v>
      </c>
      <c r="X65" s="291">
        <f t="shared" si="7"/>
        <v>27.82</v>
      </c>
      <c r="Y65" s="291">
        <f t="shared" si="8"/>
        <v>847.86666666666667</v>
      </c>
      <c r="Z65" s="291">
        <f t="shared" si="9"/>
        <v>14542.123589999997</v>
      </c>
    </row>
    <row r="66" spans="1:26" x14ac:dyDescent="0.25">
      <c r="A66" s="23" t="str">
        <f>[9]NamesDistrictCollegeCenter!B66</f>
        <v>Santa Monica CCD</v>
      </c>
      <c r="B66" s="284">
        <v>22257.879993000002</v>
      </c>
      <c r="C66" s="284">
        <v>584.5</v>
      </c>
      <c r="D66" s="284">
        <v>167.47</v>
      </c>
      <c r="E66" s="284"/>
      <c r="F66" s="284">
        <v>247.18</v>
      </c>
      <c r="G66" s="285">
        <f t="shared" si="10"/>
        <v>22010.699993000002</v>
      </c>
      <c r="H66" s="261"/>
      <c r="I66" s="284">
        <v>17871.400000000001</v>
      </c>
      <c r="J66" s="284">
        <v>599.80999999999995</v>
      </c>
      <c r="K66" s="284">
        <v>157.57</v>
      </c>
      <c r="L66" s="284"/>
      <c r="M66" s="284">
        <v>273.43</v>
      </c>
      <c r="N66" s="285">
        <f t="shared" si="11"/>
        <v>17597.97</v>
      </c>
      <c r="O66" s="262">
        <v>19636.32</v>
      </c>
      <c r="P66" s="6">
        <v>622.78</v>
      </c>
      <c r="Q66" s="6">
        <v>119.98</v>
      </c>
      <c r="R66" s="6">
        <v>0</v>
      </c>
      <c r="S66" s="6">
        <v>263.89999999999998</v>
      </c>
      <c r="T66" s="6">
        <f t="shared" si="3"/>
        <v>19372.419999999998</v>
      </c>
      <c r="U66" s="291">
        <f t="shared" si="12"/>
        <v>19350.773335666665</v>
      </c>
      <c r="V66" s="291">
        <f t="shared" si="5"/>
        <v>643.1966666666666</v>
      </c>
      <c r="W66" s="291">
        <f t="shared" si="6"/>
        <v>91.62</v>
      </c>
      <c r="X66" s="291">
        <f t="shared" si="7"/>
        <v>0</v>
      </c>
      <c r="Y66" s="291">
        <f t="shared" si="8"/>
        <v>266.29666666666662</v>
      </c>
      <c r="Z66" s="291">
        <f t="shared" si="9"/>
        <v>19084.476668999996</v>
      </c>
    </row>
    <row r="67" spans="1:26" x14ac:dyDescent="0.25">
      <c r="A67" s="23" t="str">
        <f>[9]NamesDistrictCollegeCenter!B67</f>
        <v>Sequoias CCD</v>
      </c>
      <c r="B67" s="284">
        <v>9141.4800400000022</v>
      </c>
      <c r="C67" s="284">
        <v>392.17000000000007</v>
      </c>
      <c r="D67" s="284">
        <v>166.56</v>
      </c>
      <c r="E67" s="284"/>
      <c r="F67" s="284">
        <v>335.52</v>
      </c>
      <c r="G67" s="285">
        <f t="shared" si="10"/>
        <v>8805.9600400000018</v>
      </c>
      <c r="H67" s="261"/>
      <c r="I67" s="284">
        <v>9685.2526810000018</v>
      </c>
      <c r="J67" s="284">
        <v>472.08000000000004</v>
      </c>
      <c r="K67" s="284">
        <v>173.46</v>
      </c>
      <c r="L67" s="284"/>
      <c r="M67" s="284">
        <v>443.21</v>
      </c>
      <c r="N67" s="285">
        <f t="shared" si="11"/>
        <v>9242.0426810000026</v>
      </c>
      <c r="O67" s="262">
        <v>9707.5</v>
      </c>
      <c r="P67" s="6">
        <v>344.8</v>
      </c>
      <c r="Q67" s="6">
        <v>109.19</v>
      </c>
      <c r="R67" s="6">
        <v>0</v>
      </c>
      <c r="S67" s="6">
        <v>465.38</v>
      </c>
      <c r="T67" s="6">
        <f t="shared" si="3"/>
        <v>9242.1200000000008</v>
      </c>
      <c r="U67" s="291">
        <f t="shared" si="12"/>
        <v>9903.5890929999987</v>
      </c>
      <c r="V67" s="291">
        <f t="shared" si="5"/>
        <v>286.58333333333331</v>
      </c>
      <c r="W67" s="291">
        <f t="shared" si="6"/>
        <v>68.643333333333317</v>
      </c>
      <c r="X67" s="291">
        <f t="shared" si="7"/>
        <v>0</v>
      </c>
      <c r="Y67" s="291">
        <f t="shared" si="8"/>
        <v>516.05666666666662</v>
      </c>
      <c r="Z67" s="291">
        <f t="shared" si="9"/>
        <v>9387.5324263333332</v>
      </c>
    </row>
    <row r="68" spans="1:26" x14ac:dyDescent="0.25">
      <c r="A68" s="23" t="str">
        <f>[9]NamesDistrictCollegeCenter!B68</f>
        <v>Shasta-Tehama-Trinity CCD</v>
      </c>
      <c r="B68" s="284">
        <v>7040.1499189999986</v>
      </c>
      <c r="C68" s="284">
        <v>148.20999999999998</v>
      </c>
      <c r="D68" s="284">
        <v>34.699999999999996</v>
      </c>
      <c r="E68" s="284"/>
      <c r="F68" s="284">
        <v>627.39</v>
      </c>
      <c r="G68" s="285">
        <f t="shared" si="10"/>
        <v>6412.7599189999983</v>
      </c>
      <c r="H68" s="261"/>
      <c r="I68" s="284">
        <v>6089.4699999999984</v>
      </c>
      <c r="J68" s="284">
        <v>135.30999999999997</v>
      </c>
      <c r="K68" s="284">
        <v>32.809999999999995</v>
      </c>
      <c r="L68" s="284"/>
      <c r="M68" s="284">
        <v>701.11</v>
      </c>
      <c r="N68" s="285">
        <f t="shared" si="11"/>
        <v>5388.3599999999988</v>
      </c>
      <c r="O68" s="262">
        <v>7053.81</v>
      </c>
      <c r="P68" s="6">
        <v>125.16</v>
      </c>
      <c r="Q68" s="6">
        <v>19.22</v>
      </c>
      <c r="R68" s="6">
        <v>0.86</v>
      </c>
      <c r="S68" s="6">
        <v>729.55356525881143</v>
      </c>
      <c r="T68" s="6">
        <f t="shared" si="3"/>
        <v>6323.3964347411893</v>
      </c>
      <c r="U68" s="291">
        <f t="shared" si="12"/>
        <v>7379.8100270000014</v>
      </c>
      <c r="V68" s="291">
        <f t="shared" si="5"/>
        <v>114.09333333333335</v>
      </c>
      <c r="W68" s="291">
        <f t="shared" si="6"/>
        <v>9.5300000000000011</v>
      </c>
      <c r="X68" s="291">
        <f t="shared" si="7"/>
        <v>1.4333333333333333</v>
      </c>
      <c r="Y68" s="291">
        <f t="shared" si="8"/>
        <v>773.08927543135235</v>
      </c>
      <c r="Z68" s="291">
        <f t="shared" si="9"/>
        <v>6605.2874182353162</v>
      </c>
    </row>
    <row r="69" spans="1:26" x14ac:dyDescent="0.25">
      <c r="A69" s="23" t="str">
        <f>[9]NamesDistrictCollegeCenter!B69</f>
        <v>Sierra Joint CCD</v>
      </c>
      <c r="B69" s="284">
        <v>12366.82</v>
      </c>
      <c r="C69" s="284">
        <v>274.82</v>
      </c>
      <c r="D69" s="284">
        <v>0</v>
      </c>
      <c r="E69" s="284"/>
      <c r="F69" s="284">
        <v>214.52</v>
      </c>
      <c r="G69" s="285">
        <f t="shared" si="10"/>
        <v>12152.3</v>
      </c>
      <c r="H69" s="261"/>
      <c r="I69" s="284">
        <v>14916.480178999998</v>
      </c>
      <c r="J69" s="284">
        <v>308.75</v>
      </c>
      <c r="K69" s="284">
        <v>0</v>
      </c>
      <c r="L69" s="284"/>
      <c r="M69" s="284">
        <v>407.66</v>
      </c>
      <c r="N69" s="285">
        <f t="shared" si="11"/>
        <v>14508.820178999998</v>
      </c>
      <c r="O69" s="262">
        <v>12537.92</v>
      </c>
      <c r="P69" s="6">
        <v>345.66</v>
      </c>
      <c r="Q69" s="6">
        <v>7.7</v>
      </c>
      <c r="R69" s="6">
        <v>0</v>
      </c>
      <c r="S69" s="6">
        <v>423.71</v>
      </c>
      <c r="T69" s="6">
        <f t="shared" si="3"/>
        <v>12114.210000000001</v>
      </c>
      <c r="U69" s="291">
        <f t="shared" si="12"/>
        <v>11802.099940333334</v>
      </c>
      <c r="V69" s="291">
        <f t="shared" si="5"/>
        <v>381.57666666666671</v>
      </c>
      <c r="W69" s="291">
        <f t="shared" si="6"/>
        <v>12.833333333333334</v>
      </c>
      <c r="X69" s="291">
        <f t="shared" si="7"/>
        <v>0</v>
      </c>
      <c r="Y69" s="291">
        <f t="shared" si="8"/>
        <v>498.78999999999996</v>
      </c>
      <c r="Z69" s="291">
        <f t="shared" si="9"/>
        <v>11303.309940333336</v>
      </c>
    </row>
    <row r="70" spans="1:26" x14ac:dyDescent="0.25">
      <c r="A70" s="23" t="str">
        <f>[9]NamesDistrictCollegeCenter!B70</f>
        <v>Siskiyou Joint CCD</v>
      </c>
      <c r="B70" s="284">
        <v>1935.6400000000003</v>
      </c>
      <c r="C70" s="284">
        <v>58.109999999999964</v>
      </c>
      <c r="D70" s="284">
        <v>505.14</v>
      </c>
      <c r="E70" s="284"/>
      <c r="F70" s="284">
        <v>94.43</v>
      </c>
      <c r="G70" s="285">
        <f t="shared" si="10"/>
        <v>1841.2100000000003</v>
      </c>
      <c r="H70" s="261"/>
      <c r="I70" s="284">
        <v>1780.3400000000004</v>
      </c>
      <c r="J70" s="284">
        <v>80.459999999999965</v>
      </c>
      <c r="K70" s="284">
        <v>592.54</v>
      </c>
      <c r="L70" s="284"/>
      <c r="M70" s="284">
        <v>88.75</v>
      </c>
      <c r="N70" s="285">
        <f t="shared" si="11"/>
        <v>1691.5900000000004</v>
      </c>
      <c r="O70" s="262">
        <v>1421.93</v>
      </c>
      <c r="P70" s="6">
        <v>102.13999999999999</v>
      </c>
      <c r="Q70" s="6">
        <v>679.83</v>
      </c>
      <c r="R70" s="6">
        <v>0</v>
      </c>
      <c r="S70" s="6">
        <v>64.040000000000006</v>
      </c>
      <c r="T70" s="6">
        <f t="shared" si="3"/>
        <v>1357.89</v>
      </c>
      <c r="U70" s="291">
        <f t="shared" si="12"/>
        <v>1131.2233333333331</v>
      </c>
      <c r="V70" s="291">
        <f t="shared" si="5"/>
        <v>124.04333333333334</v>
      </c>
      <c r="W70" s="291">
        <f t="shared" si="6"/>
        <v>767.15666666666675</v>
      </c>
      <c r="X70" s="291">
        <f t="shared" si="7"/>
        <v>0</v>
      </c>
      <c r="Y70" s="291">
        <f t="shared" si="8"/>
        <v>45.673333333333346</v>
      </c>
      <c r="Z70" s="291">
        <f t="shared" si="9"/>
        <v>1085.55</v>
      </c>
    </row>
    <row r="71" spans="1:26" x14ac:dyDescent="0.25">
      <c r="A71" s="23" t="str">
        <f>[9]NamesDistrictCollegeCenter!B71</f>
        <v>Solano CCD</v>
      </c>
      <c r="B71" s="284">
        <v>6447.5199999999986</v>
      </c>
      <c r="C71" s="284">
        <v>37.480000000000004</v>
      </c>
      <c r="D71" s="284">
        <v>0</v>
      </c>
      <c r="E71" s="284">
        <v>91.04</v>
      </c>
      <c r="F71" s="284">
        <v>266.87</v>
      </c>
      <c r="G71" s="285">
        <f t="shared" si="10"/>
        <v>6089.6099999999988</v>
      </c>
      <c r="H71" s="261"/>
      <c r="I71" s="284">
        <v>7907.2699999999986</v>
      </c>
      <c r="J71" s="284">
        <v>79.639883999999995</v>
      </c>
      <c r="K71" s="284">
        <v>0</v>
      </c>
      <c r="L71" s="284">
        <v>74.87</v>
      </c>
      <c r="M71" s="284">
        <v>476.15</v>
      </c>
      <c r="N71" s="285">
        <f t="shared" si="11"/>
        <v>7356.2499999999991</v>
      </c>
      <c r="O71" s="262">
        <v>6150.89</v>
      </c>
      <c r="P71" s="6">
        <v>79.639883999999995</v>
      </c>
      <c r="Q71" s="6">
        <v>0</v>
      </c>
      <c r="R71" s="6">
        <v>81.77</v>
      </c>
      <c r="S71" s="6">
        <v>330.38</v>
      </c>
      <c r="T71" s="6">
        <f t="shared" si="3"/>
        <v>5738.74</v>
      </c>
      <c r="U71" s="291">
        <f t="shared" si="12"/>
        <v>5466.5533333333351</v>
      </c>
      <c r="V71" s="291">
        <f t="shared" si="5"/>
        <v>93.693178666666654</v>
      </c>
      <c r="W71" s="291">
        <f t="shared" si="6"/>
        <v>0</v>
      </c>
      <c r="X71" s="291">
        <f t="shared" si="7"/>
        <v>80.97999999999999</v>
      </c>
      <c r="Y71" s="291">
        <f t="shared" si="8"/>
        <v>302.95999999999998</v>
      </c>
      <c r="Z71" s="291">
        <f t="shared" si="9"/>
        <v>5082.6133333333337</v>
      </c>
    </row>
    <row r="72" spans="1:26" x14ac:dyDescent="0.25">
      <c r="A72" s="23" t="str">
        <f>[9]NamesDistrictCollegeCenter!B72</f>
        <v>Sonoma County CCD</v>
      </c>
      <c r="B72" s="284">
        <v>13615.209999999995</v>
      </c>
      <c r="C72" s="284">
        <v>2409.2800000000002</v>
      </c>
      <c r="D72" s="284">
        <v>567.70000000000005</v>
      </c>
      <c r="E72" s="284">
        <v>4.75</v>
      </c>
      <c r="F72" s="284">
        <v>418.19</v>
      </c>
      <c r="G72" s="285">
        <f t="shared" si="10"/>
        <v>13192.269999999995</v>
      </c>
      <c r="H72" s="261"/>
      <c r="I72" s="284">
        <v>16040.469999999996</v>
      </c>
      <c r="J72" s="284">
        <v>2860.299978</v>
      </c>
      <c r="K72" s="284">
        <v>550.23</v>
      </c>
      <c r="L72" s="284">
        <v>2.59</v>
      </c>
      <c r="M72" s="284">
        <v>523.80999999999995</v>
      </c>
      <c r="N72" s="285">
        <f t="shared" si="11"/>
        <v>15514.069999999996</v>
      </c>
      <c r="O72" s="262">
        <v>16239</v>
      </c>
      <c r="P72" s="6">
        <v>2574</v>
      </c>
      <c r="Q72" s="6">
        <v>638</v>
      </c>
      <c r="R72" s="6">
        <v>10.1</v>
      </c>
      <c r="S72" s="6">
        <v>508.41</v>
      </c>
      <c r="T72" s="6">
        <f t="shared" si="3"/>
        <v>15720.49</v>
      </c>
      <c r="U72" s="291">
        <f t="shared" si="12"/>
        <v>17179.773333333338</v>
      </c>
      <c r="V72" s="291">
        <f t="shared" si="5"/>
        <v>2533.4733406666664</v>
      </c>
      <c r="W72" s="291">
        <f t="shared" si="6"/>
        <v>690.68999999999994</v>
      </c>
      <c r="X72" s="291">
        <f t="shared" si="7"/>
        <v>14.386666666666667</v>
      </c>
      <c r="Y72" s="291">
        <f t="shared" si="8"/>
        <v>533.35</v>
      </c>
      <c r="Z72" s="291">
        <f t="shared" si="9"/>
        <v>16632.03666666667</v>
      </c>
    </row>
    <row r="73" spans="1:26" x14ac:dyDescent="0.25">
      <c r="A73" s="23" t="str">
        <f>[9]NamesDistrictCollegeCenter!B73</f>
        <v>South Orange County CCD</v>
      </c>
      <c r="B73" s="284">
        <v>24706.37</v>
      </c>
      <c r="C73" s="284">
        <v>2243.0898389999998</v>
      </c>
      <c r="D73" s="284">
        <v>415.98</v>
      </c>
      <c r="E73" s="284"/>
      <c r="F73" s="284">
        <v>593.07000000000005</v>
      </c>
      <c r="G73" s="285">
        <f t="shared" si="10"/>
        <v>24113.3</v>
      </c>
      <c r="H73" s="261"/>
      <c r="I73" s="284">
        <v>23956.44</v>
      </c>
      <c r="J73" s="284">
        <v>2042.1199999999997</v>
      </c>
      <c r="K73" s="284">
        <v>977.03</v>
      </c>
      <c r="L73" s="284"/>
      <c r="M73" s="284">
        <v>693.52</v>
      </c>
      <c r="N73" s="285">
        <f t="shared" si="11"/>
        <v>23262.92</v>
      </c>
      <c r="O73" s="262">
        <v>23248.43</v>
      </c>
      <c r="P73" s="6">
        <v>2104.67</v>
      </c>
      <c r="Q73" s="6">
        <v>1070.21</v>
      </c>
      <c r="R73" s="6">
        <v>0</v>
      </c>
      <c r="S73" s="6">
        <v>750.08</v>
      </c>
      <c r="T73" s="6">
        <f t="shared" si="3"/>
        <v>22498.35</v>
      </c>
      <c r="U73" s="291">
        <f t="shared" si="12"/>
        <v>22526.446666666667</v>
      </c>
      <c r="V73" s="291">
        <f t="shared" si="5"/>
        <v>2079.3800536666668</v>
      </c>
      <c r="W73" s="291">
        <f t="shared" si="6"/>
        <v>1319.3466666666668</v>
      </c>
      <c r="X73" s="291">
        <f t="shared" si="7"/>
        <v>0</v>
      </c>
      <c r="Y73" s="291">
        <f t="shared" si="8"/>
        <v>821.2700000000001</v>
      </c>
      <c r="Z73" s="291">
        <f t="shared" si="9"/>
        <v>21705.176666666666</v>
      </c>
    </row>
    <row r="74" spans="1:26" x14ac:dyDescent="0.25">
      <c r="A74" s="23" t="str">
        <f>[9]NamesDistrictCollegeCenter!B74</f>
        <v>Southwestern CCD</v>
      </c>
      <c r="B74" s="284">
        <v>15625.789987</v>
      </c>
      <c r="C74" s="284">
        <v>212.31</v>
      </c>
      <c r="D74" s="284">
        <v>38.970000000000006</v>
      </c>
      <c r="E74" s="284">
        <v>28.75</v>
      </c>
      <c r="F74" s="284">
        <v>154.74</v>
      </c>
      <c r="G74" s="285">
        <f t="shared" si="10"/>
        <v>15442.299987</v>
      </c>
      <c r="H74" s="261"/>
      <c r="I74" s="284">
        <v>13083.04</v>
      </c>
      <c r="J74" s="284">
        <v>196.28</v>
      </c>
      <c r="K74" s="284">
        <v>38.400000000000006</v>
      </c>
      <c r="L74" s="284">
        <v>72.45</v>
      </c>
      <c r="M74" s="284">
        <v>232.12</v>
      </c>
      <c r="N74" s="285">
        <f t="shared" si="11"/>
        <v>12778.47</v>
      </c>
      <c r="O74" s="262">
        <v>14539.77</v>
      </c>
      <c r="P74" s="6">
        <v>252.73999999999998</v>
      </c>
      <c r="Q74" s="6">
        <v>21.97</v>
      </c>
      <c r="R74" s="6">
        <v>62.87</v>
      </c>
      <c r="S74" s="6">
        <v>232.12</v>
      </c>
      <c r="T74" s="6">
        <f t="shared" si="3"/>
        <v>14244.779999999999</v>
      </c>
      <c r="U74" s="291">
        <f t="shared" si="12"/>
        <v>14663.340004333333</v>
      </c>
      <c r="V74" s="291">
        <f t="shared" si="5"/>
        <v>285.03666666666663</v>
      </c>
      <c r="W74" s="291">
        <f t="shared" si="6"/>
        <v>10.826666666666661</v>
      </c>
      <c r="X74" s="291">
        <f t="shared" si="7"/>
        <v>71.05</v>
      </c>
      <c r="Y74" s="291">
        <f t="shared" si="8"/>
        <v>257.91333333333336</v>
      </c>
      <c r="Z74" s="291">
        <f t="shared" si="9"/>
        <v>14334.376670999998</v>
      </c>
    </row>
    <row r="75" spans="1:26" x14ac:dyDescent="0.25">
      <c r="A75" s="23" t="str">
        <f>[9]NamesDistrictCollegeCenter!B75</f>
        <v>State Center CCD</v>
      </c>
      <c r="B75" s="284">
        <v>26963.420000000006</v>
      </c>
      <c r="C75" s="284">
        <v>231</v>
      </c>
      <c r="D75" s="284">
        <v>129.60000000000002</v>
      </c>
      <c r="E75" s="284"/>
      <c r="F75" s="284">
        <v>951.28</v>
      </c>
      <c r="G75" s="285">
        <f t="shared" ref="G75:G82" si="13">B75-E75-F75</f>
        <v>26012.140000000007</v>
      </c>
      <c r="H75" s="261"/>
      <c r="I75" s="284">
        <v>31058.822104000006</v>
      </c>
      <c r="J75" s="284">
        <v>310.10000000000002</v>
      </c>
      <c r="K75" s="284">
        <v>171.51000000000002</v>
      </c>
      <c r="L75" s="284"/>
      <c r="M75" s="284">
        <v>1450.43</v>
      </c>
      <c r="N75" s="285">
        <f t="shared" ref="N75:N82" si="14">I75-L75-M75</f>
        <v>29608.392104000006</v>
      </c>
      <c r="O75" s="262">
        <v>29862.79</v>
      </c>
      <c r="P75" s="6">
        <v>310.10000000000002</v>
      </c>
      <c r="Q75" s="6">
        <v>171.51000000000002</v>
      </c>
      <c r="R75" s="6">
        <v>0</v>
      </c>
      <c r="S75" s="6">
        <v>1651.08</v>
      </c>
      <c r="T75" s="6">
        <f t="shared" si="3"/>
        <v>28211.71</v>
      </c>
      <c r="U75" s="291">
        <f t="shared" si="12"/>
        <v>30430.569298666665</v>
      </c>
      <c r="V75" s="291">
        <f t="shared" si="5"/>
        <v>336.4666666666667</v>
      </c>
      <c r="W75" s="291">
        <f t="shared" si="6"/>
        <v>185.48000000000002</v>
      </c>
      <c r="X75" s="291">
        <f t="shared" si="7"/>
        <v>0</v>
      </c>
      <c r="Y75" s="291">
        <f t="shared" si="8"/>
        <v>1951.2299999999998</v>
      </c>
      <c r="Z75" s="291">
        <f t="shared" si="9"/>
        <v>28479.339298666662</v>
      </c>
    </row>
    <row r="76" spans="1:26" x14ac:dyDescent="0.25">
      <c r="A76" s="23" t="str">
        <f>[9]NamesDistrictCollegeCenter!B76</f>
        <v>Ventura County CCD</v>
      </c>
      <c r="B76" s="284">
        <v>25334.640000000007</v>
      </c>
      <c r="C76" s="284">
        <v>72.22999999999999</v>
      </c>
      <c r="D76" s="284">
        <v>0</v>
      </c>
      <c r="E76" s="284"/>
      <c r="F76" s="284">
        <v>592.75</v>
      </c>
      <c r="G76" s="285">
        <f t="shared" si="13"/>
        <v>24741.890000000007</v>
      </c>
      <c r="H76" s="261"/>
      <c r="I76" s="284">
        <v>26548.327543000007</v>
      </c>
      <c r="J76" s="284">
        <v>116.97</v>
      </c>
      <c r="K76" s="284">
        <v>1.69</v>
      </c>
      <c r="L76" s="284"/>
      <c r="M76" s="284">
        <v>749.34</v>
      </c>
      <c r="N76" s="285">
        <f t="shared" si="14"/>
        <v>25798.987543000007</v>
      </c>
      <c r="O76" s="262">
        <v>24971.89</v>
      </c>
      <c r="P76" s="6">
        <v>113.94999999999999</v>
      </c>
      <c r="Q76" s="6">
        <v>3.65</v>
      </c>
      <c r="R76" s="6">
        <v>4.76</v>
      </c>
      <c r="S76" s="6">
        <v>1568.5</v>
      </c>
      <c r="T76" s="6">
        <f t="shared" ref="T76:T82" si="15">O76-R76-S76</f>
        <v>23398.63</v>
      </c>
      <c r="U76" s="291">
        <f t="shared" ref="U76:U82" si="16">IF(((((I76-B76)+(2*(O76-I76)))/3)+O76)&gt;0,((((I76-B76)+(2*(O76-I76)))/3)+O76),O76)</f>
        <v>24325.494152333329</v>
      </c>
      <c r="V76" s="291">
        <f t="shared" ref="V76:V82" si="17">IF(((((J76-C76)+(2*(P76-J76)))/3)+P76)&gt;0,((((J76-C76)+(2*(P76-J76)))/3)+P76),P76)</f>
        <v>126.84999999999998</v>
      </c>
      <c r="W76" s="291">
        <f t="shared" ref="W76:W82" si="18">IF(((((K76-D76)+(2*(Q76-K76)))/3)+Q76)&gt;0,((((K76-D76)+(2*(Q76-K76)))/3)+Q76),Q76)</f>
        <v>5.52</v>
      </c>
      <c r="X76" s="291">
        <f t="shared" ref="X76:X82" si="19">IF(((((L76-E76)+(2*(R76-L76)))/3)+R76)&gt;0,((((L76-E76)+(2*(R76-L76)))/3)+R76),R76)</f>
        <v>7.9333333333333336</v>
      </c>
      <c r="Y76" s="291">
        <f t="shared" ref="Y76:Y82" si="20">IF(((((M76-F76)+(2*(S76-M76)))/3)+S76)&gt;0,((((M76-F76)+(2*(S76-M76)))/3)+S76),S76)</f>
        <v>2166.8033333333333</v>
      </c>
      <c r="Z76" s="291">
        <f t="shared" ref="Z76:Z82" si="21">IF(((((N76-G76)+(2*(T76-N76)))/3)+T76)&gt;0,((((N76-G76)+(2*(T76-N76)))/3)+T76),T76)</f>
        <v>22150.757485666665</v>
      </c>
    </row>
    <row r="77" spans="1:26" x14ac:dyDescent="0.25">
      <c r="A77" s="23" t="str">
        <f>[9]NamesDistrictCollegeCenter!B77</f>
        <v>Victor Valley CCD</v>
      </c>
      <c r="B77" s="284">
        <v>9420.2099219999982</v>
      </c>
      <c r="C77" s="284">
        <v>54.72</v>
      </c>
      <c r="D77" s="284">
        <v>0</v>
      </c>
      <c r="E77" s="284"/>
      <c r="F77" s="284">
        <v>994.72</v>
      </c>
      <c r="G77" s="285">
        <f t="shared" si="13"/>
        <v>8425.4899219999988</v>
      </c>
      <c r="H77" s="261"/>
      <c r="I77" s="284">
        <v>9561.0413739999985</v>
      </c>
      <c r="J77" s="284">
        <v>79.12</v>
      </c>
      <c r="K77" s="284">
        <v>0</v>
      </c>
      <c r="L77" s="284"/>
      <c r="M77" s="284">
        <v>560.21</v>
      </c>
      <c r="N77" s="285">
        <f t="shared" si="14"/>
        <v>9000.8313739999976</v>
      </c>
      <c r="O77" s="262">
        <v>9596.02</v>
      </c>
      <c r="P77" s="6">
        <v>57.68</v>
      </c>
      <c r="Q77" s="6">
        <v>0</v>
      </c>
      <c r="R77" s="6">
        <v>0</v>
      </c>
      <c r="S77" s="6">
        <v>372.01</v>
      </c>
      <c r="T77" s="6">
        <f t="shared" si="15"/>
        <v>9224.01</v>
      </c>
      <c r="U77" s="291">
        <f t="shared" si="16"/>
        <v>9666.2829013333358</v>
      </c>
      <c r="V77" s="291">
        <f t="shared" si="17"/>
        <v>51.519999999999996</v>
      </c>
      <c r="W77" s="291">
        <f t="shared" si="18"/>
        <v>0</v>
      </c>
      <c r="X77" s="291">
        <f t="shared" si="19"/>
        <v>0</v>
      </c>
      <c r="Y77" s="291">
        <f t="shared" si="20"/>
        <v>101.70666666666665</v>
      </c>
      <c r="Z77" s="291">
        <f t="shared" si="21"/>
        <v>9564.5762346666688</v>
      </c>
    </row>
    <row r="78" spans="1:26" x14ac:dyDescent="0.25">
      <c r="A78" s="23" t="str">
        <f>[9]NamesDistrictCollegeCenter!B78</f>
        <v>West Hills CCD</v>
      </c>
      <c r="B78" s="284">
        <v>5148.6799360000005</v>
      </c>
      <c r="C78" s="284">
        <v>351.54999999999995</v>
      </c>
      <c r="D78" s="284">
        <v>0</v>
      </c>
      <c r="E78" s="284"/>
      <c r="F78" s="284">
        <v>340.41</v>
      </c>
      <c r="G78" s="285">
        <f t="shared" si="13"/>
        <v>4808.2699360000006</v>
      </c>
      <c r="H78" s="261"/>
      <c r="I78" s="284">
        <v>5384.0108210000008</v>
      </c>
      <c r="J78" s="284">
        <v>363.34999999999997</v>
      </c>
      <c r="K78" s="284">
        <v>0</v>
      </c>
      <c r="L78" s="284">
        <v>44.489999999999995</v>
      </c>
      <c r="M78" s="284">
        <v>512.37</v>
      </c>
      <c r="N78" s="285">
        <f t="shared" si="14"/>
        <v>4827.1508210000011</v>
      </c>
      <c r="O78" s="262">
        <v>5791.4</v>
      </c>
      <c r="P78" s="6">
        <v>319.88</v>
      </c>
      <c r="Q78" s="6">
        <v>0</v>
      </c>
      <c r="R78" s="6">
        <v>148.04</v>
      </c>
      <c r="S78" s="6">
        <v>316.95987423270151</v>
      </c>
      <c r="T78" s="6">
        <f t="shared" si="15"/>
        <v>5326.4001257672981</v>
      </c>
      <c r="U78" s="291">
        <f t="shared" si="16"/>
        <v>6141.4364143333323</v>
      </c>
      <c r="V78" s="291">
        <f t="shared" si="17"/>
        <v>294.83333333333337</v>
      </c>
      <c r="W78" s="291">
        <f t="shared" si="18"/>
        <v>0</v>
      </c>
      <c r="X78" s="291">
        <f t="shared" si="19"/>
        <v>231.90333333333331</v>
      </c>
      <c r="Y78" s="291">
        <f t="shared" si="20"/>
        <v>244.0064570545025</v>
      </c>
      <c r="Z78" s="291">
        <f t="shared" si="21"/>
        <v>5665.5266239454959</v>
      </c>
    </row>
    <row r="79" spans="1:26" x14ac:dyDescent="0.25">
      <c r="A79" s="23" t="str">
        <f>[9]NamesDistrictCollegeCenter!B79</f>
        <v>West Kern CCD</v>
      </c>
      <c r="B79" s="284">
        <v>2609.5800659999995</v>
      </c>
      <c r="C79" s="284">
        <v>31.34</v>
      </c>
      <c r="D79" s="284">
        <v>0</v>
      </c>
      <c r="E79" s="284">
        <v>58.7</v>
      </c>
      <c r="F79" s="284">
        <v>17.57</v>
      </c>
      <c r="G79" s="285">
        <f t="shared" si="13"/>
        <v>2533.3100659999996</v>
      </c>
      <c r="H79" s="261"/>
      <c r="I79" s="284">
        <v>2827.0941699999994</v>
      </c>
      <c r="J79" s="284">
        <v>0.42000000000000171</v>
      </c>
      <c r="K79" s="284">
        <v>0</v>
      </c>
      <c r="L79" s="284">
        <v>44.040000000000006</v>
      </c>
      <c r="M79" s="284">
        <v>17.420000000000002</v>
      </c>
      <c r="N79" s="285">
        <f t="shared" si="14"/>
        <v>2765.6341699999994</v>
      </c>
      <c r="O79" s="262">
        <v>2909.06</v>
      </c>
      <c r="P79" s="6">
        <v>0</v>
      </c>
      <c r="Q79" s="6">
        <v>0</v>
      </c>
      <c r="R79" s="6">
        <v>50.127583295720932</v>
      </c>
      <c r="S79" s="6">
        <v>0</v>
      </c>
      <c r="T79" s="6">
        <f t="shared" si="15"/>
        <v>2858.9324167042791</v>
      </c>
      <c r="U79" s="291">
        <f t="shared" si="16"/>
        <v>3036.2085880000004</v>
      </c>
      <c r="V79" s="291">
        <f t="shared" si="17"/>
        <v>0</v>
      </c>
      <c r="W79" s="291">
        <f t="shared" si="18"/>
        <v>0</v>
      </c>
      <c r="X79" s="291">
        <f t="shared" si="19"/>
        <v>49.299305492868214</v>
      </c>
      <c r="Y79" s="291">
        <f t="shared" si="20"/>
        <v>0</v>
      </c>
      <c r="Z79" s="291">
        <f t="shared" si="21"/>
        <v>2998.5726158404655</v>
      </c>
    </row>
    <row r="80" spans="1:26" x14ac:dyDescent="0.25">
      <c r="A80" s="23" t="str">
        <f>[9]NamesDistrictCollegeCenter!B80</f>
        <v>West Valley-Mission CCD</v>
      </c>
      <c r="B80" s="284">
        <v>11784.29</v>
      </c>
      <c r="C80" s="284">
        <v>1030.4400000000003</v>
      </c>
      <c r="D80" s="284">
        <v>0</v>
      </c>
      <c r="E80" s="284"/>
      <c r="F80" s="284">
        <v>293.69</v>
      </c>
      <c r="G80" s="285">
        <f t="shared" si="13"/>
        <v>11490.6</v>
      </c>
      <c r="H80" s="261"/>
      <c r="I80" s="284">
        <v>11473.35</v>
      </c>
      <c r="J80" s="284">
        <v>1198.9900000000002</v>
      </c>
      <c r="K80" s="284">
        <v>0</v>
      </c>
      <c r="L80" s="284">
        <v>0.87000000000000011</v>
      </c>
      <c r="M80" s="284">
        <v>497.63</v>
      </c>
      <c r="N80" s="285">
        <f t="shared" si="14"/>
        <v>10974.85</v>
      </c>
      <c r="O80" s="262">
        <v>10022.19</v>
      </c>
      <c r="P80" s="6">
        <v>1198.9900000000002</v>
      </c>
      <c r="Q80" s="6">
        <v>3.8018210856508343</v>
      </c>
      <c r="R80" s="6">
        <v>0</v>
      </c>
      <c r="S80" s="6">
        <v>410.43</v>
      </c>
      <c r="T80" s="6">
        <f t="shared" si="15"/>
        <v>9611.76</v>
      </c>
      <c r="U80" s="291">
        <f t="shared" si="16"/>
        <v>8951.1033333333344</v>
      </c>
      <c r="V80" s="291">
        <f t="shared" si="17"/>
        <v>1255.1733333333336</v>
      </c>
      <c r="W80" s="291">
        <f t="shared" si="18"/>
        <v>6.3363684760847239</v>
      </c>
      <c r="X80" s="291">
        <f t="shared" si="19"/>
        <v>0</v>
      </c>
      <c r="Y80" s="291">
        <f t="shared" si="20"/>
        <v>420.2766666666667</v>
      </c>
      <c r="Z80" s="291">
        <f t="shared" si="21"/>
        <v>8531.1166666666668</v>
      </c>
    </row>
    <row r="81" spans="1:26" x14ac:dyDescent="0.25">
      <c r="A81" s="23" t="str">
        <f>[9]NamesDistrictCollegeCenter!B81</f>
        <v>Yosemite CCD</v>
      </c>
      <c r="B81" s="284">
        <v>15038.760000000002</v>
      </c>
      <c r="C81" s="284">
        <v>203.32999999999998</v>
      </c>
      <c r="D81" s="284">
        <v>186.56</v>
      </c>
      <c r="E81" s="284">
        <v>32.369999999999997</v>
      </c>
      <c r="F81" s="284">
        <v>209.8</v>
      </c>
      <c r="G81" s="285">
        <f t="shared" si="13"/>
        <v>14796.590000000002</v>
      </c>
      <c r="H81" s="261"/>
      <c r="I81" s="284">
        <v>16104.270000000002</v>
      </c>
      <c r="J81" s="284">
        <v>238.450108</v>
      </c>
      <c r="K81" s="284">
        <v>233.61</v>
      </c>
      <c r="L81" s="284">
        <v>76.53</v>
      </c>
      <c r="M81" s="284">
        <v>282.12</v>
      </c>
      <c r="N81" s="285">
        <f t="shared" si="14"/>
        <v>15745.62</v>
      </c>
      <c r="O81" s="262">
        <v>15515.44</v>
      </c>
      <c r="P81" s="6">
        <v>275.23</v>
      </c>
      <c r="Q81" s="6">
        <v>256.14</v>
      </c>
      <c r="R81" s="6">
        <v>89.13</v>
      </c>
      <c r="S81" s="6">
        <v>313.32</v>
      </c>
      <c r="T81" s="6">
        <f t="shared" si="15"/>
        <v>15112.990000000002</v>
      </c>
      <c r="U81" s="291">
        <f t="shared" si="16"/>
        <v>15478.056666666665</v>
      </c>
      <c r="V81" s="291">
        <f t="shared" si="17"/>
        <v>311.45663066666668</v>
      </c>
      <c r="W81" s="291">
        <f t="shared" si="18"/>
        <v>286.84333333333331</v>
      </c>
      <c r="X81" s="291">
        <f t="shared" si="19"/>
        <v>112.24999999999999</v>
      </c>
      <c r="Y81" s="291">
        <f t="shared" si="20"/>
        <v>358.22666666666663</v>
      </c>
      <c r="Z81" s="291">
        <f t="shared" si="21"/>
        <v>15007.580000000002</v>
      </c>
    </row>
    <row r="82" spans="1:26" x14ac:dyDescent="0.25">
      <c r="A82" s="23" t="str">
        <f>[9]NamesDistrictCollegeCenter!B82</f>
        <v>Yuba CCD</v>
      </c>
      <c r="B82" s="286">
        <v>7446.38</v>
      </c>
      <c r="C82" s="286">
        <v>179.63000000000002</v>
      </c>
      <c r="D82" s="286">
        <v>0</v>
      </c>
      <c r="E82" s="286"/>
      <c r="F82" s="284">
        <v>339.94</v>
      </c>
      <c r="G82" s="285">
        <f t="shared" si="13"/>
        <v>7106.4400000000005</v>
      </c>
      <c r="H82" s="287"/>
      <c r="I82" s="286">
        <v>7424.91</v>
      </c>
      <c r="J82" s="286">
        <v>197.27000000000004</v>
      </c>
      <c r="K82" s="286">
        <v>3.82</v>
      </c>
      <c r="L82" s="286"/>
      <c r="M82" s="286">
        <v>397.51</v>
      </c>
      <c r="N82" s="285">
        <f t="shared" si="14"/>
        <v>7027.4</v>
      </c>
      <c r="O82" s="262">
        <v>7477.98</v>
      </c>
      <c r="P82" s="6">
        <v>145.92000000000002</v>
      </c>
      <c r="Q82" s="6">
        <v>2.1</v>
      </c>
      <c r="R82" s="6">
        <v>0</v>
      </c>
      <c r="S82" s="6">
        <v>211.55791869461183</v>
      </c>
      <c r="T82" s="6">
        <f t="shared" si="15"/>
        <v>7266.422081305388</v>
      </c>
      <c r="U82" s="291">
        <f t="shared" si="16"/>
        <v>7506.2033333333329</v>
      </c>
      <c r="V82" s="291">
        <f t="shared" si="17"/>
        <v>117.56666666666668</v>
      </c>
      <c r="W82" s="291">
        <f t="shared" si="18"/>
        <v>2.226666666666667</v>
      </c>
      <c r="X82" s="291">
        <f t="shared" si="19"/>
        <v>0</v>
      </c>
      <c r="Y82" s="291">
        <f t="shared" si="20"/>
        <v>106.77986449101972</v>
      </c>
      <c r="Z82" s="291">
        <f t="shared" si="21"/>
        <v>7399.423468842313</v>
      </c>
    </row>
    <row r="83" spans="1:26" x14ac:dyDescent="0.25">
      <c r="A83" s="265" t="s">
        <v>271</v>
      </c>
      <c r="B83" s="288">
        <f t="shared" ref="B83:G83" si="22">SUM(B11:B82)</f>
        <v>1055591.8150555561</v>
      </c>
      <c r="C83" s="288">
        <f t="shared" si="22"/>
        <v>29256.238760000011</v>
      </c>
      <c r="D83" s="288">
        <f t="shared" si="22"/>
        <v>39472.119999999995</v>
      </c>
      <c r="E83" s="288">
        <f t="shared" si="22"/>
        <v>2880.3199999999993</v>
      </c>
      <c r="F83" s="289">
        <f t="shared" si="22"/>
        <v>30057.919999999991</v>
      </c>
      <c r="G83" s="289">
        <f t="shared" si="22"/>
        <v>1022653.5750555563</v>
      </c>
      <c r="H83" s="290"/>
      <c r="I83" s="288">
        <f t="shared" ref="I83:N83" si="23">SUM(I11:I82)</f>
        <v>1054297.2405735559</v>
      </c>
      <c r="J83" s="288">
        <f t="shared" si="23"/>
        <v>31162.510056999996</v>
      </c>
      <c r="K83" s="288">
        <f t="shared" si="23"/>
        <v>40061.780065000014</v>
      </c>
      <c r="L83" s="288">
        <f t="shared" si="23"/>
        <v>4142.42</v>
      </c>
      <c r="M83" s="289">
        <f t="shared" si="23"/>
        <v>34174.070000000007</v>
      </c>
      <c r="N83" s="289">
        <f t="shared" si="23"/>
        <v>1015980.7505735559</v>
      </c>
      <c r="O83" s="56">
        <f t="shared" ref="O83:T83" si="24">SUM(O11:O82)</f>
        <v>1041120.9800000002</v>
      </c>
      <c r="P83" s="56">
        <f t="shared" si="24"/>
        <v>33039.0548283022</v>
      </c>
      <c r="Q83" s="56">
        <f t="shared" si="24"/>
        <v>39528.625460017356</v>
      </c>
      <c r="R83" s="56">
        <f t="shared" si="24"/>
        <v>4140.5583658152173</v>
      </c>
      <c r="S83" s="56">
        <f t="shared" si="24"/>
        <v>34010.65036339283</v>
      </c>
      <c r="T83" s="56">
        <f t="shared" si="24"/>
        <v>1002969.7712707918</v>
      </c>
      <c r="U83" s="56">
        <f t="shared" ref="U83:Z83" si="25">SUM(U11:U82)</f>
        <v>1031905.2814569626</v>
      </c>
      <c r="V83" s="56">
        <f t="shared" si="25"/>
        <v>35123.935145837015</v>
      </c>
      <c r="W83" s="56">
        <f t="shared" si="25"/>
        <v>39437.772411695594</v>
      </c>
      <c r="X83" s="56">
        <f t="shared" si="25"/>
        <v>5018.4506976860439</v>
      </c>
      <c r="Y83" s="56">
        <f t="shared" si="25"/>
        <v>35871.373384592313</v>
      </c>
      <c r="Z83" s="56">
        <f t="shared" si="25"/>
        <v>992071.5102416157</v>
      </c>
    </row>
    <row r="95" spans="1:26" x14ac:dyDescent="0.25">
      <c r="A95" s="266">
        <v>1</v>
      </c>
    </row>
    <row r="99" spans="1:1" x14ac:dyDescent="0.25">
      <c r="A99" s="71" t="s">
        <v>272</v>
      </c>
    </row>
    <row r="100" spans="1:1" x14ac:dyDescent="0.25">
      <c r="A100" s="71" t="s">
        <v>273</v>
      </c>
    </row>
    <row r="101" spans="1:1" x14ac:dyDescent="0.25">
      <c r="A101" s="267" t="s">
        <v>274</v>
      </c>
    </row>
    <row r="102" spans="1:1" x14ac:dyDescent="0.25">
      <c r="A102" s="71" t="s">
        <v>275</v>
      </c>
    </row>
    <row r="103" spans="1:1" x14ac:dyDescent="0.25">
      <c r="A103" s="268" t="s">
        <v>276</v>
      </c>
    </row>
    <row r="104" spans="1:1" x14ac:dyDescent="0.25">
      <c r="A104" s="268" t="s">
        <v>277</v>
      </c>
    </row>
    <row r="105" spans="1:1" x14ac:dyDescent="0.25">
      <c r="A105" s="267" t="s">
        <v>278</v>
      </c>
    </row>
    <row r="106" spans="1:1" x14ac:dyDescent="0.25">
      <c r="A106" s="267" t="s">
        <v>279</v>
      </c>
    </row>
    <row r="107" spans="1:1" x14ac:dyDescent="0.25">
      <c r="A107" s="267" t="s">
        <v>279</v>
      </c>
    </row>
  </sheetData>
  <mergeCells count="9">
    <mergeCell ref="U6:Z6"/>
    <mergeCell ref="B5:G5"/>
    <mergeCell ref="I5:N5"/>
    <mergeCell ref="O8:Q8"/>
    <mergeCell ref="U7:Y7"/>
    <mergeCell ref="O5:T5"/>
    <mergeCell ref="O6:T6"/>
    <mergeCell ref="B8:D8"/>
    <mergeCell ref="I8:K8"/>
  </mergeCells>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G79"/>
  <sheetViews>
    <sheetView workbookViewId="0">
      <selection activeCell="B76" sqref="B76"/>
    </sheetView>
  </sheetViews>
  <sheetFormatPr defaultColWidth="8.85546875" defaultRowHeight="15" x14ac:dyDescent="0.25"/>
  <cols>
    <col min="1" max="1" width="18.7109375" bestFit="1" customWidth="1"/>
    <col min="2" max="3" width="10.7109375" bestFit="1" customWidth="1"/>
    <col min="4" max="4" width="13.140625" bestFit="1" customWidth="1"/>
    <col min="5" max="5" width="14.7109375" customWidth="1"/>
    <col min="6" max="6" width="13.140625" bestFit="1" customWidth="1"/>
  </cols>
  <sheetData>
    <row r="1" spans="1:7" ht="45" x14ac:dyDescent="0.25">
      <c r="A1" s="21" t="s">
        <v>8</v>
      </c>
      <c r="B1" s="36" t="s">
        <v>39</v>
      </c>
      <c r="C1" s="36" t="s">
        <v>40</v>
      </c>
      <c r="D1" s="36" t="s">
        <v>41</v>
      </c>
      <c r="E1" s="22" t="s">
        <v>42</v>
      </c>
      <c r="G1" s="80"/>
    </row>
    <row r="2" spans="1:7" ht="15.75" x14ac:dyDescent="0.25">
      <c r="A2" s="20" t="s">
        <v>34</v>
      </c>
      <c r="B2" s="45">
        <f>'2. Weighting'!B38</f>
        <v>972.7959568908193</v>
      </c>
      <c r="C2" s="45">
        <f>'2. Weighting'!B38</f>
        <v>972.7959568908193</v>
      </c>
      <c r="D2" s="45">
        <f>'2. Weighting'!B38</f>
        <v>972.7959568908193</v>
      </c>
    </row>
    <row r="3" spans="1:7" ht="15.75" x14ac:dyDescent="0.25">
      <c r="A3" s="20" t="s">
        <v>9</v>
      </c>
      <c r="B3">
        <f>'2. Weighting'!B32</f>
        <v>1</v>
      </c>
      <c r="C3">
        <f>'2. Weighting'!B32</f>
        <v>1</v>
      </c>
      <c r="D3">
        <f>'2. Weighting'!B34</f>
        <v>1</v>
      </c>
    </row>
    <row r="4" spans="1:7" ht="15.75" x14ac:dyDescent="0.25">
      <c r="A4" s="20" t="s">
        <v>134</v>
      </c>
      <c r="B4" s="45">
        <f>'2. Weighting'!B38</f>
        <v>972.7959568908193</v>
      </c>
      <c r="C4" s="45">
        <f>'2. Weighting'!B38</f>
        <v>972.7959568908193</v>
      </c>
      <c r="D4" s="45">
        <f>'2. Weighting'!B38</f>
        <v>972.7959568908193</v>
      </c>
    </row>
    <row r="5" spans="1:7" s="36" customFormat="1" x14ac:dyDescent="0.25"/>
    <row r="6" spans="1:7" x14ac:dyDescent="0.25">
      <c r="A6" s="23" t="s">
        <v>43</v>
      </c>
      <c r="B6" s="45">
        <f>'6a. Supp Counts'!F6*'6. Supplemental Allocation'!B$4</f>
        <v>2629467.4714758848</v>
      </c>
      <c r="C6" s="45">
        <f>'6a. Supp Counts'!G6*'6. Supplemental Allocation'!C$4</f>
        <v>658582.86281508463</v>
      </c>
      <c r="D6" s="45">
        <f>'6a. Supp Counts'!H6*'6. Supplemental Allocation'!D$4</f>
        <v>8417603.4149762597</v>
      </c>
      <c r="E6" s="45">
        <f>SUM(B6:D6)</f>
        <v>11705653.749267228</v>
      </c>
      <c r="F6" s="45"/>
    </row>
    <row r="7" spans="1:7" x14ac:dyDescent="0.25">
      <c r="A7" s="23" t="s">
        <v>44</v>
      </c>
      <c r="B7" s="45">
        <f>'6a. Supp Counts'!F7*'6. Supplemental Allocation'!B$4</f>
        <v>7795014.0025661355</v>
      </c>
      <c r="C7" s="45">
        <f>'6a. Supp Counts'!G7*'6. Supplemental Allocation'!C$4</f>
        <v>505853.89758322603</v>
      </c>
      <c r="D7" s="45">
        <f>'6a. Supp Counts'!H7*'6. Supplemental Allocation'!D$4</f>
        <v>13699885.460893407</v>
      </c>
      <c r="E7" s="45">
        <f t="shared" ref="E7:E70" si="0">SUM(B7:D7)</f>
        <v>22000753.361042768</v>
      </c>
      <c r="F7" s="45"/>
    </row>
    <row r="8" spans="1:7" x14ac:dyDescent="0.25">
      <c r="A8" s="23" t="s">
        <v>45</v>
      </c>
      <c r="B8" s="45">
        <f>'6a. Supp Counts'!F8*'6. Supplemental Allocation'!B$4</f>
        <v>2007850.8550226511</v>
      </c>
      <c r="C8" s="45">
        <f>'6a. Supp Counts'!G8*'6. Supplemental Allocation'!C$4</f>
        <v>74905.28868059309</v>
      </c>
      <c r="D8" s="45">
        <f>'6a. Supp Counts'!H8*'6. Supplemental Allocation'!D$4</f>
        <v>3002048.3229650683</v>
      </c>
      <c r="E8" s="45">
        <f t="shared" si="0"/>
        <v>5084804.4666683124</v>
      </c>
      <c r="F8" s="45"/>
    </row>
    <row r="9" spans="1:7" x14ac:dyDescent="0.25">
      <c r="A9" s="23" t="s">
        <v>46</v>
      </c>
      <c r="B9" s="45">
        <f>'6a. Supp Counts'!F9*'6. Supplemental Allocation'!B$4</f>
        <v>4694713.2879550941</v>
      </c>
      <c r="C9" s="45">
        <f>'6a. Supp Counts'!G9*'6. Supplemental Allocation'!C$4</f>
        <v>292811.58302413661</v>
      </c>
      <c r="D9" s="45">
        <f>'6a. Supp Counts'!H9*'6. Supplemental Allocation'!D$4</f>
        <v>7619910.7303257873</v>
      </c>
      <c r="E9" s="45">
        <f t="shared" si="0"/>
        <v>12607435.601305019</v>
      </c>
      <c r="F9" s="45"/>
    </row>
    <row r="10" spans="1:7" x14ac:dyDescent="0.25">
      <c r="A10" s="23" t="s">
        <v>47</v>
      </c>
      <c r="B10" s="45">
        <f>'6a. Supp Counts'!F10*'6. Supplemental Allocation'!B$4</f>
        <v>2612929.9402087405</v>
      </c>
      <c r="C10" s="45">
        <f>'6a. Supp Counts'!G10*'6. Supplemental Allocation'!C$4</f>
        <v>491261.95822986373</v>
      </c>
      <c r="D10" s="45">
        <f>'6a. Supp Counts'!H10*'6. Supplemental Allocation'!D$4</f>
        <v>6159743.9990326678</v>
      </c>
      <c r="E10" s="45">
        <f t="shared" si="0"/>
        <v>9263935.8974712715</v>
      </c>
      <c r="F10" s="45"/>
    </row>
    <row r="11" spans="1:7" x14ac:dyDescent="0.25">
      <c r="A11" s="23" t="s">
        <v>48</v>
      </c>
      <c r="B11" s="45">
        <f>'6a. Supp Counts'!F11*'6. Supplemental Allocation'!B$4</f>
        <v>9879715.7381831612</v>
      </c>
      <c r="C11" s="45">
        <f>'6a. Supp Counts'!G11*'6. Supplemental Allocation'!C$4</f>
        <v>1519507.2846634598</v>
      </c>
      <c r="D11" s="45">
        <f>'6a. Supp Counts'!H11*'6. Supplemental Allocation'!D$4</f>
        <v>17270046.622682717</v>
      </c>
      <c r="E11" s="45">
        <f t="shared" si="0"/>
        <v>28669269.645529337</v>
      </c>
      <c r="F11" s="45"/>
    </row>
    <row r="12" spans="1:7" x14ac:dyDescent="0.25">
      <c r="A12" s="23" t="s">
        <v>49</v>
      </c>
      <c r="B12" s="45">
        <f>'6a. Supp Counts'!F12*'6. Supplemental Allocation'!B$4</f>
        <v>4345479.5394312898</v>
      </c>
      <c r="C12" s="45">
        <f>'6a. Supp Counts'!G12*'6. Supplemental Allocation'!C$4</f>
        <v>1078830.7161919186</v>
      </c>
      <c r="D12" s="45">
        <f>'6a. Supp Counts'!H12*'6. Supplemental Allocation'!D$4</f>
        <v>10589856.786713459</v>
      </c>
      <c r="E12" s="45">
        <f t="shared" si="0"/>
        <v>16014167.042336667</v>
      </c>
      <c r="F12" s="45"/>
    </row>
    <row r="13" spans="1:7" x14ac:dyDescent="0.25">
      <c r="A13" s="23" t="s">
        <v>50</v>
      </c>
      <c r="B13" s="45">
        <f>'6a. Supp Counts'!F13*'6. Supplemental Allocation'!B$4</f>
        <v>7011913.2572690258</v>
      </c>
      <c r="C13" s="45">
        <f>'6a. Supp Counts'!G13*'6. Supplemental Allocation'!C$4</f>
        <v>1752978.3143172564</v>
      </c>
      <c r="D13" s="45">
        <f>'6a. Supp Counts'!H13*'6. Supplemental Allocation'!D$4</f>
        <v>18258407.314883787</v>
      </c>
      <c r="E13" s="45">
        <f t="shared" si="0"/>
        <v>27023298.886470072</v>
      </c>
      <c r="F13" s="45"/>
    </row>
    <row r="14" spans="1:7" x14ac:dyDescent="0.25">
      <c r="A14" s="23" t="s">
        <v>51</v>
      </c>
      <c r="B14" s="45">
        <f>'6a. Supp Counts'!F14*'6. Supplemental Allocation'!B$4</f>
        <v>4982660.8911947766</v>
      </c>
      <c r="C14" s="45">
        <f>'6a. Supp Counts'!G14*'6. Supplemental Allocation'!C$4</f>
        <v>530173.79650549649</v>
      </c>
      <c r="D14" s="45">
        <f>'6a. Supp Counts'!H14*'6. Supplemental Allocation'!D$4</f>
        <v>10854457.286987761</v>
      </c>
      <c r="E14" s="45">
        <f t="shared" si="0"/>
        <v>16367291.974688035</v>
      </c>
      <c r="F14" s="45"/>
    </row>
    <row r="15" spans="1:7" x14ac:dyDescent="0.25">
      <c r="A15" s="23" t="s">
        <v>52</v>
      </c>
      <c r="B15" s="45">
        <f>'6a. Supp Counts'!F15*'6. Supplemental Allocation'!B$4</f>
        <v>10145289.034414355</v>
      </c>
      <c r="C15" s="45">
        <f>'6a. Supp Counts'!G15*'6. Supplemental Allocation'!C$4</f>
        <v>1365805.5234747103</v>
      </c>
      <c r="D15" s="45">
        <f>'6a. Supp Counts'!H15*'6. Supplemental Allocation'!D$4</f>
        <v>32163552.722681157</v>
      </c>
      <c r="E15" s="45">
        <f t="shared" si="0"/>
        <v>43674647.280570224</v>
      </c>
      <c r="F15" s="45"/>
    </row>
    <row r="16" spans="1:7" x14ac:dyDescent="0.25">
      <c r="A16" s="23" t="s">
        <v>53</v>
      </c>
      <c r="B16" s="45">
        <f>'6a. Supp Counts'!F16*'6. Supplemental Allocation'!B$4</f>
        <v>2023415.5903329041</v>
      </c>
      <c r="C16" s="45">
        <f>'6a. Supp Counts'!G16*'6. Supplemental Allocation'!C$4</f>
        <v>-103116.37143042685</v>
      </c>
      <c r="D16" s="45">
        <f>'6a. Supp Counts'!H16*'6. Supplemental Allocation'!D$4</f>
        <v>4782264.9240752673</v>
      </c>
      <c r="E16" s="45">
        <f t="shared" si="0"/>
        <v>6702564.1429777443</v>
      </c>
      <c r="F16" s="45"/>
    </row>
    <row r="17" spans="1:6" x14ac:dyDescent="0.25">
      <c r="A17" s="23" t="s">
        <v>54</v>
      </c>
      <c r="B17" s="45">
        <f>'6a. Supp Counts'!F17*'6. Supplemental Allocation'!B$4</f>
        <v>8688040.6909919064</v>
      </c>
      <c r="C17" s="45">
        <f>'6a. Supp Counts'!G17*'6. Supplemental Allocation'!C$4</f>
        <v>209151.13073152615</v>
      </c>
      <c r="D17" s="45">
        <f>'6a. Supp Counts'!H17*'6. Supplemental Allocation'!D$4</f>
        <v>18346931.746960852</v>
      </c>
      <c r="E17" s="45">
        <f t="shared" si="0"/>
        <v>27244123.568684287</v>
      </c>
      <c r="F17" s="45"/>
    </row>
    <row r="18" spans="1:6" x14ac:dyDescent="0.25">
      <c r="A18" s="23" t="s">
        <v>55</v>
      </c>
      <c r="B18" s="45">
        <f>'6a. Supp Counts'!F18*'6. Supplemental Allocation'!B$4</f>
        <v>1146926.433174276</v>
      </c>
      <c r="C18" s="45">
        <f>'6a. Supp Counts'!G18*'6. Supplemental Allocation'!C$4</f>
        <v>-15564.735310253109</v>
      </c>
      <c r="D18" s="45">
        <f>'6a. Supp Counts'!H18*'6. Supplemental Allocation'!D$4</f>
        <v>1997150.0994968519</v>
      </c>
      <c r="E18" s="45">
        <f t="shared" si="0"/>
        <v>3128511.7973608747</v>
      </c>
      <c r="F18" s="45"/>
    </row>
    <row r="19" spans="1:6" x14ac:dyDescent="0.25">
      <c r="A19" s="23" t="s">
        <v>56</v>
      </c>
      <c r="B19" s="45">
        <f>'6a. Supp Counts'!F19*'6. Supplemental Allocation'!B$4</f>
        <v>5475868.4413384218</v>
      </c>
      <c r="C19" s="45">
        <f>'6a. Supp Counts'!G19*'6. Supplemental Allocation'!C$4</f>
        <v>318104.27790329792</v>
      </c>
      <c r="D19" s="45">
        <f>'6a. Supp Counts'!H19*'6. Supplemental Allocation'!D$4</f>
        <v>10187119.26056066</v>
      </c>
      <c r="E19" s="45">
        <f t="shared" si="0"/>
        <v>15981091.979802379</v>
      </c>
      <c r="F19" s="45"/>
    </row>
    <row r="20" spans="1:6" x14ac:dyDescent="0.25">
      <c r="A20" s="23" t="s">
        <v>57</v>
      </c>
      <c r="B20" s="45">
        <f>'6a. Supp Counts'!F20*'6. Supplemental Allocation'!B$4</f>
        <v>7989573.1939442987</v>
      </c>
      <c r="C20" s="45">
        <f>'6a. Supp Counts'!G20*'6. Supplemental Allocation'!C$4</f>
        <v>-454295.71186801262</v>
      </c>
      <c r="D20" s="45">
        <f>'6a. Supp Counts'!H20*'6. Supplemental Allocation'!D$4</f>
        <v>16102691.474413732</v>
      </c>
      <c r="E20" s="45">
        <f t="shared" si="0"/>
        <v>23637968.956490017</v>
      </c>
      <c r="F20" s="45"/>
    </row>
    <row r="21" spans="1:6" x14ac:dyDescent="0.25">
      <c r="A21" s="23" t="s">
        <v>58</v>
      </c>
      <c r="B21" s="45">
        <f>'6a. Supp Counts'!F21*'6. Supplemental Allocation'!B$4</f>
        <v>357016.11617893068</v>
      </c>
      <c r="C21" s="45">
        <f>'6a. Supp Counts'!G21*'6. Supplemental Allocation'!C$4</f>
        <v>17510.327224034747</v>
      </c>
      <c r="D21" s="45">
        <f>'6a. Supp Counts'!H21*'6. Supplemental Allocation'!D$4</f>
        <v>1977694.1803590357</v>
      </c>
      <c r="E21" s="45">
        <f t="shared" si="0"/>
        <v>2352220.6237620013</v>
      </c>
      <c r="F21" s="45"/>
    </row>
    <row r="22" spans="1:6" ht="17.25" x14ac:dyDescent="0.25">
      <c r="A22" s="23" t="s">
        <v>59</v>
      </c>
      <c r="B22" s="45">
        <f>'6a. Supp Counts'!F22*'6. Supplemental Allocation'!B$4</f>
        <v>5417500.683924973</v>
      </c>
      <c r="C22" s="45">
        <f>'6a. Supp Counts'!G22*'6. Supplemental Allocation'!C$4</f>
        <v>1838584.3585236485</v>
      </c>
      <c r="D22" s="45">
        <f>'6a. Supp Counts'!H22*'6. Supplemental Allocation'!D$4</f>
        <v>12767946.934192004</v>
      </c>
      <c r="E22" s="45">
        <f t="shared" si="0"/>
        <v>20024031.976640627</v>
      </c>
      <c r="F22" s="45"/>
    </row>
    <row r="23" spans="1:6" x14ac:dyDescent="0.25">
      <c r="A23" s="23" t="s">
        <v>60</v>
      </c>
      <c r="B23" s="45">
        <f>'6a. Supp Counts'!F23*'6. Supplemental Allocation'!B$4</f>
        <v>1659589.9024557378</v>
      </c>
      <c r="C23" s="45">
        <f>'6a. Supp Counts'!G23*'6. Supplemental Allocation'!C$4</f>
        <v>234443.82561068746</v>
      </c>
      <c r="D23" s="45">
        <f>'6a. Supp Counts'!H23*'6. Supplemental Allocation'!D$4</f>
        <v>3173260.4113778523</v>
      </c>
      <c r="E23" s="45">
        <f t="shared" si="0"/>
        <v>5067294.1394442776</v>
      </c>
      <c r="F23" s="45"/>
    </row>
    <row r="24" spans="1:6" x14ac:dyDescent="0.25">
      <c r="A24" s="23" t="s">
        <v>61</v>
      </c>
      <c r="B24" s="45">
        <f>'6a. Supp Counts'!F24*'6. Supplemental Allocation'!B$4</f>
        <v>5808564.6585950824</v>
      </c>
      <c r="C24" s="45">
        <f>'6a. Supp Counts'!G24*'6. Supplemental Allocation'!C$4</f>
        <v>496125.93801431783</v>
      </c>
      <c r="D24" s="45">
        <f>'6a. Supp Counts'!H24*'6. Supplemental Allocation'!D$4</f>
        <v>10520788.27377421</v>
      </c>
      <c r="E24" s="45">
        <f t="shared" si="0"/>
        <v>16825478.870383613</v>
      </c>
      <c r="F24" s="45"/>
    </row>
    <row r="25" spans="1:6" x14ac:dyDescent="0.25">
      <c r="A25" s="23" t="s">
        <v>62</v>
      </c>
      <c r="B25" s="45">
        <f>'6a. Supp Counts'!F25*'6. Supplemental Allocation'!B$4</f>
        <v>8215261.8559429692</v>
      </c>
      <c r="C25" s="45">
        <f>'6a. Supp Counts'!G25*'6. Supplemental Allocation'!C$4</f>
        <v>678038.78195290104</v>
      </c>
      <c r="D25" s="45">
        <f>'6a. Supp Counts'!H25*'6. Supplemental Allocation'!D$4</f>
        <v>18359578.094400432</v>
      </c>
      <c r="E25" s="45">
        <f t="shared" si="0"/>
        <v>27252878.732296303</v>
      </c>
      <c r="F25" s="45"/>
    </row>
    <row r="26" spans="1:6" x14ac:dyDescent="0.25">
      <c r="A26" s="23" t="s">
        <v>63</v>
      </c>
      <c r="B26" s="45">
        <f>'6a. Supp Counts'!F26*'6. Supplemental Allocation'!B$4</f>
        <v>3115865.4499212941</v>
      </c>
      <c r="C26" s="45">
        <f>'6a. Supp Counts'!G26*'6. Supplemental Allocation'!C$4</f>
        <v>694576.31322004495</v>
      </c>
      <c r="D26" s="45">
        <f>'6a. Supp Counts'!H26*'6. Supplemental Allocation'!D$4</f>
        <v>7320289.5756034153</v>
      </c>
      <c r="E26" s="45">
        <f t="shared" si="0"/>
        <v>11130731.338744754</v>
      </c>
      <c r="F26" s="45"/>
    </row>
    <row r="27" spans="1:6" x14ac:dyDescent="0.25">
      <c r="A27" s="23" t="s">
        <v>64</v>
      </c>
      <c r="B27" s="45">
        <f>'6a. Supp Counts'!F27*'6. Supplemental Allocation'!B$4</f>
        <v>5552719.3219327964</v>
      </c>
      <c r="C27" s="45">
        <f>'6a. Supp Counts'!G27*'6. Supplemental Allocation'!C$4</f>
        <v>442622.16038532276</v>
      </c>
      <c r="D27" s="45">
        <f>'6a. Supp Counts'!H27*'6. Supplemental Allocation'!D$4</f>
        <v>8030430.6241337135</v>
      </c>
      <c r="E27" s="45">
        <f t="shared" si="0"/>
        <v>14025772.106451832</v>
      </c>
      <c r="F27" s="45"/>
    </row>
    <row r="28" spans="1:6" x14ac:dyDescent="0.25">
      <c r="A28" s="23" t="s">
        <v>65</v>
      </c>
      <c r="B28" s="45">
        <f>'6a. Supp Counts'!F28*'6. Supplemental Allocation'!B$4</f>
        <v>12045159.538222125</v>
      </c>
      <c r="C28" s="45">
        <f>'6a. Supp Counts'!G28*'6. Supplemental Allocation'!C$4</f>
        <v>1690719.373076244</v>
      </c>
      <c r="D28" s="45">
        <f>'6a. Supp Counts'!H28*'6. Supplemental Allocation'!D$4</f>
        <v>24971672.213387333</v>
      </c>
      <c r="E28" s="45">
        <f t="shared" si="0"/>
        <v>38707551.124685705</v>
      </c>
      <c r="F28" s="45"/>
    </row>
    <row r="29" spans="1:6" x14ac:dyDescent="0.25">
      <c r="A29" s="23" t="s">
        <v>25</v>
      </c>
      <c r="B29" s="45">
        <f>'6a. Supp Counts'!F29*'6. Supplemental Allocation'!B$4</f>
        <v>447486.14016977686</v>
      </c>
      <c r="C29" s="45">
        <f>'6a. Supp Counts'!G29*'6. Supplemental Allocation'!C$4</f>
        <v>292811.58302413661</v>
      </c>
      <c r="D29" s="45">
        <f>'6a. Supp Counts'!H29*'6. Supplemental Allocation'!D$4</f>
        <v>1974775.7924883631</v>
      </c>
      <c r="E29" s="45">
        <f t="shared" si="0"/>
        <v>2715073.5156822763</v>
      </c>
      <c r="F29" s="45"/>
    </row>
    <row r="30" spans="1:6" x14ac:dyDescent="0.25">
      <c r="A30" s="23" t="s">
        <v>26</v>
      </c>
      <c r="B30" s="45">
        <f>'6a. Supp Counts'!F30*'6. Supplemental Allocation'!B$4</f>
        <v>323941.05364464282</v>
      </c>
      <c r="C30" s="45">
        <f>'6a. Supp Counts'!G30*'6. Supplemental Allocation'!C$4</f>
        <v>-77823.67655126554</v>
      </c>
      <c r="D30" s="45">
        <f>'6a. Supp Counts'!H30*'6. Supplemental Allocation'!D$4</f>
        <v>3329880.5604372746</v>
      </c>
      <c r="E30" s="45">
        <f t="shared" si="0"/>
        <v>3575997.9375306517</v>
      </c>
      <c r="F30" s="45"/>
    </row>
    <row r="31" spans="1:6" x14ac:dyDescent="0.25">
      <c r="A31" s="23" t="s">
        <v>66</v>
      </c>
      <c r="B31" s="45">
        <f>'6a. Supp Counts'!F31*'6. Supplemental Allocation'!B$4</f>
        <v>10173500.117164189</v>
      </c>
      <c r="C31" s="45">
        <f>'6a. Supp Counts'!G31*'6. Supplemental Allocation'!C$4</f>
        <v>1389152.6264400899</v>
      </c>
      <c r="D31" s="45">
        <f>'6a. Supp Counts'!H31*'6. Supplemental Allocation'!D$4</f>
        <v>18975357.93511232</v>
      </c>
      <c r="E31" s="45">
        <f t="shared" si="0"/>
        <v>30538010.6787166</v>
      </c>
      <c r="F31" s="45"/>
    </row>
    <row r="32" spans="1:6" x14ac:dyDescent="0.25">
      <c r="A32" s="23" t="s">
        <v>67</v>
      </c>
      <c r="B32" s="45">
        <f>'6a. Supp Counts'!F32*'6. Supplemental Allocation'!B$4</f>
        <v>33212226.76420946</v>
      </c>
      <c r="C32" s="45">
        <f>'6a. Supp Counts'!G32*'6. Supplemental Allocation'!C$4</f>
        <v>5800782.290939955</v>
      </c>
      <c r="D32" s="45">
        <f>'6a. Supp Counts'!H32*'6. Supplemental Allocation'!D$4</f>
        <v>86653745.451963514</v>
      </c>
      <c r="E32" s="45">
        <f t="shared" si="0"/>
        <v>125666754.50711292</v>
      </c>
      <c r="F32" s="45"/>
    </row>
    <row r="33" spans="1:6" x14ac:dyDescent="0.25">
      <c r="A33" s="23" t="s">
        <v>68</v>
      </c>
      <c r="B33" s="45">
        <f>'6a. Supp Counts'!F33*'6. Supplemental Allocation'!B$4</f>
        <v>19409224.931885626</v>
      </c>
      <c r="C33" s="45">
        <f>'6a. Supp Counts'!G33*'6. Supplemental Allocation'!C$4</f>
        <v>2974810.0361721255</v>
      </c>
      <c r="D33" s="45">
        <f>'6a. Supp Counts'!H33*'6. Supplemental Allocation'!D$4</f>
        <v>46952969.655292287</v>
      </c>
      <c r="E33" s="45">
        <f t="shared" si="0"/>
        <v>69337004.623350039</v>
      </c>
      <c r="F33" s="45"/>
    </row>
    <row r="34" spans="1:6" x14ac:dyDescent="0.25">
      <c r="A34" s="23" t="s">
        <v>27</v>
      </c>
      <c r="B34" s="45">
        <f>'6a. Supp Counts'!F34*'6. Supplemental Allocation'!B$4</f>
        <v>912482.60756358854</v>
      </c>
      <c r="C34" s="45">
        <f>'6a. Supp Counts'!G34*'6. Supplemental Allocation'!C$4</f>
        <v>423166.2412475064</v>
      </c>
      <c r="D34" s="45">
        <f>'6a. Supp Counts'!H34*'6. Supplemental Allocation'!D$4</f>
        <v>1731576.8032656584</v>
      </c>
      <c r="E34" s="45">
        <f t="shared" si="0"/>
        <v>3067225.6520767533</v>
      </c>
      <c r="F34" s="45"/>
    </row>
    <row r="35" spans="1:6" x14ac:dyDescent="0.25">
      <c r="A35" s="23" t="s">
        <v>69</v>
      </c>
      <c r="B35" s="45">
        <f>'6a. Supp Counts'!F35*'6. Supplemental Allocation'!B$4</f>
        <v>1287981.8469234447</v>
      </c>
      <c r="C35" s="45">
        <f>'6a. Supp Counts'!G35*'6. Supplemental Allocation'!C$4</f>
        <v>103116.37143042685</v>
      </c>
      <c r="D35" s="45">
        <f>'6a. Supp Counts'!H35*'6. Supplemental Allocation'!D$4</f>
        <v>2592501.2251140336</v>
      </c>
      <c r="E35" s="45">
        <f t="shared" si="0"/>
        <v>3983599.4434679048</v>
      </c>
      <c r="F35" s="45"/>
    </row>
    <row r="36" spans="1:6" x14ac:dyDescent="0.25">
      <c r="A36" s="23" t="s">
        <v>70</v>
      </c>
      <c r="B36" s="45">
        <f>'6a. Supp Counts'!F36*'6. Supplemental Allocation'!B$4</f>
        <v>4551712.2822921434</v>
      </c>
      <c r="C36" s="45">
        <f>'6a. Supp Counts'!G36*'6. Supplemental Allocation'!C$4</f>
        <v>521418.63289347914</v>
      </c>
      <c r="D36" s="45">
        <f>'6a. Supp Counts'!H36*'6. Supplemental Allocation'!D$4</f>
        <v>8826177.7168704029</v>
      </c>
      <c r="E36" s="45">
        <f t="shared" si="0"/>
        <v>13899308.632056026</v>
      </c>
      <c r="F36" s="45"/>
    </row>
    <row r="37" spans="1:6" x14ac:dyDescent="0.25">
      <c r="A37" s="23" t="s">
        <v>28</v>
      </c>
      <c r="B37" s="45">
        <f>'6a. Supp Counts'!F37*'6. Supplemental Allocation'!B$4</f>
        <v>4441786.3391634813</v>
      </c>
      <c r="C37" s="45">
        <f>'6a. Supp Counts'!G37*'6. Supplemental Allocation'!C$4</f>
        <v>244171.78517959564</v>
      </c>
      <c r="D37" s="45">
        <f>'6a. Supp Counts'!H37*'6. Supplemental Allocation'!D$4</f>
        <v>9098560.5847998336</v>
      </c>
      <c r="E37" s="45">
        <f t="shared" si="0"/>
        <v>13784518.70914291</v>
      </c>
      <c r="F37" s="45"/>
    </row>
    <row r="38" spans="1:6" x14ac:dyDescent="0.25">
      <c r="A38" s="23" t="s">
        <v>71</v>
      </c>
      <c r="B38" s="45">
        <f>'6a. Supp Counts'!F38*'6. Supplemental Allocation'!B$4</f>
        <v>1960183.8531350009</v>
      </c>
      <c r="C38" s="45">
        <f>'6a. Supp Counts'!G38*'6. Supplemental Allocation'!C$4</f>
        <v>303512.33854993561</v>
      </c>
      <c r="D38" s="45">
        <f>'6a. Supp Counts'!H38*'6. Supplemental Allocation'!D$4</f>
        <v>5092586.8343234388</v>
      </c>
      <c r="E38" s="45">
        <f t="shared" si="0"/>
        <v>7356283.026008375</v>
      </c>
      <c r="F38" s="45"/>
    </row>
    <row r="39" spans="1:6" x14ac:dyDescent="0.25">
      <c r="A39" s="23" t="s">
        <v>72</v>
      </c>
      <c r="B39" s="45">
        <f>'6a. Supp Counts'!F39*'6. Supplemental Allocation'!B$4</f>
        <v>12077261.804799521</v>
      </c>
      <c r="C39" s="45">
        <f>'6a. Supp Counts'!G39*'6. Supplemental Allocation'!C$4</f>
        <v>1651807.5348006112</v>
      </c>
      <c r="D39" s="45">
        <f>'6a. Supp Counts'!H39*'6. Supplemental Allocation'!D$4</f>
        <v>23815017.820644148</v>
      </c>
      <c r="E39" s="45">
        <f t="shared" si="0"/>
        <v>37544087.160244279</v>
      </c>
      <c r="F39" s="45"/>
    </row>
    <row r="40" spans="1:6" x14ac:dyDescent="0.25">
      <c r="A40" s="23" t="s">
        <v>73</v>
      </c>
      <c r="B40" s="45">
        <f>'6a. Supp Counts'!F40*'6. Supplemental Allocation'!B$4</f>
        <v>6487576.2365048742</v>
      </c>
      <c r="C40" s="45">
        <f>'6a. Supp Counts'!G40*'6. Supplemental Allocation'!C$4</f>
        <v>508772.28545389848</v>
      </c>
      <c r="D40" s="45">
        <f>'6a. Supp Counts'!H40*'6. Supplemental Allocation'!D$4</f>
        <v>14255351.952278066</v>
      </c>
      <c r="E40" s="45">
        <f t="shared" si="0"/>
        <v>21251700.474236839</v>
      </c>
      <c r="F40" s="45"/>
    </row>
    <row r="41" spans="1:6" x14ac:dyDescent="0.25">
      <c r="A41" s="23" t="s">
        <v>74</v>
      </c>
      <c r="B41" s="45">
        <f>'6a. Supp Counts'!F41*'6. Supplemental Allocation'!B$4</f>
        <v>1228641.2935531049</v>
      </c>
      <c r="C41" s="45">
        <f>'6a. Supp Counts'!G41*'6. Supplemental Allocation'!C$4</f>
        <v>355070.52426514903</v>
      </c>
      <c r="D41" s="45">
        <f>'6a. Supp Counts'!H41*'6. Supplemental Allocation'!D$4</f>
        <v>3825033.7024947014</v>
      </c>
      <c r="E41" s="45">
        <f t="shared" si="0"/>
        <v>5408745.5203129556</v>
      </c>
      <c r="F41" s="45"/>
    </row>
    <row r="42" spans="1:6" x14ac:dyDescent="0.25">
      <c r="A42" s="23" t="s">
        <v>75</v>
      </c>
      <c r="B42" s="45">
        <f>'6a. Supp Counts'!F42*'6. Supplemental Allocation'!B$4</f>
        <v>11385603.87945015</v>
      </c>
      <c r="C42" s="45">
        <f>'6a. Supp Counts'!G42*'6. Supplemental Allocation'!C$4</f>
        <v>1211130.96632907</v>
      </c>
      <c r="D42" s="45">
        <f>'6a. Supp Counts'!H42*'6. Supplemental Allocation'!D$4</f>
        <v>23885059.129540287</v>
      </c>
      <c r="E42" s="45">
        <f t="shared" si="0"/>
        <v>36481793.975319505</v>
      </c>
      <c r="F42" s="45"/>
    </row>
    <row r="43" spans="1:6" x14ac:dyDescent="0.25">
      <c r="A43" s="23" t="s">
        <v>76</v>
      </c>
      <c r="B43" s="45">
        <f>'6a. Supp Counts'!F43*'6. Supplemental Allocation'!B$4</f>
        <v>1543827.1835857301</v>
      </c>
      <c r="C43" s="45">
        <f>'6a. Supp Counts'!G43*'6. Supplemental Allocation'!C$4</f>
        <v>113817.12695622585</v>
      </c>
      <c r="D43" s="45">
        <f>'6a. Supp Counts'!H43*'6. Supplemental Allocation'!D$4</f>
        <v>3262757.639411808</v>
      </c>
      <c r="E43" s="45">
        <f t="shared" si="0"/>
        <v>4920401.9499537637</v>
      </c>
      <c r="F43" s="45"/>
    </row>
    <row r="44" spans="1:6" x14ac:dyDescent="0.25">
      <c r="A44" s="23" t="s">
        <v>77</v>
      </c>
      <c r="B44" s="45">
        <f>'6a. Supp Counts'!F44*'6. Supplemental Allocation'!B$4</f>
        <v>252926.94879161302</v>
      </c>
      <c r="C44" s="45">
        <f>'6a. Supp Counts'!G44*'6. Supplemental Allocation'!C$4</f>
        <v>29183.878706724579</v>
      </c>
      <c r="D44" s="45">
        <f>'6a. Supp Counts'!H44*'6. Supplemental Allocation'!D$4</f>
        <v>3269567.2111100438</v>
      </c>
      <c r="E44" s="45">
        <f t="shared" si="0"/>
        <v>3551678.0386083815</v>
      </c>
      <c r="F44" s="45"/>
    </row>
    <row r="45" spans="1:6" x14ac:dyDescent="0.25">
      <c r="A45" s="23" t="s">
        <v>78</v>
      </c>
      <c r="B45" s="45">
        <f>'6a. Supp Counts'!F45*'6. Supplemental Allocation'!B$4</f>
        <v>5104260.3858061293</v>
      </c>
      <c r="C45" s="45">
        <f>'6a. Supp Counts'!G45*'6. Supplemental Allocation'!C$4</f>
        <v>633290.16793592332</v>
      </c>
      <c r="D45" s="45">
        <f>'6a. Supp Counts'!H45*'6. Supplemental Allocation'!D$4</f>
        <v>14964520.204851473</v>
      </c>
      <c r="E45" s="45">
        <f t="shared" si="0"/>
        <v>20702070.758593526</v>
      </c>
      <c r="F45" s="45"/>
    </row>
    <row r="46" spans="1:6" x14ac:dyDescent="0.25">
      <c r="A46" s="23" t="s">
        <v>79</v>
      </c>
      <c r="B46" s="45">
        <f>'6a. Supp Counts'!F46*'6. Supplemental Allocation'!B$4</f>
        <v>9727959.5689081922</v>
      </c>
      <c r="C46" s="45">
        <f>'6a. Supp Counts'!G46*'6. Supplemental Allocation'!C$4</f>
        <v>1140116.8614760402</v>
      </c>
      <c r="D46" s="45">
        <f>'6a. Supp Counts'!H46*'6. Supplemental Allocation'!D$4</f>
        <v>18624178.594674736</v>
      </c>
      <c r="E46" s="45">
        <f t="shared" si="0"/>
        <v>29492255.02505897</v>
      </c>
      <c r="F46" s="45"/>
    </row>
    <row r="47" spans="1:6" x14ac:dyDescent="0.25">
      <c r="A47" s="23" t="s">
        <v>80</v>
      </c>
      <c r="B47" s="45">
        <f>'6a. Supp Counts'!F47*'6. Supplemental Allocation'!B$4</f>
        <v>7183125.3456818098</v>
      </c>
      <c r="C47" s="45">
        <f>'6a. Supp Counts'!G47*'6. Supplemental Allocation'!C$4</f>
        <v>727651.37575433287</v>
      </c>
      <c r="D47" s="45">
        <f>'6a. Supp Counts'!H47*'6. Supplemental Allocation'!D$4</f>
        <v>14575401.822095146</v>
      </c>
      <c r="E47" s="45">
        <f t="shared" si="0"/>
        <v>22486178.543531291</v>
      </c>
      <c r="F47" s="45"/>
    </row>
    <row r="48" spans="1:6" x14ac:dyDescent="0.25">
      <c r="A48" s="23" t="s">
        <v>81</v>
      </c>
      <c r="B48" s="45">
        <f>'6a. Supp Counts'!F48*'6. Supplemental Allocation'!B$4</f>
        <v>6776496.6357014468</v>
      </c>
      <c r="C48" s="45">
        <f>'6a. Supp Counts'!G48*'6. Supplemental Allocation'!C$4</f>
        <v>2212138.0059697232</v>
      </c>
      <c r="D48" s="45">
        <f>'6a. Supp Counts'!H48*'6. Supplemental Allocation'!D$4</f>
        <v>18178638.046418741</v>
      </c>
      <c r="E48" s="45">
        <f t="shared" si="0"/>
        <v>27167272.688089911</v>
      </c>
      <c r="F48" s="45"/>
    </row>
    <row r="49" spans="1:6" x14ac:dyDescent="0.25">
      <c r="A49" s="23" t="s">
        <v>82</v>
      </c>
      <c r="B49" s="45">
        <f>'6a. Supp Counts'!F49*'6. Supplemental Allocation'!B$4</f>
        <v>1796754.1323773433</v>
      </c>
      <c r="C49" s="45">
        <f>'6a. Supp Counts'!G49*'6. Supplemental Allocation'!C$4</f>
        <v>184831.23180925567</v>
      </c>
      <c r="D49" s="45">
        <f>'6a. Supp Counts'!H49*'6. Supplemental Allocation'!D$4</f>
        <v>3452452.8510055179</v>
      </c>
      <c r="E49" s="45">
        <f t="shared" si="0"/>
        <v>5434038.2151921168</v>
      </c>
      <c r="F49" s="45"/>
    </row>
    <row r="50" spans="1:6" x14ac:dyDescent="0.25">
      <c r="A50" s="23" t="s">
        <v>83</v>
      </c>
      <c r="B50" s="45">
        <f>'6a. Supp Counts'!F50*'6. Supplemental Allocation'!B$4</f>
        <v>5503106.728131365</v>
      </c>
      <c r="C50" s="45">
        <f>'6a. Supp Counts'!G50*'6. Supplemental Allocation'!C$4</f>
        <v>278219.6436707743</v>
      </c>
      <c r="D50" s="45">
        <f>'6a. Supp Counts'!H50*'6. Supplemental Allocation'!D$4</f>
        <v>11718300.096706809</v>
      </c>
      <c r="E50" s="45">
        <f t="shared" si="0"/>
        <v>17499626.468508948</v>
      </c>
      <c r="F50" s="45"/>
    </row>
    <row r="51" spans="1:6" x14ac:dyDescent="0.25">
      <c r="A51" s="23" t="s">
        <v>84</v>
      </c>
      <c r="B51" s="45">
        <f>'6a. Supp Counts'!F51*'6. Supplemental Allocation'!B$4</f>
        <v>14972302.572506599</v>
      </c>
      <c r="C51" s="45">
        <f>'6a. Supp Counts'!G51*'6. Supplemental Allocation'!C$4</f>
        <v>1487405.0180860627</v>
      </c>
      <c r="D51" s="45">
        <f>'6a. Supp Counts'!H51*'6. Supplemental Allocation'!D$4</f>
        <v>29319097.344732404</v>
      </c>
      <c r="E51" s="45">
        <f t="shared" si="0"/>
        <v>45778804.935325064</v>
      </c>
      <c r="F51" s="45"/>
    </row>
    <row r="52" spans="1:6" x14ac:dyDescent="0.25">
      <c r="A52" s="23" t="s">
        <v>85</v>
      </c>
      <c r="B52" s="45">
        <f>'6a. Supp Counts'!F52*'6. Supplemental Allocation'!B$4</f>
        <v>5827047.7817760073</v>
      </c>
      <c r="C52" s="45">
        <f>'6a. Supp Counts'!G52*'6. Supplemental Allocation'!C$4</f>
        <v>1018517.3668646878</v>
      </c>
      <c r="D52" s="45">
        <f>'6a. Supp Counts'!H52*'6. Supplemental Allocation'!D$4</f>
        <v>17150392.719985146</v>
      </c>
      <c r="E52" s="45">
        <f t="shared" si="0"/>
        <v>23995957.868625842</v>
      </c>
      <c r="F52" s="45"/>
    </row>
    <row r="53" spans="1:6" x14ac:dyDescent="0.25">
      <c r="A53" s="23" t="s">
        <v>86</v>
      </c>
      <c r="B53" s="45">
        <f>'6a. Supp Counts'!F53*'6. Supplemental Allocation'!B$4</f>
        <v>13218351.462232452</v>
      </c>
      <c r="C53" s="45">
        <f>'6a. Supp Counts'!G53*'6. Supplemental Allocation'!C$4</f>
        <v>1877496.1967992813</v>
      </c>
      <c r="D53" s="45">
        <f>'6a. Supp Counts'!H53*'6. Supplemental Allocation'!D$4</f>
        <v>30436839.899199955</v>
      </c>
      <c r="E53" s="45">
        <f t="shared" si="0"/>
        <v>45532687.558231689</v>
      </c>
      <c r="F53" s="45"/>
    </row>
    <row r="54" spans="1:6" x14ac:dyDescent="0.25">
      <c r="A54" s="23" t="s">
        <v>29</v>
      </c>
      <c r="B54" s="45">
        <f>'6a. Supp Counts'!F54*'6. Supplemental Allocation'!B$4</f>
        <v>3698570.2280988949</v>
      </c>
      <c r="C54" s="45">
        <f>'6a. Supp Counts'!G54*'6. Supplemental Allocation'!C$4</f>
        <v>680957.16982357355</v>
      </c>
      <c r="D54" s="45">
        <f>'6a. Supp Counts'!H54*'6. Supplemental Allocation'!D$4</f>
        <v>12686232.073813174</v>
      </c>
      <c r="E54" s="45">
        <f t="shared" si="0"/>
        <v>17065759.471735641</v>
      </c>
      <c r="F54" s="45"/>
    </row>
    <row r="55" spans="1:6" x14ac:dyDescent="0.25">
      <c r="A55" s="23" t="s">
        <v>87</v>
      </c>
      <c r="B55" s="45">
        <f>'6a. Supp Counts'!F55*'6. Supplemental Allocation'!B$4</f>
        <v>6252159.6149372952</v>
      </c>
      <c r="C55" s="45">
        <f>'6a. Supp Counts'!G55*'6. Supplemental Allocation'!C$4</f>
        <v>792828.70486601768</v>
      </c>
      <c r="D55" s="45">
        <f>'6a. Supp Counts'!H55*'6. Supplemental Allocation'!D$4</f>
        <v>14803036.076007597</v>
      </c>
      <c r="E55" s="45">
        <f t="shared" si="0"/>
        <v>21848024.39581091</v>
      </c>
      <c r="F55" s="45"/>
    </row>
    <row r="56" spans="1:6" x14ac:dyDescent="0.25">
      <c r="A56" s="23" t="s">
        <v>88</v>
      </c>
      <c r="B56" s="45">
        <f>'6a. Supp Counts'!F56*'6. Supplemental Allocation'!B$4</f>
        <v>4983633.6871516677</v>
      </c>
      <c r="C56" s="45">
        <f>'6a. Supp Counts'!G56*'6. Supplemental Allocation'!C$4</f>
        <v>927074.54691695084</v>
      </c>
      <c r="D56" s="45">
        <f>'6a. Supp Counts'!H56*'6. Supplemental Allocation'!D$4</f>
        <v>10765932.854910698</v>
      </c>
      <c r="E56" s="45">
        <f t="shared" si="0"/>
        <v>16676641.088979315</v>
      </c>
      <c r="F56" s="45"/>
    </row>
    <row r="57" spans="1:6" x14ac:dyDescent="0.25">
      <c r="A57" s="23" t="s">
        <v>89</v>
      </c>
      <c r="B57" s="45">
        <f>'6a. Supp Counts'!F57*'6. Supplemental Allocation'!B$4</f>
        <v>2738420.6186476564</v>
      </c>
      <c r="C57" s="45">
        <f>'6a. Supp Counts'!G57*'6. Supplemental Allocation'!C$4</f>
        <v>238335.00943825074</v>
      </c>
      <c r="D57" s="45">
        <f>'6a. Supp Counts'!H57*'6. Supplemental Allocation'!D$4</f>
        <v>5390262.3971320298</v>
      </c>
      <c r="E57" s="45">
        <f t="shared" si="0"/>
        <v>8367018.0252179373</v>
      </c>
      <c r="F57" s="45"/>
    </row>
    <row r="58" spans="1:6" x14ac:dyDescent="0.25">
      <c r="A58" s="23" t="s">
        <v>90</v>
      </c>
      <c r="B58" s="45">
        <f>'6a. Supp Counts'!F58*'6. Supplemental Allocation'!B$4</f>
        <v>3334744.5402217284</v>
      </c>
      <c r="C58" s="45">
        <f>'6a. Supp Counts'!G58*'6. Supplemental Allocation'!C$4</f>
        <v>680957.16982357355</v>
      </c>
      <c r="D58" s="45">
        <f>'6a. Supp Counts'!H58*'6. Supplemental Allocation'!D$4</f>
        <v>10413780.718516221</v>
      </c>
      <c r="E58" s="45">
        <f t="shared" si="0"/>
        <v>14429482.428561524</v>
      </c>
      <c r="F58" s="45"/>
    </row>
    <row r="59" spans="1:6" x14ac:dyDescent="0.25">
      <c r="A59" s="23" t="s">
        <v>91</v>
      </c>
      <c r="B59" s="45">
        <f>'6a. Supp Counts'!F59*'6. Supplemental Allocation'!B$4</f>
        <v>3737482.0663745278</v>
      </c>
      <c r="C59" s="45">
        <f>'6a. Supp Counts'!G59*'6. Supplemental Allocation'!C$4</f>
        <v>543792.939901968</v>
      </c>
      <c r="D59" s="45">
        <f>'6a. Supp Counts'!H59*'6. Supplemental Allocation'!D$4</f>
        <v>8788238.6745516621</v>
      </c>
      <c r="E59" s="45">
        <f t="shared" si="0"/>
        <v>13069513.680828158</v>
      </c>
      <c r="F59" s="45"/>
    </row>
    <row r="60" spans="1:6" x14ac:dyDescent="0.25">
      <c r="A60" s="23" t="s">
        <v>92</v>
      </c>
      <c r="B60" s="45">
        <f>'6a. Supp Counts'!F60*'6. Supplemental Allocation'!B$4</f>
        <v>3382411.5421093786</v>
      </c>
      <c r="C60" s="45">
        <f>'6a. Supp Counts'!G60*'6. Supplemental Allocation'!C$4</f>
        <v>676093.19003911945</v>
      </c>
      <c r="D60" s="45">
        <f>'6a. Supp Counts'!H60*'6. Supplemental Allocation'!D$4</f>
        <v>10189064.852474442</v>
      </c>
      <c r="E60" s="45">
        <f t="shared" si="0"/>
        <v>14247569.58462294</v>
      </c>
      <c r="F60" s="45"/>
    </row>
    <row r="61" spans="1:6" x14ac:dyDescent="0.25">
      <c r="A61" s="23" t="s">
        <v>31</v>
      </c>
      <c r="B61" s="45">
        <f>'6a. Supp Counts'!F61*'6. Supplemental Allocation'!B$4</f>
        <v>7974981.2545909369</v>
      </c>
      <c r="C61" s="45">
        <f>'6a. Supp Counts'!G61*'6. Supplemental Allocation'!C$4</f>
        <v>1441683.6081121941</v>
      </c>
      <c r="D61" s="45">
        <f>'6a. Supp Counts'!H61*'6. Supplemental Allocation'!D$4</f>
        <v>17996725.202480156</v>
      </c>
      <c r="E61" s="45">
        <f t="shared" si="0"/>
        <v>27413390.065183289</v>
      </c>
      <c r="F61" s="45"/>
    </row>
    <row r="62" spans="1:6" x14ac:dyDescent="0.25">
      <c r="A62" s="23" t="s">
        <v>93</v>
      </c>
      <c r="B62" s="45">
        <f>'6a. Supp Counts'!F62*'6. Supplemental Allocation'!B$4</f>
        <v>6213247.7766616633</v>
      </c>
      <c r="C62" s="45">
        <f>'6a. Supp Counts'!G62*'6. Supplemental Allocation'!C$4</f>
        <v>517527.44906591589</v>
      </c>
      <c r="D62" s="45">
        <f>'6a. Supp Counts'!H62*'6. Supplemental Allocation'!D$4</f>
        <v>9956566.6187775359</v>
      </c>
      <c r="E62" s="45">
        <f t="shared" si="0"/>
        <v>16687341.844505116</v>
      </c>
      <c r="F62" s="45"/>
    </row>
    <row r="63" spans="1:6" x14ac:dyDescent="0.25">
      <c r="A63" s="23" t="s">
        <v>94</v>
      </c>
      <c r="B63" s="45">
        <f>'6a. Supp Counts'!F63*'6. Supplemental Allocation'!B$4</f>
        <v>3716080.5553229298</v>
      </c>
      <c r="C63" s="45">
        <f>'6a. Supp Counts'!G63*'6. Supplemental Allocation'!C$4</f>
        <v>320049.86981707957</v>
      </c>
      <c r="D63" s="45">
        <f>'6a. Supp Counts'!H63*'6. Supplemental Allocation'!D$4</f>
        <v>8690959.0788625795</v>
      </c>
      <c r="E63" s="45">
        <f t="shared" si="0"/>
        <v>12727089.50400259</v>
      </c>
      <c r="F63" s="45"/>
    </row>
    <row r="64" spans="1:6" x14ac:dyDescent="0.25">
      <c r="A64" s="23" t="s">
        <v>95</v>
      </c>
      <c r="B64" s="45">
        <f>'6a. Supp Counts'!F64*'6. Supplemental Allocation'!B$4</f>
        <v>5277418.0661326945</v>
      </c>
      <c r="C64" s="45">
        <f>'6a. Supp Counts'!G64*'6. Supplemental Allocation'!C$4</f>
        <v>1077857.9202350278</v>
      </c>
      <c r="D64" s="45">
        <f>'6a. Supp Counts'!H64*'6. Supplemental Allocation'!D$4</f>
        <v>11106411.439822484</v>
      </c>
      <c r="E64" s="45">
        <f t="shared" si="0"/>
        <v>17461687.426190205</v>
      </c>
      <c r="F64" s="45"/>
    </row>
    <row r="65" spans="1:6" x14ac:dyDescent="0.25">
      <c r="A65" s="23" t="s">
        <v>96</v>
      </c>
      <c r="B65" s="45">
        <f>'6a. Supp Counts'!F65*'6. Supplemental Allocation'!B$4</f>
        <v>823958.17548652389</v>
      </c>
      <c r="C65" s="45">
        <f>'6a. Supp Counts'!G65*'6. Supplemental Allocation'!C$4</f>
        <v>53503.777628995063</v>
      </c>
      <c r="D65" s="45">
        <f>'6a. Supp Counts'!H65*'6. Supplemental Allocation'!D$4</f>
        <v>1193620.6391050352</v>
      </c>
      <c r="E65" s="45">
        <f t="shared" si="0"/>
        <v>2071082.5922205541</v>
      </c>
      <c r="F65" s="45"/>
    </row>
    <row r="66" spans="1:6" x14ac:dyDescent="0.25">
      <c r="A66" s="23" t="s">
        <v>97</v>
      </c>
      <c r="B66" s="45">
        <f>'6a. Supp Counts'!F66*'6. Supplemental Allocation'!B$4</f>
        <v>1598303.7571716162</v>
      </c>
      <c r="C66" s="45">
        <f>'6a. Supp Counts'!G66*'6. Supplemental Allocation'!C$4</f>
        <v>363825.68787716643</v>
      </c>
      <c r="D66" s="45">
        <f>'6a. Supp Counts'!H66*'6. Supplemental Allocation'!D$4</f>
        <v>5540072.9744932158</v>
      </c>
      <c r="E66" s="45">
        <f t="shared" si="0"/>
        <v>7502202.4195419978</v>
      </c>
      <c r="F66" s="45"/>
    </row>
    <row r="67" spans="1:6" x14ac:dyDescent="0.25">
      <c r="A67" s="23" t="s">
        <v>98</v>
      </c>
      <c r="B67" s="45">
        <f>'6a. Supp Counts'!F67*'6. Supplemental Allocation'!B$4</f>
        <v>4235553.5963026276</v>
      </c>
      <c r="C67" s="45">
        <f>'6a. Supp Counts'!G67*'6. Supplemental Allocation'!C$4</f>
        <v>898863.46416711702</v>
      </c>
      <c r="D67" s="45">
        <f>'6a. Supp Counts'!H67*'6. Supplemental Allocation'!D$4</f>
        <v>10034390.295328801</v>
      </c>
      <c r="E67" s="45">
        <f t="shared" si="0"/>
        <v>15168807.355798546</v>
      </c>
      <c r="F67" s="45"/>
    </row>
    <row r="68" spans="1:6" x14ac:dyDescent="0.25">
      <c r="A68" s="23" t="s">
        <v>99</v>
      </c>
      <c r="B68" s="45">
        <f>'6a. Supp Counts'!F68*'6. Supplemental Allocation'!B$4</f>
        <v>4871762.1521092234</v>
      </c>
      <c r="C68" s="45">
        <f>'6a. Supp Counts'!G68*'6. Supplemental Allocation'!C$4</f>
        <v>1287009.0509665539</v>
      </c>
      <c r="D68" s="45">
        <f>'6a. Supp Counts'!H68*'6. Supplemental Allocation'!D$4</f>
        <v>13375944.407248765</v>
      </c>
      <c r="E68" s="45">
        <f t="shared" si="0"/>
        <v>19534715.610324543</v>
      </c>
      <c r="F68" s="45"/>
    </row>
    <row r="69" spans="1:6" x14ac:dyDescent="0.25">
      <c r="A69" s="23" t="s">
        <v>100</v>
      </c>
      <c r="B69" s="45">
        <f>'6a. Supp Counts'!F69*'6. Supplemental Allocation'!B$4</f>
        <v>6395160.6206002459</v>
      </c>
      <c r="C69" s="45">
        <f>'6a. Supp Counts'!G69*'6. Supplemental Allocation'!C$4</f>
        <v>796719.88869358099</v>
      </c>
      <c r="D69" s="45">
        <f>'6a. Supp Counts'!H69*'6. Supplemental Allocation'!D$4</f>
        <v>14195038.602950836</v>
      </c>
      <c r="E69" s="45">
        <f t="shared" si="0"/>
        <v>21386919.112244662</v>
      </c>
      <c r="F69" s="45"/>
    </row>
    <row r="70" spans="1:6" x14ac:dyDescent="0.25">
      <c r="A70" s="23" t="s">
        <v>101</v>
      </c>
      <c r="B70" s="45">
        <f>'6a. Supp Counts'!F70*'6. Supplemental Allocation'!B$4</f>
        <v>16517102.552049221</v>
      </c>
      <c r="C70" s="45">
        <f>'6a. Supp Counts'!G70*'6. Supplemental Allocation'!C$4</f>
        <v>2026333.9782035765</v>
      </c>
      <c r="D70" s="45">
        <f>'6a. Supp Counts'!H70*'6. Supplemental Allocation'!D$4</f>
        <v>31453411.674150862</v>
      </c>
      <c r="E70" s="45">
        <f t="shared" si="0"/>
        <v>49996848.204403661</v>
      </c>
      <c r="F70" s="45"/>
    </row>
    <row r="71" spans="1:6" x14ac:dyDescent="0.25">
      <c r="A71" s="23" t="s">
        <v>102</v>
      </c>
      <c r="B71" s="45">
        <f>'6a. Supp Counts'!F71*'6. Supplemental Allocation'!B$4</f>
        <v>9855395.8392608911</v>
      </c>
      <c r="C71" s="45">
        <f>'6a. Supp Counts'!G71*'6. Supplemental Allocation'!C$4</f>
        <v>1187783.8633636904</v>
      </c>
      <c r="D71" s="45">
        <f>'6a. Supp Counts'!H71*'6. Supplemental Allocation'!D$4</f>
        <v>20280850.109259799</v>
      </c>
      <c r="E71" s="45">
        <f t="shared" ref="E71:E77" si="1">SUM(B71:D71)</f>
        <v>31324029.811884381</v>
      </c>
      <c r="F71" s="45"/>
    </row>
    <row r="72" spans="1:6" x14ac:dyDescent="0.25">
      <c r="A72" s="23" t="s">
        <v>103</v>
      </c>
      <c r="B72" s="45">
        <f>'6a. Supp Counts'!F72*'6. Supplemental Allocation'!B$4</f>
        <v>6504113.767772018</v>
      </c>
      <c r="C72" s="45">
        <f>'6a. Supp Counts'!G72*'6. Supplemental Allocation'!C$4</f>
        <v>256818.13261917629</v>
      </c>
      <c r="D72" s="45">
        <f>'6a. Supp Counts'!H72*'6. Supplemental Allocation'!D$4</f>
        <v>11149214.46192568</v>
      </c>
      <c r="E72" s="45">
        <f t="shared" si="1"/>
        <v>17910146.362316873</v>
      </c>
      <c r="F72" s="45"/>
    </row>
    <row r="73" spans="1:6" x14ac:dyDescent="0.25">
      <c r="A73" s="23" t="s">
        <v>104</v>
      </c>
      <c r="B73" s="45">
        <f>'6a. Supp Counts'!F73*'6. Supplemental Allocation'!B$4</f>
        <v>3111001.4701368399</v>
      </c>
      <c r="C73" s="45">
        <f>'6a. Supp Counts'!G73*'6. Supplemental Allocation'!C$4</f>
        <v>297675.56280859071</v>
      </c>
      <c r="D73" s="45">
        <f>'6a. Supp Counts'!H73*'6. Supplemental Allocation'!D$4</f>
        <v>5864014.028137859</v>
      </c>
      <c r="E73" s="45">
        <f t="shared" si="1"/>
        <v>9272691.0610832907</v>
      </c>
      <c r="F73" s="45"/>
    </row>
    <row r="74" spans="1:6" x14ac:dyDescent="0.25">
      <c r="A74" s="23" t="s">
        <v>33</v>
      </c>
      <c r="B74" s="45">
        <f>'6a. Supp Counts'!F74*'6. Supplemental Allocation'!B$4</f>
        <v>1586630.2056889262</v>
      </c>
      <c r="C74" s="45">
        <f>'6a. Supp Counts'!G74*'6. Supplemental Allocation'!C$4</f>
        <v>157592.94501631273</v>
      </c>
      <c r="D74" s="45">
        <f>'6a. Supp Counts'!H74*'6. Supplemental Allocation'!D$4</f>
        <v>3246220.1081446642</v>
      </c>
      <c r="E74" s="45">
        <f t="shared" si="1"/>
        <v>4990443.258849903</v>
      </c>
      <c r="F74" s="45"/>
    </row>
    <row r="75" spans="1:6" ht="17.25" x14ac:dyDescent="0.25">
      <c r="A75" s="23" t="s">
        <v>105</v>
      </c>
      <c r="B75" s="45">
        <f>'6a. Supp Counts'!F75*'6. Supplemental Allocation'!B$4</f>
        <v>2572072.5100193261</v>
      </c>
      <c r="C75" s="45">
        <f>'6a. Supp Counts'!G75*'6. Supplemental Allocation'!C$4</f>
        <v>85606.044206392093</v>
      </c>
      <c r="D75" s="45">
        <f>'6a. Supp Counts'!H75*'6. Supplemental Allocation'!D$4</f>
        <v>4961259.3801431786</v>
      </c>
      <c r="E75" s="45">
        <f t="shared" si="1"/>
        <v>7618937.9343688972</v>
      </c>
      <c r="F75" s="45"/>
    </row>
    <row r="76" spans="1:6" x14ac:dyDescent="0.25">
      <c r="A76" s="23" t="s">
        <v>106</v>
      </c>
      <c r="B76" s="45">
        <f>'6a. Supp Counts'!F76*'6. Supplemental Allocation'!B$4</f>
        <v>8874817.5147149451</v>
      </c>
      <c r="C76" s="45">
        <f>'6a. Supp Counts'!G76*'6. Supplemental Allocation'!C$4</f>
        <v>1056456.4091834298</v>
      </c>
      <c r="D76" s="45">
        <f>'6a. Supp Counts'!H76*'6. Supplemental Allocation'!D$4</f>
        <v>17456823.446405753</v>
      </c>
      <c r="E76" s="45">
        <f t="shared" si="1"/>
        <v>27388097.37030413</v>
      </c>
      <c r="F76" s="45"/>
    </row>
    <row r="77" spans="1:6" x14ac:dyDescent="0.25">
      <c r="A77" s="23" t="s">
        <v>107</v>
      </c>
      <c r="B77" s="45">
        <f>'6a. Supp Counts'!F77*'6. Supplemental Allocation'!B$4</f>
        <v>3797795.4157017586</v>
      </c>
      <c r="C77" s="45">
        <f>'6a. Supp Counts'!G77*'6. Supplemental Allocation'!C$4</f>
        <v>328805.03342909692</v>
      </c>
      <c r="D77" s="45">
        <f>'6a. Supp Counts'!H77*'6. Supplemental Allocation'!D$4</f>
        <v>7258030.6343624024</v>
      </c>
      <c r="E77" s="45">
        <f t="shared" si="1"/>
        <v>11384631.083493259</v>
      </c>
      <c r="F77" s="45"/>
    </row>
    <row r="78" spans="1:6" s="7" customFormat="1" x14ac:dyDescent="0.25">
      <c r="A78" s="47" t="s">
        <v>108</v>
      </c>
      <c r="B78" s="7">
        <f>SUM(B6:B77)</f>
        <v>425459121.31789804</v>
      </c>
      <c r="C78" s="7">
        <f t="shared" ref="C78:E78" si="2">SUM(C6:C77)</f>
        <v>56416328.723926172</v>
      </c>
      <c r="D78" s="7">
        <f t="shared" si="2"/>
        <v>949330172.818699</v>
      </c>
      <c r="E78" s="60">
        <f t="shared" si="2"/>
        <v>1431205622.860523</v>
      </c>
      <c r="F78" s="60"/>
    </row>
    <row r="79" spans="1:6" x14ac:dyDescent="0.25">
      <c r="D79" s="45"/>
      <c r="E79" s="99">
        <f>'2. Weighting'!E35</f>
        <v>1431205622.8605232</v>
      </c>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2:M80"/>
  <sheetViews>
    <sheetView workbookViewId="0">
      <pane ySplit="4" topLeftCell="A25" activePane="bottomLeft" state="frozen"/>
      <selection activeCell="B1" sqref="B1"/>
      <selection pane="bottomLeft" activeCell="F78" sqref="F78"/>
    </sheetView>
  </sheetViews>
  <sheetFormatPr defaultColWidth="8.85546875" defaultRowHeight="15" x14ac:dyDescent="0.25"/>
  <cols>
    <col min="1" max="1" width="18.7109375" bestFit="1" customWidth="1"/>
    <col min="2" max="9" width="18.7109375" customWidth="1"/>
    <col min="10" max="10" width="11.85546875" bestFit="1" customWidth="1"/>
    <col min="11" max="11" width="10.85546875" bestFit="1" customWidth="1"/>
    <col min="12" max="13" width="13.28515625" bestFit="1" customWidth="1"/>
  </cols>
  <sheetData>
    <row r="2" spans="1:13" s="80" customFormat="1" x14ac:dyDescent="0.25">
      <c r="B2" s="169"/>
      <c r="D2" s="169"/>
    </row>
    <row r="3" spans="1:13" x14ac:dyDescent="0.25">
      <c r="B3" s="298" t="s">
        <v>129</v>
      </c>
      <c r="C3" s="298"/>
      <c r="D3" s="298"/>
      <c r="E3" s="298"/>
      <c r="F3" s="298" t="s">
        <v>203</v>
      </c>
      <c r="G3" s="298"/>
      <c r="H3" s="298"/>
      <c r="I3" s="298"/>
      <c r="J3" s="298"/>
      <c r="K3" s="298"/>
      <c r="L3" s="298"/>
      <c r="M3" s="298"/>
    </row>
    <row r="4" spans="1:13" s="205" customFormat="1" ht="45" x14ac:dyDescent="0.25">
      <c r="A4" s="204" t="s">
        <v>8</v>
      </c>
      <c r="B4" s="205" t="s">
        <v>215</v>
      </c>
      <c r="C4" s="194" t="s">
        <v>142</v>
      </c>
      <c r="D4" s="205" t="s">
        <v>216</v>
      </c>
      <c r="E4" s="195" t="s">
        <v>183</v>
      </c>
      <c r="F4" s="205" t="s">
        <v>217</v>
      </c>
      <c r="G4" s="194" t="s">
        <v>218</v>
      </c>
      <c r="H4" s="205" t="s">
        <v>219</v>
      </c>
      <c r="I4" s="195" t="s">
        <v>183</v>
      </c>
      <c r="K4" s="194"/>
      <c r="M4" s="195"/>
    </row>
    <row r="5" spans="1:13" x14ac:dyDescent="0.25">
      <c r="J5" s="57"/>
      <c r="L5" s="57"/>
      <c r="M5" s="51"/>
    </row>
    <row r="6" spans="1:13" x14ac:dyDescent="0.25">
      <c r="A6" s="23" t="s">
        <v>43</v>
      </c>
      <c r="B6" s="110">
        <v>2815</v>
      </c>
      <c r="C6" s="110">
        <v>766</v>
      </c>
      <c r="D6" s="110">
        <v>8840</v>
      </c>
      <c r="E6">
        <f>SUM(B6:D6)</f>
        <v>12421</v>
      </c>
      <c r="F6" s="176">
        <f>B6+'6a1. Supp growth'!H6</f>
        <v>2703</v>
      </c>
      <c r="G6" s="176">
        <f>C6+'6a1. Supp growth'!I6</f>
        <v>677</v>
      </c>
      <c r="H6" s="176">
        <f>D6+'6a1. Supp growth'!J6</f>
        <v>8653</v>
      </c>
      <c r="I6" s="129">
        <f>SUM(F6:H6)</f>
        <v>12033</v>
      </c>
    </row>
    <row r="7" spans="1:13" x14ac:dyDescent="0.25">
      <c r="A7" s="23" t="s">
        <v>44</v>
      </c>
      <c r="B7" s="110">
        <v>7896</v>
      </c>
      <c r="C7" s="110">
        <v>515</v>
      </c>
      <c r="D7" s="110">
        <v>13978</v>
      </c>
      <c r="E7">
        <f t="shared" ref="E7:E70" si="0">SUM(B7:D7)</f>
        <v>22389</v>
      </c>
      <c r="F7" s="176">
        <f>B7+'6a1. Supp growth'!H7</f>
        <v>8013</v>
      </c>
      <c r="G7" s="176">
        <f>C7+'6a1. Supp growth'!I7</f>
        <v>520</v>
      </c>
      <c r="H7" s="176">
        <f>D7+'6a1. Supp growth'!J7</f>
        <v>14083</v>
      </c>
      <c r="I7" s="129">
        <f t="shared" ref="I7:I70" si="1">SUM(F7:H7)</f>
        <v>22616</v>
      </c>
    </row>
    <row r="8" spans="1:13" x14ac:dyDescent="0.25">
      <c r="A8" s="23" t="s">
        <v>45</v>
      </c>
      <c r="B8" s="110">
        <v>2130</v>
      </c>
      <c r="C8" s="110">
        <v>68</v>
      </c>
      <c r="D8" s="110">
        <v>3333</v>
      </c>
      <c r="E8">
        <f t="shared" si="0"/>
        <v>5531</v>
      </c>
      <c r="F8" s="176">
        <f>B8+'6a1. Supp growth'!H8</f>
        <v>2064</v>
      </c>
      <c r="G8" s="176">
        <f>C8+'6a1. Supp growth'!I8</f>
        <v>77</v>
      </c>
      <c r="H8" s="176">
        <f>D8+'6a1. Supp growth'!J8</f>
        <v>3086</v>
      </c>
      <c r="I8" s="129">
        <f t="shared" si="1"/>
        <v>5227</v>
      </c>
    </row>
    <row r="9" spans="1:13" x14ac:dyDescent="0.25">
      <c r="A9" s="23" t="s">
        <v>46</v>
      </c>
      <c r="B9" s="110">
        <v>5206</v>
      </c>
      <c r="C9" s="110">
        <v>303</v>
      </c>
      <c r="D9" s="110">
        <v>8205</v>
      </c>
      <c r="E9">
        <f t="shared" si="0"/>
        <v>13714</v>
      </c>
      <c r="F9" s="176">
        <f>B9+'6a1. Supp growth'!H9</f>
        <v>4826</v>
      </c>
      <c r="G9" s="176">
        <f>C9+'6a1. Supp growth'!I9</f>
        <v>301</v>
      </c>
      <c r="H9" s="176">
        <f>D9+'6a1. Supp growth'!J9</f>
        <v>7833</v>
      </c>
      <c r="I9" s="129">
        <f t="shared" si="1"/>
        <v>12960</v>
      </c>
    </row>
    <row r="10" spans="1:13" x14ac:dyDescent="0.25">
      <c r="A10" s="23" t="s">
        <v>47</v>
      </c>
      <c r="B10" s="110">
        <v>2886</v>
      </c>
      <c r="C10" s="110">
        <v>513</v>
      </c>
      <c r="D10" s="110">
        <v>6737</v>
      </c>
      <c r="E10">
        <f t="shared" si="0"/>
        <v>10136</v>
      </c>
      <c r="F10" s="176">
        <f>B10+'6a1. Supp growth'!H10</f>
        <v>2686</v>
      </c>
      <c r="G10" s="176">
        <f>C10+'6a1. Supp growth'!I10</f>
        <v>505</v>
      </c>
      <c r="H10" s="176">
        <f>D10+'6a1. Supp growth'!J10</f>
        <v>6332</v>
      </c>
      <c r="I10" s="129">
        <f t="shared" si="1"/>
        <v>9523</v>
      </c>
    </row>
    <row r="11" spans="1:13" x14ac:dyDescent="0.25">
      <c r="A11" s="23" t="s">
        <v>48</v>
      </c>
      <c r="B11" s="110">
        <v>10455</v>
      </c>
      <c r="C11" s="110">
        <v>1586</v>
      </c>
      <c r="D11" s="110">
        <v>18362</v>
      </c>
      <c r="E11">
        <f t="shared" si="0"/>
        <v>30403</v>
      </c>
      <c r="F11" s="176">
        <f>B11+'6a1. Supp growth'!H11</f>
        <v>10156</v>
      </c>
      <c r="G11" s="176">
        <f>C11+'6a1. Supp growth'!I11</f>
        <v>1562</v>
      </c>
      <c r="H11" s="176">
        <f>D11+'6a1. Supp growth'!J11</f>
        <v>17753</v>
      </c>
      <c r="I11" s="129">
        <f t="shared" si="1"/>
        <v>29471</v>
      </c>
    </row>
    <row r="12" spans="1:13" x14ac:dyDescent="0.25">
      <c r="A12" s="23" t="s">
        <v>49</v>
      </c>
      <c r="B12" s="110">
        <v>4787</v>
      </c>
      <c r="C12" s="110">
        <v>696</v>
      </c>
      <c r="D12" s="110">
        <v>11272</v>
      </c>
      <c r="E12">
        <f t="shared" si="0"/>
        <v>16755</v>
      </c>
      <c r="F12" s="176">
        <f>B12+'6a1. Supp growth'!H12</f>
        <v>4467</v>
      </c>
      <c r="G12" s="176">
        <f>C12+'6a1. Supp growth'!I12</f>
        <v>1109</v>
      </c>
      <c r="H12" s="176">
        <f>D12+'6a1. Supp growth'!J12</f>
        <v>10886</v>
      </c>
      <c r="I12" s="129">
        <f t="shared" si="1"/>
        <v>16462</v>
      </c>
    </row>
    <row r="13" spans="1:13" x14ac:dyDescent="0.25">
      <c r="A13" s="23" t="s">
        <v>50</v>
      </c>
      <c r="B13" s="110">
        <v>8010</v>
      </c>
      <c r="C13" s="110">
        <v>1343</v>
      </c>
      <c r="D13" s="110">
        <v>18275</v>
      </c>
      <c r="E13">
        <f t="shared" si="0"/>
        <v>27628</v>
      </c>
      <c r="F13" s="176">
        <f>B13+'6a1. Supp growth'!H13</f>
        <v>7208</v>
      </c>
      <c r="G13" s="176">
        <f>C13+'6a1. Supp growth'!I13</f>
        <v>1802</v>
      </c>
      <c r="H13" s="176">
        <f>D13+'6a1. Supp growth'!J13</f>
        <v>18769</v>
      </c>
      <c r="I13" s="129">
        <f t="shared" si="1"/>
        <v>27779</v>
      </c>
    </row>
    <row r="14" spans="1:13" x14ac:dyDescent="0.25">
      <c r="A14" s="23" t="s">
        <v>51</v>
      </c>
      <c r="B14" s="110">
        <v>5010</v>
      </c>
      <c r="C14" s="110">
        <v>501</v>
      </c>
      <c r="D14" s="110">
        <v>11058</v>
      </c>
      <c r="E14">
        <f t="shared" si="0"/>
        <v>16569</v>
      </c>
      <c r="F14" s="176">
        <f>B14+'6a1. Supp growth'!H14</f>
        <v>5122</v>
      </c>
      <c r="G14" s="176">
        <f>C14+'6a1. Supp growth'!I14</f>
        <v>545</v>
      </c>
      <c r="H14" s="176">
        <f>D14+'6a1. Supp growth'!J14</f>
        <v>11158</v>
      </c>
      <c r="I14" s="129">
        <f t="shared" si="1"/>
        <v>16825</v>
      </c>
    </row>
    <row r="15" spans="1:13" x14ac:dyDescent="0.25">
      <c r="A15" s="23" t="s">
        <v>52</v>
      </c>
      <c r="B15" s="110">
        <v>11222</v>
      </c>
      <c r="C15" s="110">
        <v>1342</v>
      </c>
      <c r="D15" s="110">
        <v>32107</v>
      </c>
      <c r="E15">
        <f t="shared" si="0"/>
        <v>44671</v>
      </c>
      <c r="F15" s="176">
        <f>B15+'6a1. Supp growth'!H15</f>
        <v>10429</v>
      </c>
      <c r="G15" s="176">
        <f>C15+'6a1. Supp growth'!I15</f>
        <v>1404</v>
      </c>
      <c r="H15" s="176">
        <f>D15+'6a1. Supp growth'!J15</f>
        <v>33063</v>
      </c>
      <c r="I15" s="129">
        <f t="shared" si="1"/>
        <v>44896</v>
      </c>
    </row>
    <row r="16" spans="1:13" x14ac:dyDescent="0.25">
      <c r="A16" s="23" t="s">
        <v>53</v>
      </c>
      <c r="B16" s="110">
        <v>2459</v>
      </c>
      <c r="C16" s="110">
        <v>341</v>
      </c>
      <c r="D16" s="110">
        <v>5230</v>
      </c>
      <c r="E16">
        <f t="shared" si="0"/>
        <v>8030</v>
      </c>
      <c r="F16" s="176">
        <f>B16+'6a1. Supp growth'!H16</f>
        <v>2080</v>
      </c>
      <c r="G16" s="176">
        <f>C16+'6a1. Supp growth'!I16</f>
        <v>-106</v>
      </c>
      <c r="H16" s="176">
        <f>D16+'6a1. Supp growth'!J16</f>
        <v>4916</v>
      </c>
      <c r="I16" s="129">
        <f t="shared" si="1"/>
        <v>6890</v>
      </c>
    </row>
    <row r="17" spans="1:9" x14ac:dyDescent="0.25">
      <c r="A17" s="23" t="s">
        <v>54</v>
      </c>
      <c r="B17" s="110">
        <v>8978</v>
      </c>
      <c r="C17" s="110">
        <v>1245</v>
      </c>
      <c r="D17" s="110">
        <v>18682</v>
      </c>
      <c r="E17">
        <f t="shared" si="0"/>
        <v>28905</v>
      </c>
      <c r="F17" s="176">
        <f>B17+'6a1. Supp growth'!H17</f>
        <v>8931</v>
      </c>
      <c r="G17" s="176">
        <f>C17+'6a1. Supp growth'!I17</f>
        <v>215</v>
      </c>
      <c r="H17" s="176">
        <f>D17+'6a1. Supp growth'!J17</f>
        <v>18860</v>
      </c>
      <c r="I17" s="129">
        <f t="shared" si="1"/>
        <v>28006</v>
      </c>
    </row>
    <row r="18" spans="1:9" x14ac:dyDescent="0.25">
      <c r="A18" s="23" t="s">
        <v>55</v>
      </c>
      <c r="B18" s="110">
        <v>1133</v>
      </c>
      <c r="C18" s="110">
        <v>22</v>
      </c>
      <c r="D18" s="110">
        <v>1948</v>
      </c>
      <c r="E18">
        <f t="shared" si="0"/>
        <v>3103</v>
      </c>
      <c r="F18" s="176">
        <f>B18+'6a1. Supp growth'!H18</f>
        <v>1179</v>
      </c>
      <c r="G18" s="176">
        <f>C18+'6a1. Supp growth'!I18</f>
        <v>-16</v>
      </c>
      <c r="H18" s="176">
        <f>D18+'6a1. Supp growth'!J18</f>
        <v>2053</v>
      </c>
      <c r="I18" s="129">
        <f t="shared" si="1"/>
        <v>3216</v>
      </c>
    </row>
    <row r="19" spans="1:9" x14ac:dyDescent="0.25">
      <c r="A19" s="23" t="s">
        <v>56</v>
      </c>
      <c r="B19" s="110">
        <v>5259</v>
      </c>
      <c r="C19" s="110">
        <v>559</v>
      </c>
      <c r="D19" s="110">
        <v>9811</v>
      </c>
      <c r="E19">
        <f t="shared" si="0"/>
        <v>15629</v>
      </c>
      <c r="F19" s="176">
        <f>B19+'6a1. Supp growth'!H19</f>
        <v>5629</v>
      </c>
      <c r="G19" s="176">
        <f>C19+'6a1. Supp growth'!I19</f>
        <v>327</v>
      </c>
      <c r="H19" s="176">
        <f>D19+'6a1. Supp growth'!J19</f>
        <v>10472</v>
      </c>
      <c r="I19" s="129">
        <f t="shared" si="1"/>
        <v>16428</v>
      </c>
    </row>
    <row r="20" spans="1:9" x14ac:dyDescent="0.25">
      <c r="A20" s="23" t="s">
        <v>57</v>
      </c>
      <c r="B20" s="110">
        <v>8472</v>
      </c>
      <c r="C20" s="110">
        <v>1306</v>
      </c>
      <c r="D20" s="110">
        <v>17070</v>
      </c>
      <c r="E20">
        <f t="shared" si="0"/>
        <v>26848</v>
      </c>
      <c r="F20" s="176">
        <f>B20+'6a1. Supp growth'!H20</f>
        <v>8213</v>
      </c>
      <c r="G20" s="176">
        <f>C20+'6a1. Supp growth'!I20</f>
        <v>-467</v>
      </c>
      <c r="H20" s="176">
        <f>D20+'6a1. Supp growth'!J20</f>
        <v>16553</v>
      </c>
      <c r="I20" s="129">
        <f t="shared" si="1"/>
        <v>24299</v>
      </c>
    </row>
    <row r="21" spans="1:9" x14ac:dyDescent="0.25">
      <c r="A21" s="23" t="s">
        <v>58</v>
      </c>
      <c r="B21" s="110">
        <v>387</v>
      </c>
      <c r="C21" s="110">
        <v>18</v>
      </c>
      <c r="D21" s="110">
        <v>1752</v>
      </c>
      <c r="E21">
        <f t="shared" si="0"/>
        <v>2157</v>
      </c>
      <c r="F21" s="176">
        <f>B21+'6a1. Supp growth'!H21</f>
        <v>367</v>
      </c>
      <c r="G21" s="176">
        <f>C21+'6a1. Supp growth'!I21</f>
        <v>18</v>
      </c>
      <c r="H21" s="176">
        <f>D21+'6a1. Supp growth'!J21</f>
        <v>2033</v>
      </c>
      <c r="I21" s="129">
        <f t="shared" si="1"/>
        <v>2418</v>
      </c>
    </row>
    <row r="22" spans="1:9" ht="17.25" x14ac:dyDescent="0.25">
      <c r="A22" s="23" t="s">
        <v>59</v>
      </c>
      <c r="B22" s="110">
        <v>5706</v>
      </c>
      <c r="C22" s="110">
        <v>1877</v>
      </c>
      <c r="D22" s="110">
        <v>14261</v>
      </c>
      <c r="E22">
        <f t="shared" si="0"/>
        <v>21844</v>
      </c>
      <c r="F22" s="176">
        <f>B22+'6a1. Supp growth'!H22</f>
        <v>5569</v>
      </c>
      <c r="G22" s="176">
        <f>C22+'6a1. Supp growth'!I22</f>
        <v>1890</v>
      </c>
      <c r="H22" s="176">
        <f>D22+'6a1. Supp growth'!J22</f>
        <v>13125</v>
      </c>
      <c r="I22" s="129">
        <f t="shared" si="1"/>
        <v>20584</v>
      </c>
    </row>
    <row r="23" spans="1:9" x14ac:dyDescent="0.25">
      <c r="A23" s="23" t="s">
        <v>60</v>
      </c>
      <c r="B23" s="110">
        <v>1731</v>
      </c>
      <c r="C23" s="110">
        <v>256</v>
      </c>
      <c r="D23" s="110">
        <v>3330</v>
      </c>
      <c r="E23">
        <f t="shared" si="0"/>
        <v>5317</v>
      </c>
      <c r="F23" s="176">
        <f>B23+'6a1. Supp growth'!H23</f>
        <v>1706</v>
      </c>
      <c r="G23" s="176">
        <f>C23+'6a1. Supp growth'!I23</f>
        <v>241</v>
      </c>
      <c r="H23" s="176">
        <f>D23+'6a1. Supp growth'!J23</f>
        <v>3262</v>
      </c>
      <c r="I23" s="129">
        <f t="shared" si="1"/>
        <v>5209</v>
      </c>
    </row>
    <row r="24" spans="1:9" x14ac:dyDescent="0.25">
      <c r="A24" s="23" t="s">
        <v>61</v>
      </c>
      <c r="B24" s="110">
        <v>6190</v>
      </c>
      <c r="C24" s="110">
        <v>581</v>
      </c>
      <c r="D24" s="110">
        <v>11485</v>
      </c>
      <c r="E24">
        <f t="shared" si="0"/>
        <v>18256</v>
      </c>
      <c r="F24" s="176">
        <f>B24+'6a1. Supp growth'!H24</f>
        <v>5971</v>
      </c>
      <c r="G24" s="176">
        <f>C24+'6a1. Supp growth'!I24</f>
        <v>510</v>
      </c>
      <c r="H24" s="176">
        <f>D24+'6a1. Supp growth'!J24</f>
        <v>10815</v>
      </c>
      <c r="I24" s="129">
        <f t="shared" si="1"/>
        <v>17296</v>
      </c>
    </row>
    <row r="25" spans="1:9" x14ac:dyDescent="0.25">
      <c r="A25" s="23" t="s">
        <v>62</v>
      </c>
      <c r="B25" s="110">
        <v>8567</v>
      </c>
      <c r="C25" s="110">
        <v>639</v>
      </c>
      <c r="D25" s="110">
        <v>19022</v>
      </c>
      <c r="E25">
        <f t="shared" si="0"/>
        <v>28228</v>
      </c>
      <c r="F25" s="176">
        <f>B25+'6a1. Supp growth'!H25</f>
        <v>8445</v>
      </c>
      <c r="G25" s="176">
        <f>C25+'6a1. Supp growth'!I25</f>
        <v>697</v>
      </c>
      <c r="H25" s="176">
        <f>D25+'6a1. Supp growth'!J25</f>
        <v>18873</v>
      </c>
      <c r="I25" s="129">
        <f t="shared" si="1"/>
        <v>28015</v>
      </c>
    </row>
    <row r="26" spans="1:9" x14ac:dyDescent="0.25">
      <c r="A26" s="23" t="s">
        <v>63</v>
      </c>
      <c r="B26" s="110">
        <v>3090</v>
      </c>
      <c r="C26" s="110">
        <v>797</v>
      </c>
      <c r="D26" s="110">
        <v>7623</v>
      </c>
      <c r="E26">
        <f t="shared" si="0"/>
        <v>11510</v>
      </c>
      <c r="F26" s="176">
        <f>B26+'6a1. Supp growth'!H26</f>
        <v>3203</v>
      </c>
      <c r="G26" s="176">
        <f>C26+'6a1. Supp growth'!I26</f>
        <v>714</v>
      </c>
      <c r="H26" s="176">
        <f>D26+'6a1. Supp growth'!J26</f>
        <v>7525</v>
      </c>
      <c r="I26" s="129">
        <f t="shared" si="1"/>
        <v>11442</v>
      </c>
    </row>
    <row r="27" spans="1:9" x14ac:dyDescent="0.25">
      <c r="A27" s="23" t="s">
        <v>64</v>
      </c>
      <c r="B27" s="110">
        <v>5274</v>
      </c>
      <c r="C27" s="110">
        <v>411</v>
      </c>
      <c r="D27" s="110">
        <v>8041</v>
      </c>
      <c r="E27">
        <f t="shared" si="0"/>
        <v>13726</v>
      </c>
      <c r="F27" s="176">
        <f>B27+'6a1. Supp growth'!H27</f>
        <v>5708</v>
      </c>
      <c r="G27" s="176">
        <f>C27+'6a1. Supp growth'!I27</f>
        <v>455</v>
      </c>
      <c r="H27" s="176">
        <f>D27+'6a1. Supp growth'!J27</f>
        <v>8255</v>
      </c>
      <c r="I27" s="129">
        <f t="shared" si="1"/>
        <v>14418</v>
      </c>
    </row>
    <row r="28" spans="1:9" x14ac:dyDescent="0.25">
      <c r="A28" s="23" t="s">
        <v>65</v>
      </c>
      <c r="B28" s="110">
        <v>12657</v>
      </c>
      <c r="C28" s="110">
        <v>1643</v>
      </c>
      <c r="D28" s="110">
        <v>24199</v>
      </c>
      <c r="E28">
        <f t="shared" si="0"/>
        <v>38499</v>
      </c>
      <c r="F28" s="176">
        <f>B28+'6a1. Supp growth'!H28</f>
        <v>12382</v>
      </c>
      <c r="G28" s="176">
        <f>C28+'6a1. Supp growth'!I28</f>
        <v>1738</v>
      </c>
      <c r="H28" s="176">
        <f>D28+'6a1. Supp growth'!J28</f>
        <v>25670</v>
      </c>
      <c r="I28" s="129">
        <f t="shared" si="1"/>
        <v>39790</v>
      </c>
    </row>
    <row r="29" spans="1:9" x14ac:dyDescent="0.25">
      <c r="A29" s="23" t="s">
        <v>25</v>
      </c>
      <c r="B29" s="110">
        <v>489</v>
      </c>
      <c r="C29" s="110">
        <v>294</v>
      </c>
      <c r="D29" s="110">
        <v>1931</v>
      </c>
      <c r="E29">
        <f t="shared" si="0"/>
        <v>2714</v>
      </c>
      <c r="F29" s="176">
        <f>B29+'6a1. Supp growth'!H29</f>
        <v>460</v>
      </c>
      <c r="G29" s="176">
        <f>C29+'6a1. Supp growth'!I29</f>
        <v>301</v>
      </c>
      <c r="H29" s="176">
        <f>D29+'6a1. Supp growth'!J29</f>
        <v>2030</v>
      </c>
      <c r="I29" s="129">
        <f t="shared" si="1"/>
        <v>2791</v>
      </c>
    </row>
    <row r="30" spans="1:9" x14ac:dyDescent="0.25">
      <c r="A30" s="23" t="s">
        <v>26</v>
      </c>
      <c r="B30" s="110">
        <v>341</v>
      </c>
      <c r="C30" s="110">
        <v>32</v>
      </c>
      <c r="D30" s="110">
        <v>3052</v>
      </c>
      <c r="E30">
        <f t="shared" si="0"/>
        <v>3425</v>
      </c>
      <c r="F30" s="176">
        <f>B30+'6a1. Supp growth'!H30</f>
        <v>333</v>
      </c>
      <c r="G30" s="176">
        <f>C30+'6a1. Supp growth'!I30</f>
        <v>-80</v>
      </c>
      <c r="H30" s="176">
        <f>D30+'6a1. Supp growth'!J30</f>
        <v>3423</v>
      </c>
      <c r="I30" s="129">
        <f t="shared" si="1"/>
        <v>3676</v>
      </c>
    </row>
    <row r="31" spans="1:9" x14ac:dyDescent="0.25">
      <c r="A31" s="23" t="s">
        <v>66</v>
      </c>
      <c r="B31" s="110">
        <v>10280</v>
      </c>
      <c r="C31" s="110">
        <v>1379</v>
      </c>
      <c r="D31" s="110">
        <v>20263</v>
      </c>
      <c r="E31">
        <f t="shared" si="0"/>
        <v>31922</v>
      </c>
      <c r="F31" s="176">
        <f>B31+'6a1. Supp growth'!H31</f>
        <v>10458</v>
      </c>
      <c r="G31" s="176">
        <f>C31+'6a1. Supp growth'!I31</f>
        <v>1428</v>
      </c>
      <c r="H31" s="176">
        <f>D31+'6a1. Supp growth'!J31</f>
        <v>19506</v>
      </c>
      <c r="I31" s="129">
        <f t="shared" si="1"/>
        <v>31392</v>
      </c>
    </row>
    <row r="32" spans="1:9" x14ac:dyDescent="0.25">
      <c r="A32" s="23" t="s">
        <v>67</v>
      </c>
      <c r="B32" s="110">
        <v>41287</v>
      </c>
      <c r="C32" s="110">
        <v>6940</v>
      </c>
      <c r="D32" s="110">
        <v>93093</v>
      </c>
      <c r="E32">
        <f t="shared" si="0"/>
        <v>141320</v>
      </c>
      <c r="F32" s="176">
        <f>B32+'6a1. Supp growth'!H32</f>
        <v>34141</v>
      </c>
      <c r="G32" s="176">
        <f>C32+'6a1. Supp growth'!I32</f>
        <v>5963</v>
      </c>
      <c r="H32" s="176">
        <f>D32+'6a1. Supp growth'!J32</f>
        <v>89077</v>
      </c>
      <c r="I32" s="129">
        <f t="shared" si="1"/>
        <v>129181</v>
      </c>
    </row>
    <row r="33" spans="1:9" x14ac:dyDescent="0.25">
      <c r="A33" s="23" t="s">
        <v>68</v>
      </c>
      <c r="B33" s="110">
        <v>20826</v>
      </c>
      <c r="C33" s="110">
        <v>2479</v>
      </c>
      <c r="D33" s="110">
        <v>50784</v>
      </c>
      <c r="E33">
        <f t="shared" si="0"/>
        <v>74089</v>
      </c>
      <c r="F33" s="176">
        <f>B33+'6a1. Supp growth'!H33</f>
        <v>19952</v>
      </c>
      <c r="G33" s="176">
        <f>C33+'6a1. Supp growth'!I33</f>
        <v>3058</v>
      </c>
      <c r="H33" s="176">
        <f>D33+'6a1. Supp growth'!J33</f>
        <v>48266</v>
      </c>
      <c r="I33" s="129">
        <f t="shared" si="1"/>
        <v>71276</v>
      </c>
    </row>
    <row r="34" spans="1:9" x14ac:dyDescent="0.25">
      <c r="A34" s="23" t="s">
        <v>27</v>
      </c>
      <c r="B34" s="110">
        <v>908</v>
      </c>
      <c r="C34" s="110">
        <v>443</v>
      </c>
      <c r="D34" s="110">
        <v>2088</v>
      </c>
      <c r="E34">
        <f t="shared" si="0"/>
        <v>3439</v>
      </c>
      <c r="F34" s="176">
        <f>B34+'6a1. Supp growth'!H34</f>
        <v>938</v>
      </c>
      <c r="G34" s="176">
        <f>C34+'6a1. Supp growth'!I34</f>
        <v>435</v>
      </c>
      <c r="H34" s="176">
        <f>D34+'6a1. Supp growth'!J34</f>
        <v>1780</v>
      </c>
      <c r="I34" s="129">
        <f t="shared" si="1"/>
        <v>3153</v>
      </c>
    </row>
    <row r="35" spans="1:9" x14ac:dyDescent="0.25">
      <c r="A35" s="23" t="s">
        <v>69</v>
      </c>
      <c r="B35" s="110">
        <v>1341</v>
      </c>
      <c r="C35" s="110">
        <v>102</v>
      </c>
      <c r="D35" s="110">
        <v>2889</v>
      </c>
      <c r="E35">
        <f t="shared" si="0"/>
        <v>4332</v>
      </c>
      <c r="F35" s="176">
        <f>B35+'6a1. Supp growth'!H35</f>
        <v>1324</v>
      </c>
      <c r="G35" s="176">
        <f>C35+'6a1. Supp growth'!I35</f>
        <v>106</v>
      </c>
      <c r="H35" s="176">
        <f>D35+'6a1. Supp growth'!J35</f>
        <v>2665</v>
      </c>
      <c r="I35" s="129">
        <f t="shared" si="1"/>
        <v>4095</v>
      </c>
    </row>
    <row r="36" spans="1:9" x14ac:dyDescent="0.25">
      <c r="A36" s="23" t="s">
        <v>70</v>
      </c>
      <c r="B36" s="110">
        <v>4890</v>
      </c>
      <c r="C36" s="110">
        <v>559</v>
      </c>
      <c r="D36" s="110">
        <v>9132</v>
      </c>
      <c r="E36">
        <f t="shared" si="0"/>
        <v>14581</v>
      </c>
      <c r="F36" s="176">
        <f>B36+'6a1. Supp growth'!H36</f>
        <v>4679</v>
      </c>
      <c r="G36" s="176">
        <f>C36+'6a1. Supp growth'!I36</f>
        <v>536</v>
      </c>
      <c r="H36" s="176">
        <f>D36+'6a1. Supp growth'!J36</f>
        <v>9073</v>
      </c>
      <c r="I36" s="129">
        <f t="shared" si="1"/>
        <v>14288</v>
      </c>
    </row>
    <row r="37" spans="1:9" x14ac:dyDescent="0.25">
      <c r="A37" s="23" t="s">
        <v>28</v>
      </c>
      <c r="B37" s="110">
        <v>4607</v>
      </c>
      <c r="C37" s="110">
        <v>227</v>
      </c>
      <c r="D37" s="110">
        <v>9394</v>
      </c>
      <c r="E37">
        <f t="shared" si="0"/>
        <v>14228</v>
      </c>
      <c r="F37" s="176">
        <f>B37+'6a1. Supp growth'!H37</f>
        <v>4566</v>
      </c>
      <c r="G37" s="176">
        <f>C37+'6a1. Supp growth'!I37</f>
        <v>251</v>
      </c>
      <c r="H37" s="176">
        <f>D37+'6a1. Supp growth'!J37</f>
        <v>9353</v>
      </c>
      <c r="I37" s="129">
        <f t="shared" si="1"/>
        <v>14170</v>
      </c>
    </row>
    <row r="38" spans="1:9" x14ac:dyDescent="0.25">
      <c r="A38" s="23" t="s">
        <v>71</v>
      </c>
      <c r="B38" s="110">
        <v>1859</v>
      </c>
      <c r="C38" s="110">
        <v>319</v>
      </c>
      <c r="D38" s="110">
        <v>4510</v>
      </c>
      <c r="E38">
        <f t="shared" si="0"/>
        <v>6688</v>
      </c>
      <c r="F38" s="176">
        <f>B38+'6a1. Supp growth'!H38</f>
        <v>2015</v>
      </c>
      <c r="G38" s="176">
        <f>C38+'6a1. Supp growth'!I38</f>
        <v>312</v>
      </c>
      <c r="H38" s="176">
        <f>D38+'6a1. Supp growth'!J38</f>
        <v>5235</v>
      </c>
      <c r="I38" s="129">
        <f t="shared" si="1"/>
        <v>7562</v>
      </c>
    </row>
    <row r="39" spans="1:9" x14ac:dyDescent="0.25">
      <c r="A39" s="23" t="s">
        <v>72</v>
      </c>
      <c r="B39" s="110">
        <v>11919</v>
      </c>
      <c r="C39" s="110">
        <v>1604</v>
      </c>
      <c r="D39" s="110">
        <v>24533</v>
      </c>
      <c r="E39">
        <f t="shared" si="0"/>
        <v>38056</v>
      </c>
      <c r="F39" s="176">
        <f>B39+'6a1. Supp growth'!H39</f>
        <v>12415</v>
      </c>
      <c r="G39" s="176">
        <f>C39+'6a1. Supp growth'!I39</f>
        <v>1698</v>
      </c>
      <c r="H39" s="176">
        <f>D39+'6a1. Supp growth'!J39</f>
        <v>24481</v>
      </c>
      <c r="I39" s="129">
        <f t="shared" si="1"/>
        <v>38594</v>
      </c>
    </row>
    <row r="40" spans="1:9" x14ac:dyDescent="0.25">
      <c r="A40" s="23" t="s">
        <v>73</v>
      </c>
      <c r="B40" s="110">
        <v>6662</v>
      </c>
      <c r="C40" s="110">
        <v>532</v>
      </c>
      <c r="D40" s="110">
        <v>14174</v>
      </c>
      <c r="E40">
        <f t="shared" si="0"/>
        <v>21368</v>
      </c>
      <c r="F40" s="176">
        <f>B40+'6a1. Supp growth'!H40</f>
        <v>6669</v>
      </c>
      <c r="G40" s="176">
        <f>C40+'6a1. Supp growth'!I40</f>
        <v>523</v>
      </c>
      <c r="H40" s="176">
        <f>D40+'6a1. Supp growth'!J40</f>
        <v>14654</v>
      </c>
      <c r="I40" s="129">
        <f t="shared" si="1"/>
        <v>21846</v>
      </c>
    </row>
    <row r="41" spans="1:9" x14ac:dyDescent="0.25">
      <c r="A41" s="23" t="s">
        <v>74</v>
      </c>
      <c r="B41" s="110">
        <v>1361</v>
      </c>
      <c r="C41" s="110">
        <v>353</v>
      </c>
      <c r="D41" s="110">
        <v>3941</v>
      </c>
      <c r="E41">
        <f t="shared" si="0"/>
        <v>5655</v>
      </c>
      <c r="F41" s="176">
        <f>B41+'6a1. Supp growth'!H41</f>
        <v>1263</v>
      </c>
      <c r="G41" s="176">
        <f>C41+'6a1. Supp growth'!I41</f>
        <v>365</v>
      </c>
      <c r="H41" s="176">
        <f>D41+'6a1. Supp growth'!J41</f>
        <v>3932</v>
      </c>
      <c r="I41" s="129">
        <f t="shared" si="1"/>
        <v>5560</v>
      </c>
    </row>
    <row r="42" spans="1:9" x14ac:dyDescent="0.25">
      <c r="A42" s="23" t="s">
        <v>75</v>
      </c>
      <c r="B42" s="110">
        <v>11801</v>
      </c>
      <c r="C42" s="110">
        <v>1717</v>
      </c>
      <c r="D42" s="110">
        <v>25720</v>
      </c>
      <c r="E42">
        <f t="shared" si="0"/>
        <v>39238</v>
      </c>
      <c r="F42" s="176">
        <f>B42+'6a1. Supp growth'!H42</f>
        <v>11704</v>
      </c>
      <c r="G42" s="176">
        <f>C42+'6a1. Supp growth'!I42</f>
        <v>1245</v>
      </c>
      <c r="H42" s="176">
        <f>D42+'6a1. Supp growth'!J42</f>
        <v>24553</v>
      </c>
      <c r="I42" s="129">
        <f t="shared" si="1"/>
        <v>37502</v>
      </c>
    </row>
    <row r="43" spans="1:9" x14ac:dyDescent="0.25">
      <c r="A43" s="23" t="s">
        <v>76</v>
      </c>
      <c r="B43" s="110">
        <v>1638</v>
      </c>
      <c r="C43" s="110">
        <v>134</v>
      </c>
      <c r="D43" s="110">
        <v>3756</v>
      </c>
      <c r="E43">
        <f t="shared" si="0"/>
        <v>5528</v>
      </c>
      <c r="F43" s="176">
        <f>B43+'6a1. Supp growth'!H43</f>
        <v>1587</v>
      </c>
      <c r="G43" s="176">
        <f>C43+'6a1. Supp growth'!I43</f>
        <v>117</v>
      </c>
      <c r="H43" s="176">
        <f>D43+'6a1. Supp growth'!J43</f>
        <v>3354</v>
      </c>
      <c r="I43" s="129">
        <f t="shared" si="1"/>
        <v>5058</v>
      </c>
    </row>
    <row r="44" spans="1:9" x14ac:dyDescent="0.25">
      <c r="A44" s="23" t="s">
        <v>77</v>
      </c>
      <c r="B44" s="110">
        <v>262</v>
      </c>
      <c r="C44" s="110">
        <v>27</v>
      </c>
      <c r="D44" s="110">
        <v>3265</v>
      </c>
      <c r="E44">
        <f t="shared" si="0"/>
        <v>3554</v>
      </c>
      <c r="F44" s="176">
        <f>B44+'6a1. Supp growth'!H44</f>
        <v>260</v>
      </c>
      <c r="G44" s="176">
        <f>C44+'6a1. Supp growth'!I44</f>
        <v>30</v>
      </c>
      <c r="H44" s="176">
        <f>D44+'6a1. Supp growth'!J44</f>
        <v>3361</v>
      </c>
      <c r="I44" s="129">
        <f t="shared" si="1"/>
        <v>3651</v>
      </c>
    </row>
    <row r="45" spans="1:9" x14ac:dyDescent="0.25">
      <c r="A45" s="23" t="s">
        <v>78</v>
      </c>
      <c r="B45" s="110">
        <v>5090</v>
      </c>
      <c r="C45" s="110">
        <v>668</v>
      </c>
      <c r="D45" s="110">
        <v>14536</v>
      </c>
      <c r="E45">
        <f t="shared" si="0"/>
        <v>20294</v>
      </c>
      <c r="F45" s="176">
        <f>B45+'6a1. Supp growth'!H45</f>
        <v>5247</v>
      </c>
      <c r="G45" s="176">
        <f>C45+'6a1. Supp growth'!I45</f>
        <v>651</v>
      </c>
      <c r="H45" s="176">
        <f>D45+'6a1. Supp growth'!J45</f>
        <v>15383</v>
      </c>
      <c r="I45" s="129">
        <f t="shared" si="1"/>
        <v>21281</v>
      </c>
    </row>
    <row r="46" spans="1:9" x14ac:dyDescent="0.25">
      <c r="A46" s="23" t="s">
        <v>79</v>
      </c>
      <c r="B46" s="110">
        <v>9872</v>
      </c>
      <c r="C46" s="110">
        <v>1143</v>
      </c>
      <c r="D46" s="110">
        <v>20091</v>
      </c>
      <c r="E46">
        <f t="shared" si="0"/>
        <v>31106</v>
      </c>
      <c r="F46" s="176">
        <f>B46+'6a1. Supp growth'!H46</f>
        <v>10000</v>
      </c>
      <c r="G46" s="176">
        <f>C46+'6a1. Supp growth'!I46</f>
        <v>1172</v>
      </c>
      <c r="H46" s="176">
        <f>D46+'6a1. Supp growth'!J46</f>
        <v>19145</v>
      </c>
      <c r="I46" s="129">
        <f t="shared" si="1"/>
        <v>30317</v>
      </c>
    </row>
    <row r="47" spans="1:9" x14ac:dyDescent="0.25">
      <c r="A47" s="23" t="s">
        <v>80</v>
      </c>
      <c r="B47" s="110">
        <v>7528</v>
      </c>
      <c r="C47" s="110">
        <v>629</v>
      </c>
      <c r="D47" s="110">
        <v>15475</v>
      </c>
      <c r="E47">
        <f t="shared" si="0"/>
        <v>23632</v>
      </c>
      <c r="F47" s="176">
        <f>B47+'6a1. Supp growth'!H47</f>
        <v>7384</v>
      </c>
      <c r="G47" s="176">
        <f>C47+'6a1. Supp growth'!I47</f>
        <v>748</v>
      </c>
      <c r="H47" s="176">
        <f>D47+'6a1. Supp growth'!J47</f>
        <v>14983</v>
      </c>
      <c r="I47" s="129">
        <f t="shared" si="1"/>
        <v>23115</v>
      </c>
    </row>
    <row r="48" spans="1:9" x14ac:dyDescent="0.25">
      <c r="A48" s="23" t="s">
        <v>81</v>
      </c>
      <c r="B48" s="110">
        <v>6177</v>
      </c>
      <c r="C48" s="110">
        <v>2317</v>
      </c>
      <c r="D48" s="110">
        <v>18546</v>
      </c>
      <c r="E48">
        <f t="shared" si="0"/>
        <v>27040</v>
      </c>
      <c r="F48" s="176">
        <f>B48+'6a1. Supp growth'!H48</f>
        <v>6966</v>
      </c>
      <c r="G48" s="176">
        <f>C48+'6a1. Supp growth'!I48</f>
        <v>2274</v>
      </c>
      <c r="H48" s="176">
        <f>D48+'6a1. Supp growth'!J48</f>
        <v>18687</v>
      </c>
      <c r="I48" s="129">
        <f t="shared" si="1"/>
        <v>27927</v>
      </c>
    </row>
    <row r="49" spans="1:9" x14ac:dyDescent="0.25">
      <c r="A49" s="23" t="s">
        <v>82</v>
      </c>
      <c r="B49" s="110">
        <v>2007</v>
      </c>
      <c r="C49" s="110">
        <v>231</v>
      </c>
      <c r="D49" s="110">
        <v>3626</v>
      </c>
      <c r="E49">
        <f t="shared" si="0"/>
        <v>5864</v>
      </c>
      <c r="F49" s="176">
        <f>B49+'6a1. Supp growth'!H49</f>
        <v>1847</v>
      </c>
      <c r="G49" s="176">
        <f>C49+'6a1. Supp growth'!I49</f>
        <v>190</v>
      </c>
      <c r="H49" s="176">
        <f>D49+'6a1. Supp growth'!J49</f>
        <v>3549</v>
      </c>
      <c r="I49" s="129">
        <f t="shared" si="1"/>
        <v>5586</v>
      </c>
    </row>
    <row r="50" spans="1:9" x14ac:dyDescent="0.25">
      <c r="A50" s="23" t="s">
        <v>83</v>
      </c>
      <c r="B50" s="110">
        <v>5583</v>
      </c>
      <c r="C50" s="110">
        <v>274</v>
      </c>
      <c r="D50" s="110">
        <v>12227</v>
      </c>
      <c r="E50">
        <f t="shared" si="0"/>
        <v>18084</v>
      </c>
      <c r="F50" s="176">
        <f>B50+'6a1. Supp growth'!H50</f>
        <v>5657</v>
      </c>
      <c r="G50" s="176">
        <f>C50+'6a1. Supp growth'!I50</f>
        <v>286</v>
      </c>
      <c r="H50" s="176">
        <f>D50+'6a1. Supp growth'!J50</f>
        <v>12046</v>
      </c>
      <c r="I50" s="129">
        <f t="shared" si="1"/>
        <v>17989</v>
      </c>
    </row>
    <row r="51" spans="1:9" x14ac:dyDescent="0.25">
      <c r="A51" s="23" t="s">
        <v>84</v>
      </c>
      <c r="B51" s="110">
        <v>14692</v>
      </c>
      <c r="C51" s="110">
        <v>1493</v>
      </c>
      <c r="D51" s="110">
        <v>29602</v>
      </c>
      <c r="E51">
        <f t="shared" si="0"/>
        <v>45787</v>
      </c>
      <c r="F51" s="176">
        <f>B51+'6a1. Supp growth'!H51</f>
        <v>15391</v>
      </c>
      <c r="G51" s="176">
        <f>C51+'6a1. Supp growth'!I51</f>
        <v>1529</v>
      </c>
      <c r="H51" s="176">
        <f>D51+'6a1. Supp growth'!J51</f>
        <v>30139</v>
      </c>
      <c r="I51" s="129">
        <f t="shared" si="1"/>
        <v>47059</v>
      </c>
    </row>
    <row r="52" spans="1:9" x14ac:dyDescent="0.25">
      <c r="A52" s="23" t="s">
        <v>85</v>
      </c>
      <c r="B52" s="110">
        <v>6145</v>
      </c>
      <c r="C52" s="110">
        <v>1003</v>
      </c>
      <c r="D52" s="110">
        <v>17228</v>
      </c>
      <c r="E52">
        <f t="shared" si="0"/>
        <v>24376</v>
      </c>
      <c r="F52" s="176">
        <f>B52+'6a1. Supp growth'!H52</f>
        <v>5990</v>
      </c>
      <c r="G52" s="176">
        <f>C52+'6a1. Supp growth'!I52</f>
        <v>1047</v>
      </c>
      <c r="H52" s="176">
        <f>D52+'6a1. Supp growth'!J52</f>
        <v>17630</v>
      </c>
      <c r="I52" s="129">
        <f t="shared" si="1"/>
        <v>24667</v>
      </c>
    </row>
    <row r="53" spans="1:9" x14ac:dyDescent="0.25">
      <c r="A53" s="23" t="s">
        <v>86</v>
      </c>
      <c r="B53" s="110">
        <v>14043</v>
      </c>
      <c r="C53" s="110">
        <v>1807</v>
      </c>
      <c r="D53" s="110">
        <v>32446</v>
      </c>
      <c r="E53">
        <f t="shared" si="0"/>
        <v>48296</v>
      </c>
      <c r="F53" s="176">
        <f>B53+'6a1. Supp growth'!H53</f>
        <v>13588</v>
      </c>
      <c r="G53" s="176">
        <f>C53+'6a1. Supp growth'!I53</f>
        <v>1930</v>
      </c>
      <c r="H53" s="176">
        <f>D53+'6a1. Supp growth'!J53</f>
        <v>31288</v>
      </c>
      <c r="I53" s="129">
        <f t="shared" si="1"/>
        <v>46806</v>
      </c>
    </row>
    <row r="54" spans="1:9" x14ac:dyDescent="0.25">
      <c r="A54" s="23" t="s">
        <v>29</v>
      </c>
      <c r="B54" s="110">
        <v>4131</v>
      </c>
      <c r="C54" s="110">
        <v>676</v>
      </c>
      <c r="D54" s="110">
        <v>12511</v>
      </c>
      <c r="E54">
        <f t="shared" si="0"/>
        <v>17318</v>
      </c>
      <c r="F54" s="176">
        <f>B54+'6a1. Supp growth'!H54</f>
        <v>3802</v>
      </c>
      <c r="G54" s="176">
        <f>C54+'6a1. Supp growth'!I54</f>
        <v>700</v>
      </c>
      <c r="H54" s="176">
        <f>D54+'6a1. Supp growth'!J54</f>
        <v>13041</v>
      </c>
      <c r="I54" s="129">
        <f t="shared" si="1"/>
        <v>17543</v>
      </c>
    </row>
    <row r="55" spans="1:9" x14ac:dyDescent="0.25">
      <c r="A55" s="23" t="s">
        <v>87</v>
      </c>
      <c r="B55" s="110">
        <v>6538</v>
      </c>
      <c r="C55" s="110">
        <v>761</v>
      </c>
      <c r="D55" s="110">
        <v>15668</v>
      </c>
      <c r="E55">
        <f t="shared" si="0"/>
        <v>22967</v>
      </c>
      <c r="F55" s="176">
        <f>B55+'6a1. Supp growth'!H55</f>
        <v>6427</v>
      </c>
      <c r="G55" s="176">
        <f>C55+'6a1. Supp growth'!I55</f>
        <v>815</v>
      </c>
      <c r="H55" s="176">
        <f>D55+'6a1. Supp growth'!J55</f>
        <v>15217</v>
      </c>
      <c r="I55" s="129">
        <f t="shared" si="1"/>
        <v>22459</v>
      </c>
    </row>
    <row r="56" spans="1:9" x14ac:dyDescent="0.25">
      <c r="A56" s="23" t="s">
        <v>88</v>
      </c>
      <c r="B56" s="110">
        <v>4995</v>
      </c>
      <c r="C56" s="110">
        <v>844</v>
      </c>
      <c r="D56" s="110">
        <v>11170</v>
      </c>
      <c r="E56">
        <f t="shared" si="0"/>
        <v>17009</v>
      </c>
      <c r="F56" s="176">
        <f>B56+'6a1. Supp growth'!H56</f>
        <v>5123</v>
      </c>
      <c r="G56" s="176">
        <f>C56+'6a1. Supp growth'!I56</f>
        <v>953</v>
      </c>
      <c r="H56" s="176">
        <f>D56+'6a1. Supp growth'!J56</f>
        <v>11067</v>
      </c>
      <c r="I56" s="129">
        <f t="shared" si="1"/>
        <v>17143</v>
      </c>
    </row>
    <row r="57" spans="1:9" x14ac:dyDescent="0.25">
      <c r="A57" s="23" t="s">
        <v>89</v>
      </c>
      <c r="B57" s="110">
        <v>2615</v>
      </c>
      <c r="C57" s="110">
        <v>267</v>
      </c>
      <c r="D57" s="110">
        <v>5362</v>
      </c>
      <c r="E57">
        <f t="shared" si="0"/>
        <v>8244</v>
      </c>
      <c r="F57" s="176">
        <f>B57+'6a1. Supp growth'!H57</f>
        <v>2815</v>
      </c>
      <c r="G57" s="176">
        <f>C57+'6a1. Supp growth'!I57</f>
        <v>245</v>
      </c>
      <c r="H57" s="176">
        <f>D57+'6a1. Supp growth'!J57</f>
        <v>5541</v>
      </c>
      <c r="I57" s="129">
        <f t="shared" si="1"/>
        <v>8601</v>
      </c>
    </row>
    <row r="58" spans="1:9" x14ac:dyDescent="0.25">
      <c r="A58" s="23" t="s">
        <v>90</v>
      </c>
      <c r="B58" s="110">
        <v>3724</v>
      </c>
      <c r="C58" s="110">
        <v>762</v>
      </c>
      <c r="D58" s="110">
        <v>11437</v>
      </c>
      <c r="E58">
        <f t="shared" si="0"/>
        <v>15923</v>
      </c>
      <c r="F58" s="176">
        <f>B58+'6a1. Supp growth'!H58</f>
        <v>3428</v>
      </c>
      <c r="G58" s="176">
        <f>C58+'6a1. Supp growth'!I58</f>
        <v>700</v>
      </c>
      <c r="H58" s="176">
        <f>D58+'6a1. Supp growth'!J58</f>
        <v>10705</v>
      </c>
      <c r="I58" s="129">
        <f t="shared" si="1"/>
        <v>14833</v>
      </c>
    </row>
    <row r="59" spans="1:9" x14ac:dyDescent="0.25">
      <c r="A59" s="23" t="s">
        <v>91</v>
      </c>
      <c r="B59" s="110">
        <v>4013</v>
      </c>
      <c r="C59" s="110">
        <v>533</v>
      </c>
      <c r="D59" s="110">
        <v>9472</v>
      </c>
      <c r="E59">
        <f t="shared" si="0"/>
        <v>14018</v>
      </c>
      <c r="F59" s="176">
        <f>B59+'6a1. Supp growth'!H59</f>
        <v>3842</v>
      </c>
      <c r="G59" s="176">
        <f>C59+'6a1. Supp growth'!I59</f>
        <v>559</v>
      </c>
      <c r="H59" s="176">
        <f>D59+'6a1. Supp growth'!J59</f>
        <v>9034</v>
      </c>
      <c r="I59" s="129">
        <f t="shared" si="1"/>
        <v>13435</v>
      </c>
    </row>
    <row r="60" spans="1:9" x14ac:dyDescent="0.25">
      <c r="A60" s="23" t="s">
        <v>92</v>
      </c>
      <c r="B60" s="110">
        <v>4150</v>
      </c>
      <c r="C60" s="110">
        <v>679</v>
      </c>
      <c r="D60" s="110">
        <v>11040</v>
      </c>
      <c r="E60">
        <f t="shared" si="0"/>
        <v>15869</v>
      </c>
      <c r="F60" s="176">
        <f>B60+'6a1. Supp growth'!H60</f>
        <v>3477</v>
      </c>
      <c r="G60" s="176">
        <f>C60+'6a1. Supp growth'!I60</f>
        <v>695</v>
      </c>
      <c r="H60" s="176">
        <f>D60+'6a1. Supp growth'!J60</f>
        <v>10474</v>
      </c>
      <c r="I60" s="129">
        <f t="shared" si="1"/>
        <v>14646</v>
      </c>
    </row>
    <row r="61" spans="1:9" x14ac:dyDescent="0.25">
      <c r="A61" s="23" t="s">
        <v>31</v>
      </c>
      <c r="B61" s="110">
        <v>8117</v>
      </c>
      <c r="C61" s="110">
        <v>1427</v>
      </c>
      <c r="D61" s="110">
        <v>19363</v>
      </c>
      <c r="E61">
        <f t="shared" si="0"/>
        <v>28907</v>
      </c>
      <c r="F61" s="176">
        <f>B61+'6a1. Supp growth'!H61</f>
        <v>8198</v>
      </c>
      <c r="G61" s="176">
        <f>C61+'6a1. Supp growth'!I61</f>
        <v>1482</v>
      </c>
      <c r="H61" s="176">
        <f>D61+'6a1. Supp growth'!J61</f>
        <v>18500</v>
      </c>
      <c r="I61" s="129">
        <f t="shared" si="1"/>
        <v>28180</v>
      </c>
    </row>
    <row r="62" spans="1:9" x14ac:dyDescent="0.25">
      <c r="A62" s="23" t="s">
        <v>93</v>
      </c>
      <c r="B62" s="110">
        <v>6080</v>
      </c>
      <c r="C62" s="110">
        <v>525</v>
      </c>
      <c r="D62" s="110">
        <v>10093</v>
      </c>
      <c r="E62">
        <f t="shared" si="0"/>
        <v>16698</v>
      </c>
      <c r="F62" s="176">
        <f>B62+'6a1. Supp growth'!H62</f>
        <v>6387</v>
      </c>
      <c r="G62" s="176">
        <f>C62+'6a1. Supp growth'!I62</f>
        <v>532</v>
      </c>
      <c r="H62" s="176">
        <f>D62+'6a1. Supp growth'!J62</f>
        <v>10235</v>
      </c>
      <c r="I62" s="129">
        <f t="shared" si="1"/>
        <v>17154</v>
      </c>
    </row>
    <row r="63" spans="1:9" x14ac:dyDescent="0.25">
      <c r="A63" s="23" t="s">
        <v>94</v>
      </c>
      <c r="B63" s="110">
        <v>3795</v>
      </c>
      <c r="C63" s="110">
        <v>250</v>
      </c>
      <c r="D63" s="110">
        <v>7628</v>
      </c>
      <c r="E63">
        <f t="shared" si="0"/>
        <v>11673</v>
      </c>
      <c r="F63" s="176">
        <f>B63+'6a1. Supp growth'!H63</f>
        <v>3820</v>
      </c>
      <c r="G63" s="176">
        <f>C63+'6a1. Supp growth'!I63</f>
        <v>329</v>
      </c>
      <c r="H63" s="176">
        <f>D63+'6a1. Supp growth'!J63</f>
        <v>8934</v>
      </c>
      <c r="I63" s="129">
        <f t="shared" si="1"/>
        <v>13083</v>
      </c>
    </row>
    <row r="64" spans="1:9" x14ac:dyDescent="0.25">
      <c r="A64" s="23" t="s">
        <v>95</v>
      </c>
      <c r="B64" s="110">
        <v>5736</v>
      </c>
      <c r="C64" s="110">
        <v>902</v>
      </c>
      <c r="D64" s="110">
        <v>11570</v>
      </c>
      <c r="E64">
        <f t="shared" si="0"/>
        <v>18208</v>
      </c>
      <c r="F64" s="176">
        <f>B64+'6a1. Supp growth'!H64</f>
        <v>5425</v>
      </c>
      <c r="G64" s="176">
        <f>C64+'6a1. Supp growth'!I64</f>
        <v>1108</v>
      </c>
      <c r="H64" s="176">
        <f>D64+'6a1. Supp growth'!J64</f>
        <v>11417</v>
      </c>
      <c r="I64" s="129">
        <f t="shared" si="1"/>
        <v>17950</v>
      </c>
    </row>
    <row r="65" spans="1:13" x14ac:dyDescent="0.25">
      <c r="A65" s="23" t="s">
        <v>96</v>
      </c>
      <c r="B65" s="110">
        <v>837</v>
      </c>
      <c r="C65" s="110">
        <v>40</v>
      </c>
      <c r="D65" s="110">
        <v>1242</v>
      </c>
      <c r="E65">
        <f t="shared" si="0"/>
        <v>2119</v>
      </c>
      <c r="F65" s="176">
        <f>B65+'6a1. Supp growth'!H65</f>
        <v>847</v>
      </c>
      <c r="G65" s="176">
        <f>C65+'6a1. Supp growth'!I65</f>
        <v>55</v>
      </c>
      <c r="H65" s="176">
        <f>D65+'6a1. Supp growth'!J65</f>
        <v>1227</v>
      </c>
      <c r="I65" s="129">
        <f t="shared" si="1"/>
        <v>2129</v>
      </c>
    </row>
    <row r="66" spans="1:13" x14ac:dyDescent="0.25">
      <c r="A66" s="23" t="s">
        <v>97</v>
      </c>
      <c r="B66" s="110">
        <v>1986</v>
      </c>
      <c r="C66" s="110">
        <v>207</v>
      </c>
      <c r="D66" s="110">
        <v>5980</v>
      </c>
      <c r="E66">
        <f t="shared" si="0"/>
        <v>8173</v>
      </c>
      <c r="F66" s="176">
        <f>B66+'6a1. Supp growth'!H66</f>
        <v>1643</v>
      </c>
      <c r="G66" s="176">
        <f>C66+'6a1. Supp growth'!I66</f>
        <v>374</v>
      </c>
      <c r="H66" s="176">
        <f>D66+'6a1. Supp growth'!J66</f>
        <v>5695</v>
      </c>
      <c r="I66" s="129">
        <f t="shared" si="1"/>
        <v>7712</v>
      </c>
    </row>
    <row r="67" spans="1:13" x14ac:dyDescent="0.25">
      <c r="A67" s="23" t="s">
        <v>98</v>
      </c>
      <c r="B67" s="110">
        <v>4052</v>
      </c>
      <c r="C67" s="110">
        <v>953</v>
      </c>
      <c r="D67" s="110">
        <v>10166</v>
      </c>
      <c r="E67">
        <f t="shared" si="0"/>
        <v>15171</v>
      </c>
      <c r="F67" s="176">
        <f>B67+'6a1. Supp growth'!H67</f>
        <v>4354</v>
      </c>
      <c r="G67" s="176">
        <f>C67+'6a1. Supp growth'!I67</f>
        <v>924</v>
      </c>
      <c r="H67" s="176">
        <f>D67+'6a1. Supp growth'!J67</f>
        <v>10315</v>
      </c>
      <c r="I67" s="129">
        <f t="shared" si="1"/>
        <v>15593</v>
      </c>
    </row>
    <row r="68" spans="1:13" x14ac:dyDescent="0.25">
      <c r="A68" s="23" t="s">
        <v>99</v>
      </c>
      <c r="B68" s="110">
        <v>5670</v>
      </c>
      <c r="C68" s="110">
        <v>1364</v>
      </c>
      <c r="D68" s="110">
        <v>14923</v>
      </c>
      <c r="E68">
        <f t="shared" si="0"/>
        <v>21957</v>
      </c>
      <c r="F68" s="176">
        <f>B68+'6a1. Supp growth'!H68</f>
        <v>5008</v>
      </c>
      <c r="G68" s="176">
        <f>C68+'6a1. Supp growth'!I68</f>
        <v>1323</v>
      </c>
      <c r="H68" s="176">
        <f>D68+'6a1. Supp growth'!J68</f>
        <v>13750</v>
      </c>
      <c r="I68" s="129">
        <f t="shared" si="1"/>
        <v>20081</v>
      </c>
    </row>
    <row r="69" spans="1:13" x14ac:dyDescent="0.25">
      <c r="A69" s="23" t="s">
        <v>100</v>
      </c>
      <c r="B69" s="110">
        <v>6752</v>
      </c>
      <c r="C69" s="110">
        <v>742</v>
      </c>
      <c r="D69" s="110">
        <v>15174</v>
      </c>
      <c r="E69">
        <f t="shared" si="0"/>
        <v>22668</v>
      </c>
      <c r="F69" s="176">
        <f>B69+'6a1. Supp growth'!H69</f>
        <v>6574</v>
      </c>
      <c r="G69" s="176">
        <f>C69+'6a1. Supp growth'!I69</f>
        <v>819</v>
      </c>
      <c r="H69" s="176">
        <f>D69+'6a1. Supp growth'!J69</f>
        <v>14592</v>
      </c>
      <c r="I69" s="129">
        <f t="shared" si="1"/>
        <v>21985</v>
      </c>
    </row>
    <row r="70" spans="1:13" x14ac:dyDescent="0.25">
      <c r="A70" s="23" t="s">
        <v>101</v>
      </c>
      <c r="B70" s="110">
        <v>16377</v>
      </c>
      <c r="C70" s="110">
        <v>1994</v>
      </c>
      <c r="D70" s="110">
        <v>31565</v>
      </c>
      <c r="E70">
        <f t="shared" si="0"/>
        <v>49936</v>
      </c>
      <c r="F70" s="176">
        <f>B70+'6a1. Supp growth'!H70</f>
        <v>16979</v>
      </c>
      <c r="G70" s="176">
        <f>C70+'6a1. Supp growth'!I70</f>
        <v>2083</v>
      </c>
      <c r="H70" s="176">
        <f>D70+'6a1. Supp growth'!J70</f>
        <v>32333</v>
      </c>
      <c r="I70" s="129">
        <f t="shared" si="1"/>
        <v>51395</v>
      </c>
    </row>
    <row r="71" spans="1:13" x14ac:dyDescent="0.25">
      <c r="A71" s="23" t="s">
        <v>102</v>
      </c>
      <c r="B71" s="110">
        <v>9814</v>
      </c>
      <c r="C71" s="110">
        <v>1172</v>
      </c>
      <c r="D71" s="110">
        <v>21602</v>
      </c>
      <c r="E71">
        <f t="shared" ref="E71:E77" si="2">SUM(B71:D71)</f>
        <v>32588</v>
      </c>
      <c r="F71" s="176">
        <f>B71+'6a1. Supp growth'!H71</f>
        <v>10131</v>
      </c>
      <c r="G71" s="176">
        <f>C71+'6a1. Supp growth'!I71</f>
        <v>1221</v>
      </c>
      <c r="H71" s="176">
        <f>D71+'6a1. Supp growth'!J71</f>
        <v>20848</v>
      </c>
      <c r="I71" s="129">
        <f t="shared" ref="I71:I77" si="3">SUM(F71:H71)</f>
        <v>32200</v>
      </c>
    </row>
    <row r="72" spans="1:13" x14ac:dyDescent="0.25">
      <c r="A72" s="23" t="s">
        <v>103</v>
      </c>
      <c r="B72" s="110">
        <v>6938</v>
      </c>
      <c r="C72" s="110">
        <v>308</v>
      </c>
      <c r="D72" s="110">
        <v>11759</v>
      </c>
      <c r="E72">
        <f t="shared" si="2"/>
        <v>19005</v>
      </c>
      <c r="F72" s="176">
        <f>B72+'6a1. Supp growth'!H72</f>
        <v>6686</v>
      </c>
      <c r="G72" s="176">
        <f>C72+'6a1. Supp growth'!I72</f>
        <v>264</v>
      </c>
      <c r="H72" s="176">
        <f>D72+'6a1. Supp growth'!J72</f>
        <v>11461</v>
      </c>
      <c r="I72" s="129">
        <f t="shared" si="3"/>
        <v>18411</v>
      </c>
    </row>
    <row r="73" spans="1:13" x14ac:dyDescent="0.25">
      <c r="A73" s="23" t="s">
        <v>104</v>
      </c>
      <c r="B73" s="110">
        <v>3224</v>
      </c>
      <c r="C73" s="110">
        <v>342</v>
      </c>
      <c r="D73" s="110">
        <v>6092</v>
      </c>
      <c r="E73">
        <f t="shared" si="2"/>
        <v>9658</v>
      </c>
      <c r="F73" s="176">
        <f>B73+'6a1. Supp growth'!H73</f>
        <v>3198</v>
      </c>
      <c r="G73" s="176">
        <f>C73+'6a1. Supp growth'!I73</f>
        <v>306</v>
      </c>
      <c r="H73" s="176">
        <f>D73+'6a1. Supp growth'!J73</f>
        <v>6028</v>
      </c>
      <c r="I73" s="129">
        <f t="shared" si="3"/>
        <v>9532</v>
      </c>
    </row>
    <row r="74" spans="1:13" x14ac:dyDescent="0.25">
      <c r="A74" s="23" t="s">
        <v>33</v>
      </c>
      <c r="B74" s="110">
        <v>1506</v>
      </c>
      <c r="C74" s="110">
        <v>143</v>
      </c>
      <c r="D74" s="110">
        <v>3177</v>
      </c>
      <c r="E74">
        <f t="shared" si="2"/>
        <v>4826</v>
      </c>
      <c r="F74" s="176">
        <f>B74+'6a1. Supp growth'!H74</f>
        <v>1631</v>
      </c>
      <c r="G74" s="176">
        <f>C74+'6a1. Supp growth'!I74</f>
        <v>162</v>
      </c>
      <c r="H74" s="176">
        <f>D74+'6a1. Supp growth'!J74</f>
        <v>3337</v>
      </c>
      <c r="I74" s="129">
        <f t="shared" si="3"/>
        <v>5130</v>
      </c>
    </row>
    <row r="75" spans="1:13" ht="17.25" x14ac:dyDescent="0.25">
      <c r="A75" s="23" t="s">
        <v>105</v>
      </c>
      <c r="B75" s="110">
        <v>2780</v>
      </c>
      <c r="C75" s="110">
        <v>215</v>
      </c>
      <c r="D75" s="110">
        <v>6054</v>
      </c>
      <c r="E75">
        <f t="shared" si="2"/>
        <v>9049</v>
      </c>
      <c r="F75" s="176">
        <f>B75+'6a1. Supp growth'!H75</f>
        <v>2644</v>
      </c>
      <c r="G75" s="176">
        <f>C75+'6a1. Supp growth'!I75</f>
        <v>88</v>
      </c>
      <c r="H75" s="176">
        <f>D75+'6a1. Supp growth'!J75</f>
        <v>5100</v>
      </c>
      <c r="I75" s="129">
        <f t="shared" si="3"/>
        <v>7832</v>
      </c>
    </row>
    <row r="76" spans="1:13" x14ac:dyDescent="0.25">
      <c r="A76" s="23" t="s">
        <v>106</v>
      </c>
      <c r="B76" s="110">
        <v>9094</v>
      </c>
      <c r="C76" s="110">
        <v>1000</v>
      </c>
      <c r="D76" s="110">
        <v>18013</v>
      </c>
      <c r="E76">
        <f t="shared" si="2"/>
        <v>28107</v>
      </c>
      <c r="F76" s="176">
        <f>B76+'6a1. Supp growth'!H76</f>
        <v>9123</v>
      </c>
      <c r="G76" s="176">
        <f>C76+'6a1. Supp growth'!I76</f>
        <v>1086</v>
      </c>
      <c r="H76" s="176">
        <f>D76+'6a1. Supp growth'!J76</f>
        <v>17945</v>
      </c>
      <c r="I76" s="129">
        <f t="shared" si="3"/>
        <v>28154</v>
      </c>
    </row>
    <row r="77" spans="1:13" x14ac:dyDescent="0.25">
      <c r="A77" s="23" t="s">
        <v>107</v>
      </c>
      <c r="B77" s="110">
        <v>4137</v>
      </c>
      <c r="C77" s="110">
        <v>360</v>
      </c>
      <c r="D77" s="110">
        <v>7764</v>
      </c>
      <c r="E77">
        <f t="shared" si="2"/>
        <v>12261</v>
      </c>
      <c r="F77" s="176">
        <f>B77+'6a1. Supp growth'!H77</f>
        <v>3904</v>
      </c>
      <c r="G77" s="176">
        <f>C77+'6a1. Supp growth'!I77</f>
        <v>338</v>
      </c>
      <c r="H77" s="176">
        <f>D77+'6a1. Supp growth'!J77</f>
        <v>7461</v>
      </c>
      <c r="I77" s="129">
        <f t="shared" si="3"/>
        <v>11703</v>
      </c>
    </row>
    <row r="78" spans="1:13" s="7" customFormat="1" x14ac:dyDescent="0.25">
      <c r="A78" s="47" t="s">
        <v>108</v>
      </c>
      <c r="B78" s="113">
        <f>SUM(B6:B77)</f>
        <v>448989</v>
      </c>
      <c r="C78" s="113">
        <f t="shared" ref="C78:I78" si="4">SUM(C6:C77)</f>
        <v>60500</v>
      </c>
      <c r="D78" s="113">
        <f t="shared" si="4"/>
        <v>989748</v>
      </c>
      <c r="E78" s="293">
        <f t="shared" si="4"/>
        <v>1499237</v>
      </c>
      <c r="F78" s="113">
        <f t="shared" si="4"/>
        <v>437357</v>
      </c>
      <c r="G78" s="113">
        <f t="shared" si="4"/>
        <v>57994</v>
      </c>
      <c r="H78" s="113">
        <f t="shared" si="4"/>
        <v>975878</v>
      </c>
      <c r="I78" s="177">
        <f t="shared" si="4"/>
        <v>1471229</v>
      </c>
      <c r="J78" s="113"/>
      <c r="K78" s="113"/>
      <c r="L78" s="113"/>
      <c r="M78" s="113"/>
    </row>
    <row r="79" spans="1:13" x14ac:dyDescent="0.25">
      <c r="J79" s="6"/>
      <c r="K79" s="6"/>
      <c r="L79" s="6"/>
      <c r="M79" s="6"/>
    </row>
    <row r="80" spans="1:13" x14ac:dyDescent="0.25">
      <c r="L80" s="6"/>
    </row>
  </sheetData>
  <mergeCells count="3">
    <mergeCell ref="J3:M3"/>
    <mergeCell ref="F3:I3"/>
    <mergeCell ref="B3:E3"/>
  </mergeCells>
  <pageMargins left="0.7" right="0.7" top="0.75" bottom="0.75" header="0.3" footer="0.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2:J78"/>
  <sheetViews>
    <sheetView workbookViewId="0">
      <pane ySplit="4" topLeftCell="A5" activePane="bottomLeft" state="frozen"/>
      <selection activeCell="B1" sqref="B1"/>
      <selection pane="bottomLeft" activeCell="H6" sqref="H6"/>
    </sheetView>
  </sheetViews>
  <sheetFormatPr defaultColWidth="8.7109375" defaultRowHeight="15" x14ac:dyDescent="0.25"/>
  <cols>
    <col min="1" max="1" width="18.42578125" style="117" bestFit="1" customWidth="1"/>
    <col min="2" max="2" width="11" style="117" bestFit="1" customWidth="1"/>
    <col min="3" max="3" width="10" style="117" bestFit="1" customWidth="1"/>
    <col min="4" max="5" width="11" style="117" bestFit="1" customWidth="1"/>
    <col min="6" max="6" width="10" style="117" bestFit="1" customWidth="1"/>
    <col min="7" max="7" width="11" style="117" bestFit="1" customWidth="1"/>
    <col min="8" max="8" width="11" style="128" bestFit="1" customWidth="1"/>
    <col min="9" max="9" width="10" style="117" bestFit="1" customWidth="1"/>
    <col min="10" max="10" width="11" style="117" bestFit="1" customWidth="1"/>
    <col min="11" max="16384" width="8.7109375" style="117"/>
  </cols>
  <sheetData>
    <row r="2" spans="1:10" s="115" customFormat="1" x14ac:dyDescent="0.25">
      <c r="B2" s="311"/>
      <c r="C2" s="311"/>
      <c r="D2" s="311"/>
      <c r="E2" s="311"/>
      <c r="F2" s="311"/>
      <c r="G2" s="312"/>
      <c r="H2" s="116"/>
    </row>
    <row r="3" spans="1:10" x14ac:dyDescent="0.25">
      <c r="B3" s="308" t="s">
        <v>204</v>
      </c>
      <c r="C3" s="308"/>
      <c r="D3" s="308"/>
      <c r="E3" s="308" t="s">
        <v>129</v>
      </c>
      <c r="F3" s="308"/>
      <c r="G3" s="308"/>
      <c r="H3" s="309" t="s">
        <v>221</v>
      </c>
      <c r="I3" s="310"/>
      <c r="J3" s="310"/>
    </row>
    <row r="4" spans="1:10" s="123" customFormat="1" ht="75" x14ac:dyDescent="0.25">
      <c r="A4" s="118" t="s">
        <v>8</v>
      </c>
      <c r="B4" s="119" t="s">
        <v>205</v>
      </c>
      <c r="C4" s="120" t="s">
        <v>206</v>
      </c>
      <c r="D4" s="121" t="s">
        <v>207</v>
      </c>
      <c r="E4" s="119" t="s">
        <v>205</v>
      </c>
      <c r="F4" s="120" t="s">
        <v>142</v>
      </c>
      <c r="G4" s="121" t="s">
        <v>207</v>
      </c>
      <c r="H4" s="119" t="s">
        <v>205</v>
      </c>
      <c r="I4" s="122" t="s">
        <v>40</v>
      </c>
      <c r="J4" s="121" t="s">
        <v>207</v>
      </c>
    </row>
    <row r="5" spans="1:10" x14ac:dyDescent="0.25">
      <c r="B5" s="124" t="s">
        <v>136</v>
      </c>
      <c r="C5" s="117" t="s">
        <v>208</v>
      </c>
      <c r="D5" s="124" t="s">
        <v>137</v>
      </c>
      <c r="E5" s="124" t="s">
        <v>136</v>
      </c>
      <c r="F5" s="117" t="s">
        <v>208</v>
      </c>
      <c r="G5" s="124" t="s">
        <v>137</v>
      </c>
      <c r="H5" s="125"/>
      <c r="J5" s="124"/>
    </row>
    <row r="6" spans="1:10" x14ac:dyDescent="0.25">
      <c r="A6" s="117" t="s">
        <v>43</v>
      </c>
      <c r="B6">
        <v>2927</v>
      </c>
      <c r="C6" s="126">
        <v>855</v>
      </c>
      <c r="D6">
        <v>9027</v>
      </c>
      <c r="E6" s="110">
        <v>2815</v>
      </c>
      <c r="F6" s="110">
        <v>766</v>
      </c>
      <c r="G6" s="110">
        <v>8840</v>
      </c>
      <c r="H6" s="175">
        <f>E6-B6</f>
        <v>-112</v>
      </c>
      <c r="I6" s="175">
        <f t="shared" ref="I6:J6" si="0">F6-C6</f>
        <v>-89</v>
      </c>
      <c r="J6" s="175">
        <f t="shared" si="0"/>
        <v>-187</v>
      </c>
    </row>
    <row r="7" spans="1:10" x14ac:dyDescent="0.25">
      <c r="A7" s="117" t="s">
        <v>44</v>
      </c>
      <c r="B7">
        <v>7779</v>
      </c>
      <c r="C7" s="126">
        <v>510</v>
      </c>
      <c r="D7">
        <v>13873</v>
      </c>
      <c r="E7" s="110">
        <v>7896</v>
      </c>
      <c r="F7" s="110">
        <v>515</v>
      </c>
      <c r="G7" s="110">
        <v>13978</v>
      </c>
      <c r="H7" s="175">
        <f t="shared" ref="H7:H70" si="1">E7-B7</f>
        <v>117</v>
      </c>
      <c r="I7" s="175">
        <f t="shared" ref="I7:I70" si="2">F7-C7</f>
        <v>5</v>
      </c>
      <c r="J7" s="175">
        <f t="shared" ref="J7:J70" si="3">G7-D7</f>
        <v>105</v>
      </c>
    </row>
    <row r="8" spans="1:10" x14ac:dyDescent="0.25">
      <c r="A8" s="117" t="s">
        <v>45</v>
      </c>
      <c r="B8">
        <v>2196</v>
      </c>
      <c r="C8" s="126">
        <v>59</v>
      </c>
      <c r="D8">
        <v>3580</v>
      </c>
      <c r="E8" s="110">
        <v>2130</v>
      </c>
      <c r="F8" s="110">
        <v>68</v>
      </c>
      <c r="G8" s="110">
        <v>3333</v>
      </c>
      <c r="H8" s="175">
        <f t="shared" si="1"/>
        <v>-66</v>
      </c>
      <c r="I8" s="175">
        <f t="shared" si="2"/>
        <v>9</v>
      </c>
      <c r="J8" s="175">
        <f t="shared" si="3"/>
        <v>-247</v>
      </c>
    </row>
    <row r="9" spans="1:10" x14ac:dyDescent="0.25">
      <c r="A9" s="117" t="s">
        <v>46</v>
      </c>
      <c r="B9">
        <v>5586</v>
      </c>
      <c r="C9" s="126">
        <v>305</v>
      </c>
      <c r="D9">
        <v>8577</v>
      </c>
      <c r="E9" s="110">
        <v>5206</v>
      </c>
      <c r="F9" s="110">
        <v>303</v>
      </c>
      <c r="G9" s="110">
        <v>8205</v>
      </c>
      <c r="H9" s="175">
        <f t="shared" si="1"/>
        <v>-380</v>
      </c>
      <c r="I9" s="175">
        <f t="shared" si="2"/>
        <v>-2</v>
      </c>
      <c r="J9" s="175">
        <f t="shared" si="3"/>
        <v>-372</v>
      </c>
    </row>
    <row r="10" spans="1:10" x14ac:dyDescent="0.25">
      <c r="A10" s="117" t="s">
        <v>47</v>
      </c>
      <c r="B10">
        <v>3086</v>
      </c>
      <c r="C10" s="126">
        <v>521</v>
      </c>
      <c r="D10">
        <v>7142</v>
      </c>
      <c r="E10" s="110">
        <v>2886</v>
      </c>
      <c r="F10" s="110">
        <v>513</v>
      </c>
      <c r="G10" s="110">
        <v>6737</v>
      </c>
      <c r="H10" s="175">
        <f t="shared" si="1"/>
        <v>-200</v>
      </c>
      <c r="I10" s="175">
        <f t="shared" si="2"/>
        <v>-8</v>
      </c>
      <c r="J10" s="175">
        <f t="shared" si="3"/>
        <v>-405</v>
      </c>
    </row>
    <row r="11" spans="1:10" x14ac:dyDescent="0.25">
      <c r="A11" s="117" t="s">
        <v>48</v>
      </c>
      <c r="B11">
        <v>10754</v>
      </c>
      <c r="C11" s="126">
        <v>1610</v>
      </c>
      <c r="D11">
        <v>18971</v>
      </c>
      <c r="E11" s="110">
        <v>10455</v>
      </c>
      <c r="F11" s="110">
        <v>1586</v>
      </c>
      <c r="G11" s="110">
        <v>18362</v>
      </c>
      <c r="H11" s="175">
        <f t="shared" si="1"/>
        <v>-299</v>
      </c>
      <c r="I11" s="175">
        <f t="shared" si="2"/>
        <v>-24</v>
      </c>
      <c r="J11" s="175">
        <f t="shared" si="3"/>
        <v>-609</v>
      </c>
    </row>
    <row r="12" spans="1:10" x14ac:dyDescent="0.25">
      <c r="A12" s="117" t="s">
        <v>49</v>
      </c>
      <c r="B12">
        <v>5107</v>
      </c>
      <c r="C12" s="126">
        <v>283</v>
      </c>
      <c r="D12">
        <v>11658</v>
      </c>
      <c r="E12" s="110">
        <v>4787</v>
      </c>
      <c r="F12" s="110">
        <v>696</v>
      </c>
      <c r="G12" s="110">
        <v>11272</v>
      </c>
      <c r="H12" s="175">
        <f t="shared" si="1"/>
        <v>-320</v>
      </c>
      <c r="I12" s="175">
        <f t="shared" si="2"/>
        <v>413</v>
      </c>
      <c r="J12" s="175">
        <f t="shared" si="3"/>
        <v>-386</v>
      </c>
    </row>
    <row r="13" spans="1:10" x14ac:dyDescent="0.25">
      <c r="A13" s="117" t="s">
        <v>50</v>
      </c>
      <c r="B13">
        <v>8812</v>
      </c>
      <c r="C13" s="126">
        <v>884</v>
      </c>
      <c r="D13">
        <v>17781</v>
      </c>
      <c r="E13" s="110">
        <v>8010</v>
      </c>
      <c r="F13" s="110">
        <v>1343</v>
      </c>
      <c r="G13" s="110">
        <v>18275</v>
      </c>
      <c r="H13" s="175">
        <f t="shared" si="1"/>
        <v>-802</v>
      </c>
      <c r="I13" s="175">
        <f t="shared" si="2"/>
        <v>459</v>
      </c>
      <c r="J13" s="175">
        <f t="shared" si="3"/>
        <v>494</v>
      </c>
    </row>
    <row r="14" spans="1:10" x14ac:dyDescent="0.25">
      <c r="A14" s="117" t="s">
        <v>51</v>
      </c>
      <c r="B14">
        <v>4898</v>
      </c>
      <c r="C14" s="126">
        <v>457</v>
      </c>
      <c r="D14">
        <v>10958</v>
      </c>
      <c r="E14" s="110">
        <v>5010</v>
      </c>
      <c r="F14" s="110">
        <v>501</v>
      </c>
      <c r="G14" s="110">
        <v>11058</v>
      </c>
      <c r="H14" s="175">
        <f t="shared" si="1"/>
        <v>112</v>
      </c>
      <c r="I14" s="175">
        <f t="shared" si="2"/>
        <v>44</v>
      </c>
      <c r="J14" s="175">
        <f t="shared" si="3"/>
        <v>100</v>
      </c>
    </row>
    <row r="15" spans="1:10" x14ac:dyDescent="0.25">
      <c r="A15" s="117" t="s">
        <v>52</v>
      </c>
      <c r="B15">
        <v>12015</v>
      </c>
      <c r="C15" s="126">
        <v>1280</v>
      </c>
      <c r="D15">
        <v>31151</v>
      </c>
      <c r="E15" s="110">
        <v>11222</v>
      </c>
      <c r="F15" s="110">
        <v>1342</v>
      </c>
      <c r="G15" s="110">
        <v>32107</v>
      </c>
      <c r="H15" s="175">
        <f t="shared" si="1"/>
        <v>-793</v>
      </c>
      <c r="I15" s="175">
        <f t="shared" si="2"/>
        <v>62</v>
      </c>
      <c r="J15" s="175">
        <f t="shared" si="3"/>
        <v>956</v>
      </c>
    </row>
    <row r="16" spans="1:10" x14ac:dyDescent="0.25">
      <c r="A16" s="117" t="s">
        <v>53</v>
      </c>
      <c r="B16">
        <v>2838</v>
      </c>
      <c r="C16" s="126">
        <v>788</v>
      </c>
      <c r="D16">
        <v>5544</v>
      </c>
      <c r="E16" s="110">
        <v>2459</v>
      </c>
      <c r="F16" s="110">
        <v>341</v>
      </c>
      <c r="G16" s="110">
        <v>5230</v>
      </c>
      <c r="H16" s="175">
        <f t="shared" si="1"/>
        <v>-379</v>
      </c>
      <c r="I16" s="175">
        <f t="shared" si="2"/>
        <v>-447</v>
      </c>
      <c r="J16" s="175">
        <f t="shared" si="3"/>
        <v>-314</v>
      </c>
    </row>
    <row r="17" spans="1:10" x14ac:dyDescent="0.25">
      <c r="A17" s="117" t="s">
        <v>54</v>
      </c>
      <c r="B17">
        <v>9025</v>
      </c>
      <c r="C17" s="126">
        <v>2275</v>
      </c>
      <c r="D17">
        <v>18504</v>
      </c>
      <c r="E17" s="110">
        <v>8978</v>
      </c>
      <c r="F17" s="110">
        <v>1245</v>
      </c>
      <c r="G17" s="110">
        <v>18682</v>
      </c>
      <c r="H17" s="175">
        <f t="shared" si="1"/>
        <v>-47</v>
      </c>
      <c r="I17" s="175">
        <f t="shared" si="2"/>
        <v>-1030</v>
      </c>
      <c r="J17" s="175">
        <f t="shared" si="3"/>
        <v>178</v>
      </c>
    </row>
    <row r="18" spans="1:10" x14ac:dyDescent="0.25">
      <c r="A18" s="117" t="s">
        <v>55</v>
      </c>
      <c r="B18">
        <v>1087</v>
      </c>
      <c r="C18" s="126">
        <v>60</v>
      </c>
      <c r="D18">
        <v>1843</v>
      </c>
      <c r="E18" s="110">
        <v>1133</v>
      </c>
      <c r="F18" s="110">
        <v>22</v>
      </c>
      <c r="G18" s="110">
        <v>1948</v>
      </c>
      <c r="H18" s="175">
        <f t="shared" si="1"/>
        <v>46</v>
      </c>
      <c r="I18" s="175">
        <f t="shared" si="2"/>
        <v>-38</v>
      </c>
      <c r="J18" s="175">
        <f t="shared" si="3"/>
        <v>105</v>
      </c>
    </row>
    <row r="19" spans="1:10" x14ac:dyDescent="0.25">
      <c r="A19" s="117" t="s">
        <v>56</v>
      </c>
      <c r="B19">
        <v>4889</v>
      </c>
      <c r="C19" s="126">
        <v>791</v>
      </c>
      <c r="D19">
        <v>9150</v>
      </c>
      <c r="E19" s="110">
        <v>5259</v>
      </c>
      <c r="F19" s="110">
        <v>559</v>
      </c>
      <c r="G19" s="110">
        <v>9811</v>
      </c>
      <c r="H19" s="175">
        <f t="shared" si="1"/>
        <v>370</v>
      </c>
      <c r="I19" s="175">
        <f t="shared" si="2"/>
        <v>-232</v>
      </c>
      <c r="J19" s="175">
        <f t="shared" si="3"/>
        <v>661</v>
      </c>
    </row>
    <row r="20" spans="1:10" x14ac:dyDescent="0.25">
      <c r="A20" s="117" t="s">
        <v>57</v>
      </c>
      <c r="B20">
        <v>8731</v>
      </c>
      <c r="C20" s="126">
        <v>3079</v>
      </c>
      <c r="D20">
        <v>17587</v>
      </c>
      <c r="E20" s="110">
        <v>8472</v>
      </c>
      <c r="F20" s="110">
        <v>1306</v>
      </c>
      <c r="G20" s="110">
        <v>17070</v>
      </c>
      <c r="H20" s="175">
        <f t="shared" si="1"/>
        <v>-259</v>
      </c>
      <c r="I20" s="175">
        <f t="shared" si="2"/>
        <v>-1773</v>
      </c>
      <c r="J20" s="175">
        <f t="shared" si="3"/>
        <v>-517</v>
      </c>
    </row>
    <row r="21" spans="1:10" x14ac:dyDescent="0.25">
      <c r="A21" s="117" t="s">
        <v>58</v>
      </c>
      <c r="B21">
        <v>407</v>
      </c>
      <c r="C21" s="126">
        <v>18</v>
      </c>
      <c r="D21">
        <v>1471</v>
      </c>
      <c r="E21" s="110">
        <v>387</v>
      </c>
      <c r="F21" s="110">
        <v>18</v>
      </c>
      <c r="G21" s="110">
        <v>1752</v>
      </c>
      <c r="H21" s="175">
        <f t="shared" si="1"/>
        <v>-20</v>
      </c>
      <c r="I21" s="175">
        <f t="shared" si="2"/>
        <v>0</v>
      </c>
      <c r="J21" s="175">
        <f t="shared" si="3"/>
        <v>281</v>
      </c>
    </row>
    <row r="22" spans="1:10" ht="17.25" x14ac:dyDescent="0.25">
      <c r="A22" s="117" t="s">
        <v>59</v>
      </c>
      <c r="B22">
        <v>5843</v>
      </c>
      <c r="C22" s="126">
        <v>1864</v>
      </c>
      <c r="D22">
        <v>15397</v>
      </c>
      <c r="E22" s="110">
        <v>5706</v>
      </c>
      <c r="F22" s="110">
        <v>1877</v>
      </c>
      <c r="G22" s="110">
        <v>14261</v>
      </c>
      <c r="H22" s="175">
        <f t="shared" si="1"/>
        <v>-137</v>
      </c>
      <c r="I22" s="175">
        <f t="shared" si="2"/>
        <v>13</v>
      </c>
      <c r="J22" s="175">
        <f t="shared" si="3"/>
        <v>-1136</v>
      </c>
    </row>
    <row r="23" spans="1:10" x14ac:dyDescent="0.25">
      <c r="A23" s="117" t="s">
        <v>60</v>
      </c>
      <c r="B23">
        <v>1756</v>
      </c>
      <c r="C23" s="126">
        <v>271</v>
      </c>
      <c r="D23">
        <v>3398</v>
      </c>
      <c r="E23" s="110">
        <v>1731</v>
      </c>
      <c r="F23" s="110">
        <v>256</v>
      </c>
      <c r="G23" s="110">
        <v>3330</v>
      </c>
      <c r="H23" s="175">
        <f t="shared" si="1"/>
        <v>-25</v>
      </c>
      <c r="I23" s="175">
        <f t="shared" si="2"/>
        <v>-15</v>
      </c>
      <c r="J23" s="175">
        <f t="shared" si="3"/>
        <v>-68</v>
      </c>
    </row>
    <row r="24" spans="1:10" x14ac:dyDescent="0.25">
      <c r="A24" s="117" t="s">
        <v>61</v>
      </c>
      <c r="B24">
        <v>6409</v>
      </c>
      <c r="C24" s="126">
        <v>652</v>
      </c>
      <c r="D24">
        <v>12155</v>
      </c>
      <c r="E24" s="110">
        <v>6190</v>
      </c>
      <c r="F24" s="110">
        <v>581</v>
      </c>
      <c r="G24" s="110">
        <v>11485</v>
      </c>
      <c r="H24" s="175">
        <f t="shared" si="1"/>
        <v>-219</v>
      </c>
      <c r="I24" s="175">
        <f t="shared" si="2"/>
        <v>-71</v>
      </c>
      <c r="J24" s="175">
        <f t="shared" si="3"/>
        <v>-670</v>
      </c>
    </row>
    <row r="25" spans="1:10" x14ac:dyDescent="0.25">
      <c r="A25" s="117" t="s">
        <v>62</v>
      </c>
      <c r="B25">
        <v>8689</v>
      </c>
      <c r="C25" s="126">
        <v>581</v>
      </c>
      <c r="D25">
        <v>19171</v>
      </c>
      <c r="E25" s="110">
        <v>8567</v>
      </c>
      <c r="F25" s="110">
        <v>639</v>
      </c>
      <c r="G25" s="110">
        <v>19022</v>
      </c>
      <c r="H25" s="175">
        <f t="shared" si="1"/>
        <v>-122</v>
      </c>
      <c r="I25" s="175">
        <f t="shared" si="2"/>
        <v>58</v>
      </c>
      <c r="J25" s="175">
        <f t="shared" si="3"/>
        <v>-149</v>
      </c>
    </row>
    <row r="26" spans="1:10" x14ac:dyDescent="0.25">
      <c r="A26" s="117" t="s">
        <v>63</v>
      </c>
      <c r="B26">
        <v>2977</v>
      </c>
      <c r="C26" s="126">
        <v>880</v>
      </c>
      <c r="D26">
        <v>7721</v>
      </c>
      <c r="E26" s="110">
        <v>3090</v>
      </c>
      <c r="F26" s="110">
        <v>797</v>
      </c>
      <c r="G26" s="110">
        <v>7623</v>
      </c>
      <c r="H26" s="175">
        <f t="shared" si="1"/>
        <v>113</v>
      </c>
      <c r="I26" s="175">
        <f t="shared" si="2"/>
        <v>-83</v>
      </c>
      <c r="J26" s="175">
        <f t="shared" si="3"/>
        <v>-98</v>
      </c>
    </row>
    <row r="27" spans="1:10" x14ac:dyDescent="0.25">
      <c r="A27" s="117" t="s">
        <v>64</v>
      </c>
      <c r="B27">
        <v>4840</v>
      </c>
      <c r="C27" s="126">
        <v>367</v>
      </c>
      <c r="D27">
        <v>7827</v>
      </c>
      <c r="E27" s="110">
        <v>5274</v>
      </c>
      <c r="F27" s="110">
        <v>411</v>
      </c>
      <c r="G27" s="110">
        <v>8041</v>
      </c>
      <c r="H27" s="175">
        <f t="shared" si="1"/>
        <v>434</v>
      </c>
      <c r="I27" s="175">
        <f t="shared" si="2"/>
        <v>44</v>
      </c>
      <c r="J27" s="175">
        <f t="shared" si="3"/>
        <v>214</v>
      </c>
    </row>
    <row r="28" spans="1:10" x14ac:dyDescent="0.25">
      <c r="A28" s="117" t="s">
        <v>65</v>
      </c>
      <c r="B28">
        <v>12932</v>
      </c>
      <c r="C28" s="126">
        <v>1548</v>
      </c>
      <c r="D28">
        <v>22728</v>
      </c>
      <c r="E28" s="110">
        <v>12657</v>
      </c>
      <c r="F28" s="110">
        <v>1643</v>
      </c>
      <c r="G28" s="110">
        <v>24199</v>
      </c>
      <c r="H28" s="175">
        <f t="shared" si="1"/>
        <v>-275</v>
      </c>
      <c r="I28" s="175">
        <f t="shared" si="2"/>
        <v>95</v>
      </c>
      <c r="J28" s="175">
        <f t="shared" si="3"/>
        <v>1471</v>
      </c>
    </row>
    <row r="29" spans="1:10" x14ac:dyDescent="0.25">
      <c r="A29" s="117" t="s">
        <v>25</v>
      </c>
      <c r="B29">
        <v>518</v>
      </c>
      <c r="C29" s="126">
        <v>287</v>
      </c>
      <c r="D29">
        <v>1832</v>
      </c>
      <c r="E29" s="110">
        <v>489</v>
      </c>
      <c r="F29" s="110">
        <v>294</v>
      </c>
      <c r="G29" s="110">
        <v>1931</v>
      </c>
      <c r="H29" s="175">
        <f t="shared" si="1"/>
        <v>-29</v>
      </c>
      <c r="I29" s="175">
        <f t="shared" si="2"/>
        <v>7</v>
      </c>
      <c r="J29" s="175">
        <f t="shared" si="3"/>
        <v>99</v>
      </c>
    </row>
    <row r="30" spans="1:10" x14ac:dyDescent="0.25">
      <c r="A30" s="117" t="s">
        <v>26</v>
      </c>
      <c r="B30">
        <v>349</v>
      </c>
      <c r="C30" s="126">
        <v>144</v>
      </c>
      <c r="D30">
        <v>2681</v>
      </c>
      <c r="E30" s="110">
        <v>341</v>
      </c>
      <c r="F30" s="110">
        <v>32</v>
      </c>
      <c r="G30" s="110">
        <v>3052</v>
      </c>
      <c r="H30" s="175">
        <f t="shared" si="1"/>
        <v>-8</v>
      </c>
      <c r="I30" s="175">
        <f t="shared" si="2"/>
        <v>-112</v>
      </c>
      <c r="J30" s="175">
        <f t="shared" si="3"/>
        <v>371</v>
      </c>
    </row>
    <row r="31" spans="1:10" x14ac:dyDescent="0.25">
      <c r="A31" s="117" t="s">
        <v>66</v>
      </c>
      <c r="B31">
        <v>10102</v>
      </c>
      <c r="C31" s="126">
        <v>1330</v>
      </c>
      <c r="D31">
        <v>21020</v>
      </c>
      <c r="E31" s="110">
        <v>10280</v>
      </c>
      <c r="F31" s="110">
        <v>1379</v>
      </c>
      <c r="G31" s="110">
        <v>20263</v>
      </c>
      <c r="H31" s="175">
        <f t="shared" si="1"/>
        <v>178</v>
      </c>
      <c r="I31" s="175">
        <f t="shared" si="2"/>
        <v>49</v>
      </c>
      <c r="J31" s="175">
        <f t="shared" si="3"/>
        <v>-757</v>
      </c>
    </row>
    <row r="32" spans="1:10" x14ac:dyDescent="0.25">
      <c r="A32" s="117" t="s">
        <v>67</v>
      </c>
      <c r="B32">
        <v>48433</v>
      </c>
      <c r="C32" s="126">
        <v>7917</v>
      </c>
      <c r="D32">
        <v>97109</v>
      </c>
      <c r="E32" s="110">
        <v>41287</v>
      </c>
      <c r="F32" s="110">
        <v>6940</v>
      </c>
      <c r="G32" s="110">
        <v>93093</v>
      </c>
      <c r="H32" s="175">
        <f t="shared" si="1"/>
        <v>-7146</v>
      </c>
      <c r="I32" s="175">
        <f t="shared" si="2"/>
        <v>-977</v>
      </c>
      <c r="J32" s="175">
        <f t="shared" si="3"/>
        <v>-4016</v>
      </c>
    </row>
    <row r="33" spans="1:10" x14ac:dyDescent="0.25">
      <c r="A33" s="117" t="s">
        <v>68</v>
      </c>
      <c r="B33">
        <v>21700</v>
      </c>
      <c r="C33" s="126">
        <v>1900</v>
      </c>
      <c r="D33">
        <v>53302</v>
      </c>
      <c r="E33" s="110">
        <v>20826</v>
      </c>
      <c r="F33" s="110">
        <v>2479</v>
      </c>
      <c r="G33" s="110">
        <v>50784</v>
      </c>
      <c r="H33" s="175">
        <f t="shared" si="1"/>
        <v>-874</v>
      </c>
      <c r="I33" s="175">
        <f t="shared" si="2"/>
        <v>579</v>
      </c>
      <c r="J33" s="175">
        <f t="shared" si="3"/>
        <v>-2518</v>
      </c>
    </row>
    <row r="34" spans="1:10" x14ac:dyDescent="0.25">
      <c r="A34" s="117" t="s">
        <v>27</v>
      </c>
      <c r="B34">
        <v>878</v>
      </c>
      <c r="C34" s="126">
        <v>451</v>
      </c>
      <c r="D34">
        <v>2396</v>
      </c>
      <c r="E34" s="110">
        <v>908</v>
      </c>
      <c r="F34" s="110">
        <v>443</v>
      </c>
      <c r="G34" s="110">
        <v>2088</v>
      </c>
      <c r="H34" s="175">
        <f t="shared" si="1"/>
        <v>30</v>
      </c>
      <c r="I34" s="175">
        <f t="shared" si="2"/>
        <v>-8</v>
      </c>
      <c r="J34" s="175">
        <f t="shared" si="3"/>
        <v>-308</v>
      </c>
    </row>
    <row r="35" spans="1:10" x14ac:dyDescent="0.25">
      <c r="A35" s="117" t="s">
        <v>69</v>
      </c>
      <c r="B35">
        <v>1358</v>
      </c>
      <c r="C35" s="126">
        <v>98</v>
      </c>
      <c r="D35">
        <v>3113</v>
      </c>
      <c r="E35" s="110">
        <v>1341</v>
      </c>
      <c r="F35" s="110">
        <v>102</v>
      </c>
      <c r="G35" s="110">
        <v>2889</v>
      </c>
      <c r="H35" s="175">
        <f t="shared" si="1"/>
        <v>-17</v>
      </c>
      <c r="I35" s="175">
        <f t="shared" si="2"/>
        <v>4</v>
      </c>
      <c r="J35" s="175">
        <f t="shared" si="3"/>
        <v>-224</v>
      </c>
    </row>
    <row r="36" spans="1:10" x14ac:dyDescent="0.25">
      <c r="A36" s="117" t="s">
        <v>70</v>
      </c>
      <c r="B36">
        <v>5101</v>
      </c>
      <c r="C36" s="126">
        <v>582</v>
      </c>
      <c r="D36">
        <v>9191</v>
      </c>
      <c r="E36" s="110">
        <v>4890</v>
      </c>
      <c r="F36" s="110">
        <v>559</v>
      </c>
      <c r="G36" s="110">
        <v>9132</v>
      </c>
      <c r="H36" s="175">
        <f t="shared" si="1"/>
        <v>-211</v>
      </c>
      <c r="I36" s="175">
        <f t="shared" si="2"/>
        <v>-23</v>
      </c>
      <c r="J36" s="175">
        <f t="shared" si="3"/>
        <v>-59</v>
      </c>
    </row>
    <row r="37" spans="1:10" x14ac:dyDescent="0.25">
      <c r="A37" s="117" t="s">
        <v>28</v>
      </c>
      <c r="B37">
        <v>4648</v>
      </c>
      <c r="C37" s="126">
        <v>203</v>
      </c>
      <c r="D37">
        <v>9435</v>
      </c>
      <c r="E37" s="110">
        <v>4607</v>
      </c>
      <c r="F37" s="110">
        <v>227</v>
      </c>
      <c r="G37" s="110">
        <v>9394</v>
      </c>
      <c r="H37" s="175">
        <f t="shared" si="1"/>
        <v>-41</v>
      </c>
      <c r="I37" s="175">
        <f t="shared" si="2"/>
        <v>24</v>
      </c>
      <c r="J37" s="175">
        <f t="shared" si="3"/>
        <v>-41</v>
      </c>
    </row>
    <row r="38" spans="1:10" x14ac:dyDescent="0.25">
      <c r="A38" s="117" t="s">
        <v>71</v>
      </c>
      <c r="B38">
        <v>1703</v>
      </c>
      <c r="C38" s="126">
        <v>326</v>
      </c>
      <c r="D38">
        <v>3785</v>
      </c>
      <c r="E38" s="110">
        <v>1859</v>
      </c>
      <c r="F38" s="110">
        <v>319</v>
      </c>
      <c r="G38" s="110">
        <v>4510</v>
      </c>
      <c r="H38" s="175">
        <f t="shared" si="1"/>
        <v>156</v>
      </c>
      <c r="I38" s="175">
        <f t="shared" si="2"/>
        <v>-7</v>
      </c>
      <c r="J38" s="175">
        <f t="shared" si="3"/>
        <v>725</v>
      </c>
    </row>
    <row r="39" spans="1:10" x14ac:dyDescent="0.25">
      <c r="A39" s="117" t="s">
        <v>72</v>
      </c>
      <c r="B39">
        <v>11423</v>
      </c>
      <c r="C39" s="126">
        <v>1510</v>
      </c>
      <c r="D39">
        <v>24585</v>
      </c>
      <c r="E39" s="110">
        <v>11919</v>
      </c>
      <c r="F39" s="110">
        <v>1604</v>
      </c>
      <c r="G39" s="110">
        <v>24533</v>
      </c>
      <c r="H39" s="175">
        <f t="shared" si="1"/>
        <v>496</v>
      </c>
      <c r="I39" s="175">
        <f t="shared" si="2"/>
        <v>94</v>
      </c>
      <c r="J39" s="175">
        <f t="shared" si="3"/>
        <v>-52</v>
      </c>
    </row>
    <row r="40" spans="1:10" x14ac:dyDescent="0.25">
      <c r="A40" s="117" t="s">
        <v>73</v>
      </c>
      <c r="B40">
        <v>6655</v>
      </c>
      <c r="C40" s="126">
        <v>541</v>
      </c>
      <c r="D40">
        <v>13694</v>
      </c>
      <c r="E40" s="110">
        <v>6662</v>
      </c>
      <c r="F40" s="110">
        <v>532</v>
      </c>
      <c r="G40" s="110">
        <v>14174</v>
      </c>
      <c r="H40" s="175">
        <f t="shared" si="1"/>
        <v>7</v>
      </c>
      <c r="I40" s="175">
        <f t="shared" si="2"/>
        <v>-9</v>
      </c>
      <c r="J40" s="175">
        <f t="shared" si="3"/>
        <v>480</v>
      </c>
    </row>
    <row r="41" spans="1:10" x14ac:dyDescent="0.25">
      <c r="A41" s="117" t="s">
        <v>74</v>
      </c>
      <c r="B41">
        <v>1459</v>
      </c>
      <c r="C41" s="126">
        <v>341</v>
      </c>
      <c r="D41">
        <v>3950</v>
      </c>
      <c r="E41" s="110">
        <v>1361</v>
      </c>
      <c r="F41" s="110">
        <v>353</v>
      </c>
      <c r="G41" s="110">
        <v>3941</v>
      </c>
      <c r="H41" s="175">
        <f t="shared" si="1"/>
        <v>-98</v>
      </c>
      <c r="I41" s="175">
        <f t="shared" si="2"/>
        <v>12</v>
      </c>
      <c r="J41" s="175">
        <f t="shared" si="3"/>
        <v>-9</v>
      </c>
    </row>
    <row r="42" spans="1:10" x14ac:dyDescent="0.25">
      <c r="A42" s="117" t="s">
        <v>75</v>
      </c>
      <c r="B42">
        <v>11898</v>
      </c>
      <c r="C42" s="126">
        <v>2189</v>
      </c>
      <c r="D42">
        <v>26887</v>
      </c>
      <c r="E42" s="110">
        <v>11801</v>
      </c>
      <c r="F42" s="110">
        <v>1717</v>
      </c>
      <c r="G42" s="110">
        <v>25720</v>
      </c>
      <c r="H42" s="175">
        <f t="shared" si="1"/>
        <v>-97</v>
      </c>
      <c r="I42" s="175">
        <f t="shared" si="2"/>
        <v>-472</v>
      </c>
      <c r="J42" s="175">
        <f t="shared" si="3"/>
        <v>-1167</v>
      </c>
    </row>
    <row r="43" spans="1:10" x14ac:dyDescent="0.25">
      <c r="A43" s="117" t="s">
        <v>76</v>
      </c>
      <c r="B43">
        <v>1689</v>
      </c>
      <c r="C43" s="126">
        <v>151</v>
      </c>
      <c r="D43">
        <v>4158</v>
      </c>
      <c r="E43" s="110">
        <v>1638</v>
      </c>
      <c r="F43" s="110">
        <v>134</v>
      </c>
      <c r="G43" s="110">
        <v>3756</v>
      </c>
      <c r="H43" s="175">
        <f t="shared" si="1"/>
        <v>-51</v>
      </c>
      <c r="I43" s="175">
        <f t="shared" si="2"/>
        <v>-17</v>
      </c>
      <c r="J43" s="175">
        <f t="shared" si="3"/>
        <v>-402</v>
      </c>
    </row>
    <row r="44" spans="1:10" x14ac:dyDescent="0.25">
      <c r="A44" s="117" t="s">
        <v>77</v>
      </c>
      <c r="B44">
        <v>264</v>
      </c>
      <c r="C44" s="126">
        <v>24</v>
      </c>
      <c r="D44">
        <v>3169</v>
      </c>
      <c r="E44" s="110">
        <v>262</v>
      </c>
      <c r="F44" s="110">
        <v>27</v>
      </c>
      <c r="G44" s="110">
        <v>3265</v>
      </c>
      <c r="H44" s="175">
        <f t="shared" si="1"/>
        <v>-2</v>
      </c>
      <c r="I44" s="175">
        <f t="shared" si="2"/>
        <v>3</v>
      </c>
      <c r="J44" s="175">
        <f t="shared" si="3"/>
        <v>96</v>
      </c>
    </row>
    <row r="45" spans="1:10" x14ac:dyDescent="0.25">
      <c r="A45" s="117" t="s">
        <v>78</v>
      </c>
      <c r="B45">
        <v>4933</v>
      </c>
      <c r="C45" s="126">
        <v>685</v>
      </c>
      <c r="D45">
        <v>13689</v>
      </c>
      <c r="E45" s="110">
        <v>5090</v>
      </c>
      <c r="F45" s="110">
        <v>668</v>
      </c>
      <c r="G45" s="110">
        <v>14536</v>
      </c>
      <c r="H45" s="175">
        <f t="shared" si="1"/>
        <v>157</v>
      </c>
      <c r="I45" s="175">
        <f t="shared" si="2"/>
        <v>-17</v>
      </c>
      <c r="J45" s="175">
        <f t="shared" si="3"/>
        <v>847</v>
      </c>
    </row>
    <row r="46" spans="1:10" x14ac:dyDescent="0.25">
      <c r="A46" s="117" t="s">
        <v>79</v>
      </c>
      <c r="B46">
        <v>9744</v>
      </c>
      <c r="C46" s="126">
        <v>1114</v>
      </c>
      <c r="D46">
        <v>21037</v>
      </c>
      <c r="E46" s="110">
        <v>9872</v>
      </c>
      <c r="F46" s="110">
        <v>1143</v>
      </c>
      <c r="G46" s="110">
        <v>20091</v>
      </c>
      <c r="H46" s="175">
        <f t="shared" si="1"/>
        <v>128</v>
      </c>
      <c r="I46" s="175">
        <f t="shared" si="2"/>
        <v>29</v>
      </c>
      <c r="J46" s="175">
        <f t="shared" si="3"/>
        <v>-946</v>
      </c>
    </row>
    <row r="47" spans="1:10" x14ac:dyDescent="0.25">
      <c r="A47" s="117" t="s">
        <v>80</v>
      </c>
      <c r="B47">
        <v>7672</v>
      </c>
      <c r="C47" s="126">
        <v>510</v>
      </c>
      <c r="D47">
        <v>15967</v>
      </c>
      <c r="E47" s="110">
        <v>7528</v>
      </c>
      <c r="F47" s="110">
        <v>629</v>
      </c>
      <c r="G47" s="110">
        <v>15475</v>
      </c>
      <c r="H47" s="175">
        <f t="shared" si="1"/>
        <v>-144</v>
      </c>
      <c r="I47" s="175">
        <f t="shared" si="2"/>
        <v>119</v>
      </c>
      <c r="J47" s="175">
        <f t="shared" si="3"/>
        <v>-492</v>
      </c>
    </row>
    <row r="48" spans="1:10" x14ac:dyDescent="0.25">
      <c r="A48" s="117" t="s">
        <v>81</v>
      </c>
      <c r="B48">
        <v>5388</v>
      </c>
      <c r="C48" s="126">
        <v>2360</v>
      </c>
      <c r="D48">
        <v>18405</v>
      </c>
      <c r="E48" s="110">
        <v>6177</v>
      </c>
      <c r="F48" s="110">
        <v>2317</v>
      </c>
      <c r="G48" s="110">
        <v>18546</v>
      </c>
      <c r="H48" s="175">
        <f t="shared" si="1"/>
        <v>789</v>
      </c>
      <c r="I48" s="175">
        <f t="shared" si="2"/>
        <v>-43</v>
      </c>
      <c r="J48" s="175">
        <f t="shared" si="3"/>
        <v>141</v>
      </c>
    </row>
    <row r="49" spans="1:10" x14ac:dyDescent="0.25">
      <c r="A49" s="117" t="s">
        <v>82</v>
      </c>
      <c r="B49">
        <v>2167</v>
      </c>
      <c r="C49" s="126">
        <v>272</v>
      </c>
      <c r="D49">
        <v>3703</v>
      </c>
      <c r="E49" s="110">
        <v>2007</v>
      </c>
      <c r="F49" s="110">
        <v>231</v>
      </c>
      <c r="G49" s="110">
        <v>3626</v>
      </c>
      <c r="H49" s="175">
        <f t="shared" si="1"/>
        <v>-160</v>
      </c>
      <c r="I49" s="175">
        <f t="shared" si="2"/>
        <v>-41</v>
      </c>
      <c r="J49" s="175">
        <f t="shared" si="3"/>
        <v>-77</v>
      </c>
    </row>
    <row r="50" spans="1:10" x14ac:dyDescent="0.25">
      <c r="A50" s="117" t="s">
        <v>83</v>
      </c>
      <c r="B50">
        <v>5509</v>
      </c>
      <c r="C50" s="126">
        <v>262</v>
      </c>
      <c r="D50">
        <v>12408</v>
      </c>
      <c r="E50" s="110">
        <v>5583</v>
      </c>
      <c r="F50" s="110">
        <v>274</v>
      </c>
      <c r="G50" s="110">
        <v>12227</v>
      </c>
      <c r="H50" s="175">
        <f t="shared" si="1"/>
        <v>74</v>
      </c>
      <c r="I50" s="175">
        <f t="shared" si="2"/>
        <v>12</v>
      </c>
      <c r="J50" s="175">
        <f t="shared" si="3"/>
        <v>-181</v>
      </c>
    </row>
    <row r="51" spans="1:10" x14ac:dyDescent="0.25">
      <c r="A51" s="117" t="s">
        <v>84</v>
      </c>
      <c r="B51">
        <v>13993</v>
      </c>
      <c r="C51" s="126">
        <v>1457</v>
      </c>
      <c r="D51">
        <v>29065</v>
      </c>
      <c r="E51" s="110">
        <v>14692</v>
      </c>
      <c r="F51" s="110">
        <v>1493</v>
      </c>
      <c r="G51" s="110">
        <v>29602</v>
      </c>
      <c r="H51" s="175">
        <f t="shared" si="1"/>
        <v>699</v>
      </c>
      <c r="I51" s="175">
        <f t="shared" si="2"/>
        <v>36</v>
      </c>
      <c r="J51" s="175">
        <f t="shared" si="3"/>
        <v>537</v>
      </c>
    </row>
    <row r="52" spans="1:10" x14ac:dyDescent="0.25">
      <c r="A52" s="117" t="s">
        <v>85</v>
      </c>
      <c r="B52">
        <v>6300</v>
      </c>
      <c r="C52" s="126">
        <v>959</v>
      </c>
      <c r="D52">
        <v>16826</v>
      </c>
      <c r="E52" s="110">
        <v>6145</v>
      </c>
      <c r="F52" s="110">
        <v>1003</v>
      </c>
      <c r="G52" s="110">
        <v>17228</v>
      </c>
      <c r="H52" s="175">
        <f t="shared" si="1"/>
        <v>-155</v>
      </c>
      <c r="I52" s="175">
        <f t="shared" si="2"/>
        <v>44</v>
      </c>
      <c r="J52" s="175">
        <f t="shared" si="3"/>
        <v>402</v>
      </c>
    </row>
    <row r="53" spans="1:10" x14ac:dyDescent="0.25">
      <c r="A53" s="117" t="s">
        <v>86</v>
      </c>
      <c r="B53">
        <v>14498</v>
      </c>
      <c r="C53" s="126">
        <v>1684</v>
      </c>
      <c r="D53">
        <v>33604</v>
      </c>
      <c r="E53" s="110">
        <v>14043</v>
      </c>
      <c r="F53" s="110">
        <v>1807</v>
      </c>
      <c r="G53" s="110">
        <v>32446</v>
      </c>
      <c r="H53" s="175">
        <f t="shared" si="1"/>
        <v>-455</v>
      </c>
      <c r="I53" s="175">
        <f t="shared" si="2"/>
        <v>123</v>
      </c>
      <c r="J53" s="175">
        <f t="shared" si="3"/>
        <v>-1158</v>
      </c>
    </row>
    <row r="54" spans="1:10" x14ac:dyDescent="0.25">
      <c r="A54" s="117" t="s">
        <v>29</v>
      </c>
      <c r="B54">
        <v>4460</v>
      </c>
      <c r="C54" s="126">
        <v>652</v>
      </c>
      <c r="D54">
        <v>11981</v>
      </c>
      <c r="E54" s="110">
        <v>4131</v>
      </c>
      <c r="F54" s="110">
        <v>676</v>
      </c>
      <c r="G54" s="110">
        <v>12511</v>
      </c>
      <c r="H54" s="175">
        <f t="shared" si="1"/>
        <v>-329</v>
      </c>
      <c r="I54" s="175">
        <f t="shared" si="2"/>
        <v>24</v>
      </c>
      <c r="J54" s="175">
        <f t="shared" si="3"/>
        <v>530</v>
      </c>
    </row>
    <row r="55" spans="1:10" x14ac:dyDescent="0.25">
      <c r="A55" s="117" t="s">
        <v>87</v>
      </c>
      <c r="B55">
        <v>6649</v>
      </c>
      <c r="C55" s="126">
        <v>707</v>
      </c>
      <c r="D55">
        <v>16119</v>
      </c>
      <c r="E55" s="110">
        <v>6538</v>
      </c>
      <c r="F55" s="110">
        <v>761</v>
      </c>
      <c r="G55" s="110">
        <v>15668</v>
      </c>
      <c r="H55" s="175">
        <f t="shared" si="1"/>
        <v>-111</v>
      </c>
      <c r="I55" s="175">
        <f t="shared" si="2"/>
        <v>54</v>
      </c>
      <c r="J55" s="175">
        <f t="shared" si="3"/>
        <v>-451</v>
      </c>
    </row>
    <row r="56" spans="1:10" x14ac:dyDescent="0.25">
      <c r="A56" s="117" t="s">
        <v>88</v>
      </c>
      <c r="B56">
        <v>4867</v>
      </c>
      <c r="C56" s="126">
        <v>735</v>
      </c>
      <c r="D56">
        <v>11273</v>
      </c>
      <c r="E56" s="110">
        <v>4995</v>
      </c>
      <c r="F56" s="110">
        <v>844</v>
      </c>
      <c r="G56" s="110">
        <v>11170</v>
      </c>
      <c r="H56" s="175">
        <f t="shared" si="1"/>
        <v>128</v>
      </c>
      <c r="I56" s="175">
        <f t="shared" si="2"/>
        <v>109</v>
      </c>
      <c r="J56" s="175">
        <f t="shared" si="3"/>
        <v>-103</v>
      </c>
    </row>
    <row r="57" spans="1:10" x14ac:dyDescent="0.25">
      <c r="A57" s="117" t="s">
        <v>89</v>
      </c>
      <c r="B57">
        <v>2415</v>
      </c>
      <c r="C57" s="126">
        <v>289</v>
      </c>
      <c r="D57">
        <v>5183</v>
      </c>
      <c r="E57" s="110">
        <v>2615</v>
      </c>
      <c r="F57" s="110">
        <v>267</v>
      </c>
      <c r="G57" s="110">
        <v>5362</v>
      </c>
      <c r="H57" s="175">
        <f t="shared" si="1"/>
        <v>200</v>
      </c>
      <c r="I57" s="175">
        <f t="shared" si="2"/>
        <v>-22</v>
      </c>
      <c r="J57" s="175">
        <f t="shared" si="3"/>
        <v>179</v>
      </c>
    </row>
    <row r="58" spans="1:10" x14ac:dyDescent="0.25">
      <c r="A58" s="117" t="s">
        <v>90</v>
      </c>
      <c r="B58">
        <v>4020</v>
      </c>
      <c r="C58" s="126">
        <v>824</v>
      </c>
      <c r="D58">
        <v>12169</v>
      </c>
      <c r="E58" s="110">
        <v>3724</v>
      </c>
      <c r="F58" s="110">
        <v>762</v>
      </c>
      <c r="G58" s="110">
        <v>11437</v>
      </c>
      <c r="H58" s="175">
        <f t="shared" si="1"/>
        <v>-296</v>
      </c>
      <c r="I58" s="175">
        <f t="shared" si="2"/>
        <v>-62</v>
      </c>
      <c r="J58" s="175">
        <f t="shared" si="3"/>
        <v>-732</v>
      </c>
    </row>
    <row r="59" spans="1:10" x14ac:dyDescent="0.25">
      <c r="A59" s="117" t="s">
        <v>91</v>
      </c>
      <c r="B59">
        <v>4184</v>
      </c>
      <c r="C59" s="126">
        <v>507</v>
      </c>
      <c r="D59">
        <v>9910</v>
      </c>
      <c r="E59" s="110">
        <v>4013</v>
      </c>
      <c r="F59" s="110">
        <v>533</v>
      </c>
      <c r="G59" s="110">
        <v>9472</v>
      </c>
      <c r="H59" s="175">
        <f t="shared" si="1"/>
        <v>-171</v>
      </c>
      <c r="I59" s="175">
        <f t="shared" si="2"/>
        <v>26</v>
      </c>
      <c r="J59" s="175">
        <f t="shared" si="3"/>
        <v>-438</v>
      </c>
    </row>
    <row r="60" spans="1:10" x14ac:dyDescent="0.25">
      <c r="A60" s="117" t="s">
        <v>92</v>
      </c>
      <c r="B60">
        <v>4823</v>
      </c>
      <c r="C60" s="126">
        <v>663</v>
      </c>
      <c r="D60">
        <v>11606</v>
      </c>
      <c r="E60" s="110">
        <v>4150</v>
      </c>
      <c r="F60" s="110">
        <v>679</v>
      </c>
      <c r="G60" s="110">
        <v>11040</v>
      </c>
      <c r="H60" s="175">
        <f t="shared" si="1"/>
        <v>-673</v>
      </c>
      <c r="I60" s="175">
        <f t="shared" si="2"/>
        <v>16</v>
      </c>
      <c r="J60" s="175">
        <f t="shared" si="3"/>
        <v>-566</v>
      </c>
    </row>
    <row r="61" spans="1:10" x14ac:dyDescent="0.25">
      <c r="A61" s="117" t="s">
        <v>31</v>
      </c>
      <c r="B61">
        <v>8036</v>
      </c>
      <c r="C61" s="126">
        <v>1372</v>
      </c>
      <c r="D61">
        <v>20226</v>
      </c>
      <c r="E61" s="110">
        <v>8117</v>
      </c>
      <c r="F61" s="110">
        <v>1427</v>
      </c>
      <c r="G61" s="110">
        <v>19363</v>
      </c>
      <c r="H61" s="175">
        <f t="shared" si="1"/>
        <v>81</v>
      </c>
      <c r="I61" s="175">
        <f t="shared" si="2"/>
        <v>55</v>
      </c>
      <c r="J61" s="175">
        <f t="shared" si="3"/>
        <v>-863</v>
      </c>
    </row>
    <row r="62" spans="1:10" x14ac:dyDescent="0.25">
      <c r="A62" s="117" t="s">
        <v>93</v>
      </c>
      <c r="B62">
        <v>5773</v>
      </c>
      <c r="C62" s="126">
        <v>518</v>
      </c>
      <c r="D62">
        <v>9951</v>
      </c>
      <c r="E62" s="110">
        <v>6080</v>
      </c>
      <c r="F62" s="110">
        <v>525</v>
      </c>
      <c r="G62" s="110">
        <v>10093</v>
      </c>
      <c r="H62" s="175">
        <f t="shared" si="1"/>
        <v>307</v>
      </c>
      <c r="I62" s="175">
        <f t="shared" si="2"/>
        <v>7</v>
      </c>
      <c r="J62" s="175">
        <f t="shared" si="3"/>
        <v>142</v>
      </c>
    </row>
    <row r="63" spans="1:10" x14ac:dyDescent="0.25">
      <c r="A63" s="117" t="s">
        <v>94</v>
      </c>
      <c r="B63">
        <v>3770</v>
      </c>
      <c r="C63" s="126">
        <v>171</v>
      </c>
      <c r="D63">
        <v>6322</v>
      </c>
      <c r="E63" s="110">
        <v>3795</v>
      </c>
      <c r="F63" s="110">
        <v>250</v>
      </c>
      <c r="G63" s="110">
        <v>7628</v>
      </c>
      <c r="H63" s="175">
        <f t="shared" si="1"/>
        <v>25</v>
      </c>
      <c r="I63" s="175">
        <f t="shared" si="2"/>
        <v>79</v>
      </c>
      <c r="J63" s="175">
        <f t="shared" si="3"/>
        <v>1306</v>
      </c>
    </row>
    <row r="64" spans="1:10" x14ac:dyDescent="0.25">
      <c r="A64" s="117" t="s">
        <v>95</v>
      </c>
      <c r="B64">
        <v>6047</v>
      </c>
      <c r="C64" s="126">
        <v>696</v>
      </c>
      <c r="D64">
        <v>11723</v>
      </c>
      <c r="E64" s="110">
        <v>5736</v>
      </c>
      <c r="F64" s="110">
        <v>902</v>
      </c>
      <c r="G64" s="110">
        <v>11570</v>
      </c>
      <c r="H64" s="175">
        <f t="shared" si="1"/>
        <v>-311</v>
      </c>
      <c r="I64" s="175">
        <f t="shared" si="2"/>
        <v>206</v>
      </c>
      <c r="J64" s="175">
        <f t="shared" si="3"/>
        <v>-153</v>
      </c>
    </row>
    <row r="65" spans="1:10" x14ac:dyDescent="0.25">
      <c r="A65" s="117" t="s">
        <v>96</v>
      </c>
      <c r="B65">
        <v>827</v>
      </c>
      <c r="C65" s="126">
        <v>25</v>
      </c>
      <c r="D65">
        <v>1257</v>
      </c>
      <c r="E65" s="110">
        <v>837</v>
      </c>
      <c r="F65" s="110">
        <v>40</v>
      </c>
      <c r="G65" s="110">
        <v>1242</v>
      </c>
      <c r="H65" s="175">
        <f t="shared" si="1"/>
        <v>10</v>
      </c>
      <c r="I65" s="175">
        <f t="shared" si="2"/>
        <v>15</v>
      </c>
      <c r="J65" s="175">
        <f t="shared" si="3"/>
        <v>-15</v>
      </c>
    </row>
    <row r="66" spans="1:10" x14ac:dyDescent="0.25">
      <c r="A66" s="117" t="s">
        <v>97</v>
      </c>
      <c r="B66">
        <v>2329</v>
      </c>
      <c r="C66" s="126">
        <v>40</v>
      </c>
      <c r="D66">
        <v>6265</v>
      </c>
      <c r="E66" s="110">
        <v>1986</v>
      </c>
      <c r="F66" s="110">
        <v>207</v>
      </c>
      <c r="G66" s="110">
        <v>5980</v>
      </c>
      <c r="H66" s="175">
        <f t="shared" si="1"/>
        <v>-343</v>
      </c>
      <c r="I66" s="175">
        <f t="shared" si="2"/>
        <v>167</v>
      </c>
      <c r="J66" s="175">
        <f t="shared" si="3"/>
        <v>-285</v>
      </c>
    </row>
    <row r="67" spans="1:10" x14ac:dyDescent="0.25">
      <c r="A67" s="117" t="s">
        <v>98</v>
      </c>
      <c r="B67">
        <v>3750</v>
      </c>
      <c r="C67" s="126">
        <v>982</v>
      </c>
      <c r="D67">
        <v>10017</v>
      </c>
      <c r="E67" s="110">
        <v>4052</v>
      </c>
      <c r="F67" s="110">
        <v>953</v>
      </c>
      <c r="G67" s="110">
        <v>10166</v>
      </c>
      <c r="H67" s="175">
        <f t="shared" si="1"/>
        <v>302</v>
      </c>
      <c r="I67" s="175">
        <f t="shared" si="2"/>
        <v>-29</v>
      </c>
      <c r="J67" s="175">
        <f t="shared" si="3"/>
        <v>149</v>
      </c>
    </row>
    <row r="68" spans="1:10" x14ac:dyDescent="0.25">
      <c r="A68" s="117" t="s">
        <v>99</v>
      </c>
      <c r="B68">
        <v>6332</v>
      </c>
      <c r="C68" s="126">
        <v>1405</v>
      </c>
      <c r="D68">
        <v>16096</v>
      </c>
      <c r="E68" s="110">
        <v>5670</v>
      </c>
      <c r="F68" s="110">
        <v>1364</v>
      </c>
      <c r="G68" s="110">
        <v>14923</v>
      </c>
      <c r="H68" s="175">
        <f t="shared" si="1"/>
        <v>-662</v>
      </c>
      <c r="I68" s="175">
        <f t="shared" si="2"/>
        <v>-41</v>
      </c>
      <c r="J68" s="175">
        <f t="shared" si="3"/>
        <v>-1173</v>
      </c>
    </row>
    <row r="69" spans="1:10" x14ac:dyDescent="0.25">
      <c r="A69" s="117" t="s">
        <v>100</v>
      </c>
      <c r="B69">
        <v>6930</v>
      </c>
      <c r="C69" s="126">
        <v>665</v>
      </c>
      <c r="D69">
        <v>15756</v>
      </c>
      <c r="E69" s="110">
        <v>6752</v>
      </c>
      <c r="F69" s="110">
        <v>742</v>
      </c>
      <c r="G69" s="110">
        <v>15174</v>
      </c>
      <c r="H69" s="175">
        <f t="shared" si="1"/>
        <v>-178</v>
      </c>
      <c r="I69" s="175">
        <f t="shared" si="2"/>
        <v>77</v>
      </c>
      <c r="J69" s="175">
        <f t="shared" si="3"/>
        <v>-582</v>
      </c>
    </row>
    <row r="70" spans="1:10" x14ac:dyDescent="0.25">
      <c r="A70" s="117" t="s">
        <v>101</v>
      </c>
      <c r="B70">
        <v>15775</v>
      </c>
      <c r="C70" s="126">
        <v>1905</v>
      </c>
      <c r="D70">
        <v>30797</v>
      </c>
      <c r="E70" s="110">
        <v>16377</v>
      </c>
      <c r="F70" s="110">
        <v>1994</v>
      </c>
      <c r="G70" s="110">
        <v>31565</v>
      </c>
      <c r="H70" s="175">
        <f t="shared" si="1"/>
        <v>602</v>
      </c>
      <c r="I70" s="175">
        <f t="shared" si="2"/>
        <v>89</v>
      </c>
      <c r="J70" s="175">
        <f t="shared" si="3"/>
        <v>768</v>
      </c>
    </row>
    <row r="71" spans="1:10" x14ac:dyDescent="0.25">
      <c r="A71" s="117" t="s">
        <v>102</v>
      </c>
      <c r="B71">
        <v>9497</v>
      </c>
      <c r="C71" s="126">
        <v>1123</v>
      </c>
      <c r="D71">
        <v>22356</v>
      </c>
      <c r="E71" s="110">
        <v>9814</v>
      </c>
      <c r="F71" s="110">
        <v>1172</v>
      </c>
      <c r="G71" s="110">
        <v>21602</v>
      </c>
      <c r="H71" s="175">
        <f t="shared" ref="H71:H77" si="4">E71-B71</f>
        <v>317</v>
      </c>
      <c r="I71" s="175">
        <f t="shared" ref="I71:I77" si="5">F71-C71</f>
        <v>49</v>
      </c>
      <c r="J71" s="175">
        <f t="shared" ref="J71:J77" si="6">G71-D71</f>
        <v>-754</v>
      </c>
    </row>
    <row r="72" spans="1:10" x14ac:dyDescent="0.25">
      <c r="A72" s="117" t="s">
        <v>103</v>
      </c>
      <c r="B72">
        <v>7190</v>
      </c>
      <c r="C72" s="126">
        <v>352</v>
      </c>
      <c r="D72">
        <v>12057</v>
      </c>
      <c r="E72" s="110">
        <v>6938</v>
      </c>
      <c r="F72" s="110">
        <v>308</v>
      </c>
      <c r="G72" s="110">
        <v>11759</v>
      </c>
      <c r="H72" s="175">
        <f t="shared" si="4"/>
        <v>-252</v>
      </c>
      <c r="I72" s="175">
        <f t="shared" si="5"/>
        <v>-44</v>
      </c>
      <c r="J72" s="175">
        <f t="shared" si="6"/>
        <v>-298</v>
      </c>
    </row>
    <row r="73" spans="1:10" x14ac:dyDescent="0.25">
      <c r="A73" s="117" t="s">
        <v>104</v>
      </c>
      <c r="B73">
        <v>3250</v>
      </c>
      <c r="C73" s="126">
        <v>378</v>
      </c>
      <c r="D73">
        <v>6156</v>
      </c>
      <c r="E73" s="110">
        <v>3224</v>
      </c>
      <c r="F73" s="110">
        <v>342</v>
      </c>
      <c r="G73" s="110">
        <v>6092</v>
      </c>
      <c r="H73" s="175">
        <f t="shared" si="4"/>
        <v>-26</v>
      </c>
      <c r="I73" s="175">
        <f t="shared" si="5"/>
        <v>-36</v>
      </c>
      <c r="J73" s="175">
        <f t="shared" si="6"/>
        <v>-64</v>
      </c>
    </row>
    <row r="74" spans="1:10" x14ac:dyDescent="0.25">
      <c r="A74" s="117" t="s">
        <v>33</v>
      </c>
      <c r="B74">
        <v>1381</v>
      </c>
      <c r="C74" s="126">
        <v>124</v>
      </c>
      <c r="D74">
        <v>3017</v>
      </c>
      <c r="E74" s="110">
        <v>1506</v>
      </c>
      <c r="F74" s="110">
        <v>143</v>
      </c>
      <c r="G74" s="110">
        <v>3177</v>
      </c>
      <c r="H74" s="175">
        <f t="shared" si="4"/>
        <v>125</v>
      </c>
      <c r="I74" s="175">
        <f t="shared" si="5"/>
        <v>19</v>
      </c>
      <c r="J74" s="175">
        <f t="shared" si="6"/>
        <v>160</v>
      </c>
    </row>
    <row r="75" spans="1:10" ht="17.25" x14ac:dyDescent="0.25">
      <c r="A75" s="117" t="s">
        <v>105</v>
      </c>
      <c r="B75">
        <v>2916</v>
      </c>
      <c r="C75" s="126">
        <v>342</v>
      </c>
      <c r="D75">
        <v>7008</v>
      </c>
      <c r="E75" s="110">
        <v>2780</v>
      </c>
      <c r="F75" s="110">
        <v>215</v>
      </c>
      <c r="G75" s="110">
        <v>6054</v>
      </c>
      <c r="H75" s="175">
        <f t="shared" si="4"/>
        <v>-136</v>
      </c>
      <c r="I75" s="175">
        <f t="shared" si="5"/>
        <v>-127</v>
      </c>
      <c r="J75" s="175">
        <f t="shared" si="6"/>
        <v>-954</v>
      </c>
    </row>
    <row r="76" spans="1:10" x14ac:dyDescent="0.25">
      <c r="A76" s="117" t="s">
        <v>106</v>
      </c>
      <c r="B76">
        <v>9065</v>
      </c>
      <c r="C76" s="126">
        <v>914</v>
      </c>
      <c r="D76">
        <v>18081</v>
      </c>
      <c r="E76" s="110">
        <v>9094</v>
      </c>
      <c r="F76" s="110">
        <v>1000</v>
      </c>
      <c r="G76" s="110">
        <v>18013</v>
      </c>
      <c r="H76" s="175">
        <f t="shared" si="4"/>
        <v>29</v>
      </c>
      <c r="I76" s="175">
        <f t="shared" si="5"/>
        <v>86</v>
      </c>
      <c r="J76" s="175">
        <f t="shared" si="6"/>
        <v>-68</v>
      </c>
    </row>
    <row r="77" spans="1:10" x14ac:dyDescent="0.25">
      <c r="A77" s="117" t="s">
        <v>107</v>
      </c>
      <c r="B77">
        <v>4370</v>
      </c>
      <c r="C77" s="126">
        <v>382</v>
      </c>
      <c r="D77">
        <v>8067</v>
      </c>
      <c r="E77" s="110">
        <v>4137</v>
      </c>
      <c r="F77" s="110">
        <v>360</v>
      </c>
      <c r="G77" s="110">
        <v>7764</v>
      </c>
      <c r="H77" s="175">
        <f t="shared" si="4"/>
        <v>-233</v>
      </c>
      <c r="I77" s="175">
        <f t="shared" si="5"/>
        <v>-22</v>
      </c>
      <c r="J77" s="175">
        <f t="shared" si="6"/>
        <v>-303</v>
      </c>
    </row>
    <row r="78" spans="1:10" s="127" customFormat="1" x14ac:dyDescent="0.25">
      <c r="A78" s="113" t="s">
        <v>108</v>
      </c>
      <c r="B78" s="114">
        <f t="shared" ref="B78:J78" si="7">SUM(B6:B77)</f>
        <v>460621</v>
      </c>
      <c r="C78" s="114">
        <f t="shared" si="7"/>
        <v>63006</v>
      </c>
      <c r="D78" s="114">
        <f t="shared" si="7"/>
        <v>1003618</v>
      </c>
      <c r="E78" s="114">
        <f t="shared" si="7"/>
        <v>448989</v>
      </c>
      <c r="F78" s="114">
        <f t="shared" si="7"/>
        <v>60500</v>
      </c>
      <c r="G78" s="114">
        <f t="shared" si="7"/>
        <v>989748</v>
      </c>
      <c r="H78" s="114">
        <f t="shared" si="7"/>
        <v>-11632</v>
      </c>
      <c r="I78" s="114">
        <f t="shared" si="7"/>
        <v>-2506</v>
      </c>
      <c r="J78" s="114">
        <f t="shared" si="7"/>
        <v>-13870</v>
      </c>
    </row>
  </sheetData>
  <mergeCells count="4">
    <mergeCell ref="B3:D3"/>
    <mergeCell ref="E3:G3"/>
    <mergeCell ref="H3:J3"/>
    <mergeCell ref="B2:G2"/>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F82"/>
  <sheetViews>
    <sheetView topLeftCell="N1" workbookViewId="0">
      <selection activeCell="V2" sqref="V2:AC5"/>
    </sheetView>
  </sheetViews>
  <sheetFormatPr defaultColWidth="8.85546875" defaultRowHeight="15" x14ac:dyDescent="0.25"/>
  <cols>
    <col min="1" max="1" width="18.7109375" bestFit="1" customWidth="1"/>
    <col min="2" max="2" width="10.7109375" bestFit="1" customWidth="1"/>
    <col min="3" max="3" width="11.7109375" bestFit="1" customWidth="1"/>
    <col min="4" max="4" width="8.85546875" bestFit="1" customWidth="1"/>
    <col min="5" max="9" width="10.7109375" bestFit="1" customWidth="1"/>
    <col min="10" max="10" width="14.28515625" bestFit="1" customWidth="1"/>
    <col min="11" max="11" width="2" customWidth="1"/>
    <col min="12" max="13" width="10.7109375" bestFit="1" customWidth="1"/>
    <col min="14" max="14" width="8.85546875" bestFit="1" customWidth="1"/>
    <col min="15" max="16" width="9.7109375" bestFit="1" customWidth="1"/>
    <col min="17" max="18" width="10.7109375" bestFit="1" customWidth="1"/>
    <col min="19" max="19" width="9.7109375" bestFit="1" customWidth="1"/>
    <col min="20" max="20" width="10.7109375" bestFit="1" customWidth="1"/>
    <col min="21" max="21" width="2.7109375" customWidth="1"/>
    <col min="22" max="23" width="10.7109375" bestFit="1" customWidth="1"/>
    <col min="24" max="24" width="8.85546875" bestFit="1" customWidth="1"/>
    <col min="25" max="26" width="9.7109375" bestFit="1" customWidth="1"/>
    <col min="27" max="29" width="10.7109375" bestFit="1" customWidth="1"/>
    <col min="30" max="30" width="14.28515625" bestFit="1" customWidth="1"/>
    <col min="32" max="32" width="14.28515625" bestFit="1" customWidth="1"/>
  </cols>
  <sheetData>
    <row r="1" spans="1:32" ht="18.75" x14ac:dyDescent="0.3">
      <c r="A1" s="24"/>
      <c r="B1" s="27"/>
      <c r="C1" s="26" t="s">
        <v>109</v>
      </c>
      <c r="D1" s="27"/>
      <c r="E1" s="27"/>
      <c r="F1" s="27"/>
      <c r="G1" s="27"/>
      <c r="H1" s="27"/>
      <c r="I1" s="27"/>
      <c r="J1" s="28"/>
      <c r="K1" s="25"/>
      <c r="L1" s="29"/>
      <c r="M1" s="26" t="s">
        <v>110</v>
      </c>
      <c r="N1" s="29"/>
      <c r="O1" s="29"/>
      <c r="P1" s="29"/>
      <c r="Q1" s="29"/>
      <c r="R1" s="29"/>
      <c r="S1" s="29"/>
      <c r="T1" s="30"/>
      <c r="U1" s="25"/>
      <c r="V1" s="31"/>
      <c r="W1" s="26" t="s">
        <v>111</v>
      </c>
      <c r="X1" s="31"/>
      <c r="Y1" s="31"/>
      <c r="Z1" s="31"/>
      <c r="AA1" s="31"/>
      <c r="AB1" s="31"/>
      <c r="AC1" s="31"/>
      <c r="AD1" s="32"/>
      <c r="AE1" s="33"/>
      <c r="AF1" s="33"/>
    </row>
    <row r="2" spans="1:32" s="44" customFormat="1" ht="60.6" customHeight="1" x14ac:dyDescent="0.25">
      <c r="A2" s="34" t="s">
        <v>8</v>
      </c>
      <c r="B2" s="44" t="s">
        <v>113</v>
      </c>
      <c r="C2" s="44" t="s">
        <v>112</v>
      </c>
      <c r="D2" s="44" t="s">
        <v>131</v>
      </c>
      <c r="E2" s="44" t="s">
        <v>114</v>
      </c>
      <c r="F2" s="44" t="s">
        <v>117</v>
      </c>
      <c r="G2" s="44" t="s">
        <v>115</v>
      </c>
      <c r="H2" s="44" t="s">
        <v>116</v>
      </c>
      <c r="I2" s="44" t="s">
        <v>118</v>
      </c>
      <c r="J2" s="35" t="s">
        <v>119</v>
      </c>
      <c r="K2" s="46"/>
      <c r="L2" s="44" t="s">
        <v>113</v>
      </c>
      <c r="M2" s="44" t="s">
        <v>112</v>
      </c>
      <c r="N2" s="44" t="s">
        <v>131</v>
      </c>
      <c r="O2" s="44" t="s">
        <v>114</v>
      </c>
      <c r="P2" s="44" t="s">
        <v>117</v>
      </c>
      <c r="Q2" s="44" t="s">
        <v>115</v>
      </c>
      <c r="R2" s="44" t="s">
        <v>116</v>
      </c>
      <c r="S2" s="44" t="s">
        <v>118</v>
      </c>
      <c r="T2" s="35" t="s">
        <v>120</v>
      </c>
      <c r="U2" s="46"/>
      <c r="V2" s="44" t="s">
        <v>113</v>
      </c>
      <c r="W2" s="44" t="s">
        <v>112</v>
      </c>
      <c r="X2" s="44" t="s">
        <v>131</v>
      </c>
      <c r="Y2" s="44" t="s">
        <v>114</v>
      </c>
      <c r="Z2" s="44" t="s">
        <v>117</v>
      </c>
      <c r="AA2" s="44" t="s">
        <v>115</v>
      </c>
      <c r="AB2" s="44" t="s">
        <v>116</v>
      </c>
      <c r="AC2" s="44" t="s">
        <v>118</v>
      </c>
      <c r="AD2" s="35" t="s">
        <v>121</v>
      </c>
      <c r="AE2" s="46"/>
      <c r="AF2" s="22" t="s">
        <v>122</v>
      </c>
    </row>
    <row r="3" spans="1:32" ht="15.75" x14ac:dyDescent="0.25">
      <c r="A3" s="20" t="s">
        <v>34</v>
      </c>
      <c r="B3" s="45">
        <f>'2. Weighting'!B55</f>
        <v>499.7722139108941</v>
      </c>
      <c r="C3" s="45">
        <f>'2. Weighting'!B55</f>
        <v>499.7722139108941</v>
      </c>
      <c r="D3" s="45">
        <f>'2. Weighting'!B55</f>
        <v>499.7722139108941</v>
      </c>
      <c r="E3" s="45">
        <f>'2. Weighting'!B55</f>
        <v>499.7722139108941</v>
      </c>
      <c r="F3" s="45">
        <f>'2. Weighting'!B55</f>
        <v>499.7722139108941</v>
      </c>
      <c r="G3" s="45">
        <f>'2. Weighting'!B55</f>
        <v>499.7722139108941</v>
      </c>
      <c r="H3" s="45">
        <f>'2. Weighting'!B55</f>
        <v>499.7722139108941</v>
      </c>
      <c r="I3" s="45">
        <f>'2. Weighting'!B55</f>
        <v>499.7722139108941</v>
      </c>
      <c r="L3" s="45">
        <f>'2. Weighting'!B80</f>
        <v>124.94305347772352</v>
      </c>
      <c r="M3" s="45">
        <f>'2. Weighting'!B80</f>
        <v>124.94305347772352</v>
      </c>
      <c r="N3" s="45">
        <f>'2. Weighting'!B80</f>
        <v>124.94305347772352</v>
      </c>
      <c r="O3" s="45">
        <f>'2. Weighting'!B80</f>
        <v>124.94305347772352</v>
      </c>
      <c r="P3" s="45">
        <f>'2. Weighting'!B80</f>
        <v>124.94305347772352</v>
      </c>
      <c r="Q3" s="45">
        <f>'2. Weighting'!B80</f>
        <v>124.94305347772352</v>
      </c>
      <c r="R3" s="45">
        <f>'2. Weighting'!B80</f>
        <v>124.94305347772352</v>
      </c>
      <c r="S3" s="45">
        <f>'2. Weighting'!B80</f>
        <v>124.94305347772352</v>
      </c>
      <c r="V3" s="45">
        <f>'2. Weighting'!B80</f>
        <v>124.94305347772352</v>
      </c>
      <c r="W3" s="45">
        <f>'2. Weighting'!B80</f>
        <v>124.94305347772352</v>
      </c>
      <c r="X3" s="45">
        <f>'2. Weighting'!B80</f>
        <v>124.94305347772352</v>
      </c>
      <c r="Y3" s="45">
        <f>'2. Weighting'!B80</f>
        <v>124.94305347772352</v>
      </c>
      <c r="Z3" s="45">
        <f>'2. Weighting'!B80</f>
        <v>124.94305347772352</v>
      </c>
      <c r="AA3" s="45">
        <f>'2. Weighting'!B80</f>
        <v>124.94305347772352</v>
      </c>
      <c r="AB3" s="45">
        <f>'2. Weighting'!B80</f>
        <v>124.94305347772352</v>
      </c>
      <c r="AC3" s="45">
        <f>'2. Weighting'!B80</f>
        <v>124.94305347772352</v>
      </c>
    </row>
    <row r="4" spans="1:32" ht="15.75" x14ac:dyDescent="0.25">
      <c r="A4" s="20" t="s">
        <v>9</v>
      </c>
      <c r="B4">
        <f>'2. Weighting'!B44</f>
        <v>4</v>
      </c>
      <c r="C4">
        <f>'2. Weighting'!B45</f>
        <v>3</v>
      </c>
      <c r="D4">
        <f>'2. Weighting'!B46</f>
        <v>3</v>
      </c>
      <c r="E4">
        <f>'2. Weighting'!B47</f>
        <v>2</v>
      </c>
      <c r="F4">
        <f>'2. Weighting'!B48</f>
        <v>2</v>
      </c>
      <c r="G4">
        <f>'2. Weighting'!B50</f>
        <v>1</v>
      </c>
      <c r="H4">
        <f>'2. Weighting'!B49</f>
        <v>1.5</v>
      </c>
      <c r="I4">
        <f>'2. Weighting'!B51</f>
        <v>1</v>
      </c>
      <c r="L4">
        <f>'2. Weighting'!B59</f>
        <v>6</v>
      </c>
      <c r="M4">
        <f>'2. Weighting'!B60</f>
        <v>4.5</v>
      </c>
      <c r="N4">
        <f>'2. Weighting'!B61</f>
        <v>4.5</v>
      </c>
      <c r="O4">
        <f>'2. Weighting'!B62</f>
        <v>3</v>
      </c>
      <c r="P4">
        <f>'2. Weighting'!B63</f>
        <v>3</v>
      </c>
      <c r="Q4">
        <f>'2. Weighting'!B65</f>
        <v>1.5</v>
      </c>
      <c r="R4">
        <f>'2. Weighting'!B64</f>
        <v>2.25</v>
      </c>
      <c r="S4">
        <f>'2. Weighting'!B66</f>
        <v>1.5</v>
      </c>
      <c r="V4">
        <f>'2. Weighting'!B69</f>
        <v>4</v>
      </c>
      <c r="W4">
        <f>'2. Weighting'!B70</f>
        <v>3</v>
      </c>
      <c r="X4">
        <f>'2. Weighting'!B71</f>
        <v>3</v>
      </c>
      <c r="Y4">
        <f>'2. Weighting'!B72</f>
        <v>2</v>
      </c>
      <c r="Z4">
        <f>'2. Weighting'!B73</f>
        <v>2</v>
      </c>
      <c r="AA4">
        <f>'2. Weighting'!B75</f>
        <v>1</v>
      </c>
      <c r="AB4">
        <f>'2. Weighting'!B74</f>
        <v>1.5</v>
      </c>
      <c r="AC4">
        <f>'2. Weighting'!B76</f>
        <v>1</v>
      </c>
    </row>
    <row r="5" spans="1:32" ht="15.75" x14ac:dyDescent="0.25">
      <c r="A5" s="20" t="s">
        <v>133</v>
      </c>
      <c r="B5" s="45">
        <f>B3*B4</f>
        <v>1999.0888556435764</v>
      </c>
      <c r="C5" s="45">
        <f>C3*C4</f>
        <v>1499.3166417326822</v>
      </c>
      <c r="D5" s="45">
        <f t="shared" ref="D5:AC5" si="0">D3*D4</f>
        <v>1499.3166417326822</v>
      </c>
      <c r="E5" s="45">
        <f>E3*E4</f>
        <v>999.54442782178819</v>
      </c>
      <c r="F5" s="45">
        <f>F3*F4</f>
        <v>999.54442782178819</v>
      </c>
      <c r="G5" s="45">
        <f t="shared" si="0"/>
        <v>499.7722139108941</v>
      </c>
      <c r="H5" s="45">
        <f t="shared" si="0"/>
        <v>749.65832086634111</v>
      </c>
      <c r="I5" s="45">
        <f t="shared" si="0"/>
        <v>499.7722139108941</v>
      </c>
      <c r="J5" s="45"/>
      <c r="K5" s="45"/>
      <c r="L5" s="45">
        <f>L3*L4</f>
        <v>749.65832086634111</v>
      </c>
      <c r="M5" s="45">
        <f t="shared" si="0"/>
        <v>562.24374064975586</v>
      </c>
      <c r="N5" s="45">
        <f t="shared" si="0"/>
        <v>562.24374064975586</v>
      </c>
      <c r="O5" s="45">
        <f t="shared" si="0"/>
        <v>374.82916043317056</v>
      </c>
      <c r="P5" s="45">
        <f>P3*P4</f>
        <v>374.82916043317056</v>
      </c>
      <c r="Q5" s="45">
        <f t="shared" si="0"/>
        <v>187.41458021658528</v>
      </c>
      <c r="R5" s="45">
        <f t="shared" si="0"/>
        <v>281.12187032487793</v>
      </c>
      <c r="S5" s="45">
        <f t="shared" si="0"/>
        <v>187.41458021658528</v>
      </c>
      <c r="T5" s="45"/>
      <c r="U5" s="45"/>
      <c r="V5" s="45">
        <f>V3*V4</f>
        <v>499.7722139108941</v>
      </c>
      <c r="W5" s="45">
        <f t="shared" si="0"/>
        <v>374.82916043317056</v>
      </c>
      <c r="X5" s="45">
        <f t="shared" si="0"/>
        <v>374.82916043317056</v>
      </c>
      <c r="Y5" s="45">
        <f t="shared" si="0"/>
        <v>249.88610695544705</v>
      </c>
      <c r="Z5" s="45">
        <f>Z3*Z4</f>
        <v>249.88610695544705</v>
      </c>
      <c r="AA5" s="45">
        <f t="shared" si="0"/>
        <v>124.94305347772352</v>
      </c>
      <c r="AB5" s="45">
        <f t="shared" si="0"/>
        <v>187.41458021658528</v>
      </c>
      <c r="AC5" s="45">
        <f t="shared" si="0"/>
        <v>124.94305347772352</v>
      </c>
    </row>
    <row r="6" spans="1:32" x14ac:dyDescent="0.25">
      <c r="A6" s="23" t="s">
        <v>43</v>
      </c>
      <c r="B6" s="45">
        <f>'7a. Success 3 yr'!B6*'7. Success Allocation'!B$5</f>
        <v>543752.16873505281</v>
      </c>
      <c r="C6" s="45">
        <f>'7a. Success 3 yr'!C6*'7. Success Allocation'!C$5</f>
        <v>865105.70227975759</v>
      </c>
      <c r="D6" s="45">
        <f>'7a. Success 3 yr'!D6*'7. Success Allocation'!D$5</f>
        <v>0</v>
      </c>
      <c r="E6" s="45">
        <f>'7a. Success 3 yr'!E6*'7. Success Allocation'!E$5</f>
        <v>243888.84038851631</v>
      </c>
      <c r="F6" s="45">
        <f>'7a. Success 3 yr'!F6*'7. Success Allocation'!F$5</f>
        <v>189913.44128613974</v>
      </c>
      <c r="G6" s="45">
        <f>'7a. Success 3 yr'!G6*'7. Success Allocation'!G$5</f>
        <v>957063.78963936213</v>
      </c>
      <c r="H6" s="45">
        <f>'7a. Success 3 yr'!H6*'7. Success Allocation'!H$5</f>
        <v>648454.44754938502</v>
      </c>
      <c r="I6" s="45">
        <f>'7a. Success 3 yr'!I6*'7. Success Allocation'!I$5</f>
        <v>1111493.4037378284</v>
      </c>
      <c r="J6" s="45">
        <f>SUM(B6:I6)</f>
        <v>4559671.7936160415</v>
      </c>
      <c r="K6" s="45"/>
      <c r="L6" s="45">
        <f>'7a. Success 3 yr'!J6*'7. Success Allocation'!L$5</f>
        <v>120694.98965948093</v>
      </c>
      <c r="M6" s="45">
        <f>'7a. Success 3 yr'!K6*'7. Success Allocation'!M$5</f>
        <v>174857.80334207407</v>
      </c>
      <c r="N6" s="45">
        <f>'7a. Success 3 yr'!L6*'7. Success Allocation'!N$5</f>
        <v>0</v>
      </c>
      <c r="O6" s="45">
        <f>'7a. Success 3 yr'!M6*'7. Success Allocation'!O$5</f>
        <v>47228.474214579488</v>
      </c>
      <c r="P6" s="45">
        <f>'7a. Success 3 yr'!N6*'7. Success Allocation'!P$5</f>
        <v>31110.820315953155</v>
      </c>
      <c r="Q6" s="45">
        <f>'7a. Success 3 yr'!O6*'7. Success Allocation'!Q$5</f>
        <v>148619.76211175212</v>
      </c>
      <c r="R6" s="45">
        <f>'7a. Success 3 yr'!P6*'7. Success Allocation'!R$5</f>
        <v>92207.973466559968</v>
      </c>
      <c r="S6" s="45">
        <f>'7a. Success 3 yr'!Q6*'7. Success Allocation'!S$5</f>
        <v>83774.317356813626</v>
      </c>
      <c r="T6" s="45">
        <f>SUM(L6:S6)</f>
        <v>698494.14046721335</v>
      </c>
      <c r="U6" s="45"/>
      <c r="V6" s="45">
        <f>'7a. Success 3 yr'!R6*'7. Success Allocation'!V$5</f>
        <v>112448.74812995117</v>
      </c>
      <c r="W6" s="45">
        <f>'7a. Success 3 yr'!S6*'7. Success Allocation'!W$5</f>
        <v>178043.85120575601</v>
      </c>
      <c r="X6" s="45">
        <f>'7a. Success 3 yr'!T6*'7. Success Allocation'!X$5</f>
        <v>0</v>
      </c>
      <c r="Y6" s="45">
        <f>'7a. Success 3 yr'!U6*'7. Success Allocation'!Y$5</f>
        <v>48228.018642401279</v>
      </c>
      <c r="Z6" s="45">
        <f>'7a. Success 3 yr'!V6*'7. Success Allocation'!Z$5</f>
        <v>33984.510545940801</v>
      </c>
      <c r="AA6" s="45">
        <f>'7a. Success 3 yr'!W6*'7. Success Allocation'!AA$5</f>
        <v>170672.21105057033</v>
      </c>
      <c r="AB6" s="45">
        <f>'7a. Success 3 yr'!X6*'7. Success Allocation'!AB$5</f>
        <v>103265.43369933849</v>
      </c>
      <c r="AC6" s="45">
        <f>'7a. Success 3 yr'!Y6*'7. Success Allocation'!AC$5</f>
        <v>117821.29942949329</v>
      </c>
      <c r="AD6" s="45">
        <f>SUM(V6:AC6)</f>
        <v>764464.07270345127</v>
      </c>
      <c r="AF6" s="45">
        <f t="shared" ref="AF6:AF37" si="1">SUM(J6,T6,AD6)</f>
        <v>6022630.0067867059</v>
      </c>
    </row>
    <row r="7" spans="1:32" x14ac:dyDescent="0.25">
      <c r="A7" s="23" t="s">
        <v>44</v>
      </c>
      <c r="B7" s="45">
        <f>'7a. Success 3 yr'!B7*'7. Success Allocation'!B$5</f>
        <v>969558.09498713457</v>
      </c>
      <c r="C7" s="45">
        <f>'7a. Success 3 yr'!C7*'7. Success Allocation'!C$5</f>
        <v>1013538.0498112931</v>
      </c>
      <c r="D7" s="45">
        <f>'7a. Success 3 yr'!D7*'7. Success Allocation'!D$5</f>
        <v>0</v>
      </c>
      <c r="E7" s="45">
        <f>'7a. Success 3 yr'!E7*'7. Success Allocation'!E$5</f>
        <v>253884.28466673419</v>
      </c>
      <c r="F7" s="45">
        <f>'7a. Success 3 yr'!F7*'7. Success Allocation'!F$5</f>
        <v>186914.8080026744</v>
      </c>
      <c r="G7" s="45">
        <f>'7a. Success 3 yr'!G7*'7. Success Allocation'!G$5</f>
        <v>1016036.9108808477</v>
      </c>
      <c r="H7" s="45">
        <f>'7a. Success 3 yr'!H7*'7. Success Allocation'!H$5</f>
        <v>743661.05429941043</v>
      </c>
      <c r="I7" s="45">
        <f>'7a. Success 3 yr'!I7*'7. Success Allocation'!I$5</f>
        <v>573238.72935579554</v>
      </c>
      <c r="J7" s="45">
        <f t="shared" ref="J7:J70" si="2">SUM(B7:I7)</f>
        <v>4756831.9320038902</v>
      </c>
      <c r="K7" s="45"/>
      <c r="L7" s="45">
        <f>'7a. Success 3 yr'!J7*'7. Success Allocation'!L$5</f>
        <v>254883.82909455599</v>
      </c>
      <c r="M7" s="45">
        <f>'7a. Success 3 yr'!K7*'7. Success Allocation'!M$5</f>
        <v>257507.63321758818</v>
      </c>
      <c r="N7" s="45">
        <f>'7a. Success 3 yr'!L7*'7. Success Allocation'!N$5</f>
        <v>0</v>
      </c>
      <c r="O7" s="45">
        <f>'7a. Success 3 yr'!M7*'7. Success Allocation'!O$5</f>
        <v>61471.982311039974</v>
      </c>
      <c r="P7" s="45">
        <f>'7a. Success 3 yr'!N7*'7. Success Allocation'!P$5</f>
        <v>36358.428562017543</v>
      </c>
      <c r="Q7" s="45">
        <f>'7a. Success 3 yr'!O7*'7. Success Allocation'!Q$5</f>
        <v>247012.41672545939</v>
      </c>
      <c r="R7" s="45">
        <f>'7a. Success 3 yr'!P7*'7. Success Allocation'!R$5</f>
        <v>159677.22234453066</v>
      </c>
      <c r="S7" s="45">
        <f>'7a. Success 3 yr'!Q7*'7. Success Allocation'!S$5</f>
        <v>111511.67522886825</v>
      </c>
      <c r="T7" s="45">
        <f t="shared" ref="T7:T70" si="3">SUM(L7:S7)</f>
        <v>1128423.1874840599</v>
      </c>
      <c r="U7" s="45"/>
      <c r="V7" s="45">
        <f>'7a. Success 3 yr'!R7*'7. Success Allocation'!V$5</f>
        <v>207405.46877302104</v>
      </c>
      <c r="W7" s="45">
        <f>'7a. Success 3 yr'!S7*'7. Success Allocation'!W$5</f>
        <v>211403.64648430821</v>
      </c>
      <c r="X7" s="45">
        <f>'7a. Success 3 yr'!T7*'7. Success Allocation'!X$5</f>
        <v>0</v>
      </c>
      <c r="Y7" s="45">
        <f>'7a. Success 3 yr'!U7*'7. Success Allocation'!Y$5</f>
        <v>51726.42413977754</v>
      </c>
      <c r="Z7" s="45">
        <f>'7a. Success 3 yr'!V7*'7. Success Allocation'!Z$5</f>
        <v>34734.168866807137</v>
      </c>
      <c r="AA7" s="45">
        <f>'7a. Success 3 yr'!W7*'7. Success Allocation'!AA$5</f>
        <v>211528.58953778591</v>
      </c>
      <c r="AB7" s="45">
        <f>'7a. Success 3 yr'!X7*'7. Success Allocation'!AB$5</f>
        <v>147682.6892106692</v>
      </c>
      <c r="AC7" s="45">
        <f>'7a. Success 3 yr'!Y7*'7. Success Allocation'!AC$5</f>
        <v>109200.22873953036</v>
      </c>
      <c r="AD7" s="45">
        <f t="shared" ref="AD7:AD70" si="4">SUM(V7:AC7)</f>
        <v>973681.21575189941</v>
      </c>
      <c r="AF7" s="45">
        <f t="shared" si="1"/>
        <v>6858936.33523985</v>
      </c>
    </row>
    <row r="8" spans="1:32" x14ac:dyDescent="0.25">
      <c r="A8" s="23" t="s">
        <v>45</v>
      </c>
      <c r="B8" s="45">
        <f>'7a. Success 3 yr'!B8*'7. Success Allocation'!B$5</f>
        <v>133938.95332811962</v>
      </c>
      <c r="C8" s="45">
        <f>'7a. Success 3 yr'!C8*'7. Success Allocation'!C$5</f>
        <v>377827.7937166359</v>
      </c>
      <c r="D8" s="45">
        <f>'7a. Success 3 yr'!D8*'7. Success Allocation'!D$5</f>
        <v>0</v>
      </c>
      <c r="E8" s="45">
        <f>'7a. Success 3 yr'!E8*'7. Success Allocation'!E$5</f>
        <v>16992.2552729704</v>
      </c>
      <c r="F8" s="45">
        <f>'7a. Success 3 yr'!F8*'7. Success Allocation'!F$5</f>
        <v>56974.032385841929</v>
      </c>
      <c r="G8" s="45">
        <f>'7a. Success 3 yr'!G8*'7. Success Allocation'!G$5</f>
        <v>186914.8080026744</v>
      </c>
      <c r="H8" s="45">
        <f>'7a. Success 3 yr'!H8*'7. Success Allocation'!H$5</f>
        <v>247387.24588589257</v>
      </c>
      <c r="I8" s="45">
        <f>'7a. Success 3 yr'!I8*'7. Success Allocation'!I$5</f>
        <v>257882.46237802136</v>
      </c>
      <c r="J8" s="45">
        <f t="shared" si="2"/>
        <v>1277917.5509701562</v>
      </c>
      <c r="K8" s="45"/>
      <c r="L8" s="45">
        <f>'7a. Success 3 yr'!J8*'7. Success Allocation'!L$5</f>
        <v>43480.182610247786</v>
      </c>
      <c r="M8" s="45">
        <f>'7a. Success 3 yr'!K8*'7. Success Allocation'!M$5</f>
        <v>111324.26064865166</v>
      </c>
      <c r="N8" s="45">
        <f>'7a. Success 3 yr'!L8*'7. Success Allocation'!N$5</f>
        <v>0</v>
      </c>
      <c r="O8" s="45">
        <f>'7a. Success 3 yr'!M8*'7. Success Allocation'!O$5</f>
        <v>5997.2665669307289</v>
      </c>
      <c r="P8" s="45">
        <f>'7a. Success 3 yr'!N8*'7. Success Allocation'!P$5</f>
        <v>11994.533133861458</v>
      </c>
      <c r="Q8" s="45">
        <f>'7a. Success 3 yr'!O8*'7. Success Allocation'!Q$5</f>
        <v>50976.765818911197</v>
      </c>
      <c r="R8" s="45">
        <f>'7a. Success 3 yr'!P8*'7. Success Allocation'!R$5</f>
        <v>41887.158678406813</v>
      </c>
      <c r="S8" s="45">
        <f>'7a. Success 3 yr'!Q8*'7. Success Allocation'!S$5</f>
        <v>40294.134746565833</v>
      </c>
      <c r="T8" s="45">
        <f t="shared" si="3"/>
        <v>305954.30220357544</v>
      </c>
      <c r="U8" s="45"/>
      <c r="V8" s="45">
        <f>'7a. Success 3 yr'!R8*'7. Success Allocation'!V$5</f>
        <v>31485.649476386327</v>
      </c>
      <c r="W8" s="45">
        <f>'7a. Success 3 yr'!S8*'7. Success Allocation'!W$5</f>
        <v>86210.706899629222</v>
      </c>
      <c r="X8" s="45">
        <f>'7a. Success 3 yr'!T8*'7. Success Allocation'!X$5</f>
        <v>0</v>
      </c>
      <c r="Y8" s="45">
        <f>'7a. Success 3 yr'!U8*'7. Success Allocation'!Y$5</f>
        <v>4248.0638182426001</v>
      </c>
      <c r="Z8" s="45">
        <f>'7a. Success 3 yr'!V8*'7. Success Allocation'!Z$5</f>
        <v>10495.216492128777</v>
      </c>
      <c r="AA8" s="45">
        <f>'7a. Success 3 yr'!W8*'7. Success Allocation'!AA$5</f>
        <v>40981.321540693316</v>
      </c>
      <c r="AB8" s="45">
        <f>'7a. Success 3 yr'!X8*'7. Success Allocation'!AB$5</f>
        <v>41418.622227865344</v>
      </c>
      <c r="AC8" s="45">
        <f>'7a. Success 3 yr'!Y8*'7. Success Allocation'!AC$5</f>
        <v>42230.752075470547</v>
      </c>
      <c r="AD8" s="45">
        <f t="shared" si="4"/>
        <v>257070.33253041617</v>
      </c>
      <c r="AF8" s="45">
        <f t="shared" si="1"/>
        <v>1840942.1857041477</v>
      </c>
    </row>
    <row r="9" spans="1:32" x14ac:dyDescent="0.25">
      <c r="A9" s="23" t="s">
        <v>46</v>
      </c>
      <c r="B9" s="45">
        <f>'7a. Success 3 yr'!B9*'7. Success Allocation'!B$5</f>
        <v>607723.0121156472</v>
      </c>
      <c r="C9" s="45">
        <f>'7a. Success 3 yr'!C9*'7. Success Allocation'!C$5</f>
        <v>1094501.1484648581</v>
      </c>
      <c r="D9" s="45">
        <f>'7a. Success 3 yr'!D9*'7. Success Allocation'!D$5</f>
        <v>0</v>
      </c>
      <c r="E9" s="45">
        <f>'7a. Success 3 yr'!E9*'7. Success Allocation'!E$5</f>
        <v>330849.20560901187</v>
      </c>
      <c r="F9" s="45">
        <f>'7a. Success 3 yr'!F9*'7. Success Allocation'!F$5</f>
        <v>267877.90665623924</v>
      </c>
      <c r="G9" s="45">
        <f>'7a. Success 3 yr'!G9*'7. Success Allocation'!G$5</f>
        <v>1095500.6928926799</v>
      </c>
      <c r="H9" s="45">
        <f>'7a. Success 3 yr'!H9*'7. Success Allocation'!H$5</f>
        <v>900339.64336047566</v>
      </c>
      <c r="I9" s="45">
        <f>'7a. Success 3 yr'!I9*'7. Success Allocation'!I$5</f>
        <v>836618.68608683674</v>
      </c>
      <c r="J9" s="45">
        <f t="shared" si="2"/>
        <v>5133410.2951857485</v>
      </c>
      <c r="K9" s="45"/>
      <c r="L9" s="45">
        <f>'7a. Success 3 yr'!J9*'7. Success Allocation'!L$5</f>
        <v>137187.47271854043</v>
      </c>
      <c r="M9" s="45">
        <f>'7a. Success 3 yr'!K9*'7. Success Allocation'!M$5</f>
        <v>276061.67665903014</v>
      </c>
      <c r="N9" s="45">
        <f>'7a. Success 3 yr'!L9*'7. Success Allocation'!N$5</f>
        <v>0</v>
      </c>
      <c r="O9" s="45">
        <f>'7a. Success 3 yr'!M9*'7. Success Allocation'!O$5</f>
        <v>49102.620016745343</v>
      </c>
      <c r="P9" s="45">
        <f>'7a. Success 3 yr'!N9*'7. Success Allocation'!P$5</f>
        <v>50227.107498044854</v>
      </c>
      <c r="Q9" s="45">
        <f>'7a. Success 3 yr'!O9*'7. Success Allocation'!Q$5</f>
        <v>217588.3276314555</v>
      </c>
      <c r="R9" s="45">
        <f>'7a. Success 3 yr'!P9*'7. Success Allocation'!R$5</f>
        <v>173171.07212012479</v>
      </c>
      <c r="S9" s="45">
        <f>'7a. Success 3 yr'!Q9*'7. Success Allocation'!S$5</f>
        <v>146745.61630958627</v>
      </c>
      <c r="T9" s="45">
        <f t="shared" si="3"/>
        <v>1050083.8929535274</v>
      </c>
      <c r="U9" s="45"/>
      <c r="V9" s="45">
        <f>'7a. Success 3 yr'!R9*'7. Success Allocation'!V$5</f>
        <v>115447.38141341653</v>
      </c>
      <c r="W9" s="45">
        <f>'7a. Success 3 yr'!S9*'7. Success Allocation'!W$5</f>
        <v>223773.00877860282</v>
      </c>
      <c r="X9" s="45">
        <f>'7a. Success 3 yr'!T9*'7. Success Allocation'!X$5</f>
        <v>0</v>
      </c>
      <c r="Y9" s="45">
        <f>'7a. Success 3 yr'!U9*'7. Success Allocation'!Y$5</f>
        <v>43979.954824158682</v>
      </c>
      <c r="Z9" s="45">
        <f>'7a. Success 3 yr'!V9*'7. Success Allocation'!Z$5</f>
        <v>42480.638182425995</v>
      </c>
      <c r="AA9" s="45">
        <f>'7a. Success 3 yr'!W9*'7. Success Allocation'!AA$5</f>
        <v>196785.30922741455</v>
      </c>
      <c r="AB9" s="45">
        <f>'7a. Success 3 yr'!X9*'7. Success Allocation'!AB$5</f>
        <v>151056.15165456774</v>
      </c>
      <c r="AC9" s="45">
        <f>'7a. Success 3 yr'!Y9*'7. Success Allocation'!AC$5</f>
        <v>134438.7255420305</v>
      </c>
      <c r="AD9" s="45">
        <f t="shared" si="4"/>
        <v>907961.16962261684</v>
      </c>
      <c r="AF9" s="45">
        <f t="shared" si="1"/>
        <v>7091455.3577618925</v>
      </c>
    </row>
    <row r="10" spans="1:32" x14ac:dyDescent="0.25">
      <c r="A10" s="23" t="s">
        <v>47</v>
      </c>
      <c r="B10" s="45">
        <f>'7a. Success 3 yr'!B10*'7. Success Allocation'!B$5</f>
        <v>505769.48047782481</v>
      </c>
      <c r="C10" s="45">
        <f>'7a. Success 3 yr'!C10*'7. Success Allocation'!C$5</f>
        <v>1049521.6492128775</v>
      </c>
      <c r="D10" s="45">
        <f>'7a. Success 3 yr'!D10*'7. Success Allocation'!D$5</f>
        <v>0</v>
      </c>
      <c r="E10" s="45">
        <f>'7a. Success 3 yr'!E10*'7. Success Allocation'!E$5</f>
        <v>58973.121241485504</v>
      </c>
      <c r="F10" s="45">
        <f>'7a. Success 3 yr'!F10*'7. Success Allocation'!F$5</f>
        <v>133938.95332811962</v>
      </c>
      <c r="G10" s="45">
        <f>'7a. Success 3 yr'!G10*'7. Success Allocation'!G$5</f>
        <v>567241.46278886485</v>
      </c>
      <c r="H10" s="45">
        <f>'7a. Success 3 yr'!H10*'7. Success Allocation'!H$5</f>
        <v>761652.85400020261</v>
      </c>
      <c r="I10" s="45">
        <f>'7a. Success 3 yr'!I10*'7. Success Allocation'!I$5</f>
        <v>824624.15295297524</v>
      </c>
      <c r="J10" s="45">
        <f t="shared" si="2"/>
        <v>3901721.6740023498</v>
      </c>
      <c r="K10" s="45"/>
      <c r="L10" s="45">
        <f>'7a. Success 3 yr'!J10*'7. Success Allocation'!L$5</f>
        <v>87710.023541361908</v>
      </c>
      <c r="M10" s="45">
        <f>'7a. Success 3 yr'!K10*'7. Success Allocation'!M$5</f>
        <v>200158.77167131309</v>
      </c>
      <c r="N10" s="45">
        <f>'7a. Success 3 yr'!L10*'7. Success Allocation'!N$5</f>
        <v>0</v>
      </c>
      <c r="O10" s="45">
        <f>'7a. Success 3 yr'!M10*'7. Success Allocation'!O$5</f>
        <v>14618.337256893652</v>
      </c>
      <c r="P10" s="45">
        <f>'7a. Success 3 yr'!N10*'7. Success Allocation'!P$5</f>
        <v>17616.970540359016</v>
      </c>
      <c r="Q10" s="45">
        <f>'7a. Success 3 yr'!O10*'7. Success Allocation'!Q$5</f>
        <v>100829.04415652288</v>
      </c>
      <c r="R10" s="45">
        <f>'7a. Success 3 yr'!P10*'7. Success Allocation'!R$5</f>
        <v>108513.04194540289</v>
      </c>
      <c r="S10" s="45">
        <f>'7a. Success 3 yr'!Q10*'7. Success Allocation'!S$5</f>
        <v>74028.759185551186</v>
      </c>
      <c r="T10" s="45">
        <f t="shared" si="3"/>
        <v>603474.94829740468</v>
      </c>
      <c r="U10" s="45"/>
      <c r="V10" s="45">
        <f>'7a. Success 3 yr'!R10*'7. Success Allocation'!V$5</f>
        <v>86460.593006584677</v>
      </c>
      <c r="W10" s="45">
        <f>'7a. Success 3 yr'!S10*'7. Success Allocation'!W$5</f>
        <v>181792.14281008771</v>
      </c>
      <c r="X10" s="45">
        <f>'7a. Success 3 yr'!T10*'7. Success Allocation'!X$5</f>
        <v>0</v>
      </c>
      <c r="Y10" s="45">
        <f>'7a. Success 3 yr'!U10*'7. Success Allocation'!Y$5</f>
        <v>12494.305347772352</v>
      </c>
      <c r="Z10" s="45">
        <f>'7a. Success 3 yr'!V10*'7. Success Allocation'!Z$5</f>
        <v>15742.824738193163</v>
      </c>
      <c r="AA10" s="45">
        <f>'7a. Success 3 yr'!W10*'7. Success Allocation'!AA$5</f>
        <v>98455.12614044614</v>
      </c>
      <c r="AB10" s="45">
        <f>'7a. Success 3 yr'!X10*'7. Success Allocation'!AB$5</f>
        <v>109637.52942670239</v>
      </c>
      <c r="AC10" s="45">
        <f>'7a. Success 3 yr'!Y10*'7. Success Allocation'!AC$5</f>
        <v>88334.738808750524</v>
      </c>
      <c r="AD10" s="45">
        <f t="shared" si="4"/>
        <v>592917.26027853705</v>
      </c>
      <c r="AF10" s="45">
        <f t="shared" si="1"/>
        <v>5098113.8825782919</v>
      </c>
    </row>
    <row r="11" spans="1:32" x14ac:dyDescent="0.25">
      <c r="A11" s="23" t="s">
        <v>48</v>
      </c>
      <c r="B11" s="45">
        <f>'7a. Success 3 yr'!B11*'7. Success Allocation'!B$5</f>
        <v>1379371.3103940678</v>
      </c>
      <c r="C11" s="45">
        <f>'7a. Success 3 yr'!C11*'7. Success Allocation'!C$5</f>
        <v>1359880.1940515428</v>
      </c>
      <c r="D11" s="45">
        <f>'7a. Success 3 yr'!D11*'7. Success Allocation'!D$5</f>
        <v>0</v>
      </c>
      <c r="E11" s="45">
        <f>'7a. Success 3 yr'!E11*'7. Success Allocation'!E$5</f>
        <v>667695.67778495455</v>
      </c>
      <c r="F11" s="45">
        <f>'7a. Success 3 yr'!F11*'7. Success Allocation'!F$5</f>
        <v>203907.06327564479</v>
      </c>
      <c r="G11" s="45">
        <f>'7a. Success 3 yr'!G11*'7. Success Allocation'!G$5</f>
        <v>1868148.5355989221</v>
      </c>
      <c r="H11" s="45">
        <f>'7a. Success 3 yr'!H11*'7. Success Allocation'!H$5</f>
        <v>1007540.7832443625</v>
      </c>
      <c r="I11" s="45">
        <f>'7a. Success 3 yr'!I11*'7. Success Allocation'!I$5</f>
        <v>1438844.2038494642</v>
      </c>
      <c r="J11" s="45">
        <f t="shared" si="2"/>
        <v>7925387.7681989595</v>
      </c>
      <c r="K11" s="45"/>
      <c r="L11" s="45">
        <f>'7a. Success 3 yr'!J11*'7. Success Allocation'!L$5</f>
        <v>374829.16043317056</v>
      </c>
      <c r="M11" s="45">
        <f>'7a. Success 3 yr'!K11*'7. Success Allocation'!M$5</f>
        <v>339032.97561180277</v>
      </c>
      <c r="N11" s="45">
        <f>'7a. Success 3 yr'!L11*'7. Success Allocation'!N$5</f>
        <v>0</v>
      </c>
      <c r="O11" s="45">
        <f>'7a. Success 3 yr'!M11*'7. Success Allocation'!O$5</f>
        <v>121069.81881991409</v>
      </c>
      <c r="P11" s="45">
        <f>'7a. Success 3 yr'!N11*'7. Success Allocation'!P$5</f>
        <v>37857.74520375023</v>
      </c>
      <c r="Q11" s="45">
        <f>'7a. Success 3 yr'!O11*'7. Success Allocation'!Q$5</f>
        <v>366582.91890364082</v>
      </c>
      <c r="R11" s="45">
        <f>'7a. Success 3 yr'!P11*'7. Success Allocation'!R$5</f>
        <v>247387.24588589257</v>
      </c>
      <c r="S11" s="45">
        <f>'7a. Success 3 yr'!Q11*'7. Success Allocation'!S$5</f>
        <v>160801.70982583016</v>
      </c>
      <c r="T11" s="45">
        <f t="shared" si="3"/>
        <v>1647561.574684001</v>
      </c>
      <c r="U11" s="45"/>
      <c r="V11" s="45">
        <f>'7a. Success 3 yr'!R11*'7. Success Allocation'!V$5</f>
        <v>305360.8226995563</v>
      </c>
      <c r="W11" s="45">
        <f>'7a. Success 3 yr'!S11*'7. Success Allocation'!W$5</f>
        <v>287119.13689180865</v>
      </c>
      <c r="X11" s="45">
        <f>'7a. Success 3 yr'!T11*'7. Success Allocation'!X$5</f>
        <v>0</v>
      </c>
      <c r="Y11" s="45">
        <f>'7a. Success 3 yr'!U11*'7. Success Allocation'!Y$5</f>
        <v>110699.54538126304</v>
      </c>
      <c r="Z11" s="45">
        <f>'7a. Success 3 yr'!V11*'7. Success Allocation'!Z$5</f>
        <v>35483.82718767348</v>
      </c>
      <c r="AA11" s="45">
        <f>'7a. Success 3 yr'!W11*'7. Success Allocation'!AA$5</f>
        <v>337096.35828289809</v>
      </c>
      <c r="AB11" s="45">
        <f>'7a. Success 3 yr'!X11*'7. Success Allocation'!AB$5</f>
        <v>206530.86739867699</v>
      </c>
      <c r="AC11" s="45">
        <f>'7a. Success 3 yr'!Y11*'7. Success Allocation'!AC$5</f>
        <v>168423.23608797131</v>
      </c>
      <c r="AD11" s="45">
        <f t="shared" si="4"/>
        <v>1450713.7939298479</v>
      </c>
      <c r="AF11" s="45">
        <f t="shared" si="1"/>
        <v>11023663.13681281</v>
      </c>
    </row>
    <row r="12" spans="1:32" x14ac:dyDescent="0.25">
      <c r="A12" s="23" t="s">
        <v>49</v>
      </c>
      <c r="B12" s="45">
        <f>'7a. Success 3 yr'!B12*'7. Success Allocation'!B$5</f>
        <v>1245432.3570659482</v>
      </c>
      <c r="C12" s="45">
        <f>'7a. Success 3 yr'!C12*'7. Success Allocation'!C$5</f>
        <v>1292410.9451735721</v>
      </c>
      <c r="D12" s="45">
        <f>'7a. Success 3 yr'!D12*'7. Success Allocation'!D$5</f>
        <v>0</v>
      </c>
      <c r="E12" s="45">
        <f>'7a. Success 3 yr'!E12*'7. Success Allocation'!E$5</f>
        <v>269876.99551188282</v>
      </c>
      <c r="F12" s="45">
        <f>'7a. Success 3 yr'!F12*'7. Success Allocation'!F$5</f>
        <v>469785.88107624045</v>
      </c>
      <c r="G12" s="45">
        <f>'7a. Success 3 yr'!G12*'7. Success Allocation'!G$5</f>
        <v>1358380.8774098102</v>
      </c>
      <c r="H12" s="45">
        <f>'7a. Success 3 yr'!H12*'7. Success Allocation'!H$5</f>
        <v>1566036.2322897867</v>
      </c>
      <c r="I12" s="45">
        <f>'7a. Success 3 yr'!I12*'7. Success Allocation'!I$5</f>
        <v>1276918.0065423343</v>
      </c>
      <c r="J12" s="45">
        <f t="shared" si="2"/>
        <v>7478841.2950695744</v>
      </c>
      <c r="K12" s="45"/>
      <c r="L12" s="45">
        <f>'7a. Success 3 yr'!J12*'7. Success Allocation'!L$5</f>
        <v>204656.72159651111</v>
      </c>
      <c r="M12" s="45">
        <f>'7a. Success 3 yr'!K12*'7. Success Allocation'!M$5</f>
        <v>199596.52793066335</v>
      </c>
      <c r="N12" s="45">
        <f>'7a. Success 3 yr'!L12*'7. Success Allocation'!N$5</f>
        <v>0</v>
      </c>
      <c r="O12" s="45">
        <f>'7a. Success 3 yr'!M12*'7. Success Allocation'!O$5</f>
        <v>34484.282759851689</v>
      </c>
      <c r="P12" s="45">
        <f>'7a. Success 3 yr'!N12*'7. Success Allocation'!P$5</f>
        <v>47228.474214579488</v>
      </c>
      <c r="Q12" s="45">
        <f>'7a. Success 3 yr'!O12*'7. Success Allocation'!Q$5</f>
        <v>146745.61630958627</v>
      </c>
      <c r="R12" s="45">
        <f>'7a. Success 3 yr'!P12*'7. Success Allocation'!R$5</f>
        <v>211965.89022495796</v>
      </c>
      <c r="S12" s="45">
        <f>'7a. Success 3 yr'!Q12*'7. Success Allocation'!S$5</f>
        <v>91833.144306126793</v>
      </c>
      <c r="T12" s="45">
        <f t="shared" si="3"/>
        <v>936510.65734227665</v>
      </c>
      <c r="U12" s="45"/>
      <c r="V12" s="45">
        <f>'7a. Success 3 yr'!R12*'7. Success Allocation'!V$5</f>
        <v>195910.70785307049</v>
      </c>
      <c r="W12" s="45">
        <f>'7a. Success 3 yr'!S12*'7. Success Allocation'!W$5</f>
        <v>199034.28419001357</v>
      </c>
      <c r="X12" s="45">
        <f>'7a. Success 3 yr'!T12*'7. Success Allocation'!X$5</f>
        <v>0</v>
      </c>
      <c r="Y12" s="45">
        <f>'7a. Success 3 yr'!U12*'7. Success Allocation'!Y$5</f>
        <v>34234.396652896248</v>
      </c>
      <c r="Z12" s="45">
        <f>'7a. Success 3 yr'!V12*'7. Success Allocation'!Z$5</f>
        <v>48228.018642401279</v>
      </c>
      <c r="AA12" s="45">
        <f>'7a. Success 3 yr'!W12*'7. Success Allocation'!AA$5</f>
        <v>157428.24738193164</v>
      </c>
      <c r="AB12" s="45">
        <f>'7a. Success 3 yr'!X12*'7. Success Allocation'!AB$5</f>
        <v>210279.15900300868</v>
      </c>
      <c r="AC12" s="45">
        <f>'7a. Success 3 yr'!Y12*'7. Success Allocation'!AC$5</f>
        <v>119695.44523165913</v>
      </c>
      <c r="AD12" s="45">
        <f t="shared" si="4"/>
        <v>964810.25895498088</v>
      </c>
      <c r="AF12" s="45">
        <f t="shared" si="1"/>
        <v>9380162.2113668323</v>
      </c>
    </row>
    <row r="13" spans="1:32" x14ac:dyDescent="0.25">
      <c r="A13" s="23" t="s">
        <v>50</v>
      </c>
      <c r="B13" s="45">
        <f>'7a. Success 3 yr'!B13*'7. Success Allocation'!B$5</f>
        <v>1711220.0604309014</v>
      </c>
      <c r="C13" s="45">
        <f>'7a. Success 3 yr'!C13*'7. Success Allocation'!C$5</f>
        <v>1292410.9451735721</v>
      </c>
      <c r="D13" s="45">
        <f>'7a. Success 3 yr'!D13*'7. Success Allocation'!D$5</f>
        <v>0</v>
      </c>
      <c r="E13" s="45">
        <f>'7a. Success 3 yr'!E13*'7. Success Allocation'!E$5</f>
        <v>402816.40441218065</v>
      </c>
      <c r="F13" s="45">
        <f>'7a. Success 3 yr'!F13*'7. Success Allocation'!F$5</f>
        <v>262880.18451713031</v>
      </c>
      <c r="G13" s="45">
        <f>'7a. Success 3 yr'!G13*'7. Success Allocation'!G$5</f>
        <v>1190457.4135357498</v>
      </c>
      <c r="H13" s="45">
        <f>'7a. Success 3 yr'!H13*'7. Success Allocation'!H$5</f>
        <v>1059267.20738414</v>
      </c>
      <c r="I13" s="45">
        <f>'7a. Success 3 yr'!I13*'7. Success Allocation'!I$5</f>
        <v>1389866.5268861966</v>
      </c>
      <c r="J13" s="45">
        <f t="shared" si="2"/>
        <v>7308918.7423398709</v>
      </c>
      <c r="K13" s="45"/>
      <c r="L13" s="45">
        <f>'7a. Success 3 yr'!J13*'7. Success Allocation'!L$5</f>
        <v>383075.4019627003</v>
      </c>
      <c r="M13" s="45">
        <f>'7a. Success 3 yr'!K13*'7. Success Allocation'!M$5</f>
        <v>279997.38284357841</v>
      </c>
      <c r="N13" s="45">
        <f>'7a. Success 3 yr'!L13*'7. Success Allocation'!N$5</f>
        <v>0</v>
      </c>
      <c r="O13" s="45">
        <f>'7a. Success 3 yr'!M13*'7. Success Allocation'!O$5</f>
        <v>72716.857124035087</v>
      </c>
      <c r="P13" s="45">
        <f>'7a. Success 3 yr'!N13*'7. Success Allocation'!P$5</f>
        <v>32235.307797252666</v>
      </c>
      <c r="Q13" s="45">
        <f>'7a. Success 3 yr'!O13*'7. Success Allocation'!Q$5</f>
        <v>225272.32542033552</v>
      </c>
      <c r="R13" s="45">
        <f>'7a. Success 3 yr'!P13*'7. Success Allocation'!R$5</f>
        <v>205500.08720748578</v>
      </c>
      <c r="S13" s="45">
        <f>'7a. Success 3 yr'!Q13*'7. Success Allocation'!S$5</f>
        <v>222461.10671708672</v>
      </c>
      <c r="T13" s="45">
        <f t="shared" si="3"/>
        <v>1421258.4690724744</v>
      </c>
      <c r="U13" s="45"/>
      <c r="V13" s="45">
        <f>'7a. Success 3 yr'!R13*'7. Success Allocation'!V$5</f>
        <v>339345.33324549708</v>
      </c>
      <c r="W13" s="45">
        <f>'7a. Success 3 yr'!S13*'7. Success Allocation'!W$5</f>
        <v>254883.82909455599</v>
      </c>
      <c r="X13" s="45">
        <f>'7a. Success 3 yr'!T13*'7. Success Allocation'!X$5</f>
        <v>0</v>
      </c>
      <c r="Y13" s="45">
        <f>'7a. Success 3 yr'!U13*'7. Success Allocation'!Y$5</f>
        <v>80213.440332698505</v>
      </c>
      <c r="Z13" s="45">
        <f>'7a. Success 3 yr'!V13*'7. Success Allocation'!Z$5</f>
        <v>35483.82718767348</v>
      </c>
      <c r="AA13" s="45">
        <f>'7a. Success 3 yr'!W13*'7. Success Allocation'!AA$5</f>
        <v>221399.09076252609</v>
      </c>
      <c r="AB13" s="45">
        <f>'7a. Success 3 yr'!X13*'7. Success Allocation'!AB$5</f>
        <v>198846.869609797</v>
      </c>
      <c r="AC13" s="45">
        <f>'7a. Success 3 yr'!Y13*'7. Success Allocation'!AC$5</f>
        <v>253634.39855977875</v>
      </c>
      <c r="AD13" s="45">
        <f t="shared" si="4"/>
        <v>1383806.7887925268</v>
      </c>
      <c r="AF13" s="45">
        <f t="shared" si="1"/>
        <v>10113984.000204872</v>
      </c>
    </row>
    <row r="14" spans="1:32" x14ac:dyDescent="0.25">
      <c r="A14" s="23" t="s">
        <v>51</v>
      </c>
      <c r="B14" s="45">
        <f>'7a. Success 3 yr'!B14*'7. Success Allocation'!B$5</f>
        <v>1751201.837543773</v>
      </c>
      <c r="C14" s="45">
        <f>'7a. Success 3 yr'!C14*'7. Success Allocation'!C$5</f>
        <v>842615.95265376742</v>
      </c>
      <c r="D14" s="45">
        <f>'7a. Success 3 yr'!D14*'7. Success Allocation'!D$5</f>
        <v>0</v>
      </c>
      <c r="E14" s="45">
        <f>'7a. Success 3 yr'!E14*'7. Success Allocation'!E$5</f>
        <v>395819.59341742814</v>
      </c>
      <c r="F14" s="45">
        <f>'7a. Success 3 yr'!F14*'7. Success Allocation'!F$5</f>
        <v>323852.39461425936</v>
      </c>
      <c r="G14" s="45">
        <f>'7a. Success 3 yr'!G14*'7. Success Allocation'!G$5</f>
        <v>863606.38563802501</v>
      </c>
      <c r="H14" s="45">
        <f>'7a. Success 3 yr'!H14*'7. Success Allocation'!H$5</f>
        <v>1048771.9908920112</v>
      </c>
      <c r="I14" s="45">
        <f>'7a. Success 3 yr'!I14*'7. Success Allocation'!I$5</f>
        <v>574738.04599752824</v>
      </c>
      <c r="J14" s="45">
        <f t="shared" si="2"/>
        <v>5800606.200756792</v>
      </c>
      <c r="K14" s="45"/>
      <c r="L14" s="45">
        <f>'7a. Success 3 yr'!J14*'7. Success Allocation'!L$5</f>
        <v>383075.4019627003</v>
      </c>
      <c r="M14" s="45">
        <f>'7a. Success 3 yr'!K14*'7. Success Allocation'!M$5</f>
        <v>167548.63471362725</v>
      </c>
      <c r="N14" s="45">
        <f>'7a. Success 3 yr'!L14*'7. Success Allocation'!N$5</f>
        <v>0</v>
      </c>
      <c r="O14" s="45">
        <f>'7a. Success 3 yr'!M14*'7. Success Allocation'!O$5</f>
        <v>79088.952851398994</v>
      </c>
      <c r="P14" s="45">
        <f>'7a. Success 3 yr'!N14*'7. Success Allocation'!P$5</f>
        <v>45354.328412413641</v>
      </c>
      <c r="Q14" s="45">
        <f>'7a. Success 3 yr'!O14*'7. Success Allocation'!Q$5</f>
        <v>160052.05150496383</v>
      </c>
      <c r="R14" s="45">
        <f>'7a. Success 3 yr'!P14*'7. Success Allocation'!R$5</f>
        <v>182166.97197052091</v>
      </c>
      <c r="S14" s="45">
        <f>'7a. Success 3 yr'!Q14*'7. Success Allocation'!S$5</f>
        <v>69905.638420786316</v>
      </c>
      <c r="T14" s="45">
        <f t="shared" si="3"/>
        <v>1087191.9798364111</v>
      </c>
      <c r="U14" s="45"/>
      <c r="V14" s="45">
        <f>'7a. Success 3 yr'!R14*'7. Success Allocation'!V$5</f>
        <v>335347.15553420992</v>
      </c>
      <c r="W14" s="45">
        <f>'7a. Success 3 yr'!S14*'7. Success Allocation'!W$5</f>
        <v>150306.49333370139</v>
      </c>
      <c r="X14" s="45">
        <f>'7a. Success 3 yr'!T14*'7. Success Allocation'!X$5</f>
        <v>0</v>
      </c>
      <c r="Y14" s="45">
        <f>'7a. Success 3 yr'!U14*'7. Success Allocation'!Y$5</f>
        <v>75465.604300545005</v>
      </c>
      <c r="Z14" s="45">
        <f>'7a. Success 3 yr'!V14*'7. Success Allocation'!Z$5</f>
        <v>44979.499251980465</v>
      </c>
      <c r="AA14" s="45">
        <f>'7a. Success 3 yr'!W14*'7. Success Allocation'!AA$5</f>
        <v>156428.70295410985</v>
      </c>
      <c r="AB14" s="45">
        <f>'7a. Success 3 yr'!X14*'7. Success Allocation'!AB$5</f>
        <v>179543.16784748869</v>
      </c>
      <c r="AC14" s="45">
        <f>'7a. Success 3 yr'!Y14*'7. Success Allocation'!AC$5</f>
        <v>83586.902776597039</v>
      </c>
      <c r="AD14" s="45">
        <f t="shared" si="4"/>
        <v>1025657.5259986323</v>
      </c>
      <c r="AF14" s="45">
        <f t="shared" si="1"/>
        <v>7913455.7065918352</v>
      </c>
    </row>
    <row r="15" spans="1:32" x14ac:dyDescent="0.25">
      <c r="A15" s="23" t="s">
        <v>52</v>
      </c>
      <c r="B15" s="45">
        <f>'7a. Success 3 yr'!B15*'7. Success Allocation'!B$5</f>
        <v>3186547.6358958608</v>
      </c>
      <c r="C15" s="45">
        <f>'7a. Success 3 yr'!C15*'7. Success Allocation'!C$5</f>
        <v>3928209.6013396275</v>
      </c>
      <c r="D15" s="45">
        <f>'7a. Success 3 yr'!D15*'7. Success Allocation'!D$5</f>
        <v>0</v>
      </c>
      <c r="E15" s="45">
        <f>'7a. Success 3 yr'!E15*'7. Success Allocation'!E$5</f>
        <v>850612.30807634175</v>
      </c>
      <c r="F15" s="45">
        <f>'7a. Success 3 yr'!F15*'7. Success Allocation'!F$5</f>
        <v>1145477.9142837692</v>
      </c>
      <c r="G15" s="45">
        <f>'7a. Success 3 yr'!G15*'7. Success Allocation'!G$5</f>
        <v>2786230.0925532347</v>
      </c>
      <c r="H15" s="45">
        <f>'7a. Success 3 yr'!H15*'7. Success Allocation'!H$5</f>
        <v>3701812.7884379923</v>
      </c>
      <c r="I15" s="45">
        <f>'7a. Success 3 yr'!I15*'7. Success Allocation'!I$5</f>
        <v>2000588.1722853091</v>
      </c>
      <c r="J15" s="45">
        <f t="shared" si="2"/>
        <v>17599478.512872137</v>
      </c>
      <c r="K15" s="45"/>
      <c r="L15" s="45">
        <f>'7a. Success 3 yr'!J15*'7. Success Allocation'!L$5</f>
        <v>610971.53150606796</v>
      </c>
      <c r="M15" s="45">
        <f>'7a. Success 3 yr'!K15*'7. Success Allocation'!M$5</f>
        <v>563930.47187170514</v>
      </c>
      <c r="N15" s="45">
        <f>'7a. Success 3 yr'!L15*'7. Success Allocation'!N$5</f>
        <v>0</v>
      </c>
      <c r="O15" s="45">
        <f>'7a. Success 3 yr'!M15*'7. Success Allocation'!O$5</f>
        <v>121444.64798034726</v>
      </c>
      <c r="P15" s="45">
        <f>'7a. Success 3 yr'!N15*'7. Success Allocation'!P$5</f>
        <v>163800.34310929553</v>
      </c>
      <c r="Q15" s="45">
        <f>'7a. Success 3 yr'!O15*'7. Success Allocation'!Q$5</f>
        <v>376328.47707490326</v>
      </c>
      <c r="R15" s="45">
        <f>'7a. Success 3 yr'!P15*'7. Success Allocation'!R$5</f>
        <v>554372.32828065928</v>
      </c>
      <c r="S15" s="45">
        <f>'7a. Success 3 yr'!Q15*'7. Success Allocation'!S$5</f>
        <v>137937.13103940676</v>
      </c>
      <c r="T15" s="45">
        <f t="shared" si="3"/>
        <v>2528784.9308623848</v>
      </c>
      <c r="U15" s="45"/>
      <c r="V15" s="45">
        <f>'7a. Success 3 yr'!R15*'7. Success Allocation'!V$5</f>
        <v>548250.1186602508</v>
      </c>
      <c r="W15" s="45">
        <f>'7a. Success 3 yr'!S15*'7. Success Allocation'!W$5</f>
        <v>585483.14859661239</v>
      </c>
      <c r="X15" s="45">
        <f>'7a. Success 3 yr'!T15*'7. Success Allocation'!X$5</f>
        <v>0</v>
      </c>
      <c r="Y15" s="45">
        <f>'7a. Success 3 yr'!U15*'7. Success Allocation'!Y$5</f>
        <v>137687.24493245131</v>
      </c>
      <c r="Z15" s="45">
        <f>'7a. Success 3 yr'!V15*'7. Success Allocation'!Z$5</f>
        <v>146683.1447828474</v>
      </c>
      <c r="AA15" s="45">
        <f>'7a. Success 3 yr'!W15*'7. Success Allocation'!AA$5</f>
        <v>414436.10838560894</v>
      </c>
      <c r="AB15" s="45">
        <f>'7a. Success 3 yr'!X15*'7. Success Allocation'!AB$5</f>
        <v>527197.21414925437</v>
      </c>
      <c r="AC15" s="45">
        <f>'7a. Success 3 yr'!Y15*'7. Success Allocation'!AC$5</f>
        <v>216776.19778385031</v>
      </c>
      <c r="AD15" s="45">
        <f t="shared" si="4"/>
        <v>2576513.1772908755</v>
      </c>
      <c r="AF15" s="45">
        <f t="shared" si="1"/>
        <v>22704776.621025398</v>
      </c>
    </row>
    <row r="16" spans="1:32" x14ac:dyDescent="0.25">
      <c r="A16" s="23" t="s">
        <v>53</v>
      </c>
      <c r="B16" s="45">
        <f>'7a. Success 3 yr'!B16*'7. Success Allocation'!B$5</f>
        <v>0</v>
      </c>
      <c r="C16" s="45">
        <f>'7a. Success 3 yr'!C16*'7. Success Allocation'!C$5</f>
        <v>647704.78922851873</v>
      </c>
      <c r="D16" s="45">
        <f>'7a. Success 3 yr'!D16*'7. Success Allocation'!D$5</f>
        <v>0</v>
      </c>
      <c r="E16" s="45">
        <f>'7a. Success 3 yr'!E16*'7. Success Allocation'!E$5</f>
        <v>47978.132535445831</v>
      </c>
      <c r="F16" s="45">
        <f>'7a. Success 3 yr'!F16*'7. Success Allocation'!F$5</f>
        <v>24988.610695544703</v>
      </c>
      <c r="G16" s="45">
        <f>'7a. Success 3 yr'!G16*'7. Success Allocation'!G$5</f>
        <v>277373.57872054621</v>
      </c>
      <c r="H16" s="45">
        <f>'7a. Success 3 yr'!H16*'7. Success Allocation'!H$5</f>
        <v>366582.91890364082</v>
      </c>
      <c r="I16" s="45">
        <f>'7a. Success 3 yr'!I16*'7. Success Allocation'!I$5</f>
        <v>388323.0102087647</v>
      </c>
      <c r="J16" s="45">
        <f t="shared" si="2"/>
        <v>1752951.0402924609</v>
      </c>
      <c r="K16" s="45"/>
      <c r="L16" s="45">
        <f>'7a. Success 3 yr'!J16*'7. Success Allocation'!L$5</f>
        <v>0</v>
      </c>
      <c r="M16" s="45">
        <f>'7a. Success 3 yr'!K16*'7. Success Allocation'!M$5</f>
        <v>181604.72822987114</v>
      </c>
      <c r="N16" s="45">
        <f>'7a. Success 3 yr'!L16*'7. Success Allocation'!N$5</f>
        <v>0</v>
      </c>
      <c r="O16" s="45">
        <f>'7a. Success 3 yr'!M16*'7. Success Allocation'!O$5</f>
        <v>13493.849775594141</v>
      </c>
      <c r="P16" s="45">
        <f>'7a. Success 3 yr'!N16*'7. Success Allocation'!P$5</f>
        <v>4123.1207647648762</v>
      </c>
      <c r="Q16" s="45">
        <f>'7a. Success 3 yr'!O16*'7. Success Allocation'!Q$5</f>
        <v>58660.763607791196</v>
      </c>
      <c r="R16" s="45">
        <f>'7a. Success 3 yr'!P16*'7. Success Allocation'!R$5</f>
        <v>63814.66456374729</v>
      </c>
      <c r="S16" s="45">
        <f>'7a. Success 3 yr'!Q16*'7. Success Allocation'!S$5</f>
        <v>41043.793067432176</v>
      </c>
      <c r="T16" s="45">
        <f t="shared" si="3"/>
        <v>362740.92000920081</v>
      </c>
      <c r="U16" s="45"/>
      <c r="V16" s="45">
        <f>'7a. Success 3 yr'!R16*'7. Success Allocation'!V$5</f>
        <v>0</v>
      </c>
      <c r="W16" s="45">
        <f>'7a. Success 3 yr'!S16*'7. Success Allocation'!W$5</f>
        <v>152930.29745673359</v>
      </c>
      <c r="X16" s="45">
        <f>'7a. Success 3 yr'!T16*'7. Success Allocation'!X$5</f>
        <v>0</v>
      </c>
      <c r="Y16" s="45">
        <f>'7a. Success 3 yr'!U16*'7. Success Allocation'!Y$5</f>
        <v>10495.216492128777</v>
      </c>
      <c r="Z16" s="45">
        <f>'7a. Success 3 yr'!V16*'7. Success Allocation'!Z$5</f>
        <v>4747.8360321534938</v>
      </c>
      <c r="AA16" s="45">
        <f>'7a. Success 3 yr'!W16*'7. Success Allocation'!AA$5</f>
        <v>52476.082460643876</v>
      </c>
      <c r="AB16" s="45">
        <f>'7a. Success 3 yr'!X16*'7. Success Allocation'!AB$5</f>
        <v>56036.959484758998</v>
      </c>
      <c r="AC16" s="45">
        <f>'7a. Success 3 yr'!Y16*'7. Success Allocation'!AC$5</f>
        <v>45854.100626324536</v>
      </c>
      <c r="AD16" s="45">
        <f t="shared" si="4"/>
        <v>322540.49255274329</v>
      </c>
      <c r="AF16" s="45">
        <f t="shared" si="1"/>
        <v>2438232.4528544052</v>
      </c>
    </row>
    <row r="17" spans="1:32" x14ac:dyDescent="0.25">
      <c r="A17" s="23" t="s">
        <v>54</v>
      </c>
      <c r="B17" s="45">
        <f>'7a. Success 3 yr'!B17*'7. Success Allocation'!B$5</f>
        <v>2842704.3527251654</v>
      </c>
      <c r="C17" s="45">
        <f>'7a. Success 3 yr'!C17*'7. Success Allocation'!C$5</f>
        <v>2244477.0126738255</v>
      </c>
      <c r="D17" s="45">
        <f>'7a. Success 3 yr'!D17*'7. Success Allocation'!D$5</f>
        <v>0</v>
      </c>
      <c r="E17" s="45">
        <f>'7a. Success 3 yr'!E17*'7. Success Allocation'!E$5</f>
        <v>595728.47898178571</v>
      </c>
      <c r="F17" s="45">
        <f>'7a. Success 3 yr'!F17*'7. Success Allocation'!F$5</f>
        <v>901589.07389525289</v>
      </c>
      <c r="G17" s="45">
        <f>'7a. Success 3 yr'!G17*'7. Success Allocation'!G$5</f>
        <v>2201996.3744913992</v>
      </c>
      <c r="H17" s="45">
        <f>'7a. Success 3 yr'!H17*'7. Success Allocation'!H$5</f>
        <v>2725757.6546700164</v>
      </c>
      <c r="I17" s="45">
        <f>'7a. Success 3 yr'!I17*'7. Success Allocation'!I$5</f>
        <v>1249930.3069911462</v>
      </c>
      <c r="J17" s="45">
        <f t="shared" si="2"/>
        <v>12762183.254428592</v>
      </c>
      <c r="K17" s="45"/>
      <c r="L17" s="45">
        <f>'7a. Success 3 yr'!J17*'7. Success Allocation'!L$5</f>
        <v>419059.00136428466</v>
      </c>
      <c r="M17" s="45">
        <f>'7a. Success 3 yr'!K17*'7. Success Allocation'!M$5</f>
        <v>377827.79371663596</v>
      </c>
      <c r="N17" s="45">
        <f>'7a. Success 3 yr'!L17*'7. Success Allocation'!N$5</f>
        <v>0</v>
      </c>
      <c r="O17" s="45">
        <f>'7a. Success 3 yr'!M17*'7. Success Allocation'!O$5</f>
        <v>70842.711321869239</v>
      </c>
      <c r="P17" s="45">
        <f>'7a. Success 3 yr'!N17*'7. Success Allocation'!P$5</f>
        <v>77214.807049233132</v>
      </c>
      <c r="Q17" s="45">
        <f>'7a. Success 3 yr'!O17*'7. Success Allocation'!Q$5</f>
        <v>305485.76575303398</v>
      </c>
      <c r="R17" s="45">
        <f>'7a. Success 3 yr'!P17*'7. Success Allocation'!R$5</f>
        <v>327225.85705815791</v>
      </c>
      <c r="S17" s="45">
        <f>'7a. Success 3 yr'!Q17*'7. Success Allocation'!S$5</f>
        <v>94644.363009375564</v>
      </c>
      <c r="T17" s="45">
        <f t="shared" si="3"/>
        <v>1672300.2992725905</v>
      </c>
      <c r="U17" s="45"/>
      <c r="V17" s="45">
        <f>'7a. Success 3 yr'!R17*'7. Success Allocation'!V$5</f>
        <v>399817.77112871525</v>
      </c>
      <c r="W17" s="45">
        <f>'7a. Success 3 yr'!S17*'7. Success Allocation'!W$5</f>
        <v>363959.11478060862</v>
      </c>
      <c r="X17" s="45">
        <f>'7a. Success 3 yr'!T17*'7. Success Allocation'!X$5</f>
        <v>0</v>
      </c>
      <c r="Y17" s="45">
        <f>'7a. Success 3 yr'!U17*'7. Success Allocation'!Y$5</f>
        <v>65969.932236238019</v>
      </c>
      <c r="Z17" s="45">
        <f>'7a. Success 3 yr'!V17*'7. Success Allocation'!Z$5</f>
        <v>84461.504150941095</v>
      </c>
      <c r="AA17" s="45">
        <f>'7a. Success 3 yr'!W17*'7. Success Allocation'!AA$5</f>
        <v>304486.22132521222</v>
      </c>
      <c r="AB17" s="45">
        <f>'7a. Success 3 yr'!X17*'7. Success Allocation'!AB$5</f>
        <v>342031.60889526812</v>
      </c>
      <c r="AC17" s="45">
        <f>'7a. Success 3 yr'!Y17*'7. Success Allocation'!AC$5</f>
        <v>123193.85072903539</v>
      </c>
      <c r="AD17" s="45">
        <f t="shared" si="4"/>
        <v>1683920.0032460187</v>
      </c>
      <c r="AF17" s="45">
        <f t="shared" si="1"/>
        <v>16118403.556947201</v>
      </c>
    </row>
    <row r="18" spans="1:32" x14ac:dyDescent="0.25">
      <c r="A18" s="23" t="s">
        <v>55</v>
      </c>
      <c r="B18" s="45">
        <f>'7a. Success 3 yr'!B18*'7. Success Allocation'!B$5</f>
        <v>119945.33133861459</v>
      </c>
      <c r="C18" s="45">
        <f>'7a. Success 3 yr'!C18*'7. Success Allocation'!C$5</f>
        <v>194911.1634252487</v>
      </c>
      <c r="D18" s="45">
        <f>'7a. Success 3 yr'!D18*'7. Success Allocation'!D$5</f>
        <v>0</v>
      </c>
      <c r="E18" s="45">
        <f>'7a. Success 3 yr'!E18*'7. Success Allocation'!E$5</f>
        <v>13993.621989505034</v>
      </c>
      <c r="F18" s="45">
        <f>'7a. Success 3 yr'!F18*'7. Success Allocation'!F$5</f>
        <v>31985.421690297222</v>
      </c>
      <c r="G18" s="45">
        <f>'7a. Success 3 yr'!G18*'7. Success Allocation'!G$5</f>
        <v>115947.15362732743</v>
      </c>
      <c r="H18" s="45">
        <f>'7a. Success 3 yr'!H18*'7. Success Allocation'!H$5</f>
        <v>68968.565519703378</v>
      </c>
      <c r="I18" s="45">
        <f>'7a. Success 3 yr'!I18*'7. Success Allocation'!I$5</f>
        <v>93457.4040013372</v>
      </c>
      <c r="J18" s="45">
        <f t="shared" si="2"/>
        <v>639208.66159203346</v>
      </c>
      <c r="K18" s="45"/>
      <c r="L18" s="45">
        <f>'7a. Success 3 yr'!J18*'7. Success Allocation'!L$5</f>
        <v>33734.624438985353</v>
      </c>
      <c r="M18" s="45">
        <f>'7a. Success 3 yr'!K18*'7. Success Allocation'!M$5</f>
        <v>55099.886583676074</v>
      </c>
      <c r="N18" s="45">
        <f>'7a. Success 3 yr'!L18*'7. Success Allocation'!N$5</f>
        <v>0</v>
      </c>
      <c r="O18" s="45">
        <f>'7a. Success 3 yr'!M18*'7. Success Allocation'!O$5</f>
        <v>4872.7790856312176</v>
      </c>
      <c r="P18" s="45">
        <f>'7a. Success 3 yr'!N18*'7. Success Allocation'!P$5</f>
        <v>4872.7790856312176</v>
      </c>
      <c r="Q18" s="45">
        <f>'7a. Success 3 yr'!O18*'7. Success Allocation'!Q$5</f>
        <v>31485.649476386327</v>
      </c>
      <c r="R18" s="45">
        <f>'7a. Success 3 yr'!P18*'7. Success Allocation'!R$5</f>
        <v>15742.824738193165</v>
      </c>
      <c r="S18" s="45">
        <f>'7a. Success 3 yr'!Q18*'7. Success Allocation'!S$5</f>
        <v>15180.580997543408</v>
      </c>
      <c r="T18" s="45">
        <f t="shared" si="3"/>
        <v>160989.12440604679</v>
      </c>
      <c r="U18" s="45"/>
      <c r="V18" s="45">
        <f>'7a. Success 3 yr'!R18*'7. Success Allocation'!V$5</f>
        <v>27487.471765099177</v>
      </c>
      <c r="W18" s="45">
        <f>'7a. Success 3 yr'!S18*'7. Success Allocation'!W$5</f>
        <v>43105.353449814611</v>
      </c>
      <c r="X18" s="45">
        <f>'7a. Success 3 yr'!T18*'7. Success Allocation'!X$5</f>
        <v>0</v>
      </c>
      <c r="Y18" s="45">
        <f>'7a. Success 3 yr'!U18*'7. Success Allocation'!Y$5</f>
        <v>3248.5193904208118</v>
      </c>
      <c r="Z18" s="45">
        <f>'7a. Success 3 yr'!V18*'7. Success Allocation'!Z$5</f>
        <v>4747.8360321534938</v>
      </c>
      <c r="AA18" s="45">
        <f>'7a. Success 3 yr'!W18*'7. Success Allocation'!AA$5</f>
        <v>26362.984283799662</v>
      </c>
      <c r="AB18" s="45">
        <f>'7a. Success 3 yr'!X18*'7. Success Allocation'!AB$5</f>
        <v>13868.678936027311</v>
      </c>
      <c r="AC18" s="45">
        <f>'7a. Success 3 yr'!Y18*'7. Success Allocation'!AC$5</f>
        <v>15992.710845148611</v>
      </c>
      <c r="AD18" s="45">
        <f t="shared" si="4"/>
        <v>134813.55470246368</v>
      </c>
      <c r="AF18" s="45">
        <f t="shared" si="1"/>
        <v>935011.34070054395</v>
      </c>
    </row>
    <row r="19" spans="1:32" x14ac:dyDescent="0.25">
      <c r="A19" s="23" t="s">
        <v>56</v>
      </c>
      <c r="B19" s="45">
        <f>'7a. Success 3 yr'!B19*'7. Success Allocation'!B$5</f>
        <v>1047522.560357234</v>
      </c>
      <c r="C19" s="45">
        <f>'7a. Success 3 yr'!C19*'7. Success Allocation'!C$5</f>
        <v>532257.40781510214</v>
      </c>
      <c r="D19" s="45">
        <f>'7a. Success 3 yr'!D19*'7. Success Allocation'!D$5</f>
        <v>0</v>
      </c>
      <c r="E19" s="45">
        <f>'7a. Success 3 yr'!E19*'7. Success Allocation'!E$5</f>
        <v>145933.48646198108</v>
      </c>
      <c r="F19" s="45">
        <f>'7a. Success 3 yr'!F19*'7. Success Allocation'!F$5</f>
        <v>110949.43148821848</v>
      </c>
      <c r="G19" s="45">
        <f>'7a. Success 3 yr'!G19*'7. Success Allocation'!G$5</f>
        <v>843615.49708158919</v>
      </c>
      <c r="H19" s="45">
        <f>'7a. Success 3 yr'!H19*'7. Success Allocation'!H$5</f>
        <v>514265.60811431002</v>
      </c>
      <c r="I19" s="45">
        <f>'7a. Success 3 yr'!I19*'7. Success Allocation'!I$5</f>
        <v>681189.52756054862</v>
      </c>
      <c r="J19" s="45">
        <f t="shared" si="2"/>
        <v>3875733.5188789833</v>
      </c>
      <c r="K19" s="45"/>
      <c r="L19" s="45">
        <f>'7a. Success 3 yr'!J19*'7. Success Allocation'!L$5</f>
        <v>278123.23704141256</v>
      </c>
      <c r="M19" s="45">
        <f>'7a. Success 3 yr'!K19*'7. Success Allocation'!M$5</f>
        <v>134376.25401529166</v>
      </c>
      <c r="N19" s="45">
        <f>'7a. Success 3 yr'!L19*'7. Success Allocation'!N$5</f>
        <v>0</v>
      </c>
      <c r="O19" s="45">
        <f>'7a. Success 3 yr'!M19*'7. Success Allocation'!O$5</f>
        <v>40106.720166349252</v>
      </c>
      <c r="P19" s="45">
        <f>'7a. Success 3 yr'!N19*'7. Success Allocation'!P$5</f>
        <v>21740.091305123893</v>
      </c>
      <c r="Q19" s="45">
        <f>'7a. Success 3 yr'!O19*'7. Success Allocation'!Q$5</f>
        <v>201283.25915261259</v>
      </c>
      <c r="R19" s="45">
        <f>'7a. Success 3 yr'!P19*'7. Success Allocation'!R$5</f>
        <v>120882.40423969751</v>
      </c>
      <c r="S19" s="45">
        <f>'7a. Success 3 yr'!Q19*'7. Success Allocation'!S$5</f>
        <v>124443.28126381262</v>
      </c>
      <c r="T19" s="45">
        <f t="shared" si="3"/>
        <v>920955.2471843001</v>
      </c>
      <c r="U19" s="45"/>
      <c r="V19" s="45">
        <f>'7a. Success 3 yr'!R19*'7. Success Allocation'!V$5</f>
        <v>230394.99061292218</v>
      </c>
      <c r="W19" s="45">
        <f>'7a. Success 3 yr'!S19*'7. Success Allocation'!W$5</f>
        <v>113573.23561125068</v>
      </c>
      <c r="X19" s="45">
        <f>'7a. Success 3 yr'!T19*'7. Success Allocation'!X$5</f>
        <v>0</v>
      </c>
      <c r="Y19" s="45">
        <f>'7a. Success 3 yr'!U19*'7. Success Allocation'!Y$5</f>
        <v>32235.30779725267</v>
      </c>
      <c r="Z19" s="45">
        <f>'7a. Success 3 yr'!V19*'7. Success Allocation'!Z$5</f>
        <v>20990.432984257553</v>
      </c>
      <c r="AA19" s="45">
        <f>'7a. Success 3 yr'!W19*'7. Success Allocation'!AA$5</f>
        <v>175544.99013620155</v>
      </c>
      <c r="AB19" s="45">
        <f>'7a. Success 3 yr'!X19*'7. Success Allocation'!AB$5</f>
        <v>101578.70247738922</v>
      </c>
      <c r="AC19" s="45">
        <f>'7a. Success 3 yr'!Y19*'7. Success Allocation'!AC$5</f>
        <v>119070.72996427052</v>
      </c>
      <c r="AD19" s="45">
        <f t="shared" si="4"/>
        <v>793388.38958354434</v>
      </c>
      <c r="AF19" s="45">
        <f t="shared" si="1"/>
        <v>5590077.1556468271</v>
      </c>
    </row>
    <row r="20" spans="1:32" x14ac:dyDescent="0.25">
      <c r="A20" s="23" t="s">
        <v>57</v>
      </c>
      <c r="B20" s="45">
        <f>'7a. Success 3 yr'!B20*'7. Success Allocation'!B$5</f>
        <v>1947112.5453968435</v>
      </c>
      <c r="C20" s="45">
        <f>'7a. Success 3 yr'!C20*'7. Success Allocation'!C$5</f>
        <v>1626758.5562799603</v>
      </c>
      <c r="D20" s="45">
        <f>'7a. Success 3 yr'!D20*'7. Success Allocation'!D$5</f>
        <v>0</v>
      </c>
      <c r="E20" s="45">
        <f>'7a. Success 3 yr'!E20*'7. Success Allocation'!E$5</f>
        <v>349840.54973762587</v>
      </c>
      <c r="F20" s="45">
        <f>'7a. Success 3 yr'!F20*'7. Success Allocation'!F$5</f>
        <v>583733.94584792433</v>
      </c>
      <c r="G20" s="45">
        <f>'7a. Success 3 yr'!G20*'7. Success Allocation'!G$5</f>
        <v>1344387.2554203051</v>
      </c>
      <c r="H20" s="45">
        <f>'7a. Success 3 yr'!H20*'7. Success Allocation'!H$5</f>
        <v>1608017.0982583016</v>
      </c>
      <c r="I20" s="45">
        <f>'7a. Success 3 yr'!I20*'7. Success Allocation'!I$5</f>
        <v>1113492.4925934721</v>
      </c>
      <c r="J20" s="45">
        <f t="shared" si="2"/>
        <v>8573342.4435344338</v>
      </c>
      <c r="K20" s="45"/>
      <c r="L20" s="45">
        <f>'7a. Success 3 yr'!J20*'7. Success Allocation'!L$5</f>
        <v>404065.83494695788</v>
      </c>
      <c r="M20" s="45">
        <f>'7a. Success 3 yr'!K20*'7. Success Allocation'!M$5</f>
        <v>324976.88209555892</v>
      </c>
      <c r="N20" s="45">
        <f>'7a. Success 3 yr'!L20*'7. Success Allocation'!N$5</f>
        <v>0</v>
      </c>
      <c r="O20" s="45">
        <f>'7a. Success 3 yr'!M20*'7. Success Allocation'!O$5</f>
        <v>53600.569941943388</v>
      </c>
      <c r="P20" s="45">
        <f>'7a. Success 3 yr'!N20*'7. Success Allocation'!P$5</f>
        <v>85086.219418329711</v>
      </c>
      <c r="Q20" s="45">
        <f>'7a. Success 3 yr'!O20*'7. Success Allocation'!Q$5</f>
        <v>225459.74000055209</v>
      </c>
      <c r="R20" s="45">
        <f>'7a. Success 3 yr'!P20*'7. Success Allocation'!R$5</f>
        <v>284776.45463910134</v>
      </c>
      <c r="S20" s="45">
        <f>'7a. Success 3 yr'!Q20*'7. Success Allocation'!S$5</f>
        <v>119945.33133861457</v>
      </c>
      <c r="T20" s="45">
        <f t="shared" si="3"/>
        <v>1497911.0323810577</v>
      </c>
      <c r="U20" s="45"/>
      <c r="V20" s="45">
        <f>'7a. Success 3 yr'!R20*'7. Success Allocation'!V$5</f>
        <v>353838.72744891304</v>
      </c>
      <c r="W20" s="45">
        <f>'7a. Success 3 yr'!S20*'7. Success Allocation'!W$5</f>
        <v>279247.72452271206</v>
      </c>
      <c r="X20" s="45">
        <f>'7a. Success 3 yr'!T20*'7. Success Allocation'!X$5</f>
        <v>0</v>
      </c>
      <c r="Y20" s="45">
        <f>'7a. Success 3 yr'!U20*'7. Success Allocation'!Y$5</f>
        <v>50976.765818911197</v>
      </c>
      <c r="Z20" s="45">
        <f>'7a. Success 3 yr'!V20*'7. Success Allocation'!Z$5</f>
        <v>74466.059872723214</v>
      </c>
      <c r="AA20" s="45">
        <f>'7a. Success 3 yr'!W20*'7. Success Allocation'!AA$5</f>
        <v>212528.1339656077</v>
      </c>
      <c r="AB20" s="45">
        <f>'7a. Success 3 yr'!X20*'7. Success Allocation'!AB$5</f>
        <v>255633.48741542231</v>
      </c>
      <c r="AC20" s="45">
        <f>'7a. Success 3 yr'!Y20*'7. Success Allocation'!AC$5</f>
        <v>146433.25867589196</v>
      </c>
      <c r="AD20" s="45">
        <f t="shared" si="4"/>
        <v>1373124.1577201814</v>
      </c>
      <c r="AF20" s="45">
        <f t="shared" si="1"/>
        <v>11444377.633635674</v>
      </c>
    </row>
    <row r="21" spans="1:32" x14ac:dyDescent="0.25">
      <c r="A21" s="23" t="s">
        <v>58</v>
      </c>
      <c r="B21" s="45">
        <f>'7a. Success 3 yr'!B21*'7. Success Allocation'!B$5</f>
        <v>111948.97591604028</v>
      </c>
      <c r="C21" s="45">
        <f>'7a. Success 3 yr'!C21*'7. Success Allocation'!C$5</f>
        <v>236892.02939376381</v>
      </c>
      <c r="D21" s="45">
        <f>'7a. Success 3 yr'!D21*'7. Success Allocation'!D$5</f>
        <v>4497.9499251980469</v>
      </c>
      <c r="E21" s="45">
        <f>'7a. Success 3 yr'!E21*'7. Success Allocation'!E$5</f>
        <v>8995.8998503960938</v>
      </c>
      <c r="F21" s="45">
        <f>'7a. Success 3 yr'!F21*'7. Success Allocation'!F$5</f>
        <v>46978.588107624048</v>
      </c>
      <c r="G21" s="45">
        <f>'7a. Success 3 yr'!G21*'7. Success Allocation'!G$5</f>
        <v>294865.60620742751</v>
      </c>
      <c r="H21" s="45">
        <f>'7a. Success 3 yr'!H21*'7. Success Allocation'!H$5</f>
        <v>121444.64798034726</v>
      </c>
      <c r="I21" s="45">
        <f>'7a. Success 3 yr'!I21*'7. Success Allocation'!I$5</f>
        <v>117446.47026906011</v>
      </c>
      <c r="J21" s="45">
        <f t="shared" si="2"/>
        <v>943070.16764985712</v>
      </c>
      <c r="K21" s="45"/>
      <c r="L21" s="45">
        <f>'7a. Success 3 yr'!J21*'7. Success Allocation'!L$5</f>
        <v>12744.191454727799</v>
      </c>
      <c r="M21" s="45">
        <f>'7a. Success 3 yr'!K21*'7. Success Allocation'!M$5</f>
        <v>35421.35566093462</v>
      </c>
      <c r="N21" s="45">
        <f>'7a. Success 3 yr'!L21*'7. Success Allocation'!N$5</f>
        <v>1686.7312219492676</v>
      </c>
      <c r="O21" s="45">
        <f>'7a. Success 3 yr'!M21*'7. Success Allocation'!O$5</f>
        <v>2248.9749625990235</v>
      </c>
      <c r="P21" s="45">
        <f>'7a. Success 3 yr'!N21*'7. Success Allocation'!P$5</f>
        <v>7496.5832086634109</v>
      </c>
      <c r="Q21" s="45">
        <f>'7a. Success 3 yr'!O21*'7. Success Allocation'!Q$5</f>
        <v>23239.407946856576</v>
      </c>
      <c r="R21" s="45">
        <f>'7a. Success 3 yr'!P21*'7. Success Allocation'!R$5</f>
        <v>12369.362294294629</v>
      </c>
      <c r="S21" s="45">
        <f>'7a. Success 3 yr'!Q21*'7. Success Allocation'!S$5</f>
        <v>5997.2665669307289</v>
      </c>
      <c r="T21" s="45">
        <f t="shared" si="3"/>
        <v>101203.87331695604</v>
      </c>
      <c r="U21" s="45"/>
      <c r="V21" s="45">
        <f>'7a. Success 3 yr'!R21*'7. Success Allocation'!V$5</f>
        <v>21989.977412079341</v>
      </c>
      <c r="W21" s="45">
        <f>'7a. Success 3 yr'!S21*'7. Success Allocation'!W$5</f>
        <v>39731.891005916077</v>
      </c>
      <c r="X21" s="45">
        <f>'7a. Success 3 yr'!T21*'7. Success Allocation'!X$5</f>
        <v>749.65832086634111</v>
      </c>
      <c r="Y21" s="45">
        <f>'7a. Success 3 yr'!U21*'7. Success Allocation'!Y$5</f>
        <v>1999.0888556435764</v>
      </c>
      <c r="Z21" s="45">
        <f>'7a. Success 3 yr'!V21*'7. Success Allocation'!Z$5</f>
        <v>3998.1777112871528</v>
      </c>
      <c r="AA21" s="45">
        <f>'7a. Success 3 yr'!W21*'7. Success Allocation'!AA$5</f>
        <v>29861.389781175923</v>
      </c>
      <c r="AB21" s="45">
        <f>'7a. Success 3 yr'!X21*'7. Success Allocation'!AB$5</f>
        <v>12556.776874511213</v>
      </c>
      <c r="AC21" s="45">
        <f>'7a. Success 3 yr'!Y21*'7. Success Allocation'!AC$5</f>
        <v>8496.1276364852001</v>
      </c>
      <c r="AD21" s="45">
        <f t="shared" si="4"/>
        <v>119383.08759796481</v>
      </c>
      <c r="AF21" s="45">
        <f t="shared" si="1"/>
        <v>1163657.128564778</v>
      </c>
    </row>
    <row r="22" spans="1:32" ht="17.25" x14ac:dyDescent="0.25">
      <c r="A22" s="23" t="s">
        <v>59</v>
      </c>
      <c r="B22" s="45">
        <f>'7a. Success 3 yr'!B22*'7. Success Allocation'!B$5</f>
        <v>2372918.471648925</v>
      </c>
      <c r="C22" s="45">
        <f>'7a. Success 3 yr'!C22*'7. Success Allocation'!C$5</f>
        <v>2054063.7991737747</v>
      </c>
      <c r="D22" s="45">
        <f>'7a. Success 3 yr'!D22*'7. Success Allocation'!D$5</f>
        <v>34484.282759851689</v>
      </c>
      <c r="E22" s="45">
        <f>'7a. Success 3 yr'!E22*'7. Success Allocation'!E$5</f>
        <v>508768.11376129021</v>
      </c>
      <c r="F22" s="45">
        <f>'7a. Success 3 yr'!F22*'7. Success Allocation'!F$5</f>
        <v>1164469.2584123833</v>
      </c>
      <c r="G22" s="45">
        <f>'7a. Success 3 yr'!G22*'7. Success Allocation'!G$5</f>
        <v>2630301.1618130356</v>
      </c>
      <c r="H22" s="45">
        <f>'7a. Success 3 yr'!H22*'7. Success Allocation'!H$5</f>
        <v>3530141.0329596004</v>
      </c>
      <c r="I22" s="45">
        <f>'7a. Success 3 yr'!I22*'7. Success Allocation'!I$5</f>
        <v>2744748.9987986302</v>
      </c>
      <c r="J22" s="45">
        <f t="shared" si="2"/>
        <v>15039895.119327493</v>
      </c>
      <c r="K22" s="45"/>
      <c r="L22" s="45">
        <f>'7a. Success 3 yr'!J22*'7. Success Allocation'!L$5</f>
        <v>330599.31950205646</v>
      </c>
      <c r="M22" s="45">
        <f>'7a. Success 3 yr'!K22*'7. Success Allocation'!M$5</f>
        <v>287868.795212675</v>
      </c>
      <c r="N22" s="45">
        <f>'7a. Success 3 yr'!L22*'7. Success Allocation'!N$5</f>
        <v>4497.9499251980469</v>
      </c>
      <c r="O22" s="45">
        <f>'7a. Success 3 yr'!M22*'7. Success Allocation'!O$5</f>
        <v>20990.43298425755</v>
      </c>
      <c r="P22" s="45">
        <f>'7a. Success 3 yr'!N22*'7. Success Allocation'!P$5</f>
        <v>89584.16934352777</v>
      </c>
      <c r="Q22" s="45">
        <f>'7a. Success 3 yr'!O22*'7. Success Allocation'!Q$5</f>
        <v>200533.60083174624</v>
      </c>
      <c r="R22" s="45">
        <f>'7a. Success 3 yr'!P22*'7. Success Allocation'!R$5</f>
        <v>356743.65344227012</v>
      </c>
      <c r="S22" s="45">
        <f>'7a. Success 3 yr'!Q22*'7. Success Allocation'!S$5</f>
        <v>82462.415295297527</v>
      </c>
      <c r="T22" s="45">
        <f t="shared" si="3"/>
        <v>1373280.3365370289</v>
      </c>
      <c r="U22" s="45"/>
      <c r="V22" s="45">
        <f>'7a. Success 3 yr'!R22*'7. Success Allocation'!V$5</f>
        <v>334847.38332029904</v>
      </c>
      <c r="W22" s="45">
        <f>'7a. Success 3 yr'!S22*'7. Success Allocation'!W$5</f>
        <v>311857.86148039793</v>
      </c>
      <c r="X22" s="45">
        <f>'7a. Success 3 yr'!T22*'7. Success Allocation'!X$5</f>
        <v>6746.9248877970704</v>
      </c>
      <c r="Y22" s="45">
        <f>'7a. Success 3 yr'!U22*'7. Success Allocation'!Y$5</f>
        <v>27737.357872054621</v>
      </c>
      <c r="Z22" s="45">
        <f>'7a. Success 3 yr'!V22*'7. Success Allocation'!Z$5</f>
        <v>87210.251327451013</v>
      </c>
      <c r="AA22" s="45">
        <f>'7a. Success 3 yr'!W22*'7. Success Allocation'!AA$5</f>
        <v>248511.73336719209</v>
      </c>
      <c r="AB22" s="45">
        <f>'7a. Success 3 yr'!X22*'7. Success Allocation'!AB$5</f>
        <v>390197.15601093054</v>
      </c>
      <c r="AC22" s="45">
        <f>'7a. Success 3 yr'!Y22*'7. Success Allocation'!AC$5</f>
        <v>158677.67791670887</v>
      </c>
      <c r="AD22" s="45">
        <f t="shared" si="4"/>
        <v>1565786.3461828311</v>
      </c>
      <c r="AF22" s="45">
        <f t="shared" si="1"/>
        <v>17978961.802047353</v>
      </c>
    </row>
    <row r="23" spans="1:32" x14ac:dyDescent="0.25">
      <c r="A23" s="23" t="s">
        <v>60</v>
      </c>
      <c r="B23" s="45">
        <f>'7a. Success 3 yr'!B23*'7. Success Allocation'!B$5</f>
        <v>451794.08137544827</v>
      </c>
      <c r="C23" s="45">
        <f>'7a. Success 3 yr'!C23*'7. Success Allocation'!C$5</f>
        <v>472284.74214579491</v>
      </c>
      <c r="D23" s="45">
        <f>'7a. Success 3 yr'!D23*'7. Success Allocation'!D$5</f>
        <v>0</v>
      </c>
      <c r="E23" s="45">
        <f>'7a. Success 3 yr'!E23*'7. Success Allocation'!E$5</f>
        <v>162925.74173495147</v>
      </c>
      <c r="F23" s="45">
        <f>'7a. Success 3 yr'!F23*'7. Success Allocation'!F$5</f>
        <v>91958.087359604513</v>
      </c>
      <c r="G23" s="45">
        <f>'7a. Success 3 yr'!G23*'7. Success Allocation'!G$5</f>
        <v>364333.94394104177</v>
      </c>
      <c r="H23" s="45">
        <f>'7a. Success 3 yr'!H23*'7. Success Allocation'!H$5</f>
        <v>329100.00286032376</v>
      </c>
      <c r="I23" s="45">
        <f>'7a. Success 3 yr'!I23*'7. Success Allocation'!I$5</f>
        <v>581235.08477836987</v>
      </c>
      <c r="J23" s="45">
        <f t="shared" si="2"/>
        <v>2453631.6841955343</v>
      </c>
      <c r="K23" s="45"/>
      <c r="L23" s="45">
        <f>'7a. Success 3 yr'!J23*'7. Success Allocation'!L$5</f>
        <v>82462.415295297527</v>
      </c>
      <c r="M23" s="45">
        <f>'7a. Success 3 yr'!K23*'7. Success Allocation'!M$5</f>
        <v>95581.435910458502</v>
      </c>
      <c r="N23" s="45">
        <f>'7a. Success 3 yr'!L23*'7. Success Allocation'!N$5</f>
        <v>0</v>
      </c>
      <c r="O23" s="45">
        <f>'7a. Success 3 yr'!M23*'7. Success Allocation'!O$5</f>
        <v>24738.724588589255</v>
      </c>
      <c r="P23" s="45">
        <f>'7a. Success 3 yr'!N23*'7. Success Allocation'!P$5</f>
        <v>12369.362294294628</v>
      </c>
      <c r="Q23" s="45">
        <f>'7a. Success 3 yr'!O23*'7. Success Allocation'!Q$5</f>
        <v>50414.522078261441</v>
      </c>
      <c r="R23" s="45">
        <f>'7a. Success 3 yr'!P23*'7. Success Allocation'!R$5</f>
        <v>46666.23047392974</v>
      </c>
      <c r="S23" s="45">
        <f>'7a. Success 3 yr'!Q23*'7. Success Allocation'!S$5</f>
        <v>32797.551537902422</v>
      </c>
      <c r="T23" s="45">
        <f t="shared" si="3"/>
        <v>345030.24217873352</v>
      </c>
      <c r="U23" s="45"/>
      <c r="V23" s="45">
        <f>'7a. Success 3 yr'!R23*'7. Success Allocation'!V$5</f>
        <v>75965.3765144559</v>
      </c>
      <c r="W23" s="45">
        <f>'7a. Success 3 yr'!S23*'7. Success Allocation'!W$5</f>
        <v>80963.098653564841</v>
      </c>
      <c r="X23" s="45">
        <f>'7a. Success 3 yr'!T23*'7. Success Allocation'!X$5</f>
        <v>0</v>
      </c>
      <c r="Y23" s="45">
        <f>'7a. Success 3 yr'!U23*'7. Success Allocation'!Y$5</f>
        <v>22989.521839901128</v>
      </c>
      <c r="Z23" s="45">
        <f>'7a. Success 3 yr'!V23*'7. Success Allocation'!Z$5</f>
        <v>11744.647026906012</v>
      </c>
      <c r="AA23" s="45">
        <f>'7a. Success 3 yr'!W23*'7. Success Allocation'!AA$5</f>
        <v>46978.588107624048</v>
      </c>
      <c r="AB23" s="45">
        <f>'7a. Success 3 yr'!X23*'7. Success Allocation'!AB$5</f>
        <v>45166.913832197053</v>
      </c>
      <c r="AC23" s="45">
        <f>'7a. Success 3 yr'!Y23*'7. Success Allocation'!AC$5</f>
        <v>38107.631310705678</v>
      </c>
      <c r="AD23" s="45">
        <f t="shared" si="4"/>
        <v>321915.77728535468</v>
      </c>
      <c r="AF23" s="45">
        <f t="shared" si="1"/>
        <v>3120577.7036596225</v>
      </c>
    </row>
    <row r="24" spans="1:32" x14ac:dyDescent="0.25">
      <c r="A24" s="23" t="s">
        <v>61</v>
      </c>
      <c r="B24" s="45">
        <f>'7a. Success 3 yr'!B24*'7. Success Allocation'!B$5</f>
        <v>995546.25011050107</v>
      </c>
      <c r="C24" s="45">
        <f>'7a. Success 3 yr'!C24*'7. Success Allocation'!C$5</f>
        <v>490276.54184658709</v>
      </c>
      <c r="D24" s="45">
        <f>'7a. Success 3 yr'!D24*'7. Success Allocation'!D$5</f>
        <v>0</v>
      </c>
      <c r="E24" s="45">
        <f>'7a. Success 3 yr'!E24*'7. Success Allocation'!E$5</f>
        <v>138936.67546722855</v>
      </c>
      <c r="F24" s="45">
        <f>'7a. Success 3 yr'!F24*'7. Success Allocation'!F$5</f>
        <v>256882.91795019957</v>
      </c>
      <c r="G24" s="45">
        <f>'7a. Success 3 yr'!G24*'7. Success Allocation'!G$5</f>
        <v>1114991.8092352047</v>
      </c>
      <c r="H24" s="45">
        <f>'7a. Success 3 yr'!H24*'7. Success Allocation'!H$5</f>
        <v>1170216.6388723585</v>
      </c>
      <c r="I24" s="45">
        <f>'7a. Success 3 yr'!I24*'7. Success Allocation'!I$5</f>
        <v>780144.42591490573</v>
      </c>
      <c r="J24" s="45">
        <f t="shared" si="2"/>
        <v>4946995.2593969852</v>
      </c>
      <c r="K24" s="45"/>
      <c r="L24" s="45">
        <f>'7a. Success 3 yr'!J24*'7. Success Allocation'!L$5</f>
        <v>243638.95428156087</v>
      </c>
      <c r="M24" s="45">
        <f>'7a. Success 3 yr'!K24*'7. Success Allocation'!M$5</f>
        <v>99517.142095006784</v>
      </c>
      <c r="N24" s="45">
        <f>'7a. Success 3 yr'!L24*'7. Success Allocation'!N$5</f>
        <v>0</v>
      </c>
      <c r="O24" s="45">
        <f>'7a. Success 3 yr'!M24*'7. Success Allocation'!O$5</f>
        <v>28487.016192920961</v>
      </c>
      <c r="P24" s="45">
        <f>'7a. Success 3 yr'!N24*'7. Success Allocation'!P$5</f>
        <v>47228.474214579488</v>
      </c>
      <c r="Q24" s="45">
        <f>'7a. Success 3 yr'!O24*'7. Success Allocation'!Q$5</f>
        <v>223210.76503795307</v>
      </c>
      <c r="R24" s="45">
        <f>'7a. Success 3 yr'!P24*'7. Success Allocation'!R$5</f>
        <v>235017.88359159796</v>
      </c>
      <c r="S24" s="45">
        <f>'7a. Success 3 yr'!Q24*'7. Success Allocation'!S$5</f>
        <v>89209.340183094595</v>
      </c>
      <c r="T24" s="45">
        <f t="shared" si="3"/>
        <v>966309.57559671369</v>
      </c>
      <c r="U24" s="45"/>
      <c r="V24" s="45">
        <f>'7a. Success 3 yr'!R24*'7. Success Allocation'!V$5</f>
        <v>200908.42999217942</v>
      </c>
      <c r="W24" s="45">
        <f>'7a. Success 3 yr'!S24*'7. Success Allocation'!W$5</f>
        <v>92582.802626993129</v>
      </c>
      <c r="X24" s="45">
        <f>'7a. Success 3 yr'!T24*'7. Success Allocation'!X$5</f>
        <v>0</v>
      </c>
      <c r="Y24" s="45">
        <f>'7a. Success 3 yr'!U24*'7. Success Allocation'!Y$5</f>
        <v>25488.382909455599</v>
      </c>
      <c r="Z24" s="45">
        <f>'7a. Success 3 yr'!V24*'7. Success Allocation'!Z$5</f>
        <v>41980.865968515107</v>
      </c>
      <c r="AA24" s="45">
        <f>'7a. Success 3 yr'!W24*'7. Success Allocation'!AA$5</f>
        <v>206280.98129172155</v>
      </c>
      <c r="AB24" s="45">
        <f>'7a. Success 3 yr'!X24*'7. Success Allocation'!AB$5</f>
        <v>217963.15679188867</v>
      </c>
      <c r="AC24" s="45">
        <f>'7a. Success 3 yr'!Y24*'7. Success Allocation'!AC$5</f>
        <v>103827.67743998824</v>
      </c>
      <c r="AD24" s="45">
        <f t="shared" si="4"/>
        <v>889032.29702074162</v>
      </c>
      <c r="AF24" s="45">
        <f t="shared" si="1"/>
        <v>6802337.1320144404</v>
      </c>
    </row>
    <row r="25" spans="1:32" x14ac:dyDescent="0.25">
      <c r="A25" s="23" t="s">
        <v>62</v>
      </c>
      <c r="B25" s="45">
        <f>'7a. Success 3 yr'!B25*'7. Success Allocation'!B$5</f>
        <v>1779189.081522783</v>
      </c>
      <c r="C25" s="45">
        <f>'7a. Success 3 yr'!C25*'7. Success Allocation'!C$5</f>
        <v>1856154.0024650607</v>
      </c>
      <c r="D25" s="45">
        <f>'7a. Success 3 yr'!D25*'7. Success Allocation'!D$5</f>
        <v>0</v>
      </c>
      <c r="E25" s="45">
        <f>'7a. Success 3 yr'!E25*'7. Success Allocation'!E$5</f>
        <v>126942.1423333671</v>
      </c>
      <c r="F25" s="45">
        <f>'7a. Success 3 yr'!F25*'7. Success Allocation'!F$5</f>
        <v>589731.21241485502</v>
      </c>
      <c r="G25" s="45">
        <f>'7a. Success 3 yr'!G25*'7. Success Allocation'!G$5</f>
        <v>1191956.7301774824</v>
      </c>
      <c r="H25" s="45">
        <f>'7a. Success 3 yr'!H25*'7. Success Allocation'!H$5</f>
        <v>1610266.0732209007</v>
      </c>
      <c r="I25" s="45">
        <f>'7a. Success 3 yr'!I25*'7. Success Allocation'!I$5</f>
        <v>976055.13376797619</v>
      </c>
      <c r="J25" s="45">
        <f t="shared" si="2"/>
        <v>8130294.3759024246</v>
      </c>
      <c r="K25" s="45"/>
      <c r="L25" s="45">
        <f>'7a. Success 3 yr'!J25*'7. Success Allocation'!L$5</f>
        <v>324602.05293512571</v>
      </c>
      <c r="M25" s="45">
        <f>'7a. Success 3 yr'!K25*'7. Success Allocation'!M$5</f>
        <v>354213.55660934618</v>
      </c>
      <c r="N25" s="45">
        <f>'7a. Success 3 yr'!L25*'7. Success Allocation'!N$5</f>
        <v>0</v>
      </c>
      <c r="O25" s="45">
        <f>'7a. Success 3 yr'!M25*'7. Success Allocation'!O$5</f>
        <v>22489.749625990233</v>
      </c>
      <c r="P25" s="45">
        <f>'7a. Success 3 yr'!N25*'7. Success Allocation'!P$5</f>
        <v>94831.777589592151</v>
      </c>
      <c r="Q25" s="45">
        <f>'7a. Success 3 yr'!O25*'7. Success Allocation'!Q$5</f>
        <v>212715.54854582431</v>
      </c>
      <c r="R25" s="45">
        <f>'7a. Success 3 yr'!P25*'7. Success Allocation'!R$5</f>
        <v>237547.98042452184</v>
      </c>
      <c r="S25" s="45">
        <f>'7a. Success 3 yr'!Q25*'7. Success Allocation'!S$5</f>
        <v>95581.435910458487</v>
      </c>
      <c r="T25" s="45">
        <f t="shared" si="3"/>
        <v>1341982.1016408589</v>
      </c>
      <c r="U25" s="45"/>
      <c r="V25" s="45">
        <f>'7a. Success 3 yr'!R25*'7. Success Allocation'!V$5</f>
        <v>318354.90026123956</v>
      </c>
      <c r="W25" s="45">
        <f>'7a. Success 3 yr'!S25*'7. Success Allocation'!W$5</f>
        <v>344093.1692776506</v>
      </c>
      <c r="X25" s="45">
        <f>'7a. Success 3 yr'!T25*'7. Success Allocation'!X$5</f>
        <v>0</v>
      </c>
      <c r="Y25" s="45">
        <f>'7a. Success 3 yr'!U25*'7. Success Allocation'!Y$5</f>
        <v>22739.635732945681</v>
      </c>
      <c r="Z25" s="45">
        <f>'7a. Success 3 yr'!V25*'7. Success Allocation'!Z$5</f>
        <v>87959.909648317363</v>
      </c>
      <c r="AA25" s="45">
        <f>'7a. Success 3 yr'!W25*'7. Success Allocation'!AA$5</f>
        <v>213402.73533995179</v>
      </c>
      <c r="AB25" s="45">
        <f>'7a. Success 3 yr'!X25*'7. Success Allocation'!AB$5</f>
        <v>262755.24146365258</v>
      </c>
      <c r="AC25" s="45">
        <f>'7a. Success 3 yr'!Y25*'7. Success Allocation'!AC$5</f>
        <v>136312.87134419638</v>
      </c>
      <c r="AD25" s="45">
        <f t="shared" si="4"/>
        <v>1385618.4630679539</v>
      </c>
      <c r="AF25" s="45">
        <f t="shared" si="1"/>
        <v>10857894.940611238</v>
      </c>
    </row>
    <row r="26" spans="1:32" x14ac:dyDescent="0.25">
      <c r="A26" s="23" t="s">
        <v>63</v>
      </c>
      <c r="B26" s="45">
        <f>'7a. Success 3 yr'!B26*'7. Success Allocation'!B$5</f>
        <v>965559.9172758474</v>
      </c>
      <c r="C26" s="45">
        <f>'7a. Success 3 yr'!C26*'7. Success Allocation'!C$5</f>
        <v>559245.10736629053</v>
      </c>
      <c r="D26" s="45">
        <f>'7a. Success 3 yr'!D26*'7. Success Allocation'!D$5</f>
        <v>0</v>
      </c>
      <c r="E26" s="45">
        <f>'7a. Success 3 yr'!E26*'7. Success Allocation'!E$5</f>
        <v>68968.565519703392</v>
      </c>
      <c r="F26" s="45">
        <f>'7a. Success 3 yr'!F26*'7. Success Allocation'!F$5</f>
        <v>183916.17471920903</v>
      </c>
      <c r="G26" s="45">
        <f>'7a. Success 3 yr'!G26*'7. Success Allocation'!G$5</f>
        <v>419308.88747124013</v>
      </c>
      <c r="H26" s="45">
        <f>'7a. Success 3 yr'!H26*'7. Success Allocation'!H$5</f>
        <v>605723.92326000368</v>
      </c>
      <c r="I26" s="45">
        <f>'7a. Success 3 yr'!I26*'7. Success Allocation'!I$5</f>
        <v>1197953.9967444132</v>
      </c>
      <c r="J26" s="45">
        <f t="shared" si="2"/>
        <v>4000676.5723567074</v>
      </c>
      <c r="K26" s="45"/>
      <c r="L26" s="45">
        <f>'7a. Success 3 yr'!J26*'7. Success Allocation'!L$5</f>
        <v>240640.3209980955</v>
      </c>
      <c r="M26" s="45">
        <f>'7a. Success 3 yr'!K26*'7. Success Allocation'!M$5</f>
        <v>127629.32912749458</v>
      </c>
      <c r="N26" s="45">
        <f>'7a. Success 3 yr'!L26*'7. Success Allocation'!N$5</f>
        <v>0</v>
      </c>
      <c r="O26" s="45">
        <f>'7a. Success 3 yr'!M26*'7. Success Allocation'!O$5</f>
        <v>13493.849775594141</v>
      </c>
      <c r="P26" s="45">
        <f>'7a. Success 3 yr'!N26*'7. Success Allocation'!P$5</f>
        <v>32235.307797252666</v>
      </c>
      <c r="Q26" s="45">
        <f>'7a. Success 3 yr'!O26*'7. Success Allocation'!Q$5</f>
        <v>87147.77980071216</v>
      </c>
      <c r="R26" s="45">
        <f>'7a. Success 3 yr'!P26*'7. Success Allocation'!R$5</f>
        <v>123693.62294294628</v>
      </c>
      <c r="S26" s="45">
        <f>'7a. Success 3 yr'!Q26*'7. Success Allocation'!S$5</f>
        <v>82087.586134864352</v>
      </c>
      <c r="T26" s="45">
        <f t="shared" si="3"/>
        <v>706927.79657695966</v>
      </c>
      <c r="U26" s="45"/>
      <c r="V26" s="45">
        <f>'7a. Success 3 yr'!R26*'7. Success Allocation'!V$5</f>
        <v>217900.68526514983</v>
      </c>
      <c r="W26" s="45">
        <f>'7a. Success 3 yr'!S26*'7. Success Allocation'!W$5</f>
        <v>122569.13546164677</v>
      </c>
      <c r="X26" s="45">
        <f>'7a. Success 3 yr'!T26*'7. Success Allocation'!X$5</f>
        <v>0</v>
      </c>
      <c r="Y26" s="45">
        <f>'7a. Success 3 yr'!U26*'7. Success Allocation'!Y$5</f>
        <v>15243.05252428227</v>
      </c>
      <c r="Z26" s="45">
        <f>'7a. Success 3 yr'!V26*'7. Success Allocation'!Z$5</f>
        <v>36233.485508539823</v>
      </c>
      <c r="AA26" s="45">
        <f>'7a. Success 3 yr'!W26*'7. Success Allocation'!AA$5</f>
        <v>86335.649953106957</v>
      </c>
      <c r="AB26" s="45">
        <f>'7a. Success 3 yr'!X26*'7. Success Allocation'!AB$5</f>
        <v>118071.18553644873</v>
      </c>
      <c r="AC26" s="45">
        <f>'7a. Success 3 yr'!Y26*'7. Success Allocation'!AC$5</f>
        <v>95706.378963936222</v>
      </c>
      <c r="AD26" s="45">
        <f t="shared" si="4"/>
        <v>692059.57321311056</v>
      </c>
      <c r="AF26" s="45">
        <f t="shared" si="1"/>
        <v>5399663.9421467781</v>
      </c>
    </row>
    <row r="27" spans="1:32" x14ac:dyDescent="0.25">
      <c r="A27" s="23" t="s">
        <v>64</v>
      </c>
      <c r="B27" s="45">
        <f>'7a. Success 3 yr'!B27*'7. Success Allocation'!B$5</f>
        <v>825623.69738079701</v>
      </c>
      <c r="C27" s="45">
        <f>'7a. Success 3 yr'!C27*'7. Success Allocation'!C$5</f>
        <v>766150.8039254006</v>
      </c>
      <c r="D27" s="45">
        <f>'7a. Success 3 yr'!D27*'7. Success Allocation'!D$5</f>
        <v>0</v>
      </c>
      <c r="E27" s="45">
        <f>'7a. Success 3 yr'!E27*'7. Success Allocation'!E$5</f>
        <v>134938.49775594141</v>
      </c>
      <c r="F27" s="45">
        <f>'7a. Success 3 yr'!F27*'7. Success Allocation'!F$5</f>
        <v>107950.79820475313</v>
      </c>
      <c r="G27" s="45">
        <f>'7a. Success 3 yr'!G27*'7. Success Allocation'!G$5</f>
        <v>689185.88298312295</v>
      </c>
      <c r="H27" s="45">
        <f>'7a. Success 3 yr'!H27*'7. Success Allocation'!H$5</f>
        <v>452043.96748240368</v>
      </c>
      <c r="I27" s="45">
        <f>'7a. Success 3 yr'!I27*'7. Success Allocation'!I$5</f>
        <v>444797.27038069576</v>
      </c>
      <c r="J27" s="45">
        <f t="shared" si="2"/>
        <v>3420690.9181131148</v>
      </c>
      <c r="K27" s="45"/>
      <c r="L27" s="45">
        <f>'7a. Success 3 yr'!J27*'7. Success Allocation'!L$5</f>
        <v>209904.32984257551</v>
      </c>
      <c r="M27" s="45">
        <f>'7a. Success 3 yr'!K27*'7. Success Allocation'!M$5</f>
        <v>233893.39611029843</v>
      </c>
      <c r="N27" s="45">
        <f>'7a. Success 3 yr'!L27*'7. Success Allocation'!N$5</f>
        <v>0</v>
      </c>
      <c r="O27" s="45">
        <f>'7a. Success 3 yr'!M27*'7. Success Allocation'!O$5</f>
        <v>40481.54932678242</v>
      </c>
      <c r="P27" s="45">
        <f>'7a. Success 3 yr'!N27*'7. Success Allocation'!P$5</f>
        <v>26238.041230321938</v>
      </c>
      <c r="Q27" s="45">
        <f>'7a. Success 3 yr'!O27*'7. Success Allocation'!Q$5</f>
        <v>203907.06327564479</v>
      </c>
      <c r="R27" s="45">
        <f>'7a. Success 3 yr'!P27*'7. Success Allocation'!R$5</f>
        <v>113010.99187060093</v>
      </c>
      <c r="S27" s="45">
        <f>'7a. Success 3 yr'!Q27*'7. Success Allocation'!S$5</f>
        <v>100079.38583565653</v>
      </c>
      <c r="T27" s="45">
        <f t="shared" si="3"/>
        <v>927514.75749188056</v>
      </c>
      <c r="U27" s="45"/>
      <c r="V27" s="45">
        <f>'7a. Success 3 yr'!R27*'7. Success Allocation'!V$5</f>
        <v>175919.81929663473</v>
      </c>
      <c r="W27" s="45">
        <f>'7a. Success 3 yr'!S27*'7. Success Allocation'!W$5</f>
        <v>177294.19288488966</v>
      </c>
      <c r="X27" s="45">
        <f>'7a. Success 3 yr'!T27*'7. Success Allocation'!X$5</f>
        <v>0</v>
      </c>
      <c r="Y27" s="45">
        <f>'7a. Success 3 yr'!U27*'7. Success Allocation'!Y$5</f>
        <v>29486.560620742752</v>
      </c>
      <c r="Z27" s="45">
        <f>'7a. Success 3 yr'!V27*'7. Success Allocation'!Z$5</f>
        <v>22489.749625990233</v>
      </c>
      <c r="AA27" s="45">
        <f>'7a. Success 3 yr'!W27*'7. Success Allocation'!AA$5</f>
        <v>156178.8168471544</v>
      </c>
      <c r="AB27" s="45">
        <f>'7a. Success 3 yr'!X27*'7. Success Allocation'!AB$5</f>
        <v>97080.752552191174</v>
      </c>
      <c r="AC27" s="45">
        <f>'7a. Success 3 yr'!Y27*'7. Success Allocation'!AC$5</f>
        <v>84211.618043985654</v>
      </c>
      <c r="AD27" s="45">
        <f t="shared" si="4"/>
        <v>742661.50987158867</v>
      </c>
      <c r="AF27" s="45">
        <f t="shared" si="1"/>
        <v>5090867.1854765844</v>
      </c>
    </row>
    <row r="28" spans="1:32" x14ac:dyDescent="0.25">
      <c r="A28" s="23" t="s">
        <v>65</v>
      </c>
      <c r="B28" s="45">
        <f>'7a. Success 3 yr'!B28*'7. Success Allocation'!B$5</f>
        <v>1965104.3450976356</v>
      </c>
      <c r="C28" s="45">
        <f>'7a. Success 3 yr'!C28*'7. Success Allocation'!C$5</f>
        <v>1427349.4429295135</v>
      </c>
      <c r="D28" s="45">
        <f>'7a. Success 3 yr'!D28*'7. Success Allocation'!D$5</f>
        <v>7496.5832086634109</v>
      </c>
      <c r="E28" s="45">
        <f>'7a. Success 3 yr'!E28*'7. Success Allocation'!E$5</f>
        <v>460789.98122584436</v>
      </c>
      <c r="F28" s="45">
        <f>'7a. Success 3 yr'!F28*'7. Success Allocation'!F$5</f>
        <v>381825.97142792307</v>
      </c>
      <c r="G28" s="45">
        <f>'7a. Success 3 yr'!G28*'7. Success Allocation'!G$5</f>
        <v>2393409.1324192719</v>
      </c>
      <c r="H28" s="45">
        <f>'7a. Success 3 yr'!H28*'7. Success Allocation'!H$5</f>
        <v>1431097.7345338452</v>
      </c>
      <c r="I28" s="45">
        <f>'7a. Success 3 yr'!I28*'7. Success Allocation'!I$5</f>
        <v>2358425.0774455094</v>
      </c>
      <c r="J28" s="45">
        <f t="shared" si="2"/>
        <v>10425498.268288206</v>
      </c>
      <c r="K28" s="45"/>
      <c r="L28" s="45">
        <f>'7a. Success 3 yr'!J28*'7. Success Allocation'!L$5</f>
        <v>497023.46673438419</v>
      </c>
      <c r="M28" s="45">
        <f>'7a. Success 3 yr'!K28*'7. Success Allocation'!M$5</f>
        <v>372205.35631013836</v>
      </c>
      <c r="N28" s="45">
        <f>'7a. Success 3 yr'!L28*'7. Success Allocation'!N$5</f>
        <v>2248.9749625990235</v>
      </c>
      <c r="O28" s="45">
        <f>'7a. Success 3 yr'!M28*'7. Success Allocation'!O$5</f>
        <v>112073.918969518</v>
      </c>
      <c r="P28" s="45">
        <f>'7a. Success 3 yr'!N28*'7. Success Allocation'!P$5</f>
        <v>71592.369642735575</v>
      </c>
      <c r="Q28" s="45">
        <f>'7a. Success 3 yr'!O28*'7. Success Allocation'!Q$5</f>
        <v>469286.10886232957</v>
      </c>
      <c r="R28" s="45">
        <f>'7a. Success 3 yr'!P28*'7. Success Allocation'!R$5</f>
        <v>279997.38284357841</v>
      </c>
      <c r="S28" s="45">
        <f>'7a. Success 3 yr'!Q28*'7. Success Allocation'!S$5</f>
        <v>395069.93509656179</v>
      </c>
      <c r="T28" s="45">
        <f t="shared" si="3"/>
        <v>2199497.5134218452</v>
      </c>
      <c r="U28" s="45"/>
      <c r="V28" s="45">
        <f>'7a. Success 3 yr'!R28*'7. Success Allocation'!V$5</f>
        <v>396819.1378452499</v>
      </c>
      <c r="W28" s="45">
        <f>'7a. Success 3 yr'!S28*'7. Success Allocation'!W$5</f>
        <v>299863.32834653644</v>
      </c>
      <c r="X28" s="45">
        <f>'7a. Success 3 yr'!T28*'7. Success Allocation'!X$5</f>
        <v>1499.3166417326822</v>
      </c>
      <c r="Y28" s="45">
        <f>'7a. Success 3 yr'!U28*'7. Success Allocation'!Y$5</f>
        <v>92707.745680470849</v>
      </c>
      <c r="Z28" s="45">
        <f>'7a. Success 3 yr'!V28*'7. Success Allocation'!Z$5</f>
        <v>67219.36277101525</v>
      </c>
      <c r="AA28" s="45">
        <f>'7a. Success 3 yr'!W28*'7. Success Allocation'!AA$5</f>
        <v>410188.04456736631</v>
      </c>
      <c r="AB28" s="45">
        <f>'7a. Success 3 yr'!X28*'7. Success Allocation'!AB$5</f>
        <v>247574.66046610914</v>
      </c>
      <c r="AC28" s="45">
        <f>'7a. Success 3 yr'!Y28*'7. Success Allocation'!AC$5</f>
        <v>367457.52027798491</v>
      </c>
      <c r="AD28" s="45">
        <f t="shared" si="4"/>
        <v>1883329.1165964655</v>
      </c>
      <c r="AF28" s="45">
        <f t="shared" si="1"/>
        <v>14508324.898306517</v>
      </c>
    </row>
    <row r="29" spans="1:32" x14ac:dyDescent="0.25">
      <c r="A29" s="23" t="s">
        <v>25</v>
      </c>
      <c r="B29" s="45">
        <f>'7a. Success 3 yr'!B29*'7. Success Allocation'!B$5</f>
        <v>115947.15362732743</v>
      </c>
      <c r="C29" s="45">
        <f>'7a. Success 3 yr'!C29*'7. Success Allocation'!C$5</f>
        <v>119945.33133861457</v>
      </c>
      <c r="D29" s="45">
        <f>'7a. Success 3 yr'!D29*'7. Success Allocation'!D$5</f>
        <v>0</v>
      </c>
      <c r="E29" s="45">
        <f>'7a. Success 3 yr'!E29*'7. Success Allocation'!E$5</f>
        <v>10994.98870603967</v>
      </c>
      <c r="F29" s="45">
        <f>'7a. Success 3 yr'!F29*'7. Success Allocation'!F$5</f>
        <v>19990.888556435762</v>
      </c>
      <c r="G29" s="45">
        <f>'7a. Success 3 yr'!G29*'7. Success Allocation'!G$5</f>
        <v>122444.19240816905</v>
      </c>
      <c r="H29" s="45">
        <f>'7a. Success 3 yr'!H29*'7. Success Allocation'!H$5</f>
        <v>139436.44768113946</v>
      </c>
      <c r="I29" s="45">
        <f>'7a. Success 3 yr'!I29*'7. Success Allocation'!I$5</f>
        <v>347841.46088198229</v>
      </c>
      <c r="J29" s="45">
        <f t="shared" si="2"/>
        <v>876600.46319970815</v>
      </c>
      <c r="K29" s="45"/>
      <c r="L29" s="45">
        <f>'7a. Success 3 yr'!J29*'7. Success Allocation'!L$5</f>
        <v>20990.43298425755</v>
      </c>
      <c r="M29" s="45">
        <f>'7a. Success 3 yr'!K29*'7. Success Allocation'!M$5</f>
        <v>25863.21206988877</v>
      </c>
      <c r="N29" s="45">
        <f>'7a. Success 3 yr'!L29*'7. Success Allocation'!N$5</f>
        <v>0</v>
      </c>
      <c r="O29" s="45">
        <f>'7a. Success 3 yr'!M29*'7. Success Allocation'!O$5</f>
        <v>1499.3166417326822</v>
      </c>
      <c r="P29" s="45">
        <f>'7a. Success 3 yr'!N29*'7. Success Allocation'!P$5</f>
        <v>2998.6332834653645</v>
      </c>
      <c r="Q29" s="45">
        <f>'7a. Success 3 yr'!O29*'7. Success Allocation'!Q$5</f>
        <v>13119.020615160969</v>
      </c>
      <c r="R29" s="45">
        <f>'7a. Success 3 yr'!P29*'7. Success Allocation'!R$5</f>
        <v>17429.555960142432</v>
      </c>
      <c r="S29" s="45">
        <f>'7a. Success 3 yr'!Q29*'7. Success Allocation'!S$5</f>
        <v>11807.118553644872</v>
      </c>
      <c r="T29" s="45">
        <f t="shared" si="3"/>
        <v>93707.29010829264</v>
      </c>
      <c r="U29" s="45"/>
      <c r="V29" s="45">
        <f>'7a. Success 3 yr'!R29*'7. Success Allocation'!V$5</f>
        <v>22989.521839901128</v>
      </c>
      <c r="W29" s="45">
        <f>'7a. Success 3 yr'!S29*'7. Success Allocation'!W$5</f>
        <v>24738.724588589255</v>
      </c>
      <c r="X29" s="45">
        <f>'7a. Success 3 yr'!T29*'7. Success Allocation'!X$5</f>
        <v>0</v>
      </c>
      <c r="Y29" s="45">
        <f>'7a. Success 3 yr'!U29*'7. Success Allocation'!Y$5</f>
        <v>1749.2027486881293</v>
      </c>
      <c r="Z29" s="45">
        <f>'7a. Success 3 yr'!V29*'7. Success Allocation'!Z$5</f>
        <v>3248.5193904208118</v>
      </c>
      <c r="AA29" s="45">
        <f>'7a. Success 3 yr'!W29*'7. Success Allocation'!AA$5</f>
        <v>16492.483059059505</v>
      </c>
      <c r="AB29" s="45">
        <f>'7a. Success 3 yr'!X29*'7. Success Allocation'!AB$5</f>
        <v>17991.799700792188</v>
      </c>
      <c r="AC29" s="45">
        <f>'7a. Success 3 yr'!Y29*'7. Success Allocation'!AC$5</f>
        <v>21740.091305123893</v>
      </c>
      <c r="AD29" s="45">
        <f t="shared" si="4"/>
        <v>108950.34263257492</v>
      </c>
      <c r="AF29" s="45">
        <f t="shared" si="1"/>
        <v>1079258.0959405757</v>
      </c>
    </row>
    <row r="30" spans="1:32" x14ac:dyDescent="0.25">
      <c r="A30" s="23" t="s">
        <v>26</v>
      </c>
      <c r="B30" s="45">
        <f>'7a. Success 3 yr'!B30*'7. Success Allocation'!B$5</f>
        <v>69968.109947525169</v>
      </c>
      <c r="C30" s="45">
        <f>'7a. Success 3 yr'!C30*'7. Success Allocation'!C$5</f>
        <v>154429.61409846626</v>
      </c>
      <c r="D30" s="45">
        <f>'7a. Success 3 yr'!D30*'7. Success Allocation'!D$5</f>
        <v>0</v>
      </c>
      <c r="E30" s="45">
        <f>'7a. Success 3 yr'!E30*'7. Success Allocation'!E$5</f>
        <v>5997.2665669307289</v>
      </c>
      <c r="F30" s="45">
        <f>'7a. Success 3 yr'!F30*'7. Success Allocation'!F$5</f>
        <v>28986.788406831856</v>
      </c>
      <c r="G30" s="45">
        <f>'7a. Success 3 yr'!G30*'7. Success Allocation'!G$5</f>
        <v>147432.80310371376</v>
      </c>
      <c r="H30" s="45">
        <f>'7a. Success 3 yr'!H30*'7. Success Allocation'!H$5</f>
        <v>60722.323990173631</v>
      </c>
      <c r="I30" s="45">
        <f>'7a. Success 3 yr'!I30*'7. Success Allocation'!I$5</f>
        <v>162425.96952104059</v>
      </c>
      <c r="J30" s="45">
        <f t="shared" si="2"/>
        <v>629962.87563468202</v>
      </c>
      <c r="K30" s="45"/>
      <c r="L30" s="45">
        <f>'7a. Success 3 yr'!J30*'7. Success Allocation'!L$5</f>
        <v>10495.216492128775</v>
      </c>
      <c r="M30" s="45">
        <f>'7a. Success 3 yr'!K30*'7. Success Allocation'!M$5</f>
        <v>20240.77466339121</v>
      </c>
      <c r="N30" s="45">
        <f>'7a. Success 3 yr'!L30*'7. Success Allocation'!N$5</f>
        <v>0</v>
      </c>
      <c r="O30" s="45">
        <f>'7a. Success 3 yr'!M30*'7. Success Allocation'!O$5</f>
        <v>1499.3166417326822</v>
      </c>
      <c r="P30" s="45">
        <f>'7a. Success 3 yr'!N30*'7. Success Allocation'!P$5</f>
        <v>2998.6332834653645</v>
      </c>
      <c r="Q30" s="45">
        <f>'7a. Success 3 yr'!O30*'7. Success Allocation'!Q$5</f>
        <v>21177.847564474137</v>
      </c>
      <c r="R30" s="45">
        <f>'7a. Success 3 yr'!P30*'7. Success Allocation'!R$5</f>
        <v>7028.0467581219482</v>
      </c>
      <c r="S30" s="45">
        <f>'7a. Success 3 yr'!Q30*'7. Success Allocation'!S$5</f>
        <v>10495.216492128775</v>
      </c>
      <c r="T30" s="45">
        <f t="shared" si="3"/>
        <v>73935.051895442884</v>
      </c>
      <c r="U30" s="45"/>
      <c r="V30" s="45">
        <f>'7a. Success 3 yr'!R30*'7. Success Allocation'!V$5</f>
        <v>8496.1276364852001</v>
      </c>
      <c r="W30" s="45">
        <f>'7a. Success 3 yr'!S30*'7. Success Allocation'!W$5</f>
        <v>29236.674513787304</v>
      </c>
      <c r="X30" s="45">
        <f>'7a. Success 3 yr'!T30*'7. Success Allocation'!X$5</f>
        <v>0</v>
      </c>
      <c r="Y30" s="45">
        <f>'7a. Success 3 yr'!U30*'7. Success Allocation'!Y$5</f>
        <v>1249.4305347772352</v>
      </c>
      <c r="Z30" s="45">
        <f>'7a. Success 3 yr'!V30*'7. Success Allocation'!Z$5</f>
        <v>2748.7471765099176</v>
      </c>
      <c r="AA30" s="45">
        <f>'7a. Success 3 yr'!W30*'7. Success Allocation'!AA$5</f>
        <v>28487.016192920964</v>
      </c>
      <c r="AB30" s="45">
        <f>'7a. Success 3 yr'!X30*'7. Success Allocation'!AB$5</f>
        <v>5997.2665669307289</v>
      </c>
      <c r="AC30" s="45">
        <f>'7a. Success 3 yr'!Y30*'7. Success Allocation'!AC$5</f>
        <v>17866.856647314464</v>
      </c>
      <c r="AD30" s="45">
        <f t="shared" si="4"/>
        <v>94082.119268725801</v>
      </c>
      <c r="AF30" s="45">
        <f t="shared" si="1"/>
        <v>797980.04679885064</v>
      </c>
    </row>
    <row r="31" spans="1:32" x14ac:dyDescent="0.25">
      <c r="A31" s="23" t="s">
        <v>66</v>
      </c>
      <c r="B31" s="45">
        <f>'7a. Success 3 yr'!B31*'7. Success Allocation'!B$5</f>
        <v>1493319.3751657517</v>
      </c>
      <c r="C31" s="45">
        <f>'7a. Success 3 yr'!C31*'7. Success Allocation'!C$5</f>
        <v>700180.87168916257</v>
      </c>
      <c r="D31" s="45">
        <f>'7a. Success 3 yr'!D31*'7. Success Allocation'!D$5</f>
        <v>0</v>
      </c>
      <c r="E31" s="45">
        <f>'7a. Success 3 yr'!E31*'7. Success Allocation'!E$5</f>
        <v>172921.18601316935</v>
      </c>
      <c r="F31" s="45">
        <f>'7a. Success 3 yr'!F31*'7. Success Allocation'!F$5</f>
        <v>332848.29446465545</v>
      </c>
      <c r="G31" s="45">
        <f>'7a. Success 3 yr'!G31*'7. Success Allocation'!G$5</f>
        <v>1372874.271613226</v>
      </c>
      <c r="H31" s="45">
        <f>'7a. Success 3 yr'!H31*'7. Success Allocation'!H$5</f>
        <v>1399612.0850574588</v>
      </c>
      <c r="I31" s="45">
        <f>'7a. Success 3 yr'!I31*'7. Success Allocation'!I$5</f>
        <v>1232438.2795042649</v>
      </c>
      <c r="J31" s="45">
        <f t="shared" si="2"/>
        <v>6704194.363507689</v>
      </c>
      <c r="K31" s="45"/>
      <c r="L31" s="45">
        <f>'7a. Success 3 yr'!J31*'7. Success Allocation'!L$5</f>
        <v>362084.96897844278</v>
      </c>
      <c r="M31" s="45">
        <f>'7a. Success 3 yr'!K31*'7. Success Allocation'!M$5</f>
        <v>175982.29082337359</v>
      </c>
      <c r="N31" s="45">
        <f>'7a. Success 3 yr'!L31*'7. Success Allocation'!N$5</f>
        <v>0</v>
      </c>
      <c r="O31" s="45">
        <f>'7a. Success 3 yr'!M31*'7. Success Allocation'!O$5</f>
        <v>44604.670091547297</v>
      </c>
      <c r="P31" s="45">
        <f>'7a. Success 3 yr'!N31*'7. Success Allocation'!P$5</f>
        <v>59972.665669307287</v>
      </c>
      <c r="Q31" s="45">
        <f>'7a. Success 3 yr'!O31*'7. Success Allocation'!Q$5</f>
        <v>308109.56987606618</v>
      </c>
      <c r="R31" s="45">
        <f>'7a. Success 3 yr'!P31*'7. Success Allocation'!R$5</f>
        <v>299675.91376631986</v>
      </c>
      <c r="S31" s="45">
        <f>'7a. Success 3 yr'!Q31*'7. Success Allocation'!S$5</f>
        <v>183666.28861225359</v>
      </c>
      <c r="T31" s="45">
        <f t="shared" si="3"/>
        <v>1434096.3678173106</v>
      </c>
      <c r="U31" s="45"/>
      <c r="V31" s="45">
        <f>'7a. Success 3 yr'!R31*'7. Success Allocation'!V$5</f>
        <v>303361.73384391272</v>
      </c>
      <c r="W31" s="45">
        <f>'7a. Success 3 yr'!S31*'7. Success Allocation'!W$5</f>
        <v>145433.71424807017</v>
      </c>
      <c r="X31" s="45">
        <f>'7a. Success 3 yr'!T31*'7. Success Allocation'!X$5</f>
        <v>0</v>
      </c>
      <c r="Y31" s="45">
        <f>'7a. Success 3 yr'!U31*'7. Success Allocation'!Y$5</f>
        <v>36983.143829406166</v>
      </c>
      <c r="Z31" s="45">
        <f>'7a. Success 3 yr'!V31*'7. Success Allocation'!Z$5</f>
        <v>54475.171316287458</v>
      </c>
      <c r="AA31" s="45">
        <f>'7a. Success 3 yr'!W31*'7. Success Allocation'!AA$5</f>
        <v>267378.13444232836</v>
      </c>
      <c r="AB31" s="45">
        <f>'7a. Success 3 yr'!X31*'7. Success Allocation'!AB$5</f>
        <v>262942.65604386915</v>
      </c>
      <c r="AC31" s="45">
        <f>'7a. Success 3 yr'!Y31*'7. Success Allocation'!AC$5</f>
        <v>191162.871820917</v>
      </c>
      <c r="AD31" s="45">
        <f t="shared" si="4"/>
        <v>1261737.4255447909</v>
      </c>
      <c r="AF31" s="45">
        <f t="shared" si="1"/>
        <v>9400028.1568697914</v>
      </c>
    </row>
    <row r="32" spans="1:32" x14ac:dyDescent="0.25">
      <c r="A32" s="23" t="s">
        <v>67</v>
      </c>
      <c r="B32" s="45">
        <f>'7a. Success 3 yr'!B32*'7. Success Allocation'!B$5</f>
        <v>6111214.6317024129</v>
      </c>
      <c r="C32" s="45">
        <f>'7a. Success 3 yr'!C32*'7. Success Allocation'!C$5</f>
        <v>6760418.7375726644</v>
      </c>
      <c r="D32" s="45">
        <f>'7a. Success 3 yr'!D32*'7. Success Allocation'!D$5</f>
        <v>41980.8659685151</v>
      </c>
      <c r="E32" s="45">
        <f>'7a. Success 3 yr'!E32*'7. Success Allocation'!E$5</f>
        <v>1972101.1560923881</v>
      </c>
      <c r="F32" s="45">
        <f>'7a. Success 3 yr'!F32*'7. Success Allocation'!F$5</f>
        <v>913583.60702911438</v>
      </c>
      <c r="G32" s="45">
        <f>'7a. Success 3 yr'!G32*'7. Success Allocation'!G$5</f>
        <v>8622570.0066046566</v>
      </c>
      <c r="H32" s="45">
        <f>'7a. Success 3 yr'!H32*'7. Success Allocation'!H$5</f>
        <v>7123253.3648719732</v>
      </c>
      <c r="I32" s="45">
        <f>'7a. Success 3 yr'!I32*'7. Success Allocation'!I$5</f>
        <v>7651012.8227618774</v>
      </c>
      <c r="J32" s="45">
        <f t="shared" si="2"/>
        <v>39196135.192603603</v>
      </c>
      <c r="K32" s="45"/>
      <c r="L32" s="45">
        <f>'7a. Success 3 yr'!J32*'7. Success Allocation'!L$5</f>
        <v>1566036.2322897867</v>
      </c>
      <c r="M32" s="45">
        <f>'7a. Success 3 yr'!K32*'7. Success Allocation'!M$5</f>
        <v>1657494.5474354804</v>
      </c>
      <c r="N32" s="45">
        <f>'7a. Success 3 yr'!L32*'7. Success Allocation'!N$5</f>
        <v>6184.6811471473147</v>
      </c>
      <c r="O32" s="45">
        <f>'7a. Success 3 yr'!M32*'7. Success Allocation'!O$5</f>
        <v>425056.26793121541</v>
      </c>
      <c r="P32" s="45">
        <f>'7a. Success 3 yr'!N32*'7. Success Allocation'!P$5</f>
        <v>151805.80997543407</v>
      </c>
      <c r="Q32" s="45">
        <f>'7a. Success 3 yr'!O32*'7. Success Allocation'!Q$5</f>
        <v>1661430.2536200285</v>
      </c>
      <c r="R32" s="45">
        <f>'7a. Success 3 yr'!P32*'7. Success Allocation'!R$5</f>
        <v>1483198.9878340559</v>
      </c>
      <c r="S32" s="45">
        <f>'7a. Success 3 yr'!Q32*'7. Success Allocation'!S$5</f>
        <v>973243.91506472731</v>
      </c>
      <c r="T32" s="45">
        <f t="shared" si="3"/>
        <v>7924450.6952978754</v>
      </c>
      <c r="U32" s="45"/>
      <c r="V32" s="45">
        <f>'7a. Success 3 yr'!R32*'7. Success Allocation'!V$5</f>
        <v>1323896.5946499584</v>
      </c>
      <c r="W32" s="45">
        <f>'7a. Success 3 yr'!S32*'7. Success Allocation'!W$5</f>
        <v>1416479.3972769515</v>
      </c>
      <c r="X32" s="45">
        <f>'7a. Success 3 yr'!T32*'7. Success Allocation'!X$5</f>
        <v>8246.2415295297524</v>
      </c>
      <c r="Y32" s="45">
        <f>'7a. Success 3 yr'!U32*'7. Success Allocation'!Y$5</f>
        <v>391071.75738527463</v>
      </c>
      <c r="Z32" s="45">
        <f>'7a. Success 3 yr'!V32*'7. Success Allocation'!Z$5</f>
        <v>149182.0058524019</v>
      </c>
      <c r="AA32" s="45">
        <f>'7a. Success 3 yr'!W32*'7. Success Allocation'!AA$5</f>
        <v>1587526.4374879552</v>
      </c>
      <c r="AB32" s="45">
        <f>'7a. Success 3 yr'!X32*'7. Success Allocation'!AB$5</f>
        <v>1353508.098324179</v>
      </c>
      <c r="AC32" s="45">
        <f>'7a. Success 3 yr'!Y32*'7. Success Allocation'!AC$5</f>
        <v>1163344.7709310837</v>
      </c>
      <c r="AD32" s="45">
        <f t="shared" si="4"/>
        <v>7393255.3034373345</v>
      </c>
      <c r="AF32" s="45">
        <f t="shared" si="1"/>
        <v>54513841.191338815</v>
      </c>
    </row>
    <row r="33" spans="1:32" x14ac:dyDescent="0.25">
      <c r="A33" s="23" t="s">
        <v>68</v>
      </c>
      <c r="B33" s="45">
        <f>'7a. Success 3 yr'!B33*'7. Success Allocation'!B$5</f>
        <v>3388455.6103158621</v>
      </c>
      <c r="C33" s="45">
        <f>'7a. Success 3 yr'!C33*'7. Success Allocation'!C$5</f>
        <v>4010672.0166349248</v>
      </c>
      <c r="D33" s="45">
        <f>'7a. Success 3 yr'!D33*'7. Success Allocation'!D$5</f>
        <v>0</v>
      </c>
      <c r="E33" s="45">
        <f>'7a. Success 3 yr'!E33*'7. Success Allocation'!E$5</f>
        <v>804633.26439653954</v>
      </c>
      <c r="F33" s="45">
        <f>'7a. Success 3 yr'!F33*'7. Success Allocation'!F$5</f>
        <v>652702.51136762765</v>
      </c>
      <c r="G33" s="45">
        <f>'7a. Success 3 yr'!G33*'7. Success Allocation'!G$5</f>
        <v>4213079.7632688368</v>
      </c>
      <c r="H33" s="45">
        <f>'7a. Success 3 yr'!H33*'7. Success Allocation'!H$5</f>
        <v>4187591.3803593814</v>
      </c>
      <c r="I33" s="45">
        <f>'7a. Success 3 yr'!I33*'7. Success Allocation'!I$5</f>
        <v>5998765.883572462</v>
      </c>
      <c r="J33" s="45">
        <f t="shared" si="2"/>
        <v>23255900.429915637</v>
      </c>
      <c r="K33" s="45"/>
      <c r="L33" s="45">
        <f>'7a. Success 3 yr'!J33*'7. Success Allocation'!L$5</f>
        <v>712925.06314389035</v>
      </c>
      <c r="M33" s="45">
        <f>'7a. Success 3 yr'!K33*'7. Success Allocation'!M$5</f>
        <v>835494.19860553718</v>
      </c>
      <c r="N33" s="45">
        <f>'7a. Success 3 yr'!L33*'7. Success Allocation'!N$5</f>
        <v>0</v>
      </c>
      <c r="O33" s="45">
        <f>'7a. Success 3 yr'!M33*'7. Success Allocation'!O$5</f>
        <v>147682.6892106692</v>
      </c>
      <c r="P33" s="45">
        <f>'7a. Success 3 yr'!N33*'7. Success Allocation'!P$5</f>
        <v>91833.144306126793</v>
      </c>
      <c r="Q33" s="45">
        <f>'7a. Success 3 yr'!O33*'7. Success Allocation'!Q$5</f>
        <v>722108.37757450307</v>
      </c>
      <c r="R33" s="45">
        <f>'7a. Success 3 yr'!P33*'7. Success Allocation'!R$5</f>
        <v>672724.63568743283</v>
      </c>
      <c r="S33" s="45">
        <f>'7a. Success 3 yr'!Q33*'7. Success Allocation'!S$5</f>
        <v>654076.88495588268</v>
      </c>
      <c r="T33" s="45">
        <f t="shared" si="3"/>
        <v>3836844.9934840417</v>
      </c>
      <c r="U33" s="45"/>
      <c r="V33" s="45">
        <f>'7a. Success 3 yr'!R33*'7. Success Allocation'!V$5</f>
        <v>668695.22221277631</v>
      </c>
      <c r="W33" s="45">
        <f>'7a. Success 3 yr'!S33*'7. Success Allocation'!W$5</f>
        <v>785267.09110749234</v>
      </c>
      <c r="X33" s="45">
        <f>'7a. Success 3 yr'!T33*'7. Success Allocation'!X$5</f>
        <v>0</v>
      </c>
      <c r="Y33" s="45">
        <f>'7a. Success 3 yr'!U33*'7. Success Allocation'!Y$5</f>
        <v>142684.96707156027</v>
      </c>
      <c r="Z33" s="45">
        <f>'7a. Success 3 yr'!V33*'7. Success Allocation'!Z$5</f>
        <v>84711.39025789655</v>
      </c>
      <c r="AA33" s="45">
        <f>'7a. Success 3 yr'!W33*'7. Success Allocation'!AA$5</f>
        <v>733915.49612814793</v>
      </c>
      <c r="AB33" s="45">
        <f>'7a. Success 3 yr'!X33*'7. Success Allocation'!AB$5</f>
        <v>714799.2089460562</v>
      </c>
      <c r="AC33" s="45">
        <f>'7a. Success 3 yr'!Y33*'7. Success Allocation'!AC$5</f>
        <v>831371.07784077234</v>
      </c>
      <c r="AD33" s="45">
        <f t="shared" si="4"/>
        <v>3961444.4535647021</v>
      </c>
      <c r="AF33" s="45">
        <f t="shared" si="1"/>
        <v>31054189.876964383</v>
      </c>
    </row>
    <row r="34" spans="1:32" x14ac:dyDescent="0.25">
      <c r="A34" s="23" t="s">
        <v>27</v>
      </c>
      <c r="B34" s="45">
        <f>'7a. Success 3 yr'!B34*'7. Success Allocation'!B$5</f>
        <v>223897.95183208055</v>
      </c>
      <c r="C34" s="45">
        <f>'7a. Success 3 yr'!C34*'7. Success Allocation'!C$5</f>
        <v>226396.81290163501</v>
      </c>
      <c r="D34" s="45">
        <f>'7a. Success 3 yr'!D34*'7. Success Allocation'!D$5</f>
        <v>0</v>
      </c>
      <c r="E34" s="45">
        <f>'7a. Success 3 yr'!E34*'7. Success Allocation'!E$5</f>
        <v>50976.765818911197</v>
      </c>
      <c r="F34" s="45">
        <f>'7a. Success 3 yr'!F34*'7. Success Allocation'!F$5</f>
        <v>52975.854674554772</v>
      </c>
      <c r="G34" s="45">
        <f>'7a. Success 3 yr'!G34*'7. Success Allocation'!G$5</f>
        <v>216901.14083732804</v>
      </c>
      <c r="H34" s="45">
        <f>'7a. Success 3 yr'!H34*'7. Success Allocation'!H$5</f>
        <v>328350.34453945741</v>
      </c>
      <c r="I34" s="45">
        <f>'7a. Success 3 yr'!I34*'7. Success Allocation'!I$5</f>
        <v>166923.91944623864</v>
      </c>
      <c r="J34" s="45">
        <f t="shared" si="2"/>
        <v>1266422.7900502055</v>
      </c>
      <c r="K34" s="45"/>
      <c r="L34" s="45">
        <f>'7a. Success 3 yr'!J34*'7. Success Allocation'!L$5</f>
        <v>31485.649476386327</v>
      </c>
      <c r="M34" s="45">
        <f>'7a. Success 3 yr'!K34*'7. Success Allocation'!M$5</f>
        <v>42730.524289381443</v>
      </c>
      <c r="N34" s="45">
        <f>'7a. Success 3 yr'!L34*'7. Success Allocation'!N$5</f>
        <v>0</v>
      </c>
      <c r="O34" s="45">
        <f>'7a. Success 3 yr'!M34*'7. Success Allocation'!O$5</f>
        <v>6746.9248877970704</v>
      </c>
      <c r="P34" s="45">
        <f>'7a. Success 3 yr'!N34*'7. Success Allocation'!P$5</f>
        <v>5247.6082460643875</v>
      </c>
      <c r="Q34" s="45">
        <f>'7a. Success 3 yr'!O34*'7. Success Allocation'!Q$5</f>
        <v>29611.503674220476</v>
      </c>
      <c r="R34" s="45">
        <f>'7a. Success 3 yr'!P34*'7. Success Allocation'!R$5</f>
        <v>34296.868179635108</v>
      </c>
      <c r="S34" s="45">
        <f>'7a. Success 3 yr'!Q34*'7. Success Allocation'!S$5</f>
        <v>8995.8998503960938</v>
      </c>
      <c r="T34" s="45">
        <f t="shared" si="3"/>
        <v>159114.97860388091</v>
      </c>
      <c r="U34" s="45"/>
      <c r="V34" s="45">
        <f>'7a. Success 3 yr'!R34*'7. Success Allocation'!V$5</f>
        <v>33984.510545940801</v>
      </c>
      <c r="W34" s="45">
        <f>'7a. Success 3 yr'!S34*'7. Success Allocation'!W$5</f>
        <v>40481.54932678242</v>
      </c>
      <c r="X34" s="45">
        <f>'7a. Success 3 yr'!T34*'7. Success Allocation'!X$5</f>
        <v>0</v>
      </c>
      <c r="Y34" s="45">
        <f>'7a. Success 3 yr'!U34*'7. Success Allocation'!Y$5</f>
        <v>7246.6971017079641</v>
      </c>
      <c r="Z34" s="45">
        <f>'7a. Success 3 yr'!V34*'7. Success Allocation'!Z$5</f>
        <v>5247.6082460643884</v>
      </c>
      <c r="AA34" s="45">
        <f>'7a. Success 3 yr'!W34*'7. Success Allocation'!AA$5</f>
        <v>31235.763369430882</v>
      </c>
      <c r="AB34" s="45">
        <f>'7a. Success 3 yr'!X34*'7. Success Allocation'!AB$5</f>
        <v>36733.257722450711</v>
      </c>
      <c r="AC34" s="45">
        <f>'7a. Success 3 yr'!Y34*'7. Success Allocation'!AC$5</f>
        <v>10370.273438651053</v>
      </c>
      <c r="AD34" s="45">
        <f t="shared" si="4"/>
        <v>165299.6597510282</v>
      </c>
      <c r="AF34" s="45">
        <f t="shared" si="1"/>
        <v>1590837.4284051147</v>
      </c>
    </row>
    <row r="35" spans="1:32" x14ac:dyDescent="0.25">
      <c r="A35" s="23" t="s">
        <v>69</v>
      </c>
      <c r="B35" s="45">
        <f>'7a. Success 3 yr'!B35*'7. Success Allocation'!B$5</f>
        <v>191912.53014178333</v>
      </c>
      <c r="C35" s="45">
        <f>'7a. Success 3 yr'!C35*'7. Success Allocation'!C$5</f>
        <v>293866.06177960569</v>
      </c>
      <c r="D35" s="45">
        <f>'7a. Success 3 yr'!D35*'7. Success Allocation'!D$5</f>
        <v>0</v>
      </c>
      <c r="E35" s="45">
        <f>'7a. Success 3 yr'!E35*'7. Success Allocation'!E$5</f>
        <v>45979.043679802257</v>
      </c>
      <c r="F35" s="45">
        <f>'7a. Success 3 yr'!F35*'7. Success Allocation'!F$5</f>
        <v>31985.421690297222</v>
      </c>
      <c r="G35" s="45">
        <f>'7a. Success 3 yr'!G35*'7. Success Allocation'!G$5</f>
        <v>258382.23459193224</v>
      </c>
      <c r="H35" s="45">
        <f>'7a. Success 3 yr'!H35*'7. Success Allocation'!H$5</f>
        <v>196410.48006698137</v>
      </c>
      <c r="I35" s="45">
        <f>'7a. Success 3 yr'!I35*'7. Success Allocation'!I$5</f>
        <v>350340.32195153675</v>
      </c>
      <c r="J35" s="45">
        <f t="shared" si="2"/>
        <v>1368876.0939019388</v>
      </c>
      <c r="K35" s="45"/>
      <c r="L35" s="45">
        <f>'7a. Success 3 yr'!J35*'7. Success Allocation'!L$5</f>
        <v>48727.790856312175</v>
      </c>
      <c r="M35" s="45">
        <f>'7a. Success 3 yr'!K35*'7. Success Allocation'!M$5</f>
        <v>69718.223840569728</v>
      </c>
      <c r="N35" s="45">
        <f>'7a. Success 3 yr'!L35*'7. Success Allocation'!N$5</f>
        <v>0</v>
      </c>
      <c r="O35" s="45">
        <f>'7a. Success 3 yr'!M35*'7. Success Allocation'!O$5</f>
        <v>10870.045652561947</v>
      </c>
      <c r="P35" s="45">
        <f>'7a. Success 3 yr'!N35*'7. Success Allocation'!P$5</f>
        <v>5997.2665669307289</v>
      </c>
      <c r="Q35" s="45">
        <f>'7a. Success 3 yr'!O35*'7. Success Allocation'!Q$5</f>
        <v>55287.301163892655</v>
      </c>
      <c r="R35" s="45">
        <f>'7a. Success 3 yr'!P35*'7. Success Allocation'!R$5</f>
        <v>28393.308902812671</v>
      </c>
      <c r="S35" s="45">
        <f>'7a. Success 3 yr'!Q35*'7. Success Allocation'!S$5</f>
        <v>46478.815893713152</v>
      </c>
      <c r="T35" s="45">
        <f t="shared" si="3"/>
        <v>265472.75287679303</v>
      </c>
      <c r="U35" s="45"/>
      <c r="V35" s="45">
        <f>'7a. Success 3 yr'!R35*'7. Success Allocation'!V$5</f>
        <v>38482.460471138846</v>
      </c>
      <c r="W35" s="45">
        <f>'7a. Success 3 yr'!S35*'7. Success Allocation'!W$5</f>
        <v>61097.153150606799</v>
      </c>
      <c r="X35" s="45">
        <f>'7a. Success 3 yr'!T35*'7. Success Allocation'!X$5</f>
        <v>0</v>
      </c>
      <c r="Y35" s="45">
        <f>'7a. Success 3 yr'!U35*'7. Success Allocation'!Y$5</f>
        <v>9245.7859573515416</v>
      </c>
      <c r="Z35" s="45">
        <f>'7a. Success 3 yr'!V35*'7. Success Allocation'!Z$5</f>
        <v>5497.4943530198352</v>
      </c>
      <c r="AA35" s="45">
        <f>'7a. Success 3 yr'!W35*'7. Success Allocation'!AA$5</f>
        <v>49602.392230656238</v>
      </c>
      <c r="AB35" s="45">
        <f>'7a. Success 3 yr'!X35*'7. Success Allocation'!AB$5</f>
        <v>28112.187032487793</v>
      </c>
      <c r="AC35" s="45">
        <f>'7a. Success 3 yr'!Y35*'7. Success Allocation'!AC$5</f>
        <v>51976.310246732988</v>
      </c>
      <c r="AD35" s="45">
        <f t="shared" si="4"/>
        <v>244013.78344199405</v>
      </c>
      <c r="AF35" s="45">
        <f t="shared" si="1"/>
        <v>1878362.6302207259</v>
      </c>
    </row>
    <row r="36" spans="1:32" x14ac:dyDescent="0.25">
      <c r="A36" s="23" t="s">
        <v>70</v>
      </c>
      <c r="B36" s="45">
        <f>'7a. Success 3 yr'!B36*'7. Success Allocation'!B$5</f>
        <v>1011538.9609556496</v>
      </c>
      <c r="C36" s="45">
        <f>'7a. Success 3 yr'!C36*'7. Success Allocation'!C$5</f>
        <v>607223.23990173626</v>
      </c>
      <c r="D36" s="45">
        <f>'7a. Success 3 yr'!D36*'7. Success Allocation'!D$5</f>
        <v>0</v>
      </c>
      <c r="E36" s="45">
        <f>'7a. Success 3 yr'!E36*'7. Success Allocation'!E$5</f>
        <v>124943.05347772353</v>
      </c>
      <c r="F36" s="45">
        <f>'7a. Success 3 yr'!F36*'7. Success Allocation'!F$5</f>
        <v>205906.15213128837</v>
      </c>
      <c r="G36" s="45">
        <f>'7a. Success 3 yr'!G36*'7. Success Allocation'!G$5</f>
        <v>721171.30467342015</v>
      </c>
      <c r="H36" s="45">
        <f>'7a. Success 3 yr'!H36*'7. Success Allocation'!H$5</f>
        <v>688186.33855530119</v>
      </c>
      <c r="I36" s="45">
        <f>'7a. Success 3 yr'!I36*'7. Success Allocation'!I$5</f>
        <v>973056.50048451079</v>
      </c>
      <c r="J36" s="45">
        <f t="shared" si="2"/>
        <v>4332025.5501796305</v>
      </c>
      <c r="K36" s="45"/>
      <c r="L36" s="45">
        <f>'7a. Success 3 yr'!J36*'7. Success Allocation'!L$5</f>
        <v>260131.43734062035</v>
      </c>
      <c r="M36" s="45">
        <f>'7a. Success 3 yr'!K36*'7. Success Allocation'!M$5</f>
        <v>152930.29745673359</v>
      </c>
      <c r="N36" s="45">
        <f>'7a. Success 3 yr'!L36*'7. Success Allocation'!N$5</f>
        <v>0</v>
      </c>
      <c r="O36" s="45">
        <f>'7a. Success 3 yr'!M36*'7. Success Allocation'!O$5</f>
        <v>29986.332834653644</v>
      </c>
      <c r="P36" s="45">
        <f>'7a. Success 3 yr'!N36*'7. Success Allocation'!P$5</f>
        <v>36733.257722450711</v>
      </c>
      <c r="Q36" s="45">
        <f>'7a. Success 3 yr'!O36*'7. Success Allocation'!Q$5</f>
        <v>184415.94693311991</v>
      </c>
      <c r="R36" s="45">
        <f>'7a. Success 3 yr'!P36*'7. Success Allocation'!R$5</f>
        <v>159114.97860388091</v>
      </c>
      <c r="S36" s="45">
        <f>'7a. Success 3 yr'!Q36*'7. Success Allocation'!S$5</f>
        <v>180667.65532878821</v>
      </c>
      <c r="T36" s="45">
        <f t="shared" si="3"/>
        <v>1003979.9062202474</v>
      </c>
      <c r="U36" s="45"/>
      <c r="V36" s="45">
        <f>'7a. Success 3 yr'!R36*'7. Success Allocation'!V$5</f>
        <v>214902.05198168446</v>
      </c>
      <c r="W36" s="45">
        <f>'7a. Success 3 yr'!S36*'7. Success Allocation'!W$5</f>
        <v>126692.25622641164</v>
      </c>
      <c r="X36" s="45">
        <f>'7a. Success 3 yr'!T36*'7. Success Allocation'!X$5</f>
        <v>0</v>
      </c>
      <c r="Y36" s="45">
        <f>'7a. Success 3 yr'!U36*'7. Success Allocation'!Y$5</f>
        <v>29236.674513787304</v>
      </c>
      <c r="Z36" s="45">
        <f>'7a. Success 3 yr'!V36*'7. Success Allocation'!Z$5</f>
        <v>34484.282759851696</v>
      </c>
      <c r="AA36" s="45">
        <f>'7a. Success 3 yr'!W36*'7. Success Allocation'!AA$5</f>
        <v>155429.15852628805</v>
      </c>
      <c r="AB36" s="45">
        <f>'7a. Success 3 yr'!X36*'7. Success Allocation'!AB$5</f>
        <v>136625.22897789066</v>
      </c>
      <c r="AC36" s="45">
        <f>'7a. Success 3 yr'!Y36*'7. Success Allocation'!AC$5</f>
        <v>161801.25425365198</v>
      </c>
      <c r="AD36" s="45">
        <f t="shared" si="4"/>
        <v>859170.90723956586</v>
      </c>
      <c r="AF36" s="45">
        <f t="shared" si="1"/>
        <v>6195176.3636394432</v>
      </c>
    </row>
    <row r="37" spans="1:32" x14ac:dyDescent="0.25">
      <c r="A37" s="23" t="s">
        <v>28</v>
      </c>
      <c r="B37" s="45">
        <f>'7a. Success 3 yr'!B37*'7. Success Allocation'!B$5</f>
        <v>651702.96693980589</v>
      </c>
      <c r="C37" s="45">
        <f>'7a. Success 3 yr'!C37*'7. Success Allocation'!C$5</f>
        <v>1520307.0747169398</v>
      </c>
      <c r="D37" s="45">
        <f>'7a. Success 3 yr'!D37*'7. Success Allocation'!D$5</f>
        <v>0</v>
      </c>
      <c r="E37" s="45">
        <f>'7a. Success 3 yr'!E37*'7. Success Allocation'!E$5</f>
        <v>232893.85168247664</v>
      </c>
      <c r="F37" s="45">
        <f>'7a. Success 3 yr'!F37*'7. Success Allocation'!F$5</f>
        <v>333847.83889247727</v>
      </c>
      <c r="G37" s="45">
        <f>'7a. Success 3 yr'!G37*'7. Success Allocation'!G$5</f>
        <v>931075.63451599574</v>
      </c>
      <c r="H37" s="45">
        <f>'7a. Success 3 yr'!H37*'7. Success Allocation'!H$5</f>
        <v>1298408.2117405029</v>
      </c>
      <c r="I37" s="45">
        <f>'7a. Success 3 yr'!I37*'7. Success Allocation'!I$5</f>
        <v>781643.74255663832</v>
      </c>
      <c r="J37" s="45">
        <f t="shared" si="2"/>
        <v>5749879.3210448362</v>
      </c>
      <c r="K37" s="45"/>
      <c r="L37" s="45">
        <f>'7a. Success 3 yr'!J37*'7. Success Allocation'!L$5</f>
        <v>114697.72309255019</v>
      </c>
      <c r="M37" s="45">
        <f>'7a. Success 3 yr'!K37*'7. Success Allocation'!M$5</f>
        <v>269314.75177123304</v>
      </c>
      <c r="N37" s="45">
        <f>'7a. Success 3 yr'!L37*'7. Success Allocation'!N$5</f>
        <v>0</v>
      </c>
      <c r="O37" s="45">
        <f>'7a. Success 3 yr'!M37*'7. Success Allocation'!O$5</f>
        <v>38607.403524616566</v>
      </c>
      <c r="P37" s="45">
        <f>'7a. Success 3 yr'!N37*'7. Success Allocation'!P$5</f>
        <v>34859.111920284864</v>
      </c>
      <c r="Q37" s="45">
        <f>'7a. Success 3 yr'!O37*'7. Success Allocation'!Q$5</f>
        <v>153867.37035781652</v>
      </c>
      <c r="R37" s="45">
        <f>'7a. Success 3 yr'!P37*'7. Success Allocation'!R$5</f>
        <v>166986.3909729775</v>
      </c>
      <c r="S37" s="45">
        <f>'7a. Success 3 yr'!Q37*'7. Success Allocation'!S$5</f>
        <v>55849.54490454241</v>
      </c>
      <c r="T37" s="45">
        <f t="shared" si="3"/>
        <v>834182.296544021</v>
      </c>
      <c r="U37" s="45"/>
      <c r="V37" s="45">
        <f>'7a. Success 3 yr'!R37*'7. Success Allocation'!V$5</f>
        <v>99454.670568267931</v>
      </c>
      <c r="W37" s="45">
        <f>'7a. Success 3 yr'!S37*'7. Success Allocation'!W$5</f>
        <v>247762.07504632574</v>
      </c>
      <c r="X37" s="45">
        <f>'7a. Success 3 yr'!T37*'7. Success Allocation'!X$5</f>
        <v>0</v>
      </c>
      <c r="Y37" s="45">
        <f>'7a. Success 3 yr'!U37*'7. Success Allocation'!Y$5</f>
        <v>37732.802150272502</v>
      </c>
      <c r="Z37" s="45">
        <f>'7a. Success 3 yr'!V37*'7. Success Allocation'!Z$5</f>
        <v>38482.460471138846</v>
      </c>
      <c r="AA37" s="45">
        <f>'7a. Success 3 yr'!W37*'7. Success Allocation'!AA$5</f>
        <v>149057.06279892416</v>
      </c>
      <c r="AB37" s="45">
        <f>'7a. Success 3 yr'!X37*'7. Success Allocation'!AB$5</f>
        <v>169235.3659355765</v>
      </c>
      <c r="AC37" s="45">
        <f>'7a. Success 3 yr'!Y37*'7. Success Allocation'!AC$5</f>
        <v>76340.205674889075</v>
      </c>
      <c r="AD37" s="45">
        <f t="shared" si="4"/>
        <v>818064.64264539466</v>
      </c>
      <c r="AF37" s="45">
        <f t="shared" si="1"/>
        <v>7402126.2602342516</v>
      </c>
    </row>
    <row r="38" spans="1:32" x14ac:dyDescent="0.25">
      <c r="A38" s="23" t="s">
        <v>71</v>
      </c>
      <c r="B38" s="45">
        <f>'7a. Success 3 yr'!B38*'7. Success Allocation'!B$5</f>
        <v>587732.1235592115</v>
      </c>
      <c r="C38" s="45">
        <f>'7a. Success 3 yr'!C38*'7. Success Allocation'!C$5</f>
        <v>404815.49326782417</v>
      </c>
      <c r="D38" s="45">
        <f>'7a. Success 3 yr'!D38*'7. Success Allocation'!D$5</f>
        <v>0</v>
      </c>
      <c r="E38" s="45">
        <f>'7a. Success 3 yr'!E38*'7. Success Allocation'!E$5</f>
        <v>76964.920942277691</v>
      </c>
      <c r="F38" s="45">
        <f>'7a. Success 3 yr'!F38*'7. Success Allocation'!F$5</f>
        <v>95956.265070891663</v>
      </c>
      <c r="G38" s="45">
        <f>'7a. Success 3 yr'!G38*'7. Success Allocation'!G$5</f>
        <v>439799.54824158683</v>
      </c>
      <c r="H38" s="45">
        <f>'7a. Success 3 yr'!H38*'7. Success Allocation'!H$5</f>
        <v>532257.40781510214</v>
      </c>
      <c r="I38" s="45">
        <f>'7a. Success 3 yr'!I38*'7. Success Allocation'!I$5</f>
        <v>1132483.836722086</v>
      </c>
      <c r="J38" s="45">
        <f t="shared" si="2"/>
        <v>3270009.59561898</v>
      </c>
      <c r="K38" s="45"/>
      <c r="L38" s="45">
        <f>'7a. Success 3 yr'!J38*'7. Success Allocation'!L$5</f>
        <v>98954.898354357021</v>
      </c>
      <c r="M38" s="45">
        <f>'7a. Success 3 yr'!K38*'7. Success Allocation'!M$5</f>
        <v>68593.736359270217</v>
      </c>
      <c r="N38" s="45">
        <f>'7a. Success 3 yr'!L38*'7. Success Allocation'!N$5</f>
        <v>0</v>
      </c>
      <c r="O38" s="45">
        <f>'7a. Success 3 yr'!M38*'7. Success Allocation'!O$5</f>
        <v>7496.5832086634109</v>
      </c>
      <c r="P38" s="45">
        <f>'7a. Success 3 yr'!N38*'7. Success Allocation'!P$5</f>
        <v>14618.337256893652</v>
      </c>
      <c r="Q38" s="45">
        <f>'7a. Success 3 yr'!O38*'7. Success Allocation'!Q$5</f>
        <v>47228.474214579488</v>
      </c>
      <c r="R38" s="45">
        <f>'7a. Success 3 yr'!P38*'7. Success Allocation'!R$5</f>
        <v>63814.66456374729</v>
      </c>
      <c r="S38" s="45">
        <f>'7a. Success 3 yr'!Q38*'7. Success Allocation'!S$5</f>
        <v>40668.963906999008</v>
      </c>
      <c r="T38" s="45">
        <f t="shared" si="3"/>
        <v>341375.65786451008</v>
      </c>
      <c r="U38" s="45"/>
      <c r="V38" s="45">
        <f>'7a. Success 3 yr'!R38*'7. Success Allocation'!V$5</f>
        <v>102453.30385173329</v>
      </c>
      <c r="W38" s="45">
        <f>'7a. Success 3 yr'!S38*'7. Success Allocation'!W$5</f>
        <v>68968.565519703378</v>
      </c>
      <c r="X38" s="45">
        <f>'7a. Success 3 yr'!T38*'7. Success Allocation'!X$5</f>
        <v>0</v>
      </c>
      <c r="Y38" s="45">
        <f>'7a. Success 3 yr'!U38*'7. Success Allocation'!Y$5</f>
        <v>7246.6971017079641</v>
      </c>
      <c r="Z38" s="45">
        <f>'7a. Success 3 yr'!V38*'7. Success Allocation'!Z$5</f>
        <v>14243.508096460482</v>
      </c>
      <c r="AA38" s="45">
        <f>'7a. Success 3 yr'!W38*'7. Success Allocation'!AA$5</f>
        <v>50227.107498044854</v>
      </c>
      <c r="AB38" s="45">
        <f>'7a. Success 3 yr'!X38*'7. Success Allocation'!AB$5</f>
        <v>68968.565519703378</v>
      </c>
      <c r="AC38" s="45">
        <f>'7a. Success 3 yr'!Y38*'7. Success Allocation'!AC$5</f>
        <v>52850.911621077052</v>
      </c>
      <c r="AD38" s="45">
        <f t="shared" si="4"/>
        <v>364958.65920843038</v>
      </c>
      <c r="AF38" s="45">
        <f t="shared" ref="AF38:AF69" si="5">SUM(J38,T38,AD38)</f>
        <v>3976343.9126919205</v>
      </c>
    </row>
    <row r="39" spans="1:32" x14ac:dyDescent="0.25">
      <c r="A39" s="23" t="s">
        <v>72</v>
      </c>
      <c r="B39" s="45">
        <f>'7a. Success 3 yr'!B39*'7. Success Allocation'!B$5</f>
        <v>1565286.5739689204</v>
      </c>
      <c r="C39" s="45">
        <f>'7a. Success 3 yr'!C39*'7. Success Allocation'!C$5</f>
        <v>2070556.2822328343</v>
      </c>
      <c r="D39" s="45">
        <f>'7a. Success 3 yr'!D39*'7. Success Allocation'!D$5</f>
        <v>0</v>
      </c>
      <c r="E39" s="45">
        <f>'7a. Success 3 yr'!E39*'7. Success Allocation'!E$5</f>
        <v>252884.7402389124</v>
      </c>
      <c r="F39" s="45">
        <f>'7a. Success 3 yr'!F39*'7. Success Allocation'!F$5</f>
        <v>451794.08137544827</v>
      </c>
      <c r="G39" s="45">
        <f>'7a. Success 3 yr'!G39*'7. Success Allocation'!G$5</f>
        <v>2480369.4976397674</v>
      </c>
      <c r="H39" s="45">
        <f>'7a. Success 3 yr'!H39*'7. Success Allocation'!H$5</f>
        <v>1889888.6269040459</v>
      </c>
      <c r="I39" s="45">
        <f>'7a. Success 3 yr'!I39*'7. Success Allocation'!I$5</f>
        <v>1463333.0423310979</v>
      </c>
      <c r="J39" s="45">
        <f t="shared" si="2"/>
        <v>10174112.844691027</v>
      </c>
      <c r="K39" s="45"/>
      <c r="L39" s="45">
        <f>'7a. Success 3 yr'!J39*'7. Success Allocation'!L$5</f>
        <v>371830.52714970522</v>
      </c>
      <c r="M39" s="45">
        <f>'7a. Success 3 yr'!K39*'7. Success Allocation'!M$5</f>
        <v>454292.94244500273</v>
      </c>
      <c r="N39" s="45">
        <f>'7a. Success 3 yr'!L39*'7. Success Allocation'!N$5</f>
        <v>0</v>
      </c>
      <c r="O39" s="45">
        <f>'7a. Success 3 yr'!M39*'7. Success Allocation'!O$5</f>
        <v>45729.157572846809</v>
      </c>
      <c r="P39" s="45">
        <f>'7a. Success 3 yr'!N39*'7. Success Allocation'!P$5</f>
        <v>62971.298952772653</v>
      </c>
      <c r="Q39" s="45">
        <f>'7a. Success 3 yr'!O39*'7. Success Allocation'!Q$5</f>
        <v>459353.13611085049</v>
      </c>
      <c r="R39" s="45">
        <f>'7a. Success 3 yr'!P39*'7. Success Allocation'!R$5</f>
        <v>367988.52825526521</v>
      </c>
      <c r="S39" s="45">
        <f>'7a. Success 3 yr'!Q39*'7. Success Allocation'!S$5</f>
        <v>175794.87624315699</v>
      </c>
      <c r="T39" s="45">
        <f t="shared" si="3"/>
        <v>1937960.4667296002</v>
      </c>
      <c r="U39" s="45"/>
      <c r="V39" s="45">
        <f>'7a. Success 3 yr'!R39*'7. Success Allocation'!V$5</f>
        <v>323352.62240034848</v>
      </c>
      <c r="W39" s="45">
        <f>'7a. Success 3 yr'!S39*'7. Success Allocation'!W$5</f>
        <v>419808.65968515101</v>
      </c>
      <c r="X39" s="45">
        <f>'7a. Success 3 yr'!T39*'7. Success Allocation'!X$5</f>
        <v>0</v>
      </c>
      <c r="Y39" s="45">
        <f>'7a. Success 3 yr'!U39*'7. Success Allocation'!Y$5</f>
        <v>48727.790856312175</v>
      </c>
      <c r="Z39" s="45">
        <f>'7a. Success 3 yr'!V39*'7. Success Allocation'!Z$5</f>
        <v>61971.754524950869</v>
      </c>
      <c r="AA39" s="45">
        <f>'7a. Success 3 yr'!W39*'7. Success Allocation'!AA$5</f>
        <v>462039.41176062159</v>
      </c>
      <c r="AB39" s="45">
        <f>'7a. Success 3 yr'!X39*'7. Success Allocation'!AB$5</f>
        <v>346904.38798089937</v>
      </c>
      <c r="AC39" s="45">
        <f>'7a. Success 3 yr'!Y39*'7. Success Allocation'!AC$5</f>
        <v>202657.63274086756</v>
      </c>
      <c r="AD39" s="45">
        <f t="shared" si="4"/>
        <v>1865462.259949151</v>
      </c>
      <c r="AF39" s="45">
        <f t="shared" si="5"/>
        <v>13977535.571369778</v>
      </c>
    </row>
    <row r="40" spans="1:32" x14ac:dyDescent="0.25">
      <c r="A40" s="23" t="s">
        <v>73</v>
      </c>
      <c r="B40" s="45">
        <f>'7a. Success 3 yr'!B40*'7. Success Allocation'!B$5</f>
        <v>865605.47449366853</v>
      </c>
      <c r="C40" s="45">
        <f>'7a. Success 3 yr'!C40*'7. Success Allocation'!C$5</f>
        <v>1347885.6609176814</v>
      </c>
      <c r="D40" s="45">
        <f>'7a. Success 3 yr'!D40*'7. Success Allocation'!D$5</f>
        <v>0</v>
      </c>
      <c r="E40" s="45">
        <f>'7a. Success 3 yr'!E40*'7. Success Allocation'!E$5</f>
        <v>63970.843380594444</v>
      </c>
      <c r="F40" s="45">
        <f>'7a. Success 3 yr'!F40*'7. Success Allocation'!F$5</f>
        <v>386823.69356703205</v>
      </c>
      <c r="G40" s="45">
        <f>'7a. Success 3 yr'!G40*'7. Success Allocation'!G$5</f>
        <v>704179.04940044973</v>
      </c>
      <c r="H40" s="45">
        <f>'7a. Success 3 yr'!H40*'7. Success Allocation'!H$5</f>
        <v>954315.0424628522</v>
      </c>
      <c r="I40" s="45">
        <f>'7a. Success 3 yr'!I40*'7. Success Allocation'!I$5</f>
        <v>981552.62812099606</v>
      </c>
      <c r="J40" s="45">
        <f t="shared" si="2"/>
        <v>5304332.3923432743</v>
      </c>
      <c r="K40" s="45"/>
      <c r="L40" s="45">
        <f>'7a. Success 3 yr'!J40*'7. Success Allocation'!L$5</f>
        <v>193411.846783516</v>
      </c>
      <c r="M40" s="45">
        <f>'7a. Success 3 yr'!K40*'7. Success Allocation'!M$5</f>
        <v>316543.22598581255</v>
      </c>
      <c r="N40" s="45">
        <f>'7a. Success 3 yr'!L40*'7. Success Allocation'!N$5</f>
        <v>0</v>
      </c>
      <c r="O40" s="45">
        <f>'7a. Success 3 yr'!M40*'7. Success Allocation'!O$5</f>
        <v>13493.849775594141</v>
      </c>
      <c r="P40" s="45">
        <f>'7a. Success 3 yr'!N40*'7. Success Allocation'!P$5</f>
        <v>55474.715744109242</v>
      </c>
      <c r="Q40" s="45">
        <f>'7a. Success 3 yr'!O40*'7. Success Allocation'!Q$5</f>
        <v>158365.32028301456</v>
      </c>
      <c r="R40" s="45">
        <f>'7a. Success 3 yr'!P40*'7. Success Allocation'!R$5</f>
        <v>193974.09052416577</v>
      </c>
      <c r="S40" s="45">
        <f>'7a. Success 3 yr'!Q40*'7. Success Allocation'!S$5</f>
        <v>154242.19951824969</v>
      </c>
      <c r="T40" s="45">
        <f t="shared" si="3"/>
        <v>1085505.2486144619</v>
      </c>
      <c r="U40" s="45"/>
      <c r="V40" s="45">
        <f>'7a. Success 3 yr'!R40*'7. Success Allocation'!V$5</f>
        <v>180417.76922183277</v>
      </c>
      <c r="W40" s="45">
        <f>'7a. Success 3 yr'!S40*'7. Success Allocation'!W$5</f>
        <v>279247.72452271206</v>
      </c>
      <c r="X40" s="45">
        <f>'7a. Success 3 yr'!T40*'7. Success Allocation'!X$5</f>
        <v>0</v>
      </c>
      <c r="Y40" s="45">
        <f>'7a. Success 3 yr'!U40*'7. Success Allocation'!Y$5</f>
        <v>12994.077561683247</v>
      </c>
      <c r="Z40" s="45">
        <f>'7a. Success 3 yr'!V40*'7. Success Allocation'!Z$5</f>
        <v>62971.298952772653</v>
      </c>
      <c r="AA40" s="45">
        <f>'7a. Success 3 yr'!W40*'7. Success Allocation'!AA$5</f>
        <v>141685.42264373848</v>
      </c>
      <c r="AB40" s="45">
        <f>'7a. Success 3 yr'!X40*'7. Success Allocation'!AB$5</f>
        <v>178793.50952662237</v>
      </c>
      <c r="AC40" s="45">
        <f>'7a. Success 3 yr'!Y40*'7. Success Allocation'!AC$5</f>
        <v>170797.15410404807</v>
      </c>
      <c r="AD40" s="45">
        <f t="shared" si="4"/>
        <v>1026906.9565334095</v>
      </c>
      <c r="AF40" s="45">
        <f t="shared" si="5"/>
        <v>7416744.5974911461</v>
      </c>
    </row>
    <row r="41" spans="1:32" x14ac:dyDescent="0.25">
      <c r="A41" s="23" t="s">
        <v>74</v>
      </c>
      <c r="B41" s="45">
        <f>'7a. Success 3 yr'!B41*'7. Success Allocation'!B$5</f>
        <v>455792.25908673543</v>
      </c>
      <c r="C41" s="45">
        <f>'7a. Success 3 yr'!C41*'7. Success Allocation'!C$5</f>
        <v>455792.25908673537</v>
      </c>
      <c r="D41" s="45">
        <f>'7a. Success 3 yr'!D41*'7. Success Allocation'!D$5</f>
        <v>0</v>
      </c>
      <c r="E41" s="45">
        <f>'7a. Success 3 yr'!E41*'7. Success Allocation'!E$5</f>
        <v>110949.43148821848</v>
      </c>
      <c r="F41" s="45">
        <f>'7a. Success 3 yr'!F41*'7. Success Allocation'!F$5</f>
        <v>131939.86447247604</v>
      </c>
      <c r="G41" s="45">
        <f>'7a. Success 3 yr'!G41*'7. Success Allocation'!G$5</f>
        <v>422307.52075470553</v>
      </c>
      <c r="H41" s="45">
        <f>'7a. Success 3 yr'!H41*'7. Success Allocation'!H$5</f>
        <v>398068.56838002714</v>
      </c>
      <c r="I41" s="45">
        <f>'7a. Success 3 yr'!I41*'7. Success Allocation'!I$5</f>
        <v>524760.82460643875</v>
      </c>
      <c r="J41" s="45">
        <f t="shared" si="2"/>
        <v>2499610.7278753365</v>
      </c>
      <c r="K41" s="45"/>
      <c r="L41" s="45">
        <f>'7a. Success 3 yr'!J41*'7. Success Allocation'!L$5</f>
        <v>82462.415295297527</v>
      </c>
      <c r="M41" s="45">
        <f>'7a. Success 3 yr'!K41*'7. Success Allocation'!M$5</f>
        <v>74778.417506417536</v>
      </c>
      <c r="N41" s="45">
        <f>'7a. Success 3 yr'!L41*'7. Success Allocation'!N$5</f>
        <v>0</v>
      </c>
      <c r="O41" s="45">
        <f>'7a. Success 3 yr'!M41*'7. Success Allocation'!O$5</f>
        <v>12744.191454727799</v>
      </c>
      <c r="P41" s="45">
        <f>'7a. Success 3 yr'!N41*'7. Success Allocation'!P$5</f>
        <v>17616.970540359016</v>
      </c>
      <c r="Q41" s="45">
        <f>'7a. Success 3 yr'!O41*'7. Success Allocation'!Q$5</f>
        <v>53975.399102376563</v>
      </c>
      <c r="R41" s="45">
        <f>'7a. Success 3 yr'!P41*'7. Success Allocation'!R$5</f>
        <v>64376.908304397046</v>
      </c>
      <c r="S41" s="45">
        <f>'7a. Success 3 yr'!Q41*'7. Success Allocation'!S$5</f>
        <v>44417.25551133071</v>
      </c>
      <c r="T41" s="45">
        <f t="shared" si="3"/>
        <v>350371.55771490623</v>
      </c>
      <c r="U41" s="45"/>
      <c r="V41" s="45">
        <f>'7a. Success 3 yr'!R41*'7. Success Allocation'!V$5</f>
        <v>85960.820792673781</v>
      </c>
      <c r="W41" s="45">
        <f>'7a. Success 3 yr'!S41*'7. Success Allocation'!W$5</f>
        <v>81712.756974431177</v>
      </c>
      <c r="X41" s="45">
        <f>'7a. Success 3 yr'!T41*'7. Success Allocation'!X$5</f>
        <v>0</v>
      </c>
      <c r="Y41" s="45">
        <f>'7a. Success 3 yr'!U41*'7. Success Allocation'!Y$5</f>
        <v>18241.685807747635</v>
      </c>
      <c r="Z41" s="45">
        <f>'7a. Success 3 yr'!V41*'7. Success Allocation'!Z$5</f>
        <v>19741.002449480318</v>
      </c>
      <c r="AA41" s="45">
        <f>'7a. Success 3 yr'!W41*'7. Success Allocation'!AA$5</f>
        <v>63096.242006250381</v>
      </c>
      <c r="AB41" s="45">
        <f>'7a. Success 3 yr'!X41*'7. Success Allocation'!AB$5</f>
        <v>65969.932236238019</v>
      </c>
      <c r="AC41" s="45">
        <f>'7a. Success 3 yr'!Y41*'7. Success Allocation'!AC$5</f>
        <v>57223.918492797377</v>
      </c>
      <c r="AD41" s="45">
        <f t="shared" si="4"/>
        <v>391946.35875961871</v>
      </c>
      <c r="AF41" s="45">
        <f t="shared" si="5"/>
        <v>3241928.6443498614</v>
      </c>
    </row>
    <row r="42" spans="1:32" x14ac:dyDescent="0.25">
      <c r="A42" s="23" t="s">
        <v>75</v>
      </c>
      <c r="B42" s="45">
        <f>'7a. Success 3 yr'!B42*'7. Success Allocation'!B$5</f>
        <v>2898678.840683186</v>
      </c>
      <c r="C42" s="45">
        <f>'7a. Success 3 yr'!C42*'7. Success Allocation'!C$5</f>
        <v>2042069.2660399133</v>
      </c>
      <c r="D42" s="45">
        <f>'7a. Success 3 yr'!D42*'7. Success Allocation'!D$5</f>
        <v>5997.2665669307289</v>
      </c>
      <c r="E42" s="45">
        <f>'7a. Success 3 yr'!E42*'7. Success Allocation'!E$5</f>
        <v>360835.53844366554</v>
      </c>
      <c r="F42" s="45">
        <f>'7a. Success 3 yr'!F42*'7. Success Allocation'!F$5</f>
        <v>773647.38713406411</v>
      </c>
      <c r="G42" s="45">
        <f>'7a. Success 3 yr'!G42*'7. Success Allocation'!G$5</f>
        <v>2383913.4603549647</v>
      </c>
      <c r="H42" s="45">
        <f>'7a. Success 3 yr'!H42*'7. Success Allocation'!H$5</f>
        <v>2658288.4057920454</v>
      </c>
      <c r="I42" s="45">
        <f>'7a. Success 3 yr'!I42*'7. Success Allocation'!I$5</f>
        <v>1737707.9877681788</v>
      </c>
      <c r="J42" s="45">
        <f t="shared" si="2"/>
        <v>12861138.152782949</v>
      </c>
      <c r="K42" s="45"/>
      <c r="L42" s="45">
        <f>'7a. Success 3 yr'!J42*'7. Success Allocation'!L$5</f>
        <v>586982.46523834509</v>
      </c>
      <c r="M42" s="45">
        <f>'7a. Success 3 yr'!K42*'7. Success Allocation'!M$5</f>
        <v>398630.81212067691</v>
      </c>
      <c r="N42" s="45">
        <f>'7a. Success 3 yr'!L42*'7. Success Allocation'!N$5</f>
        <v>562.24374064975586</v>
      </c>
      <c r="O42" s="45">
        <f>'7a. Success 3 yr'!M42*'7. Success Allocation'!O$5</f>
        <v>58848.178188007776</v>
      </c>
      <c r="P42" s="45">
        <f>'7a. Success 3 yr'!N42*'7. Success Allocation'!P$5</f>
        <v>100079.38583565653</v>
      </c>
      <c r="Q42" s="45">
        <f>'7a. Success 3 yr'!O42*'7. Success Allocation'!Q$5</f>
        <v>388323.0102087647</v>
      </c>
      <c r="R42" s="45">
        <f>'7a. Success 3 yr'!P42*'7. Success Allocation'!R$5</f>
        <v>447264.8956868808</v>
      </c>
      <c r="S42" s="45">
        <f>'7a. Success 3 yr'!Q42*'7. Success Allocation'!S$5</f>
        <v>139811.27684157263</v>
      </c>
      <c r="T42" s="45">
        <f t="shared" si="3"/>
        <v>2120502.2678605542</v>
      </c>
      <c r="U42" s="45"/>
      <c r="V42" s="45">
        <f>'7a. Success 3 yr'!R42*'7. Success Allocation'!V$5</f>
        <v>553747.61301327066</v>
      </c>
      <c r="W42" s="45">
        <f>'7a. Success 3 yr'!S42*'7. Success Allocation'!W$5</f>
        <v>384949.54776486615</v>
      </c>
      <c r="X42" s="45">
        <f>'7a. Success 3 yr'!T42*'7. Success Allocation'!X$5</f>
        <v>1124.4874812995117</v>
      </c>
      <c r="Y42" s="45">
        <f>'7a. Success 3 yr'!U42*'7. Success Allocation'!Y$5</f>
        <v>65220.273915371683</v>
      </c>
      <c r="Z42" s="45">
        <f>'7a. Success 3 yr'!V42*'7. Success Allocation'!Z$5</f>
        <v>103702.73438651052</v>
      </c>
      <c r="AA42" s="45">
        <f>'7a. Success 3 yr'!W42*'7. Success Allocation'!AA$5</f>
        <v>415685.53892038617</v>
      </c>
      <c r="AB42" s="45">
        <f>'7a. Success 3 yr'!X42*'7. Success Allocation'!AB$5</f>
        <v>455417.42992630223</v>
      </c>
      <c r="AC42" s="45">
        <f>'7a. Success 3 yr'!Y42*'7. Success Allocation'!AC$5</f>
        <v>192787.13151612741</v>
      </c>
      <c r="AD42" s="45">
        <f t="shared" si="4"/>
        <v>2172634.7569241347</v>
      </c>
      <c r="AF42" s="45">
        <f t="shared" si="5"/>
        <v>17154275.177567638</v>
      </c>
    </row>
    <row r="43" spans="1:32" x14ac:dyDescent="0.25">
      <c r="A43" s="23" t="s">
        <v>76</v>
      </c>
      <c r="B43" s="45">
        <f>'7a. Success 3 yr'!B43*'7. Success Allocation'!B$5</f>
        <v>505769.48047782481</v>
      </c>
      <c r="C43" s="45">
        <f>'7a. Success 3 yr'!C43*'7. Success Allocation'!C$5</f>
        <v>571239.6405001519</v>
      </c>
      <c r="D43" s="45">
        <f>'7a. Success 3 yr'!D43*'7. Success Allocation'!D$5</f>
        <v>0</v>
      </c>
      <c r="E43" s="45">
        <f>'7a. Success 3 yr'!E43*'7. Success Allocation'!E$5</f>
        <v>6996.8109947525172</v>
      </c>
      <c r="F43" s="45">
        <f>'7a. Success 3 yr'!F43*'7. Success Allocation'!F$5</f>
        <v>239890.66267722918</v>
      </c>
      <c r="G43" s="45">
        <f>'7a. Success 3 yr'!G43*'7. Success Allocation'!G$5</f>
        <v>452293.85358935915</v>
      </c>
      <c r="H43" s="45">
        <f>'7a. Success 3 yr'!H43*'7. Success Allocation'!H$5</f>
        <v>963310.94231324829</v>
      </c>
      <c r="I43" s="45">
        <f>'7a. Success 3 yr'!I43*'7. Success Allocation'!I$5</f>
        <v>759653.76514455897</v>
      </c>
      <c r="J43" s="45">
        <f t="shared" si="2"/>
        <v>3499155.155697125</v>
      </c>
      <c r="K43" s="45"/>
      <c r="L43" s="45">
        <f>'7a. Success 3 yr'!J43*'7. Success Allocation'!L$5</f>
        <v>73466.515444901423</v>
      </c>
      <c r="M43" s="45">
        <f>'7a. Success 3 yr'!K43*'7. Success Allocation'!M$5</f>
        <v>69155.980099919965</v>
      </c>
      <c r="N43" s="45">
        <f>'7a. Success 3 yr'!L43*'7. Success Allocation'!N$5</f>
        <v>0</v>
      </c>
      <c r="O43" s="45">
        <f>'7a. Success 3 yr'!M43*'7. Success Allocation'!O$5</f>
        <v>749.65832086634111</v>
      </c>
      <c r="P43" s="45">
        <f>'7a. Success 3 yr'!N43*'7. Success Allocation'!P$5</f>
        <v>22489.749625990233</v>
      </c>
      <c r="Q43" s="45">
        <f>'7a. Success 3 yr'!O43*'7. Success Allocation'!Q$5</f>
        <v>44792.084671763885</v>
      </c>
      <c r="R43" s="45">
        <f>'7a. Success 3 yr'!P43*'7. Success Allocation'!R$5</f>
        <v>83774.317356813626</v>
      </c>
      <c r="S43" s="45">
        <f>'7a. Success 3 yr'!Q43*'7. Success Allocation'!S$5</f>
        <v>21740.091305123893</v>
      </c>
      <c r="T43" s="45">
        <f t="shared" si="3"/>
        <v>316168.39682537934</v>
      </c>
      <c r="U43" s="45"/>
      <c r="V43" s="45">
        <f>'7a. Success 3 yr'!R43*'7. Success Allocation'!V$5</f>
        <v>74965.832086634109</v>
      </c>
      <c r="W43" s="45">
        <f>'7a. Success 3 yr'!S43*'7. Success Allocation'!W$5</f>
        <v>79838.61117226533</v>
      </c>
      <c r="X43" s="45">
        <f>'7a. Success 3 yr'!T43*'7. Success Allocation'!X$5</f>
        <v>0</v>
      </c>
      <c r="Y43" s="45">
        <f>'7a. Success 3 yr'!U43*'7. Success Allocation'!Y$5</f>
        <v>1749.2027486881293</v>
      </c>
      <c r="Z43" s="45">
        <f>'7a. Success 3 yr'!V43*'7. Success Allocation'!Z$5</f>
        <v>24238.952374678363</v>
      </c>
      <c r="AA43" s="45">
        <f>'7a. Success 3 yr'!W43*'7. Success Allocation'!AA$5</f>
        <v>49727.335284133966</v>
      </c>
      <c r="AB43" s="45">
        <f>'7a. Success 3 yr'!X43*'7. Success Allocation'!AB$5</f>
        <v>90896.071405043855</v>
      </c>
      <c r="AC43" s="45">
        <f>'7a. Success 3 yr'!Y43*'7. Success Allocation'!AC$5</f>
        <v>32360.250850730394</v>
      </c>
      <c r="AD43" s="45">
        <f t="shared" si="4"/>
        <v>353776.25592217414</v>
      </c>
      <c r="AF43" s="45">
        <f t="shared" si="5"/>
        <v>4169099.8084446783</v>
      </c>
    </row>
    <row r="44" spans="1:32" x14ac:dyDescent="0.25">
      <c r="A44" s="23" t="s">
        <v>77</v>
      </c>
      <c r="B44" s="45">
        <f>'7a. Success 3 yr'!B44*'7. Success Allocation'!B$5</f>
        <v>13993.621989505034</v>
      </c>
      <c r="C44" s="45">
        <f>'7a. Success 3 yr'!C44*'7. Success Allocation'!C$5</f>
        <v>139436.44768113946</v>
      </c>
      <c r="D44" s="45">
        <f>'7a. Success 3 yr'!D44*'7. Success Allocation'!D$5</f>
        <v>0</v>
      </c>
      <c r="E44" s="45">
        <f>'7a. Success 3 yr'!E44*'7. Success Allocation'!E$5</f>
        <v>27987.243979010069</v>
      </c>
      <c r="F44" s="45">
        <f>'7a. Success 3 yr'!F44*'7. Success Allocation'!F$5</f>
        <v>1999.0888556435764</v>
      </c>
      <c r="G44" s="45">
        <f>'7a. Success 3 yr'!G44*'7. Success Allocation'!G$5</f>
        <v>368831.89386623981</v>
      </c>
      <c r="H44" s="45">
        <f>'7a. Success 3 yr'!H44*'7. Success Allocation'!H$5</f>
        <v>33734.624438985353</v>
      </c>
      <c r="I44" s="45">
        <f>'7a. Success 3 yr'!I44*'7. Success Allocation'!I$5</f>
        <v>270876.53993970458</v>
      </c>
      <c r="J44" s="45">
        <f t="shared" si="2"/>
        <v>856859.46075022791</v>
      </c>
      <c r="K44" s="45"/>
      <c r="L44" s="45">
        <f>'7a. Success 3 yr'!J44*'7. Success Allocation'!L$5</f>
        <v>2248.9749625990235</v>
      </c>
      <c r="M44" s="45">
        <f>'7a. Success 3 yr'!K44*'7. Success Allocation'!M$5</f>
        <v>14618.337256893652</v>
      </c>
      <c r="N44" s="45">
        <f>'7a. Success 3 yr'!L44*'7. Success Allocation'!N$5</f>
        <v>0</v>
      </c>
      <c r="O44" s="45">
        <f>'7a. Success 3 yr'!M44*'7. Success Allocation'!O$5</f>
        <v>2623.8041230321937</v>
      </c>
      <c r="P44" s="45">
        <f>'7a. Success 3 yr'!N44*'7. Success Allocation'!P$5</f>
        <v>749.65832086634111</v>
      </c>
      <c r="Q44" s="45">
        <f>'7a. Success 3 yr'!O44*'7. Success Allocation'!Q$5</f>
        <v>15742.824738193163</v>
      </c>
      <c r="R44" s="45">
        <f>'7a. Success 3 yr'!P44*'7. Success Allocation'!R$5</f>
        <v>5060.1936658478025</v>
      </c>
      <c r="S44" s="45">
        <f>'7a. Success 3 yr'!Q44*'7. Success Allocation'!S$5</f>
        <v>8246.2415295297524</v>
      </c>
      <c r="T44" s="45">
        <f t="shared" si="3"/>
        <v>49290.03459696193</v>
      </c>
      <c r="U44" s="45"/>
      <c r="V44" s="45">
        <f>'7a. Success 3 yr'!R44*'7. Success Allocation'!V$5</f>
        <v>3498.4054973762586</v>
      </c>
      <c r="W44" s="45">
        <f>'7a. Success 3 yr'!S44*'7. Success Allocation'!W$5</f>
        <v>31860.478636819498</v>
      </c>
      <c r="X44" s="45">
        <f>'7a. Success 3 yr'!T44*'7. Success Allocation'!X$5</f>
        <v>0</v>
      </c>
      <c r="Y44" s="45">
        <f>'7a. Success 3 yr'!U44*'7. Success Allocation'!Y$5</f>
        <v>2498.8610695544703</v>
      </c>
      <c r="Z44" s="45">
        <f>'7a. Success 3 yr'!V44*'7. Success Allocation'!Z$5</f>
        <v>499.7722139108941</v>
      </c>
      <c r="AA44" s="45">
        <f>'7a. Success 3 yr'!W44*'7. Success Allocation'!AA$5</f>
        <v>53725.512995421115</v>
      </c>
      <c r="AB44" s="45">
        <f>'7a. Success 3 yr'!X44*'7. Success Allocation'!AB$5</f>
        <v>6372.0957273638996</v>
      </c>
      <c r="AC44" s="45">
        <f>'7a. Success 3 yr'!Y44*'7. Success Allocation'!AC$5</f>
        <v>18866.401075136251</v>
      </c>
      <c r="AD44" s="45">
        <f t="shared" si="4"/>
        <v>117321.52721558239</v>
      </c>
      <c r="AF44" s="45">
        <f t="shared" si="5"/>
        <v>1023471.0225627723</v>
      </c>
    </row>
    <row r="45" spans="1:32" x14ac:dyDescent="0.25">
      <c r="A45" s="23" t="s">
        <v>78</v>
      </c>
      <c r="B45" s="45">
        <f>'7a. Success 3 yr'!B45*'7. Success Allocation'!B$5</f>
        <v>835619.14165901497</v>
      </c>
      <c r="C45" s="45">
        <f>'7a. Success 3 yr'!C45*'7. Success Allocation'!C$5</f>
        <v>1539798.1910594646</v>
      </c>
      <c r="D45" s="45">
        <f>'7a. Success 3 yr'!D45*'7. Success Allocation'!D$5</f>
        <v>0</v>
      </c>
      <c r="E45" s="45">
        <f>'7a. Success 3 yr'!E45*'7. Success Allocation'!E$5</f>
        <v>478781.78092663654</v>
      </c>
      <c r="F45" s="45">
        <f>'7a. Success 3 yr'!F45*'7. Success Allocation'!F$5</f>
        <v>366832.80501059629</v>
      </c>
      <c r="G45" s="45">
        <f>'7a. Success 3 yr'!G45*'7. Success Allocation'!G$5</f>
        <v>1715218.2381421886</v>
      </c>
      <c r="H45" s="45">
        <f>'7a. Success 3 yr'!H45*'7. Success Allocation'!H$5</f>
        <v>1763196.3706776344</v>
      </c>
      <c r="I45" s="45">
        <f>'7a. Success 3 yr'!I45*'7. Success Allocation'!I$5</f>
        <v>1256927.1179858986</v>
      </c>
      <c r="J45" s="45">
        <f t="shared" si="2"/>
        <v>7956373.6454614336</v>
      </c>
      <c r="K45" s="45"/>
      <c r="L45" s="45">
        <f>'7a. Success 3 yr'!J45*'7. Success Allocation'!L$5</f>
        <v>128941.23118901066</v>
      </c>
      <c r="M45" s="45">
        <f>'7a. Success 3 yr'!K45*'7. Success Allocation'!M$5</f>
        <v>231644.42114769941</v>
      </c>
      <c r="N45" s="45">
        <f>'7a. Success 3 yr'!L45*'7. Success Allocation'!N$5</f>
        <v>0</v>
      </c>
      <c r="O45" s="45">
        <f>'7a. Success 3 yr'!M45*'7. Success Allocation'!O$5</f>
        <v>51726.42413977754</v>
      </c>
      <c r="P45" s="45">
        <f>'7a. Success 3 yr'!N45*'7. Success Allocation'!P$5</f>
        <v>46478.815893713152</v>
      </c>
      <c r="Q45" s="45">
        <f>'7a. Success 3 yr'!O45*'7. Success Allocation'!Q$5</f>
        <v>181979.55739030431</v>
      </c>
      <c r="R45" s="45">
        <f>'7a. Success 3 yr'!P45*'7. Success Allocation'!R$5</f>
        <v>196223.0654867648</v>
      </c>
      <c r="S45" s="45">
        <f>'7a. Success 3 yr'!Q45*'7. Success Allocation'!S$5</f>
        <v>78526.709110749231</v>
      </c>
      <c r="T45" s="45">
        <f t="shared" si="3"/>
        <v>915520.22435801907</v>
      </c>
      <c r="U45" s="45"/>
      <c r="V45" s="45">
        <f>'7a. Success 3 yr'!R45*'7. Success Allocation'!V$5</f>
        <v>133938.95332811962</v>
      </c>
      <c r="W45" s="45">
        <f>'7a. Success 3 yr'!S45*'7. Success Allocation'!W$5</f>
        <v>255258.65825498916</v>
      </c>
      <c r="X45" s="45">
        <f>'7a. Success 3 yr'!T45*'7. Success Allocation'!X$5</f>
        <v>0</v>
      </c>
      <c r="Y45" s="45">
        <f>'7a. Success 3 yr'!U45*'7. Success Allocation'!Y$5</f>
        <v>59722.779562351847</v>
      </c>
      <c r="Z45" s="45">
        <f>'7a. Success 3 yr'!V45*'7. Success Allocation'!Z$5</f>
        <v>48977.676963267622</v>
      </c>
      <c r="AA45" s="45">
        <f>'7a. Success 3 yr'!W45*'7. Success Allocation'!AA$5</f>
        <v>216776.19778385031</v>
      </c>
      <c r="AB45" s="45">
        <f>'7a. Success 3 yr'!X45*'7. Success Allocation'!AB$5</f>
        <v>242139.63763982817</v>
      </c>
      <c r="AC45" s="45">
        <f>'7a. Success 3 yr'!Y45*'7. Success Allocation'!AC$5</f>
        <v>127192.02844032255</v>
      </c>
      <c r="AD45" s="45">
        <f t="shared" si="4"/>
        <v>1084005.9319727293</v>
      </c>
      <c r="AF45" s="45">
        <f t="shared" si="5"/>
        <v>9955899.801792182</v>
      </c>
    </row>
    <row r="46" spans="1:32" x14ac:dyDescent="0.25">
      <c r="A46" s="23" t="s">
        <v>79</v>
      </c>
      <c r="B46" s="45">
        <f>'7a. Success 3 yr'!B46*'7. Success Allocation'!B$5</f>
        <v>2284958.5620006076</v>
      </c>
      <c r="C46" s="45">
        <f>'7a. Success 3 yr'!C46*'7. Success Allocation'!C$5</f>
        <v>1883141.7020162488</v>
      </c>
      <c r="D46" s="45">
        <f>'7a. Success 3 yr'!D46*'7. Success Allocation'!D$5</f>
        <v>0</v>
      </c>
      <c r="E46" s="45">
        <f>'7a. Success 3 yr'!E46*'7. Success Allocation'!E$5</f>
        <v>234892.94053812022</v>
      </c>
      <c r="F46" s="45">
        <f>'7a. Success 3 yr'!F46*'7. Success Allocation'!F$5</f>
        <v>859608.20792673784</v>
      </c>
      <c r="G46" s="45">
        <f>'7a. Success 3 yr'!G46*'7. Success Allocation'!G$5</f>
        <v>1545295.6854124845</v>
      </c>
      <c r="H46" s="45">
        <f>'7a. Success 3 yr'!H46*'7. Success Allocation'!H$5</f>
        <v>2359174.7357663754</v>
      </c>
      <c r="I46" s="45">
        <f>'7a. Success 3 yr'!I46*'7. Success Allocation'!I$5</f>
        <v>1171965.8416210467</v>
      </c>
      <c r="J46" s="45">
        <f t="shared" si="2"/>
        <v>10339037.675281622</v>
      </c>
      <c r="K46" s="45"/>
      <c r="L46" s="45">
        <f>'7a. Success 3 yr'!J46*'7. Success Allocation'!L$5</f>
        <v>517264.24139777536</v>
      </c>
      <c r="M46" s="45">
        <f>'7a. Success 3 yr'!K46*'7. Success Allocation'!M$5</f>
        <v>339032.97561180277</v>
      </c>
      <c r="N46" s="45">
        <f>'7a. Success 3 yr'!L46*'7. Success Allocation'!N$5</f>
        <v>0</v>
      </c>
      <c r="O46" s="45">
        <f>'7a. Success 3 yr'!M46*'7. Success Allocation'!O$5</f>
        <v>38607.403524616566</v>
      </c>
      <c r="P46" s="45">
        <f>'7a. Success 3 yr'!N46*'7. Success Allocation'!P$5</f>
        <v>134938.49775594141</v>
      </c>
      <c r="Q46" s="45">
        <f>'7a. Success 3 yr'!O46*'7. Success Allocation'!Q$5</f>
        <v>261630.75398235305</v>
      </c>
      <c r="R46" s="45">
        <f>'7a. Success 3 yr'!P46*'7. Success Allocation'!R$5</f>
        <v>464413.32977669832</v>
      </c>
      <c r="S46" s="45">
        <f>'7a. Success 3 yr'!Q46*'7. Success Allocation'!S$5</f>
        <v>121632.06256056385</v>
      </c>
      <c r="T46" s="45">
        <f t="shared" si="3"/>
        <v>1877519.2646097513</v>
      </c>
      <c r="U46" s="45"/>
      <c r="V46" s="45">
        <f>'7a. Success 3 yr'!R46*'7. Success Allocation'!V$5</f>
        <v>448795.44809198292</v>
      </c>
      <c r="W46" s="45">
        <f>'7a. Success 3 yr'!S46*'7. Success Allocation'!W$5</f>
        <v>323102.73629339301</v>
      </c>
      <c r="X46" s="45">
        <f>'7a. Success 3 yr'!T46*'7. Success Allocation'!X$5</f>
        <v>0</v>
      </c>
      <c r="Y46" s="45">
        <f>'7a. Success 3 yr'!U46*'7. Success Allocation'!Y$5</f>
        <v>42980.410396336891</v>
      </c>
      <c r="Z46" s="45">
        <f>'7a. Success 3 yr'!V46*'7. Success Allocation'!Z$5</f>
        <v>125192.93958467897</v>
      </c>
      <c r="AA46" s="45">
        <f>'7a. Success 3 yr'!W46*'7. Success Allocation'!AA$5</f>
        <v>267503.07749580604</v>
      </c>
      <c r="AB46" s="45">
        <f>'7a. Success 3 yr'!X46*'7. Success Allocation'!AB$5</f>
        <v>423369.53670926613</v>
      </c>
      <c r="AC46" s="45">
        <f>'7a. Success 3 yr'!Y46*'7. Success Allocation'!AC$5</f>
        <v>155304.21547281035</v>
      </c>
      <c r="AD46" s="45">
        <f t="shared" si="4"/>
        <v>1786248.3640442747</v>
      </c>
      <c r="AF46" s="45">
        <f t="shared" si="5"/>
        <v>14002805.303935647</v>
      </c>
    </row>
    <row r="47" spans="1:32" x14ac:dyDescent="0.25">
      <c r="A47" s="23" t="s">
        <v>80</v>
      </c>
      <c r="B47" s="45">
        <f>'7a. Success 3 yr'!B47*'7. Success Allocation'!B$5</f>
        <v>1035528.0272233726</v>
      </c>
      <c r="C47" s="45">
        <f>'7a. Success 3 yr'!C47*'7. Success Allocation'!C$5</f>
        <v>1301406.8450239683</v>
      </c>
      <c r="D47" s="45">
        <f>'7a. Success 3 yr'!D47*'7. Success Allocation'!D$5</f>
        <v>0</v>
      </c>
      <c r="E47" s="45">
        <f>'7a. Success 3 yr'!E47*'7. Success Allocation'!E$5</f>
        <v>337846.01660376438</v>
      </c>
      <c r="F47" s="45">
        <f>'7a. Success 3 yr'!F47*'7. Success Allocation'!F$5</f>
        <v>240890.20710505094</v>
      </c>
      <c r="G47" s="45">
        <f>'7a. Success 3 yr'!G47*'7. Success Allocation'!G$5</f>
        <v>1378371.7659662459</v>
      </c>
      <c r="H47" s="45">
        <f>'7a. Success 3 yr'!H47*'7. Success Allocation'!H$5</f>
        <v>1674736.6888154061</v>
      </c>
      <c r="I47" s="45">
        <f>'7a. Success 3 yr'!I47*'7. Success Allocation'!I$5</f>
        <v>1356881.5607680774</v>
      </c>
      <c r="J47" s="45">
        <f t="shared" si="2"/>
        <v>7325661.1115058847</v>
      </c>
      <c r="K47" s="45"/>
      <c r="L47" s="45">
        <f>'7a. Success 3 yr'!J47*'7. Success Allocation'!L$5</f>
        <v>226396.81290163501</v>
      </c>
      <c r="M47" s="45">
        <f>'7a. Success 3 yr'!K47*'7. Success Allocation'!M$5</f>
        <v>276623.92039967986</v>
      </c>
      <c r="N47" s="45">
        <f>'7a. Success 3 yr'!L47*'7. Success Allocation'!N$5</f>
        <v>0</v>
      </c>
      <c r="O47" s="45">
        <f>'7a. Success 3 yr'!M47*'7. Success Allocation'!O$5</f>
        <v>63346.128113205821</v>
      </c>
      <c r="P47" s="45">
        <f>'7a. Success 3 yr'!N47*'7. Success Allocation'!P$5</f>
        <v>35983.599401584375</v>
      </c>
      <c r="Q47" s="45">
        <f>'7a. Success 3 yr'!O47*'7. Success Allocation'!Q$5</f>
        <v>233518.56694986526</v>
      </c>
      <c r="R47" s="45">
        <f>'7a. Success 3 yr'!P47*'7. Success Allocation'!R$5</f>
        <v>250479.58645946623</v>
      </c>
      <c r="S47" s="45">
        <f>'7a. Success 3 yr'!Q47*'7. Success Allocation'!S$5</f>
        <v>112823.57729038433</v>
      </c>
      <c r="T47" s="45">
        <f t="shared" si="3"/>
        <v>1199172.1915158208</v>
      </c>
      <c r="U47" s="45"/>
      <c r="V47" s="45">
        <f>'7a. Success 3 yr'!R47*'7. Success Allocation'!V$5</f>
        <v>196410.48006698137</v>
      </c>
      <c r="W47" s="45">
        <f>'7a. Success 3 yr'!S47*'7. Success Allocation'!W$5</f>
        <v>238016.5168750633</v>
      </c>
      <c r="X47" s="45">
        <f>'7a. Success 3 yr'!T47*'7. Success Allocation'!X$5</f>
        <v>0</v>
      </c>
      <c r="Y47" s="45">
        <f>'7a. Success 3 yr'!U47*'7. Success Allocation'!Y$5</f>
        <v>60222.551776262735</v>
      </c>
      <c r="Z47" s="45">
        <f>'7a. Success 3 yr'!V47*'7. Success Allocation'!Z$5</f>
        <v>30735.991155519987</v>
      </c>
      <c r="AA47" s="45">
        <f>'7a. Success 3 yr'!W47*'7. Success Allocation'!AA$5</f>
        <v>228520.84481075633</v>
      </c>
      <c r="AB47" s="45">
        <f>'7a. Success 3 yr'!X47*'7. Success Allocation'!AB$5</f>
        <v>246450.17298480964</v>
      </c>
      <c r="AC47" s="45">
        <f>'7a. Success 3 yr'!Y47*'7. Success Allocation'!AC$5</f>
        <v>142310.13791112709</v>
      </c>
      <c r="AD47" s="45">
        <f t="shared" si="4"/>
        <v>1142666.6955805207</v>
      </c>
      <c r="AF47" s="45">
        <f t="shared" si="5"/>
        <v>9667499.9986022264</v>
      </c>
    </row>
    <row r="48" spans="1:32" x14ac:dyDescent="0.25">
      <c r="A48" s="23" t="s">
        <v>81</v>
      </c>
      <c r="B48" s="45">
        <f>'7a. Success 3 yr'!B48*'7. Success Allocation'!B$5</f>
        <v>2250974.051454667</v>
      </c>
      <c r="C48" s="45">
        <f>'7a. Success 3 yr'!C48*'7. Success Allocation'!C$5</f>
        <v>2174009.1305123894</v>
      </c>
      <c r="D48" s="45">
        <f>'7a. Success 3 yr'!D48*'7. Success Allocation'!D$5</f>
        <v>0</v>
      </c>
      <c r="E48" s="45">
        <f>'7a. Success 3 yr'!E48*'7. Success Allocation'!E$5</f>
        <v>340844.64988722978</v>
      </c>
      <c r="F48" s="45">
        <f>'7a. Success 3 yr'!F48*'7. Success Allocation'!F$5</f>
        <v>746659.68758287583</v>
      </c>
      <c r="G48" s="45">
        <f>'7a. Success 3 yr'!G48*'7. Success Allocation'!G$5</f>
        <v>1952610.0397498633</v>
      </c>
      <c r="H48" s="45">
        <f>'7a. Success 3 yr'!H48*'7. Success Allocation'!H$5</f>
        <v>1810424.8448922138</v>
      </c>
      <c r="I48" s="45">
        <f>'7a. Success 3 yr'!I48*'7. Success Allocation'!I$5</f>
        <v>3394952.6490967036</v>
      </c>
      <c r="J48" s="45">
        <f t="shared" si="2"/>
        <v>12670475.053175941</v>
      </c>
      <c r="K48" s="45"/>
      <c r="L48" s="45">
        <f>'7a. Success 3 yr'!J48*'7. Success Allocation'!L$5</f>
        <v>401816.85998435883</v>
      </c>
      <c r="M48" s="45">
        <f>'7a. Success 3 yr'!K48*'7. Success Allocation'!M$5</f>
        <v>352526.82538739691</v>
      </c>
      <c r="N48" s="45">
        <f>'7a. Success 3 yr'!L48*'7. Success Allocation'!N$5</f>
        <v>0</v>
      </c>
      <c r="O48" s="45">
        <f>'7a. Success 3 yr'!M48*'7. Success Allocation'!O$5</f>
        <v>49477.449177178511</v>
      </c>
      <c r="P48" s="45">
        <f>'7a. Success 3 yr'!N48*'7. Success Allocation'!P$5</f>
        <v>106826.31072345361</v>
      </c>
      <c r="Q48" s="45">
        <f>'7a. Success 3 yr'!O48*'7. Success Allocation'!Q$5</f>
        <v>200158.77167131306</v>
      </c>
      <c r="R48" s="45">
        <f>'7a. Success 3 yr'!P48*'7. Success Allocation'!R$5</f>
        <v>258069.87695823793</v>
      </c>
      <c r="S48" s="45">
        <f>'7a. Success 3 yr'!Q48*'7. Success Allocation'!S$5</f>
        <v>83212.073616163863</v>
      </c>
      <c r="T48" s="45">
        <f t="shared" si="3"/>
        <v>1452088.1675181028</v>
      </c>
      <c r="U48" s="45"/>
      <c r="V48" s="45">
        <f>'7a. Success 3 yr'!R48*'7. Success Allocation'!V$5</f>
        <v>399817.77112871525</v>
      </c>
      <c r="W48" s="45">
        <f>'7a. Success 3 yr'!S48*'7. Success Allocation'!W$5</f>
        <v>398068.56838002714</v>
      </c>
      <c r="X48" s="45">
        <f>'7a. Success 3 yr'!T48*'7. Success Allocation'!X$5</f>
        <v>0</v>
      </c>
      <c r="Y48" s="45">
        <f>'7a. Success 3 yr'!U48*'7. Success Allocation'!Y$5</f>
        <v>60472.437883218183</v>
      </c>
      <c r="Z48" s="45">
        <f>'7a. Success 3 yr'!V48*'7. Success Allocation'!Z$5</f>
        <v>111449.20370212938</v>
      </c>
      <c r="AA48" s="45">
        <f>'7a. Success 3 yr'!W48*'7. Success Allocation'!AA$5</f>
        <v>269502.16635144962</v>
      </c>
      <c r="AB48" s="45">
        <f>'7a. Success 3 yr'!X48*'7. Success Allocation'!AB$5</f>
        <v>285807.23483029252</v>
      </c>
      <c r="AC48" s="45">
        <f>'7a. Success 3 yr'!Y48*'7. Success Allocation'!AC$5</f>
        <v>166923.91944623864</v>
      </c>
      <c r="AD48" s="45">
        <f t="shared" si="4"/>
        <v>1692041.3017220704</v>
      </c>
      <c r="AF48" s="45">
        <f t="shared" si="5"/>
        <v>15814604.522416115</v>
      </c>
    </row>
    <row r="49" spans="1:32" x14ac:dyDescent="0.25">
      <c r="A49" s="23" t="s">
        <v>82</v>
      </c>
      <c r="B49" s="45">
        <f>'7a. Success 3 yr'!B49*'7. Success Allocation'!B$5</f>
        <v>143934.3976063375</v>
      </c>
      <c r="C49" s="45">
        <f>'7a. Success 3 yr'!C49*'7. Success Allocation'!C$5</f>
        <v>508268.34154737927</v>
      </c>
      <c r="D49" s="45">
        <f>'7a. Success 3 yr'!D49*'7. Success Allocation'!D$5</f>
        <v>0</v>
      </c>
      <c r="E49" s="45">
        <f>'7a. Success 3 yr'!E49*'7. Success Allocation'!E$5</f>
        <v>87959.909648317363</v>
      </c>
      <c r="F49" s="45">
        <f>'7a. Success 3 yr'!F49*'7. Success Allocation'!F$5</f>
        <v>53975.399102376563</v>
      </c>
      <c r="G49" s="45">
        <f>'7a. Success 3 yr'!G49*'7. Success Allocation'!G$5</f>
        <v>368332.12165232893</v>
      </c>
      <c r="H49" s="45">
        <f>'7a. Success 3 yr'!H49*'7. Success Allocation'!H$5</f>
        <v>357587.01905324473</v>
      </c>
      <c r="I49" s="45">
        <f>'7a. Success 3 yr'!I49*'7. Success Allocation'!I$5</f>
        <v>455792.25908673543</v>
      </c>
      <c r="J49" s="45">
        <f t="shared" si="2"/>
        <v>1975849.4476967198</v>
      </c>
      <c r="K49" s="45"/>
      <c r="L49" s="45">
        <f>'7a. Success 3 yr'!J49*'7. Success Allocation'!L$5</f>
        <v>35983.599401584375</v>
      </c>
      <c r="M49" s="45">
        <f>'7a. Success 3 yr'!K49*'7. Success Allocation'!M$5</f>
        <v>125942.59790554532</v>
      </c>
      <c r="N49" s="45">
        <f>'7a. Success 3 yr'!L49*'7. Success Allocation'!N$5</f>
        <v>0</v>
      </c>
      <c r="O49" s="45">
        <f>'7a. Success 3 yr'!M49*'7. Success Allocation'!O$5</f>
        <v>13493.849775594141</v>
      </c>
      <c r="P49" s="45">
        <f>'7a. Success 3 yr'!N49*'7. Success Allocation'!P$5</f>
        <v>9745.5581712624353</v>
      </c>
      <c r="Q49" s="45">
        <f>'7a. Success 3 yr'!O49*'7. Success Allocation'!Q$5</f>
        <v>76090.31956793362</v>
      </c>
      <c r="R49" s="45">
        <f>'7a. Success 3 yr'!P49*'7. Success Allocation'!R$5</f>
        <v>66907.005137320943</v>
      </c>
      <c r="S49" s="45">
        <f>'7a. Success 3 yr'!Q49*'7. Success Allocation'!S$5</f>
        <v>65782.517656021431</v>
      </c>
      <c r="T49" s="45">
        <f t="shared" si="3"/>
        <v>393945.44761526224</v>
      </c>
      <c r="U49" s="45"/>
      <c r="V49" s="45">
        <f>'7a. Success 3 yr'!R49*'7. Success Allocation'!V$5</f>
        <v>29486.560620742752</v>
      </c>
      <c r="W49" s="45">
        <f>'7a. Success 3 yr'!S49*'7. Success Allocation'!W$5</f>
        <v>103452.84827955508</v>
      </c>
      <c r="X49" s="45">
        <f>'7a. Success 3 yr'!T49*'7. Success Allocation'!X$5</f>
        <v>0</v>
      </c>
      <c r="Y49" s="45">
        <f>'7a. Success 3 yr'!U49*'7. Success Allocation'!Y$5</f>
        <v>11744.647026906012</v>
      </c>
      <c r="Z49" s="45">
        <f>'7a. Success 3 yr'!V49*'7. Success Allocation'!Z$5</f>
        <v>8995.8998503960938</v>
      </c>
      <c r="AA49" s="45">
        <f>'7a. Success 3 yr'!W49*'7. Success Allocation'!AA$5</f>
        <v>67969.021091881601</v>
      </c>
      <c r="AB49" s="45">
        <f>'7a. Success 3 yr'!X49*'7. Success Allocation'!AB$5</f>
        <v>62221.64063190631</v>
      </c>
      <c r="AC49" s="45">
        <f>'7a. Success 3 yr'!Y49*'7. Success Allocation'!AC$5</f>
        <v>66469.704450148914</v>
      </c>
      <c r="AD49" s="45">
        <f t="shared" si="4"/>
        <v>350340.32195153675</v>
      </c>
      <c r="AF49" s="45">
        <f t="shared" si="5"/>
        <v>2720135.2172635188</v>
      </c>
    </row>
    <row r="50" spans="1:32" x14ac:dyDescent="0.25">
      <c r="A50" s="23" t="s">
        <v>83</v>
      </c>
      <c r="B50" s="45">
        <f>'7a. Success 3 yr'!B50*'7. Success Allocation'!B$5</f>
        <v>1105496.1371708978</v>
      </c>
      <c r="C50" s="45">
        <f>'7a. Success 3 yr'!C50*'7. Success Allocation'!C$5</f>
        <v>893592.71847267856</v>
      </c>
      <c r="D50" s="45">
        <f>'7a. Success 3 yr'!D50*'7. Success Allocation'!D$5</f>
        <v>0</v>
      </c>
      <c r="E50" s="45">
        <f>'7a. Success 3 yr'!E50*'7. Success Allocation'!E$5</f>
        <v>373829.6160053488</v>
      </c>
      <c r="F50" s="45">
        <f>'7a. Success 3 yr'!F50*'7. Success Allocation'!F$5</f>
        <v>214902.05198168446</v>
      </c>
      <c r="G50" s="45">
        <f>'7a. Success 3 yr'!G50*'7. Success Allocation'!G$5</f>
        <v>985550.80583228311</v>
      </c>
      <c r="H50" s="45">
        <f>'7a. Success 3 yr'!H50*'7. Success Allocation'!H$5</f>
        <v>835119.36944510404</v>
      </c>
      <c r="I50" s="45">
        <f>'7a. Success 3 yr'!I50*'7. Success Allocation'!I$5</f>
        <v>1522306.1635725833</v>
      </c>
      <c r="J50" s="45">
        <f t="shared" si="2"/>
        <v>5930796.8624805799</v>
      </c>
      <c r="K50" s="45"/>
      <c r="L50" s="45">
        <f>'7a. Success 3 yr'!J50*'7. Success Allocation'!L$5</f>
        <v>281121.87032487791</v>
      </c>
      <c r="M50" s="45">
        <f>'7a. Success 3 yr'!K50*'7. Success Allocation'!M$5</f>
        <v>206905.69655911016</v>
      </c>
      <c r="N50" s="45">
        <f>'7a. Success 3 yr'!L50*'7. Success Allocation'!N$5</f>
        <v>0</v>
      </c>
      <c r="O50" s="45">
        <f>'7a. Success 3 yr'!M50*'7. Success Allocation'!O$5</f>
        <v>79463.782011832154</v>
      </c>
      <c r="P50" s="45">
        <f>'7a. Success 3 yr'!N50*'7. Success Allocation'!P$5</f>
        <v>45729.157572846809</v>
      </c>
      <c r="Q50" s="45">
        <f>'7a. Success 3 yr'!O50*'7. Success Allocation'!Q$5</f>
        <v>190975.4572407004</v>
      </c>
      <c r="R50" s="45">
        <f>'7a. Success 3 yr'!P50*'7. Success Allocation'!R$5</f>
        <v>172889.95024979993</v>
      </c>
      <c r="S50" s="45">
        <f>'7a. Success 3 yr'!Q50*'7. Success Allocation'!S$5</f>
        <v>116384.45431449945</v>
      </c>
      <c r="T50" s="45">
        <f t="shared" si="3"/>
        <v>1093470.3682736668</v>
      </c>
      <c r="U50" s="45"/>
      <c r="V50" s="45">
        <f>'7a. Success 3 yr'!R50*'7. Success Allocation'!V$5</f>
        <v>242389.52374678364</v>
      </c>
      <c r="W50" s="45">
        <f>'7a. Success 3 yr'!S50*'7. Success Allocation'!W$5</f>
        <v>188913.89685831795</v>
      </c>
      <c r="X50" s="45">
        <f>'7a. Success 3 yr'!T50*'7. Success Allocation'!X$5</f>
        <v>0</v>
      </c>
      <c r="Y50" s="45">
        <f>'7a. Success 3 yr'!U50*'7. Success Allocation'!Y$5</f>
        <v>72716.857124035087</v>
      </c>
      <c r="Z50" s="45">
        <f>'7a. Success 3 yr'!V50*'7. Success Allocation'!Z$5</f>
        <v>44729.613145025025</v>
      </c>
      <c r="AA50" s="45">
        <f>'7a. Success 3 yr'!W50*'7. Success Allocation'!AA$5</f>
        <v>182291.91502399862</v>
      </c>
      <c r="AB50" s="45">
        <f>'7a. Success 3 yr'!X50*'7. Success Allocation'!AB$5</f>
        <v>154991.85783911601</v>
      </c>
      <c r="AC50" s="45">
        <f>'7a. Success 3 yr'!Y50*'7. Success Allocation'!AC$5</f>
        <v>131065.26309813198</v>
      </c>
      <c r="AD50" s="45">
        <f t="shared" si="4"/>
        <v>1017098.9268354083</v>
      </c>
      <c r="AF50" s="45">
        <f t="shared" si="5"/>
        <v>8041366.1575896554</v>
      </c>
    </row>
    <row r="51" spans="1:32" x14ac:dyDescent="0.25">
      <c r="A51" s="23" t="s">
        <v>84</v>
      </c>
      <c r="B51" s="45">
        <f>'7a. Success 3 yr'!B51*'7. Success Allocation'!B$5</f>
        <v>1697226.4384413965</v>
      </c>
      <c r="C51" s="45">
        <f>'7a. Success 3 yr'!C51*'7. Success Allocation'!C$5</f>
        <v>3559377.7074733875</v>
      </c>
      <c r="D51" s="45">
        <f>'7a. Success 3 yr'!D51*'7. Success Allocation'!D$5</f>
        <v>0</v>
      </c>
      <c r="E51" s="45">
        <f>'7a. Success 3 yr'!E51*'7. Success Allocation'!E$5</f>
        <v>482779.9586379237</v>
      </c>
      <c r="F51" s="45">
        <f>'7a. Success 3 yr'!F51*'7. Success Allocation'!F$5</f>
        <v>822625.06409733172</v>
      </c>
      <c r="G51" s="45">
        <f>'7a. Success 3 yr'!G51*'7. Success Allocation'!G$5</f>
        <v>2142023.708822092</v>
      </c>
      <c r="H51" s="45">
        <f>'7a. Success 3 yr'!H51*'7. Success Allocation'!H$5</f>
        <v>2085549.448650161</v>
      </c>
      <c r="I51" s="45">
        <f>'7a. Success 3 yr'!I51*'7. Success Allocation'!I$5</f>
        <v>2570328.4961437285</v>
      </c>
      <c r="J51" s="45">
        <f t="shared" si="2"/>
        <v>13359910.822266022</v>
      </c>
      <c r="K51" s="45"/>
      <c r="L51" s="45">
        <f>'7a. Success 3 yr'!J51*'7. Success Allocation'!L$5</f>
        <v>385324.37692529935</v>
      </c>
      <c r="M51" s="45">
        <f>'7a. Success 3 yr'!K51*'7. Success Allocation'!M$5</f>
        <v>817502.398904745</v>
      </c>
      <c r="N51" s="45">
        <f>'7a. Success 3 yr'!L51*'7. Success Allocation'!N$5</f>
        <v>0</v>
      </c>
      <c r="O51" s="45">
        <f>'7a. Success 3 yr'!M51*'7. Success Allocation'!O$5</f>
        <v>91458.315145693618</v>
      </c>
      <c r="P51" s="45">
        <f>'7a. Success 3 yr'!N51*'7. Success Allocation'!P$5</f>
        <v>143934.3976063375</v>
      </c>
      <c r="Q51" s="45">
        <f>'7a. Success 3 yr'!O51*'7. Success Allocation'!Q$5</f>
        <v>430866.11991792958</v>
      </c>
      <c r="R51" s="45">
        <f>'7a. Success 3 yr'!P51*'7. Success Allocation'!R$5</f>
        <v>396662.95902840275</v>
      </c>
      <c r="S51" s="45">
        <f>'7a. Success 3 yr'!Q51*'7. Success Allocation'!S$5</f>
        <v>363022.0418795257</v>
      </c>
      <c r="T51" s="45">
        <f t="shared" si="3"/>
        <v>2628770.6094079339</v>
      </c>
      <c r="U51" s="45"/>
      <c r="V51" s="45">
        <f>'7a. Success 3 yr'!R51*'7. Success Allocation'!V$5</f>
        <v>347341.68866807141</v>
      </c>
      <c r="W51" s="45">
        <f>'7a. Success 3 yr'!S51*'7. Success Allocation'!W$5</f>
        <v>732791.0086468485</v>
      </c>
      <c r="X51" s="45">
        <f>'7a. Success 3 yr'!T51*'7. Success Allocation'!X$5</f>
        <v>0</v>
      </c>
      <c r="Y51" s="45">
        <f>'7a. Success 3 yr'!U51*'7. Success Allocation'!Y$5</f>
        <v>84211.618043985654</v>
      </c>
      <c r="Z51" s="45">
        <f>'7a. Success 3 yr'!V51*'7. Success Allocation'!Z$5</f>
        <v>138436.90325331767</v>
      </c>
      <c r="AA51" s="45">
        <f>'7a. Success 3 yr'!W51*'7. Success Allocation'!AA$5</f>
        <v>407564.24044433411</v>
      </c>
      <c r="AB51" s="45">
        <f>'7a. Success 3 yr'!X51*'7. Success Allocation'!AB$5</f>
        <v>383262.81654291687</v>
      </c>
      <c r="AC51" s="45">
        <f>'7a. Success 3 yr'!Y51*'7. Success Allocation'!AC$5</f>
        <v>408188.95571172272</v>
      </c>
      <c r="AD51" s="45">
        <f t="shared" si="4"/>
        <v>2501797.2313111969</v>
      </c>
      <c r="AF51" s="45">
        <f t="shared" si="5"/>
        <v>18490478.662985153</v>
      </c>
    </row>
    <row r="52" spans="1:32" x14ac:dyDescent="0.25">
      <c r="A52" s="23" t="s">
        <v>85</v>
      </c>
      <c r="B52" s="45">
        <f>'7a. Success 3 yr'!B52*'7. Success Allocation'!B$5</f>
        <v>1023533.4940895111</v>
      </c>
      <c r="C52" s="45">
        <f>'7a. Success 3 yr'!C52*'7. Success Allocation'!C$5</f>
        <v>1188958.096894017</v>
      </c>
      <c r="D52" s="45">
        <f>'7a. Success 3 yr'!D52*'7. Success Allocation'!D$5</f>
        <v>0</v>
      </c>
      <c r="E52" s="45">
        <f>'7a. Success 3 yr'!E52*'7. Success Allocation'!E$5</f>
        <v>222898.40740425876</v>
      </c>
      <c r="F52" s="45">
        <f>'7a. Success 3 yr'!F52*'7. Success Allocation'!F$5</f>
        <v>244888.3848163381</v>
      </c>
      <c r="G52" s="45">
        <f>'7a. Success 3 yr'!G52*'7. Success Allocation'!G$5</f>
        <v>1294909.8062431265</v>
      </c>
      <c r="H52" s="45">
        <f>'7a. Success 3 yr'!H52*'7. Success Allocation'!H$5</f>
        <v>1116990.8980908482</v>
      </c>
      <c r="I52" s="45">
        <f>'7a. Success 3 yr'!I52*'7. Success Allocation'!I$5</f>
        <v>1475827.3476788702</v>
      </c>
      <c r="J52" s="45">
        <f t="shared" si="2"/>
        <v>6568006.4352169707</v>
      </c>
      <c r="K52" s="45"/>
      <c r="L52" s="45">
        <f>'7a. Success 3 yr'!J52*'7. Success Allocation'!L$5</f>
        <v>246637.58756502622</v>
      </c>
      <c r="M52" s="45">
        <f>'7a. Success 3 yr'!K52*'7. Success Allocation'!M$5</f>
        <v>267065.77680863405</v>
      </c>
      <c r="N52" s="45">
        <f>'7a. Success 3 yr'!L52*'7. Success Allocation'!N$5</f>
        <v>0</v>
      </c>
      <c r="O52" s="45">
        <f>'7a. Success 3 yr'!M52*'7. Success Allocation'!O$5</f>
        <v>41231.207647648764</v>
      </c>
      <c r="P52" s="45">
        <f>'7a. Success 3 yr'!N52*'7. Success Allocation'!P$5</f>
        <v>35608.7702411512</v>
      </c>
      <c r="Q52" s="45">
        <f>'7a. Success 3 yr'!O52*'7. Success Allocation'!Q$5</f>
        <v>211216.2319040916</v>
      </c>
      <c r="R52" s="45">
        <f>'7a. Success 3 yr'!P52*'7. Success Allocation'!R$5</f>
        <v>198472.04044936382</v>
      </c>
      <c r="S52" s="45">
        <f>'7a. Success 3 yr'!Q52*'7. Success Allocation'!S$5</f>
        <v>195660.82174611502</v>
      </c>
      <c r="T52" s="45">
        <f t="shared" si="3"/>
        <v>1195892.4363620309</v>
      </c>
      <c r="U52" s="45"/>
      <c r="V52" s="45">
        <f>'7a. Success 3 yr'!R52*'7. Success Allocation'!V$5</f>
        <v>222898.40740425876</v>
      </c>
      <c r="W52" s="45">
        <f>'7a. Success 3 yr'!S52*'7. Success Allocation'!W$5</f>
        <v>255633.48741542231</v>
      </c>
      <c r="X52" s="45">
        <f>'7a. Success 3 yr'!T52*'7. Success Allocation'!X$5</f>
        <v>0</v>
      </c>
      <c r="Y52" s="45">
        <f>'7a. Success 3 yr'!U52*'7. Success Allocation'!Y$5</f>
        <v>44729.613145025025</v>
      </c>
      <c r="Z52" s="45">
        <f>'7a. Success 3 yr'!V52*'7. Success Allocation'!Z$5</f>
        <v>35733.713294628928</v>
      </c>
      <c r="AA52" s="45">
        <f>'7a. Success 3 yr'!W52*'7. Success Allocation'!AA$5</f>
        <v>226021.98374120187</v>
      </c>
      <c r="AB52" s="45">
        <f>'7a. Success 3 yr'!X52*'7. Success Allocation'!AB$5</f>
        <v>206530.86739867699</v>
      </c>
      <c r="AC52" s="45">
        <f>'7a. Success 3 yr'!Y52*'7. Success Allocation'!AC$5</f>
        <v>245762.98619068216</v>
      </c>
      <c r="AD52" s="45">
        <f t="shared" si="4"/>
        <v>1237311.0585898962</v>
      </c>
      <c r="AF52" s="45">
        <f t="shared" si="5"/>
        <v>9001209.9301688969</v>
      </c>
    </row>
    <row r="53" spans="1:32" x14ac:dyDescent="0.25">
      <c r="A53" s="23" t="s">
        <v>86</v>
      </c>
      <c r="B53" s="45">
        <f>'7a. Success 3 yr'!B53*'7. Success Allocation'!B$5</f>
        <v>2832708.9084469476</v>
      </c>
      <c r="C53" s="45">
        <f>'7a. Success 3 yr'!C53*'7. Success Allocation'!C$5</f>
        <v>2580323.9404219463</v>
      </c>
      <c r="D53" s="45">
        <f>'7a. Success 3 yr'!D53*'7. Success Allocation'!D$5</f>
        <v>14993.166417326822</v>
      </c>
      <c r="E53" s="45">
        <f>'7a. Success 3 yr'!E53*'7. Success Allocation'!E$5</f>
        <v>527759.45788990415</v>
      </c>
      <c r="F53" s="45">
        <f>'7a. Success 3 yr'!F53*'7. Success Allocation'!F$5</f>
        <v>825623.69738079701</v>
      </c>
      <c r="G53" s="45">
        <f>'7a. Success 3 yr'!G53*'7. Success Allocation'!G$5</f>
        <v>3022622.3497330877</v>
      </c>
      <c r="H53" s="45">
        <f>'7a. Success 3 yr'!H53*'7. Success Allocation'!H$5</f>
        <v>3540636.249451729</v>
      </c>
      <c r="I53" s="45">
        <f>'7a. Success 3 yr'!I53*'7. Success Allocation'!I$5</f>
        <v>4664873.8446442857</v>
      </c>
      <c r="J53" s="45">
        <f t="shared" si="2"/>
        <v>18009541.614386022</v>
      </c>
      <c r="K53" s="45"/>
      <c r="L53" s="45">
        <f>'7a. Success 3 yr'!J53*'7. Success Allocation'!L$5</f>
        <v>544251.94094896363</v>
      </c>
      <c r="M53" s="45">
        <f>'7a. Success 3 yr'!K53*'7. Success Allocation'!M$5</f>
        <v>530758.09117336955</v>
      </c>
      <c r="N53" s="45">
        <f>'7a. Success 3 yr'!L53*'7. Success Allocation'!N$5</f>
        <v>3373.4624438985352</v>
      </c>
      <c r="O53" s="45">
        <f>'7a. Success 3 yr'!M53*'7. Success Allocation'!O$5</f>
        <v>99704.556675223372</v>
      </c>
      <c r="P53" s="45">
        <f>'7a. Success 3 yr'!N53*'7. Success Allocation'!P$5</f>
        <v>113948.06477168384</v>
      </c>
      <c r="Q53" s="45">
        <f>'7a. Success 3 yr'!O53*'7. Success Allocation'!Q$5</f>
        <v>478469.42329294223</v>
      </c>
      <c r="R53" s="45">
        <f>'7a. Success 3 yr'!P53*'7. Success Allocation'!R$5</f>
        <v>528227.99434044561</v>
      </c>
      <c r="S53" s="45">
        <f>'7a. Success 3 yr'!Q53*'7. Success Allocation'!S$5</f>
        <v>259006.94985932086</v>
      </c>
      <c r="T53" s="45">
        <f t="shared" si="3"/>
        <v>2557740.4835058474</v>
      </c>
      <c r="U53" s="45"/>
      <c r="V53" s="45">
        <f>'7a. Success 3 yr'!R53*'7. Success Allocation'!V$5</f>
        <v>512766.29147257732</v>
      </c>
      <c r="W53" s="45">
        <f>'7a. Success 3 yr'!S53*'7. Success Allocation'!W$5</f>
        <v>484654.10444008955</v>
      </c>
      <c r="X53" s="45">
        <f>'7a. Success 3 yr'!T53*'7. Success Allocation'!X$5</f>
        <v>3373.4624438985352</v>
      </c>
      <c r="Y53" s="45">
        <f>'7a. Success 3 yr'!U53*'7. Success Allocation'!Y$5</f>
        <v>100953.9872100006</v>
      </c>
      <c r="Z53" s="45">
        <f>'7a. Success 3 yr'!V53*'7. Success Allocation'!Z$5</f>
        <v>108700.45652561946</v>
      </c>
      <c r="AA53" s="45">
        <f>'7a. Success 3 yr'!W53*'7. Success Allocation'!AA$5</f>
        <v>493525.0612370079</v>
      </c>
      <c r="AB53" s="45">
        <f>'7a. Success 3 yr'!X53*'7. Success Allocation'!AB$5</f>
        <v>557558.37614434119</v>
      </c>
      <c r="AC53" s="45">
        <f>'7a. Success 3 yr'!Y53*'7. Success Allocation'!AC$5</f>
        <v>361210.36760409869</v>
      </c>
      <c r="AD53" s="45">
        <f t="shared" si="4"/>
        <v>2622742.107077633</v>
      </c>
      <c r="AF53" s="45">
        <f t="shared" si="5"/>
        <v>23190024.204969503</v>
      </c>
    </row>
    <row r="54" spans="1:32" x14ac:dyDescent="0.25">
      <c r="A54" s="23" t="s">
        <v>29</v>
      </c>
      <c r="B54" s="45">
        <f>'7a. Success 3 yr'!B54*'7. Success Allocation'!B$5</f>
        <v>499772.21391089412</v>
      </c>
      <c r="C54" s="45">
        <f>'7a. Success 3 yr'!C54*'7. Success Allocation'!C$5</f>
        <v>1173964.9304766902</v>
      </c>
      <c r="D54" s="45">
        <f>'7a. Success 3 yr'!D54*'7. Success Allocation'!D$5</f>
        <v>0</v>
      </c>
      <c r="E54" s="45">
        <f>'7a. Success 3 yr'!E54*'7. Success Allocation'!E$5</f>
        <v>445796.81480851752</v>
      </c>
      <c r="F54" s="45">
        <f>'7a. Success 3 yr'!F54*'7. Success Allocation'!F$5</f>
        <v>297864.23949089285</v>
      </c>
      <c r="G54" s="45">
        <f>'7a. Success 3 yr'!G54*'7. Success Allocation'!G$5</f>
        <v>2180506.1692932309</v>
      </c>
      <c r="H54" s="45">
        <f>'7a. Success 3 yr'!H54*'7. Success Allocation'!H$5</f>
        <v>1446840.5592720383</v>
      </c>
      <c r="I54" s="45">
        <f>'7a. Success 3 yr'!I54*'7. Success Allocation'!I$5</f>
        <v>1499816.4139465932</v>
      </c>
      <c r="J54" s="45">
        <f t="shared" si="2"/>
        <v>7544561.341198856</v>
      </c>
      <c r="K54" s="45"/>
      <c r="L54" s="45">
        <f>'7a. Success 3 yr'!J54*'7. Success Allocation'!L$5</f>
        <v>98205.240033490685</v>
      </c>
      <c r="M54" s="45">
        <f>'7a. Success 3 yr'!K54*'7. Success Allocation'!M$5</f>
        <v>231082.17740704966</v>
      </c>
      <c r="N54" s="45">
        <f>'7a. Success 3 yr'!L54*'7. Success Allocation'!N$5</f>
        <v>0</v>
      </c>
      <c r="O54" s="45">
        <f>'7a. Success 3 yr'!M54*'7. Success Allocation'!O$5</f>
        <v>59597.836508874119</v>
      </c>
      <c r="P54" s="45">
        <f>'7a. Success 3 yr'!N54*'7. Success Allocation'!P$5</f>
        <v>34109.453599418521</v>
      </c>
      <c r="Q54" s="45">
        <f>'7a. Success 3 yr'!O54*'7. Success Allocation'!Q$5</f>
        <v>242327.05222004477</v>
      </c>
      <c r="R54" s="45">
        <f>'7a. Success 3 yr'!P54*'7. Success Allocation'!R$5</f>
        <v>224054.1306489277</v>
      </c>
      <c r="S54" s="45">
        <f>'7a. Success 3 yr'!Q54*'7. Success Allocation'!S$5</f>
        <v>70280.467581219476</v>
      </c>
      <c r="T54" s="45">
        <f t="shared" si="3"/>
        <v>959656.35799902491</v>
      </c>
      <c r="U54" s="45"/>
      <c r="V54" s="45">
        <f>'7a. Success 3 yr'!R54*'7. Success Allocation'!V$5</f>
        <v>88959.454076139154</v>
      </c>
      <c r="W54" s="45">
        <f>'7a. Success 3 yr'!S54*'7. Success Allocation'!W$5</f>
        <v>220024.71717427112</v>
      </c>
      <c r="X54" s="45">
        <f>'7a. Success 3 yr'!T54*'7. Success Allocation'!X$5</f>
        <v>0</v>
      </c>
      <c r="Y54" s="45">
        <f>'7a. Success 3 yr'!U54*'7. Success Allocation'!Y$5</f>
        <v>71467.426589257855</v>
      </c>
      <c r="Z54" s="45">
        <f>'7a. Success 3 yr'!V54*'7. Success Allocation'!Z$5</f>
        <v>36483.371615495271</v>
      </c>
      <c r="AA54" s="45">
        <f>'7a. Success 3 yr'!W54*'7. Success Allocation'!AA$5</f>
        <v>294865.60620742751</v>
      </c>
      <c r="AB54" s="45">
        <f>'7a. Success 3 yr'!X54*'7. Success Allocation'!AB$5</f>
        <v>227708.71496315111</v>
      </c>
      <c r="AC54" s="45">
        <f>'7a. Success 3 yr'!Y54*'7. Success Allocation'!AC$5</f>
        <v>92207.973466559954</v>
      </c>
      <c r="AD54" s="45">
        <f t="shared" si="4"/>
        <v>1031717.2640923019</v>
      </c>
      <c r="AF54" s="45">
        <f t="shared" si="5"/>
        <v>9535934.9632901829</v>
      </c>
    </row>
    <row r="55" spans="1:32" x14ac:dyDescent="0.25">
      <c r="A55" s="23" t="s">
        <v>87</v>
      </c>
      <c r="B55" s="45">
        <f>'7a. Success 3 yr'!B55*'7. Success Allocation'!B$5</f>
        <v>425805.92625208176</v>
      </c>
      <c r="C55" s="45">
        <f>'7a. Success 3 yr'!C55*'7. Success Allocation'!C$5</f>
        <v>2075054.2321580322</v>
      </c>
      <c r="D55" s="45">
        <f>'7a. Success 3 yr'!D55*'7. Success Allocation'!D$5</f>
        <v>0</v>
      </c>
      <c r="E55" s="45">
        <f>'7a. Success 3 yr'!E55*'7. Success Allocation'!E$5</f>
        <v>409813.21540693316</v>
      </c>
      <c r="F55" s="45">
        <f>'7a. Success 3 yr'!F55*'7. Success Allocation'!F$5</f>
        <v>247887.01809980348</v>
      </c>
      <c r="G55" s="45">
        <f>'7a. Success 3 yr'!G55*'7. Success Allocation'!G$5</f>
        <v>1633255.5950608018</v>
      </c>
      <c r="H55" s="45">
        <f>'7a. Success 3 yr'!H55*'7. Success Allocation'!H$5</f>
        <v>1281915.7286814433</v>
      </c>
      <c r="I55" s="45">
        <f>'7a. Success 3 yr'!I55*'7. Success Allocation'!I$5</f>
        <v>1528803.2023534251</v>
      </c>
      <c r="J55" s="45">
        <f t="shared" si="2"/>
        <v>7602534.9180125212</v>
      </c>
      <c r="K55" s="45"/>
      <c r="L55" s="45">
        <f>'7a. Success 3 yr'!J55*'7. Success Allocation'!L$5</f>
        <v>99704.556675223372</v>
      </c>
      <c r="M55" s="45">
        <f>'7a. Success 3 yr'!K55*'7. Success Allocation'!M$5</f>
        <v>443610.31137265736</v>
      </c>
      <c r="N55" s="45">
        <f>'7a. Success 3 yr'!L55*'7. Success Allocation'!N$5</f>
        <v>0</v>
      </c>
      <c r="O55" s="45">
        <f>'7a. Success 3 yr'!M55*'7. Success Allocation'!O$5</f>
        <v>77964.465370099482</v>
      </c>
      <c r="P55" s="45">
        <f>'7a. Success 3 yr'!N55*'7. Success Allocation'!P$5</f>
        <v>40856.378487215588</v>
      </c>
      <c r="Q55" s="45">
        <f>'7a. Success 3 yr'!O55*'7. Success Allocation'!Q$5</f>
        <v>343156.09637656767</v>
      </c>
      <c r="R55" s="45">
        <f>'7a. Success 3 yr'!P55*'7. Success Allocation'!R$5</f>
        <v>202688.86850423698</v>
      </c>
      <c r="S55" s="45">
        <f>'7a. Success 3 yr'!Q55*'7. Success Allocation'!S$5</f>
        <v>260506.26650105353</v>
      </c>
      <c r="T55" s="45">
        <f t="shared" si="3"/>
        <v>1468486.9432870538</v>
      </c>
      <c r="U55" s="45"/>
      <c r="V55" s="45">
        <f>'7a. Success 3 yr'!R55*'7. Success Allocation'!V$5</f>
        <v>86960.365220495572</v>
      </c>
      <c r="W55" s="45">
        <f>'7a. Success 3 yr'!S55*'7. Success Allocation'!W$5</f>
        <v>418309.34304341837</v>
      </c>
      <c r="X55" s="45">
        <f>'7a. Success 3 yr'!T55*'7. Success Allocation'!X$5</f>
        <v>0</v>
      </c>
      <c r="Y55" s="45">
        <f>'7a. Success 3 yr'!U55*'7. Success Allocation'!Y$5</f>
        <v>74216.173765767773</v>
      </c>
      <c r="Z55" s="45">
        <f>'7a. Success 3 yr'!V55*'7. Success Allocation'!Z$5</f>
        <v>40231.663219826973</v>
      </c>
      <c r="AA55" s="45">
        <f>'7a. Success 3 yr'!W55*'7. Success Allocation'!AA$5</f>
        <v>319104.55858210591</v>
      </c>
      <c r="AB55" s="45">
        <f>'7a. Success 3 yr'!X55*'7. Success Allocation'!AB$5</f>
        <v>219275.05885340477</v>
      </c>
      <c r="AC55" s="45">
        <f>'7a. Success 3 yr'!Y55*'7. Success Allocation'!AC$5</f>
        <v>278373.12314836803</v>
      </c>
      <c r="AD55" s="45">
        <f t="shared" si="4"/>
        <v>1436470.2858333874</v>
      </c>
      <c r="AF55" s="45">
        <f t="shared" si="5"/>
        <v>10507492.147132961</v>
      </c>
    </row>
    <row r="56" spans="1:32" x14ac:dyDescent="0.25">
      <c r="A56" s="23" t="s">
        <v>88</v>
      </c>
      <c r="B56" s="45">
        <f>'7a. Success 3 yr'!B56*'7. Success Allocation'!B$5</f>
        <v>1079507.9820475313</v>
      </c>
      <c r="C56" s="45">
        <f>'7a. Success 3 yr'!C56*'7. Success Allocation'!C$5</f>
        <v>800635.08668525226</v>
      </c>
      <c r="D56" s="45">
        <f>'7a. Success 3 yr'!D56*'7. Success Allocation'!D$5</f>
        <v>0</v>
      </c>
      <c r="E56" s="45">
        <f>'7a. Success 3 yr'!E56*'7. Success Allocation'!E$5</f>
        <v>309858.77262475435</v>
      </c>
      <c r="F56" s="45">
        <f>'7a. Success 3 yr'!F56*'7. Success Allocation'!F$5</f>
        <v>299863.32834653644</v>
      </c>
      <c r="G56" s="45">
        <f>'7a. Success 3 yr'!G56*'7. Success Allocation'!G$5</f>
        <v>863606.38563802501</v>
      </c>
      <c r="H56" s="45">
        <f>'7a. Success 3 yr'!H56*'7. Success Allocation'!H$5</f>
        <v>971557.18384277809</v>
      </c>
      <c r="I56" s="45">
        <f>'7a. Success 3 yr'!I56*'7. Success Allocation'!I$5</f>
        <v>797636.45340178697</v>
      </c>
      <c r="J56" s="45">
        <f t="shared" si="2"/>
        <v>5122665.192586665</v>
      </c>
      <c r="K56" s="45"/>
      <c r="L56" s="45">
        <f>'7a. Success 3 yr'!J56*'7. Success Allocation'!L$5</f>
        <v>226396.81290163501</v>
      </c>
      <c r="M56" s="45">
        <f>'7a. Success 3 yr'!K56*'7. Success Allocation'!M$5</f>
        <v>165299.65975102823</v>
      </c>
      <c r="N56" s="45">
        <f>'7a. Success 3 yr'!L56*'7. Success Allocation'!N$5</f>
        <v>0</v>
      </c>
      <c r="O56" s="45">
        <f>'7a. Success 3 yr'!M56*'7. Success Allocation'!O$5</f>
        <v>52476.082460643876</v>
      </c>
      <c r="P56" s="45">
        <f>'7a. Success 3 yr'!N56*'7. Success Allocation'!P$5</f>
        <v>40106.720166349252</v>
      </c>
      <c r="Q56" s="45">
        <f>'7a. Success 3 yr'!O56*'7. Success Allocation'!Q$5</f>
        <v>142060.25180417165</v>
      </c>
      <c r="R56" s="45">
        <f>'7a. Success 3 yr'!P56*'7. Success Allocation'!R$5</f>
        <v>148151.22566121066</v>
      </c>
      <c r="S56" s="45">
        <f>'7a. Success 3 yr'!Q56*'7. Success Allocation'!S$5</f>
        <v>71779.784222952163</v>
      </c>
      <c r="T56" s="45">
        <f t="shared" si="3"/>
        <v>846270.53696799104</v>
      </c>
      <c r="U56" s="45"/>
      <c r="V56" s="45">
        <f>'7a. Success 3 yr'!R56*'7. Success Allocation'!V$5</f>
        <v>208405.01320084283</v>
      </c>
      <c r="W56" s="45">
        <f>'7a. Success 3 yr'!S56*'7. Success Allocation'!W$5</f>
        <v>157053.41822149846</v>
      </c>
      <c r="X56" s="45">
        <f>'7a. Success 3 yr'!T56*'7. Success Allocation'!X$5</f>
        <v>0</v>
      </c>
      <c r="Y56" s="45">
        <f>'7a. Success 3 yr'!U56*'7. Success Allocation'!Y$5</f>
        <v>53475.626888465667</v>
      </c>
      <c r="Z56" s="45">
        <f>'7a. Success 3 yr'!V56*'7. Success Allocation'!Z$5</f>
        <v>42730.524289381443</v>
      </c>
      <c r="AA56" s="45">
        <f>'7a. Success 3 yr'!W56*'7. Success Allocation'!AA$5</f>
        <v>148307.40447805781</v>
      </c>
      <c r="AB56" s="45">
        <f>'7a. Success 3 yr'!X56*'7. Success Allocation'!AB$5</f>
        <v>156678.58906106529</v>
      </c>
      <c r="AC56" s="45">
        <f>'7a. Success 3 yr'!Y56*'7. Success Allocation'!AC$5</f>
        <v>95206.606750025327</v>
      </c>
      <c r="AD56" s="45">
        <f t="shared" si="4"/>
        <v>861857.18288933684</v>
      </c>
      <c r="AF56" s="45">
        <f t="shared" si="5"/>
        <v>6830792.9124439927</v>
      </c>
    </row>
    <row r="57" spans="1:32" x14ac:dyDescent="0.25">
      <c r="A57" s="23" t="s">
        <v>89</v>
      </c>
      <c r="B57" s="45">
        <f>'7a. Success 3 yr'!B57*'7. Success Allocation'!B$5</f>
        <v>805632.8088243613</v>
      </c>
      <c r="C57" s="45">
        <f>'7a. Success 3 yr'!C57*'7. Success Allocation'!C$5</f>
        <v>673193.1721379743</v>
      </c>
      <c r="D57" s="45">
        <f>'7a. Success 3 yr'!D57*'7. Success Allocation'!D$5</f>
        <v>0</v>
      </c>
      <c r="E57" s="45">
        <f>'7a. Success 3 yr'!E57*'7. Success Allocation'!E$5</f>
        <v>199908.88556435762</v>
      </c>
      <c r="F57" s="45">
        <f>'7a. Success 3 yr'!F57*'7. Success Allocation'!F$5</f>
        <v>238891.11824940739</v>
      </c>
      <c r="G57" s="45">
        <f>'7a. Success 3 yr'!G57*'7. Success Allocation'!G$5</f>
        <v>713174.94925084582</v>
      </c>
      <c r="H57" s="45">
        <f>'7a. Success 3 yr'!H57*'7. Success Allocation'!H$5</f>
        <v>701680.18833089527</v>
      </c>
      <c r="I57" s="45">
        <f>'7a. Success 3 yr'!I57*'7. Success Allocation'!I$5</f>
        <v>600226.42890698381</v>
      </c>
      <c r="J57" s="45">
        <f t="shared" si="2"/>
        <v>3932707.5512648253</v>
      </c>
      <c r="K57" s="45"/>
      <c r="L57" s="45">
        <f>'7a. Success 3 yr'!J57*'7. Success Allocation'!L$5</f>
        <v>104202.50660042142</v>
      </c>
      <c r="M57" s="45">
        <f>'7a. Success 3 yr'!K57*'7. Success Allocation'!M$5</f>
        <v>120882.40423969751</v>
      </c>
      <c r="N57" s="45">
        <f>'7a. Success 3 yr'!L57*'7. Success Allocation'!N$5</f>
        <v>0</v>
      </c>
      <c r="O57" s="45">
        <f>'7a. Success 3 yr'!M57*'7. Success Allocation'!O$5</f>
        <v>31860.478636819498</v>
      </c>
      <c r="P57" s="45">
        <f>'7a. Success 3 yr'!N57*'7. Success Allocation'!P$5</f>
        <v>30735.991155519987</v>
      </c>
      <c r="Q57" s="45">
        <f>'7a. Success 3 yr'!O57*'7. Success Allocation'!Q$5</f>
        <v>112823.57729038433</v>
      </c>
      <c r="R57" s="45">
        <f>'7a. Success 3 yr'!P57*'7. Success Allocation'!R$5</f>
        <v>75621.783117392159</v>
      </c>
      <c r="S57" s="45">
        <f>'7a. Success 3 yr'!Q57*'7. Success Allocation'!S$5</f>
        <v>50414.522078261441</v>
      </c>
      <c r="T57" s="45">
        <f t="shared" si="3"/>
        <v>526541.2631184964</v>
      </c>
      <c r="U57" s="45"/>
      <c r="V57" s="45">
        <f>'7a. Success 3 yr'!R57*'7. Success Allocation'!V$5</f>
        <v>122444.19240816905</v>
      </c>
      <c r="W57" s="45">
        <f>'7a. Success 3 yr'!S57*'7. Success Allocation'!W$5</f>
        <v>124818.1104242458</v>
      </c>
      <c r="X57" s="45">
        <f>'7a. Success 3 yr'!T57*'7. Success Allocation'!X$5</f>
        <v>0</v>
      </c>
      <c r="Y57" s="45">
        <f>'7a. Success 3 yr'!U57*'7. Success Allocation'!Y$5</f>
        <v>32984.966118119009</v>
      </c>
      <c r="Z57" s="45">
        <f>'7a. Success 3 yr'!V57*'7. Success Allocation'!Z$5</f>
        <v>33234.852225074457</v>
      </c>
      <c r="AA57" s="45">
        <f>'7a. Success 3 yr'!W57*'7. Success Allocation'!AA$5</f>
        <v>120944.87576643637</v>
      </c>
      <c r="AB57" s="45">
        <f>'7a. Success 3 yr'!X57*'7. Success Allocation'!AB$5</f>
        <v>88459.681862228244</v>
      </c>
      <c r="AC57" s="45">
        <f>'7a. Success 3 yr'!Y57*'7. Success Allocation'!AC$5</f>
        <v>75715.49040750046</v>
      </c>
      <c r="AD57" s="45">
        <f t="shared" si="4"/>
        <v>598602.16921177343</v>
      </c>
      <c r="AF57" s="45">
        <f t="shared" si="5"/>
        <v>5057850.9835950946</v>
      </c>
    </row>
    <row r="58" spans="1:32" x14ac:dyDescent="0.25">
      <c r="A58" s="23" t="s">
        <v>90</v>
      </c>
      <c r="B58" s="45">
        <f>'7a. Success 3 yr'!B58*'7. Success Allocation'!B$5</f>
        <v>1631256.5062051583</v>
      </c>
      <c r="C58" s="45">
        <f>'7a. Success 3 yr'!C58*'7. Success Allocation'!C$5</f>
        <v>1176963.5637601556</v>
      </c>
      <c r="D58" s="45">
        <f>'7a. Success 3 yr'!D58*'7. Success Allocation'!D$5</f>
        <v>26987.699551188281</v>
      </c>
      <c r="E58" s="45">
        <f>'7a. Success 3 yr'!E58*'7. Success Allocation'!E$5</f>
        <v>542752.62430723093</v>
      </c>
      <c r="F58" s="45">
        <f>'7a. Success 3 yr'!F58*'7. Success Allocation'!F$5</f>
        <v>604724.3788321818</v>
      </c>
      <c r="G58" s="45">
        <f>'7a. Success 3 yr'!G58*'7. Success Allocation'!G$5</f>
        <v>1387367.6658166421</v>
      </c>
      <c r="H58" s="45">
        <f>'7a. Success 3 yr'!H58*'7. Success Allocation'!H$5</f>
        <v>1879393.4104119171</v>
      </c>
      <c r="I58" s="45">
        <f>'7a. Success 3 yr'!I58*'7. Success Allocation'!I$5</f>
        <v>655701.14465109305</v>
      </c>
      <c r="J58" s="45">
        <f t="shared" si="2"/>
        <v>7905146.9935355671</v>
      </c>
      <c r="K58" s="45"/>
      <c r="L58" s="45">
        <f>'7a. Success 3 yr'!J58*'7. Success Allocation'!L$5</f>
        <v>229395.44618510039</v>
      </c>
      <c r="M58" s="45">
        <f>'7a. Success 3 yr'!K58*'7. Success Allocation'!M$5</f>
        <v>173171.07212012479</v>
      </c>
      <c r="N58" s="45">
        <f>'7a. Success 3 yr'!L58*'7. Success Allocation'!N$5</f>
        <v>5060.1936658478025</v>
      </c>
      <c r="O58" s="45">
        <f>'7a. Success 3 yr'!M58*'7. Success Allocation'!O$5</f>
        <v>61846.811471473142</v>
      </c>
      <c r="P58" s="45">
        <f>'7a. Success 3 yr'!N58*'7. Success Allocation'!P$5</f>
        <v>45354.328412413641</v>
      </c>
      <c r="Q58" s="45">
        <f>'7a. Success 3 yr'!O58*'7. Success Allocation'!Q$5</f>
        <v>145808.54340850335</v>
      </c>
      <c r="R58" s="45">
        <f>'7a. Success 3 yr'!P58*'7. Success Allocation'!R$5</f>
        <v>206905.69655911016</v>
      </c>
      <c r="S58" s="45">
        <f>'7a. Success 3 yr'!Q58*'7. Success Allocation'!S$5</f>
        <v>32610.136957685838</v>
      </c>
      <c r="T58" s="45">
        <f t="shared" si="3"/>
        <v>900152.22878025915</v>
      </c>
      <c r="U58" s="45"/>
      <c r="V58" s="45">
        <f>'7a. Success 3 yr'!R58*'7. Success Allocation'!V$5</f>
        <v>245887.9292441599</v>
      </c>
      <c r="W58" s="45">
        <f>'7a. Success 3 yr'!S58*'7. Success Allocation'!W$5</f>
        <v>186664.92189571893</v>
      </c>
      <c r="X58" s="45">
        <f>'7a. Success 3 yr'!T58*'7. Success Allocation'!X$5</f>
        <v>4872.7790856312176</v>
      </c>
      <c r="Y58" s="45">
        <f>'7a. Success 3 yr'!U58*'7. Success Allocation'!Y$5</f>
        <v>82962.187509208423</v>
      </c>
      <c r="Z58" s="45">
        <f>'7a. Success 3 yr'!V58*'7. Success Allocation'!Z$5</f>
        <v>53725.512995421115</v>
      </c>
      <c r="AA58" s="45">
        <f>'7a. Success 3 yr'!W58*'7. Success Allocation'!AA$5</f>
        <v>181042.48448922139</v>
      </c>
      <c r="AB58" s="45">
        <f>'7a. Success 3 yr'!X58*'7. Success Allocation'!AB$5</f>
        <v>238016.5168750633</v>
      </c>
      <c r="AC58" s="45">
        <f>'7a. Success 3 yr'!Y58*'7. Success Allocation'!AC$5</f>
        <v>50976.765818911197</v>
      </c>
      <c r="AD58" s="45">
        <f t="shared" si="4"/>
        <v>1044149.0979133353</v>
      </c>
      <c r="AF58" s="45">
        <f t="shared" si="5"/>
        <v>9849448.3202291615</v>
      </c>
    </row>
    <row r="59" spans="1:32" x14ac:dyDescent="0.25">
      <c r="A59" s="23" t="s">
        <v>91</v>
      </c>
      <c r="B59" s="45">
        <f>'7a. Success 3 yr'!B59*'7. Success Allocation'!B$5</f>
        <v>893592.71847267868</v>
      </c>
      <c r="C59" s="45">
        <f>'7a. Success 3 yr'!C59*'7. Success Allocation'!C$5</f>
        <v>1341888.3943507506</v>
      </c>
      <c r="D59" s="45">
        <f>'7a. Success 3 yr'!D59*'7. Success Allocation'!D$5</f>
        <v>0</v>
      </c>
      <c r="E59" s="45">
        <f>'7a. Success 3 yr'!E59*'7. Success Allocation'!E$5</f>
        <v>317855.12804732862</v>
      </c>
      <c r="F59" s="45">
        <f>'7a. Success 3 yr'!F59*'7. Success Allocation'!F$5</f>
        <v>365833.26058277447</v>
      </c>
      <c r="G59" s="45">
        <f>'7a. Success 3 yr'!G59*'7. Success Allocation'!G$5</f>
        <v>1340389.077709018</v>
      </c>
      <c r="H59" s="45">
        <f>'7a. Success 3 yr'!H59*'7. Success Allocation'!H$5</f>
        <v>1416104.5681165184</v>
      </c>
      <c r="I59" s="45">
        <f>'7a. Success 3 yr'!I59*'7. Success Allocation'!I$5</f>
        <v>879099.32426926272</v>
      </c>
      <c r="J59" s="45">
        <f t="shared" si="2"/>
        <v>6554762.4715483319</v>
      </c>
      <c r="K59" s="45"/>
      <c r="L59" s="45">
        <f>'7a. Success 3 yr'!J59*'7. Success Allocation'!L$5</f>
        <v>146933.03088980285</v>
      </c>
      <c r="M59" s="45">
        <f>'7a. Success 3 yr'!K59*'7. Success Allocation'!M$5</f>
        <v>180480.24074857164</v>
      </c>
      <c r="N59" s="45">
        <f>'7a. Success 3 yr'!L59*'7. Success Allocation'!N$5</f>
        <v>0</v>
      </c>
      <c r="O59" s="45">
        <f>'7a. Success 3 yr'!M59*'7. Success Allocation'!O$5</f>
        <v>44229.840931114122</v>
      </c>
      <c r="P59" s="45">
        <f>'7a. Success 3 yr'!N59*'7. Success Allocation'!P$5</f>
        <v>29611.503674220476</v>
      </c>
      <c r="Q59" s="45">
        <f>'7a. Success 3 yr'!O59*'7. Success Allocation'!Q$5</f>
        <v>187039.7510561521</v>
      </c>
      <c r="R59" s="45">
        <f>'7a. Success 3 yr'!P59*'7. Success Allocation'!R$5</f>
        <v>144777.76321731214</v>
      </c>
      <c r="S59" s="45">
        <f>'7a. Success 3 yr'!Q59*'7. Success Allocation'!S$5</f>
        <v>76839.977888799971</v>
      </c>
      <c r="T59" s="45">
        <f t="shared" si="3"/>
        <v>809912.1084059733</v>
      </c>
      <c r="U59" s="45"/>
      <c r="V59" s="45">
        <f>'7a. Success 3 yr'!R59*'7. Success Allocation'!V$5</f>
        <v>142435.08096460483</v>
      </c>
      <c r="W59" s="45">
        <f>'7a. Success 3 yr'!S59*'7. Success Allocation'!W$5</f>
        <v>187414.58021658528</v>
      </c>
      <c r="X59" s="45">
        <f>'7a. Success 3 yr'!T59*'7. Success Allocation'!X$5</f>
        <v>0</v>
      </c>
      <c r="Y59" s="45">
        <f>'7a. Success 3 yr'!U59*'7. Success Allocation'!Y$5</f>
        <v>44479.727038069577</v>
      </c>
      <c r="Z59" s="45">
        <f>'7a. Success 3 yr'!V59*'7. Success Allocation'!Z$5</f>
        <v>36983.143829406166</v>
      </c>
      <c r="AA59" s="45">
        <f>'7a. Success 3 yr'!W59*'7. Success Allocation'!AA$5</f>
        <v>193037.01762308285</v>
      </c>
      <c r="AB59" s="45">
        <f>'7a. Success 3 yr'!X59*'7. Success Allocation'!AB$5</f>
        <v>151618.39539521749</v>
      </c>
      <c r="AC59" s="45">
        <f>'7a. Success 3 yr'!Y59*'7. Success Allocation'!AC$5</f>
        <v>107451.02599084223</v>
      </c>
      <c r="AD59" s="45">
        <f t="shared" si="4"/>
        <v>863418.97105780838</v>
      </c>
      <c r="AF59" s="45">
        <f t="shared" si="5"/>
        <v>8228093.5510121137</v>
      </c>
    </row>
    <row r="60" spans="1:32" x14ac:dyDescent="0.25">
      <c r="A60" s="23" t="s">
        <v>92</v>
      </c>
      <c r="B60" s="45">
        <f>'7a. Success 3 yr'!B60*'7. Success Allocation'!B$5</f>
        <v>1837162.6583364466</v>
      </c>
      <c r="C60" s="45">
        <f>'7a. Success 3 yr'!C60*'7. Success Allocation'!C$5</f>
        <v>1293910.2618153049</v>
      </c>
      <c r="D60" s="45">
        <f>'7a. Success 3 yr'!D60*'7. Success Allocation'!D$5</f>
        <v>0</v>
      </c>
      <c r="E60" s="45">
        <f>'7a. Success 3 yr'!E60*'7. Success Allocation'!E$5</f>
        <v>102953.07606564419</v>
      </c>
      <c r="F60" s="45">
        <f>'7a. Success 3 yr'!F60*'7. Success Allocation'!F$5</f>
        <v>460789.98122584436</v>
      </c>
      <c r="G60" s="45">
        <f>'7a. Success 3 yr'!G60*'7. Success Allocation'!G$5</f>
        <v>1465831.9034006523</v>
      </c>
      <c r="H60" s="45">
        <f>'7a. Success 3 yr'!H60*'7. Success Allocation'!H$5</f>
        <v>1667240.1056067427</v>
      </c>
      <c r="I60" s="45">
        <f>'7a. Success 3 yr'!I60*'7. Success Allocation'!I$5</f>
        <v>1935118.0122629819</v>
      </c>
      <c r="J60" s="45">
        <f t="shared" si="2"/>
        <v>8763005.9987136163</v>
      </c>
      <c r="K60" s="45"/>
      <c r="L60" s="45">
        <f>'7a. Success 3 yr'!J60*'7. Success Allocation'!L$5</f>
        <v>284870.1619292096</v>
      </c>
      <c r="M60" s="45">
        <f>'7a. Success 3 yr'!K60*'7. Success Allocation'!M$5</f>
        <v>189476.14059896773</v>
      </c>
      <c r="N60" s="45">
        <f>'7a. Success 3 yr'!L60*'7. Success Allocation'!N$5</f>
        <v>0</v>
      </c>
      <c r="O60" s="45">
        <f>'7a. Success 3 yr'!M60*'7. Success Allocation'!O$5</f>
        <v>20990.43298425755</v>
      </c>
      <c r="P60" s="45">
        <f>'7a. Success 3 yr'!N60*'7. Success Allocation'!P$5</f>
        <v>40106.720166349252</v>
      </c>
      <c r="Q60" s="45">
        <f>'7a. Success 3 yr'!O60*'7. Success Allocation'!Q$5</f>
        <v>160614.29524561358</v>
      </c>
      <c r="R60" s="45">
        <f>'7a. Success 3 yr'!P60*'7. Success Allocation'!R$5</f>
        <v>202126.62476358723</v>
      </c>
      <c r="S60" s="45">
        <f>'7a. Success 3 yr'!Q60*'7. Success Allocation'!S$5</f>
        <v>76652.563308583383</v>
      </c>
      <c r="T60" s="45">
        <f t="shared" si="3"/>
        <v>974836.93899656821</v>
      </c>
      <c r="U60" s="45"/>
      <c r="V60" s="45">
        <f>'7a. Success 3 yr'!R60*'7. Success Allocation'!V$5</f>
        <v>285869.70635703142</v>
      </c>
      <c r="W60" s="45">
        <f>'7a. Success 3 yr'!S60*'7. Success Allocation'!W$5</f>
        <v>193037.01762308285</v>
      </c>
      <c r="X60" s="45">
        <f>'7a. Success 3 yr'!T60*'7. Success Allocation'!X$5</f>
        <v>0</v>
      </c>
      <c r="Y60" s="45">
        <f>'7a. Success 3 yr'!U60*'7. Success Allocation'!Y$5</f>
        <v>18241.685807747635</v>
      </c>
      <c r="Z60" s="45">
        <f>'7a. Success 3 yr'!V60*'7. Success Allocation'!Z$5</f>
        <v>47478.360321534936</v>
      </c>
      <c r="AA60" s="45">
        <f>'7a. Success 3 yr'!W60*'7. Success Allocation'!AA$5</f>
        <v>168923.00830188219</v>
      </c>
      <c r="AB60" s="45">
        <f>'7a. Success 3 yr'!X60*'7. Success Allocation'!AB$5</f>
        <v>212715.54854582431</v>
      </c>
      <c r="AC60" s="45">
        <f>'7a. Success 3 yr'!Y60*'7. Success Allocation'!AC$5</f>
        <v>108700.45652561946</v>
      </c>
      <c r="AD60" s="45">
        <f t="shared" si="4"/>
        <v>1034965.7834827228</v>
      </c>
      <c r="AF60" s="45">
        <f t="shared" si="5"/>
        <v>10772808.721192908</v>
      </c>
    </row>
    <row r="61" spans="1:32" x14ac:dyDescent="0.25">
      <c r="A61" s="23" t="s">
        <v>31</v>
      </c>
      <c r="B61" s="45">
        <f>'7a. Success 3 yr'!B61*'7. Success Allocation'!B$5</f>
        <v>1167467.8916958487</v>
      </c>
      <c r="C61" s="45">
        <f>'7a. Success 3 yr'!C61*'7. Success Allocation'!C$5</f>
        <v>1721215.5047091192</v>
      </c>
      <c r="D61" s="45">
        <f>'7a. Success 3 yr'!D61*'7. Success Allocation'!D$5</f>
        <v>19491.116342524871</v>
      </c>
      <c r="E61" s="45">
        <f>'7a. Success 3 yr'!E61*'7. Success Allocation'!E$5</f>
        <v>614719.82311039977</v>
      </c>
      <c r="F61" s="45">
        <f>'7a. Success 3 yr'!F61*'7. Success Allocation'!F$5</f>
        <v>567741.23500277568</v>
      </c>
      <c r="G61" s="45">
        <f>'7a. Success 3 yr'!G61*'7. Success Allocation'!G$5</f>
        <v>1878143.9798771399</v>
      </c>
      <c r="H61" s="45">
        <f>'7a. Success 3 yr'!H61*'7. Success Allocation'!H$5</f>
        <v>2358425.0774455094</v>
      </c>
      <c r="I61" s="45">
        <f>'7a. Success 3 yr'!I61*'7. Success Allocation'!I$5</f>
        <v>1397862.8823087707</v>
      </c>
      <c r="J61" s="45">
        <f t="shared" si="2"/>
        <v>9725067.5104920864</v>
      </c>
      <c r="K61" s="45"/>
      <c r="L61" s="45">
        <f>'7a. Success 3 yr'!J61*'7. Success Allocation'!L$5</f>
        <v>222648.52129730332</v>
      </c>
      <c r="M61" s="45">
        <f>'7a. Success 3 yr'!K61*'7. Success Allocation'!M$5</f>
        <v>294053.47635982232</v>
      </c>
      <c r="N61" s="45">
        <f>'7a. Success 3 yr'!L61*'7. Success Allocation'!N$5</f>
        <v>4497.9499251980469</v>
      </c>
      <c r="O61" s="45">
        <f>'7a. Success 3 yr'!M61*'7. Success Allocation'!O$5</f>
        <v>60722.323990173631</v>
      </c>
      <c r="P61" s="45">
        <f>'7a. Success 3 yr'!N61*'7. Success Allocation'!P$5</f>
        <v>58098.519867141433</v>
      </c>
      <c r="Q61" s="45">
        <f>'7a. Success 3 yr'!O61*'7. Success Allocation'!Q$5</f>
        <v>216089.01098972282</v>
      </c>
      <c r="R61" s="45">
        <f>'7a. Success 3 yr'!P61*'7. Success Allocation'!R$5</f>
        <v>317386.59159678721</v>
      </c>
      <c r="S61" s="45">
        <f>'7a. Success 3 yr'!Q61*'7. Success Allocation'!S$5</f>
        <v>95581.435910458487</v>
      </c>
      <c r="T61" s="45">
        <f t="shared" si="3"/>
        <v>1269077.829936607</v>
      </c>
      <c r="U61" s="45"/>
      <c r="V61" s="45">
        <f>'7a. Success 3 yr'!R61*'7. Success Allocation'!V$5</f>
        <v>203907.06327564479</v>
      </c>
      <c r="W61" s="45">
        <f>'7a. Success 3 yr'!S61*'7. Success Allocation'!W$5</f>
        <v>269876.99551188282</v>
      </c>
      <c r="X61" s="45">
        <f>'7a. Success 3 yr'!T61*'7. Success Allocation'!X$5</f>
        <v>4497.9499251980469</v>
      </c>
      <c r="Y61" s="45">
        <f>'7a. Success 3 yr'!U61*'7. Success Allocation'!Y$5</f>
        <v>60722.323990173631</v>
      </c>
      <c r="Z61" s="45">
        <f>'7a. Success 3 yr'!V61*'7. Success Allocation'!Z$5</f>
        <v>54974.943530198354</v>
      </c>
      <c r="AA61" s="45">
        <f>'7a. Success 3 yr'!W61*'7. Success Allocation'!AA$5</f>
        <v>249886.10695544706</v>
      </c>
      <c r="AB61" s="45">
        <f>'7a. Success 3 yr'!X61*'7. Success Allocation'!AB$5</f>
        <v>329287.41744054033</v>
      </c>
      <c r="AC61" s="45">
        <f>'7a. Success 3 yr'!Y61*'7. Success Allocation'!AC$5</f>
        <v>158052.96264932025</v>
      </c>
      <c r="AD61" s="45">
        <f t="shared" si="4"/>
        <v>1331205.7632784052</v>
      </c>
      <c r="AF61" s="45">
        <f t="shared" si="5"/>
        <v>12325351.103707097</v>
      </c>
    </row>
    <row r="62" spans="1:32" x14ac:dyDescent="0.25">
      <c r="A62" s="23" t="s">
        <v>93</v>
      </c>
      <c r="B62" s="45">
        <f>'7a. Success 3 yr'!B62*'7. Success Allocation'!B$5</f>
        <v>849612.76364851999</v>
      </c>
      <c r="C62" s="45">
        <f>'7a. Success 3 yr'!C62*'7. Success Allocation'!C$5</f>
        <v>953565.38414198591</v>
      </c>
      <c r="D62" s="45">
        <f>'7a. Success 3 yr'!D62*'7. Success Allocation'!D$5</f>
        <v>0</v>
      </c>
      <c r="E62" s="45">
        <f>'7a. Success 3 yr'!E62*'7. Success Allocation'!E$5</f>
        <v>152930.29745673359</v>
      </c>
      <c r="F62" s="45">
        <f>'7a. Success 3 yr'!F62*'7. Success Allocation'!F$5</f>
        <v>212902.96312604088</v>
      </c>
      <c r="G62" s="45">
        <f>'7a. Success 3 yr'!G62*'7. Success Allocation'!G$5</f>
        <v>912084.29038738168</v>
      </c>
      <c r="H62" s="45">
        <f>'7a. Success 3 yr'!H62*'7. Success Allocation'!H$5</f>
        <v>700180.87168916257</v>
      </c>
      <c r="I62" s="45">
        <f>'7a. Success 3 yr'!I62*'7. Success Allocation'!I$5</f>
        <v>913083.83481520356</v>
      </c>
      <c r="J62" s="45">
        <f t="shared" si="2"/>
        <v>4694360.4052650286</v>
      </c>
      <c r="K62" s="45"/>
      <c r="L62" s="45">
        <f>'7a. Success 3 yr'!J62*'7. Success Allocation'!L$5</f>
        <v>210653.98816344186</v>
      </c>
      <c r="M62" s="45">
        <f>'7a. Success 3 yr'!K62*'7. Success Allocation'!M$5</f>
        <v>244576.0271826438</v>
      </c>
      <c r="N62" s="45">
        <f>'7a. Success 3 yr'!L62*'7. Success Allocation'!N$5</f>
        <v>0</v>
      </c>
      <c r="O62" s="45">
        <f>'7a. Success 3 yr'!M62*'7. Success Allocation'!O$5</f>
        <v>37482.916043317055</v>
      </c>
      <c r="P62" s="45">
        <f>'7a. Success 3 yr'!N62*'7. Success Allocation'!P$5</f>
        <v>40106.720166349252</v>
      </c>
      <c r="Q62" s="45">
        <f>'7a. Success 3 yr'!O62*'7. Success Allocation'!Q$5</f>
        <v>214589.69434799015</v>
      </c>
      <c r="R62" s="45">
        <f>'7a. Success 3 yr'!P62*'7. Success Allocation'!R$5</f>
        <v>154335.90680835798</v>
      </c>
      <c r="S62" s="45">
        <f>'7a. Success 3 yr'!Q62*'7. Success Allocation'!S$5</f>
        <v>175607.46166294042</v>
      </c>
      <c r="T62" s="45">
        <f t="shared" si="3"/>
        <v>1077352.7143750405</v>
      </c>
      <c r="U62" s="45"/>
      <c r="V62" s="45">
        <f>'7a. Success 3 yr'!R62*'7. Success Allocation'!V$5</f>
        <v>172921.18601316935</v>
      </c>
      <c r="W62" s="45">
        <f>'7a. Success 3 yr'!S62*'7. Success Allocation'!W$5</f>
        <v>200908.42999217942</v>
      </c>
      <c r="X62" s="45">
        <f>'7a. Success 3 yr'!T62*'7. Success Allocation'!X$5</f>
        <v>0</v>
      </c>
      <c r="Y62" s="45">
        <f>'7a. Success 3 yr'!U62*'7. Success Allocation'!Y$5</f>
        <v>31235.763369430882</v>
      </c>
      <c r="Z62" s="45">
        <f>'7a. Success 3 yr'!V62*'7. Success Allocation'!Z$5</f>
        <v>35983.599401584375</v>
      </c>
      <c r="AA62" s="45">
        <f>'7a. Success 3 yr'!W62*'7. Success Allocation'!AA$5</f>
        <v>182291.91502399862</v>
      </c>
      <c r="AB62" s="45">
        <f>'7a. Success 3 yr'!X62*'7. Success Allocation'!AB$5</f>
        <v>130253.13325052676</v>
      </c>
      <c r="AC62" s="45">
        <f>'7a. Success 3 yr'!Y62*'7. Success Allocation'!AC$5</f>
        <v>167798.52082058269</v>
      </c>
      <c r="AD62" s="45">
        <f t="shared" si="4"/>
        <v>921392.54787147208</v>
      </c>
      <c r="AF62" s="45">
        <f t="shared" si="5"/>
        <v>6693105.6675115414</v>
      </c>
    </row>
    <row r="63" spans="1:32" x14ac:dyDescent="0.25">
      <c r="A63" s="23" t="s">
        <v>94</v>
      </c>
      <c r="B63" s="45">
        <f>'7a. Success 3 yr'!B63*'7. Success Allocation'!B$5</f>
        <v>491775.85848831979</v>
      </c>
      <c r="C63" s="45">
        <f>'7a. Success 3 yr'!C63*'7. Success Allocation'!C$5</f>
        <v>812629.61981911375</v>
      </c>
      <c r="D63" s="45">
        <f>'7a. Success 3 yr'!D63*'7. Success Allocation'!D$5</f>
        <v>2998.6332834653645</v>
      </c>
      <c r="E63" s="45">
        <f>'7a. Success 3 yr'!E63*'7. Success Allocation'!E$5</f>
        <v>173920.73044099114</v>
      </c>
      <c r="F63" s="45">
        <f>'7a. Success 3 yr'!F63*'7. Success Allocation'!F$5</f>
        <v>108950.34263257492</v>
      </c>
      <c r="G63" s="45">
        <f>'7a. Success 3 yr'!G63*'7. Success Allocation'!G$5</f>
        <v>763152.17064193531</v>
      </c>
      <c r="H63" s="45">
        <f>'7a. Success 3 yr'!H63*'7. Success Allocation'!H$5</f>
        <v>553997.49912022613</v>
      </c>
      <c r="I63" s="45">
        <f>'7a. Success 3 yr'!I63*'7. Success Allocation'!I$5</f>
        <v>775646.47598970763</v>
      </c>
      <c r="J63" s="45">
        <f t="shared" si="2"/>
        <v>3683071.3304163343</v>
      </c>
      <c r="K63" s="45"/>
      <c r="L63" s="45">
        <f>'7a. Success 3 yr'!J63*'7. Success Allocation'!L$5</f>
        <v>116946.69805514922</v>
      </c>
      <c r="M63" s="45">
        <f>'7a. Success 3 yr'!K63*'7. Success Allocation'!M$5</f>
        <v>210841.40274365846</v>
      </c>
      <c r="N63" s="45">
        <f>'7a. Success 3 yr'!L63*'7. Success Allocation'!N$5</f>
        <v>0</v>
      </c>
      <c r="O63" s="45">
        <f>'7a. Success 3 yr'!M63*'7. Success Allocation'!O$5</f>
        <v>37857.74520375023</v>
      </c>
      <c r="P63" s="45">
        <f>'7a. Success 3 yr'!N63*'7. Success Allocation'!P$5</f>
        <v>17616.970540359016</v>
      </c>
      <c r="Q63" s="45">
        <f>'7a. Success 3 yr'!O63*'7. Success Allocation'!Q$5</f>
        <v>186477.50731550236</v>
      </c>
      <c r="R63" s="45">
        <f>'7a. Success 3 yr'!P63*'7. Success Allocation'!R$5</f>
        <v>89958.998503960931</v>
      </c>
      <c r="S63" s="45">
        <f>'7a. Success 3 yr'!Q63*'7. Success Allocation'!S$5</f>
        <v>125942.59790554531</v>
      </c>
      <c r="T63" s="45">
        <f t="shared" si="3"/>
        <v>785641.92026792548</v>
      </c>
      <c r="U63" s="45"/>
      <c r="V63" s="45">
        <f>'7a. Success 3 yr'!R63*'7. Success Allocation'!V$5</f>
        <v>96955.809498713454</v>
      </c>
      <c r="W63" s="45">
        <f>'7a. Success 3 yr'!S63*'7. Success Allocation'!W$5</f>
        <v>169047.95135535992</v>
      </c>
      <c r="X63" s="45">
        <f>'7a. Success 3 yr'!T63*'7. Success Allocation'!X$5</f>
        <v>374.82916043317056</v>
      </c>
      <c r="Y63" s="45">
        <f>'7a. Success 3 yr'!U63*'7. Success Allocation'!Y$5</f>
        <v>33484.738332029905</v>
      </c>
      <c r="Z63" s="45">
        <f>'7a. Success 3 yr'!V63*'7. Success Allocation'!Z$5</f>
        <v>16242.596952104059</v>
      </c>
      <c r="AA63" s="45">
        <f>'7a. Success 3 yr'!W63*'7. Success Allocation'!AA$5</f>
        <v>157928.01959584255</v>
      </c>
      <c r="AB63" s="45">
        <f>'7a. Success 3 yr'!X63*'7. Success Allocation'!AB$5</f>
        <v>79088.952851398994</v>
      </c>
      <c r="AC63" s="45">
        <f>'7a. Success 3 yr'!Y63*'7. Success Allocation'!AC$5</f>
        <v>126067.54095902304</v>
      </c>
      <c r="AD63" s="45">
        <f t="shared" si="4"/>
        <v>679190.4387049051</v>
      </c>
      <c r="AF63" s="45">
        <f t="shared" si="5"/>
        <v>5147903.6893891646</v>
      </c>
    </row>
    <row r="64" spans="1:32" x14ac:dyDescent="0.25">
      <c r="A64" s="23" t="s">
        <v>95</v>
      </c>
      <c r="B64" s="45">
        <f>'7a. Success 3 yr'!B64*'7. Success Allocation'!B$5</f>
        <v>1507312.9971552566</v>
      </c>
      <c r="C64" s="45">
        <f>'7a. Success 3 yr'!C64*'7. Success Allocation'!C$5</f>
        <v>1703223.705008327</v>
      </c>
      <c r="D64" s="45">
        <f>'7a. Success 3 yr'!D64*'7. Success Allocation'!D$5</f>
        <v>0</v>
      </c>
      <c r="E64" s="45">
        <f>'7a. Success 3 yr'!E64*'7. Success Allocation'!E$5</f>
        <v>79963.55422574305</v>
      </c>
      <c r="F64" s="45">
        <f>'7a. Success 3 yr'!F64*'7. Success Allocation'!F$5</f>
        <v>699681.09947525174</v>
      </c>
      <c r="G64" s="45">
        <f>'7a. Success 3 yr'!G64*'7. Success Allocation'!G$5</f>
        <v>1272919.8288310473</v>
      </c>
      <c r="H64" s="45">
        <f>'7a. Success 3 yr'!H64*'7. Success Allocation'!H$5</f>
        <v>1437844.6594216423</v>
      </c>
      <c r="I64" s="45">
        <f>'7a. Success 3 yr'!I64*'7. Success Allocation'!I$5</f>
        <v>1143978.5976420366</v>
      </c>
      <c r="J64" s="45">
        <f t="shared" si="2"/>
        <v>7844924.4417593051</v>
      </c>
      <c r="K64" s="45"/>
      <c r="L64" s="45">
        <f>'7a. Success 3 yr'!J64*'7. Success Allocation'!L$5</f>
        <v>257882.46237802133</v>
      </c>
      <c r="M64" s="45">
        <f>'7a. Success 3 yr'!K64*'7. Success Allocation'!M$5</f>
        <v>294053.47635982232</v>
      </c>
      <c r="N64" s="45">
        <f>'7a. Success 3 yr'!L64*'7. Success Allocation'!N$5</f>
        <v>0</v>
      </c>
      <c r="O64" s="45">
        <f>'7a. Success 3 yr'!M64*'7. Success Allocation'!O$5</f>
        <v>13119.020615160969</v>
      </c>
      <c r="P64" s="45">
        <f>'7a. Success 3 yr'!N64*'7. Success Allocation'!P$5</f>
        <v>74965.832086634109</v>
      </c>
      <c r="Q64" s="45">
        <f>'7a. Success 3 yr'!O64*'7. Success Allocation'!Q$5</f>
        <v>185353.01983420283</v>
      </c>
      <c r="R64" s="45">
        <f>'7a. Success 3 yr'!P64*'7. Success Allocation'!R$5</f>
        <v>186946.04376604382</v>
      </c>
      <c r="S64" s="45">
        <f>'7a. Success 3 yr'!Q64*'7. Success Allocation'!S$5</f>
        <v>127441.91454727799</v>
      </c>
      <c r="T64" s="45">
        <f t="shared" si="3"/>
        <v>1139761.7695871633</v>
      </c>
      <c r="U64" s="45"/>
      <c r="V64" s="45">
        <f>'7a. Success 3 yr'!R64*'7. Success Allocation'!V$5</f>
        <v>240390.43489114006</v>
      </c>
      <c r="W64" s="45">
        <f>'7a. Success 3 yr'!S64*'7. Success Allocation'!W$5</f>
        <v>282996.01612704375</v>
      </c>
      <c r="X64" s="45">
        <f>'7a. Success 3 yr'!T64*'7. Success Allocation'!X$5</f>
        <v>0</v>
      </c>
      <c r="Y64" s="45">
        <f>'7a. Success 3 yr'!U64*'7. Success Allocation'!Y$5</f>
        <v>12994.077561683247</v>
      </c>
      <c r="Z64" s="45">
        <f>'7a. Success 3 yr'!V64*'7. Success Allocation'!Z$5</f>
        <v>78214.351477054923</v>
      </c>
      <c r="AA64" s="45">
        <f>'7a. Success 3 yr'!W64*'7. Success Allocation'!AA$5</f>
        <v>187789.40937701846</v>
      </c>
      <c r="AB64" s="45">
        <f>'7a. Success 3 yr'!X64*'7. Success Allocation'!AB$5</f>
        <v>197722.38212849747</v>
      </c>
      <c r="AC64" s="45">
        <f>'7a. Success 3 yr'!Y64*'7. Success Allocation'!AC$5</f>
        <v>153679.95577759994</v>
      </c>
      <c r="AD64" s="45">
        <f t="shared" si="4"/>
        <v>1153786.6273400378</v>
      </c>
      <c r="AF64" s="45">
        <f t="shared" si="5"/>
        <v>10138472.838686505</v>
      </c>
    </row>
    <row r="65" spans="1:32" x14ac:dyDescent="0.25">
      <c r="A65" s="23" t="s">
        <v>96</v>
      </c>
      <c r="B65" s="45">
        <f>'7a. Success 3 yr'!B65*'7. Success Allocation'!B$5</f>
        <v>33984.510545940801</v>
      </c>
      <c r="C65" s="45">
        <f>'7a. Success 3 yr'!C65*'7. Success Allocation'!C$5</f>
        <v>241389.97931896185</v>
      </c>
      <c r="D65" s="45">
        <f>'7a. Success 3 yr'!D65*'7. Success Allocation'!D$5</f>
        <v>0</v>
      </c>
      <c r="E65" s="45">
        <f>'7a. Success 3 yr'!E65*'7. Success Allocation'!E$5</f>
        <v>68968.565519703392</v>
      </c>
      <c r="F65" s="45">
        <f>'7a. Success 3 yr'!F65*'7. Success Allocation'!F$5</f>
        <v>103952.62049346598</v>
      </c>
      <c r="G65" s="45">
        <f>'7a. Success 3 yr'!G65*'7. Success Allocation'!G$5</f>
        <v>158427.79180975343</v>
      </c>
      <c r="H65" s="45">
        <f>'7a. Success 3 yr'!H65*'7. Success Allocation'!H$5</f>
        <v>116197.03973428287</v>
      </c>
      <c r="I65" s="45">
        <f>'7a. Success 3 yr'!I65*'7. Success Allocation'!I$5</f>
        <v>510267.43040302285</v>
      </c>
      <c r="J65" s="45">
        <f t="shared" si="2"/>
        <v>1233187.9378251312</v>
      </c>
      <c r="K65" s="45"/>
      <c r="L65" s="45">
        <f>'7a. Success 3 yr'!J65*'7. Success Allocation'!L$5</f>
        <v>8246.2415295297524</v>
      </c>
      <c r="M65" s="45">
        <f>'7a. Success 3 yr'!K65*'7. Success Allocation'!M$5</f>
        <v>59597.836508874119</v>
      </c>
      <c r="N65" s="45">
        <f>'7a. Success 3 yr'!L65*'7. Success Allocation'!N$5</f>
        <v>0</v>
      </c>
      <c r="O65" s="45">
        <f>'7a. Success 3 yr'!M65*'7. Success Allocation'!O$5</f>
        <v>13119.020615160969</v>
      </c>
      <c r="P65" s="45">
        <f>'7a. Success 3 yr'!N65*'7. Success Allocation'!P$5</f>
        <v>24363.895428156087</v>
      </c>
      <c r="Q65" s="45">
        <f>'7a. Success 3 yr'!O65*'7. Success Allocation'!Q$5</f>
        <v>32235.307797252666</v>
      </c>
      <c r="R65" s="45">
        <f>'7a. Success 3 yr'!P65*'7. Success Allocation'!R$5</f>
        <v>19397.409052416577</v>
      </c>
      <c r="S65" s="45">
        <f>'7a. Success 3 yr'!Q65*'7. Success Allocation'!S$5</f>
        <v>26800.284970971694</v>
      </c>
      <c r="T65" s="45">
        <f t="shared" si="3"/>
        <v>183759.99590236187</v>
      </c>
      <c r="U65" s="45"/>
      <c r="V65" s="45">
        <f>'7a. Success 3 yr'!R65*'7. Success Allocation'!V$5</f>
        <v>7496.5832086634118</v>
      </c>
      <c r="W65" s="45">
        <f>'7a. Success 3 yr'!S65*'7. Success Allocation'!W$5</f>
        <v>47228.474214579488</v>
      </c>
      <c r="X65" s="45">
        <f>'7a. Success 3 yr'!T65*'7. Success Allocation'!X$5</f>
        <v>0</v>
      </c>
      <c r="Y65" s="45">
        <f>'7a. Success 3 yr'!U65*'7. Success Allocation'!Y$5</f>
        <v>9245.7859573515416</v>
      </c>
      <c r="Z65" s="45">
        <f>'7a. Success 3 yr'!V65*'7. Success Allocation'!Z$5</f>
        <v>12494.305347772352</v>
      </c>
      <c r="AA65" s="45">
        <f>'7a. Success 3 yr'!W65*'7. Success Allocation'!AA$5</f>
        <v>27487.471765099177</v>
      </c>
      <c r="AB65" s="45">
        <f>'7a. Success 3 yr'!X65*'7. Success Allocation'!AB$5</f>
        <v>12181.947714078044</v>
      </c>
      <c r="AC65" s="45">
        <f>'7a. Success 3 yr'!Y65*'7. Success Allocation'!AC$5</f>
        <v>26362.984283799662</v>
      </c>
      <c r="AD65" s="45">
        <f t="shared" si="4"/>
        <v>142497.55249134367</v>
      </c>
      <c r="AF65" s="45">
        <f t="shared" si="5"/>
        <v>1559445.4862188366</v>
      </c>
    </row>
    <row r="66" spans="1:32" x14ac:dyDescent="0.25">
      <c r="A66" s="23" t="s">
        <v>97</v>
      </c>
      <c r="B66" s="45">
        <f>'7a. Success 3 yr'!B66*'7. Success Allocation'!B$5</f>
        <v>375828.70486099238</v>
      </c>
      <c r="C66" s="45">
        <f>'7a. Success 3 yr'!C66*'7. Success Allocation'!C$5</f>
        <v>682189.07198837039</v>
      </c>
      <c r="D66" s="45">
        <f>'7a. Success 3 yr'!D66*'7. Success Allocation'!D$5</f>
        <v>0</v>
      </c>
      <c r="E66" s="45">
        <f>'7a. Success 3 yr'!E66*'7. Success Allocation'!E$5</f>
        <v>75965.3765144559</v>
      </c>
      <c r="F66" s="45">
        <f>'7a. Success 3 yr'!F66*'7. Success Allocation'!F$5</f>
        <v>189913.44128613974</v>
      </c>
      <c r="G66" s="45">
        <f>'7a. Success 3 yr'!G66*'7. Success Allocation'!G$5</f>
        <v>577236.90706708271</v>
      </c>
      <c r="H66" s="45">
        <f>'7a. Success 3 yr'!H66*'7. Success Allocation'!H$5</f>
        <v>698681.55504742987</v>
      </c>
      <c r="I66" s="45">
        <f>'7a. Success 3 yr'!I66*'7. Success Allocation'!I$5</f>
        <v>673193.1721379743</v>
      </c>
      <c r="J66" s="45">
        <f t="shared" si="2"/>
        <v>3273008.2289024456</v>
      </c>
      <c r="K66" s="45"/>
      <c r="L66" s="45">
        <f>'7a. Success 3 yr'!J66*'7. Success Allocation'!L$5</f>
        <v>55474.715744109242</v>
      </c>
      <c r="M66" s="45">
        <f>'7a. Success 3 yr'!K66*'7. Success Allocation'!M$5</f>
        <v>123131.37920229654</v>
      </c>
      <c r="N66" s="45">
        <f>'7a. Success 3 yr'!L66*'7. Success Allocation'!N$5</f>
        <v>0</v>
      </c>
      <c r="O66" s="45">
        <f>'7a. Success 3 yr'!M66*'7. Success Allocation'!O$5</f>
        <v>14618.337256893652</v>
      </c>
      <c r="P66" s="45">
        <f>'7a. Success 3 yr'!N66*'7. Success Allocation'!P$5</f>
        <v>17616.970540359016</v>
      </c>
      <c r="Q66" s="45">
        <f>'7a. Success 3 yr'!O66*'7. Success Allocation'!Q$5</f>
        <v>81337.927813998016</v>
      </c>
      <c r="R66" s="45">
        <f>'7a. Success 3 yr'!P66*'7. Success Allocation'!R$5</f>
        <v>86866.657930387286</v>
      </c>
      <c r="S66" s="45">
        <f>'7a. Success 3 yr'!Q66*'7. Success Allocation'!S$5</f>
        <v>65782.517656021431</v>
      </c>
      <c r="T66" s="45">
        <f t="shared" si="3"/>
        <v>444828.50614406518</v>
      </c>
      <c r="U66" s="45"/>
      <c r="V66" s="45">
        <f>'7a. Success 3 yr'!R66*'7. Success Allocation'!V$5</f>
        <v>64470.61559450534</v>
      </c>
      <c r="W66" s="45">
        <f>'7a. Success 3 yr'!S66*'7. Success Allocation'!W$5</f>
        <v>124068.45210337946</v>
      </c>
      <c r="X66" s="45">
        <f>'7a. Success 3 yr'!T66*'7. Success Allocation'!X$5</f>
        <v>0</v>
      </c>
      <c r="Y66" s="45">
        <f>'7a. Success 3 yr'!U66*'7. Success Allocation'!Y$5</f>
        <v>15742.824738193163</v>
      </c>
      <c r="Z66" s="45">
        <f>'7a. Success 3 yr'!V66*'7. Success Allocation'!Z$5</f>
        <v>22739.635732945681</v>
      </c>
      <c r="AA66" s="45">
        <f>'7a. Success 3 yr'!W66*'7. Success Allocation'!AA$5</f>
        <v>95206.606750025327</v>
      </c>
      <c r="AB66" s="45">
        <f>'7a. Success 3 yr'!X66*'7. Success Allocation'!AB$5</f>
        <v>108325.62736518629</v>
      </c>
      <c r="AC66" s="45">
        <f>'7a. Success 3 yr'!Y66*'7. Success Allocation'!AC$5</f>
        <v>88709.567969183699</v>
      </c>
      <c r="AD66" s="45">
        <f t="shared" si="4"/>
        <v>519263.330253419</v>
      </c>
      <c r="AF66" s="45">
        <f t="shared" si="5"/>
        <v>4237100.0652999301</v>
      </c>
    </row>
    <row r="67" spans="1:32" x14ac:dyDescent="0.25">
      <c r="A67" s="23" t="s">
        <v>98</v>
      </c>
      <c r="B67" s="45">
        <f>'7a. Success 3 yr'!B67*'7. Success Allocation'!B$5</f>
        <v>1285414.1341788196</v>
      </c>
      <c r="C67" s="45">
        <f>'7a. Success 3 yr'!C67*'7. Success Allocation'!C$5</f>
        <v>1638753.0894138217</v>
      </c>
      <c r="D67" s="45">
        <f>'7a. Success 3 yr'!D67*'7. Success Allocation'!D$5</f>
        <v>0</v>
      </c>
      <c r="E67" s="45">
        <f>'7a. Success 3 yr'!E67*'7. Success Allocation'!E$5</f>
        <v>439799.54824158683</v>
      </c>
      <c r="F67" s="45">
        <f>'7a. Success 3 yr'!F67*'7. Success Allocation'!F$5</f>
        <v>213902.50755386267</v>
      </c>
      <c r="G67" s="45">
        <f>'7a. Success 3 yr'!G67*'7. Success Allocation'!G$5</f>
        <v>1443342.1537746622</v>
      </c>
      <c r="H67" s="45">
        <f>'7a. Success 3 yr'!H67*'7. Success Allocation'!H$5</f>
        <v>1198703.6550652795</v>
      </c>
      <c r="I67" s="45">
        <f>'7a. Success 3 yr'!I67*'7. Success Allocation'!I$5</f>
        <v>1843659.6971172884</v>
      </c>
      <c r="J67" s="45">
        <f t="shared" si="2"/>
        <v>8063574.7853453215</v>
      </c>
      <c r="K67" s="45"/>
      <c r="L67" s="45">
        <f>'7a. Success 3 yr'!J67*'7. Success Allocation'!L$5</f>
        <v>182916.63029138724</v>
      </c>
      <c r="M67" s="45">
        <f>'7a. Success 3 yr'!K67*'7. Success Allocation'!M$5</f>
        <v>259194.36443953746</v>
      </c>
      <c r="N67" s="45">
        <f>'7a. Success 3 yr'!L67*'7. Success Allocation'!N$5</f>
        <v>0</v>
      </c>
      <c r="O67" s="45">
        <f>'7a. Success 3 yr'!M67*'7. Success Allocation'!O$5</f>
        <v>49102.620016745343</v>
      </c>
      <c r="P67" s="45">
        <f>'7a. Success 3 yr'!N67*'7. Success Allocation'!P$5</f>
        <v>19865.945502958039</v>
      </c>
      <c r="Q67" s="45">
        <f>'7a. Success 3 yr'!O67*'7. Success Allocation'!Q$5</f>
        <v>186102.67815506918</v>
      </c>
      <c r="R67" s="45">
        <f>'7a. Success 3 yr'!P67*'7. Success Allocation'!R$5</f>
        <v>131565.03531204286</v>
      </c>
      <c r="S67" s="45">
        <f>'7a. Success 3 yr'!Q67*'7. Success Allocation'!S$5</f>
        <v>105139.57950150434</v>
      </c>
      <c r="T67" s="45">
        <f t="shared" si="3"/>
        <v>933886.8532192444</v>
      </c>
      <c r="U67" s="45"/>
      <c r="V67" s="45">
        <f>'7a. Success 3 yr'!R67*'7. Success Allocation'!V$5</f>
        <v>202407.74663391212</v>
      </c>
      <c r="W67" s="45">
        <f>'7a. Success 3 yr'!S67*'7. Success Allocation'!W$5</f>
        <v>288993.2826939745</v>
      </c>
      <c r="X67" s="45">
        <f>'7a. Success 3 yr'!T67*'7. Success Allocation'!X$5</f>
        <v>0</v>
      </c>
      <c r="Y67" s="45">
        <f>'7a. Success 3 yr'!U67*'7. Success Allocation'!Y$5</f>
        <v>59972.665669307295</v>
      </c>
      <c r="Z67" s="45">
        <f>'7a. Success 3 yr'!V67*'7. Success Allocation'!Z$5</f>
        <v>23989.066267722916</v>
      </c>
      <c r="AA67" s="45">
        <f>'7a. Success 3 yr'!W67*'7. Success Allocation'!AA$5</f>
        <v>219774.83106731568</v>
      </c>
      <c r="AB67" s="45">
        <f>'7a. Success 3 yr'!X67*'7. Success Allocation'!AB$5</f>
        <v>156491.17448084871</v>
      </c>
      <c r="AC67" s="45">
        <f>'7a. Success 3 yr'!Y67*'7. Success Allocation'!AC$5</f>
        <v>167798.52082058269</v>
      </c>
      <c r="AD67" s="45">
        <f t="shared" si="4"/>
        <v>1119427.287633664</v>
      </c>
      <c r="AF67" s="45">
        <f t="shared" si="5"/>
        <v>10116888.926198229</v>
      </c>
    </row>
    <row r="68" spans="1:32" x14ac:dyDescent="0.25">
      <c r="A68" s="23" t="s">
        <v>99</v>
      </c>
      <c r="B68" s="45">
        <f>'7a. Success 3 yr'!B68*'7. Success Allocation'!B$5</f>
        <v>2356925.7608037763</v>
      </c>
      <c r="C68" s="45">
        <f>'7a. Success 3 yr'!C68*'7. Success Allocation'!C$5</f>
        <v>1971601.3838784772</v>
      </c>
      <c r="D68" s="45">
        <f>'7a. Success 3 yr'!D68*'7. Success Allocation'!D$5</f>
        <v>0</v>
      </c>
      <c r="E68" s="45">
        <f>'7a. Success 3 yr'!E68*'7. Success Allocation'!E$5</f>
        <v>920580.41802386695</v>
      </c>
      <c r="F68" s="45">
        <f>'7a. Success 3 yr'!F68*'7. Success Allocation'!F$5</f>
        <v>954564.92856980767</v>
      </c>
      <c r="G68" s="45">
        <f>'7a. Success 3 yr'!G68*'7. Success Allocation'!G$5</f>
        <v>2179006.8526514983</v>
      </c>
      <c r="H68" s="45">
        <f>'7a. Success 3 yr'!H68*'7. Success Allocation'!H$5</f>
        <v>3105834.423349251</v>
      </c>
      <c r="I68" s="45">
        <f>'7a. Success 3 yr'!I68*'7. Success Allocation'!I$5</f>
        <v>1782687.4870201591</v>
      </c>
      <c r="J68" s="45">
        <f t="shared" si="2"/>
        <v>13271201.254296837</v>
      </c>
      <c r="K68" s="45"/>
      <c r="L68" s="45">
        <f>'7a. Success 3 yr'!J68*'7. Success Allocation'!L$5</f>
        <v>320104.10300992767</v>
      </c>
      <c r="M68" s="45">
        <f>'7a. Success 3 yr'!K68*'7. Success Allocation'!M$5</f>
        <v>245138.27092329354</v>
      </c>
      <c r="N68" s="45">
        <f>'7a. Success 3 yr'!L68*'7. Success Allocation'!N$5</f>
        <v>0</v>
      </c>
      <c r="O68" s="45">
        <f>'7a. Success 3 yr'!M68*'7. Success Allocation'!O$5</f>
        <v>98580.06919392386</v>
      </c>
      <c r="P68" s="45">
        <f>'7a. Success 3 yr'!N68*'7. Success Allocation'!P$5</f>
        <v>78339.294530532643</v>
      </c>
      <c r="Q68" s="45">
        <f>'7a. Success 3 yr'!O68*'7. Success Allocation'!Q$5</f>
        <v>193974.09052416577</v>
      </c>
      <c r="R68" s="45">
        <f>'7a. Success 3 yr'!P68*'7. Success Allocation'!R$5</f>
        <v>321603.41965166037</v>
      </c>
      <c r="S68" s="45">
        <f>'7a. Success 3 yr'!Q68*'7. Success Allocation'!S$5</f>
        <v>72529.442543818499</v>
      </c>
      <c r="T68" s="45">
        <f t="shared" si="3"/>
        <v>1330268.6903773225</v>
      </c>
      <c r="U68" s="45"/>
      <c r="V68" s="45">
        <f>'7a. Success 3 yr'!R68*'7. Success Allocation'!V$5</f>
        <v>311857.86148039793</v>
      </c>
      <c r="W68" s="45">
        <f>'7a. Success 3 yr'!S68*'7. Success Allocation'!W$5</f>
        <v>270626.65383274911</v>
      </c>
      <c r="X68" s="45">
        <f>'7a. Success 3 yr'!T68*'7. Success Allocation'!X$5</f>
        <v>0</v>
      </c>
      <c r="Y68" s="45">
        <f>'7a. Success 3 yr'!U68*'7. Success Allocation'!Y$5</f>
        <v>108950.34263257492</v>
      </c>
      <c r="Z68" s="45">
        <f>'7a. Success 3 yr'!V68*'7. Success Allocation'!Z$5</f>
        <v>82212.529188342072</v>
      </c>
      <c r="AA68" s="45">
        <f>'7a. Success 3 yr'!W68*'7. Success Allocation'!AA$5</f>
        <v>254633.94298760055</v>
      </c>
      <c r="AB68" s="45">
        <f>'7a. Success 3 yr'!X68*'7. Success Allocation'!AB$5</f>
        <v>353838.72744891298</v>
      </c>
      <c r="AC68" s="45">
        <f>'7a. Success 3 yr'!Y68*'7. Success Allocation'!AC$5</f>
        <v>124443.28126381263</v>
      </c>
      <c r="AD68" s="45">
        <f t="shared" si="4"/>
        <v>1506563.3388343903</v>
      </c>
      <c r="AF68" s="45">
        <f t="shared" si="5"/>
        <v>16108033.28350855</v>
      </c>
    </row>
    <row r="69" spans="1:32" x14ac:dyDescent="0.25">
      <c r="A69" s="23" t="s">
        <v>100</v>
      </c>
      <c r="B69" s="45">
        <f>'7a. Success 3 yr'!B69*'7. Success Allocation'!B$5</f>
        <v>1355382.2441263448</v>
      </c>
      <c r="C69" s="45">
        <f>'7a. Success 3 yr'!C69*'7. Success Allocation'!C$5</f>
        <v>1115491.5814491156</v>
      </c>
      <c r="D69" s="45">
        <f>'7a. Success 3 yr'!D69*'7. Success Allocation'!D$5</f>
        <v>0</v>
      </c>
      <c r="E69" s="45">
        <f>'7a. Success 3 yr'!E69*'7. Success Allocation'!E$5</f>
        <v>158927.56402366431</v>
      </c>
      <c r="F69" s="45">
        <f>'7a. Success 3 yr'!F69*'7. Success Allocation'!F$5</f>
        <v>256882.91795019957</v>
      </c>
      <c r="G69" s="45">
        <f>'7a. Success 3 yr'!G69*'7. Success Allocation'!G$5</f>
        <v>1045023.6992876795</v>
      </c>
      <c r="H69" s="45">
        <f>'7a. Success 3 yr'!H69*'7. Success Allocation'!H$5</f>
        <v>1012788.3914904268</v>
      </c>
      <c r="I69" s="45">
        <f>'7a. Success 3 yr'!I69*'7. Success Allocation'!I$5</f>
        <v>889094.76854748058</v>
      </c>
      <c r="J69" s="45">
        <f t="shared" si="2"/>
        <v>5833591.1668749116</v>
      </c>
      <c r="K69" s="45"/>
      <c r="L69" s="45">
        <f>'7a. Success 3 yr'!J69*'7. Success Allocation'!L$5</f>
        <v>302861.96163000184</v>
      </c>
      <c r="M69" s="45">
        <f>'7a. Success 3 yr'!K69*'7. Success Allocation'!M$5</f>
        <v>249636.22084849159</v>
      </c>
      <c r="N69" s="45">
        <f>'7a. Success 3 yr'!L69*'7. Success Allocation'!N$5</f>
        <v>0</v>
      </c>
      <c r="O69" s="45">
        <f>'7a. Success 3 yr'!M69*'7. Success Allocation'!O$5</f>
        <v>34484.282759851689</v>
      </c>
      <c r="P69" s="45">
        <f>'7a. Success 3 yr'!N69*'7. Success Allocation'!P$5</f>
        <v>40856.378487215588</v>
      </c>
      <c r="Q69" s="45">
        <f>'7a. Success 3 yr'!O69*'7. Success Allocation'!Q$5</f>
        <v>217213.49847102235</v>
      </c>
      <c r="R69" s="45">
        <f>'7a. Success 3 yr'!P69*'7. Success Allocation'!R$5</f>
        <v>192568.48117254139</v>
      </c>
      <c r="S69" s="45">
        <f>'7a. Success 3 yr'!Q69*'7. Success Allocation'!S$5</f>
        <v>109450.1148464858</v>
      </c>
      <c r="T69" s="45">
        <f t="shared" si="3"/>
        <v>1147070.9382156103</v>
      </c>
      <c r="U69" s="45"/>
      <c r="V69" s="45">
        <f>'7a. Success 3 yr'!R69*'7. Success Allocation'!V$5</f>
        <v>268377.67887015012</v>
      </c>
      <c r="W69" s="45">
        <f>'7a. Success 3 yr'!S69*'7. Success Allocation'!W$5</f>
        <v>228270.95870380086</v>
      </c>
      <c r="X69" s="45">
        <f>'7a. Success 3 yr'!T69*'7. Success Allocation'!X$5</f>
        <v>0</v>
      </c>
      <c r="Y69" s="45">
        <f>'7a. Success 3 yr'!U69*'7. Success Allocation'!Y$5</f>
        <v>32735.080011163562</v>
      </c>
      <c r="Z69" s="45">
        <f>'7a. Success 3 yr'!V69*'7. Success Allocation'!Z$5</f>
        <v>37732.802150272502</v>
      </c>
      <c r="AA69" s="45">
        <f>'7a. Success 3 yr'!W69*'7. Success Allocation'!AA$5</f>
        <v>208155.12709388739</v>
      </c>
      <c r="AB69" s="45">
        <f>'7a. Success 3 yr'!X69*'7. Success Allocation'!AB$5</f>
        <v>188539.06769788478</v>
      </c>
      <c r="AC69" s="45">
        <f>'7a. Success 3 yr'!Y69*'7. Success Allocation'!AC$5</f>
        <v>126067.54095902304</v>
      </c>
      <c r="AD69" s="45">
        <f t="shared" si="4"/>
        <v>1089878.2554861822</v>
      </c>
      <c r="AF69" s="45">
        <f t="shared" si="5"/>
        <v>8070540.3605767041</v>
      </c>
    </row>
    <row r="70" spans="1:32" x14ac:dyDescent="0.25">
      <c r="A70" s="23" t="s">
        <v>101</v>
      </c>
      <c r="B70" s="45">
        <f>'7a. Success 3 yr'!B70*'7. Success Allocation'!B$5</f>
        <v>3418441.9431505157</v>
      </c>
      <c r="C70" s="45">
        <f>'7a. Success 3 yr'!C70*'7. Success Allocation'!C$5</f>
        <v>1896635.551791843</v>
      </c>
      <c r="D70" s="45">
        <f>'7a. Success 3 yr'!D70*'7. Success Allocation'!D$5</f>
        <v>0</v>
      </c>
      <c r="E70" s="45">
        <f>'7a. Success 3 yr'!E70*'7. Success Allocation'!E$5</f>
        <v>780644.19812881656</v>
      </c>
      <c r="F70" s="45">
        <f>'7a. Success 3 yr'!F70*'7. Success Allocation'!F$5</f>
        <v>709676.5437534696</v>
      </c>
      <c r="G70" s="45">
        <f>'7a. Success 3 yr'!G70*'7. Success Allocation'!G$5</f>
        <v>2828210.9585217498</v>
      </c>
      <c r="H70" s="45">
        <f>'7a. Success 3 yr'!H70*'7. Success Allocation'!H$5</f>
        <v>2480619.3837467227</v>
      </c>
      <c r="I70" s="45">
        <f>'7a. Success 3 yr'!I70*'7. Success Allocation'!I$5</f>
        <v>2987138.522545414</v>
      </c>
      <c r="J70" s="45">
        <f t="shared" si="2"/>
        <v>15101367.101638531</v>
      </c>
      <c r="K70" s="45"/>
      <c r="L70" s="45">
        <f>'7a. Success 3 yr'!J70*'7. Success Allocation'!L$5</f>
        <v>814128.93646084645</v>
      </c>
      <c r="M70" s="45">
        <f>'7a. Success 3 yr'!K70*'7. Success Allocation'!M$5</f>
        <v>501521.41665958223</v>
      </c>
      <c r="N70" s="45">
        <f>'7a. Success 3 yr'!L70*'7. Success Allocation'!N$5</f>
        <v>0</v>
      </c>
      <c r="O70" s="45">
        <f>'7a. Success 3 yr'!M70*'7. Success Allocation'!O$5</f>
        <v>188164.23853745163</v>
      </c>
      <c r="P70" s="45">
        <f>'7a. Success 3 yr'!N70*'7. Success Allocation'!P$5</f>
        <v>130440.54783074335</v>
      </c>
      <c r="Q70" s="45">
        <f>'7a. Success 3 yr'!O70*'7. Success Allocation'!Q$5</f>
        <v>649953.76419111772</v>
      </c>
      <c r="R70" s="45">
        <f>'7a. Success 3 yr'!P70*'7. Success Allocation'!R$5</f>
        <v>491401.02932788664</v>
      </c>
      <c r="S70" s="45">
        <f>'7a. Success 3 yr'!Q70*'7. Success Allocation'!S$5</f>
        <v>517639.07055820856</v>
      </c>
      <c r="T70" s="45">
        <f t="shared" si="3"/>
        <v>3293249.0035658367</v>
      </c>
      <c r="U70" s="45"/>
      <c r="V70" s="45">
        <f>'7a. Success 3 yr'!R70*'7. Success Allocation'!V$5</f>
        <v>687686.56634139025</v>
      </c>
      <c r="W70" s="45">
        <f>'7a. Success 3 yr'!S70*'7. Success Allocation'!W$5</f>
        <v>418309.34304341837</v>
      </c>
      <c r="X70" s="45">
        <f>'7a. Success 3 yr'!T70*'7. Success Allocation'!X$5</f>
        <v>0</v>
      </c>
      <c r="Y70" s="45">
        <f>'7a. Success 3 yr'!U70*'7. Success Allocation'!Y$5</f>
        <v>157928.01959584255</v>
      </c>
      <c r="Z70" s="45">
        <f>'7a. Success 3 yr'!V70*'7. Success Allocation'!Z$5</f>
        <v>115197.49530646109</v>
      </c>
      <c r="AA70" s="45">
        <f>'7a. Success 3 yr'!W70*'7. Success Allocation'!AA$5</f>
        <v>568116.06416320882</v>
      </c>
      <c r="AB70" s="45">
        <f>'7a. Success 3 yr'!X70*'7. Success Allocation'!AB$5</f>
        <v>452231.38206262025</v>
      </c>
      <c r="AC70" s="45">
        <f>'7a. Success 3 yr'!Y70*'7. Success Allocation'!AC$5</f>
        <v>506144.30963825801</v>
      </c>
      <c r="AD70" s="45">
        <f t="shared" si="4"/>
        <v>2905613.180151199</v>
      </c>
      <c r="AF70" s="45">
        <f t="shared" ref="AF70:AF77" si="6">SUM(J70,T70,AD70)</f>
        <v>21300229.285355564</v>
      </c>
    </row>
    <row r="71" spans="1:32" x14ac:dyDescent="0.25">
      <c r="A71" s="23" t="s">
        <v>102</v>
      </c>
      <c r="B71" s="45">
        <f>'7a. Success 3 yr'!B71*'7. Success Allocation'!B$5</f>
        <v>3552380.8964786353</v>
      </c>
      <c r="C71" s="45">
        <f>'7a. Success 3 yr'!C71*'7. Success Allocation'!C$5</f>
        <v>2629801.3895991244</v>
      </c>
      <c r="D71" s="45">
        <f>'7a. Success 3 yr'!D71*'7. Success Allocation'!D$5</f>
        <v>0</v>
      </c>
      <c r="E71" s="45">
        <f>'7a. Success 3 yr'!E71*'7. Success Allocation'!E$5</f>
        <v>819626.43081386632</v>
      </c>
      <c r="F71" s="45">
        <f>'7a. Success 3 yr'!F71*'7. Success Allocation'!F$5</f>
        <v>1172465.6138349576</v>
      </c>
      <c r="G71" s="45">
        <f>'7a. Success 3 yr'!G71*'7. Success Allocation'!G$5</f>
        <v>1970102.0672367446</v>
      </c>
      <c r="H71" s="45">
        <f>'7a. Success 3 yr'!H71*'7. Success Allocation'!H$5</f>
        <v>2921418.4764161315</v>
      </c>
      <c r="I71" s="45">
        <f>'7a. Success 3 yr'!I71*'7. Success Allocation'!I$5</f>
        <v>1392865.1601696617</v>
      </c>
      <c r="J71" s="45">
        <f t="shared" ref="J71:J77" si="7">SUM(B71:I71)</f>
        <v>14458660.034549121</v>
      </c>
      <c r="K71" s="45"/>
      <c r="L71" s="45">
        <f>'7a. Success 3 yr'!J71*'7. Success Allocation'!L$5</f>
        <v>630462.64784859284</v>
      </c>
      <c r="M71" s="45">
        <f>'7a. Success 3 yr'!K71*'7. Success Allocation'!M$5</f>
        <v>530195.84743271978</v>
      </c>
      <c r="N71" s="45">
        <f>'7a. Success 3 yr'!L71*'7. Success Allocation'!N$5</f>
        <v>0</v>
      </c>
      <c r="O71" s="45">
        <f>'7a. Success 3 yr'!M71*'7. Success Allocation'!O$5</f>
        <v>143184.73928547115</v>
      </c>
      <c r="P71" s="45">
        <f>'7a. Success 3 yr'!N71*'7. Success Allocation'!P$5</f>
        <v>152555.46829630042</v>
      </c>
      <c r="Q71" s="45">
        <f>'7a. Success 3 yr'!O71*'7. Success Allocation'!Q$5</f>
        <v>332473.46530422231</v>
      </c>
      <c r="R71" s="45">
        <f>'7a. Success 3 yr'!P71*'7. Success Allocation'!R$5</f>
        <v>394413.98406580376</v>
      </c>
      <c r="S71" s="45">
        <f>'7a. Success 3 yr'!Q71*'7. Success Allocation'!S$5</f>
        <v>166049.31807189455</v>
      </c>
      <c r="T71" s="45">
        <f t="shared" ref="T71:T77" si="8">SUM(L71:S71)</f>
        <v>2349335.4703050046</v>
      </c>
      <c r="U71" s="45"/>
      <c r="V71" s="45">
        <f>'7a. Success 3 yr'!R71*'7. Success Allocation'!V$5</f>
        <v>596728.02340960759</v>
      </c>
      <c r="W71" s="45">
        <f>'7a. Success 3 yr'!S71*'7. Success Allocation'!W$5</f>
        <v>491401.02932788659</v>
      </c>
      <c r="X71" s="45">
        <f>'7a. Success 3 yr'!T71*'7. Success Allocation'!X$5</f>
        <v>0</v>
      </c>
      <c r="Y71" s="45">
        <f>'7a. Success 3 yr'!U71*'7. Success Allocation'!Y$5</f>
        <v>140435.99210896125</v>
      </c>
      <c r="Z71" s="45">
        <f>'7a. Success 3 yr'!V71*'7. Success Allocation'!Z$5</f>
        <v>150681.32249413457</v>
      </c>
      <c r="AA71" s="45">
        <f>'7a. Success 3 yr'!W71*'7. Success Allocation'!AA$5</f>
        <v>333722.89583899954</v>
      </c>
      <c r="AB71" s="45">
        <f>'7a. Success 3 yr'!X71*'7. Success Allocation'!AB$5</f>
        <v>414748.46601930325</v>
      </c>
      <c r="AC71" s="45">
        <f>'7a. Success 3 yr'!Y71*'7. Success Allocation'!AC$5</f>
        <v>202407.74663391212</v>
      </c>
      <c r="AD71" s="45">
        <f t="shared" ref="AD71:AD77" si="9">SUM(V71:AC71)</f>
        <v>2330125.4758328046</v>
      </c>
      <c r="AF71" s="45">
        <f t="shared" si="6"/>
        <v>19138120.980686929</v>
      </c>
    </row>
    <row r="72" spans="1:32" x14ac:dyDescent="0.25">
      <c r="A72" s="23" t="s">
        <v>103</v>
      </c>
      <c r="B72" s="45">
        <f>'7a. Success 3 yr'!B72*'7. Success Allocation'!B$5</f>
        <v>307859.68376911076</v>
      </c>
      <c r="C72" s="45">
        <f>'7a. Success 3 yr'!C72*'7. Success Allocation'!C$5</f>
        <v>1070512.0821971351</v>
      </c>
      <c r="D72" s="45">
        <f>'7a. Success 3 yr'!D72*'7. Success Allocation'!D$5</f>
        <v>0</v>
      </c>
      <c r="E72" s="45">
        <f>'7a. Success 3 yr'!E72*'7. Success Allocation'!E$5</f>
        <v>113948.06477168386</v>
      </c>
      <c r="F72" s="45">
        <f>'7a. Success 3 yr'!F72*'7. Success Allocation'!F$5</f>
        <v>122943.96462207995</v>
      </c>
      <c r="G72" s="45">
        <f>'7a. Success 3 yr'!G72*'7. Success Allocation'!G$5</f>
        <v>888095.22411965881</v>
      </c>
      <c r="H72" s="45">
        <f>'7a. Success 3 yr'!H72*'7. Success Allocation'!H$5</f>
        <v>514265.60811431002</v>
      </c>
      <c r="I72" s="45">
        <f>'7a. Success 3 yr'!I72*'7. Success Allocation'!I$5</f>
        <v>796636.90897396521</v>
      </c>
      <c r="J72" s="45">
        <f t="shared" si="7"/>
        <v>3814261.5365679441</v>
      </c>
      <c r="K72" s="45"/>
      <c r="L72" s="45">
        <f>'7a. Success 3 yr'!J72*'7. Success Allocation'!L$5</f>
        <v>86960.365220495572</v>
      </c>
      <c r="M72" s="45">
        <f>'7a. Success 3 yr'!K72*'7. Success Allocation'!M$5</f>
        <v>282246.35780617746</v>
      </c>
      <c r="N72" s="45">
        <f>'7a. Success 3 yr'!L72*'7. Success Allocation'!N$5</f>
        <v>0</v>
      </c>
      <c r="O72" s="45">
        <f>'7a. Success 3 yr'!M72*'7. Success Allocation'!O$5</f>
        <v>25863.21206988877</v>
      </c>
      <c r="P72" s="45">
        <f>'7a. Success 3 yr'!N72*'7. Success Allocation'!P$5</f>
        <v>26612.87039075511</v>
      </c>
      <c r="Q72" s="45">
        <f>'7a. Success 3 yr'!O72*'7. Success Allocation'!Q$5</f>
        <v>214964.52350842333</v>
      </c>
      <c r="R72" s="45">
        <f>'7a. Success 3 yr'!P72*'7. Success Allocation'!R$5</f>
        <v>116103.33244417458</v>
      </c>
      <c r="S72" s="45">
        <f>'7a. Success 3 yr'!Q72*'7. Success Allocation'!S$5</f>
        <v>150306.49333370139</v>
      </c>
      <c r="T72" s="45">
        <f t="shared" si="8"/>
        <v>903057.15477361623</v>
      </c>
      <c r="U72" s="45"/>
      <c r="V72" s="45">
        <f>'7a. Success 3 yr'!R72*'7. Success Allocation'!V$5</f>
        <v>68968.565519703392</v>
      </c>
      <c r="W72" s="45">
        <f>'7a. Success 3 yr'!S72*'7. Success Allocation'!W$5</f>
        <v>232019.25030813258</v>
      </c>
      <c r="X72" s="45">
        <f>'7a. Success 3 yr'!T72*'7. Success Allocation'!X$5</f>
        <v>0</v>
      </c>
      <c r="Y72" s="45">
        <f>'7a. Success 3 yr'!U72*'7. Success Allocation'!Y$5</f>
        <v>22489.749625990233</v>
      </c>
      <c r="Z72" s="45">
        <f>'7a. Success 3 yr'!V72*'7. Success Allocation'!Z$5</f>
        <v>24488.838481633811</v>
      </c>
      <c r="AA72" s="45">
        <f>'7a. Success 3 yr'!W72*'7. Success Allocation'!AA$5</f>
        <v>182541.80113095406</v>
      </c>
      <c r="AB72" s="45">
        <f>'7a. Success 3 yr'!X72*'7. Success Allocation'!AB$5</f>
        <v>98954.898354357021</v>
      </c>
      <c r="AC72" s="45">
        <f>'7a. Success 3 yr'!Y72*'7. Success Allocation'!AC$5</f>
        <v>149806.72111979051</v>
      </c>
      <c r="AD72" s="45">
        <f t="shared" si="9"/>
        <v>779269.82454056153</v>
      </c>
      <c r="AF72" s="45">
        <f t="shared" si="6"/>
        <v>5496588.5158821214</v>
      </c>
    </row>
    <row r="73" spans="1:32" x14ac:dyDescent="0.25">
      <c r="A73" s="23" t="s">
        <v>104</v>
      </c>
      <c r="B73" s="45">
        <f>'7a. Success 3 yr'!B73*'7. Success Allocation'!B$5</f>
        <v>399817.77112871525</v>
      </c>
      <c r="C73" s="45">
        <f>'7a. Success 3 yr'!C73*'7. Success Allocation'!C$5</f>
        <v>863606.38563802501</v>
      </c>
      <c r="D73" s="45">
        <f>'7a. Success 3 yr'!D73*'7. Success Allocation'!D$5</f>
        <v>0</v>
      </c>
      <c r="E73" s="45">
        <f>'7a. Success 3 yr'!E73*'7. Success Allocation'!E$5</f>
        <v>154929.38631237717</v>
      </c>
      <c r="F73" s="45">
        <f>'7a. Success 3 yr'!F73*'7. Success Allocation'!F$5</f>
        <v>114947.60919950565</v>
      </c>
      <c r="G73" s="45">
        <f>'7a. Success 3 yr'!G73*'7. Success Allocation'!G$5</f>
        <v>469286.10886232957</v>
      </c>
      <c r="H73" s="45">
        <f>'7a. Success 3 yr'!H73*'7. Success Allocation'!H$5</f>
        <v>435551.4844233442</v>
      </c>
      <c r="I73" s="45">
        <f>'7a. Success 3 yr'!I73*'7. Success Allocation'!I$5</f>
        <v>467287.02000668598</v>
      </c>
      <c r="J73" s="45">
        <f t="shared" si="7"/>
        <v>2905425.7655709828</v>
      </c>
      <c r="K73" s="45"/>
      <c r="L73" s="45">
        <f>'7a. Success 3 yr'!J73*'7. Success Allocation'!L$5</f>
        <v>104952.16492128775</v>
      </c>
      <c r="M73" s="45">
        <f>'7a. Success 3 yr'!K73*'7. Success Allocation'!M$5</f>
        <v>229395.44618510039</v>
      </c>
      <c r="N73" s="45">
        <f>'7a. Success 3 yr'!L73*'7. Success Allocation'!N$5</f>
        <v>0</v>
      </c>
      <c r="O73" s="45">
        <f>'7a. Success 3 yr'!M73*'7. Success Allocation'!O$5</f>
        <v>36358.428562017543</v>
      </c>
      <c r="P73" s="45">
        <f>'7a. Success 3 yr'!N73*'7. Success Allocation'!P$5</f>
        <v>23989.066267722916</v>
      </c>
      <c r="Q73" s="45">
        <f>'7a. Success 3 yr'!O73*'7. Success Allocation'!Q$5</f>
        <v>118258.60011666531</v>
      </c>
      <c r="R73" s="45">
        <f>'7a. Success 3 yr'!P73*'7. Success Allocation'!R$5</f>
        <v>89396.754763311183</v>
      </c>
      <c r="S73" s="45">
        <f>'7a. Success 3 yr'!Q73*'7. Success Allocation'!S$5</f>
        <v>96143.67965110825</v>
      </c>
      <c r="T73" s="45">
        <f t="shared" si="8"/>
        <v>698494.14046721335</v>
      </c>
      <c r="U73" s="45"/>
      <c r="V73" s="45">
        <f>'7a. Success 3 yr'!R73*'7. Success Allocation'!V$5</f>
        <v>84461.504150941095</v>
      </c>
      <c r="W73" s="45">
        <f>'7a. Success 3 yr'!S73*'7. Success Allocation'!W$5</f>
        <v>187039.7510561521</v>
      </c>
      <c r="X73" s="45">
        <f>'7a. Success 3 yr'!T73*'7. Success Allocation'!X$5</f>
        <v>0</v>
      </c>
      <c r="Y73" s="45">
        <f>'7a. Success 3 yr'!U73*'7. Success Allocation'!Y$5</f>
        <v>32485.193904208118</v>
      </c>
      <c r="Z73" s="45">
        <f>'7a. Success 3 yr'!V73*'7. Success Allocation'!Z$5</f>
        <v>19491.116342524871</v>
      </c>
      <c r="AA73" s="45">
        <f>'7a. Success 3 yr'!W73*'7. Success Allocation'!AA$5</f>
        <v>98080.296980012965</v>
      </c>
      <c r="AB73" s="45">
        <f>'7a. Success 3 yr'!X73*'7. Success Allocation'!AB$5</f>
        <v>77777.050789882895</v>
      </c>
      <c r="AC73" s="45">
        <f>'7a. Success 3 yr'!Y73*'7. Success Allocation'!AC$5</f>
        <v>91708.201252649073</v>
      </c>
      <c r="AD73" s="45">
        <f t="shared" si="9"/>
        <v>591043.11447637109</v>
      </c>
      <c r="AF73" s="45">
        <f t="shared" si="6"/>
        <v>4194963.0205145674</v>
      </c>
    </row>
    <row r="74" spans="1:32" x14ac:dyDescent="0.25">
      <c r="A74" s="23" t="s">
        <v>33</v>
      </c>
      <c r="B74" s="45">
        <f>'7a. Success 3 yr'!B74*'7. Success Allocation'!B$5</f>
        <v>201907.97442000121</v>
      </c>
      <c r="C74" s="45">
        <f>'7a. Success 3 yr'!C74*'7. Success Allocation'!C$5</f>
        <v>415310.70975995297</v>
      </c>
      <c r="D74" s="45">
        <f>'7a. Success 3 yr'!D74*'7. Success Allocation'!D$5</f>
        <v>0</v>
      </c>
      <c r="E74" s="45">
        <f>'7a. Success 3 yr'!E74*'7. Success Allocation'!E$5</f>
        <v>5997.2665669307289</v>
      </c>
      <c r="F74" s="45">
        <f>'7a. Success 3 yr'!F74*'7. Success Allocation'!F$5</f>
        <v>52975.854674554772</v>
      </c>
      <c r="G74" s="45">
        <f>'7a. Success 3 yr'!G74*'7. Success Allocation'!G$5</f>
        <v>156428.70295410985</v>
      </c>
      <c r="H74" s="45">
        <f>'7a. Success 3 yr'!H74*'7. Success Allocation'!H$5</f>
        <v>231644.42114769941</v>
      </c>
      <c r="I74" s="45">
        <f>'7a. Success 3 yr'!I74*'7. Success Allocation'!I$5</f>
        <v>1890638.2852249125</v>
      </c>
      <c r="J74" s="45">
        <f t="shared" si="7"/>
        <v>2954903.2147481614</v>
      </c>
      <c r="K74" s="45"/>
      <c r="L74" s="45">
        <f>'7a. Success 3 yr'!J74*'7. Success Allocation'!L$5</f>
        <v>48727.790856312175</v>
      </c>
      <c r="M74" s="45">
        <f>'7a. Success 3 yr'!K74*'7. Success Allocation'!M$5</f>
        <v>91645.729725910205</v>
      </c>
      <c r="N74" s="45">
        <f>'7a. Success 3 yr'!L74*'7. Success Allocation'!N$5</f>
        <v>0</v>
      </c>
      <c r="O74" s="45">
        <f>'7a. Success 3 yr'!M74*'7. Success Allocation'!O$5</f>
        <v>1499.3166417326822</v>
      </c>
      <c r="P74" s="45">
        <f>'7a. Success 3 yr'!N74*'7. Success Allocation'!P$5</f>
        <v>8995.8998503960938</v>
      </c>
      <c r="Q74" s="45">
        <f>'7a. Success 3 yr'!O74*'7. Success Allocation'!Q$5</f>
        <v>34671.697340068276</v>
      </c>
      <c r="R74" s="45">
        <f>'7a. Success 3 yr'!P74*'7. Success Allocation'!R$5</f>
        <v>37670.330623533642</v>
      </c>
      <c r="S74" s="45">
        <f>'7a. Success 3 yr'!Q74*'7. Success Allocation'!S$5</f>
        <v>40668.963906999008</v>
      </c>
      <c r="T74" s="45">
        <f t="shared" si="8"/>
        <v>263879.72894495202</v>
      </c>
      <c r="U74" s="45"/>
      <c r="V74" s="45">
        <f>'7a. Success 3 yr'!R74*'7. Success Allocation'!V$5</f>
        <v>42480.638182425995</v>
      </c>
      <c r="W74" s="45">
        <f>'7a. Success 3 yr'!S74*'7. Success Allocation'!W$5</f>
        <v>85835.877739196061</v>
      </c>
      <c r="X74" s="45">
        <f>'7a. Success 3 yr'!T74*'7. Success Allocation'!X$5</f>
        <v>0</v>
      </c>
      <c r="Y74" s="45">
        <f>'7a. Success 3 yr'!U74*'7. Success Allocation'!Y$5</f>
        <v>1249.4305347772352</v>
      </c>
      <c r="Z74" s="45">
        <f>'7a. Success 3 yr'!V74*'7. Success Allocation'!Z$5</f>
        <v>7996.3554225743055</v>
      </c>
      <c r="AA74" s="45">
        <f>'7a. Success 3 yr'!W74*'7. Success Allocation'!AA$5</f>
        <v>33359.795278552177</v>
      </c>
      <c r="AB74" s="45">
        <f>'7a. Success 3 yr'!X74*'7. Success Allocation'!AB$5</f>
        <v>34296.868179635108</v>
      </c>
      <c r="AC74" s="45">
        <f>'7a. Success 3 yr'!Y74*'7. Success Allocation'!AC$5</f>
        <v>50227.107498044854</v>
      </c>
      <c r="AD74" s="45">
        <f t="shared" si="9"/>
        <v>255446.07283520573</v>
      </c>
      <c r="AF74" s="45">
        <f t="shared" si="6"/>
        <v>3474229.0165283191</v>
      </c>
    </row>
    <row r="75" spans="1:32" ht="17.25" x14ac:dyDescent="0.25">
      <c r="A75" s="23" t="s">
        <v>105</v>
      </c>
      <c r="B75" s="45">
        <f>'7a. Success 3 yr'!B75*'7. Success Allocation'!B$5</f>
        <v>1119489.7591604027</v>
      </c>
      <c r="C75" s="45">
        <f>'7a. Success 3 yr'!C75*'7. Success Allocation'!C$5</f>
        <v>671693.85549624159</v>
      </c>
      <c r="D75" s="45">
        <f>'7a. Success 3 yr'!D75*'7. Success Allocation'!D$5</f>
        <v>0</v>
      </c>
      <c r="E75" s="45">
        <f>'7a. Success 3 yr'!E75*'7. Success Allocation'!E$5</f>
        <v>107950.79820475313</v>
      </c>
      <c r="F75" s="45">
        <f>'7a. Success 3 yr'!F75*'7. Success Allocation'!F$5</f>
        <v>294865.60620742751</v>
      </c>
      <c r="G75" s="45">
        <f>'7a. Success 3 yr'!G75*'7. Success Allocation'!G$5</f>
        <v>933074.72337163927</v>
      </c>
      <c r="H75" s="45">
        <f>'7a. Success 3 yr'!H75*'7. Success Allocation'!H$5</f>
        <v>1345636.6859550823</v>
      </c>
      <c r="I75" s="45">
        <f>'7a. Success 3 yr'!I75*'7. Success Allocation'!I$5</f>
        <v>985051.03361837228</v>
      </c>
      <c r="J75" s="45">
        <f t="shared" si="7"/>
        <v>5457762.4620139189</v>
      </c>
      <c r="K75" s="45"/>
      <c r="L75" s="45">
        <f>'7a. Success 3 yr'!J75*'7. Success Allocation'!L$5</f>
        <v>173920.73044099114</v>
      </c>
      <c r="M75" s="45">
        <f>'7a. Success 3 yr'!K75*'7. Success Allocation'!M$5</f>
        <v>89958.998503960931</v>
      </c>
      <c r="N75" s="45">
        <f>'7a. Success 3 yr'!L75*'7. Success Allocation'!N$5</f>
        <v>0</v>
      </c>
      <c r="O75" s="45">
        <f>'7a. Success 3 yr'!M75*'7. Success Allocation'!O$5</f>
        <v>14243.50809646048</v>
      </c>
      <c r="P75" s="45">
        <f>'7a. Success 3 yr'!N75*'7. Success Allocation'!P$5</f>
        <v>20240.77466339121</v>
      </c>
      <c r="Q75" s="45">
        <f>'7a. Success 3 yr'!O75*'7. Success Allocation'!Q$5</f>
        <v>96518.508811541426</v>
      </c>
      <c r="R75" s="45">
        <f>'7a. Success 3 yr'!P75*'7. Success Allocation'!R$5</f>
        <v>134376.25401529166</v>
      </c>
      <c r="S75" s="45">
        <f>'7a. Success 3 yr'!Q75*'7. Success Allocation'!S$5</f>
        <v>50227.107498044854</v>
      </c>
      <c r="T75" s="45">
        <f t="shared" si="8"/>
        <v>579485.8820296817</v>
      </c>
      <c r="U75" s="45"/>
      <c r="V75" s="45">
        <f>'7a. Success 3 yr'!R75*'7. Success Allocation'!V$5</f>
        <v>159927.1084514861</v>
      </c>
      <c r="W75" s="45">
        <f>'7a. Success 3 yr'!S75*'7. Success Allocation'!W$5</f>
        <v>91458.315145693618</v>
      </c>
      <c r="X75" s="45">
        <f>'7a. Success 3 yr'!T75*'7. Success Allocation'!X$5</f>
        <v>0</v>
      </c>
      <c r="Y75" s="45">
        <f>'7a. Success 3 yr'!U75*'7. Success Allocation'!Y$5</f>
        <v>13743.735882549588</v>
      </c>
      <c r="Z75" s="45">
        <f>'7a. Success 3 yr'!V75*'7. Success Allocation'!Z$5</f>
        <v>21490.205198168445</v>
      </c>
      <c r="AA75" s="45">
        <f>'7a. Success 3 yr'!W75*'7. Success Allocation'!AA$5</f>
        <v>100204.32888913427</v>
      </c>
      <c r="AB75" s="45">
        <f>'7a. Success 3 yr'!X75*'7. Success Allocation'!AB$5</f>
        <v>142247.66638438823</v>
      </c>
      <c r="AC75" s="45">
        <f>'7a. Success 3 yr'!Y75*'7. Success Allocation'!AC$5</f>
        <v>68843.622466225657</v>
      </c>
      <c r="AD75" s="45">
        <f t="shared" si="9"/>
        <v>597914.98241764586</v>
      </c>
      <c r="AF75" s="45">
        <f t="shared" si="6"/>
        <v>6635163.3264612462</v>
      </c>
    </row>
    <row r="76" spans="1:32" x14ac:dyDescent="0.25">
      <c r="A76" s="23" t="s">
        <v>106</v>
      </c>
      <c r="B76" s="45">
        <f>'7a. Success 3 yr'!B76*'7. Success Allocation'!B$5</f>
        <v>1045523.4715015905</v>
      </c>
      <c r="C76" s="45">
        <f>'7a. Success 3 yr'!C76*'7. Success Allocation'!C$5</f>
        <v>1557789.9907602568</v>
      </c>
      <c r="D76" s="45">
        <f>'7a. Success 3 yr'!D76*'7. Success Allocation'!D$5</f>
        <v>0</v>
      </c>
      <c r="E76" s="45">
        <f>'7a. Success 3 yr'!E76*'7. Success Allocation'!E$5</f>
        <v>201907.97442000121</v>
      </c>
      <c r="F76" s="45">
        <f>'7a. Success 3 yr'!F76*'7. Success Allocation'!F$5</f>
        <v>76964.920942277691</v>
      </c>
      <c r="G76" s="45">
        <f>'7a. Success 3 yr'!G76*'7. Success Allocation'!G$5</f>
        <v>1431847.3928547115</v>
      </c>
      <c r="H76" s="45">
        <f>'7a. Success 3 yr'!H76*'7. Success Allocation'!H$5</f>
        <v>1138730.9893959721</v>
      </c>
      <c r="I76" s="45">
        <f>'7a. Success 3 yr'!I76*'7. Success Allocation'!I$5</f>
        <v>1656245.1169007029</v>
      </c>
      <c r="J76" s="45">
        <f t="shared" si="7"/>
        <v>7109009.8567755129</v>
      </c>
      <c r="K76" s="45"/>
      <c r="L76" s="45">
        <f>'7a. Success 3 yr'!J76*'7. Success Allocation'!L$5</f>
        <v>230894.76282683306</v>
      </c>
      <c r="M76" s="45">
        <f>'7a. Success 3 yr'!K76*'7. Success Allocation'!M$5</f>
        <v>349715.60668414814</v>
      </c>
      <c r="N76" s="45">
        <f>'7a. Success 3 yr'!L76*'7. Success Allocation'!N$5</f>
        <v>0</v>
      </c>
      <c r="O76" s="45">
        <f>'7a. Success 3 yr'!M76*'7. Success Allocation'!O$5</f>
        <v>42355.695128948275</v>
      </c>
      <c r="P76" s="45">
        <f>'7a. Success 3 yr'!N76*'7. Success Allocation'!P$5</f>
        <v>13119.020615160969</v>
      </c>
      <c r="Q76" s="45">
        <f>'7a. Success 3 yr'!O76*'7. Success Allocation'!Q$5</f>
        <v>292366.74513787305</v>
      </c>
      <c r="R76" s="45">
        <f>'7a. Success 3 yr'!P76*'7. Success Allocation'!R$5</f>
        <v>220118.42446437941</v>
      </c>
      <c r="S76" s="45">
        <f>'7a. Success 3 yr'!Q76*'7. Success Allocation'!S$5</f>
        <v>253759.34161325646</v>
      </c>
      <c r="T76" s="45">
        <f t="shared" si="8"/>
        <v>1402329.5964705993</v>
      </c>
      <c r="U76" s="45"/>
      <c r="V76" s="45">
        <f>'7a. Success 3 yr'!R76*'7. Success Allocation'!V$5</f>
        <v>207405.46877302104</v>
      </c>
      <c r="W76" s="45">
        <f>'7a. Success 3 yr'!S76*'7. Success Allocation'!W$5</f>
        <v>314106.83644299692</v>
      </c>
      <c r="X76" s="45">
        <f>'7a. Success 3 yr'!T76*'7. Success Allocation'!X$5</f>
        <v>0</v>
      </c>
      <c r="Y76" s="45">
        <f>'7a. Success 3 yr'!U76*'7. Success Allocation'!Y$5</f>
        <v>38982.232685049741</v>
      </c>
      <c r="Z76" s="45">
        <f>'7a. Success 3 yr'!V76*'7. Success Allocation'!Z$5</f>
        <v>12244.419240816906</v>
      </c>
      <c r="AA76" s="45">
        <f>'7a. Success 3 yr'!W76*'7. Success Allocation'!AA$5</f>
        <v>268627.56497710559</v>
      </c>
      <c r="AB76" s="45">
        <f>'7a. Success 3 yr'!X76*'7. Success Allocation'!AB$5</f>
        <v>209716.91526235893</v>
      </c>
      <c r="AC76" s="45">
        <f>'7a. Success 3 yr'!Y76*'7. Success Allocation'!AC$5</f>
        <v>274749.77459751401</v>
      </c>
      <c r="AD76" s="45">
        <f t="shared" si="9"/>
        <v>1325833.2119788632</v>
      </c>
      <c r="AF76" s="45">
        <f t="shared" si="6"/>
        <v>9837172.6652249768</v>
      </c>
    </row>
    <row r="77" spans="1:32" x14ac:dyDescent="0.25">
      <c r="A77" s="23" t="s">
        <v>107</v>
      </c>
      <c r="B77" s="45">
        <f>'7a. Success 3 yr'!B77*'7. Success Allocation'!B$5</f>
        <v>477782.23649881477</v>
      </c>
      <c r="C77" s="45">
        <f>'7a. Success 3 yr'!C77*'7. Success Allocation'!C$5</f>
        <v>931075.63451599563</v>
      </c>
      <c r="D77" s="45">
        <f>'7a. Success 3 yr'!D77*'7. Success Allocation'!D$5</f>
        <v>0</v>
      </c>
      <c r="E77" s="45">
        <f>'7a. Success 3 yr'!E77*'7. Success Allocation'!E$5</f>
        <v>98954.898354357036</v>
      </c>
      <c r="F77" s="45">
        <f>'7a. Success 3 yr'!F77*'7. Success Allocation'!F$5</f>
        <v>104952.16492128775</v>
      </c>
      <c r="G77" s="45">
        <f>'7a. Success 3 yr'!G77*'7. Success Allocation'!G$5</f>
        <v>682189.07198837039</v>
      </c>
      <c r="H77" s="45">
        <f>'7a. Success 3 yr'!H77*'7. Success Allocation'!H$5</f>
        <v>588481.78188007779</v>
      </c>
      <c r="I77" s="45">
        <f>'7a. Success 3 yr'!I77*'7. Success Allocation'!I$5</f>
        <v>876100.69098579732</v>
      </c>
      <c r="J77" s="45">
        <f t="shared" si="7"/>
        <v>3759536.4791447008</v>
      </c>
      <c r="K77" s="45"/>
      <c r="L77" s="45">
        <f>'7a. Success 3 yr'!J77*'7. Success Allocation'!L$5</f>
        <v>118446.0146968819</v>
      </c>
      <c r="M77" s="45">
        <f>'7a. Success 3 yr'!K77*'7. Success Allocation'!M$5</f>
        <v>226021.98374120187</v>
      </c>
      <c r="N77" s="45">
        <f>'7a. Success 3 yr'!L77*'7. Success Allocation'!N$5</f>
        <v>0</v>
      </c>
      <c r="O77" s="45">
        <f>'7a. Success 3 yr'!M77*'7. Success Allocation'!O$5</f>
        <v>17242.141379925844</v>
      </c>
      <c r="P77" s="45">
        <f>'7a. Success 3 yr'!N77*'7. Success Allocation'!P$5</f>
        <v>17991.799700792188</v>
      </c>
      <c r="Q77" s="45">
        <f>'7a. Success 3 yr'!O77*'7. Success Allocation'!Q$5</f>
        <v>148619.76211175212</v>
      </c>
      <c r="R77" s="45">
        <f>'7a. Success 3 yr'!P77*'7. Success Allocation'!R$5</f>
        <v>108513.04194540289</v>
      </c>
      <c r="S77" s="45">
        <f>'7a. Success 3 yr'!Q77*'7. Success Allocation'!S$5</f>
        <v>149556.83501283504</v>
      </c>
      <c r="T77" s="45">
        <f t="shared" si="8"/>
        <v>786391.57858879189</v>
      </c>
      <c r="U77" s="45"/>
      <c r="V77" s="45">
        <f>'7a. Success 3 yr'!R77*'7. Success Allocation'!V$5</f>
        <v>102953.07606564419</v>
      </c>
      <c r="W77" s="45">
        <f>'7a. Success 3 yr'!S77*'7. Success Allocation'!W$5</f>
        <v>199783.94251087992</v>
      </c>
      <c r="X77" s="45">
        <f>'7a. Success 3 yr'!T77*'7. Success Allocation'!X$5</f>
        <v>0</v>
      </c>
      <c r="Y77" s="45">
        <f>'7a. Success 3 yr'!U77*'7. Success Allocation'!Y$5</f>
        <v>19491.116342524871</v>
      </c>
      <c r="Z77" s="45">
        <f>'7a. Success 3 yr'!V77*'7. Success Allocation'!Z$5</f>
        <v>17492.027486881292</v>
      </c>
      <c r="AA77" s="45">
        <f>'7a. Success 3 yr'!W77*'7. Success Allocation'!AA$5</f>
        <v>141060.70737634986</v>
      </c>
      <c r="AB77" s="45">
        <f>'7a. Success 3 yr'!X77*'7. Success Allocation'!AB$5</f>
        <v>99704.556675223372</v>
      </c>
      <c r="AC77" s="45">
        <f>'7a. Success 3 yr'!Y77*'7. Success Allocation'!AC$5</f>
        <v>150681.32249413457</v>
      </c>
      <c r="AD77" s="45">
        <f t="shared" si="9"/>
        <v>731166.74895163812</v>
      </c>
      <c r="AF77" s="45">
        <f t="shared" si="6"/>
        <v>5277094.806685131</v>
      </c>
    </row>
    <row r="78" spans="1:32" s="7" customFormat="1" x14ac:dyDescent="0.25">
      <c r="A78" s="47" t="s">
        <v>108</v>
      </c>
      <c r="B78" s="59">
        <f>SUM(B6:B77)</f>
        <v>87939918.759760886</v>
      </c>
      <c r="C78" s="59">
        <f>SUM(C6:C77)</f>
        <v>92690753.425197929</v>
      </c>
      <c r="D78" s="59">
        <f t="shared" ref="D78:AD78" si="10">SUM(D6:D77)</f>
        <v>158927.56402366434</v>
      </c>
      <c r="E78" s="59">
        <f>SUM(E6:E77)</f>
        <v>20964444.829134177</v>
      </c>
      <c r="F78" s="59">
        <f>SUM(F6:F77)</f>
        <v>25223503.636082821</v>
      </c>
      <c r="G78" s="59">
        <f t="shared" si="10"/>
        <v>93206518.349953905</v>
      </c>
      <c r="H78" s="59">
        <f t="shared" si="10"/>
        <v>94817534.081495672</v>
      </c>
      <c r="I78" s="59">
        <f t="shared" si="10"/>
        <v>94294522.45963794</v>
      </c>
      <c r="J78" s="60">
        <f t="shared" si="10"/>
        <v>509296123.10528696</v>
      </c>
      <c r="K78" s="59"/>
      <c r="L78" s="59">
        <f>SUM(L6:L77)</f>
        <v>18057769.633028425</v>
      </c>
      <c r="M78" s="59">
        <f t="shared" si="10"/>
        <v>18829542.874360319</v>
      </c>
      <c r="N78" s="59">
        <f t="shared" si="10"/>
        <v>28112.187032487789</v>
      </c>
      <c r="O78" s="59">
        <f t="shared" si="10"/>
        <v>3608855.1566505651</v>
      </c>
      <c r="P78" s="59">
        <f>SUM(P6:P77)</f>
        <v>3414693.651546183</v>
      </c>
      <c r="Q78" s="59">
        <f t="shared" si="10"/>
        <v>15649679.691825515</v>
      </c>
      <c r="R78" s="59">
        <f t="shared" si="10"/>
        <v>15118734.186071936</v>
      </c>
      <c r="S78" s="59">
        <f t="shared" si="10"/>
        <v>9491798.8296491746</v>
      </c>
      <c r="T78" s="60">
        <f t="shared" si="10"/>
        <v>84199186.210164651</v>
      </c>
      <c r="U78" s="59"/>
      <c r="V78" s="59">
        <f>SUM(V6:V77)</f>
        <v>16304568.706629014</v>
      </c>
      <c r="W78" s="59">
        <f t="shared" si="10"/>
        <v>17372581.927756585</v>
      </c>
      <c r="X78" s="59">
        <f t="shared" si="10"/>
        <v>31485.649476386327</v>
      </c>
      <c r="Y78" s="59">
        <f t="shared" si="10"/>
        <v>3521644.9053231138</v>
      </c>
      <c r="Z78" s="59">
        <f>SUM(Z6:Z77)</f>
        <v>3339477.9333525933</v>
      </c>
      <c r="AA78" s="59">
        <f t="shared" si="10"/>
        <v>15524424.2807141</v>
      </c>
      <c r="AB78" s="59">
        <f t="shared" si="10"/>
        <v>14917450.926919321</v>
      </c>
      <c r="AC78" s="59">
        <f t="shared" si="10"/>
        <v>11277609.89300628</v>
      </c>
      <c r="AD78" s="60">
        <f t="shared" si="10"/>
        <v>82289244.223177373</v>
      </c>
      <c r="AF78" s="60">
        <f>SUM(AF6:AF77)</f>
        <v>675784553.53862906</v>
      </c>
    </row>
    <row r="79" spans="1:32" x14ac:dyDescent="0.25">
      <c r="AF79" s="138">
        <f>'2. Weighting'!B8</f>
        <v>715602811.43026161</v>
      </c>
    </row>
    <row r="80" spans="1:32" x14ac:dyDescent="0.25">
      <c r="J80" s="45"/>
      <c r="AD80" s="45"/>
    </row>
    <row r="81" spans="30:30" x14ac:dyDescent="0.25">
      <c r="AD81" s="45"/>
    </row>
    <row r="82" spans="30:30" x14ac:dyDescent="0.25">
      <c r="AD82" s="101"/>
    </row>
  </sheetData>
  <pageMargins left="0.7" right="0.7" top="0.75" bottom="0.75" header="0.3" footer="0.3"/>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Y78"/>
  <sheetViews>
    <sheetView workbookViewId="0">
      <selection activeCell="J11" sqref="J11"/>
    </sheetView>
  </sheetViews>
  <sheetFormatPr defaultColWidth="8.85546875" defaultRowHeight="15" x14ac:dyDescent="0.25"/>
  <cols>
    <col min="1" max="1" width="18.7109375" style="80" bestFit="1" customWidth="1"/>
    <col min="2" max="16384" width="8.85546875" style="80"/>
  </cols>
  <sheetData>
    <row r="1" spans="1:25" x14ac:dyDescent="0.25">
      <c r="B1" s="313" t="s">
        <v>232</v>
      </c>
      <c r="C1" s="313"/>
      <c r="D1" s="313"/>
      <c r="E1" s="313"/>
      <c r="F1" s="313"/>
      <c r="G1" s="313"/>
      <c r="H1" s="313"/>
      <c r="I1" s="313"/>
      <c r="J1" s="313"/>
      <c r="K1" s="313"/>
      <c r="L1" s="313"/>
      <c r="M1" s="313"/>
      <c r="N1" s="313"/>
      <c r="O1" s="313"/>
      <c r="P1" s="313"/>
      <c r="Q1" s="313"/>
      <c r="R1" s="313"/>
      <c r="S1" s="313"/>
      <c r="T1" s="313"/>
      <c r="U1" s="313"/>
      <c r="V1" s="313"/>
      <c r="W1" s="313"/>
      <c r="X1" s="313"/>
      <c r="Y1" s="313"/>
    </row>
    <row r="2" spans="1:25" ht="18.75" x14ac:dyDescent="0.3">
      <c r="A2" s="206"/>
      <c r="B2" s="314" t="s">
        <v>109</v>
      </c>
      <c r="C2" s="315"/>
      <c r="D2" s="315"/>
      <c r="E2" s="315"/>
      <c r="F2" s="315"/>
      <c r="G2" s="315"/>
      <c r="H2" s="315"/>
      <c r="I2" s="316"/>
      <c r="J2" s="314" t="s">
        <v>110</v>
      </c>
      <c r="K2" s="315"/>
      <c r="L2" s="315"/>
      <c r="M2" s="315"/>
      <c r="N2" s="315"/>
      <c r="O2" s="315"/>
      <c r="P2" s="315"/>
      <c r="Q2" s="316"/>
      <c r="R2" s="314" t="s">
        <v>111</v>
      </c>
      <c r="S2" s="315"/>
      <c r="T2" s="315"/>
      <c r="U2" s="315"/>
      <c r="V2" s="315"/>
      <c r="W2" s="315"/>
      <c r="X2" s="315"/>
      <c r="Y2" s="315"/>
    </row>
    <row r="3" spans="1:25" s="192" customFormat="1" ht="60.6" customHeight="1" x14ac:dyDescent="0.25">
      <c r="A3" s="190" t="s">
        <v>8</v>
      </c>
      <c r="B3" s="192" t="s">
        <v>113</v>
      </c>
      <c r="C3" s="192" t="s">
        <v>112</v>
      </c>
      <c r="D3" s="192" t="s">
        <v>131</v>
      </c>
      <c r="E3" s="192" t="s">
        <v>114</v>
      </c>
      <c r="F3" s="192" t="s">
        <v>117</v>
      </c>
      <c r="G3" s="192" t="s">
        <v>115</v>
      </c>
      <c r="H3" s="192" t="s">
        <v>116</v>
      </c>
      <c r="I3" s="192" t="s">
        <v>118</v>
      </c>
      <c r="J3" s="192" t="s">
        <v>113</v>
      </c>
      <c r="K3" s="192" t="s">
        <v>112</v>
      </c>
      <c r="L3" s="192" t="s">
        <v>131</v>
      </c>
      <c r="M3" s="192" t="s">
        <v>114</v>
      </c>
      <c r="N3" s="192" t="s">
        <v>117</v>
      </c>
      <c r="O3" s="192" t="s">
        <v>115</v>
      </c>
      <c r="P3" s="192" t="s">
        <v>116</v>
      </c>
      <c r="Q3" s="192" t="s">
        <v>118</v>
      </c>
      <c r="R3" s="192" t="s">
        <v>113</v>
      </c>
      <c r="S3" s="192" t="s">
        <v>112</v>
      </c>
      <c r="T3" s="192" t="s">
        <v>131</v>
      </c>
      <c r="U3" s="192" t="s">
        <v>114</v>
      </c>
      <c r="V3" s="192" t="s">
        <v>117</v>
      </c>
      <c r="W3" s="192" t="s">
        <v>115</v>
      </c>
      <c r="X3" s="192" t="s">
        <v>116</v>
      </c>
      <c r="Y3" s="192" t="s">
        <v>118</v>
      </c>
    </row>
    <row r="6" spans="1:25" x14ac:dyDescent="0.25">
      <c r="A6" s="170" t="s">
        <v>43</v>
      </c>
      <c r="B6" s="80">
        <f>AVERAGE('7b. Success proj 1819'!B4,'7c. Success counts 1718'!B4,'7d Success counts 1617'!B4)</f>
        <v>272</v>
      </c>
      <c r="C6" s="80">
        <f>AVERAGE('7b. Success proj 1819'!C4,'7c. Success counts 1718'!C4,'7d Success counts 1617'!C4)</f>
        <v>577</v>
      </c>
      <c r="D6" s="80">
        <f>AVERAGE('7b. Success proj 1819'!D4,'7c. Success counts 1718'!D4,'7d Success counts 1617'!D4)</f>
        <v>0</v>
      </c>
      <c r="E6" s="80">
        <f>AVERAGE('7b. Success proj 1819'!E4,'7c. Success counts 1718'!E4,'7d Success counts 1617'!E4)</f>
        <v>244</v>
      </c>
      <c r="F6" s="80">
        <f>AVERAGE('7b. Success proj 1819'!F4,'7c. Success counts 1718'!F4,'7d Success counts 1617'!F4)</f>
        <v>190</v>
      </c>
      <c r="G6" s="80">
        <f>AVERAGE('7b. Success proj 1819'!G4,'7c. Success counts 1718'!G4,'7d Success counts 1617'!G4)</f>
        <v>1915</v>
      </c>
      <c r="H6" s="80">
        <f>AVERAGE('7b. Success proj 1819'!H4,'7c. Success counts 1718'!H4,'7d Success counts 1617'!H4)</f>
        <v>865</v>
      </c>
      <c r="I6" s="80">
        <f>AVERAGE('7b. Success proj 1819'!I4,'7c. Success counts 1718'!I4,'7d Success counts 1617'!I4)</f>
        <v>2224</v>
      </c>
      <c r="J6" s="80">
        <f>AVERAGE('7b. Success proj 1819'!J4,'7c. Success counts 1718'!J4,'7d Success counts 1617'!J4)</f>
        <v>161</v>
      </c>
      <c r="K6" s="80">
        <f>AVERAGE('7b. Success proj 1819'!K4,'7c. Success counts 1718'!K4,'7d Success counts 1617'!K4)</f>
        <v>311</v>
      </c>
      <c r="L6" s="80">
        <f>AVERAGE('7b. Success proj 1819'!L4,'7c. Success counts 1718'!L4,'7d Success counts 1617'!L4)</f>
        <v>0</v>
      </c>
      <c r="M6" s="80">
        <f>AVERAGE('7b. Success proj 1819'!M4,'7c. Success counts 1718'!M4,'7d Success counts 1617'!M4)</f>
        <v>126</v>
      </c>
      <c r="N6" s="80">
        <f>AVERAGE('7b. Success proj 1819'!N4,'7c. Success counts 1718'!N4,'7d Success counts 1617'!N4)</f>
        <v>83</v>
      </c>
      <c r="O6" s="80">
        <f>AVERAGE('7b. Success proj 1819'!O4,'7c. Success counts 1718'!O4,'7d Success counts 1617'!O4)</f>
        <v>793</v>
      </c>
      <c r="P6" s="80">
        <f>AVERAGE('7b. Success proj 1819'!P4,'7c. Success counts 1718'!P4,'7d Success counts 1617'!P4)</f>
        <v>328</v>
      </c>
      <c r="Q6" s="80">
        <f>AVERAGE('7b. Success proj 1819'!Q4,'7c. Success counts 1718'!Q4,'7d Success counts 1617'!Q4)</f>
        <v>447</v>
      </c>
      <c r="R6" s="80">
        <f>AVERAGE('7b. Success proj 1819'!R4,'7c. Success counts 1718'!R4,'7d Success counts 1617'!R4)</f>
        <v>225</v>
      </c>
      <c r="S6" s="80">
        <f>AVERAGE('7b. Success proj 1819'!S4,'7c. Success counts 1718'!S4,'7d Success counts 1617'!S4)</f>
        <v>475</v>
      </c>
      <c r="T6" s="80">
        <f>AVERAGE('7b. Success proj 1819'!T4,'7c. Success counts 1718'!T4,'7d Success counts 1617'!T4)</f>
        <v>0</v>
      </c>
      <c r="U6" s="80">
        <f>AVERAGE('7b. Success proj 1819'!U4,'7c. Success counts 1718'!U4,'7d Success counts 1617'!U4)</f>
        <v>193</v>
      </c>
      <c r="V6" s="80">
        <f>AVERAGE('7b. Success proj 1819'!V4,'7c. Success counts 1718'!V4,'7d Success counts 1617'!V4)</f>
        <v>136</v>
      </c>
      <c r="W6" s="80">
        <f>AVERAGE('7b. Success proj 1819'!W4,'7c. Success counts 1718'!W4,'7d Success counts 1617'!W4)</f>
        <v>1366</v>
      </c>
      <c r="X6" s="80">
        <f>AVERAGE('7b. Success proj 1819'!X4,'7c. Success counts 1718'!X4,'7d Success counts 1617'!X4)</f>
        <v>551</v>
      </c>
      <c r="Y6" s="80">
        <f>AVERAGE('7b. Success proj 1819'!Y4,'7c. Success counts 1718'!Y4,'7d Success counts 1617'!Y4)</f>
        <v>943</v>
      </c>
    </row>
    <row r="7" spans="1:25" x14ac:dyDescent="0.25">
      <c r="A7" s="170" t="s">
        <v>44</v>
      </c>
      <c r="B7" s="80">
        <f>AVERAGE('7b. Success proj 1819'!B5,'7c. Success counts 1718'!B5,'7d Success counts 1617'!B5)</f>
        <v>485</v>
      </c>
      <c r="C7" s="80">
        <f>AVERAGE('7b. Success proj 1819'!C5,'7c. Success counts 1718'!C5,'7d Success counts 1617'!C5)</f>
        <v>676</v>
      </c>
      <c r="D7" s="80">
        <f>AVERAGE('7b. Success proj 1819'!D5,'7c. Success counts 1718'!D5,'7d Success counts 1617'!D5)</f>
        <v>0</v>
      </c>
      <c r="E7" s="80">
        <f>AVERAGE('7b. Success proj 1819'!E5,'7c. Success counts 1718'!E5,'7d Success counts 1617'!E5)</f>
        <v>254</v>
      </c>
      <c r="F7" s="80">
        <f>AVERAGE('7b. Success proj 1819'!F5,'7c. Success counts 1718'!F5,'7d Success counts 1617'!F5)</f>
        <v>187</v>
      </c>
      <c r="G7" s="80">
        <f>AVERAGE('7b. Success proj 1819'!G5,'7c. Success counts 1718'!G5,'7d Success counts 1617'!G5)</f>
        <v>2033</v>
      </c>
      <c r="H7" s="80">
        <f>AVERAGE('7b. Success proj 1819'!H5,'7c. Success counts 1718'!H5,'7d Success counts 1617'!H5)</f>
        <v>992</v>
      </c>
      <c r="I7" s="80">
        <f>AVERAGE('7b. Success proj 1819'!I5,'7c. Success counts 1718'!I5,'7d Success counts 1617'!I5)</f>
        <v>1147</v>
      </c>
      <c r="J7" s="80">
        <f>AVERAGE('7b. Success proj 1819'!J5,'7c. Success counts 1718'!J5,'7d Success counts 1617'!J5)</f>
        <v>340</v>
      </c>
      <c r="K7" s="80">
        <f>AVERAGE('7b. Success proj 1819'!K5,'7c. Success counts 1718'!K5,'7d Success counts 1617'!K5)</f>
        <v>458</v>
      </c>
      <c r="L7" s="80">
        <f>AVERAGE('7b. Success proj 1819'!L5,'7c. Success counts 1718'!L5,'7d Success counts 1617'!L5)</f>
        <v>0</v>
      </c>
      <c r="M7" s="80">
        <f>AVERAGE('7b. Success proj 1819'!M5,'7c. Success counts 1718'!M5,'7d Success counts 1617'!M5)</f>
        <v>164</v>
      </c>
      <c r="N7" s="80">
        <f>AVERAGE('7b. Success proj 1819'!N5,'7c. Success counts 1718'!N5,'7d Success counts 1617'!N5)</f>
        <v>97</v>
      </c>
      <c r="O7" s="80">
        <f>AVERAGE('7b. Success proj 1819'!O5,'7c. Success counts 1718'!O5,'7d Success counts 1617'!O5)</f>
        <v>1318</v>
      </c>
      <c r="P7" s="80">
        <f>AVERAGE('7b. Success proj 1819'!P5,'7c. Success counts 1718'!P5,'7d Success counts 1617'!P5)</f>
        <v>568</v>
      </c>
      <c r="Q7" s="80">
        <f>AVERAGE('7b. Success proj 1819'!Q5,'7c. Success counts 1718'!Q5,'7d Success counts 1617'!Q5)</f>
        <v>595</v>
      </c>
      <c r="R7" s="80">
        <f>AVERAGE('7b. Success proj 1819'!R5,'7c. Success counts 1718'!R5,'7d Success counts 1617'!R5)</f>
        <v>415</v>
      </c>
      <c r="S7" s="80">
        <f>AVERAGE('7b. Success proj 1819'!S5,'7c. Success counts 1718'!S5,'7d Success counts 1617'!S5)</f>
        <v>564</v>
      </c>
      <c r="T7" s="80">
        <f>AVERAGE('7b. Success proj 1819'!T5,'7c. Success counts 1718'!T5,'7d Success counts 1617'!T5)</f>
        <v>0</v>
      </c>
      <c r="U7" s="80">
        <f>AVERAGE('7b. Success proj 1819'!U5,'7c. Success counts 1718'!U5,'7d Success counts 1617'!U5)</f>
        <v>207</v>
      </c>
      <c r="V7" s="80">
        <f>AVERAGE('7b. Success proj 1819'!V5,'7c. Success counts 1718'!V5,'7d Success counts 1617'!V5)</f>
        <v>139</v>
      </c>
      <c r="W7" s="80">
        <f>AVERAGE('7b. Success proj 1819'!W5,'7c. Success counts 1718'!W5,'7d Success counts 1617'!W5)</f>
        <v>1693</v>
      </c>
      <c r="X7" s="80">
        <f>AVERAGE('7b. Success proj 1819'!X5,'7c. Success counts 1718'!X5,'7d Success counts 1617'!X5)</f>
        <v>788</v>
      </c>
      <c r="Y7" s="80">
        <f>AVERAGE('7b. Success proj 1819'!Y5,'7c. Success counts 1718'!Y5,'7d Success counts 1617'!Y5)</f>
        <v>874</v>
      </c>
    </row>
    <row r="8" spans="1:25" x14ac:dyDescent="0.25">
      <c r="A8" s="170" t="s">
        <v>45</v>
      </c>
      <c r="B8" s="80">
        <f>AVERAGE('7b. Success proj 1819'!B6,'7c. Success counts 1718'!B6,'7d Success counts 1617'!B6)</f>
        <v>67</v>
      </c>
      <c r="C8" s="80">
        <f>AVERAGE('7b. Success proj 1819'!C6,'7c. Success counts 1718'!C6,'7d Success counts 1617'!C6)</f>
        <v>252</v>
      </c>
      <c r="D8" s="80">
        <f>AVERAGE('7b. Success proj 1819'!D6,'7c. Success counts 1718'!D6,'7d Success counts 1617'!D6)</f>
        <v>0</v>
      </c>
      <c r="E8" s="80">
        <f>AVERAGE('7b. Success proj 1819'!E6,'7c. Success counts 1718'!E6,'7d Success counts 1617'!E6)</f>
        <v>17</v>
      </c>
      <c r="F8" s="80">
        <f>AVERAGE('7b. Success proj 1819'!F6,'7c. Success counts 1718'!F6,'7d Success counts 1617'!F6)</f>
        <v>57</v>
      </c>
      <c r="G8" s="80">
        <f>AVERAGE('7b. Success proj 1819'!G6,'7c. Success counts 1718'!G6,'7d Success counts 1617'!G6)</f>
        <v>374</v>
      </c>
      <c r="H8" s="80">
        <f>AVERAGE('7b. Success proj 1819'!H6,'7c. Success counts 1718'!H6,'7d Success counts 1617'!H6)</f>
        <v>330</v>
      </c>
      <c r="I8" s="80">
        <f>AVERAGE('7b. Success proj 1819'!I6,'7c. Success counts 1718'!I6,'7d Success counts 1617'!I6)</f>
        <v>516</v>
      </c>
      <c r="J8" s="80">
        <f>AVERAGE('7b. Success proj 1819'!J6,'7c. Success counts 1718'!J6,'7d Success counts 1617'!J6)</f>
        <v>58</v>
      </c>
      <c r="K8" s="80">
        <f>AVERAGE('7b. Success proj 1819'!K6,'7c. Success counts 1718'!K6,'7d Success counts 1617'!K6)</f>
        <v>198</v>
      </c>
      <c r="L8" s="80">
        <f>AVERAGE('7b. Success proj 1819'!L6,'7c. Success counts 1718'!L6,'7d Success counts 1617'!L6)</f>
        <v>0</v>
      </c>
      <c r="M8" s="80">
        <f>AVERAGE('7b. Success proj 1819'!M6,'7c. Success counts 1718'!M6,'7d Success counts 1617'!M6)</f>
        <v>16</v>
      </c>
      <c r="N8" s="80">
        <f>AVERAGE('7b. Success proj 1819'!N6,'7c. Success counts 1718'!N6,'7d Success counts 1617'!N6)</f>
        <v>32</v>
      </c>
      <c r="O8" s="80">
        <f>AVERAGE('7b. Success proj 1819'!O6,'7c. Success counts 1718'!O6,'7d Success counts 1617'!O6)</f>
        <v>272</v>
      </c>
      <c r="P8" s="80">
        <f>AVERAGE('7b. Success proj 1819'!P6,'7c. Success counts 1718'!P6,'7d Success counts 1617'!P6)</f>
        <v>149</v>
      </c>
      <c r="Q8" s="80">
        <f>AVERAGE('7b. Success proj 1819'!Q6,'7c. Success counts 1718'!Q6,'7d Success counts 1617'!Q6)</f>
        <v>215</v>
      </c>
      <c r="R8" s="80">
        <f>AVERAGE('7b. Success proj 1819'!R6,'7c. Success counts 1718'!R6,'7d Success counts 1617'!R6)</f>
        <v>63</v>
      </c>
      <c r="S8" s="80">
        <f>AVERAGE('7b. Success proj 1819'!S6,'7c. Success counts 1718'!S6,'7d Success counts 1617'!S6)</f>
        <v>230</v>
      </c>
      <c r="T8" s="80">
        <f>AVERAGE('7b. Success proj 1819'!T6,'7c. Success counts 1718'!T6,'7d Success counts 1617'!T6)</f>
        <v>0</v>
      </c>
      <c r="U8" s="80">
        <f>AVERAGE('7b. Success proj 1819'!U6,'7c. Success counts 1718'!U6,'7d Success counts 1617'!U6)</f>
        <v>17</v>
      </c>
      <c r="V8" s="80">
        <f>AVERAGE('7b. Success proj 1819'!V6,'7c. Success counts 1718'!V6,'7d Success counts 1617'!V6)</f>
        <v>42</v>
      </c>
      <c r="W8" s="80">
        <f>AVERAGE('7b. Success proj 1819'!W6,'7c. Success counts 1718'!W6,'7d Success counts 1617'!W6)</f>
        <v>328</v>
      </c>
      <c r="X8" s="80">
        <f>AVERAGE('7b. Success proj 1819'!X6,'7c. Success counts 1718'!X6,'7d Success counts 1617'!X6)</f>
        <v>221</v>
      </c>
      <c r="Y8" s="80">
        <f>AVERAGE('7b. Success proj 1819'!Y6,'7c. Success counts 1718'!Y6,'7d Success counts 1617'!Y6)</f>
        <v>338</v>
      </c>
    </row>
    <row r="9" spans="1:25" x14ac:dyDescent="0.25">
      <c r="A9" s="170" t="s">
        <v>46</v>
      </c>
      <c r="B9" s="80">
        <f>AVERAGE('7b. Success proj 1819'!B7,'7c. Success counts 1718'!B7,'7d Success counts 1617'!B7)</f>
        <v>304</v>
      </c>
      <c r="C9" s="80">
        <f>AVERAGE('7b. Success proj 1819'!C7,'7c. Success counts 1718'!C7,'7d Success counts 1617'!C7)</f>
        <v>730</v>
      </c>
      <c r="D9" s="80">
        <f>AVERAGE('7b. Success proj 1819'!D7,'7c. Success counts 1718'!D7,'7d Success counts 1617'!D7)</f>
        <v>0</v>
      </c>
      <c r="E9" s="80">
        <f>AVERAGE('7b. Success proj 1819'!E7,'7c. Success counts 1718'!E7,'7d Success counts 1617'!E7)</f>
        <v>331</v>
      </c>
      <c r="F9" s="80">
        <f>AVERAGE('7b. Success proj 1819'!F7,'7c. Success counts 1718'!F7,'7d Success counts 1617'!F7)</f>
        <v>268</v>
      </c>
      <c r="G9" s="80">
        <f>AVERAGE('7b. Success proj 1819'!G7,'7c. Success counts 1718'!G7,'7d Success counts 1617'!G7)</f>
        <v>2192</v>
      </c>
      <c r="H9" s="80">
        <f>AVERAGE('7b. Success proj 1819'!H7,'7c. Success counts 1718'!H7,'7d Success counts 1617'!H7)</f>
        <v>1201</v>
      </c>
      <c r="I9" s="80">
        <f>AVERAGE('7b. Success proj 1819'!I7,'7c. Success counts 1718'!I7,'7d Success counts 1617'!I7)</f>
        <v>1674</v>
      </c>
      <c r="J9" s="80">
        <f>AVERAGE('7b. Success proj 1819'!J7,'7c. Success counts 1718'!J7,'7d Success counts 1617'!J7)</f>
        <v>183</v>
      </c>
      <c r="K9" s="80">
        <f>AVERAGE('7b. Success proj 1819'!K7,'7c. Success counts 1718'!K7,'7d Success counts 1617'!K7)</f>
        <v>491</v>
      </c>
      <c r="L9" s="80">
        <f>AVERAGE('7b. Success proj 1819'!L7,'7c. Success counts 1718'!L7,'7d Success counts 1617'!L7)</f>
        <v>0</v>
      </c>
      <c r="M9" s="80">
        <f>AVERAGE('7b. Success proj 1819'!M7,'7c. Success counts 1718'!M7,'7d Success counts 1617'!M7)</f>
        <v>131</v>
      </c>
      <c r="N9" s="80">
        <f>AVERAGE('7b. Success proj 1819'!N7,'7c. Success counts 1718'!N7,'7d Success counts 1617'!N7)</f>
        <v>134</v>
      </c>
      <c r="O9" s="80">
        <f>AVERAGE('7b. Success proj 1819'!O7,'7c. Success counts 1718'!O7,'7d Success counts 1617'!O7)</f>
        <v>1161</v>
      </c>
      <c r="P9" s="80">
        <f>AVERAGE('7b. Success proj 1819'!P7,'7c. Success counts 1718'!P7,'7d Success counts 1617'!P7)</f>
        <v>616</v>
      </c>
      <c r="Q9" s="80">
        <f>AVERAGE('7b. Success proj 1819'!Q7,'7c. Success counts 1718'!Q7,'7d Success counts 1617'!Q7)</f>
        <v>783</v>
      </c>
      <c r="R9" s="80">
        <f>AVERAGE('7b. Success proj 1819'!R7,'7c. Success counts 1718'!R7,'7d Success counts 1617'!R7)</f>
        <v>231</v>
      </c>
      <c r="S9" s="80">
        <f>AVERAGE('7b. Success proj 1819'!S7,'7c. Success counts 1718'!S7,'7d Success counts 1617'!S7)</f>
        <v>597</v>
      </c>
      <c r="T9" s="80">
        <f>AVERAGE('7b. Success proj 1819'!T7,'7c. Success counts 1718'!T7,'7d Success counts 1617'!T7)</f>
        <v>0</v>
      </c>
      <c r="U9" s="80">
        <f>AVERAGE('7b. Success proj 1819'!U7,'7c. Success counts 1718'!U7,'7d Success counts 1617'!U7)</f>
        <v>176</v>
      </c>
      <c r="V9" s="80">
        <f>AVERAGE('7b. Success proj 1819'!V7,'7c. Success counts 1718'!V7,'7d Success counts 1617'!V7)</f>
        <v>170</v>
      </c>
      <c r="W9" s="80">
        <f>AVERAGE('7b. Success proj 1819'!W7,'7c. Success counts 1718'!W7,'7d Success counts 1617'!W7)</f>
        <v>1575</v>
      </c>
      <c r="X9" s="80">
        <f>AVERAGE('7b. Success proj 1819'!X7,'7c. Success counts 1718'!X7,'7d Success counts 1617'!X7)</f>
        <v>806</v>
      </c>
      <c r="Y9" s="80">
        <f>AVERAGE('7b. Success proj 1819'!Y7,'7c. Success counts 1718'!Y7,'7d Success counts 1617'!Y7)</f>
        <v>1076</v>
      </c>
    </row>
    <row r="10" spans="1:25" x14ac:dyDescent="0.25">
      <c r="A10" s="170" t="s">
        <v>47</v>
      </c>
      <c r="B10" s="80">
        <f>AVERAGE('7b. Success proj 1819'!B8,'7c. Success counts 1718'!B8,'7d Success counts 1617'!B8)</f>
        <v>253</v>
      </c>
      <c r="C10" s="80">
        <f>AVERAGE('7b. Success proj 1819'!C8,'7c. Success counts 1718'!C8,'7d Success counts 1617'!C8)</f>
        <v>700</v>
      </c>
      <c r="D10" s="80">
        <f>AVERAGE('7b. Success proj 1819'!D8,'7c. Success counts 1718'!D8,'7d Success counts 1617'!D8)</f>
        <v>0</v>
      </c>
      <c r="E10" s="80">
        <f>AVERAGE('7b. Success proj 1819'!E8,'7c. Success counts 1718'!E8,'7d Success counts 1617'!E8)</f>
        <v>59</v>
      </c>
      <c r="F10" s="80">
        <f>AVERAGE('7b. Success proj 1819'!F8,'7c. Success counts 1718'!F8,'7d Success counts 1617'!F8)</f>
        <v>134</v>
      </c>
      <c r="G10" s="80">
        <f>AVERAGE('7b. Success proj 1819'!G8,'7c. Success counts 1718'!G8,'7d Success counts 1617'!G8)</f>
        <v>1135</v>
      </c>
      <c r="H10" s="80">
        <f>AVERAGE('7b. Success proj 1819'!H8,'7c. Success counts 1718'!H8,'7d Success counts 1617'!H8)</f>
        <v>1016</v>
      </c>
      <c r="I10" s="80">
        <f>AVERAGE('7b. Success proj 1819'!I8,'7c. Success counts 1718'!I8,'7d Success counts 1617'!I8)</f>
        <v>1650</v>
      </c>
      <c r="J10" s="80">
        <f>AVERAGE('7b. Success proj 1819'!J8,'7c. Success counts 1718'!J8,'7d Success counts 1617'!J8)</f>
        <v>117</v>
      </c>
      <c r="K10" s="80">
        <f>AVERAGE('7b. Success proj 1819'!K8,'7c. Success counts 1718'!K8,'7d Success counts 1617'!K8)</f>
        <v>356</v>
      </c>
      <c r="L10" s="80">
        <f>AVERAGE('7b. Success proj 1819'!L8,'7c. Success counts 1718'!L8,'7d Success counts 1617'!L8)</f>
        <v>0</v>
      </c>
      <c r="M10" s="80">
        <f>AVERAGE('7b. Success proj 1819'!M8,'7c. Success counts 1718'!M8,'7d Success counts 1617'!M8)</f>
        <v>39</v>
      </c>
      <c r="N10" s="80">
        <f>AVERAGE('7b. Success proj 1819'!N8,'7c. Success counts 1718'!N8,'7d Success counts 1617'!N8)</f>
        <v>47</v>
      </c>
      <c r="O10" s="80">
        <f>AVERAGE('7b. Success proj 1819'!O8,'7c. Success counts 1718'!O8,'7d Success counts 1617'!O8)</f>
        <v>538</v>
      </c>
      <c r="P10" s="80">
        <f>AVERAGE('7b. Success proj 1819'!P8,'7c. Success counts 1718'!P8,'7d Success counts 1617'!P8)</f>
        <v>386</v>
      </c>
      <c r="Q10" s="80">
        <f>AVERAGE('7b. Success proj 1819'!Q8,'7c. Success counts 1718'!Q8,'7d Success counts 1617'!Q8)</f>
        <v>395</v>
      </c>
      <c r="R10" s="80">
        <f>AVERAGE('7b. Success proj 1819'!R8,'7c. Success counts 1718'!R8,'7d Success counts 1617'!R8)</f>
        <v>173</v>
      </c>
      <c r="S10" s="80">
        <f>AVERAGE('7b. Success proj 1819'!S8,'7c. Success counts 1718'!S8,'7d Success counts 1617'!S8)</f>
        <v>485</v>
      </c>
      <c r="T10" s="80">
        <f>AVERAGE('7b. Success proj 1819'!T8,'7c. Success counts 1718'!T8,'7d Success counts 1617'!T8)</f>
        <v>0</v>
      </c>
      <c r="U10" s="80">
        <f>AVERAGE('7b. Success proj 1819'!U8,'7c. Success counts 1718'!U8,'7d Success counts 1617'!U8)</f>
        <v>50</v>
      </c>
      <c r="V10" s="80">
        <f>AVERAGE('7b. Success proj 1819'!V8,'7c. Success counts 1718'!V8,'7d Success counts 1617'!V8)</f>
        <v>63</v>
      </c>
      <c r="W10" s="80">
        <f>AVERAGE('7b. Success proj 1819'!W8,'7c. Success counts 1718'!W8,'7d Success counts 1617'!W8)</f>
        <v>788</v>
      </c>
      <c r="X10" s="80">
        <f>AVERAGE('7b. Success proj 1819'!X8,'7c. Success counts 1718'!X8,'7d Success counts 1617'!X8)</f>
        <v>585</v>
      </c>
      <c r="Y10" s="80">
        <f>AVERAGE('7b. Success proj 1819'!Y8,'7c. Success counts 1718'!Y8,'7d Success counts 1617'!Y8)</f>
        <v>707</v>
      </c>
    </row>
    <row r="11" spans="1:25" x14ac:dyDescent="0.25">
      <c r="A11" s="170" t="s">
        <v>48</v>
      </c>
      <c r="B11" s="80">
        <f>AVERAGE('7b. Success proj 1819'!B9,'7c. Success counts 1718'!B9,'7d Success counts 1617'!B9)</f>
        <v>690</v>
      </c>
      <c r="C11" s="80">
        <f>AVERAGE('7b. Success proj 1819'!C9,'7c. Success counts 1718'!C9,'7d Success counts 1617'!C9)</f>
        <v>907</v>
      </c>
      <c r="D11" s="80">
        <f>AVERAGE('7b. Success proj 1819'!D9,'7c. Success counts 1718'!D9,'7d Success counts 1617'!D9)</f>
        <v>0</v>
      </c>
      <c r="E11" s="80">
        <f>AVERAGE('7b. Success proj 1819'!E9,'7c. Success counts 1718'!E9,'7d Success counts 1617'!E9)</f>
        <v>668</v>
      </c>
      <c r="F11" s="80">
        <f>AVERAGE('7b. Success proj 1819'!F9,'7c. Success counts 1718'!F9,'7d Success counts 1617'!F9)</f>
        <v>204</v>
      </c>
      <c r="G11" s="80">
        <f>AVERAGE('7b. Success proj 1819'!G9,'7c. Success counts 1718'!G9,'7d Success counts 1617'!G9)</f>
        <v>3738</v>
      </c>
      <c r="H11" s="80">
        <f>AVERAGE('7b. Success proj 1819'!H9,'7c. Success counts 1718'!H9,'7d Success counts 1617'!H9)</f>
        <v>1344</v>
      </c>
      <c r="I11" s="80">
        <f>AVERAGE('7b. Success proj 1819'!I9,'7c. Success counts 1718'!I9,'7d Success counts 1617'!I9)</f>
        <v>2879</v>
      </c>
      <c r="J11" s="80">
        <f>AVERAGE('7b. Success proj 1819'!J9,'7c. Success counts 1718'!J9,'7d Success counts 1617'!J9)</f>
        <v>500</v>
      </c>
      <c r="K11" s="80">
        <f>AVERAGE('7b. Success proj 1819'!K9,'7c. Success counts 1718'!K9,'7d Success counts 1617'!K9)</f>
        <v>603</v>
      </c>
      <c r="L11" s="80">
        <f>AVERAGE('7b. Success proj 1819'!L9,'7c. Success counts 1718'!L9,'7d Success counts 1617'!L9)</f>
        <v>0</v>
      </c>
      <c r="M11" s="80">
        <f>AVERAGE('7b. Success proj 1819'!M9,'7c. Success counts 1718'!M9,'7d Success counts 1617'!M9)</f>
        <v>323</v>
      </c>
      <c r="N11" s="80">
        <f>AVERAGE('7b. Success proj 1819'!N9,'7c. Success counts 1718'!N9,'7d Success counts 1617'!N9)</f>
        <v>101</v>
      </c>
      <c r="O11" s="80">
        <f>AVERAGE('7b. Success proj 1819'!O9,'7c. Success counts 1718'!O9,'7d Success counts 1617'!O9)</f>
        <v>1956</v>
      </c>
      <c r="P11" s="80">
        <f>AVERAGE('7b. Success proj 1819'!P9,'7c. Success counts 1718'!P9,'7d Success counts 1617'!P9)</f>
        <v>880</v>
      </c>
      <c r="Q11" s="80">
        <f>AVERAGE('7b. Success proj 1819'!Q9,'7c. Success counts 1718'!Q9,'7d Success counts 1617'!Q9)</f>
        <v>858</v>
      </c>
      <c r="R11" s="80">
        <f>AVERAGE('7b. Success proj 1819'!R9,'7c. Success counts 1718'!R9,'7d Success counts 1617'!R9)</f>
        <v>611</v>
      </c>
      <c r="S11" s="80">
        <f>AVERAGE('7b. Success proj 1819'!S9,'7c. Success counts 1718'!S9,'7d Success counts 1617'!S9)</f>
        <v>766</v>
      </c>
      <c r="T11" s="80">
        <f>AVERAGE('7b. Success proj 1819'!T9,'7c. Success counts 1718'!T9,'7d Success counts 1617'!T9)</f>
        <v>0</v>
      </c>
      <c r="U11" s="80">
        <f>AVERAGE('7b. Success proj 1819'!U9,'7c. Success counts 1718'!U9,'7d Success counts 1617'!U9)</f>
        <v>443</v>
      </c>
      <c r="V11" s="80">
        <f>AVERAGE('7b. Success proj 1819'!V9,'7c. Success counts 1718'!V9,'7d Success counts 1617'!V9)</f>
        <v>142</v>
      </c>
      <c r="W11" s="80">
        <f>AVERAGE('7b. Success proj 1819'!W9,'7c. Success counts 1718'!W9,'7d Success counts 1617'!W9)</f>
        <v>2698</v>
      </c>
      <c r="X11" s="80">
        <f>AVERAGE('7b. Success proj 1819'!X9,'7c. Success counts 1718'!X9,'7d Success counts 1617'!X9)</f>
        <v>1102</v>
      </c>
      <c r="Y11" s="80">
        <f>AVERAGE('7b. Success proj 1819'!Y9,'7c. Success counts 1718'!Y9,'7d Success counts 1617'!Y9)</f>
        <v>1348</v>
      </c>
    </row>
    <row r="12" spans="1:25" x14ac:dyDescent="0.25">
      <c r="A12" s="170" t="s">
        <v>49</v>
      </c>
      <c r="B12" s="80">
        <f>AVERAGE('7b. Success proj 1819'!B10,'7c. Success counts 1718'!B10,'7d Success counts 1617'!B10)</f>
        <v>623</v>
      </c>
      <c r="C12" s="80">
        <f>AVERAGE('7b. Success proj 1819'!C10,'7c. Success counts 1718'!C10,'7d Success counts 1617'!C10)</f>
        <v>862</v>
      </c>
      <c r="D12" s="80">
        <f>AVERAGE('7b. Success proj 1819'!D10,'7c. Success counts 1718'!D10,'7d Success counts 1617'!D10)</f>
        <v>0</v>
      </c>
      <c r="E12" s="80">
        <f>AVERAGE('7b. Success proj 1819'!E10,'7c. Success counts 1718'!E10,'7d Success counts 1617'!E10)</f>
        <v>270</v>
      </c>
      <c r="F12" s="80">
        <f>AVERAGE('7b. Success proj 1819'!F10,'7c. Success counts 1718'!F10,'7d Success counts 1617'!F10)</f>
        <v>470</v>
      </c>
      <c r="G12" s="80">
        <f>AVERAGE('7b. Success proj 1819'!G10,'7c. Success counts 1718'!G10,'7d Success counts 1617'!G10)</f>
        <v>2718</v>
      </c>
      <c r="H12" s="80">
        <f>AVERAGE('7b. Success proj 1819'!H10,'7c. Success counts 1718'!H10,'7d Success counts 1617'!H10)</f>
        <v>2089</v>
      </c>
      <c r="I12" s="80">
        <f>AVERAGE('7b. Success proj 1819'!I10,'7c. Success counts 1718'!I10,'7d Success counts 1617'!I10)</f>
        <v>2555</v>
      </c>
      <c r="J12" s="80">
        <f>AVERAGE('7b. Success proj 1819'!J10,'7c. Success counts 1718'!J10,'7d Success counts 1617'!J10)</f>
        <v>273</v>
      </c>
      <c r="K12" s="80">
        <f>AVERAGE('7b. Success proj 1819'!K10,'7c. Success counts 1718'!K10,'7d Success counts 1617'!K10)</f>
        <v>355</v>
      </c>
      <c r="L12" s="80">
        <f>AVERAGE('7b. Success proj 1819'!L10,'7c. Success counts 1718'!L10,'7d Success counts 1617'!L10)</f>
        <v>0</v>
      </c>
      <c r="M12" s="80">
        <f>AVERAGE('7b. Success proj 1819'!M10,'7c. Success counts 1718'!M10,'7d Success counts 1617'!M10)</f>
        <v>92</v>
      </c>
      <c r="N12" s="80">
        <f>AVERAGE('7b. Success proj 1819'!N10,'7c. Success counts 1718'!N10,'7d Success counts 1617'!N10)</f>
        <v>126</v>
      </c>
      <c r="O12" s="80">
        <f>AVERAGE('7b. Success proj 1819'!O10,'7c. Success counts 1718'!O10,'7d Success counts 1617'!O10)</f>
        <v>783</v>
      </c>
      <c r="P12" s="80">
        <f>AVERAGE('7b. Success proj 1819'!P10,'7c. Success counts 1718'!P10,'7d Success counts 1617'!P10)</f>
        <v>754</v>
      </c>
      <c r="Q12" s="80">
        <f>AVERAGE('7b. Success proj 1819'!Q10,'7c. Success counts 1718'!Q10,'7d Success counts 1617'!Q10)</f>
        <v>490</v>
      </c>
      <c r="R12" s="80">
        <f>AVERAGE('7b. Success proj 1819'!R10,'7c. Success counts 1718'!R10,'7d Success counts 1617'!R10)</f>
        <v>392</v>
      </c>
      <c r="S12" s="80">
        <f>AVERAGE('7b. Success proj 1819'!S10,'7c. Success counts 1718'!S10,'7d Success counts 1617'!S10)</f>
        <v>531</v>
      </c>
      <c r="T12" s="80">
        <f>AVERAGE('7b. Success proj 1819'!T10,'7c. Success counts 1718'!T10,'7d Success counts 1617'!T10)</f>
        <v>0</v>
      </c>
      <c r="U12" s="80">
        <f>AVERAGE('7b. Success proj 1819'!U10,'7c. Success counts 1718'!U10,'7d Success counts 1617'!U10)</f>
        <v>137</v>
      </c>
      <c r="V12" s="80">
        <f>AVERAGE('7b. Success proj 1819'!V10,'7c. Success counts 1718'!V10,'7d Success counts 1617'!V10)</f>
        <v>193</v>
      </c>
      <c r="W12" s="80">
        <f>AVERAGE('7b. Success proj 1819'!W10,'7c. Success counts 1718'!W10,'7d Success counts 1617'!W10)</f>
        <v>1260</v>
      </c>
      <c r="X12" s="80">
        <f>AVERAGE('7b. Success proj 1819'!X10,'7c. Success counts 1718'!X10,'7d Success counts 1617'!X10)</f>
        <v>1122</v>
      </c>
      <c r="Y12" s="80">
        <f>AVERAGE('7b. Success proj 1819'!Y10,'7c. Success counts 1718'!Y10,'7d Success counts 1617'!Y10)</f>
        <v>958</v>
      </c>
    </row>
    <row r="13" spans="1:25" x14ac:dyDescent="0.25">
      <c r="A13" s="170" t="s">
        <v>50</v>
      </c>
      <c r="B13" s="80">
        <f>AVERAGE('7b. Success proj 1819'!B11,'7c. Success counts 1718'!B11,'7d Success counts 1617'!B11)</f>
        <v>856</v>
      </c>
      <c r="C13" s="80">
        <f>AVERAGE('7b. Success proj 1819'!C11,'7c. Success counts 1718'!C11,'7d Success counts 1617'!C11)</f>
        <v>862</v>
      </c>
      <c r="D13" s="80">
        <f>AVERAGE('7b. Success proj 1819'!D11,'7c. Success counts 1718'!D11,'7d Success counts 1617'!D11)</f>
        <v>0</v>
      </c>
      <c r="E13" s="80">
        <f>AVERAGE('7b. Success proj 1819'!E11,'7c. Success counts 1718'!E11,'7d Success counts 1617'!E11)</f>
        <v>403</v>
      </c>
      <c r="F13" s="80">
        <f>AVERAGE('7b. Success proj 1819'!F11,'7c. Success counts 1718'!F11,'7d Success counts 1617'!F11)</f>
        <v>263</v>
      </c>
      <c r="G13" s="80">
        <f>AVERAGE('7b. Success proj 1819'!G11,'7c. Success counts 1718'!G11,'7d Success counts 1617'!G11)</f>
        <v>2382</v>
      </c>
      <c r="H13" s="80">
        <f>AVERAGE('7b. Success proj 1819'!H11,'7c. Success counts 1718'!H11,'7d Success counts 1617'!H11)</f>
        <v>1413</v>
      </c>
      <c r="I13" s="80">
        <f>AVERAGE('7b. Success proj 1819'!I11,'7c. Success counts 1718'!I11,'7d Success counts 1617'!I11)</f>
        <v>2781</v>
      </c>
      <c r="J13" s="80">
        <f>AVERAGE('7b. Success proj 1819'!J11,'7c. Success counts 1718'!J11,'7d Success counts 1617'!J11)</f>
        <v>511</v>
      </c>
      <c r="K13" s="80">
        <f>AVERAGE('7b. Success proj 1819'!K11,'7c. Success counts 1718'!K11,'7d Success counts 1617'!K11)</f>
        <v>498</v>
      </c>
      <c r="L13" s="80">
        <f>AVERAGE('7b. Success proj 1819'!L11,'7c. Success counts 1718'!L11,'7d Success counts 1617'!L11)</f>
        <v>0</v>
      </c>
      <c r="M13" s="80">
        <f>AVERAGE('7b. Success proj 1819'!M11,'7c. Success counts 1718'!M11,'7d Success counts 1617'!M11)</f>
        <v>194</v>
      </c>
      <c r="N13" s="80">
        <f>AVERAGE('7b. Success proj 1819'!N11,'7c. Success counts 1718'!N11,'7d Success counts 1617'!N11)</f>
        <v>86</v>
      </c>
      <c r="O13" s="80">
        <f>AVERAGE('7b. Success proj 1819'!O11,'7c. Success counts 1718'!O11,'7d Success counts 1617'!O11)</f>
        <v>1202</v>
      </c>
      <c r="P13" s="80">
        <f>AVERAGE('7b. Success proj 1819'!P11,'7c. Success counts 1718'!P11,'7d Success counts 1617'!P11)</f>
        <v>731</v>
      </c>
      <c r="Q13" s="80">
        <f>AVERAGE('7b. Success proj 1819'!Q11,'7c. Success counts 1718'!Q11,'7d Success counts 1617'!Q11)</f>
        <v>1187</v>
      </c>
      <c r="R13" s="80">
        <f>AVERAGE('7b. Success proj 1819'!R11,'7c. Success counts 1718'!R11,'7d Success counts 1617'!R11)</f>
        <v>679</v>
      </c>
      <c r="S13" s="80">
        <f>AVERAGE('7b. Success proj 1819'!S11,'7c. Success counts 1718'!S11,'7d Success counts 1617'!S11)</f>
        <v>680</v>
      </c>
      <c r="T13" s="80">
        <f>AVERAGE('7b. Success proj 1819'!T11,'7c. Success counts 1718'!T11,'7d Success counts 1617'!T11)</f>
        <v>0</v>
      </c>
      <c r="U13" s="80">
        <f>AVERAGE('7b. Success proj 1819'!U11,'7c. Success counts 1718'!U11,'7d Success counts 1617'!U11)</f>
        <v>321</v>
      </c>
      <c r="V13" s="80">
        <f>AVERAGE('7b. Success proj 1819'!V11,'7c. Success counts 1718'!V11,'7d Success counts 1617'!V11)</f>
        <v>142</v>
      </c>
      <c r="W13" s="80">
        <f>AVERAGE('7b. Success proj 1819'!W11,'7c. Success counts 1718'!W11,'7d Success counts 1617'!W11)</f>
        <v>1772</v>
      </c>
      <c r="X13" s="80">
        <f>AVERAGE('7b. Success proj 1819'!X11,'7c. Success counts 1718'!X11,'7d Success counts 1617'!X11)</f>
        <v>1061</v>
      </c>
      <c r="Y13" s="80">
        <f>AVERAGE('7b. Success proj 1819'!Y11,'7c. Success counts 1718'!Y11,'7d Success counts 1617'!Y11)</f>
        <v>2030</v>
      </c>
    </row>
    <row r="14" spans="1:25" x14ac:dyDescent="0.25">
      <c r="A14" s="170" t="s">
        <v>51</v>
      </c>
      <c r="B14" s="80">
        <f>AVERAGE('7b. Success proj 1819'!B12,'7c. Success counts 1718'!B12,'7d Success counts 1617'!B12)</f>
        <v>876</v>
      </c>
      <c r="C14" s="80">
        <f>AVERAGE('7b. Success proj 1819'!C12,'7c. Success counts 1718'!C12,'7d Success counts 1617'!C12)</f>
        <v>562</v>
      </c>
      <c r="D14" s="80">
        <f>AVERAGE('7b. Success proj 1819'!D12,'7c. Success counts 1718'!D12,'7d Success counts 1617'!D12)</f>
        <v>0</v>
      </c>
      <c r="E14" s="80">
        <f>AVERAGE('7b. Success proj 1819'!E12,'7c. Success counts 1718'!E12,'7d Success counts 1617'!E12)</f>
        <v>396</v>
      </c>
      <c r="F14" s="80">
        <f>AVERAGE('7b. Success proj 1819'!F12,'7c. Success counts 1718'!F12,'7d Success counts 1617'!F12)</f>
        <v>324</v>
      </c>
      <c r="G14" s="80">
        <f>AVERAGE('7b. Success proj 1819'!G12,'7c. Success counts 1718'!G12,'7d Success counts 1617'!G12)</f>
        <v>1728</v>
      </c>
      <c r="H14" s="80">
        <f>AVERAGE('7b. Success proj 1819'!H12,'7c. Success counts 1718'!H12,'7d Success counts 1617'!H12)</f>
        <v>1399</v>
      </c>
      <c r="I14" s="80">
        <f>AVERAGE('7b. Success proj 1819'!I12,'7c. Success counts 1718'!I12,'7d Success counts 1617'!I12)</f>
        <v>1150</v>
      </c>
      <c r="J14" s="80">
        <f>AVERAGE('7b. Success proj 1819'!J12,'7c. Success counts 1718'!J12,'7d Success counts 1617'!J12)</f>
        <v>511</v>
      </c>
      <c r="K14" s="80">
        <f>AVERAGE('7b. Success proj 1819'!K12,'7c. Success counts 1718'!K12,'7d Success counts 1617'!K12)</f>
        <v>298</v>
      </c>
      <c r="L14" s="80">
        <f>AVERAGE('7b. Success proj 1819'!L12,'7c. Success counts 1718'!L12,'7d Success counts 1617'!L12)</f>
        <v>0</v>
      </c>
      <c r="M14" s="80">
        <f>AVERAGE('7b. Success proj 1819'!M12,'7c. Success counts 1718'!M12,'7d Success counts 1617'!M12)</f>
        <v>211</v>
      </c>
      <c r="N14" s="80">
        <f>AVERAGE('7b. Success proj 1819'!N12,'7c. Success counts 1718'!N12,'7d Success counts 1617'!N12)</f>
        <v>121</v>
      </c>
      <c r="O14" s="80">
        <f>AVERAGE('7b. Success proj 1819'!O12,'7c. Success counts 1718'!O12,'7d Success counts 1617'!O12)</f>
        <v>854</v>
      </c>
      <c r="P14" s="80">
        <f>AVERAGE('7b. Success proj 1819'!P12,'7c. Success counts 1718'!P12,'7d Success counts 1617'!P12)</f>
        <v>648</v>
      </c>
      <c r="Q14" s="80">
        <f>AVERAGE('7b. Success proj 1819'!Q12,'7c. Success counts 1718'!Q12,'7d Success counts 1617'!Q12)</f>
        <v>373</v>
      </c>
      <c r="R14" s="80">
        <f>AVERAGE('7b. Success proj 1819'!R12,'7c. Success counts 1718'!R12,'7d Success counts 1617'!R12)</f>
        <v>671</v>
      </c>
      <c r="S14" s="80">
        <f>AVERAGE('7b. Success proj 1819'!S12,'7c. Success counts 1718'!S12,'7d Success counts 1617'!S12)</f>
        <v>401</v>
      </c>
      <c r="T14" s="80">
        <f>AVERAGE('7b. Success proj 1819'!T12,'7c. Success counts 1718'!T12,'7d Success counts 1617'!T12)</f>
        <v>0</v>
      </c>
      <c r="U14" s="80">
        <f>AVERAGE('7b. Success proj 1819'!U12,'7c. Success counts 1718'!U12,'7d Success counts 1617'!U12)</f>
        <v>302</v>
      </c>
      <c r="V14" s="80">
        <f>AVERAGE('7b. Success proj 1819'!V12,'7c. Success counts 1718'!V12,'7d Success counts 1617'!V12)</f>
        <v>180</v>
      </c>
      <c r="W14" s="80">
        <f>AVERAGE('7b. Success proj 1819'!W12,'7c. Success counts 1718'!W12,'7d Success counts 1617'!W12)</f>
        <v>1252</v>
      </c>
      <c r="X14" s="80">
        <f>AVERAGE('7b. Success proj 1819'!X12,'7c. Success counts 1718'!X12,'7d Success counts 1617'!X12)</f>
        <v>958</v>
      </c>
      <c r="Y14" s="80">
        <f>AVERAGE('7b. Success proj 1819'!Y12,'7c. Success counts 1718'!Y12,'7d Success counts 1617'!Y12)</f>
        <v>669</v>
      </c>
    </row>
    <row r="15" spans="1:25" x14ac:dyDescent="0.25">
      <c r="A15" s="170" t="s">
        <v>52</v>
      </c>
      <c r="B15" s="80">
        <f>AVERAGE('7b. Success proj 1819'!B13,'7c. Success counts 1718'!B13,'7d Success counts 1617'!B13)</f>
        <v>1594</v>
      </c>
      <c r="C15" s="80">
        <f>AVERAGE('7b. Success proj 1819'!C13,'7c. Success counts 1718'!C13,'7d Success counts 1617'!C13)</f>
        <v>2620</v>
      </c>
      <c r="D15" s="80">
        <f>AVERAGE('7b. Success proj 1819'!D13,'7c. Success counts 1718'!D13,'7d Success counts 1617'!D13)</f>
        <v>0</v>
      </c>
      <c r="E15" s="80">
        <f>AVERAGE('7b. Success proj 1819'!E13,'7c. Success counts 1718'!E13,'7d Success counts 1617'!E13)</f>
        <v>851</v>
      </c>
      <c r="F15" s="80">
        <f>AVERAGE('7b. Success proj 1819'!F13,'7c. Success counts 1718'!F13,'7d Success counts 1617'!F13)</f>
        <v>1146</v>
      </c>
      <c r="G15" s="80">
        <f>AVERAGE('7b. Success proj 1819'!G13,'7c. Success counts 1718'!G13,'7d Success counts 1617'!G13)</f>
        <v>5575</v>
      </c>
      <c r="H15" s="80">
        <f>AVERAGE('7b. Success proj 1819'!H13,'7c. Success counts 1718'!H13,'7d Success counts 1617'!H13)</f>
        <v>4938</v>
      </c>
      <c r="I15" s="80">
        <f>AVERAGE('7b. Success proj 1819'!I13,'7c. Success counts 1718'!I13,'7d Success counts 1617'!I13)</f>
        <v>4003</v>
      </c>
      <c r="J15" s="80">
        <f>AVERAGE('7b. Success proj 1819'!J13,'7c. Success counts 1718'!J13,'7d Success counts 1617'!J13)</f>
        <v>815</v>
      </c>
      <c r="K15" s="80">
        <f>AVERAGE('7b. Success proj 1819'!K13,'7c. Success counts 1718'!K13,'7d Success counts 1617'!K13)</f>
        <v>1003</v>
      </c>
      <c r="L15" s="80">
        <f>AVERAGE('7b. Success proj 1819'!L13,'7c. Success counts 1718'!L13,'7d Success counts 1617'!L13)</f>
        <v>0</v>
      </c>
      <c r="M15" s="80">
        <f>AVERAGE('7b. Success proj 1819'!M13,'7c. Success counts 1718'!M13,'7d Success counts 1617'!M13)</f>
        <v>324</v>
      </c>
      <c r="N15" s="80">
        <f>AVERAGE('7b. Success proj 1819'!N13,'7c. Success counts 1718'!N13,'7d Success counts 1617'!N13)</f>
        <v>437</v>
      </c>
      <c r="O15" s="80">
        <f>AVERAGE('7b. Success proj 1819'!O13,'7c. Success counts 1718'!O13,'7d Success counts 1617'!O13)</f>
        <v>2008</v>
      </c>
      <c r="P15" s="80">
        <f>AVERAGE('7b. Success proj 1819'!P13,'7c. Success counts 1718'!P13,'7d Success counts 1617'!P13)</f>
        <v>1972</v>
      </c>
      <c r="Q15" s="80">
        <f>AVERAGE('7b. Success proj 1819'!Q13,'7c. Success counts 1718'!Q13,'7d Success counts 1617'!Q13)</f>
        <v>736</v>
      </c>
      <c r="R15" s="80">
        <f>AVERAGE('7b. Success proj 1819'!R13,'7c. Success counts 1718'!R13,'7d Success counts 1617'!R13)</f>
        <v>1097</v>
      </c>
      <c r="S15" s="80">
        <f>AVERAGE('7b. Success proj 1819'!S13,'7c. Success counts 1718'!S13,'7d Success counts 1617'!S13)</f>
        <v>1562</v>
      </c>
      <c r="T15" s="80">
        <f>AVERAGE('7b. Success proj 1819'!T13,'7c. Success counts 1718'!T13,'7d Success counts 1617'!T13)</f>
        <v>0</v>
      </c>
      <c r="U15" s="80">
        <f>AVERAGE('7b. Success proj 1819'!U13,'7c. Success counts 1718'!U13,'7d Success counts 1617'!U13)</f>
        <v>551</v>
      </c>
      <c r="V15" s="80">
        <f>AVERAGE('7b. Success proj 1819'!V13,'7c. Success counts 1718'!V13,'7d Success counts 1617'!V13)</f>
        <v>587</v>
      </c>
      <c r="W15" s="80">
        <f>AVERAGE('7b. Success proj 1819'!W13,'7c. Success counts 1718'!W13,'7d Success counts 1617'!W13)</f>
        <v>3317</v>
      </c>
      <c r="X15" s="80">
        <f>AVERAGE('7b. Success proj 1819'!X13,'7c. Success counts 1718'!X13,'7d Success counts 1617'!X13)</f>
        <v>2813</v>
      </c>
      <c r="Y15" s="80">
        <f>AVERAGE('7b. Success proj 1819'!Y13,'7c. Success counts 1718'!Y13,'7d Success counts 1617'!Y13)</f>
        <v>1735</v>
      </c>
    </row>
    <row r="16" spans="1:25" x14ac:dyDescent="0.25">
      <c r="A16" s="170" t="s">
        <v>53</v>
      </c>
      <c r="B16" s="80">
        <f>AVERAGE('7b. Success proj 1819'!B14,'7c. Success counts 1718'!B14,'7d Success counts 1617'!B14)</f>
        <v>0</v>
      </c>
      <c r="C16" s="80">
        <f>AVERAGE('7b. Success proj 1819'!C14,'7c. Success counts 1718'!C14,'7d Success counts 1617'!C14)</f>
        <v>432</v>
      </c>
      <c r="D16" s="80">
        <f>AVERAGE('7b. Success proj 1819'!D14,'7c. Success counts 1718'!D14,'7d Success counts 1617'!D14)</f>
        <v>0</v>
      </c>
      <c r="E16" s="80">
        <f>AVERAGE('7b. Success proj 1819'!E14,'7c. Success counts 1718'!E14,'7d Success counts 1617'!E14)</f>
        <v>48</v>
      </c>
      <c r="F16" s="80">
        <f>AVERAGE('7b. Success proj 1819'!F14,'7c. Success counts 1718'!F14,'7d Success counts 1617'!F14)</f>
        <v>25</v>
      </c>
      <c r="G16" s="80">
        <f>AVERAGE('7b. Success proj 1819'!G14,'7c. Success counts 1718'!G14,'7d Success counts 1617'!G14)</f>
        <v>555</v>
      </c>
      <c r="H16" s="80">
        <f>AVERAGE('7b. Success proj 1819'!H14,'7c. Success counts 1718'!H14,'7d Success counts 1617'!H14)</f>
        <v>489</v>
      </c>
      <c r="I16" s="80">
        <f>AVERAGE('7b. Success proj 1819'!I14,'7c. Success counts 1718'!I14,'7d Success counts 1617'!I14)</f>
        <v>777</v>
      </c>
      <c r="J16" s="80">
        <f>AVERAGE('7b. Success proj 1819'!J14,'7c. Success counts 1718'!J14,'7d Success counts 1617'!J14)</f>
        <v>0</v>
      </c>
      <c r="K16" s="80">
        <f>AVERAGE('7b. Success proj 1819'!K14,'7c. Success counts 1718'!K14,'7d Success counts 1617'!K14)</f>
        <v>323</v>
      </c>
      <c r="L16" s="80">
        <f>AVERAGE('7b. Success proj 1819'!L14,'7c. Success counts 1718'!L14,'7d Success counts 1617'!L14)</f>
        <v>0</v>
      </c>
      <c r="M16" s="80">
        <f>AVERAGE('7b. Success proj 1819'!M14,'7c. Success counts 1718'!M14,'7d Success counts 1617'!M14)</f>
        <v>36</v>
      </c>
      <c r="N16" s="80">
        <f>AVERAGE('7b. Success proj 1819'!N14,'7c. Success counts 1718'!N14,'7d Success counts 1617'!N14)</f>
        <v>11</v>
      </c>
      <c r="O16" s="80">
        <f>AVERAGE('7b. Success proj 1819'!O14,'7c. Success counts 1718'!O14,'7d Success counts 1617'!O14)</f>
        <v>313</v>
      </c>
      <c r="P16" s="80">
        <f>AVERAGE('7b. Success proj 1819'!P14,'7c. Success counts 1718'!P14,'7d Success counts 1617'!P14)</f>
        <v>227</v>
      </c>
      <c r="Q16" s="80">
        <f>AVERAGE('7b. Success proj 1819'!Q14,'7c. Success counts 1718'!Q14,'7d Success counts 1617'!Q14)</f>
        <v>219</v>
      </c>
      <c r="R16" s="80">
        <f>AVERAGE('7b. Success proj 1819'!R14,'7c. Success counts 1718'!R14,'7d Success counts 1617'!R14)</f>
        <v>0</v>
      </c>
      <c r="S16" s="80">
        <f>AVERAGE('7b. Success proj 1819'!S14,'7c. Success counts 1718'!S14,'7d Success counts 1617'!S14)</f>
        <v>408</v>
      </c>
      <c r="T16" s="80">
        <f>AVERAGE('7b. Success proj 1819'!T14,'7c. Success counts 1718'!T14,'7d Success counts 1617'!T14)</f>
        <v>0</v>
      </c>
      <c r="U16" s="80">
        <f>AVERAGE('7b. Success proj 1819'!U14,'7c. Success counts 1718'!U14,'7d Success counts 1617'!U14)</f>
        <v>42</v>
      </c>
      <c r="V16" s="80">
        <f>AVERAGE('7b. Success proj 1819'!V14,'7c. Success counts 1718'!V14,'7d Success counts 1617'!V14)</f>
        <v>19</v>
      </c>
      <c r="W16" s="80">
        <f>AVERAGE('7b. Success proj 1819'!W14,'7c. Success counts 1718'!W14,'7d Success counts 1617'!W14)</f>
        <v>420</v>
      </c>
      <c r="X16" s="80">
        <f>AVERAGE('7b. Success proj 1819'!X14,'7c. Success counts 1718'!X14,'7d Success counts 1617'!X14)</f>
        <v>299</v>
      </c>
      <c r="Y16" s="80">
        <f>AVERAGE('7b. Success proj 1819'!Y14,'7c. Success counts 1718'!Y14,'7d Success counts 1617'!Y14)</f>
        <v>367</v>
      </c>
    </row>
    <row r="17" spans="1:25" x14ac:dyDescent="0.25">
      <c r="A17" s="170" t="s">
        <v>54</v>
      </c>
      <c r="B17" s="80">
        <f>AVERAGE('7b. Success proj 1819'!B15,'7c. Success counts 1718'!B15,'7d Success counts 1617'!B15)</f>
        <v>1422</v>
      </c>
      <c r="C17" s="80">
        <f>AVERAGE('7b. Success proj 1819'!C15,'7c. Success counts 1718'!C15,'7d Success counts 1617'!C15)</f>
        <v>1497</v>
      </c>
      <c r="D17" s="80">
        <f>AVERAGE('7b. Success proj 1819'!D15,'7c. Success counts 1718'!D15,'7d Success counts 1617'!D15)</f>
        <v>0</v>
      </c>
      <c r="E17" s="80">
        <f>AVERAGE('7b. Success proj 1819'!E15,'7c. Success counts 1718'!E15,'7d Success counts 1617'!E15)</f>
        <v>596</v>
      </c>
      <c r="F17" s="80">
        <f>AVERAGE('7b. Success proj 1819'!F15,'7c. Success counts 1718'!F15,'7d Success counts 1617'!F15)</f>
        <v>902</v>
      </c>
      <c r="G17" s="80">
        <f>AVERAGE('7b. Success proj 1819'!G15,'7c. Success counts 1718'!G15,'7d Success counts 1617'!G15)</f>
        <v>4406</v>
      </c>
      <c r="H17" s="80">
        <f>AVERAGE('7b. Success proj 1819'!H15,'7c. Success counts 1718'!H15,'7d Success counts 1617'!H15)</f>
        <v>3636</v>
      </c>
      <c r="I17" s="80">
        <f>AVERAGE('7b. Success proj 1819'!I15,'7c. Success counts 1718'!I15,'7d Success counts 1617'!I15)</f>
        <v>2501</v>
      </c>
      <c r="J17" s="80">
        <f>AVERAGE('7b. Success proj 1819'!J15,'7c. Success counts 1718'!J15,'7d Success counts 1617'!J15)</f>
        <v>559</v>
      </c>
      <c r="K17" s="80">
        <f>AVERAGE('7b. Success proj 1819'!K15,'7c. Success counts 1718'!K15,'7d Success counts 1617'!K15)</f>
        <v>672</v>
      </c>
      <c r="L17" s="80">
        <f>AVERAGE('7b. Success proj 1819'!L15,'7c. Success counts 1718'!L15,'7d Success counts 1617'!L15)</f>
        <v>0</v>
      </c>
      <c r="M17" s="80">
        <f>AVERAGE('7b. Success proj 1819'!M15,'7c. Success counts 1718'!M15,'7d Success counts 1617'!M15)</f>
        <v>189</v>
      </c>
      <c r="N17" s="80">
        <f>AVERAGE('7b. Success proj 1819'!N15,'7c. Success counts 1718'!N15,'7d Success counts 1617'!N15)</f>
        <v>206</v>
      </c>
      <c r="O17" s="80">
        <f>AVERAGE('7b. Success proj 1819'!O15,'7c. Success counts 1718'!O15,'7d Success counts 1617'!O15)</f>
        <v>1630</v>
      </c>
      <c r="P17" s="80">
        <f>AVERAGE('7b. Success proj 1819'!P15,'7c. Success counts 1718'!P15,'7d Success counts 1617'!P15)</f>
        <v>1164</v>
      </c>
      <c r="Q17" s="80">
        <f>AVERAGE('7b. Success proj 1819'!Q15,'7c. Success counts 1718'!Q15,'7d Success counts 1617'!Q15)</f>
        <v>505</v>
      </c>
      <c r="R17" s="80">
        <f>AVERAGE('7b. Success proj 1819'!R15,'7c. Success counts 1718'!R15,'7d Success counts 1617'!R15)</f>
        <v>800</v>
      </c>
      <c r="S17" s="80">
        <f>AVERAGE('7b. Success proj 1819'!S15,'7c. Success counts 1718'!S15,'7d Success counts 1617'!S15)</f>
        <v>971</v>
      </c>
      <c r="T17" s="80">
        <f>AVERAGE('7b. Success proj 1819'!T15,'7c. Success counts 1718'!T15,'7d Success counts 1617'!T15)</f>
        <v>0</v>
      </c>
      <c r="U17" s="80">
        <f>AVERAGE('7b. Success proj 1819'!U15,'7c. Success counts 1718'!U15,'7d Success counts 1617'!U15)</f>
        <v>264</v>
      </c>
      <c r="V17" s="80">
        <f>AVERAGE('7b. Success proj 1819'!V15,'7c. Success counts 1718'!V15,'7d Success counts 1617'!V15)</f>
        <v>338</v>
      </c>
      <c r="W17" s="80">
        <f>AVERAGE('7b. Success proj 1819'!W15,'7c. Success counts 1718'!W15,'7d Success counts 1617'!W15)</f>
        <v>2437</v>
      </c>
      <c r="X17" s="80">
        <f>AVERAGE('7b. Success proj 1819'!X15,'7c. Success counts 1718'!X15,'7d Success counts 1617'!X15)</f>
        <v>1825</v>
      </c>
      <c r="Y17" s="80">
        <f>AVERAGE('7b. Success proj 1819'!Y15,'7c. Success counts 1718'!Y15,'7d Success counts 1617'!Y15)</f>
        <v>986</v>
      </c>
    </row>
    <row r="18" spans="1:25" x14ac:dyDescent="0.25">
      <c r="A18" s="170" t="s">
        <v>55</v>
      </c>
      <c r="B18" s="80">
        <f>AVERAGE('7b. Success proj 1819'!B16,'7c. Success counts 1718'!B16,'7d Success counts 1617'!B16)</f>
        <v>60</v>
      </c>
      <c r="C18" s="80">
        <f>AVERAGE('7b. Success proj 1819'!C16,'7c. Success counts 1718'!C16,'7d Success counts 1617'!C16)</f>
        <v>130</v>
      </c>
      <c r="D18" s="80">
        <f>AVERAGE('7b. Success proj 1819'!D16,'7c. Success counts 1718'!D16,'7d Success counts 1617'!D16)</f>
        <v>0</v>
      </c>
      <c r="E18" s="80">
        <f>AVERAGE('7b. Success proj 1819'!E16,'7c. Success counts 1718'!E16,'7d Success counts 1617'!E16)</f>
        <v>14</v>
      </c>
      <c r="F18" s="80">
        <f>AVERAGE('7b. Success proj 1819'!F16,'7c. Success counts 1718'!F16,'7d Success counts 1617'!F16)</f>
        <v>32</v>
      </c>
      <c r="G18" s="80">
        <f>AVERAGE('7b. Success proj 1819'!G16,'7c. Success counts 1718'!G16,'7d Success counts 1617'!G16)</f>
        <v>232</v>
      </c>
      <c r="H18" s="80">
        <f>AVERAGE('7b. Success proj 1819'!H16,'7c. Success counts 1718'!H16,'7d Success counts 1617'!H16)</f>
        <v>92</v>
      </c>
      <c r="I18" s="80">
        <f>AVERAGE('7b. Success proj 1819'!I16,'7c. Success counts 1718'!I16,'7d Success counts 1617'!I16)</f>
        <v>187</v>
      </c>
      <c r="J18" s="80">
        <f>AVERAGE('7b. Success proj 1819'!J16,'7c. Success counts 1718'!J16,'7d Success counts 1617'!J16)</f>
        <v>45</v>
      </c>
      <c r="K18" s="80">
        <f>AVERAGE('7b. Success proj 1819'!K16,'7c. Success counts 1718'!K16,'7d Success counts 1617'!K16)</f>
        <v>98</v>
      </c>
      <c r="L18" s="80">
        <f>AVERAGE('7b. Success proj 1819'!L16,'7c. Success counts 1718'!L16,'7d Success counts 1617'!L16)</f>
        <v>0</v>
      </c>
      <c r="M18" s="80">
        <f>AVERAGE('7b. Success proj 1819'!M16,'7c. Success counts 1718'!M16,'7d Success counts 1617'!M16)</f>
        <v>13</v>
      </c>
      <c r="N18" s="80">
        <f>AVERAGE('7b. Success proj 1819'!N16,'7c. Success counts 1718'!N16,'7d Success counts 1617'!N16)</f>
        <v>13</v>
      </c>
      <c r="O18" s="80">
        <f>AVERAGE('7b. Success proj 1819'!O16,'7c. Success counts 1718'!O16,'7d Success counts 1617'!O16)</f>
        <v>168</v>
      </c>
      <c r="P18" s="80">
        <f>AVERAGE('7b. Success proj 1819'!P16,'7c. Success counts 1718'!P16,'7d Success counts 1617'!P16)</f>
        <v>56</v>
      </c>
      <c r="Q18" s="80">
        <f>AVERAGE('7b. Success proj 1819'!Q16,'7c. Success counts 1718'!Q16,'7d Success counts 1617'!Q16)</f>
        <v>81</v>
      </c>
      <c r="R18" s="80">
        <f>AVERAGE('7b. Success proj 1819'!R16,'7c. Success counts 1718'!R16,'7d Success counts 1617'!R16)</f>
        <v>55</v>
      </c>
      <c r="S18" s="80">
        <f>AVERAGE('7b. Success proj 1819'!S16,'7c. Success counts 1718'!S16,'7d Success counts 1617'!S16)</f>
        <v>115</v>
      </c>
      <c r="T18" s="80">
        <f>AVERAGE('7b. Success proj 1819'!T16,'7c. Success counts 1718'!T16,'7d Success counts 1617'!T16)</f>
        <v>0</v>
      </c>
      <c r="U18" s="80">
        <f>AVERAGE('7b. Success proj 1819'!U16,'7c. Success counts 1718'!U16,'7d Success counts 1617'!U16)</f>
        <v>13</v>
      </c>
      <c r="V18" s="80">
        <f>AVERAGE('7b. Success proj 1819'!V16,'7c. Success counts 1718'!V16,'7d Success counts 1617'!V16)</f>
        <v>19</v>
      </c>
      <c r="W18" s="80">
        <f>AVERAGE('7b. Success proj 1819'!W16,'7c. Success counts 1718'!W16,'7d Success counts 1617'!W16)</f>
        <v>211</v>
      </c>
      <c r="X18" s="80">
        <f>AVERAGE('7b. Success proj 1819'!X16,'7c. Success counts 1718'!X16,'7d Success counts 1617'!X16)</f>
        <v>74</v>
      </c>
      <c r="Y18" s="80">
        <f>AVERAGE('7b. Success proj 1819'!Y16,'7c. Success counts 1718'!Y16,'7d Success counts 1617'!Y16)</f>
        <v>128</v>
      </c>
    </row>
    <row r="19" spans="1:25" x14ac:dyDescent="0.25">
      <c r="A19" s="170" t="s">
        <v>56</v>
      </c>
      <c r="B19" s="80">
        <f>AVERAGE('7b. Success proj 1819'!B17,'7c. Success counts 1718'!B17,'7d Success counts 1617'!B17)</f>
        <v>524</v>
      </c>
      <c r="C19" s="80">
        <f>AVERAGE('7b. Success proj 1819'!C17,'7c. Success counts 1718'!C17,'7d Success counts 1617'!C17)</f>
        <v>355</v>
      </c>
      <c r="D19" s="80">
        <f>AVERAGE('7b. Success proj 1819'!D17,'7c. Success counts 1718'!D17,'7d Success counts 1617'!D17)</f>
        <v>0</v>
      </c>
      <c r="E19" s="80">
        <f>AVERAGE('7b. Success proj 1819'!E17,'7c. Success counts 1718'!E17,'7d Success counts 1617'!E17)</f>
        <v>146</v>
      </c>
      <c r="F19" s="80">
        <f>AVERAGE('7b. Success proj 1819'!F17,'7c. Success counts 1718'!F17,'7d Success counts 1617'!F17)</f>
        <v>111</v>
      </c>
      <c r="G19" s="80">
        <f>AVERAGE('7b. Success proj 1819'!G17,'7c. Success counts 1718'!G17,'7d Success counts 1617'!G17)</f>
        <v>1688</v>
      </c>
      <c r="H19" s="80">
        <f>AVERAGE('7b. Success proj 1819'!H17,'7c. Success counts 1718'!H17,'7d Success counts 1617'!H17)</f>
        <v>686</v>
      </c>
      <c r="I19" s="80">
        <f>AVERAGE('7b. Success proj 1819'!I17,'7c. Success counts 1718'!I17,'7d Success counts 1617'!I17)</f>
        <v>1363</v>
      </c>
      <c r="J19" s="80">
        <f>AVERAGE('7b. Success proj 1819'!J17,'7c. Success counts 1718'!J17,'7d Success counts 1617'!J17)</f>
        <v>371</v>
      </c>
      <c r="K19" s="80">
        <f>AVERAGE('7b. Success proj 1819'!K17,'7c. Success counts 1718'!K17,'7d Success counts 1617'!K17)</f>
        <v>239</v>
      </c>
      <c r="L19" s="80">
        <f>AVERAGE('7b. Success proj 1819'!L17,'7c. Success counts 1718'!L17,'7d Success counts 1617'!L17)</f>
        <v>0</v>
      </c>
      <c r="M19" s="80">
        <f>AVERAGE('7b. Success proj 1819'!M17,'7c. Success counts 1718'!M17,'7d Success counts 1617'!M17)</f>
        <v>107</v>
      </c>
      <c r="N19" s="80">
        <f>AVERAGE('7b. Success proj 1819'!N17,'7c. Success counts 1718'!N17,'7d Success counts 1617'!N17)</f>
        <v>58</v>
      </c>
      <c r="O19" s="80">
        <f>AVERAGE('7b. Success proj 1819'!O17,'7c. Success counts 1718'!O17,'7d Success counts 1617'!O17)</f>
        <v>1074</v>
      </c>
      <c r="P19" s="80">
        <f>AVERAGE('7b. Success proj 1819'!P17,'7c. Success counts 1718'!P17,'7d Success counts 1617'!P17)</f>
        <v>430</v>
      </c>
      <c r="Q19" s="80">
        <f>AVERAGE('7b. Success proj 1819'!Q17,'7c. Success counts 1718'!Q17,'7d Success counts 1617'!Q17)</f>
        <v>664</v>
      </c>
      <c r="R19" s="80">
        <f>AVERAGE('7b. Success proj 1819'!R17,'7c. Success counts 1718'!R17,'7d Success counts 1617'!R17)</f>
        <v>461</v>
      </c>
      <c r="S19" s="80">
        <f>AVERAGE('7b. Success proj 1819'!S17,'7c. Success counts 1718'!S17,'7d Success counts 1617'!S17)</f>
        <v>303</v>
      </c>
      <c r="T19" s="80">
        <f>AVERAGE('7b. Success proj 1819'!T17,'7c. Success counts 1718'!T17,'7d Success counts 1617'!T17)</f>
        <v>0</v>
      </c>
      <c r="U19" s="80">
        <f>AVERAGE('7b. Success proj 1819'!U17,'7c. Success counts 1718'!U17,'7d Success counts 1617'!U17)</f>
        <v>129</v>
      </c>
      <c r="V19" s="80">
        <f>AVERAGE('7b. Success proj 1819'!V17,'7c. Success counts 1718'!V17,'7d Success counts 1617'!V17)</f>
        <v>84</v>
      </c>
      <c r="W19" s="80">
        <f>AVERAGE('7b. Success proj 1819'!W17,'7c. Success counts 1718'!W17,'7d Success counts 1617'!W17)</f>
        <v>1405</v>
      </c>
      <c r="X19" s="80">
        <f>AVERAGE('7b. Success proj 1819'!X17,'7c. Success counts 1718'!X17,'7d Success counts 1617'!X17)</f>
        <v>542</v>
      </c>
      <c r="Y19" s="80">
        <f>AVERAGE('7b. Success proj 1819'!Y17,'7c. Success counts 1718'!Y17,'7d Success counts 1617'!Y17)</f>
        <v>953</v>
      </c>
    </row>
    <row r="20" spans="1:25" x14ac:dyDescent="0.25">
      <c r="A20" s="170" t="s">
        <v>57</v>
      </c>
      <c r="B20" s="80">
        <f>AVERAGE('7b. Success proj 1819'!B18,'7c. Success counts 1718'!B18,'7d Success counts 1617'!B18)</f>
        <v>974</v>
      </c>
      <c r="C20" s="80">
        <f>AVERAGE('7b. Success proj 1819'!C18,'7c. Success counts 1718'!C18,'7d Success counts 1617'!C18)</f>
        <v>1085</v>
      </c>
      <c r="D20" s="80">
        <f>AVERAGE('7b. Success proj 1819'!D18,'7c. Success counts 1718'!D18,'7d Success counts 1617'!D18)</f>
        <v>0</v>
      </c>
      <c r="E20" s="80">
        <f>AVERAGE('7b. Success proj 1819'!E18,'7c. Success counts 1718'!E18,'7d Success counts 1617'!E18)</f>
        <v>350</v>
      </c>
      <c r="F20" s="80">
        <f>AVERAGE('7b. Success proj 1819'!F18,'7c. Success counts 1718'!F18,'7d Success counts 1617'!F18)</f>
        <v>584</v>
      </c>
      <c r="G20" s="80">
        <f>AVERAGE('7b. Success proj 1819'!G18,'7c. Success counts 1718'!G18,'7d Success counts 1617'!G18)</f>
        <v>2690</v>
      </c>
      <c r="H20" s="80">
        <f>AVERAGE('7b. Success proj 1819'!H18,'7c. Success counts 1718'!H18,'7d Success counts 1617'!H18)</f>
        <v>2145</v>
      </c>
      <c r="I20" s="80">
        <f>AVERAGE('7b. Success proj 1819'!I18,'7c. Success counts 1718'!I18,'7d Success counts 1617'!I18)</f>
        <v>2228</v>
      </c>
      <c r="J20" s="80">
        <f>AVERAGE('7b. Success proj 1819'!J18,'7c. Success counts 1718'!J18,'7d Success counts 1617'!J18)</f>
        <v>539</v>
      </c>
      <c r="K20" s="80">
        <f>AVERAGE('7b. Success proj 1819'!K18,'7c. Success counts 1718'!K18,'7d Success counts 1617'!K18)</f>
        <v>578</v>
      </c>
      <c r="L20" s="80">
        <f>AVERAGE('7b. Success proj 1819'!L18,'7c. Success counts 1718'!L18,'7d Success counts 1617'!L18)</f>
        <v>0</v>
      </c>
      <c r="M20" s="80">
        <f>AVERAGE('7b. Success proj 1819'!M18,'7c. Success counts 1718'!M18,'7d Success counts 1617'!M18)</f>
        <v>143</v>
      </c>
      <c r="N20" s="80">
        <f>AVERAGE('7b. Success proj 1819'!N18,'7c. Success counts 1718'!N18,'7d Success counts 1617'!N18)</f>
        <v>227</v>
      </c>
      <c r="O20" s="80">
        <f>AVERAGE('7b. Success proj 1819'!O18,'7c. Success counts 1718'!O18,'7d Success counts 1617'!O18)</f>
        <v>1203</v>
      </c>
      <c r="P20" s="80">
        <f>AVERAGE('7b. Success proj 1819'!P18,'7c. Success counts 1718'!P18,'7d Success counts 1617'!P18)</f>
        <v>1013</v>
      </c>
      <c r="Q20" s="80">
        <f>AVERAGE('7b. Success proj 1819'!Q18,'7c. Success counts 1718'!Q18,'7d Success counts 1617'!Q18)</f>
        <v>640</v>
      </c>
      <c r="R20" s="80">
        <f>AVERAGE('7b. Success proj 1819'!R18,'7c. Success counts 1718'!R18,'7d Success counts 1617'!R18)</f>
        <v>708</v>
      </c>
      <c r="S20" s="80">
        <f>AVERAGE('7b. Success proj 1819'!S18,'7c. Success counts 1718'!S18,'7d Success counts 1617'!S18)</f>
        <v>745</v>
      </c>
      <c r="T20" s="80">
        <f>AVERAGE('7b. Success proj 1819'!T18,'7c. Success counts 1718'!T18,'7d Success counts 1617'!T18)</f>
        <v>0</v>
      </c>
      <c r="U20" s="80">
        <f>AVERAGE('7b. Success proj 1819'!U18,'7c. Success counts 1718'!U18,'7d Success counts 1617'!U18)</f>
        <v>204</v>
      </c>
      <c r="V20" s="80">
        <f>AVERAGE('7b. Success proj 1819'!V18,'7c. Success counts 1718'!V18,'7d Success counts 1617'!V18)</f>
        <v>298</v>
      </c>
      <c r="W20" s="80">
        <f>AVERAGE('7b. Success proj 1819'!W18,'7c. Success counts 1718'!W18,'7d Success counts 1617'!W18)</f>
        <v>1701</v>
      </c>
      <c r="X20" s="80">
        <f>AVERAGE('7b. Success proj 1819'!X18,'7c. Success counts 1718'!X18,'7d Success counts 1617'!X18)</f>
        <v>1364</v>
      </c>
      <c r="Y20" s="80">
        <f>AVERAGE('7b. Success proj 1819'!Y18,'7c. Success counts 1718'!Y18,'7d Success counts 1617'!Y18)</f>
        <v>1172</v>
      </c>
    </row>
    <row r="21" spans="1:25" x14ac:dyDescent="0.25">
      <c r="A21" s="170" t="s">
        <v>58</v>
      </c>
      <c r="B21" s="80">
        <f>AVERAGE('7b. Success proj 1819'!B19,'7c. Success counts 1718'!B19,'7d Success counts 1617'!B19)</f>
        <v>56</v>
      </c>
      <c r="C21" s="80">
        <f>AVERAGE('7b. Success proj 1819'!C19,'7c. Success counts 1718'!C19,'7d Success counts 1617'!C19)</f>
        <v>158</v>
      </c>
      <c r="D21" s="80">
        <f>AVERAGE('7b. Success proj 1819'!D19,'7c. Success counts 1718'!D19,'7d Success counts 1617'!D19)</f>
        <v>3</v>
      </c>
      <c r="E21" s="80">
        <f>AVERAGE('7b. Success proj 1819'!E19,'7c. Success counts 1718'!E19,'7d Success counts 1617'!E19)</f>
        <v>9</v>
      </c>
      <c r="F21" s="80">
        <f>AVERAGE('7b. Success proj 1819'!F19,'7c. Success counts 1718'!F19,'7d Success counts 1617'!F19)</f>
        <v>47</v>
      </c>
      <c r="G21" s="80">
        <f>AVERAGE('7b. Success proj 1819'!G19,'7c. Success counts 1718'!G19,'7d Success counts 1617'!G19)</f>
        <v>590</v>
      </c>
      <c r="H21" s="80">
        <f>AVERAGE('7b. Success proj 1819'!H19,'7c. Success counts 1718'!H19,'7d Success counts 1617'!H19)</f>
        <v>162</v>
      </c>
      <c r="I21" s="80">
        <f>AVERAGE('7b. Success proj 1819'!I19,'7c. Success counts 1718'!I19,'7d Success counts 1617'!I19)</f>
        <v>235</v>
      </c>
      <c r="J21" s="80">
        <f>AVERAGE('7b. Success proj 1819'!J19,'7c. Success counts 1718'!J19,'7d Success counts 1617'!J19)</f>
        <v>17</v>
      </c>
      <c r="K21" s="80">
        <f>AVERAGE('7b. Success proj 1819'!K19,'7c. Success counts 1718'!K19,'7d Success counts 1617'!K19)</f>
        <v>63</v>
      </c>
      <c r="L21" s="80">
        <f>AVERAGE('7b. Success proj 1819'!L19,'7c. Success counts 1718'!L19,'7d Success counts 1617'!L19)</f>
        <v>3</v>
      </c>
      <c r="M21" s="80">
        <f>AVERAGE('7b. Success proj 1819'!M19,'7c. Success counts 1718'!M19,'7d Success counts 1617'!M19)</f>
        <v>6</v>
      </c>
      <c r="N21" s="80">
        <f>AVERAGE('7b. Success proj 1819'!N19,'7c. Success counts 1718'!N19,'7d Success counts 1617'!N19)</f>
        <v>20</v>
      </c>
      <c r="O21" s="80">
        <f>AVERAGE('7b. Success proj 1819'!O19,'7c. Success counts 1718'!O19,'7d Success counts 1617'!O19)</f>
        <v>124</v>
      </c>
      <c r="P21" s="80">
        <f>AVERAGE('7b. Success proj 1819'!P19,'7c. Success counts 1718'!P19,'7d Success counts 1617'!P19)</f>
        <v>44</v>
      </c>
      <c r="Q21" s="80">
        <f>AVERAGE('7b. Success proj 1819'!Q19,'7c. Success counts 1718'!Q19,'7d Success counts 1617'!Q19)</f>
        <v>32</v>
      </c>
      <c r="R21" s="80">
        <f>AVERAGE('7b. Success proj 1819'!R19,'7c. Success counts 1718'!R19,'7d Success counts 1617'!R19)</f>
        <v>44</v>
      </c>
      <c r="S21" s="80">
        <f>AVERAGE('7b. Success proj 1819'!S19,'7c. Success counts 1718'!S19,'7d Success counts 1617'!S19)</f>
        <v>106</v>
      </c>
      <c r="T21" s="80">
        <f>AVERAGE('7b. Success proj 1819'!T19,'7c. Success counts 1718'!T19,'7d Success counts 1617'!T19)</f>
        <v>2</v>
      </c>
      <c r="U21" s="80">
        <f>AVERAGE('7b. Success proj 1819'!U19,'7c. Success counts 1718'!U19,'7d Success counts 1617'!U19)</f>
        <v>8</v>
      </c>
      <c r="V21" s="80">
        <f>AVERAGE('7b. Success proj 1819'!V19,'7c. Success counts 1718'!V19,'7d Success counts 1617'!V19)</f>
        <v>16</v>
      </c>
      <c r="W21" s="80">
        <f>AVERAGE('7b. Success proj 1819'!W19,'7c. Success counts 1718'!W19,'7d Success counts 1617'!W19)</f>
        <v>239</v>
      </c>
      <c r="X21" s="80">
        <f>AVERAGE('7b. Success proj 1819'!X19,'7c. Success counts 1718'!X19,'7d Success counts 1617'!X19)</f>
        <v>67</v>
      </c>
      <c r="Y21" s="80">
        <f>AVERAGE('7b. Success proj 1819'!Y19,'7c. Success counts 1718'!Y19,'7d Success counts 1617'!Y19)</f>
        <v>68</v>
      </c>
    </row>
    <row r="22" spans="1:25" ht="17.25" x14ac:dyDescent="0.25">
      <c r="A22" s="170" t="s">
        <v>59</v>
      </c>
      <c r="B22" s="80">
        <f>AVERAGE('7b. Success proj 1819'!B20,'7c. Success counts 1718'!B20,'7d Success counts 1617'!B20)</f>
        <v>1187</v>
      </c>
      <c r="C22" s="80">
        <f>AVERAGE('7b. Success proj 1819'!C20,'7c. Success counts 1718'!C20,'7d Success counts 1617'!C20)</f>
        <v>1370</v>
      </c>
      <c r="D22" s="80">
        <f>AVERAGE('7b. Success proj 1819'!D20,'7c. Success counts 1718'!D20,'7d Success counts 1617'!D20)</f>
        <v>23</v>
      </c>
      <c r="E22" s="80">
        <f>AVERAGE('7b. Success proj 1819'!E20,'7c. Success counts 1718'!E20,'7d Success counts 1617'!E20)</f>
        <v>509</v>
      </c>
      <c r="F22" s="80">
        <f>AVERAGE('7b. Success proj 1819'!F20,'7c. Success counts 1718'!F20,'7d Success counts 1617'!F20)</f>
        <v>1165</v>
      </c>
      <c r="G22" s="80">
        <f>AVERAGE('7b. Success proj 1819'!G20,'7c. Success counts 1718'!G20,'7d Success counts 1617'!G20)</f>
        <v>5263</v>
      </c>
      <c r="H22" s="80">
        <f>AVERAGE('7b. Success proj 1819'!H20,'7c. Success counts 1718'!H20,'7d Success counts 1617'!H20)</f>
        <v>4709</v>
      </c>
      <c r="I22" s="80">
        <f>AVERAGE('7b. Success proj 1819'!I20,'7c. Success counts 1718'!I20,'7d Success counts 1617'!I20)</f>
        <v>5492</v>
      </c>
      <c r="J22" s="80">
        <f>AVERAGE('7b. Success proj 1819'!J20,'7c. Success counts 1718'!J20,'7d Success counts 1617'!J20)</f>
        <v>441</v>
      </c>
      <c r="K22" s="80">
        <f>AVERAGE('7b. Success proj 1819'!K20,'7c. Success counts 1718'!K20,'7d Success counts 1617'!K20)</f>
        <v>512</v>
      </c>
      <c r="L22" s="80">
        <f>AVERAGE('7b. Success proj 1819'!L20,'7c. Success counts 1718'!L20,'7d Success counts 1617'!L20)</f>
        <v>8</v>
      </c>
      <c r="M22" s="80">
        <f>AVERAGE('7b. Success proj 1819'!M20,'7c. Success counts 1718'!M20,'7d Success counts 1617'!M20)</f>
        <v>56</v>
      </c>
      <c r="N22" s="80">
        <f>AVERAGE('7b. Success proj 1819'!N20,'7c. Success counts 1718'!N20,'7d Success counts 1617'!N20)</f>
        <v>239</v>
      </c>
      <c r="O22" s="80">
        <f>AVERAGE('7b. Success proj 1819'!O20,'7c. Success counts 1718'!O20,'7d Success counts 1617'!O20)</f>
        <v>1070</v>
      </c>
      <c r="P22" s="80">
        <f>AVERAGE('7b. Success proj 1819'!P20,'7c. Success counts 1718'!P20,'7d Success counts 1617'!P20)</f>
        <v>1269</v>
      </c>
      <c r="Q22" s="80">
        <f>AVERAGE('7b. Success proj 1819'!Q20,'7c. Success counts 1718'!Q20,'7d Success counts 1617'!Q20)</f>
        <v>440</v>
      </c>
      <c r="R22" s="80">
        <f>AVERAGE('7b. Success proj 1819'!R20,'7c. Success counts 1718'!R20,'7d Success counts 1617'!R20)</f>
        <v>670</v>
      </c>
      <c r="S22" s="80">
        <f>AVERAGE('7b. Success proj 1819'!S20,'7c. Success counts 1718'!S20,'7d Success counts 1617'!S20)</f>
        <v>832</v>
      </c>
      <c r="T22" s="80">
        <f>AVERAGE('7b. Success proj 1819'!T20,'7c. Success counts 1718'!T20,'7d Success counts 1617'!T20)</f>
        <v>18</v>
      </c>
      <c r="U22" s="80">
        <f>AVERAGE('7b. Success proj 1819'!U20,'7c. Success counts 1718'!U20,'7d Success counts 1617'!U20)</f>
        <v>111</v>
      </c>
      <c r="V22" s="80">
        <f>AVERAGE('7b. Success proj 1819'!V20,'7c. Success counts 1718'!V20,'7d Success counts 1617'!V20)</f>
        <v>349</v>
      </c>
      <c r="W22" s="80">
        <f>AVERAGE('7b. Success proj 1819'!W20,'7c. Success counts 1718'!W20,'7d Success counts 1617'!W20)</f>
        <v>1989</v>
      </c>
      <c r="X22" s="80">
        <f>AVERAGE('7b. Success proj 1819'!X20,'7c. Success counts 1718'!X20,'7d Success counts 1617'!X20)</f>
        <v>2082</v>
      </c>
      <c r="Y22" s="80">
        <f>AVERAGE('7b. Success proj 1819'!Y20,'7c. Success counts 1718'!Y20,'7d Success counts 1617'!Y20)</f>
        <v>1270</v>
      </c>
    </row>
    <row r="23" spans="1:25" x14ac:dyDescent="0.25">
      <c r="A23" s="170" t="s">
        <v>60</v>
      </c>
      <c r="B23" s="80">
        <f>AVERAGE('7b. Success proj 1819'!B21,'7c. Success counts 1718'!B21,'7d Success counts 1617'!B21)</f>
        <v>226</v>
      </c>
      <c r="C23" s="80">
        <f>AVERAGE('7b. Success proj 1819'!C21,'7c. Success counts 1718'!C21,'7d Success counts 1617'!C21)</f>
        <v>315</v>
      </c>
      <c r="D23" s="80">
        <f>AVERAGE('7b. Success proj 1819'!D21,'7c. Success counts 1718'!D21,'7d Success counts 1617'!D21)</f>
        <v>0</v>
      </c>
      <c r="E23" s="80">
        <f>AVERAGE('7b. Success proj 1819'!E21,'7c. Success counts 1718'!E21,'7d Success counts 1617'!E21)</f>
        <v>163</v>
      </c>
      <c r="F23" s="80">
        <f>AVERAGE('7b. Success proj 1819'!F21,'7c. Success counts 1718'!F21,'7d Success counts 1617'!F21)</f>
        <v>92</v>
      </c>
      <c r="G23" s="80">
        <f>AVERAGE('7b. Success proj 1819'!G21,'7c. Success counts 1718'!G21,'7d Success counts 1617'!G21)</f>
        <v>729</v>
      </c>
      <c r="H23" s="80">
        <f>AVERAGE('7b. Success proj 1819'!H21,'7c. Success counts 1718'!H21,'7d Success counts 1617'!H21)</f>
        <v>439</v>
      </c>
      <c r="I23" s="80">
        <f>AVERAGE('7b. Success proj 1819'!I21,'7c. Success counts 1718'!I21,'7d Success counts 1617'!I21)</f>
        <v>1163</v>
      </c>
      <c r="J23" s="80">
        <f>AVERAGE('7b. Success proj 1819'!J21,'7c. Success counts 1718'!J21,'7d Success counts 1617'!J21)</f>
        <v>110</v>
      </c>
      <c r="K23" s="80">
        <f>AVERAGE('7b. Success proj 1819'!K21,'7c. Success counts 1718'!K21,'7d Success counts 1617'!K21)</f>
        <v>170</v>
      </c>
      <c r="L23" s="80">
        <f>AVERAGE('7b. Success proj 1819'!L21,'7c. Success counts 1718'!L21,'7d Success counts 1617'!L21)</f>
        <v>0</v>
      </c>
      <c r="M23" s="80">
        <f>AVERAGE('7b. Success proj 1819'!M21,'7c. Success counts 1718'!M21,'7d Success counts 1617'!M21)</f>
        <v>66</v>
      </c>
      <c r="N23" s="80">
        <f>AVERAGE('7b. Success proj 1819'!N21,'7c. Success counts 1718'!N21,'7d Success counts 1617'!N21)</f>
        <v>33</v>
      </c>
      <c r="O23" s="80">
        <f>AVERAGE('7b. Success proj 1819'!O21,'7c. Success counts 1718'!O21,'7d Success counts 1617'!O21)</f>
        <v>269</v>
      </c>
      <c r="P23" s="80">
        <f>AVERAGE('7b. Success proj 1819'!P21,'7c. Success counts 1718'!P21,'7d Success counts 1617'!P21)</f>
        <v>166</v>
      </c>
      <c r="Q23" s="80">
        <f>AVERAGE('7b. Success proj 1819'!Q21,'7c. Success counts 1718'!Q21,'7d Success counts 1617'!Q21)</f>
        <v>175</v>
      </c>
      <c r="R23" s="80">
        <f>AVERAGE('7b. Success proj 1819'!R21,'7c. Success counts 1718'!R21,'7d Success counts 1617'!R21)</f>
        <v>152</v>
      </c>
      <c r="S23" s="80">
        <f>AVERAGE('7b. Success proj 1819'!S21,'7c. Success counts 1718'!S21,'7d Success counts 1617'!S21)</f>
        <v>216</v>
      </c>
      <c r="T23" s="80">
        <f>AVERAGE('7b. Success proj 1819'!T21,'7c. Success counts 1718'!T21,'7d Success counts 1617'!T21)</f>
        <v>0</v>
      </c>
      <c r="U23" s="80">
        <f>AVERAGE('7b. Success proj 1819'!U21,'7c. Success counts 1718'!U21,'7d Success counts 1617'!U21)</f>
        <v>92</v>
      </c>
      <c r="V23" s="80">
        <f>AVERAGE('7b. Success proj 1819'!V21,'7c. Success counts 1718'!V21,'7d Success counts 1617'!V21)</f>
        <v>47</v>
      </c>
      <c r="W23" s="80">
        <f>AVERAGE('7b. Success proj 1819'!W21,'7c. Success counts 1718'!W21,'7d Success counts 1617'!W21)</f>
        <v>376</v>
      </c>
      <c r="X23" s="80">
        <f>AVERAGE('7b. Success proj 1819'!X21,'7c. Success counts 1718'!X21,'7d Success counts 1617'!X21)</f>
        <v>241</v>
      </c>
      <c r="Y23" s="80">
        <f>AVERAGE('7b. Success proj 1819'!Y21,'7c. Success counts 1718'!Y21,'7d Success counts 1617'!Y21)</f>
        <v>305</v>
      </c>
    </row>
    <row r="24" spans="1:25" x14ac:dyDescent="0.25">
      <c r="A24" s="170" t="s">
        <v>61</v>
      </c>
      <c r="B24" s="80">
        <f>AVERAGE('7b. Success proj 1819'!B22,'7c. Success counts 1718'!B22,'7d Success counts 1617'!B22)</f>
        <v>498</v>
      </c>
      <c r="C24" s="80">
        <f>AVERAGE('7b. Success proj 1819'!C22,'7c. Success counts 1718'!C22,'7d Success counts 1617'!C22)</f>
        <v>327</v>
      </c>
      <c r="D24" s="80">
        <f>AVERAGE('7b. Success proj 1819'!D22,'7c. Success counts 1718'!D22,'7d Success counts 1617'!D22)</f>
        <v>0</v>
      </c>
      <c r="E24" s="80">
        <f>AVERAGE('7b. Success proj 1819'!E22,'7c. Success counts 1718'!E22,'7d Success counts 1617'!E22)</f>
        <v>139</v>
      </c>
      <c r="F24" s="80">
        <f>AVERAGE('7b. Success proj 1819'!F22,'7c. Success counts 1718'!F22,'7d Success counts 1617'!F22)</f>
        <v>257</v>
      </c>
      <c r="G24" s="80">
        <f>AVERAGE('7b. Success proj 1819'!G22,'7c. Success counts 1718'!G22,'7d Success counts 1617'!G22)</f>
        <v>2231</v>
      </c>
      <c r="H24" s="80">
        <f>AVERAGE('7b. Success proj 1819'!H22,'7c. Success counts 1718'!H22,'7d Success counts 1617'!H22)</f>
        <v>1561</v>
      </c>
      <c r="I24" s="80">
        <f>AVERAGE('7b. Success proj 1819'!I22,'7c. Success counts 1718'!I22,'7d Success counts 1617'!I22)</f>
        <v>1561</v>
      </c>
      <c r="J24" s="80">
        <f>AVERAGE('7b. Success proj 1819'!J22,'7c. Success counts 1718'!J22,'7d Success counts 1617'!J22)</f>
        <v>325</v>
      </c>
      <c r="K24" s="80">
        <f>AVERAGE('7b. Success proj 1819'!K22,'7c. Success counts 1718'!K22,'7d Success counts 1617'!K22)</f>
        <v>177</v>
      </c>
      <c r="L24" s="80">
        <f>AVERAGE('7b. Success proj 1819'!L22,'7c. Success counts 1718'!L22,'7d Success counts 1617'!L22)</f>
        <v>0</v>
      </c>
      <c r="M24" s="80">
        <f>AVERAGE('7b. Success proj 1819'!M22,'7c. Success counts 1718'!M22,'7d Success counts 1617'!M22)</f>
        <v>76</v>
      </c>
      <c r="N24" s="80">
        <f>AVERAGE('7b. Success proj 1819'!N22,'7c. Success counts 1718'!N22,'7d Success counts 1617'!N22)</f>
        <v>126</v>
      </c>
      <c r="O24" s="80">
        <f>AVERAGE('7b. Success proj 1819'!O22,'7c. Success counts 1718'!O22,'7d Success counts 1617'!O22)</f>
        <v>1191</v>
      </c>
      <c r="P24" s="80">
        <f>AVERAGE('7b. Success proj 1819'!P22,'7c. Success counts 1718'!P22,'7d Success counts 1617'!P22)</f>
        <v>836</v>
      </c>
      <c r="Q24" s="80">
        <f>AVERAGE('7b. Success proj 1819'!Q22,'7c. Success counts 1718'!Q22,'7d Success counts 1617'!Q22)</f>
        <v>476</v>
      </c>
      <c r="R24" s="80">
        <f>AVERAGE('7b. Success proj 1819'!R22,'7c. Success counts 1718'!R22,'7d Success counts 1617'!R22)</f>
        <v>402</v>
      </c>
      <c r="S24" s="80">
        <f>AVERAGE('7b. Success proj 1819'!S22,'7c. Success counts 1718'!S22,'7d Success counts 1617'!S22)</f>
        <v>247</v>
      </c>
      <c r="T24" s="80">
        <f>AVERAGE('7b. Success proj 1819'!T22,'7c. Success counts 1718'!T22,'7d Success counts 1617'!T22)</f>
        <v>0</v>
      </c>
      <c r="U24" s="80">
        <f>AVERAGE('7b. Success proj 1819'!U22,'7c. Success counts 1718'!U22,'7d Success counts 1617'!U22)</f>
        <v>102</v>
      </c>
      <c r="V24" s="80">
        <f>AVERAGE('7b. Success proj 1819'!V22,'7c. Success counts 1718'!V22,'7d Success counts 1617'!V22)</f>
        <v>168</v>
      </c>
      <c r="W24" s="80">
        <f>AVERAGE('7b. Success proj 1819'!W22,'7c. Success counts 1718'!W22,'7d Success counts 1617'!W22)</f>
        <v>1651</v>
      </c>
      <c r="X24" s="80">
        <f>AVERAGE('7b. Success proj 1819'!X22,'7c. Success counts 1718'!X22,'7d Success counts 1617'!X22)</f>
        <v>1163</v>
      </c>
      <c r="Y24" s="80">
        <f>AVERAGE('7b. Success proj 1819'!Y22,'7c. Success counts 1718'!Y22,'7d Success counts 1617'!Y22)</f>
        <v>831</v>
      </c>
    </row>
    <row r="25" spans="1:25" x14ac:dyDescent="0.25">
      <c r="A25" s="170" t="s">
        <v>62</v>
      </c>
      <c r="B25" s="80">
        <f>AVERAGE('7b. Success proj 1819'!B23,'7c. Success counts 1718'!B23,'7d Success counts 1617'!B23)</f>
        <v>890</v>
      </c>
      <c r="C25" s="80">
        <f>AVERAGE('7b. Success proj 1819'!C23,'7c. Success counts 1718'!C23,'7d Success counts 1617'!C23)</f>
        <v>1238</v>
      </c>
      <c r="D25" s="80">
        <f>AVERAGE('7b. Success proj 1819'!D23,'7c. Success counts 1718'!D23,'7d Success counts 1617'!D23)</f>
        <v>0</v>
      </c>
      <c r="E25" s="80">
        <f>AVERAGE('7b. Success proj 1819'!E23,'7c. Success counts 1718'!E23,'7d Success counts 1617'!E23)</f>
        <v>127</v>
      </c>
      <c r="F25" s="80">
        <f>AVERAGE('7b. Success proj 1819'!F23,'7c. Success counts 1718'!F23,'7d Success counts 1617'!F23)</f>
        <v>590</v>
      </c>
      <c r="G25" s="80">
        <f>AVERAGE('7b. Success proj 1819'!G23,'7c. Success counts 1718'!G23,'7d Success counts 1617'!G23)</f>
        <v>2385</v>
      </c>
      <c r="H25" s="80">
        <f>AVERAGE('7b. Success proj 1819'!H23,'7c. Success counts 1718'!H23,'7d Success counts 1617'!H23)</f>
        <v>2148</v>
      </c>
      <c r="I25" s="80">
        <f>AVERAGE('7b. Success proj 1819'!I23,'7c. Success counts 1718'!I23,'7d Success counts 1617'!I23)</f>
        <v>1953</v>
      </c>
      <c r="J25" s="80">
        <f>AVERAGE('7b. Success proj 1819'!J23,'7c. Success counts 1718'!J23,'7d Success counts 1617'!J23)</f>
        <v>433</v>
      </c>
      <c r="K25" s="80">
        <f>AVERAGE('7b. Success proj 1819'!K23,'7c. Success counts 1718'!K23,'7d Success counts 1617'!K23)</f>
        <v>630</v>
      </c>
      <c r="L25" s="80">
        <f>AVERAGE('7b. Success proj 1819'!L23,'7c. Success counts 1718'!L23,'7d Success counts 1617'!L23)</f>
        <v>0</v>
      </c>
      <c r="M25" s="80">
        <f>AVERAGE('7b. Success proj 1819'!M23,'7c. Success counts 1718'!M23,'7d Success counts 1617'!M23)</f>
        <v>60</v>
      </c>
      <c r="N25" s="80">
        <f>AVERAGE('7b. Success proj 1819'!N23,'7c. Success counts 1718'!N23,'7d Success counts 1617'!N23)</f>
        <v>253</v>
      </c>
      <c r="O25" s="80">
        <f>AVERAGE('7b. Success proj 1819'!O23,'7c. Success counts 1718'!O23,'7d Success counts 1617'!O23)</f>
        <v>1135</v>
      </c>
      <c r="P25" s="80">
        <f>AVERAGE('7b. Success proj 1819'!P23,'7c. Success counts 1718'!P23,'7d Success counts 1617'!P23)</f>
        <v>845</v>
      </c>
      <c r="Q25" s="80">
        <f>AVERAGE('7b. Success proj 1819'!Q23,'7c. Success counts 1718'!Q23,'7d Success counts 1617'!Q23)</f>
        <v>510</v>
      </c>
      <c r="R25" s="80">
        <f>AVERAGE('7b. Success proj 1819'!R23,'7c. Success counts 1718'!R23,'7d Success counts 1617'!R23)</f>
        <v>637</v>
      </c>
      <c r="S25" s="80">
        <f>AVERAGE('7b. Success proj 1819'!S23,'7c. Success counts 1718'!S23,'7d Success counts 1617'!S23)</f>
        <v>918</v>
      </c>
      <c r="T25" s="80">
        <f>AVERAGE('7b. Success proj 1819'!T23,'7c. Success counts 1718'!T23,'7d Success counts 1617'!T23)</f>
        <v>0</v>
      </c>
      <c r="U25" s="80">
        <f>AVERAGE('7b. Success proj 1819'!U23,'7c. Success counts 1718'!U23,'7d Success counts 1617'!U23)</f>
        <v>91</v>
      </c>
      <c r="V25" s="80">
        <f>AVERAGE('7b. Success proj 1819'!V23,'7c. Success counts 1718'!V23,'7d Success counts 1617'!V23)</f>
        <v>352</v>
      </c>
      <c r="W25" s="80">
        <f>AVERAGE('7b. Success proj 1819'!W23,'7c. Success counts 1718'!W23,'7d Success counts 1617'!W23)</f>
        <v>1708</v>
      </c>
      <c r="X25" s="80">
        <f>AVERAGE('7b. Success proj 1819'!X23,'7c. Success counts 1718'!X23,'7d Success counts 1617'!X23)</f>
        <v>1402</v>
      </c>
      <c r="Y25" s="80">
        <f>AVERAGE('7b. Success proj 1819'!Y23,'7c. Success counts 1718'!Y23,'7d Success counts 1617'!Y23)</f>
        <v>1091</v>
      </c>
    </row>
    <row r="26" spans="1:25" x14ac:dyDescent="0.25">
      <c r="A26" s="170" t="s">
        <v>63</v>
      </c>
      <c r="B26" s="80">
        <f>AVERAGE('7b. Success proj 1819'!B24,'7c. Success counts 1718'!B24,'7d Success counts 1617'!B24)</f>
        <v>483</v>
      </c>
      <c r="C26" s="80">
        <f>AVERAGE('7b. Success proj 1819'!C24,'7c. Success counts 1718'!C24,'7d Success counts 1617'!C24)</f>
        <v>373</v>
      </c>
      <c r="D26" s="80">
        <f>AVERAGE('7b. Success proj 1819'!D24,'7c. Success counts 1718'!D24,'7d Success counts 1617'!D24)</f>
        <v>0</v>
      </c>
      <c r="E26" s="80">
        <f>AVERAGE('7b. Success proj 1819'!E24,'7c. Success counts 1718'!E24,'7d Success counts 1617'!E24)</f>
        <v>69</v>
      </c>
      <c r="F26" s="80">
        <f>AVERAGE('7b. Success proj 1819'!F24,'7c. Success counts 1718'!F24,'7d Success counts 1617'!F24)</f>
        <v>184</v>
      </c>
      <c r="G26" s="80">
        <f>AVERAGE('7b. Success proj 1819'!G24,'7c. Success counts 1718'!G24,'7d Success counts 1617'!G24)</f>
        <v>839</v>
      </c>
      <c r="H26" s="80">
        <f>AVERAGE('7b. Success proj 1819'!H24,'7c. Success counts 1718'!H24,'7d Success counts 1617'!H24)</f>
        <v>808</v>
      </c>
      <c r="I26" s="80">
        <f>AVERAGE('7b. Success proj 1819'!I24,'7c. Success counts 1718'!I24,'7d Success counts 1617'!I24)</f>
        <v>2397</v>
      </c>
      <c r="J26" s="80">
        <f>AVERAGE('7b. Success proj 1819'!J24,'7c. Success counts 1718'!J24,'7d Success counts 1617'!J24)</f>
        <v>321</v>
      </c>
      <c r="K26" s="80">
        <f>AVERAGE('7b. Success proj 1819'!K24,'7c. Success counts 1718'!K24,'7d Success counts 1617'!K24)</f>
        <v>227</v>
      </c>
      <c r="L26" s="80">
        <f>AVERAGE('7b. Success proj 1819'!L24,'7c. Success counts 1718'!L24,'7d Success counts 1617'!L24)</f>
        <v>0</v>
      </c>
      <c r="M26" s="80">
        <f>AVERAGE('7b. Success proj 1819'!M24,'7c. Success counts 1718'!M24,'7d Success counts 1617'!M24)</f>
        <v>36</v>
      </c>
      <c r="N26" s="80">
        <f>AVERAGE('7b. Success proj 1819'!N24,'7c. Success counts 1718'!N24,'7d Success counts 1617'!N24)</f>
        <v>86</v>
      </c>
      <c r="O26" s="80">
        <f>AVERAGE('7b. Success proj 1819'!O24,'7c. Success counts 1718'!O24,'7d Success counts 1617'!O24)</f>
        <v>465</v>
      </c>
      <c r="P26" s="80">
        <f>AVERAGE('7b. Success proj 1819'!P24,'7c. Success counts 1718'!P24,'7d Success counts 1617'!P24)</f>
        <v>440</v>
      </c>
      <c r="Q26" s="80">
        <f>AVERAGE('7b. Success proj 1819'!Q24,'7c. Success counts 1718'!Q24,'7d Success counts 1617'!Q24)</f>
        <v>438</v>
      </c>
      <c r="R26" s="80">
        <f>AVERAGE('7b. Success proj 1819'!R24,'7c. Success counts 1718'!R24,'7d Success counts 1617'!R24)</f>
        <v>436</v>
      </c>
      <c r="S26" s="80">
        <f>AVERAGE('7b. Success proj 1819'!S24,'7c. Success counts 1718'!S24,'7d Success counts 1617'!S24)</f>
        <v>327</v>
      </c>
      <c r="T26" s="80">
        <f>AVERAGE('7b. Success proj 1819'!T24,'7c. Success counts 1718'!T24,'7d Success counts 1617'!T24)</f>
        <v>0</v>
      </c>
      <c r="U26" s="80">
        <f>AVERAGE('7b. Success proj 1819'!U24,'7c. Success counts 1718'!U24,'7d Success counts 1617'!U24)</f>
        <v>61</v>
      </c>
      <c r="V26" s="80">
        <f>AVERAGE('7b. Success proj 1819'!V24,'7c. Success counts 1718'!V24,'7d Success counts 1617'!V24)</f>
        <v>145</v>
      </c>
      <c r="W26" s="80">
        <f>AVERAGE('7b. Success proj 1819'!W24,'7c. Success counts 1718'!W24,'7d Success counts 1617'!W24)</f>
        <v>691</v>
      </c>
      <c r="X26" s="80">
        <f>AVERAGE('7b. Success proj 1819'!X24,'7c. Success counts 1718'!X24,'7d Success counts 1617'!X24)</f>
        <v>630</v>
      </c>
      <c r="Y26" s="80">
        <f>AVERAGE('7b. Success proj 1819'!Y24,'7c. Success counts 1718'!Y24,'7d Success counts 1617'!Y24)</f>
        <v>766</v>
      </c>
    </row>
    <row r="27" spans="1:25" x14ac:dyDescent="0.25">
      <c r="A27" s="170" t="s">
        <v>64</v>
      </c>
      <c r="B27" s="80">
        <f>AVERAGE('7b. Success proj 1819'!B25,'7c. Success counts 1718'!B25,'7d Success counts 1617'!B25)</f>
        <v>413</v>
      </c>
      <c r="C27" s="80">
        <f>AVERAGE('7b. Success proj 1819'!C25,'7c. Success counts 1718'!C25,'7d Success counts 1617'!C25)</f>
        <v>511</v>
      </c>
      <c r="D27" s="80">
        <f>AVERAGE('7b. Success proj 1819'!D25,'7c. Success counts 1718'!D25,'7d Success counts 1617'!D25)</f>
        <v>0</v>
      </c>
      <c r="E27" s="80">
        <f>AVERAGE('7b. Success proj 1819'!E25,'7c. Success counts 1718'!E25,'7d Success counts 1617'!E25)</f>
        <v>135</v>
      </c>
      <c r="F27" s="80">
        <f>AVERAGE('7b. Success proj 1819'!F25,'7c. Success counts 1718'!F25,'7d Success counts 1617'!F25)</f>
        <v>108</v>
      </c>
      <c r="G27" s="80">
        <f>AVERAGE('7b. Success proj 1819'!G25,'7c. Success counts 1718'!G25,'7d Success counts 1617'!G25)</f>
        <v>1379</v>
      </c>
      <c r="H27" s="80">
        <f>AVERAGE('7b. Success proj 1819'!H25,'7c. Success counts 1718'!H25,'7d Success counts 1617'!H25)</f>
        <v>603</v>
      </c>
      <c r="I27" s="80">
        <f>AVERAGE('7b. Success proj 1819'!I25,'7c. Success counts 1718'!I25,'7d Success counts 1617'!I25)</f>
        <v>890</v>
      </c>
      <c r="J27" s="80">
        <f>AVERAGE('7b. Success proj 1819'!J25,'7c. Success counts 1718'!J25,'7d Success counts 1617'!J25)</f>
        <v>280</v>
      </c>
      <c r="K27" s="80">
        <f>AVERAGE('7b. Success proj 1819'!K25,'7c. Success counts 1718'!K25,'7d Success counts 1617'!K25)</f>
        <v>416</v>
      </c>
      <c r="L27" s="80">
        <f>AVERAGE('7b. Success proj 1819'!L25,'7c. Success counts 1718'!L25,'7d Success counts 1617'!L25)</f>
        <v>0</v>
      </c>
      <c r="M27" s="80">
        <f>AVERAGE('7b. Success proj 1819'!M25,'7c. Success counts 1718'!M25,'7d Success counts 1617'!M25)</f>
        <v>108</v>
      </c>
      <c r="N27" s="80">
        <f>AVERAGE('7b. Success proj 1819'!N25,'7c. Success counts 1718'!N25,'7d Success counts 1617'!N25)</f>
        <v>70</v>
      </c>
      <c r="O27" s="80">
        <f>AVERAGE('7b. Success proj 1819'!O25,'7c. Success counts 1718'!O25,'7d Success counts 1617'!O25)</f>
        <v>1088</v>
      </c>
      <c r="P27" s="80">
        <f>AVERAGE('7b. Success proj 1819'!P25,'7c. Success counts 1718'!P25,'7d Success counts 1617'!P25)</f>
        <v>402</v>
      </c>
      <c r="Q27" s="80">
        <f>AVERAGE('7b. Success proj 1819'!Q25,'7c. Success counts 1718'!Q25,'7d Success counts 1617'!Q25)</f>
        <v>534</v>
      </c>
      <c r="R27" s="80">
        <f>AVERAGE('7b. Success proj 1819'!R25,'7c. Success counts 1718'!R25,'7d Success counts 1617'!R25)</f>
        <v>352</v>
      </c>
      <c r="S27" s="80">
        <f>AVERAGE('7b. Success proj 1819'!S25,'7c. Success counts 1718'!S25,'7d Success counts 1617'!S25)</f>
        <v>473</v>
      </c>
      <c r="T27" s="80">
        <f>AVERAGE('7b. Success proj 1819'!T25,'7c. Success counts 1718'!T25,'7d Success counts 1617'!T25)</f>
        <v>0</v>
      </c>
      <c r="U27" s="80">
        <f>AVERAGE('7b. Success proj 1819'!U25,'7c. Success counts 1718'!U25,'7d Success counts 1617'!U25)</f>
        <v>118</v>
      </c>
      <c r="V27" s="80">
        <f>AVERAGE('7b. Success proj 1819'!V25,'7c. Success counts 1718'!V25,'7d Success counts 1617'!V25)</f>
        <v>90</v>
      </c>
      <c r="W27" s="80">
        <f>AVERAGE('7b. Success proj 1819'!W25,'7c. Success counts 1718'!W25,'7d Success counts 1617'!W25)</f>
        <v>1250</v>
      </c>
      <c r="X27" s="80">
        <f>AVERAGE('7b. Success proj 1819'!X25,'7c. Success counts 1718'!X25,'7d Success counts 1617'!X25)</f>
        <v>518</v>
      </c>
      <c r="Y27" s="80">
        <f>AVERAGE('7b. Success proj 1819'!Y25,'7c. Success counts 1718'!Y25,'7d Success counts 1617'!Y25)</f>
        <v>674</v>
      </c>
    </row>
    <row r="28" spans="1:25" x14ac:dyDescent="0.25">
      <c r="A28" s="170" t="s">
        <v>65</v>
      </c>
      <c r="B28" s="80">
        <f>AVERAGE('7b. Success proj 1819'!B26,'7c. Success counts 1718'!B26,'7d Success counts 1617'!B26)</f>
        <v>983</v>
      </c>
      <c r="C28" s="80">
        <f>AVERAGE('7b. Success proj 1819'!C26,'7c. Success counts 1718'!C26,'7d Success counts 1617'!C26)</f>
        <v>952</v>
      </c>
      <c r="D28" s="80">
        <f>AVERAGE('7b. Success proj 1819'!D26,'7c. Success counts 1718'!D26,'7d Success counts 1617'!D26)</f>
        <v>5</v>
      </c>
      <c r="E28" s="80">
        <f>AVERAGE('7b. Success proj 1819'!E26,'7c. Success counts 1718'!E26,'7d Success counts 1617'!E26)</f>
        <v>461</v>
      </c>
      <c r="F28" s="80">
        <f>AVERAGE('7b. Success proj 1819'!F26,'7c. Success counts 1718'!F26,'7d Success counts 1617'!F26)</f>
        <v>382</v>
      </c>
      <c r="G28" s="80">
        <f>AVERAGE('7b. Success proj 1819'!G26,'7c. Success counts 1718'!G26,'7d Success counts 1617'!G26)</f>
        <v>4789</v>
      </c>
      <c r="H28" s="80">
        <f>AVERAGE('7b. Success proj 1819'!H26,'7c. Success counts 1718'!H26,'7d Success counts 1617'!H26)</f>
        <v>1909</v>
      </c>
      <c r="I28" s="80">
        <f>AVERAGE('7b. Success proj 1819'!I26,'7c. Success counts 1718'!I26,'7d Success counts 1617'!I26)</f>
        <v>4719</v>
      </c>
      <c r="J28" s="80">
        <f>AVERAGE('7b. Success proj 1819'!J26,'7c. Success counts 1718'!J26,'7d Success counts 1617'!J26)</f>
        <v>663</v>
      </c>
      <c r="K28" s="80">
        <f>AVERAGE('7b. Success proj 1819'!K26,'7c. Success counts 1718'!K26,'7d Success counts 1617'!K26)</f>
        <v>662</v>
      </c>
      <c r="L28" s="80">
        <f>AVERAGE('7b. Success proj 1819'!L26,'7c. Success counts 1718'!L26,'7d Success counts 1617'!L26)</f>
        <v>4</v>
      </c>
      <c r="M28" s="80">
        <f>AVERAGE('7b. Success proj 1819'!M26,'7c. Success counts 1718'!M26,'7d Success counts 1617'!M26)</f>
        <v>299</v>
      </c>
      <c r="N28" s="80">
        <f>AVERAGE('7b. Success proj 1819'!N26,'7c. Success counts 1718'!N26,'7d Success counts 1617'!N26)</f>
        <v>191</v>
      </c>
      <c r="O28" s="80">
        <f>AVERAGE('7b. Success proj 1819'!O26,'7c. Success counts 1718'!O26,'7d Success counts 1617'!O26)</f>
        <v>2504</v>
      </c>
      <c r="P28" s="80">
        <f>AVERAGE('7b. Success proj 1819'!P26,'7c. Success counts 1718'!P26,'7d Success counts 1617'!P26)</f>
        <v>996</v>
      </c>
      <c r="Q28" s="80">
        <f>AVERAGE('7b. Success proj 1819'!Q26,'7c. Success counts 1718'!Q26,'7d Success counts 1617'!Q26)</f>
        <v>2108</v>
      </c>
      <c r="R28" s="80">
        <f>AVERAGE('7b. Success proj 1819'!R26,'7c. Success counts 1718'!R26,'7d Success counts 1617'!R26)</f>
        <v>794</v>
      </c>
      <c r="S28" s="80">
        <f>AVERAGE('7b. Success proj 1819'!S26,'7c. Success counts 1718'!S26,'7d Success counts 1617'!S26)</f>
        <v>800</v>
      </c>
      <c r="T28" s="80">
        <f>AVERAGE('7b. Success proj 1819'!T26,'7c. Success counts 1718'!T26,'7d Success counts 1617'!T26)</f>
        <v>4</v>
      </c>
      <c r="U28" s="80">
        <f>AVERAGE('7b. Success proj 1819'!U26,'7c. Success counts 1718'!U26,'7d Success counts 1617'!U26)</f>
        <v>371</v>
      </c>
      <c r="V28" s="80">
        <f>AVERAGE('7b. Success proj 1819'!V26,'7c. Success counts 1718'!V26,'7d Success counts 1617'!V26)</f>
        <v>269</v>
      </c>
      <c r="W28" s="80">
        <f>AVERAGE('7b. Success proj 1819'!W26,'7c. Success counts 1718'!W26,'7d Success counts 1617'!W26)</f>
        <v>3283</v>
      </c>
      <c r="X28" s="80">
        <f>AVERAGE('7b. Success proj 1819'!X26,'7c. Success counts 1718'!X26,'7d Success counts 1617'!X26)</f>
        <v>1321</v>
      </c>
      <c r="Y28" s="80">
        <f>AVERAGE('7b. Success proj 1819'!Y26,'7c. Success counts 1718'!Y26,'7d Success counts 1617'!Y26)</f>
        <v>2941</v>
      </c>
    </row>
    <row r="29" spans="1:25" x14ac:dyDescent="0.25">
      <c r="A29" s="170" t="s">
        <v>25</v>
      </c>
      <c r="B29" s="80">
        <f>AVERAGE('7b. Success proj 1819'!B27,'7c. Success counts 1718'!B27,'7d Success counts 1617'!B27)</f>
        <v>58</v>
      </c>
      <c r="C29" s="80">
        <f>AVERAGE('7b. Success proj 1819'!C27,'7c. Success counts 1718'!C27,'7d Success counts 1617'!C27)</f>
        <v>80</v>
      </c>
      <c r="D29" s="80">
        <f>AVERAGE('7b. Success proj 1819'!D27,'7c. Success counts 1718'!D27,'7d Success counts 1617'!D27)</f>
        <v>0</v>
      </c>
      <c r="E29" s="80">
        <f>AVERAGE('7b. Success proj 1819'!E27,'7c. Success counts 1718'!E27,'7d Success counts 1617'!E27)</f>
        <v>11</v>
      </c>
      <c r="F29" s="80">
        <f>AVERAGE('7b. Success proj 1819'!F27,'7c. Success counts 1718'!F27,'7d Success counts 1617'!F27)</f>
        <v>20</v>
      </c>
      <c r="G29" s="80">
        <f>AVERAGE('7b. Success proj 1819'!G27,'7c. Success counts 1718'!G27,'7d Success counts 1617'!G27)</f>
        <v>245</v>
      </c>
      <c r="H29" s="80">
        <f>AVERAGE('7b. Success proj 1819'!H27,'7c. Success counts 1718'!H27,'7d Success counts 1617'!H27)</f>
        <v>186</v>
      </c>
      <c r="I29" s="80">
        <f>AVERAGE('7b. Success proj 1819'!I27,'7c. Success counts 1718'!I27,'7d Success counts 1617'!I27)</f>
        <v>696</v>
      </c>
      <c r="J29" s="80">
        <f>AVERAGE('7b. Success proj 1819'!J27,'7c. Success counts 1718'!J27,'7d Success counts 1617'!J27)</f>
        <v>28</v>
      </c>
      <c r="K29" s="80">
        <f>AVERAGE('7b. Success proj 1819'!K27,'7c. Success counts 1718'!K27,'7d Success counts 1617'!K27)</f>
        <v>46</v>
      </c>
      <c r="L29" s="80">
        <f>AVERAGE('7b. Success proj 1819'!L27,'7c. Success counts 1718'!L27,'7d Success counts 1617'!L27)</f>
        <v>0</v>
      </c>
      <c r="M29" s="80">
        <f>AVERAGE('7b. Success proj 1819'!M27,'7c. Success counts 1718'!M27,'7d Success counts 1617'!M27)</f>
        <v>4</v>
      </c>
      <c r="N29" s="80">
        <f>AVERAGE('7b. Success proj 1819'!N27,'7c. Success counts 1718'!N27,'7d Success counts 1617'!N27)</f>
        <v>8</v>
      </c>
      <c r="O29" s="80">
        <f>AVERAGE('7b. Success proj 1819'!O27,'7c. Success counts 1718'!O27,'7d Success counts 1617'!O27)</f>
        <v>70</v>
      </c>
      <c r="P29" s="80">
        <f>AVERAGE('7b. Success proj 1819'!P27,'7c. Success counts 1718'!P27,'7d Success counts 1617'!P27)</f>
        <v>62</v>
      </c>
      <c r="Q29" s="80">
        <f>AVERAGE('7b. Success proj 1819'!Q27,'7c. Success counts 1718'!Q27,'7d Success counts 1617'!Q27)</f>
        <v>63</v>
      </c>
      <c r="R29" s="80">
        <f>AVERAGE('7b. Success proj 1819'!R27,'7c. Success counts 1718'!R27,'7d Success counts 1617'!R27)</f>
        <v>46</v>
      </c>
      <c r="S29" s="80">
        <f>AVERAGE('7b. Success proj 1819'!S27,'7c. Success counts 1718'!S27,'7d Success counts 1617'!S27)</f>
        <v>66</v>
      </c>
      <c r="T29" s="80">
        <f>AVERAGE('7b. Success proj 1819'!T27,'7c. Success counts 1718'!T27,'7d Success counts 1617'!T27)</f>
        <v>0</v>
      </c>
      <c r="U29" s="80">
        <f>AVERAGE('7b. Success proj 1819'!U27,'7c. Success counts 1718'!U27,'7d Success counts 1617'!U27)</f>
        <v>7</v>
      </c>
      <c r="V29" s="80">
        <f>AVERAGE('7b. Success proj 1819'!V27,'7c. Success counts 1718'!V27,'7d Success counts 1617'!V27)</f>
        <v>13</v>
      </c>
      <c r="W29" s="80">
        <f>AVERAGE('7b. Success proj 1819'!W27,'7c. Success counts 1718'!W27,'7d Success counts 1617'!W27)</f>
        <v>132</v>
      </c>
      <c r="X29" s="80">
        <f>AVERAGE('7b. Success proj 1819'!X27,'7c. Success counts 1718'!X27,'7d Success counts 1617'!X27)</f>
        <v>96</v>
      </c>
      <c r="Y29" s="80">
        <f>AVERAGE('7b. Success proj 1819'!Y27,'7c. Success counts 1718'!Y27,'7d Success counts 1617'!Y27)</f>
        <v>174</v>
      </c>
    </row>
    <row r="30" spans="1:25" x14ac:dyDescent="0.25">
      <c r="A30" s="170" t="s">
        <v>26</v>
      </c>
      <c r="B30" s="80">
        <f>AVERAGE('7b. Success proj 1819'!B28,'7c. Success counts 1718'!B28,'7d Success counts 1617'!B28)</f>
        <v>35</v>
      </c>
      <c r="C30" s="80">
        <f>AVERAGE('7b. Success proj 1819'!C28,'7c. Success counts 1718'!C28,'7d Success counts 1617'!C28)</f>
        <v>103</v>
      </c>
      <c r="D30" s="80">
        <f>AVERAGE('7b. Success proj 1819'!D28,'7c. Success counts 1718'!D28,'7d Success counts 1617'!D28)</f>
        <v>0</v>
      </c>
      <c r="E30" s="80">
        <f>AVERAGE('7b. Success proj 1819'!E28,'7c. Success counts 1718'!E28,'7d Success counts 1617'!E28)</f>
        <v>6</v>
      </c>
      <c r="F30" s="80">
        <f>AVERAGE('7b. Success proj 1819'!F28,'7c. Success counts 1718'!F28,'7d Success counts 1617'!F28)</f>
        <v>29</v>
      </c>
      <c r="G30" s="80">
        <f>AVERAGE('7b. Success proj 1819'!G28,'7c. Success counts 1718'!G28,'7d Success counts 1617'!G28)</f>
        <v>295</v>
      </c>
      <c r="H30" s="80">
        <f>AVERAGE('7b. Success proj 1819'!H28,'7c. Success counts 1718'!H28,'7d Success counts 1617'!H28)</f>
        <v>81</v>
      </c>
      <c r="I30" s="80">
        <f>AVERAGE('7b. Success proj 1819'!I28,'7c. Success counts 1718'!I28,'7d Success counts 1617'!I28)</f>
        <v>325</v>
      </c>
      <c r="J30" s="80">
        <f>AVERAGE('7b. Success proj 1819'!J28,'7c. Success counts 1718'!J28,'7d Success counts 1617'!J28)</f>
        <v>14</v>
      </c>
      <c r="K30" s="80">
        <f>AVERAGE('7b. Success proj 1819'!K28,'7c. Success counts 1718'!K28,'7d Success counts 1617'!K28)</f>
        <v>36</v>
      </c>
      <c r="L30" s="80">
        <f>AVERAGE('7b. Success proj 1819'!L28,'7c. Success counts 1718'!L28,'7d Success counts 1617'!L28)</f>
        <v>0</v>
      </c>
      <c r="M30" s="80">
        <f>AVERAGE('7b. Success proj 1819'!M28,'7c. Success counts 1718'!M28,'7d Success counts 1617'!M28)</f>
        <v>4</v>
      </c>
      <c r="N30" s="80">
        <f>AVERAGE('7b. Success proj 1819'!N28,'7c. Success counts 1718'!N28,'7d Success counts 1617'!N28)</f>
        <v>8</v>
      </c>
      <c r="O30" s="80">
        <f>AVERAGE('7b. Success proj 1819'!O28,'7c. Success counts 1718'!O28,'7d Success counts 1617'!O28)</f>
        <v>113</v>
      </c>
      <c r="P30" s="80">
        <f>AVERAGE('7b. Success proj 1819'!P28,'7c. Success counts 1718'!P28,'7d Success counts 1617'!P28)</f>
        <v>25</v>
      </c>
      <c r="Q30" s="80">
        <f>AVERAGE('7b. Success proj 1819'!Q28,'7c. Success counts 1718'!Q28,'7d Success counts 1617'!Q28)</f>
        <v>56</v>
      </c>
      <c r="R30" s="80">
        <f>AVERAGE('7b. Success proj 1819'!R28,'7c. Success counts 1718'!R28,'7d Success counts 1617'!R28)</f>
        <v>17</v>
      </c>
      <c r="S30" s="80">
        <f>AVERAGE('7b. Success proj 1819'!S28,'7c. Success counts 1718'!S28,'7d Success counts 1617'!S28)</f>
        <v>78</v>
      </c>
      <c r="T30" s="80">
        <f>AVERAGE('7b. Success proj 1819'!T28,'7c. Success counts 1718'!T28,'7d Success counts 1617'!T28)</f>
        <v>0</v>
      </c>
      <c r="U30" s="80">
        <f>AVERAGE('7b. Success proj 1819'!U28,'7c. Success counts 1718'!U28,'7d Success counts 1617'!U28)</f>
        <v>5</v>
      </c>
      <c r="V30" s="80">
        <f>AVERAGE('7b. Success proj 1819'!V28,'7c. Success counts 1718'!V28,'7d Success counts 1617'!V28)</f>
        <v>11</v>
      </c>
      <c r="W30" s="80">
        <f>AVERAGE('7b. Success proj 1819'!W28,'7c. Success counts 1718'!W28,'7d Success counts 1617'!W28)</f>
        <v>228</v>
      </c>
      <c r="X30" s="80">
        <f>AVERAGE('7b. Success proj 1819'!X28,'7c. Success counts 1718'!X28,'7d Success counts 1617'!X28)</f>
        <v>32</v>
      </c>
      <c r="Y30" s="80">
        <f>AVERAGE('7b. Success proj 1819'!Y28,'7c. Success counts 1718'!Y28,'7d Success counts 1617'!Y28)</f>
        <v>143</v>
      </c>
    </row>
    <row r="31" spans="1:25" x14ac:dyDescent="0.25">
      <c r="A31" s="170" t="s">
        <v>66</v>
      </c>
      <c r="B31" s="80">
        <f>AVERAGE('7b. Success proj 1819'!B29,'7c. Success counts 1718'!B29,'7d Success counts 1617'!B29)</f>
        <v>747</v>
      </c>
      <c r="C31" s="80">
        <f>AVERAGE('7b. Success proj 1819'!C29,'7c. Success counts 1718'!C29,'7d Success counts 1617'!C29)</f>
        <v>467</v>
      </c>
      <c r="D31" s="80">
        <f>AVERAGE('7b. Success proj 1819'!D29,'7c. Success counts 1718'!D29,'7d Success counts 1617'!D29)</f>
        <v>0</v>
      </c>
      <c r="E31" s="80">
        <f>AVERAGE('7b. Success proj 1819'!E29,'7c. Success counts 1718'!E29,'7d Success counts 1617'!E29)</f>
        <v>173</v>
      </c>
      <c r="F31" s="80">
        <f>AVERAGE('7b. Success proj 1819'!F29,'7c. Success counts 1718'!F29,'7d Success counts 1617'!F29)</f>
        <v>333</v>
      </c>
      <c r="G31" s="80">
        <f>AVERAGE('7b. Success proj 1819'!G29,'7c. Success counts 1718'!G29,'7d Success counts 1617'!G29)</f>
        <v>2747</v>
      </c>
      <c r="H31" s="80">
        <f>AVERAGE('7b. Success proj 1819'!H29,'7c. Success counts 1718'!H29,'7d Success counts 1617'!H29)</f>
        <v>1867</v>
      </c>
      <c r="I31" s="80">
        <f>AVERAGE('7b. Success proj 1819'!I29,'7c. Success counts 1718'!I29,'7d Success counts 1617'!I29)</f>
        <v>2466</v>
      </c>
      <c r="J31" s="80">
        <f>AVERAGE('7b. Success proj 1819'!J29,'7c. Success counts 1718'!J29,'7d Success counts 1617'!J29)</f>
        <v>483</v>
      </c>
      <c r="K31" s="80">
        <f>AVERAGE('7b. Success proj 1819'!K29,'7c. Success counts 1718'!K29,'7d Success counts 1617'!K29)</f>
        <v>313</v>
      </c>
      <c r="L31" s="80">
        <f>AVERAGE('7b. Success proj 1819'!L29,'7c. Success counts 1718'!L29,'7d Success counts 1617'!L29)</f>
        <v>0</v>
      </c>
      <c r="M31" s="80">
        <f>AVERAGE('7b. Success proj 1819'!M29,'7c. Success counts 1718'!M29,'7d Success counts 1617'!M29)</f>
        <v>119</v>
      </c>
      <c r="N31" s="80">
        <f>AVERAGE('7b. Success proj 1819'!N29,'7c. Success counts 1718'!N29,'7d Success counts 1617'!N29)</f>
        <v>160</v>
      </c>
      <c r="O31" s="80">
        <f>AVERAGE('7b. Success proj 1819'!O29,'7c. Success counts 1718'!O29,'7d Success counts 1617'!O29)</f>
        <v>1644</v>
      </c>
      <c r="P31" s="80">
        <f>AVERAGE('7b. Success proj 1819'!P29,'7c. Success counts 1718'!P29,'7d Success counts 1617'!P29)</f>
        <v>1066</v>
      </c>
      <c r="Q31" s="80">
        <f>AVERAGE('7b. Success proj 1819'!Q29,'7c. Success counts 1718'!Q29,'7d Success counts 1617'!Q29)</f>
        <v>980</v>
      </c>
      <c r="R31" s="80">
        <f>AVERAGE('7b. Success proj 1819'!R29,'7c. Success counts 1718'!R29,'7d Success counts 1617'!R29)</f>
        <v>607</v>
      </c>
      <c r="S31" s="80">
        <f>AVERAGE('7b. Success proj 1819'!S29,'7c. Success counts 1718'!S29,'7d Success counts 1617'!S29)</f>
        <v>388</v>
      </c>
      <c r="T31" s="80">
        <f>AVERAGE('7b. Success proj 1819'!T29,'7c. Success counts 1718'!T29,'7d Success counts 1617'!T29)</f>
        <v>0</v>
      </c>
      <c r="U31" s="80">
        <f>AVERAGE('7b. Success proj 1819'!U29,'7c. Success counts 1718'!U29,'7d Success counts 1617'!U29)</f>
        <v>148</v>
      </c>
      <c r="V31" s="80">
        <f>AVERAGE('7b. Success proj 1819'!V29,'7c. Success counts 1718'!V29,'7d Success counts 1617'!V29)</f>
        <v>218</v>
      </c>
      <c r="W31" s="80">
        <f>AVERAGE('7b. Success proj 1819'!W29,'7c. Success counts 1718'!W29,'7d Success counts 1617'!W29)</f>
        <v>2140</v>
      </c>
      <c r="X31" s="80">
        <f>AVERAGE('7b. Success proj 1819'!X29,'7c. Success counts 1718'!X29,'7d Success counts 1617'!X29)</f>
        <v>1403</v>
      </c>
      <c r="Y31" s="80">
        <f>AVERAGE('7b. Success proj 1819'!Y29,'7c. Success counts 1718'!Y29,'7d Success counts 1617'!Y29)</f>
        <v>1530</v>
      </c>
    </row>
    <row r="32" spans="1:25" x14ac:dyDescent="0.25">
      <c r="A32" s="170" t="s">
        <v>67</v>
      </c>
      <c r="B32" s="80">
        <f>AVERAGE('7b. Success proj 1819'!B30,'7c. Success counts 1718'!B30,'7d Success counts 1617'!B30)</f>
        <v>3057</v>
      </c>
      <c r="C32" s="80">
        <f>AVERAGE('7b. Success proj 1819'!C30,'7c. Success counts 1718'!C30,'7d Success counts 1617'!C30)</f>
        <v>4509</v>
      </c>
      <c r="D32" s="80">
        <f>AVERAGE('7b. Success proj 1819'!D30,'7c. Success counts 1718'!D30,'7d Success counts 1617'!D30)</f>
        <v>28</v>
      </c>
      <c r="E32" s="80">
        <f>AVERAGE('7b. Success proj 1819'!E30,'7c. Success counts 1718'!E30,'7d Success counts 1617'!E30)</f>
        <v>1973</v>
      </c>
      <c r="F32" s="80">
        <f>AVERAGE('7b. Success proj 1819'!F30,'7c. Success counts 1718'!F30,'7d Success counts 1617'!F30)</f>
        <v>914</v>
      </c>
      <c r="G32" s="80">
        <f>AVERAGE('7b. Success proj 1819'!G30,'7c. Success counts 1718'!G30,'7d Success counts 1617'!G30)</f>
        <v>17253</v>
      </c>
      <c r="H32" s="80">
        <f>AVERAGE('7b. Success proj 1819'!H30,'7c. Success counts 1718'!H30,'7d Success counts 1617'!H30)</f>
        <v>9502</v>
      </c>
      <c r="I32" s="80">
        <f>AVERAGE('7b. Success proj 1819'!I30,'7c. Success counts 1718'!I30,'7d Success counts 1617'!I30)</f>
        <v>15309</v>
      </c>
      <c r="J32" s="80">
        <f>AVERAGE('7b. Success proj 1819'!J30,'7c. Success counts 1718'!J30,'7d Success counts 1617'!J30)</f>
        <v>2089</v>
      </c>
      <c r="K32" s="80">
        <f>AVERAGE('7b. Success proj 1819'!K30,'7c. Success counts 1718'!K30,'7d Success counts 1617'!K30)</f>
        <v>2948</v>
      </c>
      <c r="L32" s="80">
        <f>AVERAGE('7b. Success proj 1819'!L30,'7c. Success counts 1718'!L30,'7d Success counts 1617'!L30)</f>
        <v>11</v>
      </c>
      <c r="M32" s="80">
        <f>AVERAGE('7b. Success proj 1819'!M30,'7c. Success counts 1718'!M30,'7d Success counts 1617'!M30)</f>
        <v>1134</v>
      </c>
      <c r="N32" s="80">
        <f>AVERAGE('7b. Success proj 1819'!N30,'7c. Success counts 1718'!N30,'7d Success counts 1617'!N30)</f>
        <v>405</v>
      </c>
      <c r="O32" s="80">
        <f>AVERAGE('7b. Success proj 1819'!O30,'7c. Success counts 1718'!O30,'7d Success counts 1617'!O30)</f>
        <v>8865</v>
      </c>
      <c r="P32" s="80">
        <f>AVERAGE('7b. Success proj 1819'!P30,'7c. Success counts 1718'!P30,'7d Success counts 1617'!P30)</f>
        <v>5276</v>
      </c>
      <c r="Q32" s="80">
        <f>AVERAGE('7b. Success proj 1819'!Q30,'7c. Success counts 1718'!Q30,'7d Success counts 1617'!Q30)</f>
        <v>5193</v>
      </c>
      <c r="R32" s="80">
        <f>AVERAGE('7b. Success proj 1819'!R30,'7c. Success counts 1718'!R30,'7d Success counts 1617'!R30)</f>
        <v>2649</v>
      </c>
      <c r="S32" s="80">
        <f>AVERAGE('7b. Success proj 1819'!S30,'7c. Success counts 1718'!S30,'7d Success counts 1617'!S30)</f>
        <v>3779</v>
      </c>
      <c r="T32" s="80">
        <f>AVERAGE('7b. Success proj 1819'!T30,'7c. Success counts 1718'!T30,'7d Success counts 1617'!T30)</f>
        <v>22</v>
      </c>
      <c r="U32" s="80">
        <f>AVERAGE('7b. Success proj 1819'!U30,'7c. Success counts 1718'!U30,'7d Success counts 1617'!U30)</f>
        <v>1565</v>
      </c>
      <c r="V32" s="80">
        <f>AVERAGE('7b. Success proj 1819'!V30,'7c. Success counts 1718'!V30,'7d Success counts 1617'!V30)</f>
        <v>597</v>
      </c>
      <c r="W32" s="80">
        <f>AVERAGE('7b. Success proj 1819'!W30,'7c. Success counts 1718'!W30,'7d Success counts 1617'!W30)</f>
        <v>12706</v>
      </c>
      <c r="X32" s="80">
        <f>AVERAGE('7b. Success proj 1819'!X30,'7c. Success counts 1718'!X30,'7d Success counts 1617'!X30)</f>
        <v>7222</v>
      </c>
      <c r="Y32" s="80">
        <f>AVERAGE('7b. Success proj 1819'!Y30,'7c. Success counts 1718'!Y30,'7d Success counts 1617'!Y30)</f>
        <v>9311</v>
      </c>
    </row>
    <row r="33" spans="1:25" x14ac:dyDescent="0.25">
      <c r="A33" s="170" t="s">
        <v>68</v>
      </c>
      <c r="B33" s="80">
        <f>AVERAGE('7b. Success proj 1819'!B31,'7c. Success counts 1718'!B31,'7d Success counts 1617'!B31)</f>
        <v>1695</v>
      </c>
      <c r="C33" s="80">
        <f>AVERAGE('7b. Success proj 1819'!C31,'7c. Success counts 1718'!C31,'7d Success counts 1617'!C31)</f>
        <v>2675</v>
      </c>
      <c r="D33" s="80">
        <f>AVERAGE('7b. Success proj 1819'!D31,'7c. Success counts 1718'!D31,'7d Success counts 1617'!D31)</f>
        <v>0</v>
      </c>
      <c r="E33" s="80">
        <f>AVERAGE('7b. Success proj 1819'!E31,'7c. Success counts 1718'!E31,'7d Success counts 1617'!E31)</f>
        <v>805</v>
      </c>
      <c r="F33" s="80">
        <f>AVERAGE('7b. Success proj 1819'!F31,'7c. Success counts 1718'!F31,'7d Success counts 1617'!F31)</f>
        <v>653</v>
      </c>
      <c r="G33" s="80">
        <f>AVERAGE('7b. Success proj 1819'!G31,'7c. Success counts 1718'!G31,'7d Success counts 1617'!G31)</f>
        <v>8430</v>
      </c>
      <c r="H33" s="80">
        <f>AVERAGE('7b. Success proj 1819'!H31,'7c. Success counts 1718'!H31,'7d Success counts 1617'!H31)</f>
        <v>5586</v>
      </c>
      <c r="I33" s="80">
        <f>AVERAGE('7b. Success proj 1819'!I31,'7c. Success counts 1718'!I31,'7d Success counts 1617'!I31)</f>
        <v>12003</v>
      </c>
      <c r="J33" s="80">
        <f>AVERAGE('7b. Success proj 1819'!J31,'7c. Success counts 1718'!J31,'7d Success counts 1617'!J31)</f>
        <v>951</v>
      </c>
      <c r="K33" s="80">
        <f>AVERAGE('7b. Success proj 1819'!K31,'7c. Success counts 1718'!K31,'7d Success counts 1617'!K31)</f>
        <v>1486</v>
      </c>
      <c r="L33" s="80">
        <f>AVERAGE('7b. Success proj 1819'!L31,'7c. Success counts 1718'!L31,'7d Success counts 1617'!L31)</f>
        <v>0</v>
      </c>
      <c r="M33" s="80">
        <f>AVERAGE('7b. Success proj 1819'!M31,'7c. Success counts 1718'!M31,'7d Success counts 1617'!M31)</f>
        <v>394</v>
      </c>
      <c r="N33" s="80">
        <f>AVERAGE('7b. Success proj 1819'!N31,'7c. Success counts 1718'!N31,'7d Success counts 1617'!N31)</f>
        <v>245</v>
      </c>
      <c r="O33" s="80">
        <f>AVERAGE('7b. Success proj 1819'!O31,'7c. Success counts 1718'!O31,'7d Success counts 1617'!O31)</f>
        <v>3853</v>
      </c>
      <c r="P33" s="80">
        <f>AVERAGE('7b. Success proj 1819'!P31,'7c. Success counts 1718'!P31,'7d Success counts 1617'!P31)</f>
        <v>2393</v>
      </c>
      <c r="Q33" s="80">
        <f>AVERAGE('7b. Success proj 1819'!Q31,'7c. Success counts 1718'!Q31,'7d Success counts 1617'!Q31)</f>
        <v>3490</v>
      </c>
      <c r="R33" s="80">
        <f>AVERAGE('7b. Success proj 1819'!R31,'7c. Success counts 1718'!R31,'7d Success counts 1617'!R31)</f>
        <v>1338</v>
      </c>
      <c r="S33" s="80">
        <f>AVERAGE('7b. Success proj 1819'!S31,'7c. Success counts 1718'!S31,'7d Success counts 1617'!S31)</f>
        <v>2095</v>
      </c>
      <c r="T33" s="80">
        <f>AVERAGE('7b. Success proj 1819'!T31,'7c. Success counts 1718'!T31,'7d Success counts 1617'!T31)</f>
        <v>0</v>
      </c>
      <c r="U33" s="80">
        <f>AVERAGE('7b. Success proj 1819'!U31,'7c. Success counts 1718'!U31,'7d Success counts 1617'!U31)</f>
        <v>571</v>
      </c>
      <c r="V33" s="80">
        <f>AVERAGE('7b. Success proj 1819'!V31,'7c. Success counts 1718'!V31,'7d Success counts 1617'!V31)</f>
        <v>339</v>
      </c>
      <c r="W33" s="80">
        <f>AVERAGE('7b. Success proj 1819'!W31,'7c. Success counts 1718'!W31,'7d Success counts 1617'!W31)</f>
        <v>5874</v>
      </c>
      <c r="X33" s="80">
        <f>AVERAGE('7b. Success proj 1819'!X31,'7c. Success counts 1718'!X31,'7d Success counts 1617'!X31)</f>
        <v>3814</v>
      </c>
      <c r="Y33" s="80">
        <f>AVERAGE('7b. Success proj 1819'!Y31,'7c. Success counts 1718'!Y31,'7d Success counts 1617'!Y31)</f>
        <v>6654</v>
      </c>
    </row>
    <row r="34" spans="1:25" x14ac:dyDescent="0.25">
      <c r="A34" s="170" t="s">
        <v>27</v>
      </c>
      <c r="B34" s="80">
        <f>AVERAGE('7b. Success proj 1819'!B32,'7c. Success counts 1718'!B32,'7d Success counts 1617'!B32)</f>
        <v>112</v>
      </c>
      <c r="C34" s="80">
        <f>AVERAGE('7b. Success proj 1819'!C32,'7c. Success counts 1718'!C32,'7d Success counts 1617'!C32)</f>
        <v>151</v>
      </c>
      <c r="D34" s="80">
        <f>AVERAGE('7b. Success proj 1819'!D32,'7c. Success counts 1718'!D32,'7d Success counts 1617'!D32)</f>
        <v>0</v>
      </c>
      <c r="E34" s="80">
        <f>AVERAGE('7b. Success proj 1819'!E32,'7c. Success counts 1718'!E32,'7d Success counts 1617'!E32)</f>
        <v>51</v>
      </c>
      <c r="F34" s="80">
        <f>AVERAGE('7b. Success proj 1819'!F32,'7c. Success counts 1718'!F32,'7d Success counts 1617'!F32)</f>
        <v>53</v>
      </c>
      <c r="G34" s="80">
        <f>AVERAGE('7b. Success proj 1819'!G32,'7c. Success counts 1718'!G32,'7d Success counts 1617'!G32)</f>
        <v>434</v>
      </c>
      <c r="H34" s="80">
        <f>AVERAGE('7b. Success proj 1819'!H32,'7c. Success counts 1718'!H32,'7d Success counts 1617'!H32)</f>
        <v>438</v>
      </c>
      <c r="I34" s="80">
        <f>AVERAGE('7b. Success proj 1819'!I32,'7c. Success counts 1718'!I32,'7d Success counts 1617'!I32)</f>
        <v>334</v>
      </c>
      <c r="J34" s="80">
        <f>AVERAGE('7b. Success proj 1819'!J32,'7c. Success counts 1718'!J32,'7d Success counts 1617'!J32)</f>
        <v>42</v>
      </c>
      <c r="K34" s="80">
        <f>AVERAGE('7b. Success proj 1819'!K32,'7c. Success counts 1718'!K32,'7d Success counts 1617'!K32)</f>
        <v>76</v>
      </c>
      <c r="L34" s="80">
        <f>AVERAGE('7b. Success proj 1819'!L32,'7c. Success counts 1718'!L32,'7d Success counts 1617'!L32)</f>
        <v>0</v>
      </c>
      <c r="M34" s="80">
        <f>AVERAGE('7b. Success proj 1819'!M32,'7c. Success counts 1718'!M32,'7d Success counts 1617'!M32)</f>
        <v>18</v>
      </c>
      <c r="N34" s="80">
        <f>AVERAGE('7b. Success proj 1819'!N32,'7c. Success counts 1718'!N32,'7d Success counts 1617'!N32)</f>
        <v>14</v>
      </c>
      <c r="O34" s="80">
        <f>AVERAGE('7b. Success proj 1819'!O32,'7c. Success counts 1718'!O32,'7d Success counts 1617'!O32)</f>
        <v>158</v>
      </c>
      <c r="P34" s="80">
        <f>AVERAGE('7b. Success proj 1819'!P32,'7c. Success counts 1718'!P32,'7d Success counts 1617'!P32)</f>
        <v>122</v>
      </c>
      <c r="Q34" s="80">
        <f>AVERAGE('7b. Success proj 1819'!Q32,'7c. Success counts 1718'!Q32,'7d Success counts 1617'!Q32)</f>
        <v>48</v>
      </c>
      <c r="R34" s="80">
        <f>AVERAGE('7b. Success proj 1819'!R32,'7c. Success counts 1718'!R32,'7d Success counts 1617'!R32)</f>
        <v>68</v>
      </c>
      <c r="S34" s="80">
        <f>AVERAGE('7b. Success proj 1819'!S32,'7c. Success counts 1718'!S32,'7d Success counts 1617'!S32)</f>
        <v>108</v>
      </c>
      <c r="T34" s="80">
        <f>AVERAGE('7b. Success proj 1819'!T32,'7c. Success counts 1718'!T32,'7d Success counts 1617'!T32)</f>
        <v>0</v>
      </c>
      <c r="U34" s="80">
        <f>AVERAGE('7b. Success proj 1819'!U32,'7c. Success counts 1718'!U32,'7d Success counts 1617'!U32)</f>
        <v>29</v>
      </c>
      <c r="V34" s="80">
        <f>AVERAGE('7b. Success proj 1819'!V32,'7c. Success counts 1718'!V32,'7d Success counts 1617'!V32)</f>
        <v>21</v>
      </c>
      <c r="W34" s="80">
        <f>AVERAGE('7b. Success proj 1819'!W32,'7c. Success counts 1718'!W32,'7d Success counts 1617'!W32)</f>
        <v>250</v>
      </c>
      <c r="X34" s="80">
        <f>AVERAGE('7b. Success proj 1819'!X32,'7c. Success counts 1718'!X32,'7d Success counts 1617'!X32)</f>
        <v>196</v>
      </c>
      <c r="Y34" s="80">
        <f>AVERAGE('7b. Success proj 1819'!Y32,'7c. Success counts 1718'!Y32,'7d Success counts 1617'!Y32)</f>
        <v>83</v>
      </c>
    </row>
    <row r="35" spans="1:25" x14ac:dyDescent="0.25">
      <c r="A35" s="170" t="s">
        <v>69</v>
      </c>
      <c r="B35" s="80">
        <f>AVERAGE('7b. Success proj 1819'!B33,'7c. Success counts 1718'!B33,'7d Success counts 1617'!B33)</f>
        <v>96</v>
      </c>
      <c r="C35" s="80">
        <f>AVERAGE('7b. Success proj 1819'!C33,'7c. Success counts 1718'!C33,'7d Success counts 1617'!C33)</f>
        <v>196</v>
      </c>
      <c r="D35" s="80">
        <f>AVERAGE('7b. Success proj 1819'!D33,'7c. Success counts 1718'!D33,'7d Success counts 1617'!D33)</f>
        <v>0</v>
      </c>
      <c r="E35" s="80">
        <f>AVERAGE('7b. Success proj 1819'!E33,'7c. Success counts 1718'!E33,'7d Success counts 1617'!E33)</f>
        <v>46</v>
      </c>
      <c r="F35" s="80">
        <f>AVERAGE('7b. Success proj 1819'!F33,'7c. Success counts 1718'!F33,'7d Success counts 1617'!F33)</f>
        <v>32</v>
      </c>
      <c r="G35" s="80">
        <f>AVERAGE('7b. Success proj 1819'!G33,'7c. Success counts 1718'!G33,'7d Success counts 1617'!G33)</f>
        <v>517</v>
      </c>
      <c r="H35" s="80">
        <f>AVERAGE('7b. Success proj 1819'!H33,'7c. Success counts 1718'!H33,'7d Success counts 1617'!H33)</f>
        <v>262</v>
      </c>
      <c r="I35" s="80">
        <f>AVERAGE('7b. Success proj 1819'!I33,'7c. Success counts 1718'!I33,'7d Success counts 1617'!I33)</f>
        <v>701</v>
      </c>
      <c r="J35" s="80">
        <f>AVERAGE('7b. Success proj 1819'!J33,'7c. Success counts 1718'!J33,'7d Success counts 1617'!J33)</f>
        <v>65</v>
      </c>
      <c r="K35" s="80">
        <f>AVERAGE('7b. Success proj 1819'!K33,'7c. Success counts 1718'!K33,'7d Success counts 1617'!K33)</f>
        <v>124</v>
      </c>
      <c r="L35" s="80">
        <f>AVERAGE('7b. Success proj 1819'!L33,'7c. Success counts 1718'!L33,'7d Success counts 1617'!L33)</f>
        <v>0</v>
      </c>
      <c r="M35" s="80">
        <f>AVERAGE('7b. Success proj 1819'!M33,'7c. Success counts 1718'!M33,'7d Success counts 1617'!M33)</f>
        <v>29</v>
      </c>
      <c r="N35" s="80">
        <f>AVERAGE('7b. Success proj 1819'!N33,'7c. Success counts 1718'!N33,'7d Success counts 1617'!N33)</f>
        <v>16</v>
      </c>
      <c r="O35" s="80">
        <f>AVERAGE('7b. Success proj 1819'!O33,'7c. Success counts 1718'!O33,'7d Success counts 1617'!O33)</f>
        <v>295</v>
      </c>
      <c r="P35" s="80">
        <f>AVERAGE('7b. Success proj 1819'!P33,'7c. Success counts 1718'!P33,'7d Success counts 1617'!P33)</f>
        <v>101</v>
      </c>
      <c r="Q35" s="80">
        <f>AVERAGE('7b. Success proj 1819'!Q33,'7c. Success counts 1718'!Q33,'7d Success counts 1617'!Q33)</f>
        <v>248</v>
      </c>
      <c r="R35" s="80">
        <f>AVERAGE('7b. Success proj 1819'!R33,'7c. Success counts 1718'!R33,'7d Success counts 1617'!R33)</f>
        <v>77</v>
      </c>
      <c r="S35" s="80">
        <f>AVERAGE('7b. Success proj 1819'!S33,'7c. Success counts 1718'!S33,'7d Success counts 1617'!S33)</f>
        <v>163</v>
      </c>
      <c r="T35" s="80">
        <f>AVERAGE('7b. Success proj 1819'!T33,'7c. Success counts 1718'!T33,'7d Success counts 1617'!T33)</f>
        <v>0</v>
      </c>
      <c r="U35" s="80">
        <f>AVERAGE('7b. Success proj 1819'!U33,'7c. Success counts 1718'!U33,'7d Success counts 1617'!U33)</f>
        <v>37</v>
      </c>
      <c r="V35" s="80">
        <f>AVERAGE('7b. Success proj 1819'!V33,'7c. Success counts 1718'!V33,'7d Success counts 1617'!V33)</f>
        <v>22</v>
      </c>
      <c r="W35" s="80">
        <f>AVERAGE('7b. Success proj 1819'!W33,'7c. Success counts 1718'!W33,'7d Success counts 1617'!W33)</f>
        <v>397</v>
      </c>
      <c r="X35" s="80">
        <f>AVERAGE('7b. Success proj 1819'!X33,'7c. Success counts 1718'!X33,'7d Success counts 1617'!X33)</f>
        <v>150</v>
      </c>
      <c r="Y35" s="80">
        <f>AVERAGE('7b. Success proj 1819'!Y33,'7c. Success counts 1718'!Y33,'7d Success counts 1617'!Y33)</f>
        <v>416</v>
      </c>
    </row>
    <row r="36" spans="1:25" x14ac:dyDescent="0.25">
      <c r="A36" s="170" t="s">
        <v>70</v>
      </c>
      <c r="B36" s="80">
        <f>AVERAGE('7b. Success proj 1819'!B34,'7c. Success counts 1718'!B34,'7d Success counts 1617'!B34)</f>
        <v>506</v>
      </c>
      <c r="C36" s="80">
        <f>AVERAGE('7b. Success proj 1819'!C34,'7c. Success counts 1718'!C34,'7d Success counts 1617'!C34)</f>
        <v>405</v>
      </c>
      <c r="D36" s="80">
        <f>AVERAGE('7b. Success proj 1819'!D34,'7c. Success counts 1718'!D34,'7d Success counts 1617'!D34)</f>
        <v>0</v>
      </c>
      <c r="E36" s="80">
        <f>AVERAGE('7b. Success proj 1819'!E34,'7c. Success counts 1718'!E34,'7d Success counts 1617'!E34)</f>
        <v>125</v>
      </c>
      <c r="F36" s="80">
        <f>AVERAGE('7b. Success proj 1819'!F34,'7c. Success counts 1718'!F34,'7d Success counts 1617'!F34)</f>
        <v>206</v>
      </c>
      <c r="G36" s="80">
        <f>AVERAGE('7b. Success proj 1819'!G34,'7c. Success counts 1718'!G34,'7d Success counts 1617'!G34)</f>
        <v>1443</v>
      </c>
      <c r="H36" s="80">
        <f>AVERAGE('7b. Success proj 1819'!H34,'7c. Success counts 1718'!H34,'7d Success counts 1617'!H34)</f>
        <v>918</v>
      </c>
      <c r="I36" s="80">
        <f>AVERAGE('7b. Success proj 1819'!I34,'7c. Success counts 1718'!I34,'7d Success counts 1617'!I34)</f>
        <v>1947</v>
      </c>
      <c r="J36" s="80">
        <f>AVERAGE('7b. Success proj 1819'!J34,'7c. Success counts 1718'!J34,'7d Success counts 1617'!J34)</f>
        <v>347</v>
      </c>
      <c r="K36" s="80">
        <f>AVERAGE('7b. Success proj 1819'!K34,'7c. Success counts 1718'!K34,'7d Success counts 1617'!K34)</f>
        <v>272</v>
      </c>
      <c r="L36" s="80">
        <f>AVERAGE('7b. Success proj 1819'!L34,'7c. Success counts 1718'!L34,'7d Success counts 1617'!L34)</f>
        <v>0</v>
      </c>
      <c r="M36" s="80">
        <f>AVERAGE('7b. Success proj 1819'!M34,'7c. Success counts 1718'!M34,'7d Success counts 1617'!M34)</f>
        <v>80</v>
      </c>
      <c r="N36" s="80">
        <f>AVERAGE('7b. Success proj 1819'!N34,'7c. Success counts 1718'!N34,'7d Success counts 1617'!N34)</f>
        <v>98</v>
      </c>
      <c r="O36" s="80">
        <f>AVERAGE('7b. Success proj 1819'!O34,'7c. Success counts 1718'!O34,'7d Success counts 1617'!O34)</f>
        <v>984</v>
      </c>
      <c r="P36" s="80">
        <f>AVERAGE('7b. Success proj 1819'!P34,'7c. Success counts 1718'!P34,'7d Success counts 1617'!P34)</f>
        <v>566</v>
      </c>
      <c r="Q36" s="80">
        <f>AVERAGE('7b. Success proj 1819'!Q34,'7c. Success counts 1718'!Q34,'7d Success counts 1617'!Q34)</f>
        <v>964</v>
      </c>
      <c r="R36" s="80">
        <f>AVERAGE('7b. Success proj 1819'!R34,'7c. Success counts 1718'!R34,'7d Success counts 1617'!R34)</f>
        <v>430</v>
      </c>
      <c r="S36" s="80">
        <f>AVERAGE('7b. Success proj 1819'!S34,'7c. Success counts 1718'!S34,'7d Success counts 1617'!S34)</f>
        <v>338</v>
      </c>
      <c r="T36" s="80">
        <f>AVERAGE('7b. Success proj 1819'!T34,'7c. Success counts 1718'!T34,'7d Success counts 1617'!T34)</f>
        <v>0</v>
      </c>
      <c r="U36" s="80">
        <f>AVERAGE('7b. Success proj 1819'!U34,'7c. Success counts 1718'!U34,'7d Success counts 1617'!U34)</f>
        <v>117</v>
      </c>
      <c r="V36" s="80">
        <f>AVERAGE('7b. Success proj 1819'!V34,'7c. Success counts 1718'!V34,'7d Success counts 1617'!V34)</f>
        <v>138</v>
      </c>
      <c r="W36" s="80">
        <f>AVERAGE('7b. Success proj 1819'!W34,'7c. Success counts 1718'!W34,'7d Success counts 1617'!W34)</f>
        <v>1244</v>
      </c>
      <c r="X36" s="80">
        <f>AVERAGE('7b. Success proj 1819'!X34,'7c. Success counts 1718'!X34,'7d Success counts 1617'!X34)</f>
        <v>729</v>
      </c>
      <c r="Y36" s="80">
        <f>AVERAGE('7b. Success proj 1819'!Y34,'7c. Success counts 1718'!Y34,'7d Success counts 1617'!Y34)</f>
        <v>1295</v>
      </c>
    </row>
    <row r="37" spans="1:25" x14ac:dyDescent="0.25">
      <c r="A37" s="170" t="s">
        <v>28</v>
      </c>
      <c r="B37" s="80">
        <f>AVERAGE('7b. Success proj 1819'!B35,'7c. Success counts 1718'!B35,'7d Success counts 1617'!B35)</f>
        <v>326</v>
      </c>
      <c r="C37" s="80">
        <f>AVERAGE('7b. Success proj 1819'!C35,'7c. Success counts 1718'!C35,'7d Success counts 1617'!C35)</f>
        <v>1014</v>
      </c>
      <c r="D37" s="80">
        <f>AVERAGE('7b. Success proj 1819'!D35,'7c. Success counts 1718'!D35,'7d Success counts 1617'!D35)</f>
        <v>0</v>
      </c>
      <c r="E37" s="80">
        <f>AVERAGE('7b. Success proj 1819'!E35,'7c. Success counts 1718'!E35,'7d Success counts 1617'!E35)</f>
        <v>233</v>
      </c>
      <c r="F37" s="80">
        <f>AVERAGE('7b. Success proj 1819'!F35,'7c. Success counts 1718'!F35,'7d Success counts 1617'!F35)</f>
        <v>334</v>
      </c>
      <c r="G37" s="80">
        <f>AVERAGE('7b. Success proj 1819'!G35,'7c. Success counts 1718'!G35,'7d Success counts 1617'!G35)</f>
        <v>1863</v>
      </c>
      <c r="H37" s="80">
        <f>AVERAGE('7b. Success proj 1819'!H35,'7c. Success counts 1718'!H35,'7d Success counts 1617'!H35)</f>
        <v>1732</v>
      </c>
      <c r="I37" s="80">
        <f>AVERAGE('7b. Success proj 1819'!I35,'7c. Success counts 1718'!I35,'7d Success counts 1617'!I35)</f>
        <v>1564</v>
      </c>
      <c r="J37" s="80">
        <f>AVERAGE('7b. Success proj 1819'!J35,'7c. Success counts 1718'!J35,'7d Success counts 1617'!J35)</f>
        <v>153</v>
      </c>
      <c r="K37" s="80">
        <f>AVERAGE('7b. Success proj 1819'!K35,'7c. Success counts 1718'!K35,'7d Success counts 1617'!K35)</f>
        <v>479</v>
      </c>
      <c r="L37" s="80">
        <f>AVERAGE('7b. Success proj 1819'!L35,'7c. Success counts 1718'!L35,'7d Success counts 1617'!L35)</f>
        <v>0</v>
      </c>
      <c r="M37" s="80">
        <f>AVERAGE('7b. Success proj 1819'!M35,'7c. Success counts 1718'!M35,'7d Success counts 1617'!M35)</f>
        <v>103</v>
      </c>
      <c r="N37" s="80">
        <f>AVERAGE('7b. Success proj 1819'!N35,'7c. Success counts 1718'!N35,'7d Success counts 1617'!N35)</f>
        <v>93</v>
      </c>
      <c r="O37" s="80">
        <f>AVERAGE('7b. Success proj 1819'!O35,'7c. Success counts 1718'!O35,'7d Success counts 1617'!O35)</f>
        <v>821</v>
      </c>
      <c r="P37" s="80">
        <f>AVERAGE('7b. Success proj 1819'!P35,'7c. Success counts 1718'!P35,'7d Success counts 1617'!P35)</f>
        <v>594</v>
      </c>
      <c r="Q37" s="80">
        <f>AVERAGE('7b. Success proj 1819'!Q35,'7c. Success counts 1718'!Q35,'7d Success counts 1617'!Q35)</f>
        <v>298</v>
      </c>
      <c r="R37" s="80">
        <f>AVERAGE('7b. Success proj 1819'!R35,'7c. Success counts 1718'!R35,'7d Success counts 1617'!R35)</f>
        <v>199</v>
      </c>
      <c r="S37" s="80">
        <f>AVERAGE('7b. Success proj 1819'!S35,'7c. Success counts 1718'!S35,'7d Success counts 1617'!S35)</f>
        <v>661</v>
      </c>
      <c r="T37" s="80">
        <f>AVERAGE('7b. Success proj 1819'!T35,'7c. Success counts 1718'!T35,'7d Success counts 1617'!T35)</f>
        <v>0</v>
      </c>
      <c r="U37" s="80">
        <f>AVERAGE('7b. Success proj 1819'!U35,'7c. Success counts 1718'!U35,'7d Success counts 1617'!U35)</f>
        <v>151</v>
      </c>
      <c r="V37" s="80">
        <f>AVERAGE('7b. Success proj 1819'!V35,'7c. Success counts 1718'!V35,'7d Success counts 1617'!V35)</f>
        <v>154</v>
      </c>
      <c r="W37" s="80">
        <f>AVERAGE('7b. Success proj 1819'!W35,'7c. Success counts 1718'!W35,'7d Success counts 1617'!W35)</f>
        <v>1193</v>
      </c>
      <c r="X37" s="80">
        <f>AVERAGE('7b. Success proj 1819'!X35,'7c. Success counts 1718'!X35,'7d Success counts 1617'!X35)</f>
        <v>903</v>
      </c>
      <c r="Y37" s="80">
        <f>AVERAGE('7b. Success proj 1819'!Y35,'7c. Success counts 1718'!Y35,'7d Success counts 1617'!Y35)</f>
        <v>611</v>
      </c>
    </row>
    <row r="38" spans="1:25" x14ac:dyDescent="0.25">
      <c r="A38" s="170" t="s">
        <v>71</v>
      </c>
      <c r="B38" s="80">
        <f>AVERAGE('7b. Success proj 1819'!B36,'7c. Success counts 1718'!B36,'7d Success counts 1617'!B36)</f>
        <v>294</v>
      </c>
      <c r="C38" s="80">
        <f>AVERAGE('7b. Success proj 1819'!C36,'7c. Success counts 1718'!C36,'7d Success counts 1617'!C36)</f>
        <v>270</v>
      </c>
      <c r="D38" s="80">
        <f>AVERAGE('7b. Success proj 1819'!D36,'7c. Success counts 1718'!D36,'7d Success counts 1617'!D36)</f>
        <v>0</v>
      </c>
      <c r="E38" s="80">
        <f>AVERAGE('7b. Success proj 1819'!E36,'7c. Success counts 1718'!E36,'7d Success counts 1617'!E36)</f>
        <v>77</v>
      </c>
      <c r="F38" s="80">
        <f>AVERAGE('7b. Success proj 1819'!F36,'7c. Success counts 1718'!F36,'7d Success counts 1617'!F36)</f>
        <v>96</v>
      </c>
      <c r="G38" s="80">
        <f>AVERAGE('7b. Success proj 1819'!G36,'7c. Success counts 1718'!G36,'7d Success counts 1617'!G36)</f>
        <v>880</v>
      </c>
      <c r="H38" s="80">
        <f>AVERAGE('7b. Success proj 1819'!H36,'7c. Success counts 1718'!H36,'7d Success counts 1617'!H36)</f>
        <v>710</v>
      </c>
      <c r="I38" s="80">
        <f>AVERAGE('7b. Success proj 1819'!I36,'7c. Success counts 1718'!I36,'7d Success counts 1617'!I36)</f>
        <v>2266</v>
      </c>
      <c r="J38" s="80">
        <f>AVERAGE('7b. Success proj 1819'!J36,'7c. Success counts 1718'!J36,'7d Success counts 1617'!J36)</f>
        <v>132</v>
      </c>
      <c r="K38" s="80">
        <f>AVERAGE('7b. Success proj 1819'!K36,'7c. Success counts 1718'!K36,'7d Success counts 1617'!K36)</f>
        <v>122</v>
      </c>
      <c r="L38" s="80">
        <f>AVERAGE('7b. Success proj 1819'!L36,'7c. Success counts 1718'!L36,'7d Success counts 1617'!L36)</f>
        <v>0</v>
      </c>
      <c r="M38" s="80">
        <f>AVERAGE('7b. Success proj 1819'!M36,'7c. Success counts 1718'!M36,'7d Success counts 1617'!M36)</f>
        <v>20</v>
      </c>
      <c r="N38" s="80">
        <f>AVERAGE('7b. Success proj 1819'!N36,'7c. Success counts 1718'!N36,'7d Success counts 1617'!N36)</f>
        <v>39</v>
      </c>
      <c r="O38" s="80">
        <f>AVERAGE('7b. Success proj 1819'!O36,'7c. Success counts 1718'!O36,'7d Success counts 1617'!O36)</f>
        <v>252</v>
      </c>
      <c r="P38" s="80">
        <f>AVERAGE('7b. Success proj 1819'!P36,'7c. Success counts 1718'!P36,'7d Success counts 1617'!P36)</f>
        <v>227</v>
      </c>
      <c r="Q38" s="80">
        <f>AVERAGE('7b. Success proj 1819'!Q36,'7c. Success counts 1718'!Q36,'7d Success counts 1617'!Q36)</f>
        <v>217</v>
      </c>
      <c r="R38" s="80">
        <f>AVERAGE('7b. Success proj 1819'!R36,'7c. Success counts 1718'!R36,'7d Success counts 1617'!R36)</f>
        <v>205</v>
      </c>
      <c r="S38" s="80">
        <f>AVERAGE('7b. Success proj 1819'!S36,'7c. Success counts 1718'!S36,'7d Success counts 1617'!S36)</f>
        <v>184</v>
      </c>
      <c r="T38" s="80">
        <f>AVERAGE('7b. Success proj 1819'!T36,'7c. Success counts 1718'!T36,'7d Success counts 1617'!T36)</f>
        <v>0</v>
      </c>
      <c r="U38" s="80">
        <f>AVERAGE('7b. Success proj 1819'!U36,'7c. Success counts 1718'!U36,'7d Success counts 1617'!U36)</f>
        <v>29</v>
      </c>
      <c r="V38" s="80">
        <f>AVERAGE('7b. Success proj 1819'!V36,'7c. Success counts 1718'!V36,'7d Success counts 1617'!V36)</f>
        <v>57</v>
      </c>
      <c r="W38" s="80">
        <f>AVERAGE('7b. Success proj 1819'!W36,'7c. Success counts 1718'!W36,'7d Success counts 1617'!W36)</f>
        <v>402</v>
      </c>
      <c r="X38" s="80">
        <f>AVERAGE('7b. Success proj 1819'!X36,'7c. Success counts 1718'!X36,'7d Success counts 1617'!X36)</f>
        <v>368</v>
      </c>
      <c r="Y38" s="80">
        <f>AVERAGE('7b. Success proj 1819'!Y36,'7c. Success counts 1718'!Y36,'7d Success counts 1617'!Y36)</f>
        <v>423</v>
      </c>
    </row>
    <row r="39" spans="1:25" x14ac:dyDescent="0.25">
      <c r="A39" s="170" t="s">
        <v>72</v>
      </c>
      <c r="B39" s="80">
        <f>AVERAGE('7b. Success proj 1819'!B37,'7c. Success counts 1718'!B37,'7d Success counts 1617'!B37)</f>
        <v>783</v>
      </c>
      <c r="C39" s="80">
        <f>AVERAGE('7b. Success proj 1819'!C37,'7c. Success counts 1718'!C37,'7d Success counts 1617'!C37)</f>
        <v>1381</v>
      </c>
      <c r="D39" s="80">
        <f>AVERAGE('7b. Success proj 1819'!D37,'7c. Success counts 1718'!D37,'7d Success counts 1617'!D37)</f>
        <v>0</v>
      </c>
      <c r="E39" s="80">
        <f>AVERAGE('7b. Success proj 1819'!E37,'7c. Success counts 1718'!E37,'7d Success counts 1617'!E37)</f>
        <v>253</v>
      </c>
      <c r="F39" s="80">
        <f>AVERAGE('7b. Success proj 1819'!F37,'7c. Success counts 1718'!F37,'7d Success counts 1617'!F37)</f>
        <v>452</v>
      </c>
      <c r="G39" s="80">
        <f>AVERAGE('7b. Success proj 1819'!G37,'7c. Success counts 1718'!G37,'7d Success counts 1617'!G37)</f>
        <v>4963</v>
      </c>
      <c r="H39" s="80">
        <f>AVERAGE('7b. Success proj 1819'!H37,'7c. Success counts 1718'!H37,'7d Success counts 1617'!H37)</f>
        <v>2521</v>
      </c>
      <c r="I39" s="80">
        <f>AVERAGE('7b. Success proj 1819'!I37,'7c. Success counts 1718'!I37,'7d Success counts 1617'!I37)</f>
        <v>2928</v>
      </c>
      <c r="J39" s="80">
        <f>AVERAGE('7b. Success proj 1819'!J37,'7c. Success counts 1718'!J37,'7d Success counts 1617'!J37)</f>
        <v>496</v>
      </c>
      <c r="K39" s="80">
        <f>AVERAGE('7b. Success proj 1819'!K37,'7c. Success counts 1718'!K37,'7d Success counts 1617'!K37)</f>
        <v>808</v>
      </c>
      <c r="L39" s="80">
        <f>AVERAGE('7b. Success proj 1819'!L37,'7c. Success counts 1718'!L37,'7d Success counts 1617'!L37)</f>
        <v>0</v>
      </c>
      <c r="M39" s="80">
        <f>AVERAGE('7b. Success proj 1819'!M37,'7c. Success counts 1718'!M37,'7d Success counts 1617'!M37)</f>
        <v>122</v>
      </c>
      <c r="N39" s="80">
        <f>AVERAGE('7b. Success proj 1819'!N37,'7c. Success counts 1718'!N37,'7d Success counts 1617'!N37)</f>
        <v>168</v>
      </c>
      <c r="O39" s="80">
        <f>AVERAGE('7b. Success proj 1819'!O37,'7c. Success counts 1718'!O37,'7d Success counts 1617'!O37)</f>
        <v>2451</v>
      </c>
      <c r="P39" s="80">
        <f>AVERAGE('7b. Success proj 1819'!P37,'7c. Success counts 1718'!P37,'7d Success counts 1617'!P37)</f>
        <v>1309</v>
      </c>
      <c r="Q39" s="80">
        <f>AVERAGE('7b. Success proj 1819'!Q37,'7c. Success counts 1718'!Q37,'7d Success counts 1617'!Q37)</f>
        <v>938</v>
      </c>
      <c r="R39" s="80">
        <f>AVERAGE('7b. Success proj 1819'!R37,'7c. Success counts 1718'!R37,'7d Success counts 1617'!R37)</f>
        <v>647</v>
      </c>
      <c r="S39" s="80">
        <f>AVERAGE('7b. Success proj 1819'!S37,'7c. Success counts 1718'!S37,'7d Success counts 1617'!S37)</f>
        <v>1120</v>
      </c>
      <c r="T39" s="80">
        <f>AVERAGE('7b. Success proj 1819'!T37,'7c. Success counts 1718'!T37,'7d Success counts 1617'!T37)</f>
        <v>0</v>
      </c>
      <c r="U39" s="80">
        <f>AVERAGE('7b. Success proj 1819'!U37,'7c. Success counts 1718'!U37,'7d Success counts 1617'!U37)</f>
        <v>195</v>
      </c>
      <c r="V39" s="80">
        <f>AVERAGE('7b. Success proj 1819'!V37,'7c. Success counts 1718'!V37,'7d Success counts 1617'!V37)</f>
        <v>248</v>
      </c>
      <c r="W39" s="80">
        <f>AVERAGE('7b. Success proj 1819'!W37,'7c. Success counts 1718'!W37,'7d Success counts 1617'!W37)</f>
        <v>3698</v>
      </c>
      <c r="X39" s="80">
        <f>AVERAGE('7b. Success proj 1819'!X37,'7c. Success counts 1718'!X37,'7d Success counts 1617'!X37)</f>
        <v>1851</v>
      </c>
      <c r="Y39" s="80">
        <f>AVERAGE('7b. Success proj 1819'!Y37,'7c. Success counts 1718'!Y37,'7d Success counts 1617'!Y37)</f>
        <v>1622</v>
      </c>
    </row>
    <row r="40" spans="1:25" x14ac:dyDescent="0.25">
      <c r="A40" s="170" t="s">
        <v>73</v>
      </c>
      <c r="B40" s="80">
        <f>AVERAGE('7b. Success proj 1819'!B38,'7c. Success counts 1718'!B38,'7d Success counts 1617'!B38)</f>
        <v>433</v>
      </c>
      <c r="C40" s="80">
        <f>AVERAGE('7b. Success proj 1819'!C38,'7c. Success counts 1718'!C38,'7d Success counts 1617'!C38)</f>
        <v>899</v>
      </c>
      <c r="D40" s="80">
        <f>AVERAGE('7b. Success proj 1819'!D38,'7c. Success counts 1718'!D38,'7d Success counts 1617'!D38)</f>
        <v>0</v>
      </c>
      <c r="E40" s="80">
        <f>AVERAGE('7b. Success proj 1819'!E38,'7c. Success counts 1718'!E38,'7d Success counts 1617'!E38)</f>
        <v>64</v>
      </c>
      <c r="F40" s="80">
        <f>AVERAGE('7b. Success proj 1819'!F38,'7c. Success counts 1718'!F38,'7d Success counts 1617'!F38)</f>
        <v>387</v>
      </c>
      <c r="G40" s="80">
        <f>AVERAGE('7b. Success proj 1819'!G38,'7c. Success counts 1718'!G38,'7d Success counts 1617'!G38)</f>
        <v>1409</v>
      </c>
      <c r="H40" s="80">
        <f>AVERAGE('7b. Success proj 1819'!H38,'7c. Success counts 1718'!H38,'7d Success counts 1617'!H38)</f>
        <v>1273</v>
      </c>
      <c r="I40" s="80">
        <f>AVERAGE('7b. Success proj 1819'!I38,'7c. Success counts 1718'!I38,'7d Success counts 1617'!I38)</f>
        <v>1964</v>
      </c>
      <c r="J40" s="80">
        <f>AVERAGE('7b. Success proj 1819'!J38,'7c. Success counts 1718'!J38,'7d Success counts 1617'!J38)</f>
        <v>258</v>
      </c>
      <c r="K40" s="80">
        <f>AVERAGE('7b. Success proj 1819'!K38,'7c. Success counts 1718'!K38,'7d Success counts 1617'!K38)</f>
        <v>563</v>
      </c>
      <c r="L40" s="80">
        <f>AVERAGE('7b. Success proj 1819'!L38,'7c. Success counts 1718'!L38,'7d Success counts 1617'!L38)</f>
        <v>0</v>
      </c>
      <c r="M40" s="80">
        <f>AVERAGE('7b. Success proj 1819'!M38,'7c. Success counts 1718'!M38,'7d Success counts 1617'!M38)</f>
        <v>36</v>
      </c>
      <c r="N40" s="80">
        <f>AVERAGE('7b. Success proj 1819'!N38,'7c. Success counts 1718'!N38,'7d Success counts 1617'!N38)</f>
        <v>148</v>
      </c>
      <c r="O40" s="80">
        <f>AVERAGE('7b. Success proj 1819'!O38,'7c. Success counts 1718'!O38,'7d Success counts 1617'!O38)</f>
        <v>845</v>
      </c>
      <c r="P40" s="80">
        <f>AVERAGE('7b. Success proj 1819'!P38,'7c. Success counts 1718'!P38,'7d Success counts 1617'!P38)</f>
        <v>690</v>
      </c>
      <c r="Q40" s="80">
        <f>AVERAGE('7b. Success proj 1819'!Q38,'7c. Success counts 1718'!Q38,'7d Success counts 1617'!Q38)</f>
        <v>823</v>
      </c>
      <c r="R40" s="80">
        <f>AVERAGE('7b. Success proj 1819'!R38,'7c. Success counts 1718'!R38,'7d Success counts 1617'!R38)</f>
        <v>361</v>
      </c>
      <c r="S40" s="80">
        <f>AVERAGE('7b. Success proj 1819'!S38,'7c. Success counts 1718'!S38,'7d Success counts 1617'!S38)</f>
        <v>745</v>
      </c>
      <c r="T40" s="80">
        <f>AVERAGE('7b. Success proj 1819'!T38,'7c. Success counts 1718'!T38,'7d Success counts 1617'!T38)</f>
        <v>0</v>
      </c>
      <c r="U40" s="80">
        <f>AVERAGE('7b. Success proj 1819'!U38,'7c. Success counts 1718'!U38,'7d Success counts 1617'!U38)</f>
        <v>52</v>
      </c>
      <c r="V40" s="80">
        <f>AVERAGE('7b. Success proj 1819'!V38,'7c. Success counts 1718'!V38,'7d Success counts 1617'!V38)</f>
        <v>252</v>
      </c>
      <c r="W40" s="80">
        <f>AVERAGE('7b. Success proj 1819'!W38,'7c. Success counts 1718'!W38,'7d Success counts 1617'!W38)</f>
        <v>1134</v>
      </c>
      <c r="X40" s="80">
        <f>AVERAGE('7b. Success proj 1819'!X38,'7c. Success counts 1718'!X38,'7d Success counts 1617'!X38)</f>
        <v>954</v>
      </c>
      <c r="Y40" s="80">
        <f>AVERAGE('7b. Success proj 1819'!Y38,'7c. Success counts 1718'!Y38,'7d Success counts 1617'!Y38)</f>
        <v>1367</v>
      </c>
    </row>
    <row r="41" spans="1:25" x14ac:dyDescent="0.25">
      <c r="A41" s="170" t="s">
        <v>74</v>
      </c>
      <c r="B41" s="80">
        <f>AVERAGE('7b. Success proj 1819'!B39,'7c. Success counts 1718'!B39,'7d Success counts 1617'!B39)</f>
        <v>228</v>
      </c>
      <c r="C41" s="80">
        <f>AVERAGE('7b. Success proj 1819'!C39,'7c. Success counts 1718'!C39,'7d Success counts 1617'!C39)</f>
        <v>304</v>
      </c>
      <c r="D41" s="80">
        <f>AVERAGE('7b. Success proj 1819'!D39,'7c. Success counts 1718'!D39,'7d Success counts 1617'!D39)</f>
        <v>0</v>
      </c>
      <c r="E41" s="80">
        <f>AVERAGE('7b. Success proj 1819'!E39,'7c. Success counts 1718'!E39,'7d Success counts 1617'!E39)</f>
        <v>111</v>
      </c>
      <c r="F41" s="80">
        <f>AVERAGE('7b. Success proj 1819'!F39,'7c. Success counts 1718'!F39,'7d Success counts 1617'!F39)</f>
        <v>132</v>
      </c>
      <c r="G41" s="80">
        <f>AVERAGE('7b. Success proj 1819'!G39,'7c. Success counts 1718'!G39,'7d Success counts 1617'!G39)</f>
        <v>845</v>
      </c>
      <c r="H41" s="80">
        <f>AVERAGE('7b. Success proj 1819'!H39,'7c. Success counts 1718'!H39,'7d Success counts 1617'!H39)</f>
        <v>531</v>
      </c>
      <c r="I41" s="80">
        <f>AVERAGE('7b. Success proj 1819'!I39,'7c. Success counts 1718'!I39,'7d Success counts 1617'!I39)</f>
        <v>1050</v>
      </c>
      <c r="J41" s="80">
        <f>AVERAGE('7b. Success proj 1819'!J39,'7c. Success counts 1718'!J39,'7d Success counts 1617'!J39)</f>
        <v>110</v>
      </c>
      <c r="K41" s="80">
        <f>AVERAGE('7b. Success proj 1819'!K39,'7c. Success counts 1718'!K39,'7d Success counts 1617'!K39)</f>
        <v>133</v>
      </c>
      <c r="L41" s="80">
        <f>AVERAGE('7b. Success proj 1819'!L39,'7c. Success counts 1718'!L39,'7d Success counts 1617'!L39)</f>
        <v>0</v>
      </c>
      <c r="M41" s="80">
        <f>AVERAGE('7b. Success proj 1819'!M39,'7c. Success counts 1718'!M39,'7d Success counts 1617'!M39)</f>
        <v>34</v>
      </c>
      <c r="N41" s="80">
        <f>AVERAGE('7b. Success proj 1819'!N39,'7c. Success counts 1718'!N39,'7d Success counts 1617'!N39)</f>
        <v>47</v>
      </c>
      <c r="O41" s="80">
        <f>AVERAGE('7b. Success proj 1819'!O39,'7c. Success counts 1718'!O39,'7d Success counts 1617'!O39)</f>
        <v>288</v>
      </c>
      <c r="P41" s="80">
        <f>AVERAGE('7b. Success proj 1819'!P39,'7c. Success counts 1718'!P39,'7d Success counts 1617'!P39)</f>
        <v>229</v>
      </c>
      <c r="Q41" s="80">
        <f>AVERAGE('7b. Success proj 1819'!Q39,'7c. Success counts 1718'!Q39,'7d Success counts 1617'!Q39)</f>
        <v>237</v>
      </c>
      <c r="R41" s="80">
        <f>AVERAGE('7b. Success proj 1819'!R39,'7c. Success counts 1718'!R39,'7d Success counts 1617'!R39)</f>
        <v>172</v>
      </c>
      <c r="S41" s="80">
        <f>AVERAGE('7b. Success proj 1819'!S39,'7c. Success counts 1718'!S39,'7d Success counts 1617'!S39)</f>
        <v>218</v>
      </c>
      <c r="T41" s="80">
        <f>AVERAGE('7b. Success proj 1819'!T39,'7c. Success counts 1718'!T39,'7d Success counts 1617'!T39)</f>
        <v>0</v>
      </c>
      <c r="U41" s="80">
        <f>AVERAGE('7b. Success proj 1819'!U39,'7c. Success counts 1718'!U39,'7d Success counts 1617'!U39)</f>
        <v>73</v>
      </c>
      <c r="V41" s="80">
        <f>AVERAGE('7b. Success proj 1819'!V39,'7c. Success counts 1718'!V39,'7d Success counts 1617'!V39)</f>
        <v>79</v>
      </c>
      <c r="W41" s="80">
        <f>AVERAGE('7b. Success proj 1819'!W39,'7c. Success counts 1718'!W39,'7d Success counts 1617'!W39)</f>
        <v>505</v>
      </c>
      <c r="X41" s="80">
        <f>AVERAGE('7b. Success proj 1819'!X39,'7c. Success counts 1718'!X39,'7d Success counts 1617'!X39)</f>
        <v>352</v>
      </c>
      <c r="Y41" s="80">
        <f>AVERAGE('7b. Success proj 1819'!Y39,'7c. Success counts 1718'!Y39,'7d Success counts 1617'!Y39)</f>
        <v>458</v>
      </c>
    </row>
    <row r="42" spans="1:25" x14ac:dyDescent="0.25">
      <c r="A42" s="170" t="s">
        <v>75</v>
      </c>
      <c r="B42" s="80">
        <f>AVERAGE('7b. Success proj 1819'!B40,'7c. Success counts 1718'!B40,'7d Success counts 1617'!B40)</f>
        <v>1450</v>
      </c>
      <c r="C42" s="80">
        <f>AVERAGE('7b. Success proj 1819'!C40,'7c. Success counts 1718'!C40,'7d Success counts 1617'!C40)</f>
        <v>1362</v>
      </c>
      <c r="D42" s="80">
        <f>AVERAGE('7b. Success proj 1819'!D40,'7c. Success counts 1718'!D40,'7d Success counts 1617'!D40)</f>
        <v>4</v>
      </c>
      <c r="E42" s="80">
        <f>AVERAGE('7b. Success proj 1819'!E40,'7c. Success counts 1718'!E40,'7d Success counts 1617'!E40)</f>
        <v>361</v>
      </c>
      <c r="F42" s="80">
        <f>AVERAGE('7b. Success proj 1819'!F40,'7c. Success counts 1718'!F40,'7d Success counts 1617'!F40)</f>
        <v>774</v>
      </c>
      <c r="G42" s="80">
        <f>AVERAGE('7b. Success proj 1819'!G40,'7c. Success counts 1718'!G40,'7d Success counts 1617'!G40)</f>
        <v>4770</v>
      </c>
      <c r="H42" s="80">
        <f>AVERAGE('7b. Success proj 1819'!H40,'7c. Success counts 1718'!H40,'7d Success counts 1617'!H40)</f>
        <v>3546</v>
      </c>
      <c r="I42" s="80">
        <f>AVERAGE('7b. Success proj 1819'!I40,'7c. Success counts 1718'!I40,'7d Success counts 1617'!I40)</f>
        <v>3477</v>
      </c>
      <c r="J42" s="80">
        <f>AVERAGE('7b. Success proj 1819'!J40,'7c. Success counts 1718'!J40,'7d Success counts 1617'!J40)</f>
        <v>783</v>
      </c>
      <c r="K42" s="80">
        <f>AVERAGE('7b. Success proj 1819'!K40,'7c. Success counts 1718'!K40,'7d Success counts 1617'!K40)</f>
        <v>709</v>
      </c>
      <c r="L42" s="80">
        <f>AVERAGE('7b. Success proj 1819'!L40,'7c. Success counts 1718'!L40,'7d Success counts 1617'!L40)</f>
        <v>1</v>
      </c>
      <c r="M42" s="80">
        <f>AVERAGE('7b. Success proj 1819'!M40,'7c. Success counts 1718'!M40,'7d Success counts 1617'!M40)</f>
        <v>157</v>
      </c>
      <c r="N42" s="80">
        <f>AVERAGE('7b. Success proj 1819'!N40,'7c. Success counts 1718'!N40,'7d Success counts 1617'!N40)</f>
        <v>267</v>
      </c>
      <c r="O42" s="80">
        <f>AVERAGE('7b. Success proj 1819'!O40,'7c. Success counts 1718'!O40,'7d Success counts 1617'!O40)</f>
        <v>2072</v>
      </c>
      <c r="P42" s="80">
        <f>AVERAGE('7b. Success proj 1819'!P40,'7c. Success counts 1718'!P40,'7d Success counts 1617'!P40)</f>
        <v>1591</v>
      </c>
      <c r="Q42" s="80">
        <f>AVERAGE('7b. Success proj 1819'!Q40,'7c. Success counts 1718'!Q40,'7d Success counts 1617'!Q40)</f>
        <v>746</v>
      </c>
      <c r="R42" s="80">
        <f>AVERAGE('7b. Success proj 1819'!R40,'7c. Success counts 1718'!R40,'7d Success counts 1617'!R40)</f>
        <v>1108</v>
      </c>
      <c r="S42" s="80">
        <f>AVERAGE('7b. Success proj 1819'!S40,'7c. Success counts 1718'!S40,'7d Success counts 1617'!S40)</f>
        <v>1027</v>
      </c>
      <c r="T42" s="80">
        <f>AVERAGE('7b. Success proj 1819'!T40,'7c. Success counts 1718'!T40,'7d Success counts 1617'!T40)</f>
        <v>3</v>
      </c>
      <c r="U42" s="80">
        <f>AVERAGE('7b. Success proj 1819'!U40,'7c. Success counts 1718'!U40,'7d Success counts 1617'!U40)</f>
        <v>261</v>
      </c>
      <c r="V42" s="80">
        <f>AVERAGE('7b. Success proj 1819'!V40,'7c. Success counts 1718'!V40,'7d Success counts 1617'!V40)</f>
        <v>415</v>
      </c>
      <c r="W42" s="80">
        <f>AVERAGE('7b. Success proj 1819'!W40,'7c. Success counts 1718'!W40,'7d Success counts 1617'!W40)</f>
        <v>3327</v>
      </c>
      <c r="X42" s="80">
        <f>AVERAGE('7b. Success proj 1819'!X40,'7c. Success counts 1718'!X40,'7d Success counts 1617'!X40)</f>
        <v>2430</v>
      </c>
      <c r="Y42" s="80">
        <f>AVERAGE('7b. Success proj 1819'!Y40,'7c. Success counts 1718'!Y40,'7d Success counts 1617'!Y40)</f>
        <v>1543</v>
      </c>
    </row>
    <row r="43" spans="1:25" x14ac:dyDescent="0.25">
      <c r="A43" s="170" t="s">
        <v>76</v>
      </c>
      <c r="B43" s="80">
        <f>AVERAGE('7b. Success proj 1819'!B41,'7c. Success counts 1718'!B41,'7d Success counts 1617'!B41)</f>
        <v>253</v>
      </c>
      <c r="C43" s="80">
        <f>AVERAGE('7b. Success proj 1819'!C41,'7c. Success counts 1718'!C41,'7d Success counts 1617'!C41)</f>
        <v>381</v>
      </c>
      <c r="D43" s="80">
        <f>AVERAGE('7b. Success proj 1819'!D41,'7c. Success counts 1718'!D41,'7d Success counts 1617'!D41)</f>
        <v>0</v>
      </c>
      <c r="E43" s="80">
        <f>AVERAGE('7b. Success proj 1819'!E41,'7c. Success counts 1718'!E41,'7d Success counts 1617'!E41)</f>
        <v>7</v>
      </c>
      <c r="F43" s="80">
        <f>AVERAGE('7b. Success proj 1819'!F41,'7c. Success counts 1718'!F41,'7d Success counts 1617'!F41)</f>
        <v>240</v>
      </c>
      <c r="G43" s="80">
        <f>AVERAGE('7b. Success proj 1819'!G41,'7c. Success counts 1718'!G41,'7d Success counts 1617'!G41)</f>
        <v>905</v>
      </c>
      <c r="H43" s="80">
        <f>AVERAGE('7b. Success proj 1819'!H41,'7c. Success counts 1718'!H41,'7d Success counts 1617'!H41)</f>
        <v>1285</v>
      </c>
      <c r="I43" s="80">
        <f>AVERAGE('7b. Success proj 1819'!I41,'7c. Success counts 1718'!I41,'7d Success counts 1617'!I41)</f>
        <v>1520</v>
      </c>
      <c r="J43" s="80">
        <f>AVERAGE('7b. Success proj 1819'!J41,'7c. Success counts 1718'!J41,'7d Success counts 1617'!J41)</f>
        <v>98</v>
      </c>
      <c r="K43" s="80">
        <f>AVERAGE('7b. Success proj 1819'!K41,'7c. Success counts 1718'!K41,'7d Success counts 1617'!K41)</f>
        <v>123</v>
      </c>
      <c r="L43" s="80">
        <f>AVERAGE('7b. Success proj 1819'!L41,'7c. Success counts 1718'!L41,'7d Success counts 1617'!L41)</f>
        <v>0</v>
      </c>
      <c r="M43" s="80">
        <f>AVERAGE('7b. Success proj 1819'!M41,'7c. Success counts 1718'!M41,'7d Success counts 1617'!M41)</f>
        <v>2</v>
      </c>
      <c r="N43" s="80">
        <f>AVERAGE('7b. Success proj 1819'!N41,'7c. Success counts 1718'!N41,'7d Success counts 1617'!N41)</f>
        <v>60</v>
      </c>
      <c r="O43" s="80">
        <f>AVERAGE('7b. Success proj 1819'!O41,'7c. Success counts 1718'!O41,'7d Success counts 1617'!O41)</f>
        <v>239</v>
      </c>
      <c r="P43" s="80">
        <f>AVERAGE('7b. Success proj 1819'!P41,'7c. Success counts 1718'!P41,'7d Success counts 1617'!P41)</f>
        <v>298</v>
      </c>
      <c r="Q43" s="80">
        <f>AVERAGE('7b. Success proj 1819'!Q41,'7c. Success counts 1718'!Q41,'7d Success counts 1617'!Q41)</f>
        <v>116</v>
      </c>
      <c r="R43" s="80">
        <f>AVERAGE('7b. Success proj 1819'!R41,'7c. Success counts 1718'!R41,'7d Success counts 1617'!R41)</f>
        <v>150</v>
      </c>
      <c r="S43" s="80">
        <f>AVERAGE('7b. Success proj 1819'!S41,'7c. Success counts 1718'!S41,'7d Success counts 1617'!S41)</f>
        <v>213</v>
      </c>
      <c r="T43" s="80">
        <f>AVERAGE('7b. Success proj 1819'!T41,'7c. Success counts 1718'!T41,'7d Success counts 1617'!T41)</f>
        <v>0</v>
      </c>
      <c r="U43" s="80">
        <f>AVERAGE('7b. Success proj 1819'!U41,'7c. Success counts 1718'!U41,'7d Success counts 1617'!U41)</f>
        <v>7</v>
      </c>
      <c r="V43" s="80">
        <f>AVERAGE('7b. Success proj 1819'!V41,'7c. Success counts 1718'!V41,'7d Success counts 1617'!V41)</f>
        <v>97</v>
      </c>
      <c r="W43" s="80">
        <f>AVERAGE('7b. Success proj 1819'!W41,'7c. Success counts 1718'!W41,'7d Success counts 1617'!W41)</f>
        <v>398</v>
      </c>
      <c r="X43" s="80">
        <f>AVERAGE('7b. Success proj 1819'!X41,'7c. Success counts 1718'!X41,'7d Success counts 1617'!X41)</f>
        <v>485</v>
      </c>
      <c r="Y43" s="80">
        <f>AVERAGE('7b. Success proj 1819'!Y41,'7c. Success counts 1718'!Y41,'7d Success counts 1617'!Y41)</f>
        <v>259</v>
      </c>
    </row>
    <row r="44" spans="1:25" x14ac:dyDescent="0.25">
      <c r="A44" s="170" t="s">
        <v>77</v>
      </c>
      <c r="B44" s="80">
        <f>AVERAGE('7b. Success proj 1819'!B42,'7c. Success counts 1718'!B42,'7d Success counts 1617'!B42)</f>
        <v>7</v>
      </c>
      <c r="C44" s="80">
        <f>AVERAGE('7b. Success proj 1819'!C42,'7c. Success counts 1718'!C42,'7d Success counts 1617'!C42)</f>
        <v>93</v>
      </c>
      <c r="D44" s="80">
        <f>AVERAGE('7b. Success proj 1819'!D42,'7c. Success counts 1718'!D42,'7d Success counts 1617'!D42)</f>
        <v>0</v>
      </c>
      <c r="E44" s="80">
        <f>AVERAGE('7b. Success proj 1819'!E42,'7c. Success counts 1718'!E42,'7d Success counts 1617'!E42)</f>
        <v>28</v>
      </c>
      <c r="F44" s="80">
        <f>AVERAGE('7b. Success proj 1819'!F42,'7c. Success counts 1718'!F42,'7d Success counts 1617'!F42)</f>
        <v>2</v>
      </c>
      <c r="G44" s="80">
        <f>AVERAGE('7b. Success proj 1819'!G42,'7c. Success counts 1718'!G42,'7d Success counts 1617'!G42)</f>
        <v>738</v>
      </c>
      <c r="H44" s="80">
        <f>AVERAGE('7b. Success proj 1819'!H42,'7c. Success counts 1718'!H42,'7d Success counts 1617'!H42)</f>
        <v>45</v>
      </c>
      <c r="I44" s="80">
        <f>AVERAGE('7b. Success proj 1819'!I42,'7c. Success counts 1718'!I42,'7d Success counts 1617'!I42)</f>
        <v>542</v>
      </c>
      <c r="J44" s="80">
        <f>AVERAGE('7b. Success proj 1819'!J42,'7c. Success counts 1718'!J42,'7d Success counts 1617'!J42)</f>
        <v>3</v>
      </c>
      <c r="K44" s="80">
        <f>AVERAGE('7b. Success proj 1819'!K42,'7c. Success counts 1718'!K42,'7d Success counts 1617'!K42)</f>
        <v>26</v>
      </c>
      <c r="L44" s="80">
        <f>AVERAGE('7b. Success proj 1819'!L42,'7c. Success counts 1718'!L42,'7d Success counts 1617'!L42)</f>
        <v>0</v>
      </c>
      <c r="M44" s="80">
        <f>AVERAGE('7b. Success proj 1819'!M42,'7c. Success counts 1718'!M42,'7d Success counts 1617'!M42)</f>
        <v>7</v>
      </c>
      <c r="N44" s="80">
        <f>AVERAGE('7b. Success proj 1819'!N42,'7c. Success counts 1718'!N42,'7d Success counts 1617'!N42)</f>
        <v>2</v>
      </c>
      <c r="O44" s="80">
        <f>AVERAGE('7b. Success proj 1819'!O42,'7c. Success counts 1718'!O42,'7d Success counts 1617'!O42)</f>
        <v>84</v>
      </c>
      <c r="P44" s="80">
        <f>AVERAGE('7b. Success proj 1819'!P42,'7c. Success counts 1718'!P42,'7d Success counts 1617'!P42)</f>
        <v>18</v>
      </c>
      <c r="Q44" s="80">
        <f>AVERAGE('7b. Success proj 1819'!Q42,'7c. Success counts 1718'!Q42,'7d Success counts 1617'!Q42)</f>
        <v>44</v>
      </c>
      <c r="R44" s="80">
        <f>AVERAGE('7b. Success proj 1819'!R42,'7c. Success counts 1718'!R42,'7d Success counts 1617'!R42)</f>
        <v>7</v>
      </c>
      <c r="S44" s="80">
        <f>AVERAGE('7b. Success proj 1819'!S42,'7c. Success counts 1718'!S42,'7d Success counts 1617'!S42)</f>
        <v>85</v>
      </c>
      <c r="T44" s="80">
        <f>AVERAGE('7b. Success proj 1819'!T42,'7c. Success counts 1718'!T42,'7d Success counts 1617'!T42)</f>
        <v>0</v>
      </c>
      <c r="U44" s="80">
        <f>AVERAGE('7b. Success proj 1819'!U42,'7c. Success counts 1718'!U42,'7d Success counts 1617'!U42)</f>
        <v>10</v>
      </c>
      <c r="V44" s="80">
        <f>AVERAGE('7b. Success proj 1819'!V42,'7c. Success counts 1718'!V42,'7d Success counts 1617'!V42)</f>
        <v>2</v>
      </c>
      <c r="W44" s="80">
        <f>AVERAGE('7b. Success proj 1819'!W42,'7c. Success counts 1718'!W42,'7d Success counts 1617'!W42)</f>
        <v>430</v>
      </c>
      <c r="X44" s="80">
        <f>AVERAGE('7b. Success proj 1819'!X42,'7c. Success counts 1718'!X42,'7d Success counts 1617'!X42)</f>
        <v>34</v>
      </c>
      <c r="Y44" s="80">
        <f>AVERAGE('7b. Success proj 1819'!Y42,'7c. Success counts 1718'!Y42,'7d Success counts 1617'!Y42)</f>
        <v>151</v>
      </c>
    </row>
    <row r="45" spans="1:25" x14ac:dyDescent="0.25">
      <c r="A45" s="170" t="s">
        <v>78</v>
      </c>
      <c r="B45" s="80">
        <f>AVERAGE('7b. Success proj 1819'!B43,'7c. Success counts 1718'!B43,'7d Success counts 1617'!B43)</f>
        <v>418</v>
      </c>
      <c r="C45" s="80">
        <f>AVERAGE('7b. Success proj 1819'!C43,'7c. Success counts 1718'!C43,'7d Success counts 1617'!C43)</f>
        <v>1027</v>
      </c>
      <c r="D45" s="80">
        <f>AVERAGE('7b. Success proj 1819'!D43,'7c. Success counts 1718'!D43,'7d Success counts 1617'!D43)</f>
        <v>0</v>
      </c>
      <c r="E45" s="80">
        <f>AVERAGE('7b. Success proj 1819'!E43,'7c. Success counts 1718'!E43,'7d Success counts 1617'!E43)</f>
        <v>479</v>
      </c>
      <c r="F45" s="80">
        <f>AVERAGE('7b. Success proj 1819'!F43,'7c. Success counts 1718'!F43,'7d Success counts 1617'!F43)</f>
        <v>367</v>
      </c>
      <c r="G45" s="80">
        <f>AVERAGE('7b. Success proj 1819'!G43,'7c. Success counts 1718'!G43,'7d Success counts 1617'!G43)</f>
        <v>3432</v>
      </c>
      <c r="H45" s="80">
        <f>AVERAGE('7b. Success proj 1819'!H43,'7c. Success counts 1718'!H43,'7d Success counts 1617'!H43)</f>
        <v>2352</v>
      </c>
      <c r="I45" s="80">
        <f>AVERAGE('7b. Success proj 1819'!I43,'7c. Success counts 1718'!I43,'7d Success counts 1617'!I43)</f>
        <v>2515</v>
      </c>
      <c r="J45" s="80">
        <f>AVERAGE('7b. Success proj 1819'!J43,'7c. Success counts 1718'!J43,'7d Success counts 1617'!J43)</f>
        <v>172</v>
      </c>
      <c r="K45" s="80">
        <f>AVERAGE('7b. Success proj 1819'!K43,'7c. Success counts 1718'!K43,'7d Success counts 1617'!K43)</f>
        <v>412</v>
      </c>
      <c r="L45" s="80">
        <f>AVERAGE('7b. Success proj 1819'!L43,'7c. Success counts 1718'!L43,'7d Success counts 1617'!L43)</f>
        <v>0</v>
      </c>
      <c r="M45" s="80">
        <f>AVERAGE('7b. Success proj 1819'!M43,'7c. Success counts 1718'!M43,'7d Success counts 1617'!M43)</f>
        <v>138</v>
      </c>
      <c r="N45" s="80">
        <f>AVERAGE('7b. Success proj 1819'!N43,'7c. Success counts 1718'!N43,'7d Success counts 1617'!N43)</f>
        <v>124</v>
      </c>
      <c r="O45" s="80">
        <f>AVERAGE('7b. Success proj 1819'!O43,'7c. Success counts 1718'!O43,'7d Success counts 1617'!O43)</f>
        <v>971</v>
      </c>
      <c r="P45" s="80">
        <f>AVERAGE('7b. Success proj 1819'!P43,'7c. Success counts 1718'!P43,'7d Success counts 1617'!P43)</f>
        <v>698</v>
      </c>
      <c r="Q45" s="80">
        <f>AVERAGE('7b. Success proj 1819'!Q43,'7c. Success counts 1718'!Q43,'7d Success counts 1617'!Q43)</f>
        <v>419</v>
      </c>
      <c r="R45" s="80">
        <f>AVERAGE('7b. Success proj 1819'!R43,'7c. Success counts 1718'!R43,'7d Success counts 1617'!R43)</f>
        <v>268</v>
      </c>
      <c r="S45" s="80">
        <f>AVERAGE('7b. Success proj 1819'!S43,'7c. Success counts 1718'!S43,'7d Success counts 1617'!S43)</f>
        <v>681</v>
      </c>
      <c r="T45" s="80">
        <f>AVERAGE('7b. Success proj 1819'!T43,'7c. Success counts 1718'!T43,'7d Success counts 1617'!T43)</f>
        <v>0</v>
      </c>
      <c r="U45" s="80">
        <f>AVERAGE('7b. Success proj 1819'!U43,'7c. Success counts 1718'!U43,'7d Success counts 1617'!U43)</f>
        <v>239</v>
      </c>
      <c r="V45" s="80">
        <f>AVERAGE('7b. Success proj 1819'!V43,'7c. Success counts 1718'!V43,'7d Success counts 1617'!V43)</f>
        <v>196</v>
      </c>
      <c r="W45" s="80">
        <f>AVERAGE('7b. Success proj 1819'!W43,'7c. Success counts 1718'!W43,'7d Success counts 1617'!W43)</f>
        <v>1735</v>
      </c>
      <c r="X45" s="80">
        <f>AVERAGE('7b. Success proj 1819'!X43,'7c. Success counts 1718'!X43,'7d Success counts 1617'!X43)</f>
        <v>1292</v>
      </c>
      <c r="Y45" s="80">
        <f>AVERAGE('7b. Success proj 1819'!Y43,'7c. Success counts 1718'!Y43,'7d Success counts 1617'!Y43)</f>
        <v>1018</v>
      </c>
    </row>
    <row r="46" spans="1:25" x14ac:dyDescent="0.25">
      <c r="A46" s="170" t="s">
        <v>79</v>
      </c>
      <c r="B46" s="80">
        <f>AVERAGE('7b. Success proj 1819'!B44,'7c. Success counts 1718'!B44,'7d Success counts 1617'!B44)</f>
        <v>1143</v>
      </c>
      <c r="C46" s="80">
        <f>AVERAGE('7b. Success proj 1819'!C44,'7c. Success counts 1718'!C44,'7d Success counts 1617'!C44)</f>
        <v>1256</v>
      </c>
      <c r="D46" s="80">
        <f>AVERAGE('7b. Success proj 1819'!D44,'7c. Success counts 1718'!D44,'7d Success counts 1617'!D44)</f>
        <v>0</v>
      </c>
      <c r="E46" s="80">
        <f>AVERAGE('7b. Success proj 1819'!E44,'7c. Success counts 1718'!E44,'7d Success counts 1617'!E44)</f>
        <v>235</v>
      </c>
      <c r="F46" s="80">
        <f>AVERAGE('7b. Success proj 1819'!F44,'7c. Success counts 1718'!F44,'7d Success counts 1617'!F44)</f>
        <v>860</v>
      </c>
      <c r="G46" s="80">
        <f>AVERAGE('7b. Success proj 1819'!G44,'7c. Success counts 1718'!G44,'7d Success counts 1617'!G44)</f>
        <v>3092</v>
      </c>
      <c r="H46" s="80">
        <f>AVERAGE('7b. Success proj 1819'!H44,'7c. Success counts 1718'!H44,'7d Success counts 1617'!H44)</f>
        <v>3147</v>
      </c>
      <c r="I46" s="80">
        <f>AVERAGE('7b. Success proj 1819'!I44,'7c. Success counts 1718'!I44,'7d Success counts 1617'!I44)</f>
        <v>2345</v>
      </c>
      <c r="J46" s="80">
        <f>AVERAGE('7b. Success proj 1819'!J44,'7c. Success counts 1718'!J44,'7d Success counts 1617'!J44)</f>
        <v>690</v>
      </c>
      <c r="K46" s="80">
        <f>AVERAGE('7b. Success proj 1819'!K44,'7c. Success counts 1718'!K44,'7d Success counts 1617'!K44)</f>
        <v>603</v>
      </c>
      <c r="L46" s="80">
        <f>AVERAGE('7b. Success proj 1819'!L44,'7c. Success counts 1718'!L44,'7d Success counts 1617'!L44)</f>
        <v>0</v>
      </c>
      <c r="M46" s="80">
        <f>AVERAGE('7b. Success proj 1819'!M44,'7c. Success counts 1718'!M44,'7d Success counts 1617'!M44)</f>
        <v>103</v>
      </c>
      <c r="N46" s="80">
        <f>AVERAGE('7b. Success proj 1819'!N44,'7c. Success counts 1718'!N44,'7d Success counts 1617'!N44)</f>
        <v>360</v>
      </c>
      <c r="O46" s="80">
        <f>AVERAGE('7b. Success proj 1819'!O44,'7c. Success counts 1718'!O44,'7d Success counts 1617'!O44)</f>
        <v>1396</v>
      </c>
      <c r="P46" s="80">
        <f>AVERAGE('7b. Success proj 1819'!P44,'7c. Success counts 1718'!P44,'7d Success counts 1617'!P44)</f>
        <v>1652</v>
      </c>
      <c r="Q46" s="80">
        <f>AVERAGE('7b. Success proj 1819'!Q44,'7c. Success counts 1718'!Q44,'7d Success counts 1617'!Q44)</f>
        <v>649</v>
      </c>
      <c r="R46" s="80">
        <f>AVERAGE('7b. Success proj 1819'!R44,'7c. Success counts 1718'!R44,'7d Success counts 1617'!R44)</f>
        <v>898</v>
      </c>
      <c r="S46" s="80">
        <f>AVERAGE('7b. Success proj 1819'!S44,'7c. Success counts 1718'!S44,'7d Success counts 1617'!S44)</f>
        <v>862</v>
      </c>
      <c r="T46" s="80">
        <f>AVERAGE('7b. Success proj 1819'!T44,'7c. Success counts 1718'!T44,'7d Success counts 1617'!T44)</f>
        <v>0</v>
      </c>
      <c r="U46" s="80">
        <f>AVERAGE('7b. Success proj 1819'!U44,'7c. Success counts 1718'!U44,'7d Success counts 1617'!U44)</f>
        <v>172</v>
      </c>
      <c r="V46" s="80">
        <f>AVERAGE('7b. Success proj 1819'!V44,'7c. Success counts 1718'!V44,'7d Success counts 1617'!V44)</f>
        <v>501</v>
      </c>
      <c r="W46" s="80">
        <f>AVERAGE('7b. Success proj 1819'!W44,'7c. Success counts 1718'!W44,'7d Success counts 1617'!W44)</f>
        <v>2141</v>
      </c>
      <c r="X46" s="80">
        <f>AVERAGE('7b. Success proj 1819'!X44,'7c. Success counts 1718'!X44,'7d Success counts 1617'!X44)</f>
        <v>2259</v>
      </c>
      <c r="Y46" s="80">
        <f>AVERAGE('7b. Success proj 1819'!Y44,'7c. Success counts 1718'!Y44,'7d Success counts 1617'!Y44)</f>
        <v>1243</v>
      </c>
    </row>
    <row r="47" spans="1:25" x14ac:dyDescent="0.25">
      <c r="A47" s="170" t="s">
        <v>80</v>
      </c>
      <c r="B47" s="80">
        <f>AVERAGE('7b. Success proj 1819'!B45,'7c. Success counts 1718'!B45,'7d Success counts 1617'!B45)</f>
        <v>518</v>
      </c>
      <c r="C47" s="80">
        <f>AVERAGE('7b. Success proj 1819'!C45,'7c. Success counts 1718'!C45,'7d Success counts 1617'!C45)</f>
        <v>868</v>
      </c>
      <c r="D47" s="80">
        <f>AVERAGE('7b. Success proj 1819'!D45,'7c. Success counts 1718'!D45,'7d Success counts 1617'!D45)</f>
        <v>0</v>
      </c>
      <c r="E47" s="80">
        <f>AVERAGE('7b. Success proj 1819'!E45,'7c. Success counts 1718'!E45,'7d Success counts 1617'!E45)</f>
        <v>338</v>
      </c>
      <c r="F47" s="80">
        <f>AVERAGE('7b. Success proj 1819'!F45,'7c. Success counts 1718'!F45,'7d Success counts 1617'!F45)</f>
        <v>241</v>
      </c>
      <c r="G47" s="80">
        <f>AVERAGE('7b. Success proj 1819'!G45,'7c. Success counts 1718'!G45,'7d Success counts 1617'!G45)</f>
        <v>2758</v>
      </c>
      <c r="H47" s="80">
        <f>AVERAGE('7b. Success proj 1819'!H45,'7c. Success counts 1718'!H45,'7d Success counts 1617'!H45)</f>
        <v>2234</v>
      </c>
      <c r="I47" s="80">
        <f>AVERAGE('7b. Success proj 1819'!I45,'7c. Success counts 1718'!I45,'7d Success counts 1617'!I45)</f>
        <v>2715</v>
      </c>
      <c r="J47" s="80">
        <f>AVERAGE('7b. Success proj 1819'!J45,'7c. Success counts 1718'!J45,'7d Success counts 1617'!J45)</f>
        <v>302</v>
      </c>
      <c r="K47" s="80">
        <f>AVERAGE('7b. Success proj 1819'!K45,'7c. Success counts 1718'!K45,'7d Success counts 1617'!K45)</f>
        <v>492</v>
      </c>
      <c r="L47" s="80">
        <f>AVERAGE('7b. Success proj 1819'!L45,'7c. Success counts 1718'!L45,'7d Success counts 1617'!L45)</f>
        <v>0</v>
      </c>
      <c r="M47" s="80">
        <f>AVERAGE('7b. Success proj 1819'!M45,'7c. Success counts 1718'!M45,'7d Success counts 1617'!M45)</f>
        <v>169</v>
      </c>
      <c r="N47" s="80">
        <f>AVERAGE('7b. Success proj 1819'!N45,'7c. Success counts 1718'!N45,'7d Success counts 1617'!N45)</f>
        <v>96</v>
      </c>
      <c r="O47" s="80">
        <f>AVERAGE('7b. Success proj 1819'!O45,'7c. Success counts 1718'!O45,'7d Success counts 1617'!O45)</f>
        <v>1246</v>
      </c>
      <c r="P47" s="80">
        <f>AVERAGE('7b. Success proj 1819'!P45,'7c. Success counts 1718'!P45,'7d Success counts 1617'!P45)</f>
        <v>891</v>
      </c>
      <c r="Q47" s="80">
        <f>AVERAGE('7b. Success proj 1819'!Q45,'7c. Success counts 1718'!Q45,'7d Success counts 1617'!Q45)</f>
        <v>602</v>
      </c>
      <c r="R47" s="80">
        <f>AVERAGE('7b. Success proj 1819'!R45,'7c. Success counts 1718'!R45,'7d Success counts 1617'!R45)</f>
        <v>393</v>
      </c>
      <c r="S47" s="80">
        <f>AVERAGE('7b. Success proj 1819'!S45,'7c. Success counts 1718'!S45,'7d Success counts 1617'!S45)</f>
        <v>635</v>
      </c>
      <c r="T47" s="80">
        <f>AVERAGE('7b. Success proj 1819'!T45,'7c. Success counts 1718'!T45,'7d Success counts 1617'!T45)</f>
        <v>0</v>
      </c>
      <c r="U47" s="80">
        <f>AVERAGE('7b. Success proj 1819'!U45,'7c. Success counts 1718'!U45,'7d Success counts 1617'!U45)</f>
        <v>241</v>
      </c>
      <c r="V47" s="80">
        <f>AVERAGE('7b. Success proj 1819'!V45,'7c. Success counts 1718'!V45,'7d Success counts 1617'!V45)</f>
        <v>123</v>
      </c>
      <c r="W47" s="80">
        <f>AVERAGE('7b. Success proj 1819'!W45,'7c. Success counts 1718'!W45,'7d Success counts 1617'!W45)</f>
        <v>1829</v>
      </c>
      <c r="X47" s="80">
        <f>AVERAGE('7b. Success proj 1819'!X45,'7c. Success counts 1718'!X45,'7d Success counts 1617'!X45)</f>
        <v>1315</v>
      </c>
      <c r="Y47" s="80">
        <f>AVERAGE('7b. Success proj 1819'!Y45,'7c. Success counts 1718'!Y45,'7d Success counts 1617'!Y45)</f>
        <v>1139</v>
      </c>
    </row>
    <row r="48" spans="1:25" x14ac:dyDescent="0.25">
      <c r="A48" s="170" t="s">
        <v>81</v>
      </c>
      <c r="B48" s="80">
        <f>AVERAGE('7b. Success proj 1819'!B46,'7c. Success counts 1718'!B46,'7d Success counts 1617'!B46)</f>
        <v>1126</v>
      </c>
      <c r="C48" s="80">
        <f>AVERAGE('7b. Success proj 1819'!C46,'7c. Success counts 1718'!C46,'7d Success counts 1617'!C46)</f>
        <v>1450</v>
      </c>
      <c r="D48" s="80">
        <f>AVERAGE('7b. Success proj 1819'!D46,'7c. Success counts 1718'!D46,'7d Success counts 1617'!D46)</f>
        <v>0</v>
      </c>
      <c r="E48" s="80">
        <f>AVERAGE('7b. Success proj 1819'!E46,'7c. Success counts 1718'!E46,'7d Success counts 1617'!E46)</f>
        <v>341</v>
      </c>
      <c r="F48" s="80">
        <f>AVERAGE('7b. Success proj 1819'!F46,'7c. Success counts 1718'!F46,'7d Success counts 1617'!F46)</f>
        <v>747</v>
      </c>
      <c r="G48" s="80">
        <f>AVERAGE('7b. Success proj 1819'!G46,'7c. Success counts 1718'!G46,'7d Success counts 1617'!G46)</f>
        <v>3907</v>
      </c>
      <c r="H48" s="80">
        <f>AVERAGE('7b. Success proj 1819'!H46,'7c. Success counts 1718'!H46,'7d Success counts 1617'!H46)</f>
        <v>2415</v>
      </c>
      <c r="I48" s="80">
        <f>AVERAGE('7b. Success proj 1819'!I46,'7c. Success counts 1718'!I46,'7d Success counts 1617'!I46)</f>
        <v>6793</v>
      </c>
      <c r="J48" s="80">
        <f>AVERAGE('7b. Success proj 1819'!J46,'7c. Success counts 1718'!J46,'7d Success counts 1617'!J46)</f>
        <v>536</v>
      </c>
      <c r="K48" s="80">
        <f>AVERAGE('7b. Success proj 1819'!K46,'7c. Success counts 1718'!K46,'7d Success counts 1617'!K46)</f>
        <v>627</v>
      </c>
      <c r="L48" s="80">
        <f>AVERAGE('7b. Success proj 1819'!L46,'7c. Success counts 1718'!L46,'7d Success counts 1617'!L46)</f>
        <v>0</v>
      </c>
      <c r="M48" s="80">
        <f>AVERAGE('7b. Success proj 1819'!M46,'7c. Success counts 1718'!M46,'7d Success counts 1617'!M46)</f>
        <v>132</v>
      </c>
      <c r="N48" s="80">
        <f>AVERAGE('7b. Success proj 1819'!N46,'7c. Success counts 1718'!N46,'7d Success counts 1617'!N46)</f>
        <v>285</v>
      </c>
      <c r="O48" s="80">
        <f>AVERAGE('7b. Success proj 1819'!O46,'7c. Success counts 1718'!O46,'7d Success counts 1617'!O46)</f>
        <v>1068</v>
      </c>
      <c r="P48" s="80">
        <f>AVERAGE('7b. Success proj 1819'!P46,'7c. Success counts 1718'!P46,'7d Success counts 1617'!P46)</f>
        <v>918</v>
      </c>
      <c r="Q48" s="80">
        <f>AVERAGE('7b. Success proj 1819'!Q46,'7c. Success counts 1718'!Q46,'7d Success counts 1617'!Q46)</f>
        <v>444</v>
      </c>
      <c r="R48" s="80">
        <f>AVERAGE('7b. Success proj 1819'!R46,'7c. Success counts 1718'!R46,'7d Success counts 1617'!R46)</f>
        <v>800</v>
      </c>
      <c r="S48" s="80">
        <f>AVERAGE('7b. Success proj 1819'!S46,'7c. Success counts 1718'!S46,'7d Success counts 1617'!S46)</f>
        <v>1062</v>
      </c>
      <c r="T48" s="80">
        <f>AVERAGE('7b. Success proj 1819'!T46,'7c. Success counts 1718'!T46,'7d Success counts 1617'!T46)</f>
        <v>0</v>
      </c>
      <c r="U48" s="80">
        <f>AVERAGE('7b. Success proj 1819'!U46,'7c. Success counts 1718'!U46,'7d Success counts 1617'!U46)</f>
        <v>242</v>
      </c>
      <c r="V48" s="80">
        <f>AVERAGE('7b. Success proj 1819'!V46,'7c. Success counts 1718'!V46,'7d Success counts 1617'!V46)</f>
        <v>446</v>
      </c>
      <c r="W48" s="80">
        <f>AVERAGE('7b. Success proj 1819'!W46,'7c. Success counts 1718'!W46,'7d Success counts 1617'!W46)</f>
        <v>2157</v>
      </c>
      <c r="X48" s="80">
        <f>AVERAGE('7b. Success proj 1819'!X46,'7c. Success counts 1718'!X46,'7d Success counts 1617'!X46)</f>
        <v>1525</v>
      </c>
      <c r="Y48" s="80">
        <f>AVERAGE('7b. Success proj 1819'!Y46,'7c. Success counts 1718'!Y46,'7d Success counts 1617'!Y46)</f>
        <v>1336</v>
      </c>
    </row>
    <row r="49" spans="1:25" x14ac:dyDescent="0.25">
      <c r="A49" s="170" t="s">
        <v>82</v>
      </c>
      <c r="B49" s="80">
        <f>AVERAGE('7b. Success proj 1819'!B47,'7c. Success counts 1718'!B47,'7d Success counts 1617'!B47)</f>
        <v>72</v>
      </c>
      <c r="C49" s="80">
        <f>AVERAGE('7b. Success proj 1819'!C47,'7c. Success counts 1718'!C47,'7d Success counts 1617'!C47)</f>
        <v>339</v>
      </c>
      <c r="D49" s="80">
        <f>AVERAGE('7b. Success proj 1819'!D47,'7c. Success counts 1718'!D47,'7d Success counts 1617'!D47)</f>
        <v>0</v>
      </c>
      <c r="E49" s="80">
        <f>AVERAGE('7b. Success proj 1819'!E47,'7c. Success counts 1718'!E47,'7d Success counts 1617'!E47)</f>
        <v>88</v>
      </c>
      <c r="F49" s="80">
        <f>AVERAGE('7b. Success proj 1819'!F47,'7c. Success counts 1718'!F47,'7d Success counts 1617'!F47)</f>
        <v>54</v>
      </c>
      <c r="G49" s="80">
        <f>AVERAGE('7b. Success proj 1819'!G47,'7c. Success counts 1718'!G47,'7d Success counts 1617'!G47)</f>
        <v>737</v>
      </c>
      <c r="H49" s="80">
        <f>AVERAGE('7b. Success proj 1819'!H47,'7c. Success counts 1718'!H47,'7d Success counts 1617'!H47)</f>
        <v>477</v>
      </c>
      <c r="I49" s="80">
        <f>AVERAGE('7b. Success proj 1819'!I47,'7c. Success counts 1718'!I47,'7d Success counts 1617'!I47)</f>
        <v>912</v>
      </c>
      <c r="J49" s="80">
        <f>AVERAGE('7b. Success proj 1819'!J47,'7c. Success counts 1718'!J47,'7d Success counts 1617'!J47)</f>
        <v>48</v>
      </c>
      <c r="K49" s="80">
        <f>AVERAGE('7b. Success proj 1819'!K47,'7c. Success counts 1718'!K47,'7d Success counts 1617'!K47)</f>
        <v>224</v>
      </c>
      <c r="L49" s="80">
        <f>AVERAGE('7b. Success proj 1819'!L47,'7c. Success counts 1718'!L47,'7d Success counts 1617'!L47)</f>
        <v>0</v>
      </c>
      <c r="M49" s="80">
        <f>AVERAGE('7b. Success proj 1819'!M47,'7c. Success counts 1718'!M47,'7d Success counts 1617'!M47)</f>
        <v>36</v>
      </c>
      <c r="N49" s="80">
        <f>AVERAGE('7b. Success proj 1819'!N47,'7c. Success counts 1718'!N47,'7d Success counts 1617'!N47)</f>
        <v>26</v>
      </c>
      <c r="O49" s="80">
        <f>AVERAGE('7b. Success proj 1819'!O47,'7c. Success counts 1718'!O47,'7d Success counts 1617'!O47)</f>
        <v>406</v>
      </c>
      <c r="P49" s="80">
        <f>AVERAGE('7b. Success proj 1819'!P47,'7c. Success counts 1718'!P47,'7d Success counts 1617'!P47)</f>
        <v>238</v>
      </c>
      <c r="Q49" s="80">
        <f>AVERAGE('7b. Success proj 1819'!Q47,'7c. Success counts 1718'!Q47,'7d Success counts 1617'!Q47)</f>
        <v>351</v>
      </c>
      <c r="R49" s="80">
        <f>AVERAGE('7b. Success proj 1819'!R47,'7c. Success counts 1718'!R47,'7d Success counts 1617'!R47)</f>
        <v>59</v>
      </c>
      <c r="S49" s="80">
        <f>AVERAGE('7b. Success proj 1819'!S47,'7c. Success counts 1718'!S47,'7d Success counts 1617'!S47)</f>
        <v>276</v>
      </c>
      <c r="T49" s="80">
        <f>AVERAGE('7b. Success proj 1819'!T47,'7c. Success counts 1718'!T47,'7d Success counts 1617'!T47)</f>
        <v>0</v>
      </c>
      <c r="U49" s="80">
        <f>AVERAGE('7b. Success proj 1819'!U47,'7c. Success counts 1718'!U47,'7d Success counts 1617'!U47)</f>
        <v>47</v>
      </c>
      <c r="V49" s="80">
        <f>AVERAGE('7b. Success proj 1819'!V47,'7c. Success counts 1718'!V47,'7d Success counts 1617'!V47)</f>
        <v>36</v>
      </c>
      <c r="W49" s="80">
        <f>AVERAGE('7b. Success proj 1819'!W47,'7c. Success counts 1718'!W47,'7d Success counts 1617'!W47)</f>
        <v>544</v>
      </c>
      <c r="X49" s="80">
        <f>AVERAGE('7b. Success proj 1819'!X47,'7c. Success counts 1718'!X47,'7d Success counts 1617'!X47)</f>
        <v>332</v>
      </c>
      <c r="Y49" s="80">
        <f>AVERAGE('7b. Success proj 1819'!Y47,'7c. Success counts 1718'!Y47,'7d Success counts 1617'!Y47)</f>
        <v>532</v>
      </c>
    </row>
    <row r="50" spans="1:25" x14ac:dyDescent="0.25">
      <c r="A50" s="170" t="s">
        <v>83</v>
      </c>
      <c r="B50" s="80">
        <f>AVERAGE('7b. Success proj 1819'!B48,'7c. Success counts 1718'!B48,'7d Success counts 1617'!B48)</f>
        <v>553</v>
      </c>
      <c r="C50" s="80">
        <f>AVERAGE('7b. Success proj 1819'!C48,'7c. Success counts 1718'!C48,'7d Success counts 1617'!C48)</f>
        <v>596</v>
      </c>
      <c r="D50" s="80">
        <f>AVERAGE('7b. Success proj 1819'!D48,'7c. Success counts 1718'!D48,'7d Success counts 1617'!D48)</f>
        <v>0</v>
      </c>
      <c r="E50" s="80">
        <f>AVERAGE('7b. Success proj 1819'!E48,'7c. Success counts 1718'!E48,'7d Success counts 1617'!E48)</f>
        <v>374</v>
      </c>
      <c r="F50" s="80">
        <f>AVERAGE('7b. Success proj 1819'!F48,'7c. Success counts 1718'!F48,'7d Success counts 1617'!F48)</f>
        <v>215</v>
      </c>
      <c r="G50" s="80">
        <f>AVERAGE('7b. Success proj 1819'!G48,'7c. Success counts 1718'!G48,'7d Success counts 1617'!G48)</f>
        <v>1972</v>
      </c>
      <c r="H50" s="80">
        <f>AVERAGE('7b. Success proj 1819'!H48,'7c. Success counts 1718'!H48,'7d Success counts 1617'!H48)</f>
        <v>1114</v>
      </c>
      <c r="I50" s="80">
        <f>AVERAGE('7b. Success proj 1819'!I48,'7c. Success counts 1718'!I48,'7d Success counts 1617'!I48)</f>
        <v>3046</v>
      </c>
      <c r="J50" s="80">
        <f>AVERAGE('7b. Success proj 1819'!J48,'7c. Success counts 1718'!J48,'7d Success counts 1617'!J48)</f>
        <v>375</v>
      </c>
      <c r="K50" s="80">
        <f>AVERAGE('7b. Success proj 1819'!K48,'7c. Success counts 1718'!K48,'7d Success counts 1617'!K48)</f>
        <v>368</v>
      </c>
      <c r="L50" s="80">
        <f>AVERAGE('7b. Success proj 1819'!L48,'7c. Success counts 1718'!L48,'7d Success counts 1617'!L48)</f>
        <v>0</v>
      </c>
      <c r="M50" s="80">
        <f>AVERAGE('7b. Success proj 1819'!M48,'7c. Success counts 1718'!M48,'7d Success counts 1617'!M48)</f>
        <v>212</v>
      </c>
      <c r="N50" s="80">
        <f>AVERAGE('7b. Success proj 1819'!N48,'7c. Success counts 1718'!N48,'7d Success counts 1617'!N48)</f>
        <v>122</v>
      </c>
      <c r="O50" s="80">
        <f>AVERAGE('7b. Success proj 1819'!O48,'7c. Success counts 1718'!O48,'7d Success counts 1617'!O48)</f>
        <v>1019</v>
      </c>
      <c r="P50" s="80">
        <f>AVERAGE('7b. Success proj 1819'!P48,'7c. Success counts 1718'!P48,'7d Success counts 1617'!P48)</f>
        <v>615</v>
      </c>
      <c r="Q50" s="80">
        <f>AVERAGE('7b. Success proj 1819'!Q48,'7c. Success counts 1718'!Q48,'7d Success counts 1617'!Q48)</f>
        <v>621</v>
      </c>
      <c r="R50" s="80">
        <f>AVERAGE('7b. Success proj 1819'!R48,'7c. Success counts 1718'!R48,'7d Success counts 1617'!R48)</f>
        <v>485</v>
      </c>
      <c r="S50" s="80">
        <f>AVERAGE('7b. Success proj 1819'!S48,'7c. Success counts 1718'!S48,'7d Success counts 1617'!S48)</f>
        <v>504</v>
      </c>
      <c r="T50" s="80">
        <f>AVERAGE('7b. Success proj 1819'!T48,'7c. Success counts 1718'!T48,'7d Success counts 1617'!T48)</f>
        <v>0</v>
      </c>
      <c r="U50" s="80">
        <f>AVERAGE('7b. Success proj 1819'!U48,'7c. Success counts 1718'!U48,'7d Success counts 1617'!U48)</f>
        <v>291</v>
      </c>
      <c r="V50" s="80">
        <f>AVERAGE('7b. Success proj 1819'!V48,'7c. Success counts 1718'!V48,'7d Success counts 1617'!V48)</f>
        <v>179</v>
      </c>
      <c r="W50" s="80">
        <f>AVERAGE('7b. Success proj 1819'!W48,'7c. Success counts 1718'!W48,'7d Success counts 1617'!W48)</f>
        <v>1459</v>
      </c>
      <c r="X50" s="80">
        <f>AVERAGE('7b. Success proj 1819'!X48,'7c. Success counts 1718'!X48,'7d Success counts 1617'!X48)</f>
        <v>827</v>
      </c>
      <c r="Y50" s="80">
        <f>AVERAGE('7b. Success proj 1819'!Y48,'7c. Success counts 1718'!Y48,'7d Success counts 1617'!Y48)</f>
        <v>1049</v>
      </c>
    </row>
    <row r="51" spans="1:25" x14ac:dyDescent="0.25">
      <c r="A51" s="170" t="s">
        <v>84</v>
      </c>
      <c r="B51" s="80">
        <f>AVERAGE('7b. Success proj 1819'!B49,'7c. Success counts 1718'!B49,'7d Success counts 1617'!B49)</f>
        <v>849</v>
      </c>
      <c r="C51" s="80">
        <f>AVERAGE('7b. Success proj 1819'!C49,'7c. Success counts 1718'!C49,'7d Success counts 1617'!C49)</f>
        <v>2374</v>
      </c>
      <c r="D51" s="80">
        <f>AVERAGE('7b. Success proj 1819'!D49,'7c. Success counts 1718'!D49,'7d Success counts 1617'!D49)</f>
        <v>0</v>
      </c>
      <c r="E51" s="80">
        <f>AVERAGE('7b. Success proj 1819'!E49,'7c. Success counts 1718'!E49,'7d Success counts 1617'!E49)</f>
        <v>483</v>
      </c>
      <c r="F51" s="80">
        <f>AVERAGE('7b. Success proj 1819'!F49,'7c. Success counts 1718'!F49,'7d Success counts 1617'!F49)</f>
        <v>823</v>
      </c>
      <c r="G51" s="80">
        <f>AVERAGE('7b. Success proj 1819'!G49,'7c. Success counts 1718'!G49,'7d Success counts 1617'!G49)</f>
        <v>4286</v>
      </c>
      <c r="H51" s="80">
        <f>AVERAGE('7b. Success proj 1819'!H49,'7c. Success counts 1718'!H49,'7d Success counts 1617'!H49)</f>
        <v>2782</v>
      </c>
      <c r="I51" s="80">
        <f>AVERAGE('7b. Success proj 1819'!I49,'7c. Success counts 1718'!I49,'7d Success counts 1617'!I49)</f>
        <v>5143</v>
      </c>
      <c r="J51" s="80">
        <f>AVERAGE('7b. Success proj 1819'!J49,'7c. Success counts 1718'!J49,'7d Success counts 1617'!J49)</f>
        <v>514</v>
      </c>
      <c r="K51" s="80">
        <f>AVERAGE('7b. Success proj 1819'!K49,'7c. Success counts 1718'!K49,'7d Success counts 1617'!K49)</f>
        <v>1454</v>
      </c>
      <c r="L51" s="80">
        <f>AVERAGE('7b. Success proj 1819'!L49,'7c. Success counts 1718'!L49,'7d Success counts 1617'!L49)</f>
        <v>0</v>
      </c>
      <c r="M51" s="80">
        <f>AVERAGE('7b. Success proj 1819'!M49,'7c. Success counts 1718'!M49,'7d Success counts 1617'!M49)</f>
        <v>244</v>
      </c>
      <c r="N51" s="80">
        <f>AVERAGE('7b. Success proj 1819'!N49,'7c. Success counts 1718'!N49,'7d Success counts 1617'!N49)</f>
        <v>384</v>
      </c>
      <c r="O51" s="80">
        <f>AVERAGE('7b. Success proj 1819'!O49,'7c. Success counts 1718'!O49,'7d Success counts 1617'!O49)</f>
        <v>2299</v>
      </c>
      <c r="P51" s="80">
        <f>AVERAGE('7b. Success proj 1819'!P49,'7c. Success counts 1718'!P49,'7d Success counts 1617'!P49)</f>
        <v>1411</v>
      </c>
      <c r="Q51" s="80">
        <f>AVERAGE('7b. Success proj 1819'!Q49,'7c. Success counts 1718'!Q49,'7d Success counts 1617'!Q49)</f>
        <v>1937</v>
      </c>
      <c r="R51" s="80">
        <f>AVERAGE('7b. Success proj 1819'!R49,'7c. Success counts 1718'!R49,'7d Success counts 1617'!R49)</f>
        <v>695</v>
      </c>
      <c r="S51" s="80">
        <f>AVERAGE('7b. Success proj 1819'!S49,'7c. Success counts 1718'!S49,'7d Success counts 1617'!S49)</f>
        <v>1955</v>
      </c>
      <c r="T51" s="80">
        <f>AVERAGE('7b. Success proj 1819'!T49,'7c. Success counts 1718'!T49,'7d Success counts 1617'!T49)</f>
        <v>0</v>
      </c>
      <c r="U51" s="80">
        <f>AVERAGE('7b. Success proj 1819'!U49,'7c. Success counts 1718'!U49,'7d Success counts 1617'!U49)</f>
        <v>337</v>
      </c>
      <c r="V51" s="80">
        <f>AVERAGE('7b. Success proj 1819'!V49,'7c. Success counts 1718'!V49,'7d Success counts 1617'!V49)</f>
        <v>554</v>
      </c>
      <c r="W51" s="80">
        <f>AVERAGE('7b. Success proj 1819'!W49,'7c. Success counts 1718'!W49,'7d Success counts 1617'!W49)</f>
        <v>3262</v>
      </c>
      <c r="X51" s="80">
        <f>AVERAGE('7b. Success proj 1819'!X49,'7c. Success counts 1718'!X49,'7d Success counts 1617'!X49)</f>
        <v>2045</v>
      </c>
      <c r="Y51" s="80">
        <f>AVERAGE('7b. Success proj 1819'!Y49,'7c. Success counts 1718'!Y49,'7d Success counts 1617'!Y49)</f>
        <v>3267</v>
      </c>
    </row>
    <row r="52" spans="1:25" x14ac:dyDescent="0.25">
      <c r="A52" s="170" t="s">
        <v>85</v>
      </c>
      <c r="B52" s="80">
        <f>AVERAGE('7b. Success proj 1819'!B50,'7c. Success counts 1718'!B50,'7d Success counts 1617'!B50)</f>
        <v>512</v>
      </c>
      <c r="C52" s="80">
        <f>AVERAGE('7b. Success proj 1819'!C50,'7c. Success counts 1718'!C50,'7d Success counts 1617'!C50)</f>
        <v>793</v>
      </c>
      <c r="D52" s="80">
        <f>AVERAGE('7b. Success proj 1819'!D50,'7c. Success counts 1718'!D50,'7d Success counts 1617'!D50)</f>
        <v>0</v>
      </c>
      <c r="E52" s="80">
        <f>AVERAGE('7b. Success proj 1819'!E50,'7c. Success counts 1718'!E50,'7d Success counts 1617'!E50)</f>
        <v>223</v>
      </c>
      <c r="F52" s="80">
        <f>AVERAGE('7b. Success proj 1819'!F50,'7c. Success counts 1718'!F50,'7d Success counts 1617'!F50)</f>
        <v>245</v>
      </c>
      <c r="G52" s="80">
        <f>AVERAGE('7b. Success proj 1819'!G50,'7c. Success counts 1718'!G50,'7d Success counts 1617'!G50)</f>
        <v>2591</v>
      </c>
      <c r="H52" s="80">
        <f>AVERAGE('7b. Success proj 1819'!H50,'7c. Success counts 1718'!H50,'7d Success counts 1617'!H50)</f>
        <v>1490</v>
      </c>
      <c r="I52" s="80">
        <f>AVERAGE('7b. Success proj 1819'!I50,'7c. Success counts 1718'!I50,'7d Success counts 1617'!I50)</f>
        <v>2953</v>
      </c>
      <c r="J52" s="80">
        <f>AVERAGE('7b. Success proj 1819'!J50,'7c. Success counts 1718'!J50,'7d Success counts 1617'!J50)</f>
        <v>329</v>
      </c>
      <c r="K52" s="80">
        <f>AVERAGE('7b. Success proj 1819'!K50,'7c. Success counts 1718'!K50,'7d Success counts 1617'!K50)</f>
        <v>475</v>
      </c>
      <c r="L52" s="80">
        <f>AVERAGE('7b. Success proj 1819'!L50,'7c. Success counts 1718'!L50,'7d Success counts 1617'!L50)</f>
        <v>0</v>
      </c>
      <c r="M52" s="80">
        <f>AVERAGE('7b. Success proj 1819'!M50,'7c. Success counts 1718'!M50,'7d Success counts 1617'!M50)</f>
        <v>110</v>
      </c>
      <c r="N52" s="80">
        <f>AVERAGE('7b. Success proj 1819'!N50,'7c. Success counts 1718'!N50,'7d Success counts 1617'!N50)</f>
        <v>95</v>
      </c>
      <c r="O52" s="80">
        <f>AVERAGE('7b. Success proj 1819'!O50,'7c. Success counts 1718'!O50,'7d Success counts 1617'!O50)</f>
        <v>1127</v>
      </c>
      <c r="P52" s="80">
        <f>AVERAGE('7b. Success proj 1819'!P50,'7c. Success counts 1718'!P50,'7d Success counts 1617'!P50)</f>
        <v>706</v>
      </c>
      <c r="Q52" s="80">
        <f>AVERAGE('7b. Success proj 1819'!Q50,'7c. Success counts 1718'!Q50,'7d Success counts 1617'!Q50)</f>
        <v>1044</v>
      </c>
      <c r="R52" s="80">
        <f>AVERAGE('7b. Success proj 1819'!R50,'7c. Success counts 1718'!R50,'7d Success counts 1617'!R50)</f>
        <v>446</v>
      </c>
      <c r="S52" s="80">
        <f>AVERAGE('7b. Success proj 1819'!S50,'7c. Success counts 1718'!S50,'7d Success counts 1617'!S50)</f>
        <v>682</v>
      </c>
      <c r="T52" s="80">
        <f>AVERAGE('7b. Success proj 1819'!T50,'7c. Success counts 1718'!T50,'7d Success counts 1617'!T50)</f>
        <v>0</v>
      </c>
      <c r="U52" s="80">
        <f>AVERAGE('7b. Success proj 1819'!U50,'7c. Success counts 1718'!U50,'7d Success counts 1617'!U50)</f>
        <v>179</v>
      </c>
      <c r="V52" s="80">
        <f>AVERAGE('7b. Success proj 1819'!V50,'7c. Success counts 1718'!V50,'7d Success counts 1617'!V50)</f>
        <v>143</v>
      </c>
      <c r="W52" s="80">
        <f>AVERAGE('7b. Success proj 1819'!W50,'7c. Success counts 1718'!W50,'7d Success counts 1617'!W50)</f>
        <v>1809</v>
      </c>
      <c r="X52" s="80">
        <f>AVERAGE('7b. Success proj 1819'!X50,'7c. Success counts 1718'!X50,'7d Success counts 1617'!X50)</f>
        <v>1102</v>
      </c>
      <c r="Y52" s="80">
        <f>AVERAGE('7b. Success proj 1819'!Y50,'7c. Success counts 1718'!Y50,'7d Success counts 1617'!Y50)</f>
        <v>1967</v>
      </c>
    </row>
    <row r="53" spans="1:25" x14ac:dyDescent="0.25">
      <c r="A53" s="170" t="s">
        <v>86</v>
      </c>
      <c r="B53" s="80">
        <f>AVERAGE('7b. Success proj 1819'!B51,'7c. Success counts 1718'!B51,'7d Success counts 1617'!B51)</f>
        <v>1417</v>
      </c>
      <c r="C53" s="80">
        <f>AVERAGE('7b. Success proj 1819'!C51,'7c. Success counts 1718'!C51,'7d Success counts 1617'!C51)</f>
        <v>1721</v>
      </c>
      <c r="D53" s="80">
        <f>AVERAGE('7b. Success proj 1819'!D51,'7c. Success counts 1718'!D51,'7d Success counts 1617'!D51)</f>
        <v>10</v>
      </c>
      <c r="E53" s="80">
        <f>AVERAGE('7b. Success proj 1819'!E51,'7c. Success counts 1718'!E51,'7d Success counts 1617'!E51)</f>
        <v>528</v>
      </c>
      <c r="F53" s="80">
        <f>AVERAGE('7b. Success proj 1819'!F51,'7c. Success counts 1718'!F51,'7d Success counts 1617'!F51)</f>
        <v>826</v>
      </c>
      <c r="G53" s="80">
        <f>AVERAGE('7b. Success proj 1819'!G51,'7c. Success counts 1718'!G51,'7d Success counts 1617'!G51)</f>
        <v>6048</v>
      </c>
      <c r="H53" s="80">
        <f>AVERAGE('7b. Success proj 1819'!H51,'7c. Success counts 1718'!H51,'7d Success counts 1617'!H51)</f>
        <v>4723</v>
      </c>
      <c r="I53" s="80">
        <f>AVERAGE('7b. Success proj 1819'!I51,'7c. Success counts 1718'!I51,'7d Success counts 1617'!I51)</f>
        <v>9334</v>
      </c>
      <c r="J53" s="80">
        <f>AVERAGE('7b. Success proj 1819'!J51,'7c. Success counts 1718'!J51,'7d Success counts 1617'!J51)</f>
        <v>726</v>
      </c>
      <c r="K53" s="80">
        <f>AVERAGE('7b. Success proj 1819'!K51,'7c. Success counts 1718'!K51,'7d Success counts 1617'!K51)</f>
        <v>944</v>
      </c>
      <c r="L53" s="80">
        <f>AVERAGE('7b. Success proj 1819'!L51,'7c. Success counts 1718'!L51,'7d Success counts 1617'!L51)</f>
        <v>6</v>
      </c>
      <c r="M53" s="80">
        <f>AVERAGE('7b. Success proj 1819'!M51,'7c. Success counts 1718'!M51,'7d Success counts 1617'!M51)</f>
        <v>266</v>
      </c>
      <c r="N53" s="80">
        <f>AVERAGE('7b. Success proj 1819'!N51,'7c. Success counts 1718'!N51,'7d Success counts 1617'!N51)</f>
        <v>304</v>
      </c>
      <c r="O53" s="80">
        <f>AVERAGE('7b. Success proj 1819'!O51,'7c. Success counts 1718'!O51,'7d Success counts 1617'!O51)</f>
        <v>2553</v>
      </c>
      <c r="P53" s="80">
        <f>AVERAGE('7b. Success proj 1819'!P51,'7c. Success counts 1718'!P51,'7d Success counts 1617'!P51)</f>
        <v>1879</v>
      </c>
      <c r="Q53" s="80">
        <f>AVERAGE('7b. Success proj 1819'!Q51,'7c. Success counts 1718'!Q51,'7d Success counts 1617'!Q51)</f>
        <v>1382</v>
      </c>
      <c r="R53" s="80">
        <f>AVERAGE('7b. Success proj 1819'!R51,'7c. Success counts 1718'!R51,'7d Success counts 1617'!R51)</f>
        <v>1026</v>
      </c>
      <c r="S53" s="80">
        <f>AVERAGE('7b. Success proj 1819'!S51,'7c. Success counts 1718'!S51,'7d Success counts 1617'!S51)</f>
        <v>1293</v>
      </c>
      <c r="T53" s="80">
        <f>AVERAGE('7b. Success proj 1819'!T51,'7c. Success counts 1718'!T51,'7d Success counts 1617'!T51)</f>
        <v>9</v>
      </c>
      <c r="U53" s="80">
        <f>AVERAGE('7b. Success proj 1819'!U51,'7c. Success counts 1718'!U51,'7d Success counts 1617'!U51)</f>
        <v>404</v>
      </c>
      <c r="V53" s="80">
        <f>AVERAGE('7b. Success proj 1819'!V51,'7c. Success counts 1718'!V51,'7d Success counts 1617'!V51)</f>
        <v>435</v>
      </c>
      <c r="W53" s="80">
        <f>AVERAGE('7b. Success proj 1819'!W51,'7c. Success counts 1718'!W51,'7d Success counts 1617'!W51)</f>
        <v>3950</v>
      </c>
      <c r="X53" s="80">
        <f>AVERAGE('7b. Success proj 1819'!X51,'7c. Success counts 1718'!X51,'7d Success counts 1617'!X51)</f>
        <v>2975</v>
      </c>
      <c r="Y53" s="80">
        <f>AVERAGE('7b. Success proj 1819'!Y51,'7c. Success counts 1718'!Y51,'7d Success counts 1617'!Y51)</f>
        <v>2891</v>
      </c>
    </row>
    <row r="54" spans="1:25" x14ac:dyDescent="0.25">
      <c r="A54" s="170" t="s">
        <v>29</v>
      </c>
      <c r="B54" s="80">
        <f>AVERAGE('7b. Success proj 1819'!B52,'7c. Success counts 1718'!B52,'7d Success counts 1617'!B52)</f>
        <v>250</v>
      </c>
      <c r="C54" s="80">
        <f>AVERAGE('7b. Success proj 1819'!C52,'7c. Success counts 1718'!C52,'7d Success counts 1617'!C52)</f>
        <v>783</v>
      </c>
      <c r="D54" s="80">
        <f>AVERAGE('7b. Success proj 1819'!D52,'7c. Success counts 1718'!D52,'7d Success counts 1617'!D52)</f>
        <v>0</v>
      </c>
      <c r="E54" s="80">
        <f>AVERAGE('7b. Success proj 1819'!E52,'7c. Success counts 1718'!E52,'7d Success counts 1617'!E52)</f>
        <v>446</v>
      </c>
      <c r="F54" s="80">
        <f>AVERAGE('7b. Success proj 1819'!F52,'7c. Success counts 1718'!F52,'7d Success counts 1617'!F52)</f>
        <v>298</v>
      </c>
      <c r="G54" s="80">
        <f>AVERAGE('7b. Success proj 1819'!G52,'7c. Success counts 1718'!G52,'7d Success counts 1617'!G52)</f>
        <v>4363</v>
      </c>
      <c r="H54" s="80">
        <f>AVERAGE('7b. Success proj 1819'!H52,'7c. Success counts 1718'!H52,'7d Success counts 1617'!H52)</f>
        <v>1930</v>
      </c>
      <c r="I54" s="80">
        <f>AVERAGE('7b. Success proj 1819'!I52,'7c. Success counts 1718'!I52,'7d Success counts 1617'!I52)</f>
        <v>3001</v>
      </c>
      <c r="J54" s="80">
        <f>AVERAGE('7b. Success proj 1819'!J52,'7c. Success counts 1718'!J52,'7d Success counts 1617'!J52)</f>
        <v>131</v>
      </c>
      <c r="K54" s="80">
        <f>AVERAGE('7b. Success proj 1819'!K52,'7c. Success counts 1718'!K52,'7d Success counts 1617'!K52)</f>
        <v>411</v>
      </c>
      <c r="L54" s="80">
        <f>AVERAGE('7b. Success proj 1819'!L52,'7c. Success counts 1718'!L52,'7d Success counts 1617'!L52)</f>
        <v>0</v>
      </c>
      <c r="M54" s="80">
        <f>AVERAGE('7b. Success proj 1819'!M52,'7c. Success counts 1718'!M52,'7d Success counts 1617'!M52)</f>
        <v>159</v>
      </c>
      <c r="N54" s="80">
        <f>AVERAGE('7b. Success proj 1819'!N52,'7c. Success counts 1718'!N52,'7d Success counts 1617'!N52)</f>
        <v>91</v>
      </c>
      <c r="O54" s="80">
        <f>AVERAGE('7b. Success proj 1819'!O52,'7c. Success counts 1718'!O52,'7d Success counts 1617'!O52)</f>
        <v>1293</v>
      </c>
      <c r="P54" s="80">
        <f>AVERAGE('7b. Success proj 1819'!P52,'7c. Success counts 1718'!P52,'7d Success counts 1617'!P52)</f>
        <v>797</v>
      </c>
      <c r="Q54" s="80">
        <f>AVERAGE('7b. Success proj 1819'!Q52,'7c. Success counts 1718'!Q52,'7d Success counts 1617'!Q52)</f>
        <v>375</v>
      </c>
      <c r="R54" s="80">
        <f>AVERAGE('7b. Success proj 1819'!R52,'7c. Success counts 1718'!R52,'7d Success counts 1617'!R52)</f>
        <v>178</v>
      </c>
      <c r="S54" s="80">
        <f>AVERAGE('7b. Success proj 1819'!S52,'7c. Success counts 1718'!S52,'7d Success counts 1617'!S52)</f>
        <v>587</v>
      </c>
      <c r="T54" s="80">
        <f>AVERAGE('7b. Success proj 1819'!T52,'7c. Success counts 1718'!T52,'7d Success counts 1617'!T52)</f>
        <v>0</v>
      </c>
      <c r="U54" s="80">
        <f>AVERAGE('7b. Success proj 1819'!U52,'7c. Success counts 1718'!U52,'7d Success counts 1617'!U52)</f>
        <v>286</v>
      </c>
      <c r="V54" s="80">
        <f>AVERAGE('7b. Success proj 1819'!V52,'7c. Success counts 1718'!V52,'7d Success counts 1617'!V52)</f>
        <v>146</v>
      </c>
      <c r="W54" s="80">
        <f>AVERAGE('7b. Success proj 1819'!W52,'7c. Success counts 1718'!W52,'7d Success counts 1617'!W52)</f>
        <v>2360</v>
      </c>
      <c r="X54" s="80">
        <f>AVERAGE('7b. Success proj 1819'!X52,'7c. Success counts 1718'!X52,'7d Success counts 1617'!X52)</f>
        <v>1215</v>
      </c>
      <c r="Y54" s="80">
        <f>AVERAGE('7b. Success proj 1819'!Y52,'7c. Success counts 1718'!Y52,'7d Success counts 1617'!Y52)</f>
        <v>738</v>
      </c>
    </row>
    <row r="55" spans="1:25" x14ac:dyDescent="0.25">
      <c r="A55" s="170" t="s">
        <v>87</v>
      </c>
      <c r="B55" s="80">
        <f>AVERAGE('7b. Success proj 1819'!B53,'7c. Success counts 1718'!B53,'7d Success counts 1617'!B53)</f>
        <v>213</v>
      </c>
      <c r="C55" s="80">
        <f>AVERAGE('7b. Success proj 1819'!C53,'7c. Success counts 1718'!C53,'7d Success counts 1617'!C53)</f>
        <v>1384</v>
      </c>
      <c r="D55" s="80">
        <f>AVERAGE('7b. Success proj 1819'!D53,'7c. Success counts 1718'!D53,'7d Success counts 1617'!D53)</f>
        <v>0</v>
      </c>
      <c r="E55" s="80">
        <f>AVERAGE('7b. Success proj 1819'!E53,'7c. Success counts 1718'!E53,'7d Success counts 1617'!E53)</f>
        <v>410</v>
      </c>
      <c r="F55" s="80">
        <f>AVERAGE('7b. Success proj 1819'!F53,'7c. Success counts 1718'!F53,'7d Success counts 1617'!F53)</f>
        <v>248</v>
      </c>
      <c r="G55" s="80">
        <f>AVERAGE('7b. Success proj 1819'!G53,'7c. Success counts 1718'!G53,'7d Success counts 1617'!G53)</f>
        <v>3268</v>
      </c>
      <c r="H55" s="80">
        <f>AVERAGE('7b. Success proj 1819'!H53,'7c. Success counts 1718'!H53,'7d Success counts 1617'!H53)</f>
        <v>1710</v>
      </c>
      <c r="I55" s="80">
        <f>AVERAGE('7b. Success proj 1819'!I53,'7c. Success counts 1718'!I53,'7d Success counts 1617'!I53)</f>
        <v>3059</v>
      </c>
      <c r="J55" s="80">
        <f>AVERAGE('7b. Success proj 1819'!J53,'7c. Success counts 1718'!J53,'7d Success counts 1617'!J53)</f>
        <v>133</v>
      </c>
      <c r="K55" s="80">
        <f>AVERAGE('7b. Success proj 1819'!K53,'7c. Success counts 1718'!K53,'7d Success counts 1617'!K53)</f>
        <v>789</v>
      </c>
      <c r="L55" s="80">
        <f>AVERAGE('7b. Success proj 1819'!L53,'7c. Success counts 1718'!L53,'7d Success counts 1617'!L53)</f>
        <v>0</v>
      </c>
      <c r="M55" s="80">
        <f>AVERAGE('7b. Success proj 1819'!M53,'7c. Success counts 1718'!M53,'7d Success counts 1617'!M53)</f>
        <v>208</v>
      </c>
      <c r="N55" s="80">
        <f>AVERAGE('7b. Success proj 1819'!N53,'7c. Success counts 1718'!N53,'7d Success counts 1617'!N53)</f>
        <v>109</v>
      </c>
      <c r="O55" s="80">
        <f>AVERAGE('7b. Success proj 1819'!O53,'7c. Success counts 1718'!O53,'7d Success counts 1617'!O53)</f>
        <v>1831</v>
      </c>
      <c r="P55" s="80">
        <f>AVERAGE('7b. Success proj 1819'!P53,'7c. Success counts 1718'!P53,'7d Success counts 1617'!P53)</f>
        <v>721</v>
      </c>
      <c r="Q55" s="80">
        <f>AVERAGE('7b. Success proj 1819'!Q53,'7c. Success counts 1718'!Q53,'7d Success counts 1617'!Q53)</f>
        <v>1390</v>
      </c>
      <c r="R55" s="80">
        <f>AVERAGE('7b. Success proj 1819'!R53,'7c. Success counts 1718'!R53,'7d Success counts 1617'!R53)</f>
        <v>174</v>
      </c>
      <c r="S55" s="80">
        <f>AVERAGE('7b. Success proj 1819'!S53,'7c. Success counts 1718'!S53,'7d Success counts 1617'!S53)</f>
        <v>1116</v>
      </c>
      <c r="T55" s="80">
        <f>AVERAGE('7b. Success proj 1819'!T53,'7c. Success counts 1718'!T53,'7d Success counts 1617'!T53)</f>
        <v>0</v>
      </c>
      <c r="U55" s="80">
        <f>AVERAGE('7b. Success proj 1819'!U53,'7c. Success counts 1718'!U53,'7d Success counts 1617'!U53)</f>
        <v>297</v>
      </c>
      <c r="V55" s="80">
        <f>AVERAGE('7b. Success proj 1819'!V53,'7c. Success counts 1718'!V53,'7d Success counts 1617'!V53)</f>
        <v>161</v>
      </c>
      <c r="W55" s="80">
        <f>AVERAGE('7b. Success proj 1819'!W53,'7c. Success counts 1718'!W53,'7d Success counts 1617'!W53)</f>
        <v>2554</v>
      </c>
      <c r="X55" s="80">
        <f>AVERAGE('7b. Success proj 1819'!X53,'7c. Success counts 1718'!X53,'7d Success counts 1617'!X53)</f>
        <v>1170</v>
      </c>
      <c r="Y55" s="80">
        <f>AVERAGE('7b. Success proj 1819'!Y53,'7c. Success counts 1718'!Y53,'7d Success counts 1617'!Y53)</f>
        <v>2228</v>
      </c>
    </row>
    <row r="56" spans="1:25" x14ac:dyDescent="0.25">
      <c r="A56" s="170" t="s">
        <v>88</v>
      </c>
      <c r="B56" s="80">
        <f>AVERAGE('7b. Success proj 1819'!B54,'7c. Success counts 1718'!B54,'7d Success counts 1617'!B54)</f>
        <v>540</v>
      </c>
      <c r="C56" s="80">
        <f>AVERAGE('7b. Success proj 1819'!C54,'7c. Success counts 1718'!C54,'7d Success counts 1617'!C54)</f>
        <v>534</v>
      </c>
      <c r="D56" s="80">
        <f>AVERAGE('7b. Success proj 1819'!D54,'7c. Success counts 1718'!D54,'7d Success counts 1617'!D54)</f>
        <v>0</v>
      </c>
      <c r="E56" s="80">
        <f>AVERAGE('7b. Success proj 1819'!E54,'7c. Success counts 1718'!E54,'7d Success counts 1617'!E54)</f>
        <v>310</v>
      </c>
      <c r="F56" s="80">
        <f>AVERAGE('7b. Success proj 1819'!F54,'7c. Success counts 1718'!F54,'7d Success counts 1617'!F54)</f>
        <v>300</v>
      </c>
      <c r="G56" s="80">
        <f>AVERAGE('7b. Success proj 1819'!G54,'7c. Success counts 1718'!G54,'7d Success counts 1617'!G54)</f>
        <v>1728</v>
      </c>
      <c r="H56" s="80">
        <f>AVERAGE('7b. Success proj 1819'!H54,'7c. Success counts 1718'!H54,'7d Success counts 1617'!H54)</f>
        <v>1296</v>
      </c>
      <c r="I56" s="80">
        <f>AVERAGE('7b. Success proj 1819'!I54,'7c. Success counts 1718'!I54,'7d Success counts 1617'!I54)</f>
        <v>1596</v>
      </c>
      <c r="J56" s="80">
        <f>AVERAGE('7b. Success proj 1819'!J54,'7c. Success counts 1718'!J54,'7d Success counts 1617'!J54)</f>
        <v>302</v>
      </c>
      <c r="K56" s="80">
        <f>AVERAGE('7b. Success proj 1819'!K54,'7c. Success counts 1718'!K54,'7d Success counts 1617'!K54)</f>
        <v>294</v>
      </c>
      <c r="L56" s="80">
        <f>AVERAGE('7b. Success proj 1819'!L54,'7c. Success counts 1718'!L54,'7d Success counts 1617'!L54)</f>
        <v>0</v>
      </c>
      <c r="M56" s="80">
        <f>AVERAGE('7b. Success proj 1819'!M54,'7c. Success counts 1718'!M54,'7d Success counts 1617'!M54)</f>
        <v>140</v>
      </c>
      <c r="N56" s="80">
        <f>AVERAGE('7b. Success proj 1819'!N54,'7c. Success counts 1718'!N54,'7d Success counts 1617'!N54)</f>
        <v>107</v>
      </c>
      <c r="O56" s="80">
        <f>AVERAGE('7b. Success proj 1819'!O54,'7c. Success counts 1718'!O54,'7d Success counts 1617'!O54)</f>
        <v>758</v>
      </c>
      <c r="P56" s="80">
        <f>AVERAGE('7b. Success proj 1819'!P54,'7c. Success counts 1718'!P54,'7d Success counts 1617'!P54)</f>
        <v>527</v>
      </c>
      <c r="Q56" s="80">
        <f>AVERAGE('7b. Success proj 1819'!Q54,'7c. Success counts 1718'!Q54,'7d Success counts 1617'!Q54)</f>
        <v>383</v>
      </c>
      <c r="R56" s="80">
        <f>AVERAGE('7b. Success proj 1819'!R54,'7c. Success counts 1718'!R54,'7d Success counts 1617'!R54)</f>
        <v>417</v>
      </c>
      <c r="S56" s="80">
        <f>AVERAGE('7b. Success proj 1819'!S54,'7c. Success counts 1718'!S54,'7d Success counts 1617'!S54)</f>
        <v>419</v>
      </c>
      <c r="T56" s="80">
        <f>AVERAGE('7b. Success proj 1819'!T54,'7c. Success counts 1718'!T54,'7d Success counts 1617'!T54)</f>
        <v>0</v>
      </c>
      <c r="U56" s="80">
        <f>AVERAGE('7b. Success proj 1819'!U54,'7c. Success counts 1718'!U54,'7d Success counts 1617'!U54)</f>
        <v>214</v>
      </c>
      <c r="V56" s="80">
        <f>AVERAGE('7b. Success proj 1819'!V54,'7c. Success counts 1718'!V54,'7d Success counts 1617'!V54)</f>
        <v>171</v>
      </c>
      <c r="W56" s="80">
        <f>AVERAGE('7b. Success proj 1819'!W54,'7c. Success counts 1718'!W54,'7d Success counts 1617'!W54)</f>
        <v>1187</v>
      </c>
      <c r="X56" s="80">
        <f>AVERAGE('7b. Success proj 1819'!X54,'7c. Success counts 1718'!X54,'7d Success counts 1617'!X54)</f>
        <v>836</v>
      </c>
      <c r="Y56" s="80">
        <f>AVERAGE('7b. Success proj 1819'!Y54,'7c. Success counts 1718'!Y54,'7d Success counts 1617'!Y54)</f>
        <v>762</v>
      </c>
    </row>
    <row r="57" spans="1:25" x14ac:dyDescent="0.25">
      <c r="A57" s="170" t="s">
        <v>89</v>
      </c>
      <c r="B57" s="80">
        <f>AVERAGE('7b. Success proj 1819'!B55,'7c. Success counts 1718'!B55,'7d Success counts 1617'!B55)</f>
        <v>403</v>
      </c>
      <c r="C57" s="80">
        <f>AVERAGE('7b. Success proj 1819'!C55,'7c. Success counts 1718'!C55,'7d Success counts 1617'!C55)</f>
        <v>449</v>
      </c>
      <c r="D57" s="80">
        <f>AVERAGE('7b. Success proj 1819'!D55,'7c. Success counts 1718'!D55,'7d Success counts 1617'!D55)</f>
        <v>0</v>
      </c>
      <c r="E57" s="80">
        <f>AVERAGE('7b. Success proj 1819'!E55,'7c. Success counts 1718'!E55,'7d Success counts 1617'!E55)</f>
        <v>200</v>
      </c>
      <c r="F57" s="80">
        <f>AVERAGE('7b. Success proj 1819'!F55,'7c. Success counts 1718'!F55,'7d Success counts 1617'!F55)</f>
        <v>239</v>
      </c>
      <c r="G57" s="80">
        <f>AVERAGE('7b. Success proj 1819'!G55,'7c. Success counts 1718'!G55,'7d Success counts 1617'!G55)</f>
        <v>1427</v>
      </c>
      <c r="H57" s="80">
        <f>AVERAGE('7b. Success proj 1819'!H55,'7c. Success counts 1718'!H55,'7d Success counts 1617'!H55)</f>
        <v>936</v>
      </c>
      <c r="I57" s="80">
        <f>AVERAGE('7b. Success proj 1819'!I55,'7c. Success counts 1718'!I55,'7d Success counts 1617'!I55)</f>
        <v>1201</v>
      </c>
      <c r="J57" s="80">
        <f>AVERAGE('7b. Success proj 1819'!J55,'7c. Success counts 1718'!J55,'7d Success counts 1617'!J55)</f>
        <v>139</v>
      </c>
      <c r="K57" s="80">
        <f>AVERAGE('7b. Success proj 1819'!K55,'7c. Success counts 1718'!K55,'7d Success counts 1617'!K55)</f>
        <v>215</v>
      </c>
      <c r="L57" s="80">
        <f>AVERAGE('7b. Success proj 1819'!L55,'7c. Success counts 1718'!L55,'7d Success counts 1617'!L55)</f>
        <v>0</v>
      </c>
      <c r="M57" s="80">
        <f>AVERAGE('7b. Success proj 1819'!M55,'7c. Success counts 1718'!M55,'7d Success counts 1617'!M55)</f>
        <v>85</v>
      </c>
      <c r="N57" s="80">
        <f>AVERAGE('7b. Success proj 1819'!N55,'7c. Success counts 1718'!N55,'7d Success counts 1617'!N55)</f>
        <v>82</v>
      </c>
      <c r="O57" s="80">
        <f>AVERAGE('7b. Success proj 1819'!O55,'7c. Success counts 1718'!O55,'7d Success counts 1617'!O55)</f>
        <v>602</v>
      </c>
      <c r="P57" s="80">
        <f>AVERAGE('7b. Success proj 1819'!P55,'7c. Success counts 1718'!P55,'7d Success counts 1617'!P55)</f>
        <v>269</v>
      </c>
      <c r="Q57" s="80">
        <f>AVERAGE('7b. Success proj 1819'!Q55,'7c. Success counts 1718'!Q55,'7d Success counts 1617'!Q55)</f>
        <v>269</v>
      </c>
      <c r="R57" s="80">
        <f>AVERAGE('7b. Success proj 1819'!R55,'7c. Success counts 1718'!R55,'7d Success counts 1617'!R55)</f>
        <v>245</v>
      </c>
      <c r="S57" s="80">
        <f>AVERAGE('7b. Success proj 1819'!S55,'7c. Success counts 1718'!S55,'7d Success counts 1617'!S55)</f>
        <v>333</v>
      </c>
      <c r="T57" s="80">
        <f>AVERAGE('7b. Success proj 1819'!T55,'7c. Success counts 1718'!T55,'7d Success counts 1617'!T55)</f>
        <v>0</v>
      </c>
      <c r="U57" s="80">
        <f>AVERAGE('7b. Success proj 1819'!U55,'7c. Success counts 1718'!U55,'7d Success counts 1617'!U55)</f>
        <v>132</v>
      </c>
      <c r="V57" s="80">
        <f>AVERAGE('7b. Success proj 1819'!V55,'7c. Success counts 1718'!V55,'7d Success counts 1617'!V55)</f>
        <v>133</v>
      </c>
      <c r="W57" s="80">
        <f>AVERAGE('7b. Success proj 1819'!W55,'7c. Success counts 1718'!W55,'7d Success counts 1617'!W55)</f>
        <v>968</v>
      </c>
      <c r="X57" s="80">
        <f>AVERAGE('7b. Success proj 1819'!X55,'7c. Success counts 1718'!X55,'7d Success counts 1617'!X55)</f>
        <v>472</v>
      </c>
      <c r="Y57" s="80">
        <f>AVERAGE('7b. Success proj 1819'!Y55,'7c. Success counts 1718'!Y55,'7d Success counts 1617'!Y55)</f>
        <v>606</v>
      </c>
    </row>
    <row r="58" spans="1:25" x14ac:dyDescent="0.25">
      <c r="A58" s="170" t="s">
        <v>90</v>
      </c>
      <c r="B58" s="80">
        <f>AVERAGE('7b. Success proj 1819'!B56,'7c. Success counts 1718'!B56,'7d Success counts 1617'!B56)</f>
        <v>816</v>
      </c>
      <c r="C58" s="80">
        <f>AVERAGE('7b. Success proj 1819'!C56,'7c. Success counts 1718'!C56,'7d Success counts 1617'!C56)</f>
        <v>785</v>
      </c>
      <c r="D58" s="80">
        <f>AVERAGE('7b. Success proj 1819'!D56,'7c. Success counts 1718'!D56,'7d Success counts 1617'!D56)</f>
        <v>18</v>
      </c>
      <c r="E58" s="80">
        <f>AVERAGE('7b. Success proj 1819'!E56,'7c. Success counts 1718'!E56,'7d Success counts 1617'!E56)</f>
        <v>543</v>
      </c>
      <c r="F58" s="80">
        <f>AVERAGE('7b. Success proj 1819'!F56,'7c. Success counts 1718'!F56,'7d Success counts 1617'!F56)</f>
        <v>605</v>
      </c>
      <c r="G58" s="80">
        <f>AVERAGE('7b. Success proj 1819'!G56,'7c. Success counts 1718'!G56,'7d Success counts 1617'!G56)</f>
        <v>2776</v>
      </c>
      <c r="H58" s="80">
        <f>AVERAGE('7b. Success proj 1819'!H56,'7c. Success counts 1718'!H56,'7d Success counts 1617'!H56)</f>
        <v>2507</v>
      </c>
      <c r="I58" s="80">
        <f>AVERAGE('7b. Success proj 1819'!I56,'7c. Success counts 1718'!I56,'7d Success counts 1617'!I56)</f>
        <v>1312</v>
      </c>
      <c r="J58" s="80">
        <f>AVERAGE('7b. Success proj 1819'!J56,'7c. Success counts 1718'!J56,'7d Success counts 1617'!J56)</f>
        <v>306</v>
      </c>
      <c r="K58" s="80">
        <f>AVERAGE('7b. Success proj 1819'!K56,'7c. Success counts 1718'!K56,'7d Success counts 1617'!K56)</f>
        <v>308</v>
      </c>
      <c r="L58" s="80">
        <f>AVERAGE('7b. Success proj 1819'!L56,'7c. Success counts 1718'!L56,'7d Success counts 1617'!L56)</f>
        <v>9</v>
      </c>
      <c r="M58" s="80">
        <f>AVERAGE('7b. Success proj 1819'!M56,'7c. Success counts 1718'!M56,'7d Success counts 1617'!M56)</f>
        <v>165</v>
      </c>
      <c r="N58" s="80">
        <f>AVERAGE('7b. Success proj 1819'!N56,'7c. Success counts 1718'!N56,'7d Success counts 1617'!N56)</f>
        <v>121</v>
      </c>
      <c r="O58" s="80">
        <f>AVERAGE('7b. Success proj 1819'!O56,'7c. Success counts 1718'!O56,'7d Success counts 1617'!O56)</f>
        <v>778</v>
      </c>
      <c r="P58" s="80">
        <f>AVERAGE('7b. Success proj 1819'!P56,'7c. Success counts 1718'!P56,'7d Success counts 1617'!P56)</f>
        <v>736</v>
      </c>
      <c r="Q58" s="80">
        <f>AVERAGE('7b. Success proj 1819'!Q56,'7c. Success counts 1718'!Q56,'7d Success counts 1617'!Q56)</f>
        <v>174</v>
      </c>
      <c r="R58" s="80">
        <f>AVERAGE('7b. Success proj 1819'!R56,'7c. Success counts 1718'!R56,'7d Success counts 1617'!R56)</f>
        <v>492</v>
      </c>
      <c r="S58" s="80">
        <f>AVERAGE('7b. Success proj 1819'!S56,'7c. Success counts 1718'!S56,'7d Success counts 1617'!S56)</f>
        <v>498</v>
      </c>
      <c r="T58" s="80">
        <f>AVERAGE('7b. Success proj 1819'!T56,'7c. Success counts 1718'!T56,'7d Success counts 1617'!T56)</f>
        <v>13</v>
      </c>
      <c r="U58" s="80">
        <f>AVERAGE('7b. Success proj 1819'!U56,'7c. Success counts 1718'!U56,'7d Success counts 1617'!U56)</f>
        <v>332</v>
      </c>
      <c r="V58" s="80">
        <f>AVERAGE('7b. Success proj 1819'!V56,'7c. Success counts 1718'!V56,'7d Success counts 1617'!V56)</f>
        <v>215</v>
      </c>
      <c r="W58" s="80">
        <f>AVERAGE('7b. Success proj 1819'!W56,'7c. Success counts 1718'!W56,'7d Success counts 1617'!W56)</f>
        <v>1449</v>
      </c>
      <c r="X58" s="80">
        <f>AVERAGE('7b. Success proj 1819'!X56,'7c. Success counts 1718'!X56,'7d Success counts 1617'!X56)</f>
        <v>1270</v>
      </c>
      <c r="Y58" s="80">
        <f>AVERAGE('7b. Success proj 1819'!Y56,'7c. Success counts 1718'!Y56,'7d Success counts 1617'!Y56)</f>
        <v>408</v>
      </c>
    </row>
    <row r="59" spans="1:25" x14ac:dyDescent="0.25">
      <c r="A59" s="170" t="s">
        <v>91</v>
      </c>
      <c r="B59" s="80">
        <f>AVERAGE('7b. Success proj 1819'!B57,'7c. Success counts 1718'!B57,'7d Success counts 1617'!B57)</f>
        <v>447</v>
      </c>
      <c r="C59" s="80">
        <f>AVERAGE('7b. Success proj 1819'!C57,'7c. Success counts 1718'!C57,'7d Success counts 1617'!C57)</f>
        <v>895</v>
      </c>
      <c r="D59" s="80">
        <f>AVERAGE('7b. Success proj 1819'!D57,'7c. Success counts 1718'!D57,'7d Success counts 1617'!D57)</f>
        <v>0</v>
      </c>
      <c r="E59" s="80">
        <f>AVERAGE('7b. Success proj 1819'!E57,'7c. Success counts 1718'!E57,'7d Success counts 1617'!E57)</f>
        <v>318</v>
      </c>
      <c r="F59" s="80">
        <f>AVERAGE('7b. Success proj 1819'!F57,'7c. Success counts 1718'!F57,'7d Success counts 1617'!F57)</f>
        <v>366</v>
      </c>
      <c r="G59" s="80">
        <f>AVERAGE('7b. Success proj 1819'!G57,'7c. Success counts 1718'!G57,'7d Success counts 1617'!G57)</f>
        <v>2682</v>
      </c>
      <c r="H59" s="80">
        <f>AVERAGE('7b. Success proj 1819'!H57,'7c. Success counts 1718'!H57,'7d Success counts 1617'!H57)</f>
        <v>1889</v>
      </c>
      <c r="I59" s="80">
        <f>AVERAGE('7b. Success proj 1819'!I57,'7c. Success counts 1718'!I57,'7d Success counts 1617'!I57)</f>
        <v>1759</v>
      </c>
      <c r="J59" s="80">
        <f>AVERAGE('7b. Success proj 1819'!J57,'7c. Success counts 1718'!J57,'7d Success counts 1617'!J57)</f>
        <v>196</v>
      </c>
      <c r="K59" s="80">
        <f>AVERAGE('7b. Success proj 1819'!K57,'7c. Success counts 1718'!K57,'7d Success counts 1617'!K57)</f>
        <v>321</v>
      </c>
      <c r="L59" s="80">
        <f>AVERAGE('7b. Success proj 1819'!L57,'7c. Success counts 1718'!L57,'7d Success counts 1617'!L57)</f>
        <v>0</v>
      </c>
      <c r="M59" s="80">
        <f>AVERAGE('7b. Success proj 1819'!M57,'7c. Success counts 1718'!M57,'7d Success counts 1617'!M57)</f>
        <v>118</v>
      </c>
      <c r="N59" s="80">
        <f>AVERAGE('7b. Success proj 1819'!N57,'7c. Success counts 1718'!N57,'7d Success counts 1617'!N57)</f>
        <v>79</v>
      </c>
      <c r="O59" s="80">
        <f>AVERAGE('7b. Success proj 1819'!O57,'7c. Success counts 1718'!O57,'7d Success counts 1617'!O57)</f>
        <v>998</v>
      </c>
      <c r="P59" s="80">
        <f>AVERAGE('7b. Success proj 1819'!P57,'7c. Success counts 1718'!P57,'7d Success counts 1617'!P57)</f>
        <v>515</v>
      </c>
      <c r="Q59" s="80">
        <f>AVERAGE('7b. Success proj 1819'!Q57,'7c. Success counts 1718'!Q57,'7d Success counts 1617'!Q57)</f>
        <v>410</v>
      </c>
      <c r="R59" s="80">
        <f>AVERAGE('7b. Success proj 1819'!R57,'7c. Success counts 1718'!R57,'7d Success counts 1617'!R57)</f>
        <v>285</v>
      </c>
      <c r="S59" s="80">
        <f>AVERAGE('7b. Success proj 1819'!S57,'7c. Success counts 1718'!S57,'7d Success counts 1617'!S57)</f>
        <v>500</v>
      </c>
      <c r="T59" s="80">
        <f>AVERAGE('7b. Success proj 1819'!T57,'7c. Success counts 1718'!T57,'7d Success counts 1617'!T57)</f>
        <v>0</v>
      </c>
      <c r="U59" s="80">
        <f>AVERAGE('7b. Success proj 1819'!U57,'7c. Success counts 1718'!U57,'7d Success counts 1617'!U57)</f>
        <v>178</v>
      </c>
      <c r="V59" s="80">
        <f>AVERAGE('7b. Success proj 1819'!V57,'7c. Success counts 1718'!V57,'7d Success counts 1617'!V57)</f>
        <v>148</v>
      </c>
      <c r="W59" s="80">
        <f>AVERAGE('7b. Success proj 1819'!W57,'7c. Success counts 1718'!W57,'7d Success counts 1617'!W57)</f>
        <v>1545</v>
      </c>
      <c r="X59" s="80">
        <f>AVERAGE('7b. Success proj 1819'!X57,'7c. Success counts 1718'!X57,'7d Success counts 1617'!X57)</f>
        <v>809</v>
      </c>
      <c r="Y59" s="80">
        <f>AVERAGE('7b. Success proj 1819'!Y57,'7c. Success counts 1718'!Y57,'7d Success counts 1617'!Y57)</f>
        <v>860</v>
      </c>
    </row>
    <row r="60" spans="1:25" x14ac:dyDescent="0.25">
      <c r="A60" s="170" t="s">
        <v>92</v>
      </c>
      <c r="B60" s="80">
        <f>AVERAGE('7b. Success proj 1819'!B58,'7c. Success counts 1718'!B58,'7d Success counts 1617'!B58)</f>
        <v>919</v>
      </c>
      <c r="C60" s="80">
        <f>AVERAGE('7b. Success proj 1819'!C58,'7c. Success counts 1718'!C58,'7d Success counts 1617'!C58)</f>
        <v>863</v>
      </c>
      <c r="D60" s="80">
        <f>AVERAGE('7b. Success proj 1819'!D58,'7c. Success counts 1718'!D58,'7d Success counts 1617'!D58)</f>
        <v>0</v>
      </c>
      <c r="E60" s="80">
        <f>AVERAGE('7b. Success proj 1819'!E58,'7c. Success counts 1718'!E58,'7d Success counts 1617'!E58)</f>
        <v>103</v>
      </c>
      <c r="F60" s="80">
        <f>AVERAGE('7b. Success proj 1819'!F58,'7c. Success counts 1718'!F58,'7d Success counts 1617'!F58)</f>
        <v>461</v>
      </c>
      <c r="G60" s="80">
        <f>AVERAGE('7b. Success proj 1819'!G58,'7c. Success counts 1718'!G58,'7d Success counts 1617'!G58)</f>
        <v>2933</v>
      </c>
      <c r="H60" s="80">
        <f>AVERAGE('7b. Success proj 1819'!H58,'7c. Success counts 1718'!H58,'7d Success counts 1617'!H58)</f>
        <v>2224</v>
      </c>
      <c r="I60" s="80">
        <f>AVERAGE('7b. Success proj 1819'!I58,'7c. Success counts 1718'!I58,'7d Success counts 1617'!I58)</f>
        <v>3872</v>
      </c>
      <c r="J60" s="80">
        <f>AVERAGE('7b. Success proj 1819'!J58,'7c. Success counts 1718'!J58,'7d Success counts 1617'!J58)</f>
        <v>380</v>
      </c>
      <c r="K60" s="80">
        <f>AVERAGE('7b. Success proj 1819'!K58,'7c. Success counts 1718'!K58,'7d Success counts 1617'!K58)</f>
        <v>337</v>
      </c>
      <c r="L60" s="80">
        <f>AVERAGE('7b. Success proj 1819'!L58,'7c. Success counts 1718'!L58,'7d Success counts 1617'!L58)</f>
        <v>0</v>
      </c>
      <c r="M60" s="80">
        <f>AVERAGE('7b. Success proj 1819'!M58,'7c. Success counts 1718'!M58,'7d Success counts 1617'!M58)</f>
        <v>56</v>
      </c>
      <c r="N60" s="80">
        <f>AVERAGE('7b. Success proj 1819'!N58,'7c. Success counts 1718'!N58,'7d Success counts 1617'!N58)</f>
        <v>107</v>
      </c>
      <c r="O60" s="80">
        <f>AVERAGE('7b. Success proj 1819'!O58,'7c. Success counts 1718'!O58,'7d Success counts 1617'!O58)</f>
        <v>857</v>
      </c>
      <c r="P60" s="80">
        <f>AVERAGE('7b. Success proj 1819'!P58,'7c. Success counts 1718'!P58,'7d Success counts 1617'!P58)</f>
        <v>719</v>
      </c>
      <c r="Q60" s="80">
        <f>AVERAGE('7b. Success proj 1819'!Q58,'7c. Success counts 1718'!Q58,'7d Success counts 1617'!Q58)</f>
        <v>409</v>
      </c>
      <c r="R60" s="80">
        <f>AVERAGE('7b. Success proj 1819'!R58,'7c. Success counts 1718'!R58,'7d Success counts 1617'!R58)</f>
        <v>572</v>
      </c>
      <c r="S60" s="80">
        <f>AVERAGE('7b. Success proj 1819'!S58,'7c. Success counts 1718'!S58,'7d Success counts 1617'!S58)</f>
        <v>515</v>
      </c>
      <c r="T60" s="80">
        <f>AVERAGE('7b. Success proj 1819'!T58,'7c. Success counts 1718'!T58,'7d Success counts 1617'!T58)</f>
        <v>0</v>
      </c>
      <c r="U60" s="80">
        <f>AVERAGE('7b. Success proj 1819'!U58,'7c. Success counts 1718'!U58,'7d Success counts 1617'!U58)</f>
        <v>73</v>
      </c>
      <c r="V60" s="80">
        <f>AVERAGE('7b. Success proj 1819'!V58,'7c. Success counts 1718'!V58,'7d Success counts 1617'!V58)</f>
        <v>190</v>
      </c>
      <c r="W60" s="80">
        <f>AVERAGE('7b. Success proj 1819'!W58,'7c. Success counts 1718'!W58,'7d Success counts 1617'!W58)</f>
        <v>1352</v>
      </c>
      <c r="X60" s="80">
        <f>AVERAGE('7b. Success proj 1819'!X58,'7c. Success counts 1718'!X58,'7d Success counts 1617'!X58)</f>
        <v>1135</v>
      </c>
      <c r="Y60" s="80">
        <f>AVERAGE('7b. Success proj 1819'!Y58,'7c. Success counts 1718'!Y58,'7d Success counts 1617'!Y58)</f>
        <v>870</v>
      </c>
    </row>
    <row r="61" spans="1:25" x14ac:dyDescent="0.25">
      <c r="A61" s="170" t="s">
        <v>31</v>
      </c>
      <c r="B61" s="80">
        <f>AVERAGE('7b. Success proj 1819'!B59,'7c. Success counts 1718'!B59,'7d Success counts 1617'!B59)</f>
        <v>584</v>
      </c>
      <c r="C61" s="80">
        <f>AVERAGE('7b. Success proj 1819'!C59,'7c. Success counts 1718'!C59,'7d Success counts 1617'!C59)</f>
        <v>1148</v>
      </c>
      <c r="D61" s="80">
        <f>AVERAGE('7b. Success proj 1819'!D59,'7c. Success counts 1718'!D59,'7d Success counts 1617'!D59)</f>
        <v>13</v>
      </c>
      <c r="E61" s="80">
        <f>AVERAGE('7b. Success proj 1819'!E59,'7c. Success counts 1718'!E59,'7d Success counts 1617'!E59)</f>
        <v>615</v>
      </c>
      <c r="F61" s="80">
        <f>AVERAGE('7b. Success proj 1819'!F59,'7c. Success counts 1718'!F59,'7d Success counts 1617'!F59)</f>
        <v>568</v>
      </c>
      <c r="G61" s="80">
        <f>AVERAGE('7b. Success proj 1819'!G59,'7c. Success counts 1718'!G59,'7d Success counts 1617'!G59)</f>
        <v>3758</v>
      </c>
      <c r="H61" s="80">
        <f>AVERAGE('7b. Success proj 1819'!H59,'7c. Success counts 1718'!H59,'7d Success counts 1617'!H59)</f>
        <v>3146</v>
      </c>
      <c r="I61" s="80">
        <f>AVERAGE('7b. Success proj 1819'!I59,'7c. Success counts 1718'!I59,'7d Success counts 1617'!I59)</f>
        <v>2797</v>
      </c>
      <c r="J61" s="80">
        <f>AVERAGE('7b. Success proj 1819'!J59,'7c. Success counts 1718'!J59,'7d Success counts 1617'!J59)</f>
        <v>297</v>
      </c>
      <c r="K61" s="80">
        <f>AVERAGE('7b. Success proj 1819'!K59,'7c. Success counts 1718'!K59,'7d Success counts 1617'!K59)</f>
        <v>523</v>
      </c>
      <c r="L61" s="80">
        <f>AVERAGE('7b. Success proj 1819'!L59,'7c. Success counts 1718'!L59,'7d Success counts 1617'!L59)</f>
        <v>8</v>
      </c>
      <c r="M61" s="80">
        <f>AVERAGE('7b. Success proj 1819'!M59,'7c. Success counts 1718'!M59,'7d Success counts 1617'!M59)</f>
        <v>162</v>
      </c>
      <c r="N61" s="80">
        <f>AVERAGE('7b. Success proj 1819'!N59,'7c. Success counts 1718'!N59,'7d Success counts 1617'!N59)</f>
        <v>155</v>
      </c>
      <c r="O61" s="80">
        <f>AVERAGE('7b. Success proj 1819'!O59,'7c. Success counts 1718'!O59,'7d Success counts 1617'!O59)</f>
        <v>1153</v>
      </c>
      <c r="P61" s="80">
        <f>AVERAGE('7b. Success proj 1819'!P59,'7c. Success counts 1718'!P59,'7d Success counts 1617'!P59)</f>
        <v>1129</v>
      </c>
      <c r="Q61" s="80">
        <f>AVERAGE('7b. Success proj 1819'!Q59,'7c. Success counts 1718'!Q59,'7d Success counts 1617'!Q59)</f>
        <v>510</v>
      </c>
      <c r="R61" s="80">
        <f>AVERAGE('7b. Success proj 1819'!R59,'7c. Success counts 1718'!R59,'7d Success counts 1617'!R59)</f>
        <v>408</v>
      </c>
      <c r="S61" s="80">
        <f>AVERAGE('7b. Success proj 1819'!S59,'7c. Success counts 1718'!S59,'7d Success counts 1617'!S59)</f>
        <v>720</v>
      </c>
      <c r="T61" s="80">
        <f>AVERAGE('7b. Success proj 1819'!T59,'7c. Success counts 1718'!T59,'7d Success counts 1617'!T59)</f>
        <v>12</v>
      </c>
      <c r="U61" s="80">
        <f>AVERAGE('7b. Success proj 1819'!U59,'7c. Success counts 1718'!U59,'7d Success counts 1617'!U59)</f>
        <v>243</v>
      </c>
      <c r="V61" s="80">
        <f>AVERAGE('7b. Success proj 1819'!V59,'7c. Success counts 1718'!V59,'7d Success counts 1617'!V59)</f>
        <v>220</v>
      </c>
      <c r="W61" s="80">
        <f>AVERAGE('7b. Success proj 1819'!W59,'7c. Success counts 1718'!W59,'7d Success counts 1617'!W59)</f>
        <v>2000</v>
      </c>
      <c r="X61" s="80">
        <f>AVERAGE('7b. Success proj 1819'!X59,'7c. Success counts 1718'!X59,'7d Success counts 1617'!X59)</f>
        <v>1757</v>
      </c>
      <c r="Y61" s="80">
        <f>AVERAGE('7b. Success proj 1819'!Y59,'7c. Success counts 1718'!Y59,'7d Success counts 1617'!Y59)</f>
        <v>1265</v>
      </c>
    </row>
    <row r="62" spans="1:25" x14ac:dyDescent="0.25">
      <c r="A62" s="170" t="s">
        <v>93</v>
      </c>
      <c r="B62" s="80">
        <f>AVERAGE('7b. Success proj 1819'!B60,'7c. Success counts 1718'!B60,'7d Success counts 1617'!B60)</f>
        <v>425</v>
      </c>
      <c r="C62" s="80">
        <f>AVERAGE('7b. Success proj 1819'!C60,'7c. Success counts 1718'!C60,'7d Success counts 1617'!C60)</f>
        <v>636</v>
      </c>
      <c r="D62" s="80">
        <f>AVERAGE('7b. Success proj 1819'!D60,'7c. Success counts 1718'!D60,'7d Success counts 1617'!D60)</f>
        <v>0</v>
      </c>
      <c r="E62" s="80">
        <f>AVERAGE('7b. Success proj 1819'!E60,'7c. Success counts 1718'!E60,'7d Success counts 1617'!E60)</f>
        <v>153</v>
      </c>
      <c r="F62" s="80">
        <f>AVERAGE('7b. Success proj 1819'!F60,'7c. Success counts 1718'!F60,'7d Success counts 1617'!F60)</f>
        <v>213</v>
      </c>
      <c r="G62" s="80">
        <f>AVERAGE('7b. Success proj 1819'!G60,'7c. Success counts 1718'!G60,'7d Success counts 1617'!G60)</f>
        <v>1825</v>
      </c>
      <c r="H62" s="80">
        <f>AVERAGE('7b. Success proj 1819'!H60,'7c. Success counts 1718'!H60,'7d Success counts 1617'!H60)</f>
        <v>934</v>
      </c>
      <c r="I62" s="80">
        <f>AVERAGE('7b. Success proj 1819'!I60,'7c. Success counts 1718'!I60,'7d Success counts 1617'!I60)</f>
        <v>1827</v>
      </c>
      <c r="J62" s="80">
        <f>AVERAGE('7b. Success proj 1819'!J60,'7c. Success counts 1718'!J60,'7d Success counts 1617'!J60)</f>
        <v>281</v>
      </c>
      <c r="K62" s="80">
        <f>AVERAGE('7b. Success proj 1819'!K60,'7c. Success counts 1718'!K60,'7d Success counts 1617'!K60)</f>
        <v>435</v>
      </c>
      <c r="L62" s="80">
        <f>AVERAGE('7b. Success proj 1819'!L60,'7c. Success counts 1718'!L60,'7d Success counts 1617'!L60)</f>
        <v>0</v>
      </c>
      <c r="M62" s="80">
        <f>AVERAGE('7b. Success proj 1819'!M60,'7c. Success counts 1718'!M60,'7d Success counts 1617'!M60)</f>
        <v>100</v>
      </c>
      <c r="N62" s="80">
        <f>AVERAGE('7b. Success proj 1819'!N60,'7c. Success counts 1718'!N60,'7d Success counts 1617'!N60)</f>
        <v>107</v>
      </c>
      <c r="O62" s="80">
        <f>AVERAGE('7b. Success proj 1819'!O60,'7c. Success counts 1718'!O60,'7d Success counts 1617'!O60)</f>
        <v>1145</v>
      </c>
      <c r="P62" s="80">
        <f>AVERAGE('7b. Success proj 1819'!P60,'7c. Success counts 1718'!P60,'7d Success counts 1617'!P60)</f>
        <v>549</v>
      </c>
      <c r="Q62" s="80">
        <f>AVERAGE('7b. Success proj 1819'!Q60,'7c. Success counts 1718'!Q60,'7d Success counts 1617'!Q60)</f>
        <v>937</v>
      </c>
      <c r="R62" s="80">
        <f>AVERAGE('7b. Success proj 1819'!R60,'7c. Success counts 1718'!R60,'7d Success counts 1617'!R60)</f>
        <v>346</v>
      </c>
      <c r="S62" s="80">
        <f>AVERAGE('7b. Success proj 1819'!S60,'7c. Success counts 1718'!S60,'7d Success counts 1617'!S60)</f>
        <v>536</v>
      </c>
      <c r="T62" s="80">
        <f>AVERAGE('7b. Success proj 1819'!T60,'7c. Success counts 1718'!T60,'7d Success counts 1617'!T60)</f>
        <v>0</v>
      </c>
      <c r="U62" s="80">
        <f>AVERAGE('7b. Success proj 1819'!U60,'7c. Success counts 1718'!U60,'7d Success counts 1617'!U60)</f>
        <v>125</v>
      </c>
      <c r="V62" s="80">
        <f>AVERAGE('7b. Success proj 1819'!V60,'7c. Success counts 1718'!V60,'7d Success counts 1617'!V60)</f>
        <v>144</v>
      </c>
      <c r="W62" s="80">
        <f>AVERAGE('7b. Success proj 1819'!W60,'7c. Success counts 1718'!W60,'7d Success counts 1617'!W60)</f>
        <v>1459</v>
      </c>
      <c r="X62" s="80">
        <f>AVERAGE('7b. Success proj 1819'!X60,'7c. Success counts 1718'!X60,'7d Success counts 1617'!X60)</f>
        <v>695</v>
      </c>
      <c r="Y62" s="80">
        <f>AVERAGE('7b. Success proj 1819'!Y60,'7c. Success counts 1718'!Y60,'7d Success counts 1617'!Y60)</f>
        <v>1343</v>
      </c>
    </row>
    <row r="63" spans="1:25" x14ac:dyDescent="0.25">
      <c r="A63" s="170" t="s">
        <v>94</v>
      </c>
      <c r="B63" s="80">
        <f>AVERAGE('7b. Success proj 1819'!B61,'7c. Success counts 1718'!B61,'7d Success counts 1617'!B61)</f>
        <v>246</v>
      </c>
      <c r="C63" s="80">
        <f>AVERAGE('7b. Success proj 1819'!C61,'7c. Success counts 1718'!C61,'7d Success counts 1617'!C61)</f>
        <v>542</v>
      </c>
      <c r="D63" s="80">
        <f>AVERAGE('7b. Success proj 1819'!D61,'7c. Success counts 1718'!D61,'7d Success counts 1617'!D61)</f>
        <v>2</v>
      </c>
      <c r="E63" s="80">
        <f>AVERAGE('7b. Success proj 1819'!E61,'7c. Success counts 1718'!E61,'7d Success counts 1617'!E61)</f>
        <v>174</v>
      </c>
      <c r="F63" s="80">
        <f>AVERAGE('7b. Success proj 1819'!F61,'7c. Success counts 1718'!F61,'7d Success counts 1617'!F61)</f>
        <v>109</v>
      </c>
      <c r="G63" s="80">
        <f>AVERAGE('7b. Success proj 1819'!G61,'7c. Success counts 1718'!G61,'7d Success counts 1617'!G61)</f>
        <v>1527</v>
      </c>
      <c r="H63" s="80">
        <f>AVERAGE('7b. Success proj 1819'!H61,'7c. Success counts 1718'!H61,'7d Success counts 1617'!H61)</f>
        <v>739</v>
      </c>
      <c r="I63" s="80">
        <f>AVERAGE('7b. Success proj 1819'!I61,'7c. Success counts 1718'!I61,'7d Success counts 1617'!I61)</f>
        <v>1552</v>
      </c>
      <c r="J63" s="80">
        <f>AVERAGE('7b. Success proj 1819'!J61,'7c. Success counts 1718'!J61,'7d Success counts 1617'!J61)</f>
        <v>156</v>
      </c>
      <c r="K63" s="80">
        <f>AVERAGE('7b. Success proj 1819'!K61,'7c. Success counts 1718'!K61,'7d Success counts 1617'!K61)</f>
        <v>375</v>
      </c>
      <c r="L63" s="80">
        <f>AVERAGE('7b. Success proj 1819'!L61,'7c. Success counts 1718'!L61,'7d Success counts 1617'!L61)</f>
        <v>0</v>
      </c>
      <c r="M63" s="80">
        <f>AVERAGE('7b. Success proj 1819'!M61,'7c. Success counts 1718'!M61,'7d Success counts 1617'!M61)</f>
        <v>101</v>
      </c>
      <c r="N63" s="80">
        <f>AVERAGE('7b. Success proj 1819'!N61,'7c. Success counts 1718'!N61,'7d Success counts 1617'!N61)</f>
        <v>47</v>
      </c>
      <c r="O63" s="80">
        <f>AVERAGE('7b. Success proj 1819'!O61,'7c. Success counts 1718'!O61,'7d Success counts 1617'!O61)</f>
        <v>995</v>
      </c>
      <c r="P63" s="80">
        <f>AVERAGE('7b. Success proj 1819'!P61,'7c. Success counts 1718'!P61,'7d Success counts 1617'!P61)</f>
        <v>320</v>
      </c>
      <c r="Q63" s="80">
        <f>AVERAGE('7b. Success proj 1819'!Q61,'7c. Success counts 1718'!Q61,'7d Success counts 1617'!Q61)</f>
        <v>672</v>
      </c>
      <c r="R63" s="80">
        <f>AVERAGE('7b. Success proj 1819'!R61,'7c. Success counts 1718'!R61,'7d Success counts 1617'!R61)</f>
        <v>194</v>
      </c>
      <c r="S63" s="80">
        <f>AVERAGE('7b. Success proj 1819'!S61,'7c. Success counts 1718'!S61,'7d Success counts 1617'!S61)</f>
        <v>451</v>
      </c>
      <c r="T63" s="80">
        <f>AVERAGE('7b. Success proj 1819'!T61,'7c. Success counts 1718'!T61,'7d Success counts 1617'!T61)</f>
        <v>1</v>
      </c>
      <c r="U63" s="80">
        <f>AVERAGE('7b. Success proj 1819'!U61,'7c. Success counts 1718'!U61,'7d Success counts 1617'!U61)</f>
        <v>134</v>
      </c>
      <c r="V63" s="80">
        <f>AVERAGE('7b. Success proj 1819'!V61,'7c. Success counts 1718'!V61,'7d Success counts 1617'!V61)</f>
        <v>65</v>
      </c>
      <c r="W63" s="80">
        <f>AVERAGE('7b. Success proj 1819'!W61,'7c. Success counts 1718'!W61,'7d Success counts 1617'!W61)</f>
        <v>1264</v>
      </c>
      <c r="X63" s="80">
        <f>AVERAGE('7b. Success proj 1819'!X61,'7c. Success counts 1718'!X61,'7d Success counts 1617'!X61)</f>
        <v>422</v>
      </c>
      <c r="Y63" s="80">
        <f>AVERAGE('7b. Success proj 1819'!Y61,'7c. Success counts 1718'!Y61,'7d Success counts 1617'!Y61)</f>
        <v>1009</v>
      </c>
    </row>
    <row r="64" spans="1:25" x14ac:dyDescent="0.25">
      <c r="A64" s="170" t="s">
        <v>95</v>
      </c>
      <c r="B64" s="80">
        <f>AVERAGE('7b. Success proj 1819'!B62,'7c. Success counts 1718'!B62,'7d Success counts 1617'!B62)</f>
        <v>754</v>
      </c>
      <c r="C64" s="80">
        <f>AVERAGE('7b. Success proj 1819'!C62,'7c. Success counts 1718'!C62,'7d Success counts 1617'!C62)</f>
        <v>1136</v>
      </c>
      <c r="D64" s="80">
        <f>AVERAGE('7b. Success proj 1819'!D62,'7c. Success counts 1718'!D62,'7d Success counts 1617'!D62)</f>
        <v>0</v>
      </c>
      <c r="E64" s="80">
        <f>AVERAGE('7b. Success proj 1819'!E62,'7c. Success counts 1718'!E62,'7d Success counts 1617'!E62)</f>
        <v>80</v>
      </c>
      <c r="F64" s="80">
        <f>AVERAGE('7b. Success proj 1819'!F62,'7c. Success counts 1718'!F62,'7d Success counts 1617'!F62)</f>
        <v>700</v>
      </c>
      <c r="G64" s="80">
        <f>AVERAGE('7b. Success proj 1819'!G62,'7c. Success counts 1718'!G62,'7d Success counts 1617'!G62)</f>
        <v>2547</v>
      </c>
      <c r="H64" s="80">
        <f>AVERAGE('7b. Success proj 1819'!H62,'7c. Success counts 1718'!H62,'7d Success counts 1617'!H62)</f>
        <v>1918</v>
      </c>
      <c r="I64" s="80">
        <f>AVERAGE('7b. Success proj 1819'!I62,'7c. Success counts 1718'!I62,'7d Success counts 1617'!I62)</f>
        <v>2289</v>
      </c>
      <c r="J64" s="80">
        <f>AVERAGE('7b. Success proj 1819'!J62,'7c. Success counts 1718'!J62,'7d Success counts 1617'!J62)</f>
        <v>344</v>
      </c>
      <c r="K64" s="80">
        <f>AVERAGE('7b. Success proj 1819'!K62,'7c. Success counts 1718'!K62,'7d Success counts 1617'!K62)</f>
        <v>523</v>
      </c>
      <c r="L64" s="80">
        <f>AVERAGE('7b. Success proj 1819'!L62,'7c. Success counts 1718'!L62,'7d Success counts 1617'!L62)</f>
        <v>0</v>
      </c>
      <c r="M64" s="80">
        <f>AVERAGE('7b. Success proj 1819'!M62,'7c. Success counts 1718'!M62,'7d Success counts 1617'!M62)</f>
        <v>35</v>
      </c>
      <c r="N64" s="80">
        <f>AVERAGE('7b. Success proj 1819'!N62,'7c. Success counts 1718'!N62,'7d Success counts 1617'!N62)</f>
        <v>200</v>
      </c>
      <c r="O64" s="80">
        <f>AVERAGE('7b. Success proj 1819'!O62,'7c. Success counts 1718'!O62,'7d Success counts 1617'!O62)</f>
        <v>989</v>
      </c>
      <c r="P64" s="80">
        <f>AVERAGE('7b. Success proj 1819'!P62,'7c. Success counts 1718'!P62,'7d Success counts 1617'!P62)</f>
        <v>665</v>
      </c>
      <c r="Q64" s="80">
        <f>AVERAGE('7b. Success proj 1819'!Q62,'7c. Success counts 1718'!Q62,'7d Success counts 1617'!Q62)</f>
        <v>680</v>
      </c>
      <c r="R64" s="80">
        <f>AVERAGE('7b. Success proj 1819'!R62,'7c. Success counts 1718'!R62,'7d Success counts 1617'!R62)</f>
        <v>481</v>
      </c>
      <c r="S64" s="80">
        <f>AVERAGE('7b. Success proj 1819'!S62,'7c. Success counts 1718'!S62,'7d Success counts 1617'!S62)</f>
        <v>755</v>
      </c>
      <c r="T64" s="80">
        <f>AVERAGE('7b. Success proj 1819'!T62,'7c. Success counts 1718'!T62,'7d Success counts 1617'!T62)</f>
        <v>0</v>
      </c>
      <c r="U64" s="80">
        <f>AVERAGE('7b. Success proj 1819'!U62,'7c. Success counts 1718'!U62,'7d Success counts 1617'!U62)</f>
        <v>52</v>
      </c>
      <c r="V64" s="80">
        <f>AVERAGE('7b. Success proj 1819'!V62,'7c. Success counts 1718'!V62,'7d Success counts 1617'!V62)</f>
        <v>313</v>
      </c>
      <c r="W64" s="80">
        <f>AVERAGE('7b. Success proj 1819'!W62,'7c. Success counts 1718'!W62,'7d Success counts 1617'!W62)</f>
        <v>1503</v>
      </c>
      <c r="X64" s="80">
        <f>AVERAGE('7b. Success proj 1819'!X62,'7c. Success counts 1718'!X62,'7d Success counts 1617'!X62)</f>
        <v>1055</v>
      </c>
      <c r="Y64" s="80">
        <f>AVERAGE('7b. Success proj 1819'!Y62,'7c. Success counts 1718'!Y62,'7d Success counts 1617'!Y62)</f>
        <v>1230</v>
      </c>
    </row>
    <row r="65" spans="1:25" x14ac:dyDescent="0.25">
      <c r="A65" s="170" t="s">
        <v>96</v>
      </c>
      <c r="B65" s="80">
        <f>AVERAGE('7b. Success proj 1819'!B63,'7c. Success counts 1718'!B63,'7d Success counts 1617'!B63)</f>
        <v>17</v>
      </c>
      <c r="C65" s="80">
        <f>AVERAGE('7b. Success proj 1819'!C63,'7c. Success counts 1718'!C63,'7d Success counts 1617'!C63)</f>
        <v>161</v>
      </c>
      <c r="D65" s="80">
        <f>AVERAGE('7b. Success proj 1819'!D63,'7c. Success counts 1718'!D63,'7d Success counts 1617'!D63)</f>
        <v>0</v>
      </c>
      <c r="E65" s="80">
        <f>AVERAGE('7b. Success proj 1819'!E63,'7c. Success counts 1718'!E63,'7d Success counts 1617'!E63)</f>
        <v>69</v>
      </c>
      <c r="F65" s="80">
        <f>AVERAGE('7b. Success proj 1819'!F63,'7c. Success counts 1718'!F63,'7d Success counts 1617'!F63)</f>
        <v>104</v>
      </c>
      <c r="G65" s="80">
        <f>AVERAGE('7b. Success proj 1819'!G63,'7c. Success counts 1718'!G63,'7d Success counts 1617'!G63)</f>
        <v>317</v>
      </c>
      <c r="H65" s="80">
        <f>AVERAGE('7b. Success proj 1819'!H63,'7c. Success counts 1718'!H63,'7d Success counts 1617'!H63)</f>
        <v>155</v>
      </c>
      <c r="I65" s="80">
        <f>AVERAGE('7b. Success proj 1819'!I63,'7c. Success counts 1718'!I63,'7d Success counts 1617'!I63)</f>
        <v>1021</v>
      </c>
      <c r="J65" s="80">
        <f>AVERAGE('7b. Success proj 1819'!J63,'7c. Success counts 1718'!J63,'7d Success counts 1617'!J63)</f>
        <v>11</v>
      </c>
      <c r="K65" s="80">
        <f>AVERAGE('7b. Success proj 1819'!K63,'7c. Success counts 1718'!K63,'7d Success counts 1617'!K63)</f>
        <v>106</v>
      </c>
      <c r="L65" s="80">
        <f>AVERAGE('7b. Success proj 1819'!L63,'7c. Success counts 1718'!L63,'7d Success counts 1617'!L63)</f>
        <v>0</v>
      </c>
      <c r="M65" s="80">
        <f>AVERAGE('7b. Success proj 1819'!M63,'7c. Success counts 1718'!M63,'7d Success counts 1617'!M63)</f>
        <v>35</v>
      </c>
      <c r="N65" s="80">
        <f>AVERAGE('7b. Success proj 1819'!N63,'7c. Success counts 1718'!N63,'7d Success counts 1617'!N63)</f>
        <v>65</v>
      </c>
      <c r="O65" s="80">
        <f>AVERAGE('7b. Success proj 1819'!O63,'7c. Success counts 1718'!O63,'7d Success counts 1617'!O63)</f>
        <v>172</v>
      </c>
      <c r="P65" s="80">
        <f>AVERAGE('7b. Success proj 1819'!P63,'7c. Success counts 1718'!P63,'7d Success counts 1617'!P63)</f>
        <v>69</v>
      </c>
      <c r="Q65" s="80">
        <f>AVERAGE('7b. Success proj 1819'!Q63,'7c. Success counts 1718'!Q63,'7d Success counts 1617'!Q63)</f>
        <v>143</v>
      </c>
      <c r="R65" s="80">
        <f>AVERAGE('7b. Success proj 1819'!R63,'7c. Success counts 1718'!R63,'7d Success counts 1617'!R63)</f>
        <v>15</v>
      </c>
      <c r="S65" s="80">
        <f>AVERAGE('7b. Success proj 1819'!S63,'7c. Success counts 1718'!S63,'7d Success counts 1617'!S63)</f>
        <v>126</v>
      </c>
      <c r="T65" s="80">
        <f>AVERAGE('7b. Success proj 1819'!T63,'7c. Success counts 1718'!T63,'7d Success counts 1617'!T63)</f>
        <v>0</v>
      </c>
      <c r="U65" s="80">
        <f>AVERAGE('7b. Success proj 1819'!U63,'7c. Success counts 1718'!U63,'7d Success counts 1617'!U63)</f>
        <v>37</v>
      </c>
      <c r="V65" s="80">
        <f>AVERAGE('7b. Success proj 1819'!V63,'7c. Success counts 1718'!V63,'7d Success counts 1617'!V63)</f>
        <v>50</v>
      </c>
      <c r="W65" s="80">
        <f>AVERAGE('7b. Success proj 1819'!W63,'7c. Success counts 1718'!W63,'7d Success counts 1617'!W63)</f>
        <v>220</v>
      </c>
      <c r="X65" s="80">
        <f>AVERAGE('7b. Success proj 1819'!X63,'7c. Success counts 1718'!X63,'7d Success counts 1617'!X63)</f>
        <v>65</v>
      </c>
      <c r="Y65" s="80">
        <f>AVERAGE('7b. Success proj 1819'!Y63,'7c. Success counts 1718'!Y63,'7d Success counts 1617'!Y63)</f>
        <v>211</v>
      </c>
    </row>
    <row r="66" spans="1:25" x14ac:dyDescent="0.25">
      <c r="A66" s="170" t="s">
        <v>97</v>
      </c>
      <c r="B66" s="80">
        <f>AVERAGE('7b. Success proj 1819'!B64,'7c. Success counts 1718'!B64,'7d Success counts 1617'!B64)</f>
        <v>188</v>
      </c>
      <c r="C66" s="80">
        <f>AVERAGE('7b. Success proj 1819'!C64,'7c. Success counts 1718'!C64,'7d Success counts 1617'!C64)</f>
        <v>455</v>
      </c>
      <c r="D66" s="80">
        <f>AVERAGE('7b. Success proj 1819'!D64,'7c. Success counts 1718'!D64,'7d Success counts 1617'!D64)</f>
        <v>0</v>
      </c>
      <c r="E66" s="80">
        <f>AVERAGE('7b. Success proj 1819'!E64,'7c. Success counts 1718'!E64,'7d Success counts 1617'!E64)</f>
        <v>76</v>
      </c>
      <c r="F66" s="80">
        <f>AVERAGE('7b. Success proj 1819'!F64,'7c. Success counts 1718'!F64,'7d Success counts 1617'!F64)</f>
        <v>190</v>
      </c>
      <c r="G66" s="80">
        <f>AVERAGE('7b. Success proj 1819'!G64,'7c. Success counts 1718'!G64,'7d Success counts 1617'!G64)</f>
        <v>1155</v>
      </c>
      <c r="H66" s="80">
        <f>AVERAGE('7b. Success proj 1819'!H64,'7c. Success counts 1718'!H64,'7d Success counts 1617'!H64)</f>
        <v>932</v>
      </c>
      <c r="I66" s="80">
        <f>AVERAGE('7b. Success proj 1819'!I64,'7c. Success counts 1718'!I64,'7d Success counts 1617'!I64)</f>
        <v>1347</v>
      </c>
      <c r="J66" s="80">
        <f>AVERAGE('7b. Success proj 1819'!J64,'7c. Success counts 1718'!J64,'7d Success counts 1617'!J64)</f>
        <v>74</v>
      </c>
      <c r="K66" s="80">
        <f>AVERAGE('7b. Success proj 1819'!K64,'7c. Success counts 1718'!K64,'7d Success counts 1617'!K64)</f>
        <v>219</v>
      </c>
      <c r="L66" s="80">
        <f>AVERAGE('7b. Success proj 1819'!L64,'7c. Success counts 1718'!L64,'7d Success counts 1617'!L64)</f>
        <v>0</v>
      </c>
      <c r="M66" s="80">
        <f>AVERAGE('7b. Success proj 1819'!M64,'7c. Success counts 1718'!M64,'7d Success counts 1617'!M64)</f>
        <v>39</v>
      </c>
      <c r="N66" s="80">
        <f>AVERAGE('7b. Success proj 1819'!N64,'7c. Success counts 1718'!N64,'7d Success counts 1617'!N64)</f>
        <v>47</v>
      </c>
      <c r="O66" s="80">
        <f>AVERAGE('7b. Success proj 1819'!O64,'7c. Success counts 1718'!O64,'7d Success counts 1617'!O64)</f>
        <v>434</v>
      </c>
      <c r="P66" s="80">
        <f>AVERAGE('7b. Success proj 1819'!P64,'7c. Success counts 1718'!P64,'7d Success counts 1617'!P64)</f>
        <v>309</v>
      </c>
      <c r="Q66" s="80">
        <f>AVERAGE('7b. Success proj 1819'!Q64,'7c. Success counts 1718'!Q64,'7d Success counts 1617'!Q64)</f>
        <v>351</v>
      </c>
      <c r="R66" s="80">
        <f>AVERAGE('7b. Success proj 1819'!R64,'7c. Success counts 1718'!R64,'7d Success counts 1617'!R64)</f>
        <v>129</v>
      </c>
      <c r="S66" s="80">
        <f>AVERAGE('7b. Success proj 1819'!S64,'7c. Success counts 1718'!S64,'7d Success counts 1617'!S64)</f>
        <v>331</v>
      </c>
      <c r="T66" s="80">
        <f>AVERAGE('7b. Success proj 1819'!T64,'7c. Success counts 1718'!T64,'7d Success counts 1617'!T64)</f>
        <v>0</v>
      </c>
      <c r="U66" s="80">
        <f>AVERAGE('7b. Success proj 1819'!U64,'7c. Success counts 1718'!U64,'7d Success counts 1617'!U64)</f>
        <v>63</v>
      </c>
      <c r="V66" s="80">
        <f>AVERAGE('7b. Success proj 1819'!V64,'7c. Success counts 1718'!V64,'7d Success counts 1617'!V64)</f>
        <v>91</v>
      </c>
      <c r="W66" s="80">
        <f>AVERAGE('7b. Success proj 1819'!W64,'7c. Success counts 1718'!W64,'7d Success counts 1617'!W64)</f>
        <v>762</v>
      </c>
      <c r="X66" s="80">
        <f>AVERAGE('7b. Success proj 1819'!X64,'7c. Success counts 1718'!X64,'7d Success counts 1617'!X64)</f>
        <v>578</v>
      </c>
      <c r="Y66" s="80">
        <f>AVERAGE('7b. Success proj 1819'!Y64,'7c. Success counts 1718'!Y64,'7d Success counts 1617'!Y64)</f>
        <v>710</v>
      </c>
    </row>
    <row r="67" spans="1:25" x14ac:dyDescent="0.25">
      <c r="A67" s="170" t="s">
        <v>98</v>
      </c>
      <c r="B67" s="80">
        <f>AVERAGE('7b. Success proj 1819'!B65,'7c. Success counts 1718'!B65,'7d Success counts 1617'!B65)</f>
        <v>643</v>
      </c>
      <c r="C67" s="80">
        <f>AVERAGE('7b. Success proj 1819'!C65,'7c. Success counts 1718'!C65,'7d Success counts 1617'!C65)</f>
        <v>1093</v>
      </c>
      <c r="D67" s="80">
        <f>AVERAGE('7b. Success proj 1819'!D65,'7c. Success counts 1718'!D65,'7d Success counts 1617'!D65)</f>
        <v>0</v>
      </c>
      <c r="E67" s="80">
        <f>AVERAGE('7b. Success proj 1819'!E65,'7c. Success counts 1718'!E65,'7d Success counts 1617'!E65)</f>
        <v>440</v>
      </c>
      <c r="F67" s="80">
        <f>AVERAGE('7b. Success proj 1819'!F65,'7c. Success counts 1718'!F65,'7d Success counts 1617'!F65)</f>
        <v>214</v>
      </c>
      <c r="G67" s="80">
        <f>AVERAGE('7b. Success proj 1819'!G65,'7c. Success counts 1718'!G65,'7d Success counts 1617'!G65)</f>
        <v>2888</v>
      </c>
      <c r="H67" s="80">
        <f>AVERAGE('7b. Success proj 1819'!H65,'7c. Success counts 1718'!H65,'7d Success counts 1617'!H65)</f>
        <v>1599</v>
      </c>
      <c r="I67" s="80">
        <f>AVERAGE('7b. Success proj 1819'!I65,'7c. Success counts 1718'!I65,'7d Success counts 1617'!I65)</f>
        <v>3689</v>
      </c>
      <c r="J67" s="80">
        <f>AVERAGE('7b. Success proj 1819'!J65,'7c. Success counts 1718'!J65,'7d Success counts 1617'!J65)</f>
        <v>244</v>
      </c>
      <c r="K67" s="80">
        <f>AVERAGE('7b. Success proj 1819'!K65,'7c. Success counts 1718'!K65,'7d Success counts 1617'!K65)</f>
        <v>461</v>
      </c>
      <c r="L67" s="80">
        <f>AVERAGE('7b. Success proj 1819'!L65,'7c. Success counts 1718'!L65,'7d Success counts 1617'!L65)</f>
        <v>0</v>
      </c>
      <c r="M67" s="80">
        <f>AVERAGE('7b. Success proj 1819'!M65,'7c. Success counts 1718'!M65,'7d Success counts 1617'!M65)</f>
        <v>131</v>
      </c>
      <c r="N67" s="80">
        <f>AVERAGE('7b. Success proj 1819'!N65,'7c. Success counts 1718'!N65,'7d Success counts 1617'!N65)</f>
        <v>53</v>
      </c>
      <c r="O67" s="80">
        <f>AVERAGE('7b. Success proj 1819'!O65,'7c. Success counts 1718'!O65,'7d Success counts 1617'!O65)</f>
        <v>993</v>
      </c>
      <c r="P67" s="80">
        <f>AVERAGE('7b. Success proj 1819'!P65,'7c. Success counts 1718'!P65,'7d Success counts 1617'!P65)</f>
        <v>468</v>
      </c>
      <c r="Q67" s="80">
        <f>AVERAGE('7b. Success proj 1819'!Q65,'7c. Success counts 1718'!Q65,'7d Success counts 1617'!Q65)</f>
        <v>561</v>
      </c>
      <c r="R67" s="80">
        <f>AVERAGE('7b. Success proj 1819'!R65,'7c. Success counts 1718'!R65,'7d Success counts 1617'!R65)</f>
        <v>405</v>
      </c>
      <c r="S67" s="80">
        <f>AVERAGE('7b. Success proj 1819'!S65,'7c. Success counts 1718'!S65,'7d Success counts 1617'!S65)</f>
        <v>771</v>
      </c>
      <c r="T67" s="80">
        <f>AVERAGE('7b. Success proj 1819'!T65,'7c. Success counts 1718'!T65,'7d Success counts 1617'!T65)</f>
        <v>0</v>
      </c>
      <c r="U67" s="80">
        <f>AVERAGE('7b. Success proj 1819'!U65,'7c. Success counts 1718'!U65,'7d Success counts 1617'!U65)</f>
        <v>240</v>
      </c>
      <c r="V67" s="80">
        <f>AVERAGE('7b. Success proj 1819'!V65,'7c. Success counts 1718'!V65,'7d Success counts 1617'!V65)</f>
        <v>96</v>
      </c>
      <c r="W67" s="80">
        <f>AVERAGE('7b. Success proj 1819'!W65,'7c. Success counts 1718'!W65,'7d Success counts 1617'!W65)</f>
        <v>1759</v>
      </c>
      <c r="X67" s="80">
        <f>AVERAGE('7b. Success proj 1819'!X65,'7c. Success counts 1718'!X65,'7d Success counts 1617'!X65)</f>
        <v>835</v>
      </c>
      <c r="Y67" s="80">
        <f>AVERAGE('7b. Success proj 1819'!Y65,'7c. Success counts 1718'!Y65,'7d Success counts 1617'!Y65)</f>
        <v>1343</v>
      </c>
    </row>
    <row r="68" spans="1:25" x14ac:dyDescent="0.25">
      <c r="A68" s="170" t="s">
        <v>99</v>
      </c>
      <c r="B68" s="80">
        <f>AVERAGE('7b. Success proj 1819'!B66,'7c. Success counts 1718'!B66,'7d Success counts 1617'!B66)</f>
        <v>1179</v>
      </c>
      <c r="C68" s="80">
        <f>AVERAGE('7b. Success proj 1819'!C66,'7c. Success counts 1718'!C66,'7d Success counts 1617'!C66)</f>
        <v>1315</v>
      </c>
      <c r="D68" s="80">
        <f>AVERAGE('7b. Success proj 1819'!D66,'7c. Success counts 1718'!D66,'7d Success counts 1617'!D66)</f>
        <v>0</v>
      </c>
      <c r="E68" s="80">
        <f>AVERAGE('7b. Success proj 1819'!E66,'7c. Success counts 1718'!E66,'7d Success counts 1617'!E66)</f>
        <v>921</v>
      </c>
      <c r="F68" s="80">
        <f>AVERAGE('7b. Success proj 1819'!F66,'7c. Success counts 1718'!F66,'7d Success counts 1617'!F66)</f>
        <v>955</v>
      </c>
      <c r="G68" s="80">
        <f>AVERAGE('7b. Success proj 1819'!G66,'7c. Success counts 1718'!G66,'7d Success counts 1617'!G66)</f>
        <v>4360</v>
      </c>
      <c r="H68" s="80">
        <f>AVERAGE('7b. Success proj 1819'!H66,'7c. Success counts 1718'!H66,'7d Success counts 1617'!H66)</f>
        <v>4143</v>
      </c>
      <c r="I68" s="80">
        <f>AVERAGE('7b. Success proj 1819'!I66,'7c. Success counts 1718'!I66,'7d Success counts 1617'!I66)</f>
        <v>3567</v>
      </c>
      <c r="J68" s="80">
        <f>AVERAGE('7b. Success proj 1819'!J66,'7c. Success counts 1718'!J66,'7d Success counts 1617'!J66)</f>
        <v>427</v>
      </c>
      <c r="K68" s="80">
        <f>AVERAGE('7b. Success proj 1819'!K66,'7c. Success counts 1718'!K66,'7d Success counts 1617'!K66)</f>
        <v>436</v>
      </c>
      <c r="L68" s="80">
        <f>AVERAGE('7b. Success proj 1819'!L66,'7c. Success counts 1718'!L66,'7d Success counts 1617'!L66)</f>
        <v>0</v>
      </c>
      <c r="M68" s="80">
        <f>AVERAGE('7b. Success proj 1819'!M66,'7c. Success counts 1718'!M66,'7d Success counts 1617'!M66)</f>
        <v>263</v>
      </c>
      <c r="N68" s="80">
        <f>AVERAGE('7b. Success proj 1819'!N66,'7c. Success counts 1718'!N66,'7d Success counts 1617'!N66)</f>
        <v>209</v>
      </c>
      <c r="O68" s="80">
        <f>AVERAGE('7b. Success proj 1819'!O66,'7c. Success counts 1718'!O66,'7d Success counts 1617'!O66)</f>
        <v>1035</v>
      </c>
      <c r="P68" s="80">
        <f>AVERAGE('7b. Success proj 1819'!P66,'7c. Success counts 1718'!P66,'7d Success counts 1617'!P66)</f>
        <v>1144</v>
      </c>
      <c r="Q68" s="80">
        <f>AVERAGE('7b. Success proj 1819'!Q66,'7c. Success counts 1718'!Q66,'7d Success counts 1617'!Q66)</f>
        <v>387</v>
      </c>
      <c r="R68" s="80">
        <f>AVERAGE('7b. Success proj 1819'!R66,'7c. Success counts 1718'!R66,'7d Success counts 1617'!R66)</f>
        <v>624</v>
      </c>
      <c r="S68" s="80">
        <f>AVERAGE('7b. Success proj 1819'!S66,'7c. Success counts 1718'!S66,'7d Success counts 1617'!S66)</f>
        <v>722</v>
      </c>
      <c r="T68" s="80">
        <f>AVERAGE('7b. Success proj 1819'!T66,'7c. Success counts 1718'!T66,'7d Success counts 1617'!T66)</f>
        <v>0</v>
      </c>
      <c r="U68" s="80">
        <f>AVERAGE('7b. Success proj 1819'!U66,'7c. Success counts 1718'!U66,'7d Success counts 1617'!U66)</f>
        <v>436</v>
      </c>
      <c r="V68" s="80">
        <f>AVERAGE('7b. Success proj 1819'!V66,'7c. Success counts 1718'!V66,'7d Success counts 1617'!V66)</f>
        <v>329</v>
      </c>
      <c r="W68" s="80">
        <f>AVERAGE('7b. Success proj 1819'!W66,'7c. Success counts 1718'!W66,'7d Success counts 1617'!W66)</f>
        <v>2038</v>
      </c>
      <c r="X68" s="80">
        <f>AVERAGE('7b. Success proj 1819'!X66,'7c. Success counts 1718'!X66,'7d Success counts 1617'!X66)</f>
        <v>1888</v>
      </c>
      <c r="Y68" s="80">
        <f>AVERAGE('7b. Success proj 1819'!Y66,'7c. Success counts 1718'!Y66,'7d Success counts 1617'!Y66)</f>
        <v>996</v>
      </c>
    </row>
    <row r="69" spans="1:25" x14ac:dyDescent="0.25">
      <c r="A69" s="170" t="s">
        <v>100</v>
      </c>
      <c r="B69" s="80">
        <f>AVERAGE('7b. Success proj 1819'!B67,'7c. Success counts 1718'!B67,'7d Success counts 1617'!B67)</f>
        <v>678</v>
      </c>
      <c r="C69" s="80">
        <f>AVERAGE('7b. Success proj 1819'!C67,'7c. Success counts 1718'!C67,'7d Success counts 1617'!C67)</f>
        <v>744</v>
      </c>
      <c r="D69" s="80">
        <f>AVERAGE('7b. Success proj 1819'!D67,'7c. Success counts 1718'!D67,'7d Success counts 1617'!D67)</f>
        <v>0</v>
      </c>
      <c r="E69" s="80">
        <f>AVERAGE('7b. Success proj 1819'!E67,'7c. Success counts 1718'!E67,'7d Success counts 1617'!E67)</f>
        <v>159</v>
      </c>
      <c r="F69" s="80">
        <f>AVERAGE('7b. Success proj 1819'!F67,'7c. Success counts 1718'!F67,'7d Success counts 1617'!F67)</f>
        <v>257</v>
      </c>
      <c r="G69" s="80">
        <f>AVERAGE('7b. Success proj 1819'!G67,'7c. Success counts 1718'!G67,'7d Success counts 1617'!G67)</f>
        <v>2091</v>
      </c>
      <c r="H69" s="80">
        <f>AVERAGE('7b. Success proj 1819'!H67,'7c. Success counts 1718'!H67,'7d Success counts 1617'!H67)</f>
        <v>1351</v>
      </c>
      <c r="I69" s="80">
        <f>AVERAGE('7b. Success proj 1819'!I67,'7c. Success counts 1718'!I67,'7d Success counts 1617'!I67)</f>
        <v>1779</v>
      </c>
      <c r="J69" s="80">
        <f>AVERAGE('7b. Success proj 1819'!J67,'7c. Success counts 1718'!J67,'7d Success counts 1617'!J67)</f>
        <v>404</v>
      </c>
      <c r="K69" s="80">
        <f>AVERAGE('7b. Success proj 1819'!K67,'7c. Success counts 1718'!K67,'7d Success counts 1617'!K67)</f>
        <v>444</v>
      </c>
      <c r="L69" s="80">
        <f>AVERAGE('7b. Success proj 1819'!L67,'7c. Success counts 1718'!L67,'7d Success counts 1617'!L67)</f>
        <v>0</v>
      </c>
      <c r="M69" s="80">
        <f>AVERAGE('7b. Success proj 1819'!M67,'7c. Success counts 1718'!M67,'7d Success counts 1617'!M67)</f>
        <v>92</v>
      </c>
      <c r="N69" s="80">
        <f>AVERAGE('7b. Success proj 1819'!N67,'7c. Success counts 1718'!N67,'7d Success counts 1617'!N67)</f>
        <v>109</v>
      </c>
      <c r="O69" s="80">
        <f>AVERAGE('7b. Success proj 1819'!O67,'7c. Success counts 1718'!O67,'7d Success counts 1617'!O67)</f>
        <v>1159</v>
      </c>
      <c r="P69" s="80">
        <f>AVERAGE('7b. Success proj 1819'!P67,'7c. Success counts 1718'!P67,'7d Success counts 1617'!P67)</f>
        <v>685</v>
      </c>
      <c r="Q69" s="80">
        <f>AVERAGE('7b. Success proj 1819'!Q67,'7c. Success counts 1718'!Q67,'7d Success counts 1617'!Q67)</f>
        <v>584</v>
      </c>
      <c r="R69" s="80">
        <f>AVERAGE('7b. Success proj 1819'!R67,'7c. Success counts 1718'!R67,'7d Success counts 1617'!R67)</f>
        <v>537</v>
      </c>
      <c r="S69" s="80">
        <f>AVERAGE('7b. Success proj 1819'!S67,'7c. Success counts 1718'!S67,'7d Success counts 1617'!S67)</f>
        <v>609</v>
      </c>
      <c r="T69" s="80">
        <f>AVERAGE('7b. Success proj 1819'!T67,'7c. Success counts 1718'!T67,'7d Success counts 1617'!T67)</f>
        <v>0</v>
      </c>
      <c r="U69" s="80">
        <f>AVERAGE('7b. Success proj 1819'!U67,'7c. Success counts 1718'!U67,'7d Success counts 1617'!U67)</f>
        <v>131</v>
      </c>
      <c r="V69" s="80">
        <f>AVERAGE('7b. Success proj 1819'!V67,'7c. Success counts 1718'!V67,'7d Success counts 1617'!V67)</f>
        <v>151</v>
      </c>
      <c r="W69" s="80">
        <f>AVERAGE('7b. Success proj 1819'!W67,'7c. Success counts 1718'!W67,'7d Success counts 1617'!W67)</f>
        <v>1666</v>
      </c>
      <c r="X69" s="80">
        <f>AVERAGE('7b. Success proj 1819'!X67,'7c. Success counts 1718'!X67,'7d Success counts 1617'!X67)</f>
        <v>1006</v>
      </c>
      <c r="Y69" s="80">
        <f>AVERAGE('7b. Success proj 1819'!Y67,'7c. Success counts 1718'!Y67,'7d Success counts 1617'!Y67)</f>
        <v>1009</v>
      </c>
    </row>
    <row r="70" spans="1:25" x14ac:dyDescent="0.25">
      <c r="A70" s="170" t="s">
        <v>101</v>
      </c>
      <c r="B70" s="80">
        <f>AVERAGE('7b. Success proj 1819'!B68,'7c. Success counts 1718'!B68,'7d Success counts 1617'!B68)</f>
        <v>1710</v>
      </c>
      <c r="C70" s="80">
        <f>AVERAGE('7b. Success proj 1819'!C68,'7c. Success counts 1718'!C68,'7d Success counts 1617'!C68)</f>
        <v>1265</v>
      </c>
      <c r="D70" s="80">
        <f>AVERAGE('7b. Success proj 1819'!D68,'7c. Success counts 1718'!D68,'7d Success counts 1617'!D68)</f>
        <v>0</v>
      </c>
      <c r="E70" s="80">
        <f>AVERAGE('7b. Success proj 1819'!E68,'7c. Success counts 1718'!E68,'7d Success counts 1617'!E68)</f>
        <v>781</v>
      </c>
      <c r="F70" s="80">
        <f>AVERAGE('7b. Success proj 1819'!F68,'7c. Success counts 1718'!F68,'7d Success counts 1617'!F68)</f>
        <v>710</v>
      </c>
      <c r="G70" s="80">
        <f>AVERAGE('7b. Success proj 1819'!G68,'7c. Success counts 1718'!G68,'7d Success counts 1617'!G68)</f>
        <v>5659</v>
      </c>
      <c r="H70" s="80">
        <f>AVERAGE('7b. Success proj 1819'!H68,'7c. Success counts 1718'!H68,'7d Success counts 1617'!H68)</f>
        <v>3309</v>
      </c>
      <c r="I70" s="80">
        <f>AVERAGE('7b. Success proj 1819'!I68,'7c. Success counts 1718'!I68,'7d Success counts 1617'!I68)</f>
        <v>5977</v>
      </c>
      <c r="J70" s="80">
        <f>AVERAGE('7b. Success proj 1819'!J68,'7c. Success counts 1718'!J68,'7d Success counts 1617'!J68)</f>
        <v>1086</v>
      </c>
      <c r="K70" s="80">
        <f>AVERAGE('7b. Success proj 1819'!K68,'7c. Success counts 1718'!K68,'7d Success counts 1617'!K68)</f>
        <v>892</v>
      </c>
      <c r="L70" s="80">
        <f>AVERAGE('7b. Success proj 1819'!L68,'7c. Success counts 1718'!L68,'7d Success counts 1617'!L68)</f>
        <v>0</v>
      </c>
      <c r="M70" s="80">
        <f>AVERAGE('7b. Success proj 1819'!M68,'7c. Success counts 1718'!M68,'7d Success counts 1617'!M68)</f>
        <v>502</v>
      </c>
      <c r="N70" s="80">
        <f>AVERAGE('7b. Success proj 1819'!N68,'7c. Success counts 1718'!N68,'7d Success counts 1617'!N68)</f>
        <v>348</v>
      </c>
      <c r="O70" s="80">
        <f>AVERAGE('7b. Success proj 1819'!O68,'7c. Success counts 1718'!O68,'7d Success counts 1617'!O68)</f>
        <v>3468</v>
      </c>
      <c r="P70" s="80">
        <f>AVERAGE('7b. Success proj 1819'!P68,'7c. Success counts 1718'!P68,'7d Success counts 1617'!P68)</f>
        <v>1748</v>
      </c>
      <c r="Q70" s="80">
        <f>AVERAGE('7b. Success proj 1819'!Q68,'7c. Success counts 1718'!Q68,'7d Success counts 1617'!Q68)</f>
        <v>2762</v>
      </c>
      <c r="R70" s="80">
        <f>AVERAGE('7b. Success proj 1819'!R68,'7c. Success counts 1718'!R68,'7d Success counts 1617'!R68)</f>
        <v>1376</v>
      </c>
      <c r="S70" s="80">
        <f>AVERAGE('7b. Success proj 1819'!S68,'7c. Success counts 1718'!S68,'7d Success counts 1617'!S68)</f>
        <v>1116</v>
      </c>
      <c r="T70" s="80">
        <f>AVERAGE('7b. Success proj 1819'!T68,'7c. Success counts 1718'!T68,'7d Success counts 1617'!T68)</f>
        <v>0</v>
      </c>
      <c r="U70" s="80">
        <f>AVERAGE('7b. Success proj 1819'!U68,'7c. Success counts 1718'!U68,'7d Success counts 1617'!U68)</f>
        <v>632</v>
      </c>
      <c r="V70" s="80">
        <f>AVERAGE('7b. Success proj 1819'!V68,'7c. Success counts 1718'!V68,'7d Success counts 1617'!V68)</f>
        <v>461</v>
      </c>
      <c r="W70" s="80">
        <f>AVERAGE('7b. Success proj 1819'!W68,'7c. Success counts 1718'!W68,'7d Success counts 1617'!W68)</f>
        <v>4547</v>
      </c>
      <c r="X70" s="80">
        <f>AVERAGE('7b. Success proj 1819'!X68,'7c. Success counts 1718'!X68,'7d Success counts 1617'!X68)</f>
        <v>2413</v>
      </c>
      <c r="Y70" s="80">
        <f>AVERAGE('7b. Success proj 1819'!Y68,'7c. Success counts 1718'!Y68,'7d Success counts 1617'!Y68)</f>
        <v>4051</v>
      </c>
    </row>
    <row r="71" spans="1:25" x14ac:dyDescent="0.25">
      <c r="A71" s="170" t="s">
        <v>102</v>
      </c>
      <c r="B71" s="80">
        <f>AVERAGE('7b. Success proj 1819'!B69,'7c. Success counts 1718'!B69,'7d Success counts 1617'!B69)</f>
        <v>1777</v>
      </c>
      <c r="C71" s="80">
        <f>AVERAGE('7b. Success proj 1819'!C69,'7c. Success counts 1718'!C69,'7d Success counts 1617'!C69)</f>
        <v>1754</v>
      </c>
      <c r="D71" s="80">
        <f>AVERAGE('7b. Success proj 1819'!D69,'7c. Success counts 1718'!D69,'7d Success counts 1617'!D69)</f>
        <v>0</v>
      </c>
      <c r="E71" s="80">
        <f>AVERAGE('7b. Success proj 1819'!E69,'7c. Success counts 1718'!E69,'7d Success counts 1617'!E69)</f>
        <v>820</v>
      </c>
      <c r="F71" s="80">
        <f>AVERAGE('7b. Success proj 1819'!F69,'7c. Success counts 1718'!F69,'7d Success counts 1617'!F69)</f>
        <v>1173</v>
      </c>
      <c r="G71" s="80">
        <f>AVERAGE('7b. Success proj 1819'!G69,'7c. Success counts 1718'!G69,'7d Success counts 1617'!G69)</f>
        <v>3942</v>
      </c>
      <c r="H71" s="80">
        <f>AVERAGE('7b. Success proj 1819'!H69,'7c. Success counts 1718'!H69,'7d Success counts 1617'!H69)</f>
        <v>3897</v>
      </c>
      <c r="I71" s="80">
        <f>AVERAGE('7b. Success proj 1819'!I69,'7c. Success counts 1718'!I69,'7d Success counts 1617'!I69)</f>
        <v>2787</v>
      </c>
      <c r="J71" s="80">
        <f>AVERAGE('7b. Success proj 1819'!J69,'7c. Success counts 1718'!J69,'7d Success counts 1617'!J69)</f>
        <v>841</v>
      </c>
      <c r="K71" s="80">
        <f>AVERAGE('7b. Success proj 1819'!K69,'7c. Success counts 1718'!K69,'7d Success counts 1617'!K69)</f>
        <v>943</v>
      </c>
      <c r="L71" s="80">
        <f>AVERAGE('7b. Success proj 1819'!L69,'7c. Success counts 1718'!L69,'7d Success counts 1617'!L69)</f>
        <v>0</v>
      </c>
      <c r="M71" s="80">
        <f>AVERAGE('7b. Success proj 1819'!M69,'7c. Success counts 1718'!M69,'7d Success counts 1617'!M69)</f>
        <v>382</v>
      </c>
      <c r="N71" s="80">
        <f>AVERAGE('7b. Success proj 1819'!N69,'7c. Success counts 1718'!N69,'7d Success counts 1617'!N69)</f>
        <v>407</v>
      </c>
      <c r="O71" s="80">
        <f>AVERAGE('7b. Success proj 1819'!O69,'7c. Success counts 1718'!O69,'7d Success counts 1617'!O69)</f>
        <v>1774</v>
      </c>
      <c r="P71" s="80">
        <f>AVERAGE('7b. Success proj 1819'!P69,'7c. Success counts 1718'!P69,'7d Success counts 1617'!P69)</f>
        <v>1403</v>
      </c>
      <c r="Q71" s="80">
        <f>AVERAGE('7b. Success proj 1819'!Q69,'7c. Success counts 1718'!Q69,'7d Success counts 1617'!Q69)</f>
        <v>886</v>
      </c>
      <c r="R71" s="80">
        <f>AVERAGE('7b. Success proj 1819'!R69,'7c. Success counts 1718'!R69,'7d Success counts 1617'!R69)</f>
        <v>1194</v>
      </c>
      <c r="S71" s="80">
        <f>AVERAGE('7b. Success proj 1819'!S69,'7c. Success counts 1718'!S69,'7d Success counts 1617'!S69)</f>
        <v>1311</v>
      </c>
      <c r="T71" s="80">
        <f>AVERAGE('7b. Success proj 1819'!T69,'7c. Success counts 1718'!T69,'7d Success counts 1617'!T69)</f>
        <v>0</v>
      </c>
      <c r="U71" s="80">
        <f>AVERAGE('7b. Success proj 1819'!U69,'7c. Success counts 1718'!U69,'7d Success counts 1617'!U69)</f>
        <v>562</v>
      </c>
      <c r="V71" s="80">
        <f>AVERAGE('7b. Success proj 1819'!V69,'7c. Success counts 1718'!V69,'7d Success counts 1617'!V69)</f>
        <v>603</v>
      </c>
      <c r="W71" s="80">
        <f>AVERAGE('7b. Success proj 1819'!W69,'7c. Success counts 1718'!W69,'7d Success counts 1617'!W69)</f>
        <v>2671</v>
      </c>
      <c r="X71" s="80">
        <f>AVERAGE('7b. Success proj 1819'!X69,'7c. Success counts 1718'!X69,'7d Success counts 1617'!X69)</f>
        <v>2213</v>
      </c>
      <c r="Y71" s="80">
        <f>AVERAGE('7b. Success proj 1819'!Y69,'7c. Success counts 1718'!Y69,'7d Success counts 1617'!Y69)</f>
        <v>1620</v>
      </c>
    </row>
    <row r="72" spans="1:25" x14ac:dyDescent="0.25">
      <c r="A72" s="170" t="s">
        <v>103</v>
      </c>
      <c r="B72" s="80">
        <f>AVERAGE('7b. Success proj 1819'!B70,'7c. Success counts 1718'!B70,'7d Success counts 1617'!B70)</f>
        <v>154</v>
      </c>
      <c r="C72" s="80">
        <f>AVERAGE('7b. Success proj 1819'!C70,'7c. Success counts 1718'!C70,'7d Success counts 1617'!C70)</f>
        <v>714</v>
      </c>
      <c r="D72" s="80">
        <f>AVERAGE('7b. Success proj 1819'!D70,'7c. Success counts 1718'!D70,'7d Success counts 1617'!D70)</f>
        <v>0</v>
      </c>
      <c r="E72" s="80">
        <f>AVERAGE('7b. Success proj 1819'!E70,'7c. Success counts 1718'!E70,'7d Success counts 1617'!E70)</f>
        <v>114</v>
      </c>
      <c r="F72" s="80">
        <f>AVERAGE('7b. Success proj 1819'!F70,'7c. Success counts 1718'!F70,'7d Success counts 1617'!F70)</f>
        <v>123</v>
      </c>
      <c r="G72" s="80">
        <f>AVERAGE('7b. Success proj 1819'!G70,'7c. Success counts 1718'!G70,'7d Success counts 1617'!G70)</f>
        <v>1777</v>
      </c>
      <c r="H72" s="80">
        <f>AVERAGE('7b. Success proj 1819'!H70,'7c. Success counts 1718'!H70,'7d Success counts 1617'!H70)</f>
        <v>686</v>
      </c>
      <c r="I72" s="80">
        <f>AVERAGE('7b. Success proj 1819'!I70,'7c. Success counts 1718'!I70,'7d Success counts 1617'!I70)</f>
        <v>1594</v>
      </c>
      <c r="J72" s="80">
        <f>AVERAGE('7b. Success proj 1819'!J70,'7c. Success counts 1718'!J70,'7d Success counts 1617'!J70)</f>
        <v>116</v>
      </c>
      <c r="K72" s="80">
        <f>AVERAGE('7b. Success proj 1819'!K70,'7c. Success counts 1718'!K70,'7d Success counts 1617'!K70)</f>
        <v>502</v>
      </c>
      <c r="L72" s="80">
        <f>AVERAGE('7b. Success proj 1819'!L70,'7c. Success counts 1718'!L70,'7d Success counts 1617'!L70)</f>
        <v>0</v>
      </c>
      <c r="M72" s="80">
        <f>AVERAGE('7b. Success proj 1819'!M70,'7c. Success counts 1718'!M70,'7d Success counts 1617'!M70)</f>
        <v>69</v>
      </c>
      <c r="N72" s="80">
        <f>AVERAGE('7b. Success proj 1819'!N70,'7c. Success counts 1718'!N70,'7d Success counts 1617'!N70)</f>
        <v>71</v>
      </c>
      <c r="O72" s="80">
        <f>AVERAGE('7b. Success proj 1819'!O70,'7c. Success counts 1718'!O70,'7d Success counts 1617'!O70)</f>
        <v>1147</v>
      </c>
      <c r="P72" s="80">
        <f>AVERAGE('7b. Success proj 1819'!P70,'7c. Success counts 1718'!P70,'7d Success counts 1617'!P70)</f>
        <v>413</v>
      </c>
      <c r="Q72" s="80">
        <f>AVERAGE('7b. Success proj 1819'!Q70,'7c. Success counts 1718'!Q70,'7d Success counts 1617'!Q70)</f>
        <v>802</v>
      </c>
      <c r="R72" s="80">
        <f>AVERAGE('7b. Success proj 1819'!R70,'7c. Success counts 1718'!R70,'7d Success counts 1617'!R70)</f>
        <v>138</v>
      </c>
      <c r="S72" s="80">
        <f>AVERAGE('7b. Success proj 1819'!S70,'7c. Success counts 1718'!S70,'7d Success counts 1617'!S70)</f>
        <v>619</v>
      </c>
      <c r="T72" s="80">
        <f>AVERAGE('7b. Success proj 1819'!T70,'7c. Success counts 1718'!T70,'7d Success counts 1617'!T70)</f>
        <v>0</v>
      </c>
      <c r="U72" s="80">
        <f>AVERAGE('7b. Success proj 1819'!U70,'7c. Success counts 1718'!U70,'7d Success counts 1617'!U70)</f>
        <v>90</v>
      </c>
      <c r="V72" s="80">
        <f>AVERAGE('7b. Success proj 1819'!V70,'7c. Success counts 1718'!V70,'7d Success counts 1617'!V70)</f>
        <v>98</v>
      </c>
      <c r="W72" s="80">
        <f>AVERAGE('7b. Success proj 1819'!W70,'7c. Success counts 1718'!W70,'7d Success counts 1617'!W70)</f>
        <v>1461</v>
      </c>
      <c r="X72" s="80">
        <f>AVERAGE('7b. Success proj 1819'!X70,'7c. Success counts 1718'!X70,'7d Success counts 1617'!X70)</f>
        <v>528</v>
      </c>
      <c r="Y72" s="80">
        <f>AVERAGE('7b. Success proj 1819'!Y70,'7c. Success counts 1718'!Y70,'7d Success counts 1617'!Y70)</f>
        <v>1199</v>
      </c>
    </row>
    <row r="73" spans="1:25" x14ac:dyDescent="0.25">
      <c r="A73" s="170" t="s">
        <v>104</v>
      </c>
      <c r="B73" s="80">
        <f>AVERAGE('7b. Success proj 1819'!B71,'7c. Success counts 1718'!B71,'7d Success counts 1617'!B71)</f>
        <v>200</v>
      </c>
      <c r="C73" s="80">
        <f>AVERAGE('7b. Success proj 1819'!C71,'7c. Success counts 1718'!C71,'7d Success counts 1617'!C71)</f>
        <v>576</v>
      </c>
      <c r="D73" s="80">
        <f>AVERAGE('7b. Success proj 1819'!D71,'7c. Success counts 1718'!D71,'7d Success counts 1617'!D71)</f>
        <v>0</v>
      </c>
      <c r="E73" s="80">
        <f>AVERAGE('7b. Success proj 1819'!E71,'7c. Success counts 1718'!E71,'7d Success counts 1617'!E71)</f>
        <v>155</v>
      </c>
      <c r="F73" s="80">
        <f>AVERAGE('7b. Success proj 1819'!F71,'7c. Success counts 1718'!F71,'7d Success counts 1617'!F71)</f>
        <v>115</v>
      </c>
      <c r="G73" s="80">
        <f>AVERAGE('7b. Success proj 1819'!G71,'7c. Success counts 1718'!G71,'7d Success counts 1617'!G71)</f>
        <v>939</v>
      </c>
      <c r="H73" s="80">
        <f>AVERAGE('7b. Success proj 1819'!H71,'7c. Success counts 1718'!H71,'7d Success counts 1617'!H71)</f>
        <v>581</v>
      </c>
      <c r="I73" s="80">
        <f>AVERAGE('7b. Success proj 1819'!I71,'7c. Success counts 1718'!I71,'7d Success counts 1617'!I71)</f>
        <v>935</v>
      </c>
      <c r="J73" s="80">
        <f>AVERAGE('7b. Success proj 1819'!J71,'7c. Success counts 1718'!J71,'7d Success counts 1617'!J71)</f>
        <v>140</v>
      </c>
      <c r="K73" s="80">
        <f>AVERAGE('7b. Success proj 1819'!K71,'7c. Success counts 1718'!K71,'7d Success counts 1617'!K71)</f>
        <v>408</v>
      </c>
      <c r="L73" s="80">
        <f>AVERAGE('7b. Success proj 1819'!L71,'7c. Success counts 1718'!L71,'7d Success counts 1617'!L71)</f>
        <v>0</v>
      </c>
      <c r="M73" s="80">
        <f>AVERAGE('7b. Success proj 1819'!M71,'7c. Success counts 1718'!M71,'7d Success counts 1617'!M71)</f>
        <v>97</v>
      </c>
      <c r="N73" s="80">
        <f>AVERAGE('7b. Success proj 1819'!N71,'7c. Success counts 1718'!N71,'7d Success counts 1617'!N71)</f>
        <v>64</v>
      </c>
      <c r="O73" s="80">
        <f>AVERAGE('7b. Success proj 1819'!O71,'7c. Success counts 1718'!O71,'7d Success counts 1617'!O71)</f>
        <v>631</v>
      </c>
      <c r="P73" s="80">
        <f>AVERAGE('7b. Success proj 1819'!P71,'7c. Success counts 1718'!P71,'7d Success counts 1617'!P71)</f>
        <v>318</v>
      </c>
      <c r="Q73" s="80">
        <f>AVERAGE('7b. Success proj 1819'!Q71,'7c. Success counts 1718'!Q71,'7d Success counts 1617'!Q71)</f>
        <v>513</v>
      </c>
      <c r="R73" s="80">
        <f>AVERAGE('7b. Success proj 1819'!R71,'7c. Success counts 1718'!R71,'7d Success counts 1617'!R71)</f>
        <v>169</v>
      </c>
      <c r="S73" s="80">
        <f>AVERAGE('7b. Success proj 1819'!S71,'7c. Success counts 1718'!S71,'7d Success counts 1617'!S71)</f>
        <v>499</v>
      </c>
      <c r="T73" s="80">
        <f>AVERAGE('7b. Success proj 1819'!T71,'7c. Success counts 1718'!T71,'7d Success counts 1617'!T71)</f>
        <v>0</v>
      </c>
      <c r="U73" s="80">
        <f>AVERAGE('7b. Success proj 1819'!U71,'7c. Success counts 1718'!U71,'7d Success counts 1617'!U71)</f>
        <v>130</v>
      </c>
      <c r="V73" s="80">
        <f>AVERAGE('7b. Success proj 1819'!V71,'7c. Success counts 1718'!V71,'7d Success counts 1617'!V71)</f>
        <v>78</v>
      </c>
      <c r="W73" s="80">
        <f>AVERAGE('7b. Success proj 1819'!W71,'7c. Success counts 1718'!W71,'7d Success counts 1617'!W71)</f>
        <v>785</v>
      </c>
      <c r="X73" s="80">
        <f>AVERAGE('7b. Success proj 1819'!X71,'7c. Success counts 1718'!X71,'7d Success counts 1617'!X71)</f>
        <v>415</v>
      </c>
      <c r="Y73" s="80">
        <f>AVERAGE('7b. Success proj 1819'!Y71,'7c. Success counts 1718'!Y71,'7d Success counts 1617'!Y71)</f>
        <v>734</v>
      </c>
    </row>
    <row r="74" spans="1:25" x14ac:dyDescent="0.25">
      <c r="A74" s="170" t="s">
        <v>33</v>
      </c>
      <c r="B74" s="80">
        <f>AVERAGE('7b. Success proj 1819'!B72,'7c. Success counts 1718'!B72,'7d Success counts 1617'!B72)</f>
        <v>101</v>
      </c>
      <c r="C74" s="80">
        <f>AVERAGE('7b. Success proj 1819'!C72,'7c. Success counts 1718'!C72,'7d Success counts 1617'!C72)</f>
        <v>277</v>
      </c>
      <c r="D74" s="80">
        <f>AVERAGE('7b. Success proj 1819'!D72,'7c. Success counts 1718'!D72,'7d Success counts 1617'!D72)</f>
        <v>0</v>
      </c>
      <c r="E74" s="80">
        <f>AVERAGE('7b. Success proj 1819'!E72,'7c. Success counts 1718'!E72,'7d Success counts 1617'!E72)</f>
        <v>6</v>
      </c>
      <c r="F74" s="80">
        <f>AVERAGE('7b. Success proj 1819'!F72,'7c. Success counts 1718'!F72,'7d Success counts 1617'!F72)</f>
        <v>53</v>
      </c>
      <c r="G74" s="80">
        <f>AVERAGE('7b. Success proj 1819'!G72,'7c. Success counts 1718'!G72,'7d Success counts 1617'!G72)</f>
        <v>313</v>
      </c>
      <c r="H74" s="80">
        <f>AVERAGE('7b. Success proj 1819'!H72,'7c. Success counts 1718'!H72,'7d Success counts 1617'!H72)</f>
        <v>309</v>
      </c>
      <c r="I74" s="80">
        <f>AVERAGE('7b. Success proj 1819'!I72,'7c. Success counts 1718'!I72,'7d Success counts 1617'!I72)</f>
        <v>3783</v>
      </c>
      <c r="J74" s="80">
        <f>AVERAGE('7b. Success proj 1819'!J72,'7c. Success counts 1718'!J72,'7d Success counts 1617'!J72)</f>
        <v>65</v>
      </c>
      <c r="K74" s="80">
        <f>AVERAGE('7b. Success proj 1819'!K72,'7c. Success counts 1718'!K72,'7d Success counts 1617'!K72)</f>
        <v>163</v>
      </c>
      <c r="L74" s="80">
        <f>AVERAGE('7b. Success proj 1819'!L72,'7c. Success counts 1718'!L72,'7d Success counts 1617'!L72)</f>
        <v>0</v>
      </c>
      <c r="M74" s="80">
        <f>AVERAGE('7b. Success proj 1819'!M72,'7c. Success counts 1718'!M72,'7d Success counts 1617'!M72)</f>
        <v>4</v>
      </c>
      <c r="N74" s="80">
        <f>AVERAGE('7b. Success proj 1819'!N72,'7c. Success counts 1718'!N72,'7d Success counts 1617'!N72)</f>
        <v>24</v>
      </c>
      <c r="O74" s="80">
        <f>AVERAGE('7b. Success proj 1819'!O72,'7c. Success counts 1718'!O72,'7d Success counts 1617'!O72)</f>
        <v>185</v>
      </c>
      <c r="P74" s="80">
        <f>AVERAGE('7b. Success proj 1819'!P72,'7c. Success counts 1718'!P72,'7d Success counts 1617'!P72)</f>
        <v>134</v>
      </c>
      <c r="Q74" s="80">
        <f>AVERAGE('7b. Success proj 1819'!Q72,'7c. Success counts 1718'!Q72,'7d Success counts 1617'!Q72)</f>
        <v>217</v>
      </c>
      <c r="R74" s="80">
        <f>AVERAGE('7b. Success proj 1819'!R72,'7c. Success counts 1718'!R72,'7d Success counts 1617'!R72)</f>
        <v>85</v>
      </c>
      <c r="S74" s="80">
        <f>AVERAGE('7b. Success proj 1819'!S72,'7c. Success counts 1718'!S72,'7d Success counts 1617'!S72)</f>
        <v>229</v>
      </c>
      <c r="T74" s="80">
        <f>AVERAGE('7b. Success proj 1819'!T72,'7c. Success counts 1718'!T72,'7d Success counts 1617'!T72)</f>
        <v>0</v>
      </c>
      <c r="U74" s="80">
        <f>AVERAGE('7b. Success proj 1819'!U72,'7c. Success counts 1718'!U72,'7d Success counts 1617'!U72)</f>
        <v>5</v>
      </c>
      <c r="V74" s="80">
        <f>AVERAGE('7b. Success proj 1819'!V72,'7c. Success counts 1718'!V72,'7d Success counts 1617'!V72)</f>
        <v>32</v>
      </c>
      <c r="W74" s="80">
        <f>AVERAGE('7b. Success proj 1819'!W72,'7c. Success counts 1718'!W72,'7d Success counts 1617'!W72)</f>
        <v>267</v>
      </c>
      <c r="X74" s="80">
        <f>AVERAGE('7b. Success proj 1819'!X72,'7c. Success counts 1718'!X72,'7d Success counts 1617'!X72)</f>
        <v>183</v>
      </c>
      <c r="Y74" s="80">
        <f>AVERAGE('7b. Success proj 1819'!Y72,'7c. Success counts 1718'!Y72,'7d Success counts 1617'!Y72)</f>
        <v>402</v>
      </c>
    </row>
    <row r="75" spans="1:25" ht="17.25" x14ac:dyDescent="0.25">
      <c r="A75" s="170" t="s">
        <v>105</v>
      </c>
      <c r="B75" s="80">
        <f>AVERAGE('7b. Success proj 1819'!B73,'7c. Success counts 1718'!B73,'7d Success counts 1617'!B73)</f>
        <v>560</v>
      </c>
      <c r="C75" s="80">
        <f>AVERAGE('7b. Success proj 1819'!C73,'7c. Success counts 1718'!C73,'7d Success counts 1617'!C73)</f>
        <v>448</v>
      </c>
      <c r="D75" s="80">
        <f>AVERAGE('7b. Success proj 1819'!D73,'7c. Success counts 1718'!D73,'7d Success counts 1617'!D73)</f>
        <v>0</v>
      </c>
      <c r="E75" s="80">
        <f>AVERAGE('7b. Success proj 1819'!E73,'7c. Success counts 1718'!E73,'7d Success counts 1617'!E73)</f>
        <v>108</v>
      </c>
      <c r="F75" s="80">
        <f>AVERAGE('7b. Success proj 1819'!F73,'7c. Success counts 1718'!F73,'7d Success counts 1617'!F73)</f>
        <v>295</v>
      </c>
      <c r="G75" s="80">
        <f>AVERAGE('7b. Success proj 1819'!G73,'7c. Success counts 1718'!G73,'7d Success counts 1617'!G73)</f>
        <v>1867</v>
      </c>
      <c r="H75" s="80">
        <f>AVERAGE('7b. Success proj 1819'!H73,'7c. Success counts 1718'!H73,'7d Success counts 1617'!H73)</f>
        <v>1795</v>
      </c>
      <c r="I75" s="80">
        <f>AVERAGE('7b. Success proj 1819'!I73,'7c. Success counts 1718'!I73,'7d Success counts 1617'!I73)</f>
        <v>1971</v>
      </c>
      <c r="J75" s="80">
        <f>AVERAGE('7b. Success proj 1819'!J73,'7c. Success counts 1718'!J73,'7d Success counts 1617'!J73)</f>
        <v>232</v>
      </c>
      <c r="K75" s="80">
        <f>AVERAGE('7b. Success proj 1819'!K73,'7c. Success counts 1718'!K73,'7d Success counts 1617'!K73)</f>
        <v>160</v>
      </c>
      <c r="L75" s="80">
        <f>AVERAGE('7b. Success proj 1819'!L73,'7c. Success counts 1718'!L73,'7d Success counts 1617'!L73)</f>
        <v>0</v>
      </c>
      <c r="M75" s="80">
        <f>AVERAGE('7b. Success proj 1819'!M73,'7c. Success counts 1718'!M73,'7d Success counts 1617'!M73)</f>
        <v>38</v>
      </c>
      <c r="N75" s="80">
        <f>AVERAGE('7b. Success proj 1819'!N73,'7c. Success counts 1718'!N73,'7d Success counts 1617'!N73)</f>
        <v>54</v>
      </c>
      <c r="O75" s="80">
        <f>AVERAGE('7b. Success proj 1819'!O73,'7c. Success counts 1718'!O73,'7d Success counts 1617'!O73)</f>
        <v>515</v>
      </c>
      <c r="P75" s="80">
        <f>AVERAGE('7b. Success proj 1819'!P73,'7c. Success counts 1718'!P73,'7d Success counts 1617'!P73)</f>
        <v>478</v>
      </c>
      <c r="Q75" s="80">
        <f>AVERAGE('7b. Success proj 1819'!Q73,'7c. Success counts 1718'!Q73,'7d Success counts 1617'!Q73)</f>
        <v>268</v>
      </c>
      <c r="R75" s="80">
        <f>AVERAGE('7b. Success proj 1819'!R73,'7c. Success counts 1718'!R73,'7d Success counts 1617'!R73)</f>
        <v>320</v>
      </c>
      <c r="S75" s="80">
        <f>AVERAGE('7b. Success proj 1819'!S73,'7c. Success counts 1718'!S73,'7d Success counts 1617'!S73)</f>
        <v>244</v>
      </c>
      <c r="T75" s="80">
        <f>AVERAGE('7b. Success proj 1819'!T73,'7c. Success counts 1718'!T73,'7d Success counts 1617'!T73)</f>
        <v>0</v>
      </c>
      <c r="U75" s="80">
        <f>AVERAGE('7b. Success proj 1819'!U73,'7c. Success counts 1718'!U73,'7d Success counts 1617'!U73)</f>
        <v>55</v>
      </c>
      <c r="V75" s="80">
        <f>AVERAGE('7b. Success proj 1819'!V73,'7c. Success counts 1718'!V73,'7d Success counts 1617'!V73)</f>
        <v>86</v>
      </c>
      <c r="W75" s="80">
        <f>AVERAGE('7b. Success proj 1819'!W73,'7c. Success counts 1718'!W73,'7d Success counts 1617'!W73)</f>
        <v>802</v>
      </c>
      <c r="X75" s="80">
        <f>AVERAGE('7b. Success proj 1819'!X73,'7c. Success counts 1718'!X73,'7d Success counts 1617'!X73)</f>
        <v>759</v>
      </c>
      <c r="Y75" s="80">
        <f>AVERAGE('7b. Success proj 1819'!Y73,'7c. Success counts 1718'!Y73,'7d Success counts 1617'!Y73)</f>
        <v>551</v>
      </c>
    </row>
    <row r="76" spans="1:25" x14ac:dyDescent="0.25">
      <c r="A76" s="170" t="s">
        <v>106</v>
      </c>
      <c r="B76" s="80">
        <f>AVERAGE('7b. Success proj 1819'!B74,'7c. Success counts 1718'!B74,'7d Success counts 1617'!B74)</f>
        <v>523</v>
      </c>
      <c r="C76" s="80">
        <f>AVERAGE('7b. Success proj 1819'!C74,'7c. Success counts 1718'!C74,'7d Success counts 1617'!C74)</f>
        <v>1039</v>
      </c>
      <c r="D76" s="80">
        <f>AVERAGE('7b. Success proj 1819'!D74,'7c. Success counts 1718'!D74,'7d Success counts 1617'!D74)</f>
        <v>0</v>
      </c>
      <c r="E76" s="80">
        <f>AVERAGE('7b. Success proj 1819'!E74,'7c. Success counts 1718'!E74,'7d Success counts 1617'!E74)</f>
        <v>202</v>
      </c>
      <c r="F76" s="80">
        <f>AVERAGE('7b. Success proj 1819'!F74,'7c. Success counts 1718'!F74,'7d Success counts 1617'!F74)</f>
        <v>77</v>
      </c>
      <c r="G76" s="80">
        <f>AVERAGE('7b. Success proj 1819'!G74,'7c. Success counts 1718'!G74,'7d Success counts 1617'!G74)</f>
        <v>2865</v>
      </c>
      <c r="H76" s="80">
        <f>AVERAGE('7b. Success proj 1819'!H74,'7c. Success counts 1718'!H74,'7d Success counts 1617'!H74)</f>
        <v>1519</v>
      </c>
      <c r="I76" s="80">
        <f>AVERAGE('7b. Success proj 1819'!I74,'7c. Success counts 1718'!I74,'7d Success counts 1617'!I74)</f>
        <v>3314</v>
      </c>
      <c r="J76" s="80">
        <f>AVERAGE('7b. Success proj 1819'!J74,'7c. Success counts 1718'!J74,'7d Success counts 1617'!J74)</f>
        <v>308</v>
      </c>
      <c r="K76" s="80">
        <f>AVERAGE('7b. Success proj 1819'!K74,'7c. Success counts 1718'!K74,'7d Success counts 1617'!K74)</f>
        <v>622</v>
      </c>
      <c r="L76" s="80">
        <f>AVERAGE('7b. Success proj 1819'!L74,'7c. Success counts 1718'!L74,'7d Success counts 1617'!L74)</f>
        <v>0</v>
      </c>
      <c r="M76" s="80">
        <f>AVERAGE('7b. Success proj 1819'!M74,'7c. Success counts 1718'!M74,'7d Success counts 1617'!M74)</f>
        <v>113</v>
      </c>
      <c r="N76" s="80">
        <f>AVERAGE('7b. Success proj 1819'!N74,'7c. Success counts 1718'!N74,'7d Success counts 1617'!N74)</f>
        <v>35</v>
      </c>
      <c r="O76" s="80">
        <f>AVERAGE('7b. Success proj 1819'!O74,'7c. Success counts 1718'!O74,'7d Success counts 1617'!O74)</f>
        <v>1560</v>
      </c>
      <c r="P76" s="80">
        <f>AVERAGE('7b. Success proj 1819'!P74,'7c. Success counts 1718'!P74,'7d Success counts 1617'!P74)</f>
        <v>783</v>
      </c>
      <c r="Q76" s="80">
        <f>AVERAGE('7b. Success proj 1819'!Q74,'7c. Success counts 1718'!Q74,'7d Success counts 1617'!Q74)</f>
        <v>1354</v>
      </c>
      <c r="R76" s="80">
        <f>AVERAGE('7b. Success proj 1819'!R74,'7c. Success counts 1718'!R74,'7d Success counts 1617'!R74)</f>
        <v>415</v>
      </c>
      <c r="S76" s="80">
        <f>AVERAGE('7b. Success proj 1819'!S74,'7c. Success counts 1718'!S74,'7d Success counts 1617'!S74)</f>
        <v>838</v>
      </c>
      <c r="T76" s="80">
        <f>AVERAGE('7b. Success proj 1819'!T74,'7c. Success counts 1718'!T74,'7d Success counts 1617'!T74)</f>
        <v>0</v>
      </c>
      <c r="U76" s="80">
        <f>AVERAGE('7b. Success proj 1819'!U74,'7c. Success counts 1718'!U74,'7d Success counts 1617'!U74)</f>
        <v>156</v>
      </c>
      <c r="V76" s="80">
        <f>AVERAGE('7b. Success proj 1819'!V74,'7c. Success counts 1718'!V74,'7d Success counts 1617'!V74)</f>
        <v>49</v>
      </c>
      <c r="W76" s="80">
        <f>AVERAGE('7b. Success proj 1819'!W74,'7c. Success counts 1718'!W74,'7d Success counts 1617'!W74)</f>
        <v>2150</v>
      </c>
      <c r="X76" s="80">
        <f>AVERAGE('7b. Success proj 1819'!X74,'7c. Success counts 1718'!X74,'7d Success counts 1617'!X74)</f>
        <v>1119</v>
      </c>
      <c r="Y76" s="80">
        <f>AVERAGE('7b. Success proj 1819'!Y74,'7c. Success counts 1718'!Y74,'7d Success counts 1617'!Y74)</f>
        <v>2199</v>
      </c>
    </row>
    <row r="77" spans="1:25" x14ac:dyDescent="0.25">
      <c r="A77" s="170" t="s">
        <v>107</v>
      </c>
      <c r="B77" s="80">
        <f>AVERAGE('7b. Success proj 1819'!B75,'7c. Success counts 1718'!B75,'7d Success counts 1617'!B75)</f>
        <v>239</v>
      </c>
      <c r="C77" s="80">
        <f>AVERAGE('7b. Success proj 1819'!C75,'7c. Success counts 1718'!C75,'7d Success counts 1617'!C75)</f>
        <v>621</v>
      </c>
      <c r="D77" s="80">
        <f>AVERAGE('7b. Success proj 1819'!D75,'7c. Success counts 1718'!D75,'7d Success counts 1617'!D75)</f>
        <v>0</v>
      </c>
      <c r="E77" s="80">
        <f>AVERAGE('7b. Success proj 1819'!E75,'7c. Success counts 1718'!E75,'7d Success counts 1617'!E75)</f>
        <v>99</v>
      </c>
      <c r="F77" s="80">
        <f>AVERAGE('7b. Success proj 1819'!F75,'7c. Success counts 1718'!F75,'7d Success counts 1617'!F75)</f>
        <v>105</v>
      </c>
      <c r="G77" s="80">
        <f>AVERAGE('7b. Success proj 1819'!G75,'7c. Success counts 1718'!G75,'7d Success counts 1617'!G75)</f>
        <v>1365</v>
      </c>
      <c r="H77" s="80">
        <f>AVERAGE('7b. Success proj 1819'!H75,'7c. Success counts 1718'!H75,'7d Success counts 1617'!H75)</f>
        <v>785</v>
      </c>
      <c r="I77" s="80">
        <f>AVERAGE('7b. Success proj 1819'!I75,'7c. Success counts 1718'!I75,'7d Success counts 1617'!I75)</f>
        <v>1753</v>
      </c>
      <c r="J77" s="80">
        <f>AVERAGE('7b. Success proj 1819'!J75,'7c. Success counts 1718'!J75,'7d Success counts 1617'!J75)</f>
        <v>158</v>
      </c>
      <c r="K77" s="80">
        <f>AVERAGE('7b. Success proj 1819'!K75,'7c. Success counts 1718'!K75,'7d Success counts 1617'!K75)</f>
        <v>402</v>
      </c>
      <c r="L77" s="80">
        <f>AVERAGE('7b. Success proj 1819'!L75,'7c. Success counts 1718'!L75,'7d Success counts 1617'!L75)</f>
        <v>0</v>
      </c>
      <c r="M77" s="80">
        <f>AVERAGE('7b. Success proj 1819'!M75,'7c. Success counts 1718'!M75,'7d Success counts 1617'!M75)</f>
        <v>46</v>
      </c>
      <c r="N77" s="80">
        <f>AVERAGE('7b. Success proj 1819'!N75,'7c. Success counts 1718'!N75,'7d Success counts 1617'!N75)</f>
        <v>48</v>
      </c>
      <c r="O77" s="80">
        <f>AVERAGE('7b. Success proj 1819'!O75,'7c. Success counts 1718'!O75,'7d Success counts 1617'!O75)</f>
        <v>793</v>
      </c>
      <c r="P77" s="80">
        <f>AVERAGE('7b. Success proj 1819'!P75,'7c. Success counts 1718'!P75,'7d Success counts 1617'!P75)</f>
        <v>386</v>
      </c>
      <c r="Q77" s="80">
        <f>AVERAGE('7b. Success proj 1819'!Q75,'7c. Success counts 1718'!Q75,'7d Success counts 1617'!Q75)</f>
        <v>798</v>
      </c>
      <c r="R77" s="80">
        <f>AVERAGE('7b. Success proj 1819'!R75,'7c. Success counts 1718'!R75,'7d Success counts 1617'!R75)</f>
        <v>206</v>
      </c>
      <c r="S77" s="80">
        <f>AVERAGE('7b. Success proj 1819'!S75,'7c. Success counts 1718'!S75,'7d Success counts 1617'!S75)</f>
        <v>533</v>
      </c>
      <c r="T77" s="80">
        <f>AVERAGE('7b. Success proj 1819'!T75,'7c. Success counts 1718'!T75,'7d Success counts 1617'!T75)</f>
        <v>0</v>
      </c>
      <c r="U77" s="80">
        <f>AVERAGE('7b. Success proj 1819'!U75,'7c. Success counts 1718'!U75,'7d Success counts 1617'!U75)</f>
        <v>78</v>
      </c>
      <c r="V77" s="80">
        <f>AVERAGE('7b. Success proj 1819'!V75,'7c. Success counts 1718'!V75,'7d Success counts 1617'!V75)</f>
        <v>70</v>
      </c>
      <c r="W77" s="80">
        <f>AVERAGE('7b. Success proj 1819'!W75,'7c. Success counts 1718'!W75,'7d Success counts 1617'!W75)</f>
        <v>1129</v>
      </c>
      <c r="X77" s="80">
        <f>AVERAGE('7b. Success proj 1819'!X75,'7c. Success counts 1718'!X75,'7d Success counts 1617'!X75)</f>
        <v>532</v>
      </c>
      <c r="Y77" s="80">
        <f>AVERAGE('7b. Success proj 1819'!Y75,'7c. Success counts 1718'!Y75,'7d Success counts 1617'!Y75)</f>
        <v>1206</v>
      </c>
    </row>
    <row r="78" spans="1:25" s="217" customFormat="1" x14ac:dyDescent="0.25">
      <c r="A78" s="188" t="s">
        <v>108</v>
      </c>
      <c r="B78" s="217">
        <f>AVERAGE('7b. Success proj 1819'!B76,'7c. Success counts 1718'!B76,'7d Success counts 1617'!B76)</f>
        <v>43990</v>
      </c>
      <c r="C78" s="217">
        <f>AVERAGE('7b. Success proj 1819'!C76,'7c. Success counts 1718'!C76,'7d Success counts 1617'!C76)</f>
        <v>61822</v>
      </c>
      <c r="D78" s="217">
        <f>AVERAGE('7b. Success proj 1819'!D76,'7c. Success counts 1718'!D76,'7d Success counts 1617'!D76)</f>
        <v>106</v>
      </c>
      <c r="E78" s="217">
        <f>AVERAGE('7b. Success proj 1819'!E76,'7c. Success counts 1718'!E76,'7d Success counts 1617'!E76)</f>
        <v>20974</v>
      </c>
      <c r="F78" s="217">
        <f>AVERAGE('7b. Success proj 1819'!F76,'7c. Success counts 1718'!F76,'7d Success counts 1617'!F76)</f>
        <v>25235</v>
      </c>
      <c r="G78" s="217">
        <f>AVERAGE('7b. Success proj 1819'!G76,'7c. Success counts 1718'!G76,'7d Success counts 1617'!G76)</f>
        <v>186498</v>
      </c>
      <c r="H78" s="217">
        <f>AVERAGE('7b. Success proj 1819'!H76,'7c. Success counts 1718'!H76,'7d Success counts 1617'!H76)</f>
        <v>126481</v>
      </c>
      <c r="I78" s="217">
        <f>AVERAGE('7b. Success proj 1819'!I76,'7c. Success counts 1718'!I76,'7d Success counts 1617'!I76)</f>
        <v>188675</v>
      </c>
      <c r="J78" s="217">
        <f>AVERAGE('7b. Success proj 1819'!J76,'7c. Success counts 1718'!J76,'7d Success counts 1617'!J76)</f>
        <v>24088</v>
      </c>
      <c r="K78" s="217">
        <f>AVERAGE('7b. Success proj 1819'!K76,'7c. Success counts 1718'!K76,'7d Success counts 1617'!K76)</f>
        <v>33490</v>
      </c>
      <c r="L78" s="217">
        <f>AVERAGE('7b. Success proj 1819'!L76,'7c. Success counts 1718'!L76,'7d Success counts 1617'!L76)</f>
        <v>50</v>
      </c>
      <c r="M78" s="217">
        <f>AVERAGE('7b. Success proj 1819'!M76,'7c. Success counts 1718'!M76,'7d Success counts 1617'!M76)</f>
        <v>9628</v>
      </c>
      <c r="N78" s="217">
        <f>AVERAGE('7b. Success proj 1819'!N76,'7c. Success counts 1718'!N76,'7d Success counts 1617'!N76)</f>
        <v>9110</v>
      </c>
      <c r="O78" s="217">
        <f>AVERAGE('7b. Success proj 1819'!O76,'7c. Success counts 1718'!O76,'7d Success counts 1617'!O76)</f>
        <v>83503</v>
      </c>
      <c r="P78" s="217">
        <f>AVERAGE('7b. Success proj 1819'!P76,'7c. Success counts 1718'!P76,'7d Success counts 1617'!P76)</f>
        <v>53780</v>
      </c>
      <c r="Q78" s="217">
        <f>AVERAGE('7b. Success proj 1819'!Q76,'7c. Success counts 1718'!Q76,'7d Success counts 1617'!Q76)</f>
        <v>50646</v>
      </c>
      <c r="R78" s="217">
        <f>AVERAGE('7b. Success proj 1819'!R76,'7c. Success counts 1718'!R76,'7d Success counts 1617'!R76)</f>
        <v>32624</v>
      </c>
      <c r="S78" s="217">
        <f>AVERAGE('7b. Success proj 1819'!S76,'7c. Success counts 1718'!S76,'7d Success counts 1617'!S76)</f>
        <v>46348</v>
      </c>
      <c r="T78" s="217">
        <f>AVERAGE('7b. Success proj 1819'!T76,'7c. Success counts 1718'!T76,'7d Success counts 1617'!T76)</f>
        <v>84</v>
      </c>
      <c r="U78" s="217">
        <f>AVERAGE('7b. Success proj 1819'!U76,'7c. Success counts 1718'!U76,'7d Success counts 1617'!U76)</f>
        <v>14093</v>
      </c>
      <c r="V78" s="217">
        <f>AVERAGE('7b. Success proj 1819'!V76,'7c. Success counts 1718'!V76,'7d Success counts 1617'!V76)</f>
        <v>13364</v>
      </c>
      <c r="W78" s="217">
        <f>AVERAGE('7b. Success proj 1819'!W76,'7c. Success counts 1718'!W76,'7d Success counts 1617'!W76)</f>
        <v>124252</v>
      </c>
      <c r="X78" s="217">
        <f>AVERAGE('7b. Success proj 1819'!X76,'7c. Success counts 1718'!X76,'7d Success counts 1617'!X76)</f>
        <v>79596</v>
      </c>
      <c r="Y78" s="217">
        <f>AVERAGE('7b. Success proj 1819'!Y76,'7c. Success counts 1718'!Y76,'7d Success counts 1617'!Y76)</f>
        <v>90262</v>
      </c>
    </row>
  </sheetData>
  <mergeCells count="4">
    <mergeCell ref="B1:Y1"/>
    <mergeCell ref="B2:I2"/>
    <mergeCell ref="J2:Q2"/>
    <mergeCell ref="R2:Y2"/>
  </mergeCells>
  <pageMargins left="0.7" right="0.7" top="0.75" bottom="0.75" header="0.3" footer="0.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6"/>
  <sheetViews>
    <sheetView workbookViewId="0">
      <selection activeCell="B4" sqref="B4"/>
    </sheetView>
  </sheetViews>
  <sheetFormatPr defaultColWidth="8.85546875" defaultRowHeight="15" x14ac:dyDescent="0.25"/>
  <cols>
    <col min="1" max="1" width="18.7109375" style="80" bestFit="1" customWidth="1"/>
    <col min="2" max="2" width="10" style="80" bestFit="1" customWidth="1"/>
    <col min="3" max="3" width="9" style="80" bestFit="1" customWidth="1"/>
    <col min="4" max="5" width="10" style="80" bestFit="1" customWidth="1"/>
    <col min="6" max="6" width="11" style="80" bestFit="1" customWidth="1"/>
    <col min="7" max="10" width="10" style="80" bestFit="1" customWidth="1"/>
    <col min="11" max="11" width="9" style="80" bestFit="1" customWidth="1"/>
    <col min="12" max="12" width="10" style="80" bestFit="1" customWidth="1"/>
    <col min="13" max="13" width="9" style="80" bestFit="1" customWidth="1"/>
    <col min="14" max="15" width="10" style="80" bestFit="1" customWidth="1"/>
    <col min="16" max="16" width="9" style="80" bestFit="1" customWidth="1"/>
    <col min="17" max="18" width="10" style="80" bestFit="1" customWidth="1"/>
    <col min="19" max="19" width="9" style="80" bestFit="1" customWidth="1"/>
    <col min="20" max="23" width="10" style="80" bestFit="1" customWidth="1"/>
    <col min="24" max="25" width="9" style="80" bestFit="1" customWidth="1"/>
    <col min="26" max="27" width="10" style="80" bestFit="1" customWidth="1"/>
    <col min="28" max="28" width="8.85546875" style="80" bestFit="1" customWidth="1"/>
    <col min="29" max="30" width="10" style="80" bestFit="1" customWidth="1"/>
    <col min="31" max="31" width="11" style="80" bestFit="1" customWidth="1"/>
    <col min="32" max="32" width="10" style="80" bestFit="1" customWidth="1"/>
    <col min="33" max="33" width="8.85546875" style="80" bestFit="1" customWidth="1"/>
    <col min="34" max="35" width="10" style="80" bestFit="1" customWidth="1"/>
    <col min="36" max="36" width="8.85546875" style="80" bestFit="1" customWidth="1"/>
    <col min="37" max="37" width="10" style="80" bestFit="1" customWidth="1"/>
    <col min="38" max="38" width="9" style="80" bestFit="1" customWidth="1"/>
    <col min="39" max="40" width="10" style="80" bestFit="1" customWidth="1"/>
    <col min="41" max="41" width="8.85546875" style="80" bestFit="1" customWidth="1"/>
    <col min="42" max="43" width="10" style="80" bestFit="1" customWidth="1"/>
    <col min="44" max="44" width="8.85546875" style="80" bestFit="1" customWidth="1"/>
    <col min="45" max="48" width="10" style="80" bestFit="1" customWidth="1"/>
    <col min="49" max="49" width="8.85546875" style="80" bestFit="1" customWidth="1"/>
    <col min="50" max="16384" width="8.85546875" style="80"/>
  </cols>
  <sheetData>
    <row r="1" spans="1:25" x14ac:dyDescent="0.25">
      <c r="B1" s="313" t="s">
        <v>222</v>
      </c>
      <c r="C1" s="313"/>
      <c r="D1" s="313"/>
      <c r="E1" s="313"/>
      <c r="F1" s="313"/>
      <c r="G1" s="313"/>
      <c r="H1" s="313"/>
      <c r="I1" s="313"/>
      <c r="J1" s="313"/>
      <c r="K1" s="313"/>
      <c r="L1" s="313"/>
      <c r="M1" s="313"/>
      <c r="N1" s="313"/>
      <c r="O1" s="313"/>
      <c r="P1" s="313"/>
      <c r="Q1" s="313"/>
      <c r="R1" s="313"/>
      <c r="S1" s="313"/>
      <c r="T1" s="313"/>
      <c r="U1" s="313"/>
      <c r="V1" s="313"/>
      <c r="W1" s="313"/>
      <c r="X1" s="313"/>
      <c r="Y1" s="313"/>
    </row>
    <row r="2" spans="1:25" ht="18.75" x14ac:dyDescent="0.3">
      <c r="A2" s="206"/>
      <c r="B2" s="314" t="s">
        <v>109</v>
      </c>
      <c r="C2" s="315"/>
      <c r="D2" s="315"/>
      <c r="E2" s="315"/>
      <c r="F2" s="315"/>
      <c r="G2" s="315"/>
      <c r="H2" s="315"/>
      <c r="I2" s="316"/>
      <c r="J2" s="314" t="s">
        <v>110</v>
      </c>
      <c r="K2" s="315"/>
      <c r="L2" s="315"/>
      <c r="M2" s="315"/>
      <c r="N2" s="315"/>
      <c r="O2" s="315"/>
      <c r="P2" s="315"/>
      <c r="Q2" s="316"/>
      <c r="R2" s="314" t="s">
        <v>111</v>
      </c>
      <c r="S2" s="315"/>
      <c r="T2" s="315"/>
      <c r="U2" s="315"/>
      <c r="V2" s="315"/>
      <c r="W2" s="315"/>
      <c r="X2" s="315"/>
      <c r="Y2" s="315"/>
    </row>
    <row r="3" spans="1:25" s="192" customFormat="1" ht="60.6" customHeight="1" x14ac:dyDescent="0.25">
      <c r="A3" s="190" t="s">
        <v>8</v>
      </c>
      <c r="B3" s="192" t="s">
        <v>113</v>
      </c>
      <c r="C3" s="192" t="s">
        <v>112</v>
      </c>
      <c r="D3" s="192" t="s">
        <v>131</v>
      </c>
      <c r="E3" s="192" t="s">
        <v>114</v>
      </c>
      <c r="F3" s="192" t="s">
        <v>117</v>
      </c>
      <c r="G3" s="192" t="s">
        <v>115</v>
      </c>
      <c r="H3" s="192" t="s">
        <v>116</v>
      </c>
      <c r="I3" s="192" t="s">
        <v>118</v>
      </c>
      <c r="J3" s="192" t="s">
        <v>113</v>
      </c>
      <c r="K3" s="192" t="s">
        <v>112</v>
      </c>
      <c r="L3" s="192" t="s">
        <v>131</v>
      </c>
      <c r="M3" s="192" t="s">
        <v>114</v>
      </c>
      <c r="N3" s="192" t="s">
        <v>117</v>
      </c>
      <c r="O3" s="192" t="s">
        <v>115</v>
      </c>
      <c r="P3" s="192" t="s">
        <v>116</v>
      </c>
      <c r="Q3" s="192" t="s">
        <v>118</v>
      </c>
      <c r="R3" s="192" t="s">
        <v>113</v>
      </c>
      <c r="S3" s="192" t="s">
        <v>112</v>
      </c>
      <c r="T3" s="192" t="s">
        <v>131</v>
      </c>
      <c r="U3" s="192" t="s">
        <v>114</v>
      </c>
      <c r="V3" s="192" t="s">
        <v>117</v>
      </c>
      <c r="W3" s="192" t="s">
        <v>115</v>
      </c>
      <c r="X3" s="192" t="s">
        <v>116</v>
      </c>
      <c r="Y3" s="192" t="s">
        <v>118</v>
      </c>
    </row>
    <row r="4" spans="1:25" x14ac:dyDescent="0.25">
      <c r="A4" s="170" t="s">
        <v>43</v>
      </c>
      <c r="B4" s="187">
        <f>'7c. Success counts 1718'!B4+'7b1 Success growth'!B4</f>
        <v>297</v>
      </c>
      <c r="C4" s="187">
        <f>'7c. Success counts 1718'!C4+'7b1 Success growth'!C4</f>
        <v>511</v>
      </c>
      <c r="D4" s="187">
        <f>'7c. Success counts 1718'!D4+'7b1 Success growth'!D4</f>
        <v>0</v>
      </c>
      <c r="E4" s="187">
        <f>'7c. Success counts 1718'!E4+'7b1 Success growth'!E4</f>
        <v>229</v>
      </c>
      <c r="F4" s="187">
        <f>'7c. Success counts 1718'!F4+'7b1 Success growth'!F4</f>
        <v>164</v>
      </c>
      <c r="G4" s="187">
        <f>'7c. Success counts 1718'!G4+'7b1 Success growth'!G4</f>
        <v>1897</v>
      </c>
      <c r="H4" s="187">
        <f>'7c. Success counts 1718'!H4+'7b1 Success growth'!H4</f>
        <v>927</v>
      </c>
      <c r="I4" s="187">
        <f>'7c. Success counts 1718'!I4+'7b1 Success growth'!I4</f>
        <v>1937</v>
      </c>
      <c r="J4" s="187">
        <f>'7c. Success counts 1718'!J4+'7b1 Success growth'!J4</f>
        <v>189</v>
      </c>
      <c r="K4" s="187">
        <f>'7c. Success counts 1718'!K4+'7b1 Success growth'!K4</f>
        <v>276</v>
      </c>
      <c r="L4" s="187">
        <f>'7c. Success counts 1718'!L4+'7b1 Success growth'!L4</f>
        <v>0</v>
      </c>
      <c r="M4" s="187">
        <f>'7c. Success counts 1718'!M4+'7b1 Success growth'!M4</f>
        <v>132</v>
      </c>
      <c r="N4" s="187">
        <f>'7c. Success counts 1718'!N4+'7b1 Success growth'!N4</f>
        <v>73</v>
      </c>
      <c r="O4" s="187">
        <f>'7c. Success counts 1718'!O4+'7b1 Success growth'!O4</f>
        <v>709</v>
      </c>
      <c r="P4" s="187">
        <f>'7c. Success counts 1718'!P4+'7b1 Success growth'!P4</f>
        <v>367</v>
      </c>
      <c r="Q4" s="187">
        <f>'7c. Success counts 1718'!Q4+'7b1 Success growth'!Q4</f>
        <v>459</v>
      </c>
      <c r="R4" s="187">
        <f>'7c. Success counts 1718'!R4+'7b1 Success growth'!R4</f>
        <v>255</v>
      </c>
      <c r="S4" s="187">
        <f>'7c. Success counts 1718'!S4+'7b1 Success growth'!S4</f>
        <v>430</v>
      </c>
      <c r="T4" s="187">
        <f>'7c. Success counts 1718'!T4+'7b1 Success growth'!T4</f>
        <v>0</v>
      </c>
      <c r="U4" s="187">
        <f>'7c. Success counts 1718'!U4+'7b1 Success growth'!U4</f>
        <v>192</v>
      </c>
      <c r="V4" s="187">
        <f>'7c. Success counts 1718'!V4+'7b1 Success growth'!V4</f>
        <v>116</v>
      </c>
      <c r="W4" s="187">
        <f>'7c. Success counts 1718'!W4+'7b1 Success growth'!W4</f>
        <v>1315</v>
      </c>
      <c r="X4" s="187">
        <f>'7c. Success counts 1718'!X4+'7b1 Success growth'!X4</f>
        <v>635</v>
      </c>
      <c r="Y4" s="187">
        <f>'7c. Success counts 1718'!Y4+'7b1 Success growth'!Y4</f>
        <v>967</v>
      </c>
    </row>
    <row r="5" spans="1:25" x14ac:dyDescent="0.25">
      <c r="A5" s="170" t="s">
        <v>44</v>
      </c>
      <c r="B5" s="187">
        <f>'7c. Success counts 1718'!B5+'7b1 Success growth'!B5</f>
        <v>564</v>
      </c>
      <c r="C5" s="187">
        <f>'7c. Success counts 1718'!C5+'7b1 Success growth'!C5</f>
        <v>577</v>
      </c>
      <c r="D5" s="187">
        <f>'7c. Success counts 1718'!D5+'7b1 Success growth'!D5</f>
        <v>0</v>
      </c>
      <c r="E5" s="187">
        <f>'7c. Success counts 1718'!E5+'7b1 Success growth'!E5</f>
        <v>317</v>
      </c>
      <c r="F5" s="187">
        <f>'7c. Success counts 1718'!F5+'7b1 Success growth'!F5</f>
        <v>168</v>
      </c>
      <c r="G5" s="187">
        <f>'7c. Success counts 1718'!G5+'7b1 Success growth'!G5</f>
        <v>1928</v>
      </c>
      <c r="H5" s="187">
        <f>'7c. Success counts 1718'!H5+'7b1 Success growth'!H5</f>
        <v>1018</v>
      </c>
      <c r="I5" s="187">
        <f>'7c. Success counts 1718'!I5+'7b1 Success growth'!I5</f>
        <v>1293</v>
      </c>
      <c r="J5" s="187">
        <f>'7c. Success counts 1718'!J5+'7b1 Success growth'!J5</f>
        <v>394</v>
      </c>
      <c r="K5" s="187">
        <f>'7c. Success counts 1718'!K5+'7b1 Success growth'!K5</f>
        <v>404</v>
      </c>
      <c r="L5" s="187">
        <f>'7c. Success counts 1718'!L5+'7b1 Success growth'!L5</f>
        <v>0</v>
      </c>
      <c r="M5" s="187">
        <f>'7c. Success counts 1718'!M5+'7b1 Success growth'!M5</f>
        <v>193</v>
      </c>
      <c r="N5" s="187">
        <f>'7c. Success counts 1718'!N5+'7b1 Success growth'!N5</f>
        <v>72</v>
      </c>
      <c r="O5" s="187">
        <f>'7c. Success counts 1718'!O5+'7b1 Success growth'!O5</f>
        <v>1215</v>
      </c>
      <c r="P5" s="187">
        <f>'7c. Success counts 1718'!P5+'7b1 Success growth'!P5</f>
        <v>587</v>
      </c>
      <c r="Q5" s="187">
        <f>'7c. Success counts 1718'!Q5+'7b1 Success growth'!Q5</f>
        <v>688</v>
      </c>
      <c r="R5" s="187">
        <f>'7c. Success counts 1718'!R5+'7b1 Success growth'!R5</f>
        <v>483</v>
      </c>
      <c r="S5" s="187">
        <f>'7c. Success counts 1718'!S5+'7b1 Success growth'!S5</f>
        <v>488</v>
      </c>
      <c r="T5" s="187">
        <f>'7c. Success counts 1718'!T5+'7b1 Success growth'!T5</f>
        <v>0</v>
      </c>
      <c r="U5" s="187">
        <f>'7c. Success counts 1718'!U5+'7b1 Success growth'!U5</f>
        <v>252</v>
      </c>
      <c r="V5" s="187">
        <f>'7c. Success counts 1718'!V5+'7b1 Success growth'!V5</f>
        <v>121</v>
      </c>
      <c r="W5" s="187">
        <f>'7c. Success counts 1718'!W5+'7b1 Success growth'!W5</f>
        <v>1590</v>
      </c>
      <c r="X5" s="187">
        <f>'7c. Success counts 1718'!X5+'7b1 Success growth'!X5</f>
        <v>805</v>
      </c>
      <c r="Y5" s="187">
        <f>'7c. Success counts 1718'!Y5+'7b1 Success growth'!Y5</f>
        <v>1024</v>
      </c>
    </row>
    <row r="6" spans="1:25" x14ac:dyDescent="0.25">
      <c r="A6" s="170" t="s">
        <v>45</v>
      </c>
      <c r="B6" s="187">
        <f>'7c. Success counts 1718'!B6+'7b1 Success growth'!B6</f>
        <v>61</v>
      </c>
      <c r="C6" s="187">
        <f>'7c. Success counts 1718'!C6+'7b1 Success growth'!C6</f>
        <v>288</v>
      </c>
      <c r="D6" s="187">
        <f>'7c. Success counts 1718'!D6+'7b1 Success growth'!D6</f>
        <v>0</v>
      </c>
      <c r="E6" s="187">
        <f>'7c. Success counts 1718'!E6+'7b1 Success growth'!E6</f>
        <v>27</v>
      </c>
      <c r="F6" s="187">
        <f>'7c. Success counts 1718'!F6+'7b1 Success growth'!F6</f>
        <v>89</v>
      </c>
      <c r="G6" s="187">
        <f>'7c. Success counts 1718'!G6+'7b1 Success growth'!G6</f>
        <v>327</v>
      </c>
      <c r="H6" s="187">
        <f>'7c. Success counts 1718'!H6+'7b1 Success growth'!H6</f>
        <v>302</v>
      </c>
      <c r="I6" s="187">
        <f>'7c. Success counts 1718'!I6+'7b1 Success growth'!I6</f>
        <v>572</v>
      </c>
      <c r="J6" s="187">
        <f>'7c. Success counts 1718'!J6+'7b1 Success growth'!J6</f>
        <v>59</v>
      </c>
      <c r="K6" s="187">
        <f>'7c. Success counts 1718'!K6+'7b1 Success growth'!K6</f>
        <v>236</v>
      </c>
      <c r="L6" s="187">
        <f>'7c. Success counts 1718'!L6+'7b1 Success growth'!L6</f>
        <v>0</v>
      </c>
      <c r="M6" s="187">
        <f>'7c. Success counts 1718'!M6+'7b1 Success growth'!M6</f>
        <v>25</v>
      </c>
      <c r="N6" s="187">
        <f>'7c. Success counts 1718'!N6+'7b1 Success growth'!N6</f>
        <v>44</v>
      </c>
      <c r="O6" s="187">
        <f>'7c. Success counts 1718'!O6+'7b1 Success growth'!O6</f>
        <v>232</v>
      </c>
      <c r="P6" s="187">
        <f>'7c. Success counts 1718'!P6+'7b1 Success growth'!P6</f>
        <v>134</v>
      </c>
      <c r="Q6" s="187">
        <f>'7c. Success counts 1718'!Q6+'7b1 Success growth'!Q6</f>
        <v>244</v>
      </c>
      <c r="R6" s="187">
        <f>'7c. Success counts 1718'!R6+'7b1 Success growth'!R6</f>
        <v>60</v>
      </c>
      <c r="S6" s="187">
        <f>'7c. Success counts 1718'!S6+'7b1 Success growth'!S6</f>
        <v>268</v>
      </c>
      <c r="T6" s="187">
        <f>'7c. Success counts 1718'!T6+'7b1 Success growth'!T6</f>
        <v>0</v>
      </c>
      <c r="U6" s="187">
        <f>'7c. Success counts 1718'!U6+'7b1 Success growth'!U6</f>
        <v>27</v>
      </c>
      <c r="V6" s="187">
        <f>'7c. Success counts 1718'!V6+'7b1 Success growth'!V6</f>
        <v>61</v>
      </c>
      <c r="W6" s="187">
        <f>'7c. Success counts 1718'!W6+'7b1 Success growth'!W6</f>
        <v>282</v>
      </c>
      <c r="X6" s="187">
        <f>'7c. Success counts 1718'!X6+'7b1 Success growth'!X6</f>
        <v>201</v>
      </c>
      <c r="Y6" s="187">
        <f>'7c. Success counts 1718'!Y6+'7b1 Success growth'!Y6</f>
        <v>391</v>
      </c>
    </row>
    <row r="7" spans="1:25" x14ac:dyDescent="0.25">
      <c r="A7" s="170" t="s">
        <v>46</v>
      </c>
      <c r="B7" s="187">
        <f>'7c. Success counts 1718'!B7+'7b1 Success growth'!B7</f>
        <v>329</v>
      </c>
      <c r="C7" s="187">
        <f>'7c. Success counts 1718'!C7+'7b1 Success growth'!C7</f>
        <v>707</v>
      </c>
      <c r="D7" s="187">
        <f>'7c. Success counts 1718'!D7+'7b1 Success growth'!D7</f>
        <v>0</v>
      </c>
      <c r="E7" s="187">
        <f>'7c. Success counts 1718'!E7+'7b1 Success growth'!E7</f>
        <v>328</v>
      </c>
      <c r="F7" s="187">
        <f>'7c. Success counts 1718'!F7+'7b1 Success growth'!F7</f>
        <v>304</v>
      </c>
      <c r="G7" s="187">
        <f>'7c. Success counts 1718'!G7+'7b1 Success growth'!G7</f>
        <v>2124</v>
      </c>
      <c r="H7" s="187">
        <f>'7c. Success counts 1718'!H7+'7b1 Success growth'!H7</f>
        <v>1165</v>
      </c>
      <c r="I7" s="187">
        <f>'7c. Success counts 1718'!I7+'7b1 Success growth'!I7</f>
        <v>1763</v>
      </c>
      <c r="J7" s="187">
        <f>'7c. Success counts 1718'!J7+'7b1 Success growth'!J7</f>
        <v>182</v>
      </c>
      <c r="K7" s="187">
        <f>'7c. Success counts 1718'!K7+'7b1 Success growth'!K7</f>
        <v>473</v>
      </c>
      <c r="L7" s="187">
        <f>'7c. Success counts 1718'!L7+'7b1 Success growth'!L7</f>
        <v>0</v>
      </c>
      <c r="M7" s="187">
        <f>'7c. Success counts 1718'!M7+'7b1 Success growth'!M7</f>
        <v>110</v>
      </c>
      <c r="N7" s="187">
        <f>'7c. Success counts 1718'!N7+'7b1 Success growth'!N7</f>
        <v>161</v>
      </c>
      <c r="O7" s="187">
        <f>'7c. Success counts 1718'!O7+'7b1 Success growth'!O7</f>
        <v>1043</v>
      </c>
      <c r="P7" s="187">
        <f>'7c. Success counts 1718'!P7+'7b1 Success growth'!P7</f>
        <v>574</v>
      </c>
      <c r="Q7" s="187">
        <f>'7c. Success counts 1718'!Q7+'7b1 Success growth'!Q7</f>
        <v>804</v>
      </c>
      <c r="R7" s="187">
        <f>'7c. Success counts 1718'!R7+'7b1 Success growth'!R7</f>
        <v>240</v>
      </c>
      <c r="S7" s="187">
        <f>'7c. Success counts 1718'!S7+'7b1 Success growth'!S7</f>
        <v>576</v>
      </c>
      <c r="T7" s="187">
        <f>'7c. Success counts 1718'!T7+'7b1 Success growth'!T7</f>
        <v>0</v>
      </c>
      <c r="U7" s="187">
        <f>'7c. Success counts 1718'!U7+'7b1 Success growth'!U7</f>
        <v>144</v>
      </c>
      <c r="V7" s="187">
        <f>'7c. Success counts 1718'!V7+'7b1 Success growth'!V7</f>
        <v>200</v>
      </c>
      <c r="W7" s="187">
        <f>'7c. Success counts 1718'!W7+'7b1 Success growth'!W7</f>
        <v>1473</v>
      </c>
      <c r="X7" s="187">
        <f>'7c. Success counts 1718'!X7+'7b1 Success growth'!X7</f>
        <v>753</v>
      </c>
      <c r="Y7" s="187">
        <f>'7c. Success counts 1718'!Y7+'7b1 Success growth'!Y7</f>
        <v>1123</v>
      </c>
    </row>
    <row r="8" spans="1:25" x14ac:dyDescent="0.25">
      <c r="A8" s="170" t="s">
        <v>47</v>
      </c>
      <c r="B8" s="187">
        <f>'7c. Success counts 1718'!B8+'7b1 Success growth'!B8</f>
        <v>287</v>
      </c>
      <c r="C8" s="187">
        <f>'7c. Success counts 1718'!C8+'7b1 Success growth'!C8</f>
        <v>746</v>
      </c>
      <c r="D8" s="187">
        <f>'7c. Success counts 1718'!D8+'7b1 Success growth'!D8</f>
        <v>0</v>
      </c>
      <c r="E8" s="187">
        <f>'7c. Success counts 1718'!E8+'7b1 Success growth'!E8</f>
        <v>40</v>
      </c>
      <c r="F8" s="187">
        <f>'7c. Success counts 1718'!F8+'7b1 Success growth'!F8</f>
        <v>118</v>
      </c>
      <c r="G8" s="187">
        <f>'7c. Success counts 1718'!G8+'7b1 Success growth'!G8</f>
        <v>1096</v>
      </c>
      <c r="H8" s="187">
        <f>'7c. Success counts 1718'!H8+'7b1 Success growth'!H8</f>
        <v>1077</v>
      </c>
      <c r="I8" s="187">
        <f>'7c. Success counts 1718'!I8+'7b1 Success growth'!I8</f>
        <v>1895</v>
      </c>
      <c r="J8" s="187">
        <f>'7c. Success counts 1718'!J8+'7b1 Success growth'!J8</f>
        <v>131</v>
      </c>
      <c r="K8" s="187">
        <f>'7c. Success counts 1718'!K8+'7b1 Success growth'!K8</f>
        <v>348</v>
      </c>
      <c r="L8" s="187">
        <f>'7c. Success counts 1718'!L8+'7b1 Success growth'!L8</f>
        <v>0</v>
      </c>
      <c r="M8" s="187">
        <f>'7c. Success counts 1718'!M8+'7b1 Success growth'!M8</f>
        <v>29</v>
      </c>
      <c r="N8" s="187">
        <f>'7c. Success counts 1718'!N8+'7b1 Success growth'!N8</f>
        <v>57</v>
      </c>
      <c r="O8" s="187">
        <f>'7c. Success counts 1718'!O8+'7b1 Success growth'!O8</f>
        <v>481</v>
      </c>
      <c r="P8" s="187">
        <f>'7c. Success counts 1718'!P8+'7b1 Success growth'!P8</f>
        <v>389</v>
      </c>
      <c r="Q8" s="187">
        <f>'7c. Success counts 1718'!Q8+'7b1 Success growth'!Q8</f>
        <v>435</v>
      </c>
      <c r="R8" s="187">
        <f>'7c. Success counts 1718'!R8+'7b1 Success growth'!R8</f>
        <v>190</v>
      </c>
      <c r="S8" s="187">
        <f>'7c. Success counts 1718'!S8+'7b1 Success growth'!S8</f>
        <v>488</v>
      </c>
      <c r="T8" s="187">
        <f>'7c. Success counts 1718'!T8+'7b1 Success growth'!T8</f>
        <v>0</v>
      </c>
      <c r="U8" s="187">
        <f>'7c. Success counts 1718'!U8+'7b1 Success growth'!U8</f>
        <v>29</v>
      </c>
      <c r="V8" s="187">
        <f>'7c. Success counts 1718'!V8+'7b1 Success growth'!V8</f>
        <v>61</v>
      </c>
      <c r="W8" s="187">
        <f>'7c. Success counts 1718'!W8+'7b1 Success growth'!W8</f>
        <v>730</v>
      </c>
      <c r="X8" s="187">
        <f>'7c. Success counts 1718'!X8+'7b1 Success growth'!X8</f>
        <v>609</v>
      </c>
      <c r="Y8" s="187">
        <f>'7c. Success counts 1718'!Y8+'7b1 Success growth'!Y8</f>
        <v>792</v>
      </c>
    </row>
    <row r="9" spans="1:25" x14ac:dyDescent="0.25">
      <c r="A9" s="170" t="s">
        <v>48</v>
      </c>
      <c r="B9" s="187">
        <f>'7c. Success counts 1718'!B9+'7b1 Success growth'!B9</f>
        <v>785</v>
      </c>
      <c r="C9" s="187">
        <f>'7c. Success counts 1718'!C9+'7b1 Success growth'!C9</f>
        <v>998</v>
      </c>
      <c r="D9" s="187">
        <f>'7c. Success counts 1718'!D9+'7b1 Success growth'!D9</f>
        <v>0</v>
      </c>
      <c r="E9" s="187">
        <f>'7c. Success counts 1718'!E9+'7b1 Success growth'!E9</f>
        <v>751</v>
      </c>
      <c r="F9" s="187">
        <f>'7c. Success counts 1718'!F9+'7b1 Success growth'!F9</f>
        <v>252</v>
      </c>
      <c r="G9" s="187">
        <f>'7c. Success counts 1718'!G9+'7b1 Success growth'!G9</f>
        <v>3630</v>
      </c>
      <c r="H9" s="187">
        <f>'7c. Success counts 1718'!H9+'7b1 Success growth'!H9</f>
        <v>1311</v>
      </c>
      <c r="I9" s="187">
        <f>'7c. Success counts 1718'!I9+'7b1 Success growth'!I9</f>
        <v>3272</v>
      </c>
      <c r="J9" s="187">
        <f>'7c. Success counts 1718'!J9+'7b1 Success growth'!J9</f>
        <v>560</v>
      </c>
      <c r="K9" s="187">
        <f>'7c. Success counts 1718'!K9+'7b1 Success growth'!K9</f>
        <v>665</v>
      </c>
      <c r="L9" s="187">
        <f>'7c. Success counts 1718'!L9+'7b1 Success growth'!L9</f>
        <v>0</v>
      </c>
      <c r="M9" s="187">
        <f>'7c. Success counts 1718'!M9+'7b1 Success growth'!M9</f>
        <v>390</v>
      </c>
      <c r="N9" s="187">
        <f>'7c. Success counts 1718'!N9+'7b1 Success growth'!N9</f>
        <v>132</v>
      </c>
      <c r="O9" s="187">
        <f>'7c. Success counts 1718'!O9+'7b1 Success growth'!O9</f>
        <v>1817</v>
      </c>
      <c r="P9" s="187">
        <f>'7c. Success counts 1718'!P9+'7b1 Success growth'!P9</f>
        <v>860</v>
      </c>
      <c r="Q9" s="187">
        <f>'7c. Success counts 1718'!Q9+'7b1 Success growth'!Q9</f>
        <v>904</v>
      </c>
      <c r="R9" s="187">
        <f>'7c. Success counts 1718'!R9+'7b1 Success growth'!R9</f>
        <v>691</v>
      </c>
      <c r="S9" s="187">
        <f>'7c. Success counts 1718'!S9+'7b1 Success growth'!S9</f>
        <v>837</v>
      </c>
      <c r="T9" s="187">
        <f>'7c. Success counts 1718'!T9+'7b1 Success growth'!T9</f>
        <v>0</v>
      </c>
      <c r="U9" s="187">
        <f>'7c. Success counts 1718'!U9+'7b1 Success growth'!U9</f>
        <v>523</v>
      </c>
      <c r="V9" s="187">
        <f>'7c. Success counts 1718'!V9+'7b1 Success growth'!V9</f>
        <v>182</v>
      </c>
      <c r="W9" s="187">
        <f>'7c. Success counts 1718'!W9+'7b1 Success growth'!W9</f>
        <v>2592</v>
      </c>
      <c r="X9" s="187">
        <f>'7c. Success counts 1718'!X9+'7b1 Success growth'!X9</f>
        <v>1101</v>
      </c>
      <c r="Y9" s="187">
        <f>'7c. Success counts 1718'!Y9+'7b1 Success growth'!Y9</f>
        <v>1428</v>
      </c>
    </row>
    <row r="10" spans="1:25" x14ac:dyDescent="0.25">
      <c r="A10" s="170" t="s">
        <v>49</v>
      </c>
      <c r="B10" s="187">
        <f>'7c. Success counts 1718'!B10+'7b1 Success growth'!B10</f>
        <v>742</v>
      </c>
      <c r="C10" s="187">
        <f>'7c. Success counts 1718'!C10+'7b1 Success growth'!C10</f>
        <v>859</v>
      </c>
      <c r="D10" s="187">
        <f>'7c. Success counts 1718'!D10+'7b1 Success growth'!D10</f>
        <v>0</v>
      </c>
      <c r="E10" s="187">
        <f>'7c. Success counts 1718'!E10+'7b1 Success growth'!E10</f>
        <v>332</v>
      </c>
      <c r="F10" s="187">
        <f>'7c. Success counts 1718'!F10+'7b1 Success growth'!F10</f>
        <v>466</v>
      </c>
      <c r="G10" s="187">
        <f>'7c. Success counts 1718'!G10+'7b1 Success growth'!G10</f>
        <v>2854</v>
      </c>
      <c r="H10" s="187">
        <f>'7c. Success counts 1718'!H10+'7b1 Success growth'!H10</f>
        <v>2273</v>
      </c>
      <c r="I10" s="187">
        <f>'7c. Success counts 1718'!I10+'7b1 Success growth'!I10</f>
        <v>2817</v>
      </c>
      <c r="J10" s="187">
        <f>'7c. Success counts 1718'!J10+'7b1 Success growth'!J10</f>
        <v>307</v>
      </c>
      <c r="K10" s="187">
        <f>'7c. Success counts 1718'!K10+'7b1 Success growth'!K10</f>
        <v>310</v>
      </c>
      <c r="L10" s="187">
        <f>'7c. Success counts 1718'!L10+'7b1 Success growth'!L10</f>
        <v>0</v>
      </c>
      <c r="M10" s="187">
        <f>'7c. Success counts 1718'!M10+'7b1 Success growth'!M10</f>
        <v>114</v>
      </c>
      <c r="N10" s="187">
        <f>'7c. Success counts 1718'!N10+'7b1 Success growth'!N10</f>
        <v>120</v>
      </c>
      <c r="O10" s="187">
        <f>'7c. Success counts 1718'!O10+'7b1 Success growth'!O10</f>
        <v>728</v>
      </c>
      <c r="P10" s="187">
        <f>'7c. Success counts 1718'!P10+'7b1 Success growth'!P10</f>
        <v>761</v>
      </c>
      <c r="Q10" s="187">
        <f>'7c. Success counts 1718'!Q10+'7b1 Success growth'!Q10</f>
        <v>497</v>
      </c>
      <c r="R10" s="187">
        <f>'7c. Success counts 1718'!R10+'7b1 Success growth'!R10</f>
        <v>456</v>
      </c>
      <c r="S10" s="187">
        <f>'7c. Success counts 1718'!S10+'7b1 Success growth'!S10</f>
        <v>498</v>
      </c>
      <c r="T10" s="187">
        <f>'7c. Success counts 1718'!T10+'7b1 Success growth'!T10</f>
        <v>0</v>
      </c>
      <c r="U10" s="187">
        <f>'7c. Success counts 1718'!U10+'7b1 Success growth'!U10</f>
        <v>161</v>
      </c>
      <c r="V10" s="187">
        <f>'7c. Success counts 1718'!V10+'7b1 Success growth'!V10</f>
        <v>192</v>
      </c>
      <c r="W10" s="187">
        <f>'7c. Success counts 1718'!W10+'7b1 Success growth'!W10</f>
        <v>1200</v>
      </c>
      <c r="X10" s="187">
        <f>'7c. Success counts 1718'!X10+'7b1 Success growth'!X10</f>
        <v>1141</v>
      </c>
      <c r="Y10" s="187">
        <f>'7c. Success counts 1718'!Y10+'7b1 Success growth'!Y10</f>
        <v>1029</v>
      </c>
    </row>
    <row r="11" spans="1:25" x14ac:dyDescent="0.25">
      <c r="A11" s="170" t="s">
        <v>50</v>
      </c>
      <c r="B11" s="187">
        <f>'7c. Success counts 1718'!B11+'7b1 Success growth'!B11</f>
        <v>1071</v>
      </c>
      <c r="C11" s="187">
        <f>'7c. Success counts 1718'!C11+'7b1 Success growth'!C11</f>
        <v>981</v>
      </c>
      <c r="D11" s="187">
        <f>'7c. Success counts 1718'!D11+'7b1 Success growth'!D11</f>
        <v>0</v>
      </c>
      <c r="E11" s="187">
        <f>'7c. Success counts 1718'!E11+'7b1 Success growth'!E11</f>
        <v>591</v>
      </c>
      <c r="F11" s="187">
        <f>'7c. Success counts 1718'!F11+'7b1 Success growth'!F11</f>
        <v>272</v>
      </c>
      <c r="G11" s="187">
        <f>'7c. Success counts 1718'!G11+'7b1 Success growth'!G11</f>
        <v>2322</v>
      </c>
      <c r="H11" s="187">
        <f>'7c. Success counts 1718'!H11+'7b1 Success growth'!H11</f>
        <v>1359</v>
      </c>
      <c r="I11" s="187">
        <f>'7c. Success counts 1718'!I11+'7b1 Success growth'!I11</f>
        <v>3041</v>
      </c>
      <c r="J11" s="187">
        <f>'7c. Success counts 1718'!J11+'7b1 Success growth'!J11</f>
        <v>640</v>
      </c>
      <c r="K11" s="187">
        <f>'7c. Success counts 1718'!K11+'7b1 Success growth'!K11</f>
        <v>541</v>
      </c>
      <c r="L11" s="187">
        <f>'7c. Success counts 1718'!L11+'7b1 Success growth'!L11</f>
        <v>0</v>
      </c>
      <c r="M11" s="187">
        <f>'7c. Success counts 1718'!M11+'7b1 Success growth'!M11</f>
        <v>275</v>
      </c>
      <c r="N11" s="187">
        <f>'7c. Success counts 1718'!N11+'7b1 Success growth'!N11</f>
        <v>76</v>
      </c>
      <c r="O11" s="187">
        <f>'7c. Success counts 1718'!O11+'7b1 Success growth'!O11</f>
        <v>1119</v>
      </c>
      <c r="P11" s="187">
        <f>'7c. Success counts 1718'!P11+'7b1 Success growth'!P11</f>
        <v>640</v>
      </c>
      <c r="Q11" s="187">
        <f>'7c. Success counts 1718'!Q11+'7b1 Success growth'!Q11</f>
        <v>1285</v>
      </c>
      <c r="R11" s="187">
        <f>'7c. Success counts 1718'!R11+'7b1 Success growth'!R11</f>
        <v>841</v>
      </c>
      <c r="S11" s="187">
        <f>'7c. Success counts 1718'!S11+'7b1 Success growth'!S11</f>
        <v>746</v>
      </c>
      <c r="T11" s="187">
        <f>'7c. Success counts 1718'!T11+'7b1 Success growth'!T11</f>
        <v>0</v>
      </c>
      <c r="U11" s="187">
        <f>'7c. Success counts 1718'!U11+'7b1 Success growth'!U11</f>
        <v>481</v>
      </c>
      <c r="V11" s="187">
        <f>'7c. Success counts 1718'!V11+'7b1 Success growth'!V11</f>
        <v>141</v>
      </c>
      <c r="W11" s="187">
        <f>'7c. Success counts 1718'!W11+'7b1 Success growth'!W11</f>
        <v>1671</v>
      </c>
      <c r="X11" s="187">
        <f>'7c. Success counts 1718'!X11+'7b1 Success growth'!X11</f>
        <v>1021</v>
      </c>
      <c r="Y11" s="187">
        <f>'7c. Success counts 1718'!Y11+'7b1 Success growth'!Y11</f>
        <v>2223</v>
      </c>
    </row>
    <row r="12" spans="1:25" x14ac:dyDescent="0.25">
      <c r="A12" s="170" t="s">
        <v>51</v>
      </c>
      <c r="B12" s="187">
        <f>'7c. Success counts 1718'!B12+'7b1 Success growth'!B12</f>
        <v>1035</v>
      </c>
      <c r="C12" s="187">
        <f>'7c. Success counts 1718'!C12+'7b1 Success growth'!C12</f>
        <v>573</v>
      </c>
      <c r="D12" s="187">
        <f>'7c. Success counts 1718'!D12+'7b1 Success growth'!D12</f>
        <v>0</v>
      </c>
      <c r="E12" s="187">
        <f>'7c. Success counts 1718'!E12+'7b1 Success growth'!E12</f>
        <v>481</v>
      </c>
      <c r="F12" s="187">
        <f>'7c. Success counts 1718'!F12+'7b1 Success growth'!F12</f>
        <v>425</v>
      </c>
      <c r="G12" s="187">
        <f>'7c. Success counts 1718'!G12+'7b1 Success growth'!G12</f>
        <v>1537</v>
      </c>
      <c r="H12" s="187">
        <f>'7c. Success counts 1718'!H12+'7b1 Success growth'!H12</f>
        <v>1483</v>
      </c>
      <c r="I12" s="187">
        <f>'7c. Success counts 1718'!I12+'7b1 Success growth'!I12</f>
        <v>1308</v>
      </c>
      <c r="J12" s="187">
        <f>'7c. Success counts 1718'!J12+'7b1 Success growth'!J12</f>
        <v>613</v>
      </c>
      <c r="K12" s="187">
        <f>'7c. Success counts 1718'!K12+'7b1 Success growth'!K12</f>
        <v>302</v>
      </c>
      <c r="L12" s="187">
        <f>'7c. Success counts 1718'!L12+'7b1 Success growth'!L12</f>
        <v>0</v>
      </c>
      <c r="M12" s="187">
        <f>'7c. Success counts 1718'!M12+'7b1 Success growth'!M12</f>
        <v>254</v>
      </c>
      <c r="N12" s="187">
        <f>'7c. Success counts 1718'!N12+'7b1 Success growth'!N12</f>
        <v>172</v>
      </c>
      <c r="O12" s="187">
        <f>'7c. Success counts 1718'!O12+'7b1 Success growth'!O12</f>
        <v>762</v>
      </c>
      <c r="P12" s="187">
        <f>'7c. Success counts 1718'!P12+'7b1 Success growth'!P12</f>
        <v>690</v>
      </c>
      <c r="Q12" s="187">
        <f>'7c. Success counts 1718'!Q12+'7b1 Success growth'!Q12</f>
        <v>386</v>
      </c>
      <c r="R12" s="187">
        <f>'7c. Success counts 1718'!R12+'7b1 Success growth'!R12</f>
        <v>794</v>
      </c>
      <c r="S12" s="187">
        <f>'7c. Success counts 1718'!S12+'7b1 Success growth'!S12</f>
        <v>412</v>
      </c>
      <c r="T12" s="187">
        <f>'7c. Success counts 1718'!T12+'7b1 Success growth'!T12</f>
        <v>0</v>
      </c>
      <c r="U12" s="187">
        <f>'7c. Success counts 1718'!U12+'7b1 Success growth'!U12</f>
        <v>380</v>
      </c>
      <c r="V12" s="187">
        <f>'7c. Success counts 1718'!V12+'7b1 Success growth'!V12</f>
        <v>239</v>
      </c>
      <c r="W12" s="187">
        <f>'7c. Success counts 1718'!W12+'7b1 Success growth'!W12</f>
        <v>1130</v>
      </c>
      <c r="X12" s="187">
        <f>'7c. Success counts 1718'!X12+'7b1 Success growth'!X12</f>
        <v>1038</v>
      </c>
      <c r="Y12" s="187">
        <f>'7c. Success counts 1718'!Y12+'7b1 Success growth'!Y12</f>
        <v>738</v>
      </c>
    </row>
    <row r="13" spans="1:25" x14ac:dyDescent="0.25">
      <c r="A13" s="170" t="s">
        <v>52</v>
      </c>
      <c r="B13" s="187">
        <f>'7c. Success counts 1718'!B13+'7b1 Success growth'!B13</f>
        <v>1694</v>
      </c>
      <c r="C13" s="187">
        <f>'7c. Success counts 1718'!C13+'7b1 Success growth'!C13</f>
        <v>2634</v>
      </c>
      <c r="D13" s="187">
        <f>'7c. Success counts 1718'!D13+'7b1 Success growth'!D13</f>
        <v>0</v>
      </c>
      <c r="E13" s="187">
        <f>'7c. Success counts 1718'!E13+'7b1 Success growth'!E13</f>
        <v>960</v>
      </c>
      <c r="F13" s="187">
        <f>'7c. Success counts 1718'!F13+'7b1 Success growth'!F13</f>
        <v>1364</v>
      </c>
      <c r="G13" s="187">
        <f>'7c. Success counts 1718'!G13+'7b1 Success growth'!G13</f>
        <v>5301</v>
      </c>
      <c r="H13" s="187">
        <f>'7c. Success counts 1718'!H13+'7b1 Success growth'!H13</f>
        <v>4933</v>
      </c>
      <c r="I13" s="187">
        <f>'7c. Success counts 1718'!I13+'7b1 Success growth'!I13</f>
        <v>4138</v>
      </c>
      <c r="J13" s="187">
        <f>'7c. Success counts 1718'!J13+'7b1 Success growth'!J13</f>
        <v>849</v>
      </c>
      <c r="K13" s="187">
        <f>'7c. Success counts 1718'!K13+'7b1 Success growth'!K13</f>
        <v>945</v>
      </c>
      <c r="L13" s="187">
        <f>'7c. Success counts 1718'!L13+'7b1 Success growth'!L13</f>
        <v>0</v>
      </c>
      <c r="M13" s="187">
        <f>'7c. Success counts 1718'!M13+'7b1 Success growth'!M13</f>
        <v>373</v>
      </c>
      <c r="N13" s="187">
        <f>'7c. Success counts 1718'!N13+'7b1 Success growth'!N13</f>
        <v>529</v>
      </c>
      <c r="O13" s="187">
        <f>'7c. Success counts 1718'!O13+'7b1 Success growth'!O13</f>
        <v>1729</v>
      </c>
      <c r="P13" s="187">
        <f>'7c. Success counts 1718'!P13+'7b1 Success growth'!P13</f>
        <v>1916</v>
      </c>
      <c r="Q13" s="187">
        <f>'7c. Success counts 1718'!Q13+'7b1 Success growth'!Q13</f>
        <v>746</v>
      </c>
      <c r="R13" s="187">
        <f>'7c. Success counts 1718'!R13+'7b1 Success growth'!R13</f>
        <v>1144</v>
      </c>
      <c r="S13" s="187">
        <f>'7c. Success counts 1718'!S13+'7b1 Success growth'!S13</f>
        <v>1706</v>
      </c>
      <c r="T13" s="187">
        <f>'7c. Success counts 1718'!T13+'7b1 Success growth'!T13</f>
        <v>0</v>
      </c>
      <c r="U13" s="187">
        <f>'7c. Success counts 1718'!U13+'7b1 Success growth'!U13</f>
        <v>616</v>
      </c>
      <c r="V13" s="187">
        <f>'7c. Success counts 1718'!V13+'7b1 Success growth'!V13</f>
        <v>683</v>
      </c>
      <c r="W13" s="187">
        <f>'7c. Success counts 1718'!W13+'7b1 Success growth'!W13</f>
        <v>3158</v>
      </c>
      <c r="X13" s="187">
        <f>'7c. Success counts 1718'!X13+'7b1 Success growth'!X13</f>
        <v>2755</v>
      </c>
      <c r="Y13" s="187">
        <f>'7c. Success counts 1718'!Y13+'7b1 Success growth'!Y13</f>
        <v>1776</v>
      </c>
    </row>
    <row r="14" spans="1:25" x14ac:dyDescent="0.25">
      <c r="A14" s="170" t="s">
        <v>53</v>
      </c>
      <c r="B14" s="187">
        <f>'7c. Success counts 1718'!B14+'7b1 Success growth'!B14</f>
        <v>0</v>
      </c>
      <c r="C14" s="187">
        <f>'7c. Success counts 1718'!C14+'7b1 Success growth'!C14</f>
        <v>500</v>
      </c>
      <c r="D14" s="187">
        <f>'7c. Success counts 1718'!D14+'7b1 Success growth'!D14</f>
        <v>0</v>
      </c>
      <c r="E14" s="187">
        <f>'7c. Success counts 1718'!E14+'7b1 Success growth'!E14</f>
        <v>33</v>
      </c>
      <c r="F14" s="187">
        <f>'7c. Success counts 1718'!F14+'7b1 Success growth'!F14</f>
        <v>17</v>
      </c>
      <c r="G14" s="187">
        <f>'7c. Success counts 1718'!G14+'7b1 Success growth'!G14</f>
        <v>551</v>
      </c>
      <c r="H14" s="187">
        <f>'7c. Success counts 1718'!H14+'7b1 Success growth'!H14</f>
        <v>475</v>
      </c>
      <c r="I14" s="187">
        <f>'7c. Success counts 1718'!I14+'7b1 Success growth'!I14</f>
        <v>815</v>
      </c>
      <c r="J14" s="187">
        <f>'7c. Success counts 1718'!J14+'7b1 Success growth'!J14</f>
        <v>0</v>
      </c>
      <c r="K14" s="187">
        <f>'7c. Success counts 1718'!K14+'7b1 Success growth'!K14</f>
        <v>365</v>
      </c>
      <c r="L14" s="187">
        <f>'7c. Success counts 1718'!L14+'7b1 Success growth'!L14</f>
        <v>0</v>
      </c>
      <c r="M14" s="187">
        <f>'7c. Success counts 1718'!M14+'7b1 Success growth'!M14</f>
        <v>32</v>
      </c>
      <c r="N14" s="187">
        <f>'7c. Success counts 1718'!N14+'7b1 Success growth'!N14</f>
        <v>3</v>
      </c>
      <c r="O14" s="187">
        <f>'7c. Success counts 1718'!O14+'7b1 Success growth'!O14</f>
        <v>296</v>
      </c>
      <c r="P14" s="187">
        <f>'7c. Success counts 1718'!P14+'7b1 Success growth'!P14</f>
        <v>249</v>
      </c>
      <c r="Q14" s="187">
        <f>'7c. Success counts 1718'!Q14+'7b1 Success growth'!Q14</f>
        <v>235</v>
      </c>
      <c r="R14" s="187">
        <f>'7c. Success counts 1718'!R14+'7b1 Success growth'!R14</f>
        <v>0</v>
      </c>
      <c r="S14" s="187">
        <f>'7c. Success counts 1718'!S14+'7b1 Success growth'!S14</f>
        <v>472</v>
      </c>
      <c r="T14" s="187">
        <f>'7c. Success counts 1718'!T14+'7b1 Success growth'!T14</f>
        <v>0</v>
      </c>
      <c r="U14" s="187">
        <f>'7c. Success counts 1718'!U14+'7b1 Success growth'!U14</f>
        <v>23</v>
      </c>
      <c r="V14" s="187">
        <f>'7c. Success counts 1718'!V14+'7b1 Success growth'!V14</f>
        <v>10</v>
      </c>
      <c r="W14" s="187">
        <f>'7c. Success counts 1718'!W14+'7b1 Success growth'!W14</f>
        <v>399</v>
      </c>
      <c r="X14" s="187">
        <f>'7c. Success counts 1718'!X14+'7b1 Success growth'!X14</f>
        <v>316</v>
      </c>
      <c r="Y14" s="187">
        <f>'7c. Success counts 1718'!Y14+'7b1 Success growth'!Y14</f>
        <v>390</v>
      </c>
    </row>
    <row r="15" spans="1:25" x14ac:dyDescent="0.25">
      <c r="A15" s="170" t="s">
        <v>54</v>
      </c>
      <c r="B15" s="187">
        <f>'7c. Success counts 1718'!B15+'7b1 Success growth'!B15</f>
        <v>1729</v>
      </c>
      <c r="C15" s="187">
        <f>'7c. Success counts 1718'!C15+'7b1 Success growth'!C15</f>
        <v>1619</v>
      </c>
      <c r="D15" s="187">
        <f>'7c. Success counts 1718'!D15+'7b1 Success growth'!D15</f>
        <v>0</v>
      </c>
      <c r="E15" s="187">
        <f>'7c. Success counts 1718'!E15+'7b1 Success growth'!E15</f>
        <v>712</v>
      </c>
      <c r="F15" s="187">
        <f>'7c. Success counts 1718'!F15+'7b1 Success growth'!F15</f>
        <v>989</v>
      </c>
      <c r="G15" s="187">
        <f>'7c. Success counts 1718'!G15+'7b1 Success growth'!G15</f>
        <v>4286</v>
      </c>
      <c r="H15" s="187">
        <f>'7c. Success counts 1718'!H15+'7b1 Success growth'!H15</f>
        <v>3692</v>
      </c>
      <c r="I15" s="187">
        <f>'7c. Success counts 1718'!I15+'7b1 Success growth'!I15</f>
        <v>2389</v>
      </c>
      <c r="J15" s="187">
        <f>'7c. Success counts 1718'!J15+'7b1 Success growth'!J15</f>
        <v>688</v>
      </c>
      <c r="K15" s="187">
        <f>'7c. Success counts 1718'!K15+'7b1 Success growth'!K15</f>
        <v>713</v>
      </c>
      <c r="L15" s="187">
        <f>'7c. Success counts 1718'!L15+'7b1 Success growth'!L15</f>
        <v>0</v>
      </c>
      <c r="M15" s="187">
        <f>'7c. Success counts 1718'!M15+'7b1 Success growth'!M15</f>
        <v>221</v>
      </c>
      <c r="N15" s="187">
        <f>'7c. Success counts 1718'!N15+'7b1 Success growth'!N15</f>
        <v>238</v>
      </c>
      <c r="O15" s="187">
        <f>'7c. Success counts 1718'!O15+'7b1 Success growth'!O15</f>
        <v>1613</v>
      </c>
      <c r="P15" s="187">
        <f>'7c. Success counts 1718'!P15+'7b1 Success growth'!P15</f>
        <v>1177</v>
      </c>
      <c r="Q15" s="187">
        <f>'7c. Success counts 1718'!Q15+'7b1 Success growth'!Q15</f>
        <v>494</v>
      </c>
      <c r="R15" s="187">
        <f>'7c. Success counts 1718'!R15+'7b1 Success growth'!R15</f>
        <v>992</v>
      </c>
      <c r="S15" s="187">
        <f>'7c. Success counts 1718'!S15+'7b1 Success growth'!S15</f>
        <v>1053</v>
      </c>
      <c r="T15" s="187">
        <f>'7c. Success counts 1718'!T15+'7b1 Success growth'!T15</f>
        <v>0</v>
      </c>
      <c r="U15" s="187">
        <f>'7c. Success counts 1718'!U15+'7b1 Success growth'!U15</f>
        <v>297</v>
      </c>
      <c r="V15" s="187">
        <f>'7c. Success counts 1718'!V15+'7b1 Success growth'!V15</f>
        <v>407</v>
      </c>
      <c r="W15" s="187">
        <f>'7c. Success counts 1718'!W15+'7b1 Success growth'!W15</f>
        <v>2446</v>
      </c>
      <c r="X15" s="187">
        <f>'7c. Success counts 1718'!X15+'7b1 Success growth'!X15</f>
        <v>1832</v>
      </c>
      <c r="Y15" s="187">
        <f>'7c. Success counts 1718'!Y15+'7b1 Success growth'!Y15</f>
        <v>976</v>
      </c>
    </row>
    <row r="16" spans="1:25" x14ac:dyDescent="0.25">
      <c r="A16" s="170" t="s">
        <v>55</v>
      </c>
      <c r="B16" s="187">
        <f>'7c. Success counts 1718'!B16+'7b1 Success growth'!B16</f>
        <v>68</v>
      </c>
      <c r="C16" s="187">
        <f>'7c. Success counts 1718'!C16+'7b1 Success growth'!C16</f>
        <v>167</v>
      </c>
      <c r="D16" s="187">
        <f>'7c. Success counts 1718'!D16+'7b1 Success growth'!D16</f>
        <v>0</v>
      </c>
      <c r="E16" s="187">
        <f>'7c. Success counts 1718'!E16+'7b1 Success growth'!E16</f>
        <v>18</v>
      </c>
      <c r="F16" s="187">
        <f>'7c. Success counts 1718'!F16+'7b1 Success growth'!F16</f>
        <v>34</v>
      </c>
      <c r="G16" s="187">
        <f>'7c. Success counts 1718'!G16+'7b1 Success growth'!G16</f>
        <v>237</v>
      </c>
      <c r="H16" s="187">
        <f>'7c. Success counts 1718'!H16+'7b1 Success growth'!H16</f>
        <v>50</v>
      </c>
      <c r="I16" s="187">
        <f>'7c. Success counts 1718'!I16+'7b1 Success growth'!I16</f>
        <v>186</v>
      </c>
      <c r="J16" s="187">
        <f>'7c. Success counts 1718'!J16+'7b1 Success growth'!J16</f>
        <v>47</v>
      </c>
      <c r="K16" s="187">
        <f>'7c. Success counts 1718'!K16+'7b1 Success growth'!K16</f>
        <v>126</v>
      </c>
      <c r="L16" s="187">
        <f>'7c. Success counts 1718'!L16+'7b1 Success growth'!L16</f>
        <v>0</v>
      </c>
      <c r="M16" s="187">
        <f>'7c. Success counts 1718'!M16+'7b1 Success growth'!M16</f>
        <v>20</v>
      </c>
      <c r="N16" s="187">
        <f>'7c. Success counts 1718'!N16+'7b1 Success growth'!N16</f>
        <v>9</v>
      </c>
      <c r="O16" s="187">
        <f>'7c. Success counts 1718'!O16+'7b1 Success growth'!O16</f>
        <v>166</v>
      </c>
      <c r="P16" s="187">
        <f>'7c. Success counts 1718'!P16+'7b1 Success growth'!P16</f>
        <v>15</v>
      </c>
      <c r="Q16" s="187">
        <f>'7c. Success counts 1718'!Q16+'7b1 Success growth'!Q16</f>
        <v>78</v>
      </c>
      <c r="R16" s="187">
        <f>'7c. Success counts 1718'!R16+'7b1 Success growth'!R16</f>
        <v>61</v>
      </c>
      <c r="S16" s="187">
        <f>'7c. Success counts 1718'!S16+'7b1 Success growth'!S16</f>
        <v>145</v>
      </c>
      <c r="T16" s="187">
        <f>'7c. Success counts 1718'!T16+'7b1 Success growth'!T16</f>
        <v>0</v>
      </c>
      <c r="U16" s="187">
        <f>'7c. Success counts 1718'!U16+'7b1 Success growth'!U16</f>
        <v>18</v>
      </c>
      <c r="V16" s="187">
        <f>'7c. Success counts 1718'!V16+'7b1 Success growth'!V16</f>
        <v>14</v>
      </c>
      <c r="W16" s="187">
        <f>'7c. Success counts 1718'!W16+'7b1 Success growth'!W16</f>
        <v>218</v>
      </c>
      <c r="X16" s="187">
        <f>'7c. Success counts 1718'!X16+'7b1 Success growth'!X16</f>
        <v>30</v>
      </c>
      <c r="Y16" s="187">
        <f>'7c. Success counts 1718'!Y16+'7b1 Success growth'!Y16</f>
        <v>136</v>
      </c>
    </row>
    <row r="17" spans="1:25" x14ac:dyDescent="0.25">
      <c r="A17" s="170" t="s">
        <v>56</v>
      </c>
      <c r="B17" s="187">
        <f>'7c. Success counts 1718'!B17+'7b1 Success growth'!B17</f>
        <v>602</v>
      </c>
      <c r="C17" s="187">
        <f>'7c. Success counts 1718'!C17+'7b1 Success growth'!C17</f>
        <v>359</v>
      </c>
      <c r="D17" s="187">
        <f>'7c. Success counts 1718'!D17+'7b1 Success growth'!D17</f>
        <v>0</v>
      </c>
      <c r="E17" s="187">
        <f>'7c. Success counts 1718'!E17+'7b1 Success growth'!E17</f>
        <v>193</v>
      </c>
      <c r="F17" s="187">
        <f>'7c. Success counts 1718'!F17+'7b1 Success growth'!F17</f>
        <v>144</v>
      </c>
      <c r="G17" s="187">
        <f>'7c. Success counts 1718'!G17+'7b1 Success growth'!G17</f>
        <v>1748</v>
      </c>
      <c r="H17" s="187">
        <f>'7c. Success counts 1718'!H17+'7b1 Success growth'!H17</f>
        <v>737</v>
      </c>
      <c r="I17" s="187">
        <f>'7c. Success counts 1718'!I17+'7b1 Success growth'!I17</f>
        <v>1379</v>
      </c>
      <c r="J17" s="187">
        <f>'7c. Success counts 1718'!J17+'7b1 Success growth'!J17</f>
        <v>435</v>
      </c>
      <c r="K17" s="187">
        <f>'7c. Success counts 1718'!K17+'7b1 Success growth'!K17</f>
        <v>256</v>
      </c>
      <c r="L17" s="187">
        <f>'7c. Success counts 1718'!L17+'7b1 Success growth'!L17</f>
        <v>0</v>
      </c>
      <c r="M17" s="187">
        <f>'7c. Success counts 1718'!M17+'7b1 Success growth'!M17</f>
        <v>150</v>
      </c>
      <c r="N17" s="187">
        <f>'7c. Success counts 1718'!N17+'7b1 Success growth'!N17</f>
        <v>76</v>
      </c>
      <c r="O17" s="187">
        <f>'7c. Success counts 1718'!O17+'7b1 Success growth'!O17</f>
        <v>1113</v>
      </c>
      <c r="P17" s="187">
        <f>'7c. Success counts 1718'!P17+'7b1 Success growth'!P17</f>
        <v>452</v>
      </c>
      <c r="Q17" s="187">
        <f>'7c. Success counts 1718'!Q17+'7b1 Success growth'!Q17</f>
        <v>715</v>
      </c>
      <c r="R17" s="187">
        <f>'7c. Success counts 1718'!R17+'7b1 Success growth'!R17</f>
        <v>559</v>
      </c>
      <c r="S17" s="187">
        <f>'7c. Success counts 1718'!S17+'7b1 Success growth'!S17</f>
        <v>314</v>
      </c>
      <c r="T17" s="187">
        <f>'7c. Success counts 1718'!T17+'7b1 Success growth'!T17</f>
        <v>0</v>
      </c>
      <c r="U17" s="187">
        <f>'7c. Success counts 1718'!U17+'7b1 Success growth'!U17</f>
        <v>180</v>
      </c>
      <c r="V17" s="187">
        <f>'7c. Success counts 1718'!V17+'7b1 Success growth'!V17</f>
        <v>105</v>
      </c>
      <c r="W17" s="187">
        <f>'7c. Success counts 1718'!W17+'7b1 Success growth'!W17</f>
        <v>1460</v>
      </c>
      <c r="X17" s="187">
        <f>'7c. Success counts 1718'!X17+'7b1 Success growth'!X17</f>
        <v>571</v>
      </c>
      <c r="Y17" s="187">
        <f>'7c. Success counts 1718'!Y17+'7b1 Success growth'!Y17</f>
        <v>962</v>
      </c>
    </row>
    <row r="18" spans="1:25" x14ac:dyDescent="0.25">
      <c r="A18" s="170" t="s">
        <v>57</v>
      </c>
      <c r="B18" s="187">
        <f>'7c. Success counts 1718'!B18+'7b1 Success growth'!B18</f>
        <v>1140</v>
      </c>
      <c r="C18" s="187">
        <f>'7c. Success counts 1718'!C18+'7b1 Success growth'!C18</f>
        <v>1147</v>
      </c>
      <c r="D18" s="187">
        <f>'7c. Success counts 1718'!D18+'7b1 Success growth'!D18</f>
        <v>0</v>
      </c>
      <c r="E18" s="187">
        <f>'7c. Success counts 1718'!E18+'7b1 Success growth'!E18</f>
        <v>473</v>
      </c>
      <c r="F18" s="187">
        <f>'7c. Success counts 1718'!F18+'7b1 Success growth'!F18</f>
        <v>676</v>
      </c>
      <c r="G18" s="187">
        <f>'7c. Success counts 1718'!G18+'7b1 Success growth'!G18</f>
        <v>2754</v>
      </c>
      <c r="H18" s="187">
        <f>'7c. Success counts 1718'!H18+'7b1 Success growth'!H18</f>
        <v>2312</v>
      </c>
      <c r="I18" s="187">
        <f>'7c. Success counts 1718'!I18+'7b1 Success growth'!I18</f>
        <v>2514</v>
      </c>
      <c r="J18" s="187">
        <f>'7c. Success counts 1718'!J18+'7b1 Success growth'!J18</f>
        <v>589</v>
      </c>
      <c r="K18" s="187">
        <f>'7c. Success counts 1718'!K18+'7b1 Success growth'!K18</f>
        <v>635</v>
      </c>
      <c r="L18" s="187">
        <f>'7c. Success counts 1718'!L18+'7b1 Success growth'!L18</f>
        <v>0</v>
      </c>
      <c r="M18" s="187">
        <f>'7c. Success counts 1718'!M18+'7b1 Success growth'!M18</f>
        <v>170</v>
      </c>
      <c r="N18" s="187">
        <f>'7c. Success counts 1718'!N18+'7b1 Success growth'!N18</f>
        <v>303</v>
      </c>
      <c r="O18" s="187">
        <f>'7c. Success counts 1718'!O18+'7b1 Success growth'!O18</f>
        <v>1151</v>
      </c>
      <c r="P18" s="187">
        <f>'7c. Success counts 1718'!P18+'7b1 Success growth'!P18</f>
        <v>1129</v>
      </c>
      <c r="Q18" s="187">
        <f>'7c. Success counts 1718'!Q18+'7b1 Success growth'!Q18</f>
        <v>714</v>
      </c>
      <c r="R18" s="187">
        <f>'7c. Success counts 1718'!R18+'7b1 Success growth'!R18</f>
        <v>808</v>
      </c>
      <c r="S18" s="187">
        <f>'7c. Success counts 1718'!S18+'7b1 Success growth'!S18</f>
        <v>774</v>
      </c>
      <c r="T18" s="187">
        <f>'7c. Success counts 1718'!T18+'7b1 Success growth'!T18</f>
        <v>0</v>
      </c>
      <c r="U18" s="187">
        <f>'7c. Success counts 1718'!U18+'7b1 Success growth'!U18</f>
        <v>253</v>
      </c>
      <c r="V18" s="187">
        <f>'7c. Success counts 1718'!V18+'7b1 Success growth'!V18</f>
        <v>373</v>
      </c>
      <c r="W18" s="187">
        <f>'7c. Success counts 1718'!W18+'7b1 Success growth'!W18</f>
        <v>1669</v>
      </c>
      <c r="X18" s="187">
        <f>'7c. Success counts 1718'!X18+'7b1 Success growth'!X18</f>
        <v>1469</v>
      </c>
      <c r="Y18" s="187">
        <f>'7c. Success counts 1718'!Y18+'7b1 Success growth'!Y18</f>
        <v>1302</v>
      </c>
    </row>
    <row r="19" spans="1:25" x14ac:dyDescent="0.25">
      <c r="A19" s="170" t="s">
        <v>58</v>
      </c>
      <c r="B19" s="187">
        <f>'7c. Success counts 1718'!B19+'7b1 Success growth'!B19</f>
        <v>86</v>
      </c>
      <c r="C19" s="187">
        <f>'7c. Success counts 1718'!C19+'7b1 Success growth'!C19</f>
        <v>177</v>
      </c>
      <c r="D19" s="187">
        <f>'7c. Success counts 1718'!D19+'7b1 Success growth'!D19</f>
        <v>6</v>
      </c>
      <c r="E19" s="187">
        <f>'7c. Success counts 1718'!E19+'7b1 Success growth'!E19</f>
        <v>18</v>
      </c>
      <c r="F19" s="187">
        <f>'7c. Success counts 1718'!F19+'7b1 Success growth'!F19</f>
        <v>43</v>
      </c>
      <c r="G19" s="187">
        <f>'7c. Success counts 1718'!G19+'7b1 Success growth'!G19</f>
        <v>842</v>
      </c>
      <c r="H19" s="187">
        <f>'7c. Success counts 1718'!H19+'7b1 Success growth'!H19</f>
        <v>132</v>
      </c>
      <c r="I19" s="187">
        <f>'7c. Success counts 1718'!I19+'7b1 Success growth'!I19</f>
        <v>108</v>
      </c>
      <c r="J19" s="187">
        <f>'7c. Success counts 1718'!J19+'7b1 Success growth'!J19</f>
        <v>21</v>
      </c>
      <c r="K19" s="187">
        <f>'7c. Success counts 1718'!K19+'7b1 Success growth'!K19</f>
        <v>79</v>
      </c>
      <c r="L19" s="187">
        <f>'7c. Success counts 1718'!L19+'7b1 Success growth'!L19</f>
        <v>6</v>
      </c>
      <c r="M19" s="187">
        <f>'7c. Success counts 1718'!M19+'7b1 Success growth'!M19</f>
        <v>12</v>
      </c>
      <c r="N19" s="187">
        <f>'7c. Success counts 1718'!N19+'7b1 Success growth'!N19</f>
        <v>17</v>
      </c>
      <c r="O19" s="187">
        <f>'7c. Success counts 1718'!O19+'7b1 Success growth'!O19</f>
        <v>110</v>
      </c>
      <c r="P19" s="187">
        <f>'7c. Success counts 1718'!P19+'7b1 Success growth'!P19</f>
        <v>38</v>
      </c>
      <c r="Q19" s="187">
        <f>'7c. Success counts 1718'!Q19+'7b1 Success growth'!Q19</f>
        <v>21</v>
      </c>
      <c r="R19" s="187">
        <f>'7c. Success counts 1718'!R19+'7b1 Success growth'!R19</f>
        <v>72</v>
      </c>
      <c r="S19" s="187">
        <f>'7c. Success counts 1718'!S19+'7b1 Success growth'!S19</f>
        <v>118</v>
      </c>
      <c r="T19" s="187">
        <f>'7c. Success counts 1718'!T19+'7b1 Success growth'!T19</f>
        <v>4</v>
      </c>
      <c r="U19" s="187">
        <f>'7c. Success counts 1718'!U19+'7b1 Success growth'!U19</f>
        <v>16</v>
      </c>
      <c r="V19" s="187">
        <f>'7c. Success counts 1718'!V19+'7b1 Success growth'!V19</f>
        <v>3</v>
      </c>
      <c r="W19" s="187">
        <f>'7c. Success counts 1718'!W19+'7b1 Success growth'!W19</f>
        <v>264</v>
      </c>
      <c r="X19" s="187">
        <f>'7c. Success counts 1718'!X19+'7b1 Success growth'!X19</f>
        <v>62</v>
      </c>
      <c r="Y19" s="187">
        <f>'7c. Success counts 1718'!Y19+'7b1 Success growth'!Y19</f>
        <v>51</v>
      </c>
    </row>
    <row r="20" spans="1:25" ht="17.25" x14ac:dyDescent="0.25">
      <c r="A20" s="170" t="s">
        <v>59</v>
      </c>
      <c r="B20" s="187">
        <f>'7c. Success counts 1718'!B20+'7b1 Success growth'!B20</f>
        <v>1370</v>
      </c>
      <c r="C20" s="187">
        <f>'7c. Success counts 1718'!C20+'7b1 Success growth'!C20</f>
        <v>1187</v>
      </c>
      <c r="D20" s="187">
        <f>'7c. Success counts 1718'!D20+'7b1 Success growth'!D20</f>
        <v>46</v>
      </c>
      <c r="E20" s="187">
        <f>'7c. Success counts 1718'!E20+'7b1 Success growth'!E20</f>
        <v>668</v>
      </c>
      <c r="F20" s="187">
        <f>'7c. Success counts 1718'!F20+'7b1 Success growth'!F20</f>
        <v>1278</v>
      </c>
      <c r="G20" s="187">
        <f>'7c. Success counts 1718'!G20+'7b1 Success growth'!G20</f>
        <v>4618</v>
      </c>
      <c r="H20" s="187">
        <f>'7c. Success counts 1718'!H20+'7b1 Success growth'!H20</f>
        <v>5028</v>
      </c>
      <c r="I20" s="187">
        <f>'7c. Success counts 1718'!I20+'7b1 Success growth'!I20</f>
        <v>6309</v>
      </c>
      <c r="J20" s="187">
        <f>'7c. Success counts 1718'!J20+'7b1 Success growth'!J20</f>
        <v>514</v>
      </c>
      <c r="K20" s="187">
        <f>'7c. Success counts 1718'!K20+'7b1 Success growth'!K20</f>
        <v>420</v>
      </c>
      <c r="L20" s="187">
        <f>'7c. Success counts 1718'!L20+'7b1 Success growth'!L20</f>
        <v>16</v>
      </c>
      <c r="M20" s="187">
        <f>'7c. Success counts 1718'!M20+'7b1 Success growth'!M20</f>
        <v>65</v>
      </c>
      <c r="N20" s="187">
        <f>'7c. Success counts 1718'!N20+'7b1 Success growth'!N20</f>
        <v>292</v>
      </c>
      <c r="O20" s="187">
        <f>'7c. Success counts 1718'!O20+'7b1 Success growth'!O20</f>
        <v>936</v>
      </c>
      <c r="P20" s="187">
        <f>'7c. Success counts 1718'!P20+'7b1 Success growth'!P20</f>
        <v>1352</v>
      </c>
      <c r="Q20" s="187">
        <f>'7c. Success counts 1718'!Q20+'7b1 Success growth'!Q20</f>
        <v>493</v>
      </c>
      <c r="R20" s="187">
        <f>'7c. Success counts 1718'!R20+'7b1 Success growth'!R20</f>
        <v>781</v>
      </c>
      <c r="S20" s="187">
        <f>'7c. Success counts 1718'!S20+'7b1 Success growth'!S20</f>
        <v>688</v>
      </c>
      <c r="T20" s="187">
        <f>'7c. Success counts 1718'!T20+'7b1 Success growth'!T20</f>
        <v>36</v>
      </c>
      <c r="U20" s="187">
        <f>'7c. Success counts 1718'!U20+'7b1 Success growth'!U20</f>
        <v>137</v>
      </c>
      <c r="V20" s="187">
        <f>'7c. Success counts 1718'!V20+'7b1 Success growth'!V20</f>
        <v>384</v>
      </c>
      <c r="W20" s="187">
        <f>'7c. Success counts 1718'!W20+'7b1 Success growth'!W20</f>
        <v>1697</v>
      </c>
      <c r="X20" s="187">
        <f>'7c. Success counts 1718'!X20+'7b1 Success growth'!X20</f>
        <v>2193</v>
      </c>
      <c r="Y20" s="187">
        <f>'7c. Success counts 1718'!Y20+'7b1 Success growth'!Y20</f>
        <v>1420</v>
      </c>
    </row>
    <row r="21" spans="1:25" x14ac:dyDescent="0.25">
      <c r="A21" s="170" t="s">
        <v>60</v>
      </c>
      <c r="B21" s="187">
        <f>'7c. Success counts 1718'!B21+'7b1 Success growth'!B21</f>
        <v>303</v>
      </c>
      <c r="C21" s="187">
        <f>'7c. Success counts 1718'!C21+'7b1 Success growth'!C21</f>
        <v>305</v>
      </c>
      <c r="D21" s="187">
        <f>'7c. Success counts 1718'!D21+'7b1 Success growth'!D21</f>
        <v>0</v>
      </c>
      <c r="E21" s="187">
        <f>'7c. Success counts 1718'!E21+'7b1 Success growth'!E21</f>
        <v>167</v>
      </c>
      <c r="F21" s="187">
        <f>'7c. Success counts 1718'!F21+'7b1 Success growth'!F21</f>
        <v>107</v>
      </c>
      <c r="G21" s="187">
        <f>'7c. Success counts 1718'!G21+'7b1 Success growth'!G21</f>
        <v>645</v>
      </c>
      <c r="H21" s="187">
        <f>'7c. Success counts 1718'!H21+'7b1 Success growth'!H21</f>
        <v>470</v>
      </c>
      <c r="I21" s="187">
        <f>'7c. Success counts 1718'!I21+'7b1 Success growth'!I21</f>
        <v>741</v>
      </c>
      <c r="J21" s="187">
        <f>'7c. Success counts 1718'!J21+'7b1 Success growth'!J21</f>
        <v>145</v>
      </c>
      <c r="K21" s="187">
        <f>'7c. Success counts 1718'!K21+'7b1 Success growth'!K21</f>
        <v>158</v>
      </c>
      <c r="L21" s="187">
        <f>'7c. Success counts 1718'!L21+'7b1 Success growth'!L21</f>
        <v>0</v>
      </c>
      <c r="M21" s="187">
        <f>'7c. Success counts 1718'!M21+'7b1 Success growth'!M21</f>
        <v>81</v>
      </c>
      <c r="N21" s="187">
        <f>'7c. Success counts 1718'!N21+'7b1 Success growth'!N21</f>
        <v>42</v>
      </c>
      <c r="O21" s="187">
        <f>'7c. Success counts 1718'!O21+'7b1 Success growth'!O21</f>
        <v>221</v>
      </c>
      <c r="P21" s="187">
        <f>'7c. Success counts 1718'!P21+'7b1 Success growth'!P21</f>
        <v>183</v>
      </c>
      <c r="Q21" s="187">
        <f>'7c. Success counts 1718'!Q21+'7b1 Success growth'!Q21</f>
        <v>169</v>
      </c>
      <c r="R21" s="187">
        <f>'7c. Success counts 1718'!R21+'7b1 Success growth'!R21</f>
        <v>201</v>
      </c>
      <c r="S21" s="187">
        <f>'7c. Success counts 1718'!S21+'7b1 Success growth'!S21</f>
        <v>203</v>
      </c>
      <c r="T21" s="187">
        <f>'7c. Success counts 1718'!T21+'7b1 Success growth'!T21</f>
        <v>0</v>
      </c>
      <c r="U21" s="187">
        <f>'7c. Success counts 1718'!U21+'7b1 Success growth'!U21</f>
        <v>110</v>
      </c>
      <c r="V21" s="187">
        <f>'7c. Success counts 1718'!V21+'7b1 Success growth'!V21</f>
        <v>53</v>
      </c>
      <c r="W21" s="187">
        <f>'7c. Success counts 1718'!W21+'7b1 Success growth'!W21</f>
        <v>304</v>
      </c>
      <c r="X21" s="187">
        <f>'7c. Success counts 1718'!X21+'7b1 Success growth'!X21</f>
        <v>274</v>
      </c>
      <c r="Y21" s="187">
        <f>'7c. Success counts 1718'!Y21+'7b1 Success growth'!Y21</f>
        <v>314</v>
      </c>
    </row>
    <row r="22" spans="1:25" x14ac:dyDescent="0.25">
      <c r="A22" s="170" t="s">
        <v>61</v>
      </c>
      <c r="B22" s="187">
        <f>'7c. Success counts 1718'!B22+'7b1 Success growth'!B22</f>
        <v>568</v>
      </c>
      <c r="C22" s="187">
        <f>'7c. Success counts 1718'!C22+'7b1 Success growth'!C22</f>
        <v>345</v>
      </c>
      <c r="D22" s="187">
        <f>'7c. Success counts 1718'!D22+'7b1 Success growth'!D22</f>
        <v>0</v>
      </c>
      <c r="E22" s="187">
        <f>'7c. Success counts 1718'!E22+'7b1 Success growth'!E22</f>
        <v>99</v>
      </c>
      <c r="F22" s="187">
        <f>'7c. Success counts 1718'!F22+'7b1 Success growth'!F22</f>
        <v>243</v>
      </c>
      <c r="G22" s="187">
        <f>'7c. Success counts 1718'!G22+'7b1 Success growth'!G22</f>
        <v>2135</v>
      </c>
      <c r="H22" s="187">
        <f>'7c. Success counts 1718'!H22+'7b1 Success growth'!H22</f>
        <v>1509</v>
      </c>
      <c r="I22" s="187">
        <f>'7c. Success counts 1718'!I22+'7b1 Success growth'!I22</f>
        <v>1662</v>
      </c>
      <c r="J22" s="187">
        <f>'7c. Success counts 1718'!J22+'7b1 Success growth'!J22</f>
        <v>365</v>
      </c>
      <c r="K22" s="187">
        <f>'7c. Success counts 1718'!K22+'7b1 Success growth'!K22</f>
        <v>180</v>
      </c>
      <c r="L22" s="187">
        <f>'7c. Success counts 1718'!L22+'7b1 Success growth'!L22</f>
        <v>0</v>
      </c>
      <c r="M22" s="187">
        <f>'7c. Success counts 1718'!M22+'7b1 Success growth'!M22</f>
        <v>48</v>
      </c>
      <c r="N22" s="187">
        <f>'7c. Success counts 1718'!N22+'7b1 Success growth'!N22</f>
        <v>124</v>
      </c>
      <c r="O22" s="187">
        <f>'7c. Success counts 1718'!O22+'7b1 Success growth'!O22</f>
        <v>1150</v>
      </c>
      <c r="P22" s="187">
        <f>'7c. Success counts 1718'!P22+'7b1 Success growth'!P22</f>
        <v>788</v>
      </c>
      <c r="Q22" s="187">
        <f>'7c. Success counts 1718'!Q22+'7b1 Success growth'!Q22</f>
        <v>507</v>
      </c>
      <c r="R22" s="187">
        <f>'7c. Success counts 1718'!R22+'7b1 Success growth'!R22</f>
        <v>447</v>
      </c>
      <c r="S22" s="187">
        <f>'7c. Success counts 1718'!S22+'7b1 Success growth'!S22</f>
        <v>265</v>
      </c>
      <c r="T22" s="187">
        <f>'7c. Success counts 1718'!T22+'7b1 Success growth'!T22</f>
        <v>0</v>
      </c>
      <c r="U22" s="187">
        <f>'7c. Success counts 1718'!U22+'7b1 Success growth'!U22</f>
        <v>70</v>
      </c>
      <c r="V22" s="187">
        <f>'7c. Success counts 1718'!V22+'7b1 Success growth'!V22</f>
        <v>168</v>
      </c>
      <c r="W22" s="187">
        <f>'7c. Success counts 1718'!W22+'7b1 Success growth'!W22</f>
        <v>1601</v>
      </c>
      <c r="X22" s="187">
        <f>'7c. Success counts 1718'!X22+'7b1 Success growth'!X22</f>
        <v>1126</v>
      </c>
      <c r="Y22" s="187">
        <f>'7c. Success counts 1718'!Y22+'7b1 Success growth'!Y22</f>
        <v>884</v>
      </c>
    </row>
    <row r="23" spans="1:25" x14ac:dyDescent="0.25">
      <c r="A23" s="170" t="s">
        <v>62</v>
      </c>
      <c r="B23" s="187">
        <f>'7c. Success counts 1718'!B23+'7b1 Success growth'!B23</f>
        <v>1056</v>
      </c>
      <c r="C23" s="187">
        <f>'7c. Success counts 1718'!C23+'7b1 Success growth'!C23</f>
        <v>1387</v>
      </c>
      <c r="D23" s="187">
        <f>'7c. Success counts 1718'!D23+'7b1 Success growth'!D23</f>
        <v>0</v>
      </c>
      <c r="E23" s="187">
        <f>'7c. Success counts 1718'!E23+'7b1 Success growth'!E23</f>
        <v>140</v>
      </c>
      <c r="F23" s="187">
        <f>'7c. Success counts 1718'!F23+'7b1 Success growth'!F23</f>
        <v>604</v>
      </c>
      <c r="G23" s="187">
        <f>'7c. Success counts 1718'!G23+'7b1 Success growth'!G23</f>
        <v>2363</v>
      </c>
      <c r="H23" s="187">
        <f>'7c. Success counts 1718'!H23+'7b1 Success growth'!H23</f>
        <v>2181</v>
      </c>
      <c r="I23" s="187">
        <f>'7c. Success counts 1718'!I23+'7b1 Success growth'!I23</f>
        <v>2187</v>
      </c>
      <c r="J23" s="187">
        <f>'7c. Success counts 1718'!J23+'7b1 Success growth'!J23</f>
        <v>515</v>
      </c>
      <c r="K23" s="187">
        <f>'7c. Success counts 1718'!K23+'7b1 Success growth'!K23</f>
        <v>710</v>
      </c>
      <c r="L23" s="187">
        <f>'7c. Success counts 1718'!L23+'7b1 Success growth'!L23</f>
        <v>0</v>
      </c>
      <c r="M23" s="187">
        <f>'7c. Success counts 1718'!M23+'7b1 Success growth'!M23</f>
        <v>67</v>
      </c>
      <c r="N23" s="187">
        <f>'7c. Success counts 1718'!N23+'7b1 Success growth'!N23</f>
        <v>273</v>
      </c>
      <c r="O23" s="187">
        <f>'7c. Success counts 1718'!O23+'7b1 Success growth'!O23</f>
        <v>1150</v>
      </c>
      <c r="P23" s="187">
        <f>'7c. Success counts 1718'!P23+'7b1 Success growth'!P23</f>
        <v>918</v>
      </c>
      <c r="Q23" s="187">
        <f>'7c. Success counts 1718'!Q23+'7b1 Success growth'!Q23</f>
        <v>575</v>
      </c>
      <c r="R23" s="187">
        <f>'7c. Success counts 1718'!R23+'7b1 Success growth'!R23</f>
        <v>754</v>
      </c>
      <c r="S23" s="187">
        <f>'7c. Success counts 1718'!S23+'7b1 Success growth'!S23</f>
        <v>1015</v>
      </c>
      <c r="T23" s="187">
        <f>'7c. Success counts 1718'!T23+'7b1 Success growth'!T23</f>
        <v>0</v>
      </c>
      <c r="U23" s="187">
        <f>'7c. Success counts 1718'!U23+'7b1 Success growth'!U23</f>
        <v>97</v>
      </c>
      <c r="V23" s="187">
        <f>'7c. Success counts 1718'!V23+'7b1 Success growth'!V23</f>
        <v>368</v>
      </c>
      <c r="W23" s="187">
        <f>'7c. Success counts 1718'!W23+'7b1 Success growth'!W23</f>
        <v>1706</v>
      </c>
      <c r="X23" s="187">
        <f>'7c. Success counts 1718'!X23+'7b1 Success growth'!X23</f>
        <v>1440</v>
      </c>
      <c r="Y23" s="187">
        <f>'7c. Success counts 1718'!Y23+'7b1 Success growth'!Y23</f>
        <v>1173</v>
      </c>
    </row>
    <row r="24" spans="1:25" x14ac:dyDescent="0.25">
      <c r="A24" s="170" t="s">
        <v>63</v>
      </c>
      <c r="B24" s="187">
        <f>'7c. Success counts 1718'!B24+'7b1 Success growth'!B24</f>
        <v>610</v>
      </c>
      <c r="C24" s="187">
        <f>'7c. Success counts 1718'!C24+'7b1 Success growth'!C24</f>
        <v>356</v>
      </c>
      <c r="D24" s="187">
        <f>'7c. Success counts 1718'!D24+'7b1 Success growth'!D24</f>
        <v>0</v>
      </c>
      <c r="E24" s="187">
        <f>'7c. Success counts 1718'!E24+'7b1 Success growth'!E24</f>
        <v>78</v>
      </c>
      <c r="F24" s="187">
        <f>'7c. Success counts 1718'!F24+'7b1 Success growth'!F24</f>
        <v>167</v>
      </c>
      <c r="G24" s="187">
        <f>'7c. Success counts 1718'!G24+'7b1 Success growth'!G24</f>
        <v>809</v>
      </c>
      <c r="H24" s="187">
        <f>'7c. Success counts 1718'!H24+'7b1 Success growth'!H24</f>
        <v>851</v>
      </c>
      <c r="I24" s="187">
        <f>'7c. Success counts 1718'!I24+'7b1 Success growth'!I24</f>
        <v>2810</v>
      </c>
      <c r="J24" s="187">
        <f>'7c. Success counts 1718'!J24+'7b1 Success growth'!J24</f>
        <v>411</v>
      </c>
      <c r="K24" s="187">
        <f>'7c. Success counts 1718'!K24+'7b1 Success growth'!K24</f>
        <v>215</v>
      </c>
      <c r="L24" s="187">
        <f>'7c. Success counts 1718'!L24+'7b1 Success growth'!L24</f>
        <v>0</v>
      </c>
      <c r="M24" s="187">
        <f>'7c. Success counts 1718'!M24+'7b1 Success growth'!M24</f>
        <v>33</v>
      </c>
      <c r="N24" s="187">
        <f>'7c. Success counts 1718'!N24+'7b1 Success growth'!N24</f>
        <v>79</v>
      </c>
      <c r="O24" s="187">
        <f>'7c. Success counts 1718'!O24+'7b1 Success growth'!O24</f>
        <v>408</v>
      </c>
      <c r="P24" s="187">
        <f>'7c. Success counts 1718'!P24+'7b1 Success growth'!P24</f>
        <v>433</v>
      </c>
      <c r="Q24" s="187">
        <f>'7c. Success counts 1718'!Q24+'7b1 Success growth'!Q24</f>
        <v>494</v>
      </c>
      <c r="R24" s="187">
        <f>'7c. Success counts 1718'!R24+'7b1 Success growth'!R24</f>
        <v>546</v>
      </c>
      <c r="S24" s="187">
        <f>'7c. Success counts 1718'!S24+'7b1 Success growth'!S24</f>
        <v>318</v>
      </c>
      <c r="T24" s="187">
        <f>'7c. Success counts 1718'!T24+'7b1 Success growth'!T24</f>
        <v>0</v>
      </c>
      <c r="U24" s="187">
        <f>'7c. Success counts 1718'!U24+'7b1 Success growth'!U24</f>
        <v>74</v>
      </c>
      <c r="V24" s="187">
        <f>'7c. Success counts 1718'!V24+'7b1 Success growth'!V24</f>
        <v>136</v>
      </c>
      <c r="W24" s="187">
        <f>'7c. Success counts 1718'!W24+'7b1 Success growth'!W24</f>
        <v>651</v>
      </c>
      <c r="X24" s="187">
        <f>'7c. Success counts 1718'!X24+'7b1 Success growth'!X24</f>
        <v>664</v>
      </c>
      <c r="Y24" s="187">
        <f>'7c. Success counts 1718'!Y24+'7b1 Success growth'!Y24</f>
        <v>866</v>
      </c>
    </row>
    <row r="25" spans="1:25" x14ac:dyDescent="0.25">
      <c r="A25" s="170" t="s">
        <v>64</v>
      </c>
      <c r="B25" s="187">
        <f>'7c. Success counts 1718'!B25+'7b1 Success growth'!B25</f>
        <v>475</v>
      </c>
      <c r="C25" s="187">
        <f>'7c. Success counts 1718'!C25+'7b1 Success growth'!C25</f>
        <v>542</v>
      </c>
      <c r="D25" s="187">
        <f>'7c. Success counts 1718'!D25+'7b1 Success growth'!D25</f>
        <v>0</v>
      </c>
      <c r="E25" s="187">
        <f>'7c. Success counts 1718'!E25+'7b1 Success growth'!E25</f>
        <v>135</v>
      </c>
      <c r="F25" s="187">
        <f>'7c. Success counts 1718'!F25+'7b1 Success growth'!F25</f>
        <v>100</v>
      </c>
      <c r="G25" s="187">
        <f>'7c. Success counts 1718'!G25+'7b1 Success growth'!G25</f>
        <v>1509</v>
      </c>
      <c r="H25" s="187">
        <f>'7c. Success counts 1718'!H25+'7b1 Success growth'!H25</f>
        <v>685</v>
      </c>
      <c r="I25" s="187">
        <f>'7c. Success counts 1718'!I25+'7b1 Success growth'!I25</f>
        <v>859</v>
      </c>
      <c r="J25" s="187">
        <f>'7c. Success counts 1718'!J25+'7b1 Success growth'!J25</f>
        <v>308</v>
      </c>
      <c r="K25" s="187">
        <f>'7c. Success counts 1718'!K25+'7b1 Success growth'!K25</f>
        <v>472</v>
      </c>
      <c r="L25" s="187">
        <f>'7c. Success counts 1718'!L25+'7b1 Success growth'!L25</f>
        <v>0</v>
      </c>
      <c r="M25" s="187">
        <f>'7c. Success counts 1718'!M25+'7b1 Success growth'!M25</f>
        <v>103</v>
      </c>
      <c r="N25" s="187">
        <f>'7c. Success counts 1718'!N25+'7b1 Success growth'!N25</f>
        <v>71</v>
      </c>
      <c r="O25" s="187">
        <f>'7c. Success counts 1718'!O25+'7b1 Success growth'!O25</f>
        <v>1184</v>
      </c>
      <c r="P25" s="187">
        <f>'7c. Success counts 1718'!P25+'7b1 Success growth'!P25</f>
        <v>445</v>
      </c>
      <c r="Q25" s="187">
        <f>'7c. Success counts 1718'!Q25+'7b1 Success growth'!Q25</f>
        <v>483</v>
      </c>
      <c r="R25" s="187">
        <f>'7c. Success counts 1718'!R25+'7b1 Success growth'!R25</f>
        <v>388</v>
      </c>
      <c r="S25" s="187">
        <f>'7c. Success counts 1718'!S25+'7b1 Success growth'!S25</f>
        <v>513</v>
      </c>
      <c r="T25" s="187">
        <f>'7c. Success counts 1718'!T25+'7b1 Success growth'!T25</f>
        <v>0</v>
      </c>
      <c r="U25" s="187">
        <f>'7c. Success counts 1718'!U25+'7b1 Success growth'!U25</f>
        <v>110</v>
      </c>
      <c r="V25" s="187">
        <f>'7c. Success counts 1718'!V25+'7b1 Success growth'!V25</f>
        <v>92</v>
      </c>
      <c r="W25" s="187">
        <f>'7c. Success counts 1718'!W25+'7b1 Success growth'!W25</f>
        <v>1355</v>
      </c>
      <c r="X25" s="187">
        <f>'7c. Success counts 1718'!X25+'7b1 Success growth'!X25</f>
        <v>579</v>
      </c>
      <c r="Y25" s="187">
        <f>'7c. Success counts 1718'!Y25+'7b1 Success growth'!Y25</f>
        <v>631</v>
      </c>
    </row>
    <row r="26" spans="1:25" x14ac:dyDescent="0.25">
      <c r="A26" s="170" t="s">
        <v>65</v>
      </c>
      <c r="B26" s="187">
        <f>'7c. Success counts 1718'!B26+'7b1 Success growth'!B26</f>
        <v>1286</v>
      </c>
      <c r="C26" s="187">
        <f>'7c. Success counts 1718'!C26+'7b1 Success growth'!C26</f>
        <v>962</v>
      </c>
      <c r="D26" s="187">
        <f>'7c. Success counts 1718'!D26+'7b1 Success growth'!D26</f>
        <v>10</v>
      </c>
      <c r="E26" s="187">
        <f>'7c. Success counts 1718'!E26+'7b1 Success growth'!E26</f>
        <v>573</v>
      </c>
      <c r="F26" s="187">
        <f>'7c. Success counts 1718'!F26+'7b1 Success growth'!F26</f>
        <v>483</v>
      </c>
      <c r="G26" s="187">
        <f>'7c. Success counts 1718'!G26+'7b1 Success growth'!G26</f>
        <v>4844</v>
      </c>
      <c r="H26" s="187">
        <f>'7c. Success counts 1718'!H26+'7b1 Success growth'!H26</f>
        <v>1991</v>
      </c>
      <c r="I26" s="187">
        <f>'7c. Success counts 1718'!I26+'7b1 Success growth'!I26</f>
        <v>4899</v>
      </c>
      <c r="J26" s="187">
        <f>'7c. Success counts 1718'!J26+'7b1 Success growth'!J26</f>
        <v>886</v>
      </c>
      <c r="K26" s="187">
        <f>'7c. Success counts 1718'!K26+'7b1 Success growth'!K26</f>
        <v>690</v>
      </c>
      <c r="L26" s="187">
        <f>'7c. Success counts 1718'!L26+'7b1 Success growth'!L26</f>
        <v>8</v>
      </c>
      <c r="M26" s="187">
        <f>'7c. Success counts 1718'!M26+'7b1 Success growth'!M26</f>
        <v>356</v>
      </c>
      <c r="N26" s="187">
        <f>'7c. Success counts 1718'!N26+'7b1 Success growth'!N26</f>
        <v>249</v>
      </c>
      <c r="O26" s="187">
        <f>'7c. Success counts 1718'!O26+'7b1 Success growth'!O26</f>
        <v>2449</v>
      </c>
      <c r="P26" s="187">
        <f>'7c. Success counts 1718'!P26+'7b1 Success growth'!P26</f>
        <v>1050</v>
      </c>
      <c r="Q26" s="187">
        <f>'7c. Success counts 1718'!Q26+'7b1 Success growth'!Q26</f>
        <v>2235</v>
      </c>
      <c r="R26" s="187">
        <f>'7c. Success counts 1718'!R26+'7b1 Success growth'!R26</f>
        <v>1019</v>
      </c>
      <c r="S26" s="187">
        <f>'7c. Success counts 1718'!S26+'7b1 Success growth'!S26</f>
        <v>820</v>
      </c>
      <c r="T26" s="187">
        <f>'7c. Success counts 1718'!T26+'7b1 Success growth'!T26</f>
        <v>8</v>
      </c>
      <c r="U26" s="187">
        <f>'7c. Success counts 1718'!U26+'7b1 Success growth'!U26</f>
        <v>454</v>
      </c>
      <c r="V26" s="187">
        <f>'7c. Success counts 1718'!V26+'7b1 Success growth'!V26</f>
        <v>350</v>
      </c>
      <c r="W26" s="187">
        <f>'7c. Success counts 1718'!W26+'7b1 Success growth'!W26</f>
        <v>3289</v>
      </c>
      <c r="X26" s="187">
        <f>'7c. Success counts 1718'!X26+'7b1 Success growth'!X26</f>
        <v>1423</v>
      </c>
      <c r="Y26" s="187">
        <f>'7c. Success counts 1718'!Y26+'7b1 Success growth'!Y26</f>
        <v>3257</v>
      </c>
    </row>
    <row r="27" spans="1:25" x14ac:dyDescent="0.25">
      <c r="A27" s="170" t="s">
        <v>25</v>
      </c>
      <c r="B27" s="187">
        <f>'7c. Success counts 1718'!B27+'7b1 Success growth'!B27</f>
        <v>73</v>
      </c>
      <c r="C27" s="187">
        <f>'7c. Success counts 1718'!C27+'7b1 Success growth'!C27</f>
        <v>86</v>
      </c>
      <c r="D27" s="187">
        <f>'7c. Success counts 1718'!D27+'7b1 Success growth'!D27</f>
        <v>0</v>
      </c>
      <c r="E27" s="187">
        <f>'7c. Success counts 1718'!E27+'7b1 Success growth'!E27</f>
        <v>1</v>
      </c>
      <c r="F27" s="187">
        <f>'7c. Success counts 1718'!F27+'7b1 Success growth'!F27</f>
        <v>26</v>
      </c>
      <c r="G27" s="187">
        <f>'7c. Success counts 1718'!G27+'7b1 Success growth'!G27</f>
        <v>203</v>
      </c>
      <c r="H27" s="187">
        <f>'7c. Success counts 1718'!H27+'7b1 Success growth'!H27</f>
        <v>187</v>
      </c>
      <c r="I27" s="187">
        <f>'7c. Success counts 1718'!I27+'7b1 Success growth'!I27</f>
        <v>559</v>
      </c>
      <c r="J27" s="187">
        <f>'7c. Success counts 1718'!J27+'7b1 Success growth'!J27</f>
        <v>28</v>
      </c>
      <c r="K27" s="187">
        <f>'7c. Success counts 1718'!K27+'7b1 Success growth'!K27</f>
        <v>55</v>
      </c>
      <c r="L27" s="187">
        <f>'7c. Success counts 1718'!L27+'7b1 Success growth'!L27</f>
        <v>0</v>
      </c>
      <c r="M27" s="187">
        <f>'7c. Success counts 1718'!M27+'7b1 Success growth'!M27</f>
        <v>1</v>
      </c>
      <c r="N27" s="187">
        <f>'7c. Success counts 1718'!N27+'7b1 Success growth'!N27</f>
        <v>11</v>
      </c>
      <c r="O27" s="187">
        <f>'7c. Success counts 1718'!O27+'7b1 Success growth'!O27</f>
        <v>60</v>
      </c>
      <c r="P27" s="187">
        <f>'7c. Success counts 1718'!P27+'7b1 Success growth'!P27</f>
        <v>55</v>
      </c>
      <c r="Q27" s="187">
        <f>'7c. Success counts 1718'!Q27+'7b1 Success growth'!Q27</f>
        <v>69</v>
      </c>
      <c r="R27" s="187">
        <f>'7c. Success counts 1718'!R27+'7b1 Success growth'!R27</f>
        <v>57</v>
      </c>
      <c r="S27" s="187">
        <f>'7c. Success counts 1718'!S27+'7b1 Success growth'!S27</f>
        <v>72</v>
      </c>
      <c r="T27" s="187">
        <f>'7c. Success counts 1718'!T27+'7b1 Success growth'!T27</f>
        <v>0</v>
      </c>
      <c r="U27" s="187">
        <f>'7c. Success counts 1718'!U27+'7b1 Success growth'!U27</f>
        <v>1</v>
      </c>
      <c r="V27" s="187">
        <f>'7c. Success counts 1718'!V27+'7b1 Success growth'!V27</f>
        <v>19</v>
      </c>
      <c r="W27" s="187">
        <f>'7c. Success counts 1718'!W27+'7b1 Success growth'!W27</f>
        <v>145</v>
      </c>
      <c r="X27" s="187">
        <f>'7c. Success counts 1718'!X27+'7b1 Success growth'!X27</f>
        <v>78</v>
      </c>
      <c r="Y27" s="187">
        <f>'7c. Success counts 1718'!Y27+'7b1 Success growth'!Y27</f>
        <v>166</v>
      </c>
    </row>
    <row r="28" spans="1:25" x14ac:dyDescent="0.25">
      <c r="A28" s="170" t="s">
        <v>26</v>
      </c>
      <c r="B28" s="187">
        <f>'7c. Success counts 1718'!B28+'7b1 Success growth'!B28</f>
        <v>33</v>
      </c>
      <c r="C28" s="187">
        <f>'7c. Success counts 1718'!C28+'7b1 Success growth'!C28</f>
        <v>95</v>
      </c>
      <c r="D28" s="187">
        <f>'7c. Success counts 1718'!D28+'7b1 Success growth'!D28</f>
        <v>0</v>
      </c>
      <c r="E28" s="187">
        <f>'7c. Success counts 1718'!E28+'7b1 Success growth'!E28</f>
        <v>-8</v>
      </c>
      <c r="F28" s="187">
        <f>'7c. Success counts 1718'!F28+'7b1 Success growth'!F28</f>
        <v>36</v>
      </c>
      <c r="G28" s="187">
        <f>'7c. Success counts 1718'!G28+'7b1 Success growth'!G28</f>
        <v>301</v>
      </c>
      <c r="H28" s="187">
        <f>'7c. Success counts 1718'!H28+'7b1 Success growth'!H28</f>
        <v>90</v>
      </c>
      <c r="I28" s="187">
        <f>'7c. Success counts 1718'!I28+'7b1 Success growth'!I28</f>
        <v>209</v>
      </c>
      <c r="J28" s="187">
        <f>'7c. Success counts 1718'!J28+'7b1 Success growth'!J28</f>
        <v>6</v>
      </c>
      <c r="K28" s="187">
        <f>'7c. Success counts 1718'!K28+'7b1 Success growth'!K28</f>
        <v>32</v>
      </c>
      <c r="L28" s="187">
        <f>'7c. Success counts 1718'!L28+'7b1 Success growth'!L28</f>
        <v>0</v>
      </c>
      <c r="M28" s="187">
        <f>'7c. Success counts 1718'!M28+'7b1 Success growth'!M28</f>
        <v>-5</v>
      </c>
      <c r="N28" s="187">
        <f>'7c. Success counts 1718'!N28+'7b1 Success growth'!N28</f>
        <v>9</v>
      </c>
      <c r="O28" s="187">
        <f>'7c. Success counts 1718'!O28+'7b1 Success growth'!O28</f>
        <v>119</v>
      </c>
      <c r="P28" s="187">
        <f>'7c. Success counts 1718'!P28+'7b1 Success growth'!P28</f>
        <v>19</v>
      </c>
      <c r="Q28" s="187">
        <f>'7c. Success counts 1718'!Q28+'7b1 Success growth'!Q28</f>
        <v>56</v>
      </c>
      <c r="R28" s="187">
        <f>'7c. Success counts 1718'!R28+'7b1 Success growth'!R28</f>
        <v>9</v>
      </c>
      <c r="S28" s="187">
        <f>'7c. Success counts 1718'!S28+'7b1 Success growth'!S28</f>
        <v>75</v>
      </c>
      <c r="T28" s="187">
        <f>'7c. Success counts 1718'!T28+'7b1 Success growth'!T28</f>
        <v>0</v>
      </c>
      <c r="U28" s="187">
        <f>'7c. Success counts 1718'!U28+'7b1 Success growth'!U28</f>
        <v>-5</v>
      </c>
      <c r="V28" s="187">
        <f>'7c. Success counts 1718'!V28+'7b1 Success growth'!V28</f>
        <v>14</v>
      </c>
      <c r="W28" s="187">
        <f>'7c. Success counts 1718'!W28+'7b1 Success growth'!W28</f>
        <v>241</v>
      </c>
      <c r="X28" s="187">
        <f>'7c. Success counts 1718'!X28+'7b1 Success growth'!X28</f>
        <v>25</v>
      </c>
      <c r="Y28" s="187">
        <f>'7c. Success counts 1718'!Y28+'7b1 Success growth'!Y28</f>
        <v>139</v>
      </c>
    </row>
    <row r="29" spans="1:25" x14ac:dyDescent="0.25">
      <c r="A29" s="170" t="s">
        <v>66</v>
      </c>
      <c r="B29" s="187">
        <f>'7c. Success counts 1718'!B29+'7b1 Success growth'!B29</f>
        <v>785</v>
      </c>
      <c r="C29" s="187">
        <f>'7c. Success counts 1718'!C29+'7b1 Success growth'!C29</f>
        <v>349</v>
      </c>
      <c r="D29" s="187">
        <f>'7c. Success counts 1718'!D29+'7b1 Success growth'!D29</f>
        <v>0</v>
      </c>
      <c r="E29" s="187">
        <f>'7c. Success counts 1718'!E29+'7b1 Success growth'!E29</f>
        <v>216</v>
      </c>
      <c r="F29" s="187">
        <f>'7c. Success counts 1718'!F29+'7b1 Success growth'!F29</f>
        <v>363</v>
      </c>
      <c r="G29" s="187">
        <f>'7c. Success counts 1718'!G29+'7b1 Success growth'!G29</f>
        <v>2474</v>
      </c>
      <c r="H29" s="187">
        <f>'7c. Success counts 1718'!H29+'7b1 Success growth'!H29</f>
        <v>2066</v>
      </c>
      <c r="I29" s="187">
        <f>'7c. Success counts 1718'!I29+'7b1 Success growth'!I29</f>
        <v>2873</v>
      </c>
      <c r="J29" s="187">
        <f>'7c. Success counts 1718'!J29+'7b1 Success growth'!J29</f>
        <v>496</v>
      </c>
      <c r="K29" s="187">
        <f>'7c. Success counts 1718'!K29+'7b1 Success growth'!K29</f>
        <v>247</v>
      </c>
      <c r="L29" s="187">
        <f>'7c. Success counts 1718'!L29+'7b1 Success growth'!L29</f>
        <v>0</v>
      </c>
      <c r="M29" s="187">
        <f>'7c. Success counts 1718'!M29+'7b1 Success growth'!M29</f>
        <v>149</v>
      </c>
      <c r="N29" s="187">
        <f>'7c. Success counts 1718'!N29+'7b1 Success growth'!N29</f>
        <v>182</v>
      </c>
      <c r="O29" s="187">
        <f>'7c. Success counts 1718'!O29+'7b1 Success growth'!O29</f>
        <v>1422</v>
      </c>
      <c r="P29" s="187">
        <f>'7c. Success counts 1718'!P29+'7b1 Success growth'!P29</f>
        <v>1158</v>
      </c>
      <c r="Q29" s="187">
        <f>'7c. Success counts 1718'!Q29+'7b1 Success growth'!Q29</f>
        <v>1130</v>
      </c>
      <c r="R29" s="187">
        <f>'7c. Success counts 1718'!R29+'7b1 Success growth'!R29</f>
        <v>638</v>
      </c>
      <c r="S29" s="187">
        <f>'7c. Success counts 1718'!S29+'7b1 Success growth'!S29</f>
        <v>298</v>
      </c>
      <c r="T29" s="187">
        <f>'7c. Success counts 1718'!T29+'7b1 Success growth'!T29</f>
        <v>0</v>
      </c>
      <c r="U29" s="187">
        <f>'7c. Success counts 1718'!U29+'7b1 Success growth'!U29</f>
        <v>182</v>
      </c>
      <c r="V29" s="187">
        <f>'7c. Success counts 1718'!V29+'7b1 Success growth'!V29</f>
        <v>254</v>
      </c>
      <c r="W29" s="187">
        <f>'7c. Success counts 1718'!W29+'7b1 Success growth'!W29</f>
        <v>1855</v>
      </c>
      <c r="X29" s="187">
        <f>'7c. Success counts 1718'!X29+'7b1 Success growth'!X29</f>
        <v>1561</v>
      </c>
      <c r="Y29" s="187">
        <f>'7c. Success counts 1718'!Y29+'7b1 Success growth'!Y29</f>
        <v>1794</v>
      </c>
    </row>
    <row r="30" spans="1:25" x14ac:dyDescent="0.25">
      <c r="A30" s="170" t="s">
        <v>67</v>
      </c>
      <c r="B30" s="187">
        <f>'7c. Success counts 1718'!B30+'7b1 Success growth'!B30</f>
        <v>3793</v>
      </c>
      <c r="C30" s="187">
        <f>'7c. Success counts 1718'!C30+'7b1 Success growth'!C30</f>
        <v>3794</v>
      </c>
      <c r="D30" s="187">
        <f>'7c. Success counts 1718'!D30+'7b1 Success growth'!D30</f>
        <v>56</v>
      </c>
      <c r="E30" s="187">
        <f>'7c. Success counts 1718'!E30+'7b1 Success growth'!E30</f>
        <v>1566</v>
      </c>
      <c r="F30" s="187">
        <f>'7c. Success counts 1718'!F30+'7b1 Success growth'!F30</f>
        <v>1144</v>
      </c>
      <c r="G30" s="187">
        <f>'7c. Success counts 1718'!G30+'7b1 Success growth'!G30</f>
        <v>14471</v>
      </c>
      <c r="H30" s="187">
        <f>'7c. Success counts 1718'!H30+'7b1 Success growth'!H30</f>
        <v>10105</v>
      </c>
      <c r="I30" s="187">
        <f>'7c. Success counts 1718'!I30+'7b1 Success growth'!I30</f>
        <v>17665</v>
      </c>
      <c r="J30" s="187">
        <f>'7c. Success counts 1718'!J30+'7b1 Success growth'!J30</f>
        <v>2584</v>
      </c>
      <c r="K30" s="187">
        <f>'7c. Success counts 1718'!K30+'7b1 Success growth'!K30</f>
        <v>2494</v>
      </c>
      <c r="L30" s="187">
        <f>'7c. Success counts 1718'!L30+'7b1 Success growth'!L30</f>
        <v>22</v>
      </c>
      <c r="M30" s="187">
        <f>'7c. Success counts 1718'!M30+'7b1 Success growth'!M30</f>
        <v>881</v>
      </c>
      <c r="N30" s="187">
        <f>'7c. Success counts 1718'!N30+'7b1 Success growth'!N30</f>
        <v>518</v>
      </c>
      <c r="O30" s="187">
        <f>'7c. Success counts 1718'!O30+'7b1 Success growth'!O30</f>
        <v>7283</v>
      </c>
      <c r="P30" s="187">
        <f>'7c. Success counts 1718'!P30+'7b1 Success growth'!P30</f>
        <v>5549</v>
      </c>
      <c r="Q30" s="187">
        <f>'7c. Success counts 1718'!Q30+'7b1 Success growth'!Q30</f>
        <v>6207</v>
      </c>
      <c r="R30" s="187">
        <f>'7c. Success counts 1718'!R30+'7b1 Success growth'!R30</f>
        <v>3365</v>
      </c>
      <c r="S30" s="187">
        <f>'7c. Success counts 1718'!S30+'7b1 Success growth'!S30</f>
        <v>3376</v>
      </c>
      <c r="T30" s="187">
        <f>'7c. Success counts 1718'!T30+'7b1 Success growth'!T30</f>
        <v>44</v>
      </c>
      <c r="U30" s="187">
        <f>'7c. Success counts 1718'!U30+'7b1 Success growth'!U30</f>
        <v>1274</v>
      </c>
      <c r="V30" s="187">
        <f>'7c. Success counts 1718'!V30+'7b1 Success growth'!V30</f>
        <v>800</v>
      </c>
      <c r="W30" s="187">
        <f>'7c. Success counts 1718'!W30+'7b1 Success growth'!W30</f>
        <v>11280</v>
      </c>
      <c r="X30" s="187">
        <f>'7c. Success counts 1718'!X30+'7b1 Success growth'!X30</f>
        <v>7540</v>
      </c>
      <c r="Y30" s="187">
        <f>'7c. Success counts 1718'!Y30+'7b1 Success growth'!Y30</f>
        <v>10837</v>
      </c>
    </row>
    <row r="31" spans="1:25" x14ac:dyDescent="0.25">
      <c r="A31" s="170" t="s">
        <v>68</v>
      </c>
      <c r="B31" s="187">
        <f>'7c. Success counts 1718'!B31+'7b1 Success growth'!B31</f>
        <v>1918</v>
      </c>
      <c r="C31" s="187">
        <f>'7c. Success counts 1718'!C31+'7b1 Success growth'!C31</f>
        <v>2685</v>
      </c>
      <c r="D31" s="187">
        <f>'7c. Success counts 1718'!D31+'7b1 Success growth'!D31</f>
        <v>0</v>
      </c>
      <c r="E31" s="187">
        <f>'7c. Success counts 1718'!E31+'7b1 Success growth'!E31</f>
        <v>903</v>
      </c>
      <c r="F31" s="187">
        <f>'7c. Success counts 1718'!F31+'7b1 Success growth'!F31</f>
        <v>672</v>
      </c>
      <c r="G31" s="187">
        <f>'7c. Success counts 1718'!G31+'7b1 Success growth'!G31</f>
        <v>7802</v>
      </c>
      <c r="H31" s="187">
        <f>'7c. Success counts 1718'!H31+'7b1 Success growth'!H31</f>
        <v>5848</v>
      </c>
      <c r="I31" s="187">
        <f>'7c. Success counts 1718'!I31+'7b1 Success growth'!I31</f>
        <v>12429</v>
      </c>
      <c r="J31" s="187">
        <f>'7c. Success counts 1718'!J31+'7b1 Success growth'!J31</f>
        <v>1064</v>
      </c>
      <c r="K31" s="187">
        <f>'7c. Success counts 1718'!K31+'7b1 Success growth'!K31</f>
        <v>1485</v>
      </c>
      <c r="L31" s="187">
        <f>'7c. Success counts 1718'!L31+'7b1 Success growth'!L31</f>
        <v>0</v>
      </c>
      <c r="M31" s="187">
        <f>'7c. Success counts 1718'!M31+'7b1 Success growth'!M31</f>
        <v>426</v>
      </c>
      <c r="N31" s="187">
        <f>'7c. Success counts 1718'!N31+'7b1 Success growth'!N31</f>
        <v>278</v>
      </c>
      <c r="O31" s="187">
        <f>'7c. Success counts 1718'!O31+'7b1 Success growth'!O31</f>
        <v>3499</v>
      </c>
      <c r="P31" s="187">
        <f>'7c. Success counts 1718'!P31+'7b1 Success growth'!P31</f>
        <v>2528</v>
      </c>
      <c r="Q31" s="187">
        <f>'7c. Success counts 1718'!Q31+'7b1 Success growth'!Q31</f>
        <v>3684</v>
      </c>
      <c r="R31" s="187">
        <f>'7c. Success counts 1718'!R31+'7b1 Success growth'!R31</f>
        <v>1538</v>
      </c>
      <c r="S31" s="187">
        <f>'7c. Success counts 1718'!S31+'7b1 Success growth'!S31</f>
        <v>2106</v>
      </c>
      <c r="T31" s="187">
        <f>'7c. Success counts 1718'!T31+'7b1 Success growth'!T31</f>
        <v>0</v>
      </c>
      <c r="U31" s="187">
        <f>'7c. Success counts 1718'!U31+'7b1 Success growth'!U31</f>
        <v>645</v>
      </c>
      <c r="V31" s="187">
        <f>'7c. Success counts 1718'!V31+'7b1 Success growth'!V31</f>
        <v>353</v>
      </c>
      <c r="W31" s="187">
        <f>'7c. Success counts 1718'!W31+'7b1 Success growth'!W31</f>
        <v>5369</v>
      </c>
      <c r="X31" s="187">
        <f>'7c. Success counts 1718'!X31+'7b1 Success growth'!X31</f>
        <v>3976</v>
      </c>
      <c r="Y31" s="187">
        <f>'7c. Success counts 1718'!Y31+'7b1 Success growth'!Y31</f>
        <v>6900</v>
      </c>
    </row>
    <row r="32" spans="1:25" x14ac:dyDescent="0.25">
      <c r="A32" s="170" t="s">
        <v>27</v>
      </c>
      <c r="B32" s="187">
        <f>'7c. Success counts 1718'!B32+'7b1 Success growth'!B32</f>
        <v>133</v>
      </c>
      <c r="C32" s="187">
        <f>'7c. Success counts 1718'!C32+'7b1 Success growth'!C32</f>
        <v>142</v>
      </c>
      <c r="D32" s="187">
        <f>'7c. Success counts 1718'!D32+'7b1 Success growth'!D32</f>
        <v>0</v>
      </c>
      <c r="E32" s="187">
        <f>'7c. Success counts 1718'!E32+'7b1 Success growth'!E32</f>
        <v>51</v>
      </c>
      <c r="F32" s="187">
        <f>'7c. Success counts 1718'!F32+'7b1 Success growth'!F32</f>
        <v>51</v>
      </c>
      <c r="G32" s="187">
        <f>'7c. Success counts 1718'!G32+'7b1 Success growth'!G32</f>
        <v>404</v>
      </c>
      <c r="H32" s="187">
        <f>'7c. Success counts 1718'!H32+'7b1 Success growth'!H32</f>
        <v>462</v>
      </c>
      <c r="I32" s="187">
        <f>'7c. Success counts 1718'!I32+'7b1 Success growth'!I32</f>
        <v>369</v>
      </c>
      <c r="J32" s="187">
        <f>'7c. Success counts 1718'!J32+'7b1 Success growth'!J32</f>
        <v>38</v>
      </c>
      <c r="K32" s="187">
        <f>'7c. Success counts 1718'!K32+'7b1 Success growth'!K32</f>
        <v>75</v>
      </c>
      <c r="L32" s="187">
        <f>'7c. Success counts 1718'!L32+'7b1 Success growth'!L32</f>
        <v>0</v>
      </c>
      <c r="M32" s="187">
        <f>'7c. Success counts 1718'!M32+'7b1 Success growth'!M32</f>
        <v>15</v>
      </c>
      <c r="N32" s="187">
        <f>'7c. Success counts 1718'!N32+'7b1 Success growth'!N32</f>
        <v>14</v>
      </c>
      <c r="O32" s="187">
        <f>'7c. Success counts 1718'!O32+'7b1 Success growth'!O32</f>
        <v>164</v>
      </c>
      <c r="P32" s="187">
        <f>'7c. Success counts 1718'!P32+'7b1 Success growth'!P32</f>
        <v>116</v>
      </c>
      <c r="Q32" s="187">
        <f>'7c. Success counts 1718'!Q32+'7b1 Success growth'!Q32</f>
        <v>61</v>
      </c>
      <c r="R32" s="187">
        <f>'7c. Success counts 1718'!R32+'7b1 Success growth'!R32</f>
        <v>70</v>
      </c>
      <c r="S32" s="187">
        <f>'7c. Success counts 1718'!S32+'7b1 Success growth'!S32</f>
        <v>98</v>
      </c>
      <c r="T32" s="187">
        <f>'7c. Success counts 1718'!T32+'7b1 Success growth'!T32</f>
        <v>0</v>
      </c>
      <c r="U32" s="187">
        <f>'7c. Success counts 1718'!U32+'7b1 Success growth'!U32</f>
        <v>27</v>
      </c>
      <c r="V32" s="187">
        <f>'7c. Success counts 1718'!V32+'7b1 Success growth'!V32</f>
        <v>15</v>
      </c>
      <c r="W32" s="187">
        <f>'7c. Success counts 1718'!W32+'7b1 Success growth'!W32</f>
        <v>236</v>
      </c>
      <c r="X32" s="187">
        <f>'7c. Success counts 1718'!X32+'7b1 Success growth'!X32</f>
        <v>193</v>
      </c>
      <c r="Y32" s="187">
        <f>'7c. Success counts 1718'!Y32+'7b1 Success growth'!Y32</f>
        <v>108</v>
      </c>
    </row>
    <row r="33" spans="1:25" x14ac:dyDescent="0.25">
      <c r="A33" s="170" t="s">
        <v>69</v>
      </c>
      <c r="B33" s="187">
        <f>'7c. Success counts 1718'!B33+'7b1 Success growth'!B33</f>
        <v>106</v>
      </c>
      <c r="C33" s="187">
        <f>'7c. Success counts 1718'!C33+'7b1 Success growth'!C33</f>
        <v>210</v>
      </c>
      <c r="D33" s="187">
        <f>'7c. Success counts 1718'!D33+'7b1 Success growth'!D33</f>
        <v>0</v>
      </c>
      <c r="E33" s="187">
        <f>'7c. Success counts 1718'!E33+'7b1 Success growth'!E33</f>
        <v>54</v>
      </c>
      <c r="F33" s="187">
        <f>'7c. Success counts 1718'!F33+'7b1 Success growth'!F33</f>
        <v>35</v>
      </c>
      <c r="G33" s="187">
        <f>'7c. Success counts 1718'!G33+'7b1 Success growth'!G33</f>
        <v>505</v>
      </c>
      <c r="H33" s="187">
        <f>'7c. Success counts 1718'!H33+'7b1 Success growth'!H33</f>
        <v>279</v>
      </c>
      <c r="I33" s="187">
        <f>'7c. Success counts 1718'!I33+'7b1 Success growth'!I33</f>
        <v>719</v>
      </c>
      <c r="J33" s="187">
        <f>'7c. Success counts 1718'!J33+'7b1 Success growth'!J33</f>
        <v>69</v>
      </c>
      <c r="K33" s="187">
        <f>'7c. Success counts 1718'!K33+'7b1 Success growth'!K33</f>
        <v>116</v>
      </c>
      <c r="L33" s="187">
        <f>'7c. Success counts 1718'!L33+'7b1 Success growth'!L33</f>
        <v>0</v>
      </c>
      <c r="M33" s="187">
        <f>'7c. Success counts 1718'!M33+'7b1 Success growth'!M33</f>
        <v>32</v>
      </c>
      <c r="N33" s="187">
        <f>'7c. Success counts 1718'!N33+'7b1 Success growth'!N33</f>
        <v>20</v>
      </c>
      <c r="O33" s="187">
        <f>'7c. Success counts 1718'!O33+'7b1 Success growth'!O33</f>
        <v>233</v>
      </c>
      <c r="P33" s="187">
        <f>'7c. Success counts 1718'!P33+'7b1 Success growth'!P33</f>
        <v>92</v>
      </c>
      <c r="Q33" s="187">
        <f>'7c. Success counts 1718'!Q33+'7b1 Success growth'!Q33</f>
        <v>279</v>
      </c>
      <c r="R33" s="187">
        <f>'7c. Success counts 1718'!R33+'7b1 Success growth'!R33</f>
        <v>78</v>
      </c>
      <c r="S33" s="187">
        <f>'7c. Success counts 1718'!S33+'7b1 Success growth'!S33</f>
        <v>162</v>
      </c>
      <c r="T33" s="187">
        <f>'7c. Success counts 1718'!T33+'7b1 Success growth'!T33</f>
        <v>0</v>
      </c>
      <c r="U33" s="187">
        <f>'7c. Success counts 1718'!U33+'7b1 Success growth'!U33</f>
        <v>40</v>
      </c>
      <c r="V33" s="187">
        <f>'7c. Success counts 1718'!V33+'7b1 Success growth'!V33</f>
        <v>19</v>
      </c>
      <c r="W33" s="187">
        <f>'7c. Success counts 1718'!W33+'7b1 Success growth'!W33</f>
        <v>359</v>
      </c>
      <c r="X33" s="187">
        <f>'7c. Success counts 1718'!X33+'7b1 Success growth'!X33</f>
        <v>147</v>
      </c>
      <c r="Y33" s="187">
        <f>'7c. Success counts 1718'!Y33+'7b1 Success growth'!Y33</f>
        <v>435</v>
      </c>
    </row>
    <row r="34" spans="1:25" x14ac:dyDescent="0.25">
      <c r="A34" s="170" t="s">
        <v>70</v>
      </c>
      <c r="B34" s="187">
        <f>'7c. Success counts 1718'!B34+'7b1 Success growth'!B34</f>
        <v>622</v>
      </c>
      <c r="C34" s="187">
        <f>'7c. Success counts 1718'!C34+'7b1 Success growth'!C34</f>
        <v>400</v>
      </c>
      <c r="D34" s="187">
        <f>'7c. Success counts 1718'!D34+'7b1 Success growth'!D34</f>
        <v>0</v>
      </c>
      <c r="E34" s="187">
        <f>'7c. Success counts 1718'!E34+'7b1 Success growth'!E34</f>
        <v>130</v>
      </c>
      <c r="F34" s="187">
        <f>'7c. Success counts 1718'!F34+'7b1 Success growth'!F34</f>
        <v>238</v>
      </c>
      <c r="G34" s="187">
        <f>'7c. Success counts 1718'!G34+'7b1 Success growth'!G34</f>
        <v>1528</v>
      </c>
      <c r="H34" s="187">
        <f>'7c. Success counts 1718'!H34+'7b1 Success growth'!H34</f>
        <v>972</v>
      </c>
      <c r="I34" s="187">
        <f>'7c. Success counts 1718'!I34+'7b1 Success growth'!I34</f>
        <v>2144</v>
      </c>
      <c r="J34" s="187">
        <f>'7c. Success counts 1718'!J34+'7b1 Success growth'!J34</f>
        <v>417</v>
      </c>
      <c r="K34" s="187">
        <f>'7c. Success counts 1718'!K34+'7b1 Success growth'!K34</f>
        <v>243</v>
      </c>
      <c r="L34" s="187">
        <f>'7c. Success counts 1718'!L34+'7b1 Success growth'!L34</f>
        <v>0</v>
      </c>
      <c r="M34" s="187">
        <f>'7c. Success counts 1718'!M34+'7b1 Success growth'!M34</f>
        <v>71</v>
      </c>
      <c r="N34" s="187">
        <f>'7c. Success counts 1718'!N34+'7b1 Success growth'!N34</f>
        <v>111</v>
      </c>
      <c r="O34" s="187">
        <f>'7c. Success counts 1718'!O34+'7b1 Success growth'!O34</f>
        <v>1040</v>
      </c>
      <c r="P34" s="187">
        <f>'7c. Success counts 1718'!P34+'7b1 Success growth'!P34</f>
        <v>568</v>
      </c>
      <c r="Q34" s="187">
        <f>'7c. Success counts 1718'!Q34+'7b1 Success growth'!Q34</f>
        <v>1103</v>
      </c>
      <c r="R34" s="187">
        <f>'7c. Success counts 1718'!R34+'7b1 Success growth'!R34</f>
        <v>524</v>
      </c>
      <c r="S34" s="187">
        <f>'7c. Success counts 1718'!S34+'7b1 Success growth'!S34</f>
        <v>333</v>
      </c>
      <c r="T34" s="187">
        <f>'7c. Success counts 1718'!T34+'7b1 Success growth'!T34</f>
        <v>0</v>
      </c>
      <c r="U34" s="187">
        <f>'7c. Success counts 1718'!U34+'7b1 Success growth'!U34</f>
        <v>133</v>
      </c>
      <c r="V34" s="187">
        <f>'7c. Success counts 1718'!V34+'7b1 Success growth'!V34</f>
        <v>157</v>
      </c>
      <c r="W34" s="187">
        <f>'7c. Success counts 1718'!W34+'7b1 Success growth'!W34</f>
        <v>1339</v>
      </c>
      <c r="X34" s="187">
        <f>'7c. Success counts 1718'!X34+'7b1 Success growth'!X34</f>
        <v>733</v>
      </c>
      <c r="Y34" s="187">
        <f>'7c. Success counts 1718'!Y34+'7b1 Success growth'!Y34</f>
        <v>1464</v>
      </c>
    </row>
    <row r="35" spans="1:25" x14ac:dyDescent="0.25">
      <c r="A35" s="170" t="s">
        <v>28</v>
      </c>
      <c r="B35" s="187">
        <f>'7c. Success counts 1718'!B35+'7b1 Success growth'!B35</f>
        <v>442</v>
      </c>
      <c r="C35" s="187">
        <f>'7c. Success counts 1718'!C35+'7b1 Success growth'!C35</f>
        <v>1291</v>
      </c>
      <c r="D35" s="187">
        <f>'7c. Success counts 1718'!D35+'7b1 Success growth'!D35</f>
        <v>0</v>
      </c>
      <c r="E35" s="187">
        <f>'7c. Success counts 1718'!E35+'7b1 Success growth'!E35</f>
        <v>281</v>
      </c>
      <c r="F35" s="187">
        <f>'7c. Success counts 1718'!F35+'7b1 Success growth'!F35</f>
        <v>344</v>
      </c>
      <c r="G35" s="187">
        <f>'7c. Success counts 1718'!G35+'7b1 Success growth'!G35</f>
        <v>1835</v>
      </c>
      <c r="H35" s="187">
        <f>'7c. Success counts 1718'!H35+'7b1 Success growth'!H35</f>
        <v>1780</v>
      </c>
      <c r="I35" s="187">
        <f>'7c. Success counts 1718'!I35+'7b1 Success growth'!I35</f>
        <v>1586</v>
      </c>
      <c r="J35" s="187">
        <f>'7c. Success counts 1718'!J35+'7b1 Success growth'!J35</f>
        <v>188</v>
      </c>
      <c r="K35" s="187">
        <f>'7c. Success counts 1718'!K35+'7b1 Success growth'!K35</f>
        <v>611</v>
      </c>
      <c r="L35" s="187">
        <f>'7c. Success counts 1718'!L35+'7b1 Success growth'!L35</f>
        <v>0</v>
      </c>
      <c r="M35" s="187">
        <f>'7c. Success counts 1718'!M35+'7b1 Success growth'!M35</f>
        <v>130</v>
      </c>
      <c r="N35" s="187">
        <f>'7c. Success counts 1718'!N35+'7b1 Success growth'!N35</f>
        <v>101</v>
      </c>
      <c r="O35" s="187">
        <f>'7c. Success counts 1718'!O35+'7b1 Success growth'!O35</f>
        <v>817</v>
      </c>
      <c r="P35" s="187">
        <f>'7c. Success counts 1718'!P35+'7b1 Success growth'!P35</f>
        <v>606</v>
      </c>
      <c r="Q35" s="187">
        <f>'7c. Success counts 1718'!Q35+'7b1 Success growth'!Q35</f>
        <v>329</v>
      </c>
      <c r="R35" s="187">
        <f>'7c. Success counts 1718'!R35+'7b1 Success growth'!R35</f>
        <v>250</v>
      </c>
      <c r="S35" s="187">
        <f>'7c. Success counts 1718'!S35+'7b1 Success growth'!S35</f>
        <v>863</v>
      </c>
      <c r="T35" s="187">
        <f>'7c. Success counts 1718'!T35+'7b1 Success growth'!T35</f>
        <v>0</v>
      </c>
      <c r="U35" s="187">
        <f>'7c. Success counts 1718'!U35+'7b1 Success growth'!U35</f>
        <v>196</v>
      </c>
      <c r="V35" s="187">
        <f>'7c. Success counts 1718'!V35+'7b1 Success growth'!V35</f>
        <v>181</v>
      </c>
      <c r="W35" s="187">
        <f>'7c. Success counts 1718'!W35+'7b1 Success growth'!W35</f>
        <v>1202</v>
      </c>
      <c r="X35" s="187">
        <f>'7c. Success counts 1718'!X35+'7b1 Success growth'!X35</f>
        <v>952</v>
      </c>
      <c r="Y35" s="187">
        <f>'7c. Success counts 1718'!Y35+'7b1 Success growth'!Y35</f>
        <v>630</v>
      </c>
    </row>
    <row r="36" spans="1:25" x14ac:dyDescent="0.25">
      <c r="A36" s="170" t="s">
        <v>71</v>
      </c>
      <c r="B36" s="187">
        <f>'7c. Success counts 1718'!B36+'7b1 Success growth'!B36</f>
        <v>368</v>
      </c>
      <c r="C36" s="187">
        <f>'7c. Success counts 1718'!C36+'7b1 Success growth'!C36</f>
        <v>280</v>
      </c>
      <c r="D36" s="187">
        <f>'7c. Success counts 1718'!D36+'7b1 Success growth'!D36</f>
        <v>0</v>
      </c>
      <c r="E36" s="187">
        <f>'7c. Success counts 1718'!E36+'7b1 Success growth'!E36</f>
        <v>76</v>
      </c>
      <c r="F36" s="187">
        <f>'7c. Success counts 1718'!F36+'7b1 Success growth'!F36</f>
        <v>100</v>
      </c>
      <c r="G36" s="187">
        <f>'7c. Success counts 1718'!G36+'7b1 Success growth'!G36</f>
        <v>910</v>
      </c>
      <c r="H36" s="187">
        <f>'7c. Success counts 1718'!H36+'7b1 Success growth'!H36</f>
        <v>720</v>
      </c>
      <c r="I36" s="187">
        <f>'7c. Success counts 1718'!I36+'7b1 Success growth'!I36</f>
        <v>2837</v>
      </c>
      <c r="J36" s="187">
        <f>'7c. Success counts 1718'!J36+'7b1 Success growth'!J36</f>
        <v>150</v>
      </c>
      <c r="K36" s="187">
        <f>'7c. Success counts 1718'!K36+'7b1 Success growth'!K36</f>
        <v>118</v>
      </c>
      <c r="L36" s="187">
        <f>'7c. Success counts 1718'!L36+'7b1 Success growth'!L36</f>
        <v>0</v>
      </c>
      <c r="M36" s="187">
        <f>'7c. Success counts 1718'!M36+'7b1 Success growth'!M36</f>
        <v>21</v>
      </c>
      <c r="N36" s="187">
        <f>'7c. Success counts 1718'!N36+'7b1 Success growth'!N36</f>
        <v>56</v>
      </c>
      <c r="O36" s="187">
        <f>'7c. Success counts 1718'!O36+'7b1 Success growth'!O36</f>
        <v>237</v>
      </c>
      <c r="P36" s="187">
        <f>'7c. Success counts 1718'!P36+'7b1 Success growth'!P36</f>
        <v>255</v>
      </c>
      <c r="Q36" s="187">
        <f>'7c. Success counts 1718'!Q36+'7b1 Success growth'!Q36</f>
        <v>242</v>
      </c>
      <c r="R36" s="187">
        <f>'7c. Success counts 1718'!R36+'7b1 Success growth'!R36</f>
        <v>256</v>
      </c>
      <c r="S36" s="187">
        <f>'7c. Success counts 1718'!S36+'7b1 Success growth'!S36</f>
        <v>186</v>
      </c>
      <c r="T36" s="187">
        <f>'7c. Success counts 1718'!T36+'7b1 Success growth'!T36</f>
        <v>0</v>
      </c>
      <c r="U36" s="187">
        <f>'7c. Success counts 1718'!U36+'7b1 Success growth'!U36</f>
        <v>32</v>
      </c>
      <c r="V36" s="187">
        <f>'7c. Success counts 1718'!V36+'7b1 Success growth'!V36</f>
        <v>77</v>
      </c>
      <c r="W36" s="187">
        <f>'7c. Success counts 1718'!W36+'7b1 Success growth'!W36</f>
        <v>406</v>
      </c>
      <c r="X36" s="187">
        <f>'7c. Success counts 1718'!X36+'7b1 Success growth'!X36</f>
        <v>393</v>
      </c>
      <c r="Y36" s="187">
        <f>'7c. Success counts 1718'!Y36+'7b1 Success growth'!Y36</f>
        <v>467</v>
      </c>
    </row>
    <row r="37" spans="1:25" x14ac:dyDescent="0.25">
      <c r="A37" s="170" t="s">
        <v>72</v>
      </c>
      <c r="B37" s="187">
        <f>'7c. Success counts 1718'!B37+'7b1 Success growth'!B37</f>
        <v>1076</v>
      </c>
      <c r="C37" s="187">
        <f>'7c. Success counts 1718'!C37+'7b1 Success growth'!C37</f>
        <v>1412</v>
      </c>
      <c r="D37" s="187">
        <f>'7c. Success counts 1718'!D37+'7b1 Success growth'!D37</f>
        <v>0</v>
      </c>
      <c r="E37" s="187">
        <f>'7c. Success counts 1718'!E37+'7b1 Success growth'!E37</f>
        <v>198</v>
      </c>
      <c r="F37" s="187">
        <f>'7c. Success counts 1718'!F37+'7b1 Success growth'!F37</f>
        <v>538</v>
      </c>
      <c r="G37" s="187">
        <f>'7c. Success counts 1718'!G37+'7b1 Success growth'!G37</f>
        <v>4776</v>
      </c>
      <c r="H37" s="187">
        <f>'7c. Success counts 1718'!H37+'7b1 Success growth'!H37</f>
        <v>2544</v>
      </c>
      <c r="I37" s="187">
        <f>'7c. Success counts 1718'!I37+'7b1 Success growth'!I37</f>
        <v>3291</v>
      </c>
      <c r="J37" s="187">
        <f>'7c. Success counts 1718'!J37+'7b1 Success growth'!J37</f>
        <v>698</v>
      </c>
      <c r="K37" s="187">
        <f>'7c. Success counts 1718'!K37+'7b1 Success growth'!K37</f>
        <v>803</v>
      </c>
      <c r="L37" s="187">
        <f>'7c. Success counts 1718'!L37+'7b1 Success growth'!L37</f>
        <v>0</v>
      </c>
      <c r="M37" s="187">
        <f>'7c. Success counts 1718'!M37+'7b1 Success growth'!M37</f>
        <v>85</v>
      </c>
      <c r="N37" s="187">
        <f>'7c. Success counts 1718'!N37+'7b1 Success growth'!N37</f>
        <v>226</v>
      </c>
      <c r="O37" s="187">
        <f>'7c. Success counts 1718'!O37+'7b1 Success growth'!O37</f>
        <v>2237</v>
      </c>
      <c r="P37" s="187">
        <f>'7c. Success counts 1718'!P37+'7b1 Success growth'!P37</f>
        <v>1277</v>
      </c>
      <c r="Q37" s="187">
        <f>'7c. Success counts 1718'!Q37+'7b1 Success growth'!Q37</f>
        <v>1059</v>
      </c>
      <c r="R37" s="187">
        <f>'7c. Success counts 1718'!R37+'7b1 Success growth'!R37</f>
        <v>905</v>
      </c>
      <c r="S37" s="187">
        <f>'7c. Success counts 1718'!S37+'7b1 Success growth'!S37</f>
        <v>1135</v>
      </c>
      <c r="T37" s="187">
        <f>'7c. Success counts 1718'!T37+'7b1 Success growth'!T37</f>
        <v>0</v>
      </c>
      <c r="U37" s="187">
        <f>'7c. Success counts 1718'!U37+'7b1 Success growth'!U37</f>
        <v>156</v>
      </c>
      <c r="V37" s="187">
        <f>'7c. Success counts 1718'!V37+'7b1 Success growth'!V37</f>
        <v>299</v>
      </c>
      <c r="W37" s="187">
        <f>'7c. Success counts 1718'!W37+'7b1 Success growth'!W37</f>
        <v>3542</v>
      </c>
      <c r="X37" s="187">
        <f>'7c. Success counts 1718'!X37+'7b1 Success growth'!X37</f>
        <v>1831</v>
      </c>
      <c r="Y37" s="187">
        <f>'7c. Success counts 1718'!Y37+'7b1 Success growth'!Y37</f>
        <v>1806</v>
      </c>
    </row>
    <row r="38" spans="1:25" x14ac:dyDescent="0.25">
      <c r="A38" s="170" t="s">
        <v>73</v>
      </c>
      <c r="B38" s="187">
        <f>'7c. Success counts 1718'!B38+'7b1 Success growth'!B38</f>
        <v>551</v>
      </c>
      <c r="C38" s="187">
        <f>'7c. Success counts 1718'!C38+'7b1 Success growth'!C38</f>
        <v>962</v>
      </c>
      <c r="D38" s="187">
        <f>'7c. Success counts 1718'!D38+'7b1 Success growth'!D38</f>
        <v>0</v>
      </c>
      <c r="E38" s="187">
        <f>'7c. Success counts 1718'!E38+'7b1 Success growth'!E38</f>
        <v>67</v>
      </c>
      <c r="F38" s="187">
        <f>'7c. Success counts 1718'!F38+'7b1 Success growth'!F38</f>
        <v>427</v>
      </c>
      <c r="G38" s="187">
        <f>'7c. Success counts 1718'!G38+'7b1 Success growth'!G38</f>
        <v>1448</v>
      </c>
      <c r="H38" s="187">
        <f>'7c. Success counts 1718'!H38+'7b1 Success growth'!H38</f>
        <v>1402</v>
      </c>
      <c r="I38" s="187">
        <f>'7c. Success counts 1718'!I38+'7b1 Success growth'!I38</f>
        <v>2138</v>
      </c>
      <c r="J38" s="187">
        <f>'7c. Success counts 1718'!J38+'7b1 Success growth'!J38</f>
        <v>325</v>
      </c>
      <c r="K38" s="187">
        <f>'7c. Success counts 1718'!K38+'7b1 Success growth'!K38</f>
        <v>599</v>
      </c>
      <c r="L38" s="187">
        <f>'7c. Success counts 1718'!L38+'7b1 Success growth'!L38</f>
        <v>0</v>
      </c>
      <c r="M38" s="187">
        <f>'7c. Success counts 1718'!M38+'7b1 Success growth'!M38</f>
        <v>34</v>
      </c>
      <c r="N38" s="187">
        <f>'7c. Success counts 1718'!N38+'7b1 Success growth'!N38</f>
        <v>141</v>
      </c>
      <c r="O38" s="187">
        <f>'7c. Success counts 1718'!O38+'7b1 Success growth'!O38</f>
        <v>895</v>
      </c>
      <c r="P38" s="187">
        <f>'7c. Success counts 1718'!P38+'7b1 Success growth'!P38</f>
        <v>782</v>
      </c>
      <c r="Q38" s="187">
        <f>'7c. Success counts 1718'!Q38+'7b1 Success growth'!Q38</f>
        <v>896</v>
      </c>
      <c r="R38" s="187">
        <f>'7c. Success counts 1718'!R38+'7b1 Success growth'!R38</f>
        <v>467</v>
      </c>
      <c r="S38" s="187">
        <f>'7c. Success counts 1718'!S38+'7b1 Success growth'!S38</f>
        <v>801</v>
      </c>
      <c r="T38" s="187">
        <f>'7c. Success counts 1718'!T38+'7b1 Success growth'!T38</f>
        <v>0</v>
      </c>
      <c r="U38" s="187">
        <f>'7c. Success counts 1718'!U38+'7b1 Success growth'!U38</f>
        <v>60</v>
      </c>
      <c r="V38" s="187">
        <f>'7c. Success counts 1718'!V38+'7b1 Success growth'!V38</f>
        <v>273</v>
      </c>
      <c r="W38" s="187">
        <f>'7c. Success counts 1718'!W38+'7b1 Success growth'!W38</f>
        <v>1190</v>
      </c>
      <c r="X38" s="187">
        <f>'7c. Success counts 1718'!X38+'7b1 Success growth'!X38</f>
        <v>1041</v>
      </c>
      <c r="Y38" s="187">
        <f>'7c. Success counts 1718'!Y38+'7b1 Success growth'!Y38</f>
        <v>1510</v>
      </c>
    </row>
    <row r="39" spans="1:25" x14ac:dyDescent="0.25">
      <c r="A39" s="170" t="s">
        <v>74</v>
      </c>
      <c r="B39" s="187">
        <f>'7c. Success counts 1718'!B39+'7b1 Success growth'!B39</f>
        <v>273</v>
      </c>
      <c r="C39" s="187">
        <f>'7c. Success counts 1718'!C39+'7b1 Success growth'!C39</f>
        <v>244</v>
      </c>
      <c r="D39" s="187">
        <f>'7c. Success counts 1718'!D39+'7b1 Success growth'!D39</f>
        <v>0</v>
      </c>
      <c r="E39" s="187">
        <f>'7c. Success counts 1718'!E39+'7b1 Success growth'!E39</f>
        <v>110</v>
      </c>
      <c r="F39" s="187">
        <f>'7c. Success counts 1718'!F39+'7b1 Success growth'!F39</f>
        <v>88</v>
      </c>
      <c r="G39" s="187">
        <f>'7c. Success counts 1718'!G39+'7b1 Success growth'!G39</f>
        <v>827</v>
      </c>
      <c r="H39" s="187">
        <f>'7c. Success counts 1718'!H39+'7b1 Success growth'!H39</f>
        <v>530</v>
      </c>
      <c r="I39" s="187">
        <f>'7c. Success counts 1718'!I39+'7b1 Success growth'!I39</f>
        <v>987</v>
      </c>
      <c r="J39" s="187">
        <f>'7c. Success counts 1718'!J39+'7b1 Success growth'!J39</f>
        <v>130</v>
      </c>
      <c r="K39" s="187">
        <f>'7c. Success counts 1718'!K39+'7b1 Success growth'!K39</f>
        <v>92</v>
      </c>
      <c r="L39" s="187">
        <f>'7c. Success counts 1718'!L39+'7b1 Success growth'!L39</f>
        <v>0</v>
      </c>
      <c r="M39" s="187">
        <f>'7c. Success counts 1718'!M39+'7b1 Success growth'!M39</f>
        <v>21</v>
      </c>
      <c r="N39" s="187">
        <f>'7c. Success counts 1718'!N39+'7b1 Success growth'!N39</f>
        <v>50</v>
      </c>
      <c r="O39" s="187">
        <f>'7c. Success counts 1718'!O39+'7b1 Success growth'!O39</f>
        <v>268</v>
      </c>
      <c r="P39" s="187">
        <f>'7c. Success counts 1718'!P39+'7b1 Success growth'!P39</f>
        <v>224</v>
      </c>
      <c r="Q39" s="187">
        <f>'7c. Success counts 1718'!Q39+'7b1 Success growth'!Q39</f>
        <v>272</v>
      </c>
      <c r="R39" s="187">
        <f>'7c. Success counts 1718'!R39+'7b1 Success growth'!R39</f>
        <v>222</v>
      </c>
      <c r="S39" s="187">
        <f>'7c. Success counts 1718'!S39+'7b1 Success growth'!S39</f>
        <v>173</v>
      </c>
      <c r="T39" s="187">
        <f>'7c. Success counts 1718'!T39+'7b1 Success growth'!T39</f>
        <v>0</v>
      </c>
      <c r="U39" s="187">
        <f>'7c. Success counts 1718'!U39+'7b1 Success growth'!U39</f>
        <v>77</v>
      </c>
      <c r="V39" s="187">
        <f>'7c. Success counts 1718'!V39+'7b1 Success growth'!V39</f>
        <v>66</v>
      </c>
      <c r="W39" s="187">
        <f>'7c. Success counts 1718'!W39+'7b1 Success growth'!W39</f>
        <v>480</v>
      </c>
      <c r="X39" s="187">
        <f>'7c. Success counts 1718'!X39+'7b1 Success growth'!X39</f>
        <v>337</v>
      </c>
      <c r="Y39" s="187">
        <f>'7c. Success counts 1718'!Y39+'7b1 Success growth'!Y39</f>
        <v>445</v>
      </c>
    </row>
    <row r="40" spans="1:25" x14ac:dyDescent="0.25">
      <c r="A40" s="170" t="s">
        <v>75</v>
      </c>
      <c r="B40" s="187">
        <f>'7c. Success counts 1718'!B40+'7b1 Success growth'!B40</f>
        <v>1731</v>
      </c>
      <c r="C40" s="187">
        <f>'7c. Success counts 1718'!C40+'7b1 Success growth'!C40</f>
        <v>1491</v>
      </c>
      <c r="D40" s="187">
        <f>'7c. Success counts 1718'!D40+'7b1 Success growth'!D40</f>
        <v>8</v>
      </c>
      <c r="E40" s="187">
        <f>'7c. Success counts 1718'!E40+'7b1 Success growth'!E40</f>
        <v>309</v>
      </c>
      <c r="F40" s="187">
        <f>'7c. Success counts 1718'!F40+'7b1 Success growth'!F40</f>
        <v>854</v>
      </c>
      <c r="G40" s="187">
        <f>'7c. Success counts 1718'!G40+'7b1 Success growth'!G40</f>
        <v>4618</v>
      </c>
      <c r="H40" s="187">
        <f>'7c. Success counts 1718'!H40+'7b1 Success growth'!H40</f>
        <v>3531</v>
      </c>
      <c r="I40" s="187">
        <f>'7c. Success counts 1718'!I40+'7b1 Success growth'!I40</f>
        <v>3719</v>
      </c>
      <c r="J40" s="187">
        <f>'7c. Success counts 1718'!J40+'7b1 Success growth'!J40</f>
        <v>928</v>
      </c>
      <c r="K40" s="187">
        <f>'7c. Success counts 1718'!K40+'7b1 Success growth'!K40</f>
        <v>769</v>
      </c>
      <c r="L40" s="187">
        <f>'7c. Success counts 1718'!L40+'7b1 Success growth'!L40</f>
        <v>2</v>
      </c>
      <c r="M40" s="187">
        <f>'7c. Success counts 1718'!M40+'7b1 Success growth'!M40</f>
        <v>141</v>
      </c>
      <c r="N40" s="187">
        <f>'7c. Success counts 1718'!N40+'7b1 Success growth'!N40</f>
        <v>295</v>
      </c>
      <c r="O40" s="187">
        <f>'7c. Success counts 1718'!O40+'7b1 Success growth'!O40</f>
        <v>2018</v>
      </c>
      <c r="P40" s="187">
        <f>'7c. Success counts 1718'!P40+'7b1 Success growth'!P40</f>
        <v>1674</v>
      </c>
      <c r="Q40" s="187">
        <f>'7c. Success counts 1718'!Q40+'7b1 Success growth'!Q40</f>
        <v>873</v>
      </c>
      <c r="R40" s="187">
        <f>'7c. Success counts 1718'!R40+'7b1 Success growth'!R40</f>
        <v>1306</v>
      </c>
      <c r="S40" s="187">
        <f>'7c. Success counts 1718'!S40+'7b1 Success growth'!S40</f>
        <v>1127</v>
      </c>
      <c r="T40" s="187">
        <f>'7c. Success counts 1718'!T40+'7b1 Success growth'!T40</f>
        <v>6</v>
      </c>
      <c r="U40" s="187">
        <f>'7c. Success counts 1718'!U40+'7b1 Success growth'!U40</f>
        <v>215</v>
      </c>
      <c r="V40" s="187">
        <f>'7c. Success counts 1718'!V40+'7b1 Success growth'!V40</f>
        <v>451</v>
      </c>
      <c r="W40" s="187">
        <f>'7c. Success counts 1718'!W40+'7b1 Success growth'!W40</f>
        <v>3176</v>
      </c>
      <c r="X40" s="187">
        <f>'7c. Success counts 1718'!X40+'7b1 Success growth'!X40</f>
        <v>2457</v>
      </c>
      <c r="Y40" s="187">
        <f>'7c. Success counts 1718'!Y40+'7b1 Success growth'!Y40</f>
        <v>1707</v>
      </c>
    </row>
    <row r="41" spans="1:25" x14ac:dyDescent="0.25">
      <c r="A41" s="170" t="s">
        <v>76</v>
      </c>
      <c r="B41" s="187">
        <f>'7c. Success counts 1718'!B41+'7b1 Success growth'!B41</f>
        <v>275</v>
      </c>
      <c r="C41" s="187">
        <f>'7c. Success counts 1718'!C41+'7b1 Success growth'!C41</f>
        <v>360</v>
      </c>
      <c r="D41" s="187">
        <f>'7c. Success counts 1718'!D41+'7b1 Success growth'!D41</f>
        <v>0</v>
      </c>
      <c r="E41" s="187">
        <f>'7c. Success counts 1718'!E41+'7b1 Success growth'!E41</f>
        <v>-2</v>
      </c>
      <c r="F41" s="187">
        <f>'7c. Success counts 1718'!F41+'7b1 Success growth'!F41</f>
        <v>248</v>
      </c>
      <c r="G41" s="187">
        <f>'7c. Success counts 1718'!G41+'7b1 Success growth'!G41</f>
        <v>803</v>
      </c>
      <c r="H41" s="187">
        <f>'7c. Success counts 1718'!H41+'7b1 Success growth'!H41</f>
        <v>1476</v>
      </c>
      <c r="I41" s="187">
        <f>'7c. Success counts 1718'!I41+'7b1 Success growth'!I41</f>
        <v>1586</v>
      </c>
      <c r="J41" s="187">
        <f>'7c. Success counts 1718'!J41+'7b1 Success growth'!J41</f>
        <v>103</v>
      </c>
      <c r="K41" s="187">
        <f>'7c. Success counts 1718'!K41+'7b1 Success growth'!K41</f>
        <v>86</v>
      </c>
      <c r="L41" s="187">
        <f>'7c. Success counts 1718'!L41+'7b1 Success growth'!L41</f>
        <v>0</v>
      </c>
      <c r="M41" s="187">
        <f>'7c. Success counts 1718'!M41+'7b1 Success growth'!M41</f>
        <v>1</v>
      </c>
      <c r="N41" s="187">
        <f>'7c. Success counts 1718'!N41+'7b1 Success growth'!N41</f>
        <v>69</v>
      </c>
      <c r="O41" s="187">
        <f>'7c. Success counts 1718'!O41+'7b1 Success growth'!O41</f>
        <v>197</v>
      </c>
      <c r="P41" s="187">
        <f>'7c. Success counts 1718'!P41+'7b1 Success growth'!P41</f>
        <v>312</v>
      </c>
      <c r="Q41" s="187">
        <f>'7c. Success counts 1718'!Q41+'7b1 Success growth'!Q41</f>
        <v>115</v>
      </c>
      <c r="R41" s="187">
        <f>'7c. Success counts 1718'!R41+'7b1 Success growth'!R41</f>
        <v>167</v>
      </c>
      <c r="S41" s="187">
        <f>'7c. Success counts 1718'!S41+'7b1 Success growth'!S41</f>
        <v>178</v>
      </c>
      <c r="T41" s="187">
        <f>'7c. Success counts 1718'!T41+'7b1 Success growth'!T41</f>
        <v>0</v>
      </c>
      <c r="U41" s="187">
        <f>'7c. Success counts 1718'!U41+'7b1 Success growth'!U41</f>
        <v>8</v>
      </c>
      <c r="V41" s="187">
        <f>'7c. Success counts 1718'!V41+'7b1 Success growth'!V41</f>
        <v>105</v>
      </c>
      <c r="W41" s="187">
        <f>'7c. Success counts 1718'!W41+'7b1 Success growth'!W41</f>
        <v>332</v>
      </c>
      <c r="X41" s="187">
        <f>'7c. Success counts 1718'!X41+'7b1 Success growth'!X41</f>
        <v>507</v>
      </c>
      <c r="Y41" s="187">
        <f>'7c. Success counts 1718'!Y41+'7b1 Success growth'!Y41</f>
        <v>262</v>
      </c>
    </row>
    <row r="42" spans="1:25" x14ac:dyDescent="0.25">
      <c r="A42" s="170" t="s">
        <v>77</v>
      </c>
      <c r="B42" s="187">
        <f>'7c. Success counts 1718'!B42+'7b1 Success growth'!B42</f>
        <v>4</v>
      </c>
      <c r="C42" s="187">
        <f>'7c. Success counts 1718'!C42+'7b1 Success growth'!C42</f>
        <v>108</v>
      </c>
      <c r="D42" s="187">
        <f>'7c. Success counts 1718'!D42+'7b1 Success growth'!D42</f>
        <v>0</v>
      </c>
      <c r="E42" s="187">
        <f>'7c. Success counts 1718'!E42+'7b1 Success growth'!E42</f>
        <v>17</v>
      </c>
      <c r="F42" s="187">
        <f>'7c. Success counts 1718'!F42+'7b1 Success growth'!F42</f>
        <v>0</v>
      </c>
      <c r="G42" s="187">
        <f>'7c. Success counts 1718'!G42+'7b1 Success growth'!G42</f>
        <v>895</v>
      </c>
      <c r="H42" s="187">
        <f>'7c. Success counts 1718'!H42+'7b1 Success growth'!H42</f>
        <v>41</v>
      </c>
      <c r="I42" s="187">
        <f>'7c. Success counts 1718'!I42+'7b1 Success growth'!I42</f>
        <v>502</v>
      </c>
      <c r="J42" s="187">
        <f>'7c. Success counts 1718'!J42+'7b1 Success growth'!J42</f>
        <v>3</v>
      </c>
      <c r="K42" s="187">
        <f>'7c. Success counts 1718'!K42+'7b1 Success growth'!K42</f>
        <v>27</v>
      </c>
      <c r="L42" s="187">
        <f>'7c. Success counts 1718'!L42+'7b1 Success growth'!L42</f>
        <v>0</v>
      </c>
      <c r="M42" s="187">
        <f>'7c. Success counts 1718'!M42+'7b1 Success growth'!M42</f>
        <v>-3</v>
      </c>
      <c r="N42" s="187">
        <f>'7c. Success counts 1718'!N42+'7b1 Success growth'!N42</f>
        <v>1</v>
      </c>
      <c r="O42" s="187">
        <f>'7c. Success counts 1718'!O42+'7b1 Success growth'!O42</f>
        <v>71</v>
      </c>
      <c r="P42" s="187">
        <f>'7c. Success counts 1718'!P42+'7b1 Success growth'!P42</f>
        <v>23</v>
      </c>
      <c r="Q42" s="187">
        <f>'7c. Success counts 1718'!Q42+'7b1 Success growth'!Q42</f>
        <v>41</v>
      </c>
      <c r="R42" s="187">
        <f>'7c. Success counts 1718'!R42+'7b1 Success growth'!R42</f>
        <v>5</v>
      </c>
      <c r="S42" s="187">
        <f>'7c. Success counts 1718'!S42+'7b1 Success growth'!S42</f>
        <v>96</v>
      </c>
      <c r="T42" s="187">
        <f>'7c. Success counts 1718'!T42+'7b1 Success growth'!T42</f>
        <v>0</v>
      </c>
      <c r="U42" s="187">
        <f>'7c. Success counts 1718'!U42+'7b1 Success growth'!U42</f>
        <v>-10</v>
      </c>
      <c r="V42" s="187">
        <f>'7c. Success counts 1718'!V42+'7b1 Success growth'!V42</f>
        <v>1</v>
      </c>
      <c r="W42" s="187">
        <f>'7c. Success counts 1718'!W42+'7b1 Success growth'!W42</f>
        <v>423</v>
      </c>
      <c r="X42" s="187">
        <f>'7c. Success counts 1718'!X42+'7b1 Success growth'!X42</f>
        <v>44</v>
      </c>
      <c r="Y42" s="187">
        <f>'7c. Success counts 1718'!Y42+'7b1 Success growth'!Y42</f>
        <v>192</v>
      </c>
    </row>
    <row r="43" spans="1:25" x14ac:dyDescent="0.25">
      <c r="A43" s="170" t="s">
        <v>78</v>
      </c>
      <c r="B43" s="187">
        <f>'7c. Success counts 1718'!B43+'7b1 Success growth'!B43</f>
        <v>544</v>
      </c>
      <c r="C43" s="187">
        <f>'7c. Success counts 1718'!C43+'7b1 Success growth'!C43</f>
        <v>1043</v>
      </c>
      <c r="D43" s="187">
        <f>'7c. Success counts 1718'!D43+'7b1 Success growth'!D43</f>
        <v>0</v>
      </c>
      <c r="E43" s="187">
        <f>'7c. Success counts 1718'!E43+'7b1 Success growth'!E43</f>
        <v>403</v>
      </c>
      <c r="F43" s="187">
        <f>'7c. Success counts 1718'!F43+'7b1 Success growth'!F43</f>
        <v>512</v>
      </c>
      <c r="G43" s="187">
        <f>'7c. Success counts 1718'!G43+'7b1 Success growth'!G43</f>
        <v>3487</v>
      </c>
      <c r="H43" s="187">
        <f>'7c. Success counts 1718'!H43+'7b1 Success growth'!H43</f>
        <v>2479</v>
      </c>
      <c r="I43" s="187">
        <f>'7c. Success counts 1718'!I43+'7b1 Success growth'!I43</f>
        <v>2737</v>
      </c>
      <c r="J43" s="187">
        <f>'7c. Success counts 1718'!J43+'7b1 Success growth'!J43</f>
        <v>222</v>
      </c>
      <c r="K43" s="187">
        <f>'7c. Success counts 1718'!K43+'7b1 Success growth'!K43</f>
        <v>410</v>
      </c>
      <c r="L43" s="187">
        <f>'7c. Success counts 1718'!L43+'7b1 Success growth'!L43</f>
        <v>0</v>
      </c>
      <c r="M43" s="187">
        <f>'7c. Success counts 1718'!M43+'7b1 Success growth'!M43</f>
        <v>119</v>
      </c>
      <c r="N43" s="187">
        <f>'7c. Success counts 1718'!N43+'7b1 Success growth'!N43</f>
        <v>194</v>
      </c>
      <c r="O43" s="187">
        <f>'7c. Success counts 1718'!O43+'7b1 Success growth'!O43</f>
        <v>1033</v>
      </c>
      <c r="P43" s="187">
        <f>'7c. Success counts 1718'!P43+'7b1 Success growth'!P43</f>
        <v>776</v>
      </c>
      <c r="Q43" s="187">
        <f>'7c. Success counts 1718'!Q43+'7b1 Success growth'!Q43</f>
        <v>448</v>
      </c>
      <c r="R43" s="187">
        <f>'7c. Success counts 1718'!R43+'7b1 Success growth'!R43</f>
        <v>336</v>
      </c>
      <c r="S43" s="187">
        <f>'7c. Success counts 1718'!S43+'7b1 Success growth'!S43</f>
        <v>703</v>
      </c>
      <c r="T43" s="187">
        <f>'7c. Success counts 1718'!T43+'7b1 Success growth'!T43</f>
        <v>0</v>
      </c>
      <c r="U43" s="187">
        <f>'7c. Success counts 1718'!U43+'7b1 Success growth'!U43</f>
        <v>213</v>
      </c>
      <c r="V43" s="187">
        <f>'7c. Success counts 1718'!V43+'7b1 Success growth'!V43</f>
        <v>302</v>
      </c>
      <c r="W43" s="187">
        <f>'7c. Success counts 1718'!W43+'7b1 Success growth'!W43</f>
        <v>1832</v>
      </c>
      <c r="X43" s="187">
        <f>'7c. Success counts 1718'!X43+'7b1 Success growth'!X43</f>
        <v>1389</v>
      </c>
      <c r="Y43" s="187">
        <f>'7c. Success counts 1718'!Y43+'7b1 Success growth'!Y43</f>
        <v>1101</v>
      </c>
    </row>
    <row r="44" spans="1:25" x14ac:dyDescent="0.25">
      <c r="A44" s="170" t="s">
        <v>79</v>
      </c>
      <c r="B44" s="187">
        <f>'7c. Success counts 1718'!B44+'7b1 Success growth'!B44</f>
        <v>1381</v>
      </c>
      <c r="C44" s="187">
        <f>'7c. Success counts 1718'!C44+'7b1 Success growth'!C44</f>
        <v>1450</v>
      </c>
      <c r="D44" s="187">
        <f>'7c. Success counts 1718'!D44+'7b1 Success growth'!D44</f>
        <v>0</v>
      </c>
      <c r="E44" s="187">
        <f>'7c. Success counts 1718'!E44+'7b1 Success growth'!E44</f>
        <v>209</v>
      </c>
      <c r="F44" s="187">
        <f>'7c. Success counts 1718'!F44+'7b1 Success growth'!F44</f>
        <v>1069</v>
      </c>
      <c r="G44" s="187">
        <f>'7c. Success counts 1718'!G44+'7b1 Success growth'!G44</f>
        <v>2933</v>
      </c>
      <c r="H44" s="187">
        <f>'7c. Success counts 1718'!H44+'7b1 Success growth'!H44</f>
        <v>3615</v>
      </c>
      <c r="I44" s="187">
        <f>'7c. Success counts 1718'!I44+'7b1 Success growth'!I44</f>
        <v>2699</v>
      </c>
      <c r="J44" s="187">
        <f>'7c. Success counts 1718'!J44+'7b1 Success growth'!J44</f>
        <v>811</v>
      </c>
      <c r="K44" s="187">
        <f>'7c. Success counts 1718'!K44+'7b1 Success growth'!K44</f>
        <v>629</v>
      </c>
      <c r="L44" s="187">
        <f>'7c. Success counts 1718'!L44+'7b1 Success growth'!L44</f>
        <v>0</v>
      </c>
      <c r="M44" s="187">
        <f>'7c. Success counts 1718'!M44+'7b1 Success growth'!M44</f>
        <v>100</v>
      </c>
      <c r="N44" s="187">
        <f>'7c. Success counts 1718'!N44+'7b1 Success growth'!N44</f>
        <v>457</v>
      </c>
      <c r="O44" s="187">
        <f>'7c. Success counts 1718'!O44+'7b1 Success growth'!O44</f>
        <v>1290</v>
      </c>
      <c r="P44" s="187">
        <f>'7c. Success counts 1718'!P44+'7b1 Success growth'!P44</f>
        <v>2051</v>
      </c>
      <c r="Q44" s="187">
        <f>'7c. Success counts 1718'!Q44+'7b1 Success growth'!Q44</f>
        <v>783</v>
      </c>
      <c r="R44" s="187">
        <f>'7c. Success counts 1718'!R44+'7b1 Success growth'!R44</f>
        <v>1061</v>
      </c>
      <c r="S44" s="187">
        <f>'7c. Success counts 1718'!S44+'7b1 Success growth'!S44</f>
        <v>939</v>
      </c>
      <c r="T44" s="187">
        <f>'7c. Success counts 1718'!T44+'7b1 Success growth'!T44</f>
        <v>0</v>
      </c>
      <c r="U44" s="187">
        <f>'7c. Success counts 1718'!U44+'7b1 Success growth'!U44</f>
        <v>139</v>
      </c>
      <c r="V44" s="187">
        <f>'7c. Success counts 1718'!V44+'7b1 Success growth'!V44</f>
        <v>643</v>
      </c>
      <c r="W44" s="187">
        <f>'7c. Success counts 1718'!W44+'7b1 Success growth'!W44</f>
        <v>1998</v>
      </c>
      <c r="X44" s="187">
        <f>'7c. Success counts 1718'!X44+'7b1 Success growth'!X44</f>
        <v>2668</v>
      </c>
      <c r="Y44" s="187">
        <f>'7c. Success counts 1718'!Y44+'7b1 Success growth'!Y44</f>
        <v>1439</v>
      </c>
    </row>
    <row r="45" spans="1:25" x14ac:dyDescent="0.25">
      <c r="A45" s="170" t="s">
        <v>80</v>
      </c>
      <c r="B45" s="187">
        <f>'7c. Success counts 1718'!B45+'7b1 Success growth'!B45</f>
        <v>571</v>
      </c>
      <c r="C45" s="187">
        <f>'7c. Success counts 1718'!C45+'7b1 Success growth'!C45</f>
        <v>921</v>
      </c>
      <c r="D45" s="187">
        <f>'7c. Success counts 1718'!D45+'7b1 Success growth'!D45</f>
        <v>0</v>
      </c>
      <c r="E45" s="187">
        <f>'7c. Success counts 1718'!E45+'7b1 Success growth'!E45</f>
        <v>308</v>
      </c>
      <c r="F45" s="187">
        <f>'7c. Success counts 1718'!F45+'7b1 Success growth'!F45</f>
        <v>185</v>
      </c>
      <c r="G45" s="187">
        <f>'7c. Success counts 1718'!G45+'7b1 Success growth'!G45</f>
        <v>2556</v>
      </c>
      <c r="H45" s="187">
        <f>'7c. Success counts 1718'!H45+'7b1 Success growth'!H45</f>
        <v>2221</v>
      </c>
      <c r="I45" s="187">
        <f>'7c. Success counts 1718'!I45+'7b1 Success growth'!I45</f>
        <v>2631</v>
      </c>
      <c r="J45" s="187">
        <f>'7c. Success counts 1718'!J45+'7b1 Success growth'!J45</f>
        <v>328</v>
      </c>
      <c r="K45" s="187">
        <f>'7c. Success counts 1718'!K45+'7b1 Success growth'!K45</f>
        <v>469</v>
      </c>
      <c r="L45" s="187">
        <f>'7c. Success counts 1718'!L45+'7b1 Success growth'!L45</f>
        <v>0</v>
      </c>
      <c r="M45" s="187">
        <f>'7c. Success counts 1718'!M45+'7b1 Success growth'!M45</f>
        <v>143</v>
      </c>
      <c r="N45" s="187">
        <f>'7c. Success counts 1718'!N45+'7b1 Success growth'!N45</f>
        <v>96</v>
      </c>
      <c r="O45" s="187">
        <f>'7c. Success counts 1718'!O45+'7b1 Success growth'!O45</f>
        <v>1124</v>
      </c>
      <c r="P45" s="187">
        <f>'7c. Success counts 1718'!P45+'7b1 Success growth'!P45</f>
        <v>885</v>
      </c>
      <c r="Q45" s="187">
        <f>'7c. Success counts 1718'!Q45+'7b1 Success growth'!Q45</f>
        <v>598</v>
      </c>
      <c r="R45" s="187">
        <f>'7c. Success counts 1718'!R45+'7b1 Success growth'!R45</f>
        <v>436</v>
      </c>
      <c r="S45" s="187">
        <f>'7c. Success counts 1718'!S45+'7b1 Success growth'!S45</f>
        <v>630</v>
      </c>
      <c r="T45" s="187">
        <f>'7c. Success counts 1718'!T45+'7b1 Success growth'!T45</f>
        <v>0</v>
      </c>
      <c r="U45" s="187">
        <f>'7c. Success counts 1718'!U45+'7b1 Success growth'!U45</f>
        <v>221</v>
      </c>
      <c r="V45" s="187">
        <f>'7c. Success counts 1718'!V45+'7b1 Success growth'!V45</f>
        <v>118</v>
      </c>
      <c r="W45" s="187">
        <f>'7c. Success counts 1718'!W45+'7b1 Success growth'!W45</f>
        <v>1685</v>
      </c>
      <c r="X45" s="187">
        <f>'7c. Success counts 1718'!X45+'7b1 Success growth'!X45</f>
        <v>1264</v>
      </c>
      <c r="Y45" s="187">
        <f>'7c. Success counts 1718'!Y45+'7b1 Success growth'!Y45</f>
        <v>1058</v>
      </c>
    </row>
    <row r="46" spans="1:25" x14ac:dyDescent="0.25">
      <c r="A46" s="170" t="s">
        <v>81</v>
      </c>
      <c r="B46" s="187">
        <f>'7c. Success counts 1718'!B46+'7b1 Success growth'!B46</f>
        <v>1282</v>
      </c>
      <c r="C46" s="187">
        <f>'7c. Success counts 1718'!C46+'7b1 Success growth'!C46</f>
        <v>1405</v>
      </c>
      <c r="D46" s="187">
        <f>'7c. Success counts 1718'!D46+'7b1 Success growth'!D46</f>
        <v>0</v>
      </c>
      <c r="E46" s="187">
        <f>'7c. Success counts 1718'!E46+'7b1 Success growth'!E46</f>
        <v>346</v>
      </c>
      <c r="F46" s="187">
        <f>'7c. Success counts 1718'!F46+'7b1 Success growth'!F46</f>
        <v>850</v>
      </c>
      <c r="G46" s="187">
        <f>'7c. Success counts 1718'!G46+'7b1 Success growth'!G46</f>
        <v>4053</v>
      </c>
      <c r="H46" s="187">
        <f>'7c. Success counts 1718'!H46+'7b1 Success growth'!H46</f>
        <v>2200</v>
      </c>
      <c r="I46" s="187">
        <f>'7c. Success counts 1718'!I46+'7b1 Success growth'!I46</f>
        <v>6303</v>
      </c>
      <c r="J46" s="187">
        <f>'7c. Success counts 1718'!J46+'7b1 Success growth'!J46</f>
        <v>618</v>
      </c>
      <c r="K46" s="187">
        <f>'7c. Success counts 1718'!K46+'7b1 Success growth'!K46</f>
        <v>619</v>
      </c>
      <c r="L46" s="187">
        <f>'7c. Success counts 1718'!L46+'7b1 Success growth'!L46</f>
        <v>0</v>
      </c>
      <c r="M46" s="187">
        <f>'7c. Success counts 1718'!M46+'7b1 Success growth'!M46</f>
        <v>124</v>
      </c>
      <c r="N46" s="187">
        <f>'7c. Success counts 1718'!N46+'7b1 Success growth'!N46</f>
        <v>306</v>
      </c>
      <c r="O46" s="187">
        <f>'7c. Success counts 1718'!O46+'7b1 Success growth'!O46</f>
        <v>1051</v>
      </c>
      <c r="P46" s="187">
        <f>'7c. Success counts 1718'!P46+'7b1 Success growth'!P46</f>
        <v>871</v>
      </c>
      <c r="Q46" s="187">
        <f>'7c. Success counts 1718'!Q46+'7b1 Success growth'!Q46</f>
        <v>442</v>
      </c>
      <c r="R46" s="187">
        <f>'7c. Success counts 1718'!R46+'7b1 Success growth'!R46</f>
        <v>897</v>
      </c>
      <c r="S46" s="187">
        <f>'7c. Success counts 1718'!S46+'7b1 Success growth'!S46</f>
        <v>1039</v>
      </c>
      <c r="T46" s="187">
        <f>'7c. Success counts 1718'!T46+'7b1 Success growth'!T46</f>
        <v>0</v>
      </c>
      <c r="U46" s="187">
        <f>'7c. Success counts 1718'!U46+'7b1 Success growth'!U46</f>
        <v>218</v>
      </c>
      <c r="V46" s="187">
        <f>'7c. Success counts 1718'!V46+'7b1 Success growth'!V46</f>
        <v>491</v>
      </c>
      <c r="W46" s="187">
        <f>'7c. Success counts 1718'!W46+'7b1 Success growth'!W46</f>
        <v>2047</v>
      </c>
      <c r="X46" s="187">
        <f>'7c. Success counts 1718'!X46+'7b1 Success growth'!X46</f>
        <v>1419</v>
      </c>
      <c r="Y46" s="187">
        <f>'7c. Success counts 1718'!Y46+'7b1 Success growth'!Y46</f>
        <v>1393</v>
      </c>
    </row>
    <row r="47" spans="1:25" x14ac:dyDescent="0.25">
      <c r="A47" s="170" t="s">
        <v>82</v>
      </c>
      <c r="B47" s="187">
        <f>'7c. Success counts 1718'!B47+'7b1 Success growth'!B47</f>
        <v>88</v>
      </c>
      <c r="C47" s="187">
        <f>'7c. Success counts 1718'!C47+'7b1 Success growth'!C47</f>
        <v>352</v>
      </c>
      <c r="D47" s="187">
        <f>'7c. Success counts 1718'!D47+'7b1 Success growth'!D47</f>
        <v>0</v>
      </c>
      <c r="E47" s="187">
        <f>'7c. Success counts 1718'!E47+'7b1 Success growth'!E47</f>
        <v>60</v>
      </c>
      <c r="F47" s="187">
        <f>'7c. Success counts 1718'!F47+'7b1 Success growth'!F47</f>
        <v>52</v>
      </c>
      <c r="G47" s="187">
        <f>'7c. Success counts 1718'!G47+'7b1 Success growth'!G47</f>
        <v>728</v>
      </c>
      <c r="H47" s="187">
        <f>'7c. Success counts 1718'!H47+'7b1 Success growth'!H47</f>
        <v>560</v>
      </c>
      <c r="I47" s="187">
        <f>'7c. Success counts 1718'!I47+'7b1 Success growth'!I47</f>
        <v>896</v>
      </c>
      <c r="J47" s="187">
        <f>'7c. Success counts 1718'!J47+'7b1 Success growth'!J47</f>
        <v>61</v>
      </c>
      <c r="K47" s="187">
        <f>'7c. Success counts 1718'!K47+'7b1 Success growth'!K47</f>
        <v>221</v>
      </c>
      <c r="L47" s="187">
        <f>'7c. Success counts 1718'!L47+'7b1 Success growth'!L47</f>
        <v>0</v>
      </c>
      <c r="M47" s="187">
        <f>'7c. Success counts 1718'!M47+'7b1 Success growth'!M47</f>
        <v>7</v>
      </c>
      <c r="N47" s="187">
        <f>'7c. Success counts 1718'!N47+'7b1 Success growth'!N47</f>
        <v>21</v>
      </c>
      <c r="O47" s="187">
        <f>'7c. Success counts 1718'!O47+'7b1 Success growth'!O47</f>
        <v>380</v>
      </c>
      <c r="P47" s="187">
        <f>'7c. Success counts 1718'!P47+'7b1 Success growth'!P47</f>
        <v>278</v>
      </c>
      <c r="Q47" s="187">
        <f>'7c. Success counts 1718'!Q47+'7b1 Success growth'!Q47</f>
        <v>346</v>
      </c>
      <c r="R47" s="187">
        <f>'7c. Success counts 1718'!R47+'7b1 Success growth'!R47</f>
        <v>75</v>
      </c>
      <c r="S47" s="187">
        <f>'7c. Success counts 1718'!S47+'7b1 Success growth'!S47</f>
        <v>271</v>
      </c>
      <c r="T47" s="187">
        <f>'7c. Success counts 1718'!T47+'7b1 Success growth'!T47</f>
        <v>0</v>
      </c>
      <c r="U47" s="187">
        <f>'7c. Success counts 1718'!U47+'7b1 Success growth'!U47</f>
        <v>9</v>
      </c>
      <c r="V47" s="187">
        <f>'7c. Success counts 1718'!V47+'7b1 Success growth'!V47</f>
        <v>31</v>
      </c>
      <c r="W47" s="187">
        <f>'7c. Success counts 1718'!W47+'7b1 Success growth'!W47</f>
        <v>525</v>
      </c>
      <c r="X47" s="187">
        <f>'7c. Success counts 1718'!X47+'7b1 Success growth'!X47</f>
        <v>395</v>
      </c>
      <c r="Y47" s="187">
        <f>'7c. Success counts 1718'!Y47+'7b1 Success growth'!Y47</f>
        <v>527</v>
      </c>
    </row>
    <row r="48" spans="1:25" x14ac:dyDescent="0.25">
      <c r="A48" s="170" t="s">
        <v>83</v>
      </c>
      <c r="B48" s="187">
        <f>'7c. Success counts 1718'!B48+'7b1 Success growth'!B48</f>
        <v>618</v>
      </c>
      <c r="C48" s="187">
        <f>'7c. Success counts 1718'!C48+'7b1 Success growth'!C48</f>
        <v>666</v>
      </c>
      <c r="D48" s="187">
        <f>'7c. Success counts 1718'!D48+'7b1 Success growth'!D48</f>
        <v>0</v>
      </c>
      <c r="E48" s="187">
        <f>'7c. Success counts 1718'!E48+'7b1 Success growth'!E48</f>
        <v>669</v>
      </c>
      <c r="F48" s="187">
        <f>'7c. Success counts 1718'!F48+'7b1 Success growth'!F48</f>
        <v>317</v>
      </c>
      <c r="G48" s="187">
        <f>'7c. Success counts 1718'!G48+'7b1 Success growth'!G48</f>
        <v>1919</v>
      </c>
      <c r="H48" s="187">
        <f>'7c. Success counts 1718'!H48+'7b1 Success growth'!H48</f>
        <v>1166</v>
      </c>
      <c r="I48" s="187">
        <f>'7c. Success counts 1718'!I48+'7b1 Success growth'!I48</f>
        <v>3135</v>
      </c>
      <c r="J48" s="187">
        <f>'7c. Success counts 1718'!J48+'7b1 Success growth'!J48</f>
        <v>426</v>
      </c>
      <c r="K48" s="187">
        <f>'7c. Success counts 1718'!K48+'7b1 Success growth'!K48</f>
        <v>414</v>
      </c>
      <c r="L48" s="187">
        <f>'7c. Success counts 1718'!L48+'7b1 Success growth'!L48</f>
        <v>0</v>
      </c>
      <c r="M48" s="187">
        <f>'7c. Success counts 1718'!M48+'7b1 Success growth'!M48</f>
        <v>383</v>
      </c>
      <c r="N48" s="187">
        <f>'7c. Success counts 1718'!N48+'7b1 Success growth'!N48</f>
        <v>190</v>
      </c>
      <c r="O48" s="187">
        <f>'7c. Success counts 1718'!O48+'7b1 Success growth'!O48</f>
        <v>969</v>
      </c>
      <c r="P48" s="187">
        <f>'7c. Success counts 1718'!P48+'7b1 Success growth'!P48</f>
        <v>669</v>
      </c>
      <c r="Q48" s="187">
        <f>'7c. Success counts 1718'!Q48+'7b1 Success growth'!Q48</f>
        <v>652</v>
      </c>
      <c r="R48" s="187">
        <f>'7c. Success counts 1718'!R48+'7b1 Success growth'!R48</f>
        <v>553</v>
      </c>
      <c r="S48" s="187">
        <f>'7c. Success counts 1718'!S48+'7b1 Success growth'!S48</f>
        <v>579</v>
      </c>
      <c r="T48" s="187">
        <f>'7c. Success counts 1718'!T48+'7b1 Success growth'!T48</f>
        <v>0</v>
      </c>
      <c r="U48" s="187">
        <f>'7c. Success counts 1718'!U48+'7b1 Success growth'!U48</f>
        <v>521</v>
      </c>
      <c r="V48" s="187">
        <f>'7c. Success counts 1718'!V48+'7b1 Success growth'!V48</f>
        <v>278</v>
      </c>
      <c r="W48" s="187">
        <f>'7c. Success counts 1718'!W48+'7b1 Success growth'!W48</f>
        <v>1402</v>
      </c>
      <c r="X48" s="187">
        <f>'7c. Success counts 1718'!X48+'7b1 Success growth'!X48</f>
        <v>884</v>
      </c>
      <c r="Y48" s="187">
        <f>'7c. Success counts 1718'!Y48+'7b1 Success growth'!Y48</f>
        <v>1155</v>
      </c>
    </row>
    <row r="49" spans="1:25" x14ac:dyDescent="0.25">
      <c r="A49" s="170" t="s">
        <v>84</v>
      </c>
      <c r="B49" s="187">
        <f>'7c. Success counts 1718'!B49+'7b1 Success growth'!B49</f>
        <v>1142</v>
      </c>
      <c r="C49" s="187">
        <f>'7c. Success counts 1718'!C49+'7b1 Success growth'!C49</f>
        <v>2849</v>
      </c>
      <c r="D49" s="187">
        <f>'7c. Success counts 1718'!D49+'7b1 Success growth'!D49</f>
        <v>0</v>
      </c>
      <c r="E49" s="187">
        <f>'7c. Success counts 1718'!E49+'7b1 Success growth'!E49</f>
        <v>530</v>
      </c>
      <c r="F49" s="187">
        <f>'7c. Success counts 1718'!F49+'7b1 Success growth'!F49</f>
        <v>1237</v>
      </c>
      <c r="G49" s="187">
        <f>'7c. Success counts 1718'!G49+'7b1 Success growth'!G49</f>
        <v>4261</v>
      </c>
      <c r="H49" s="187">
        <f>'7c. Success counts 1718'!H49+'7b1 Success growth'!H49</f>
        <v>2864</v>
      </c>
      <c r="I49" s="187">
        <f>'7c. Success counts 1718'!I49+'7b1 Success growth'!I49</f>
        <v>5874</v>
      </c>
      <c r="J49" s="187">
        <f>'7c. Success counts 1718'!J49+'7b1 Success growth'!J49</f>
        <v>696</v>
      </c>
      <c r="K49" s="187">
        <f>'7c. Success counts 1718'!K49+'7b1 Success growth'!K49</f>
        <v>1722</v>
      </c>
      <c r="L49" s="187">
        <f>'7c. Success counts 1718'!L49+'7b1 Success growth'!L49</f>
        <v>0</v>
      </c>
      <c r="M49" s="187">
        <f>'7c. Success counts 1718'!M49+'7b1 Success growth'!M49</f>
        <v>247</v>
      </c>
      <c r="N49" s="187">
        <f>'7c. Success counts 1718'!N49+'7b1 Success growth'!N49</f>
        <v>603</v>
      </c>
      <c r="O49" s="187">
        <f>'7c. Success counts 1718'!O49+'7b1 Success growth'!O49</f>
        <v>2209</v>
      </c>
      <c r="P49" s="187">
        <f>'7c. Success counts 1718'!P49+'7b1 Success growth'!P49</f>
        <v>1437</v>
      </c>
      <c r="Q49" s="187">
        <f>'7c. Success counts 1718'!Q49+'7b1 Success growth'!Q49</f>
        <v>2168</v>
      </c>
      <c r="R49" s="187">
        <f>'7c. Success counts 1718'!R49+'7b1 Success growth'!R49</f>
        <v>940</v>
      </c>
      <c r="S49" s="187">
        <f>'7c. Success counts 1718'!S49+'7b1 Success growth'!S49</f>
        <v>2320</v>
      </c>
      <c r="T49" s="187">
        <f>'7c. Success counts 1718'!T49+'7b1 Success growth'!T49</f>
        <v>0</v>
      </c>
      <c r="U49" s="187">
        <f>'7c. Success counts 1718'!U49+'7b1 Success growth'!U49</f>
        <v>354</v>
      </c>
      <c r="V49" s="187">
        <f>'7c. Success counts 1718'!V49+'7b1 Success growth'!V49</f>
        <v>864</v>
      </c>
      <c r="W49" s="187">
        <f>'7c. Success counts 1718'!W49+'7b1 Success growth'!W49</f>
        <v>3225</v>
      </c>
      <c r="X49" s="187">
        <f>'7c. Success counts 1718'!X49+'7b1 Success growth'!X49</f>
        <v>2081</v>
      </c>
      <c r="Y49" s="187">
        <f>'7c. Success counts 1718'!Y49+'7b1 Success growth'!Y49</f>
        <v>3699</v>
      </c>
    </row>
    <row r="50" spans="1:25" x14ac:dyDescent="0.25">
      <c r="A50" s="170" t="s">
        <v>85</v>
      </c>
      <c r="B50" s="187">
        <f>'7c. Success counts 1718'!B50+'7b1 Success growth'!B50</f>
        <v>567</v>
      </c>
      <c r="C50" s="187">
        <f>'7c. Success counts 1718'!C50+'7b1 Success growth'!C50</f>
        <v>680</v>
      </c>
      <c r="D50" s="187">
        <f>'7c. Success counts 1718'!D50+'7b1 Success growth'!D50</f>
        <v>0</v>
      </c>
      <c r="E50" s="187">
        <f>'7c. Success counts 1718'!E50+'7b1 Success growth'!E50</f>
        <v>245</v>
      </c>
      <c r="F50" s="187">
        <f>'7c. Success counts 1718'!F50+'7b1 Success growth'!F50</f>
        <v>321</v>
      </c>
      <c r="G50" s="187">
        <f>'7c. Success counts 1718'!G50+'7b1 Success growth'!G50</f>
        <v>2908</v>
      </c>
      <c r="H50" s="187">
        <f>'7c. Success counts 1718'!H50+'7b1 Success growth'!H50</f>
        <v>1515</v>
      </c>
      <c r="I50" s="187">
        <f>'7c. Success counts 1718'!I50+'7b1 Success growth'!I50</f>
        <v>3090</v>
      </c>
      <c r="J50" s="187">
        <f>'7c. Success counts 1718'!J50+'7b1 Success growth'!J50</f>
        <v>369</v>
      </c>
      <c r="K50" s="187">
        <f>'7c. Success counts 1718'!K50+'7b1 Success growth'!K50</f>
        <v>420</v>
      </c>
      <c r="L50" s="187">
        <f>'7c. Success counts 1718'!L50+'7b1 Success growth'!L50</f>
        <v>0</v>
      </c>
      <c r="M50" s="187">
        <f>'7c. Success counts 1718'!M50+'7b1 Success growth'!M50</f>
        <v>120</v>
      </c>
      <c r="N50" s="187">
        <f>'7c. Success counts 1718'!N50+'7b1 Success growth'!N50</f>
        <v>130</v>
      </c>
      <c r="O50" s="187">
        <f>'7c. Success counts 1718'!O50+'7b1 Success growth'!O50</f>
        <v>1094</v>
      </c>
      <c r="P50" s="187">
        <f>'7c. Success counts 1718'!P50+'7b1 Success growth'!P50</f>
        <v>682</v>
      </c>
      <c r="Q50" s="187">
        <f>'7c. Success counts 1718'!Q50+'7b1 Success growth'!Q50</f>
        <v>1113</v>
      </c>
      <c r="R50" s="187">
        <f>'7c. Success counts 1718'!R50+'7b1 Success growth'!R50</f>
        <v>502</v>
      </c>
      <c r="S50" s="187">
        <f>'7c. Success counts 1718'!S50+'7b1 Success growth'!S50</f>
        <v>623</v>
      </c>
      <c r="T50" s="187">
        <f>'7c. Success counts 1718'!T50+'7b1 Success growth'!T50</f>
        <v>0</v>
      </c>
      <c r="U50" s="187">
        <f>'7c. Success counts 1718'!U50+'7b1 Success growth'!U50</f>
        <v>196</v>
      </c>
      <c r="V50" s="187">
        <f>'7c. Success counts 1718'!V50+'7b1 Success growth'!V50</f>
        <v>177</v>
      </c>
      <c r="W50" s="187">
        <f>'7c. Success counts 1718'!W50+'7b1 Success growth'!W50</f>
        <v>1835</v>
      </c>
      <c r="X50" s="187">
        <f>'7c. Success counts 1718'!X50+'7b1 Success growth'!X50</f>
        <v>1126</v>
      </c>
      <c r="Y50" s="187">
        <f>'7c. Success counts 1718'!Y50+'7b1 Success growth'!Y50</f>
        <v>2079</v>
      </c>
    </row>
    <row r="51" spans="1:25" x14ac:dyDescent="0.25">
      <c r="A51" s="170" t="s">
        <v>86</v>
      </c>
      <c r="B51" s="187">
        <f>'7c. Success counts 1718'!B51+'7b1 Success growth'!B51</f>
        <v>1594</v>
      </c>
      <c r="C51" s="187">
        <f>'7c. Success counts 1718'!C51+'7b1 Success growth'!C51</f>
        <v>1766</v>
      </c>
      <c r="D51" s="187">
        <f>'7c. Success counts 1718'!D51+'7b1 Success growth'!D51</f>
        <v>20</v>
      </c>
      <c r="E51" s="187">
        <f>'7c. Success counts 1718'!E51+'7b1 Success growth'!E51</f>
        <v>504</v>
      </c>
      <c r="F51" s="187">
        <f>'7c. Success counts 1718'!F51+'7b1 Success growth'!F51</f>
        <v>862</v>
      </c>
      <c r="G51" s="187">
        <f>'7c. Success counts 1718'!G51+'7b1 Success growth'!G51</f>
        <v>5916</v>
      </c>
      <c r="H51" s="187">
        <f>'7c. Success counts 1718'!H51+'7b1 Success growth'!H51</f>
        <v>5215</v>
      </c>
      <c r="I51" s="187">
        <f>'7c. Success counts 1718'!I51+'7b1 Success growth'!I51</f>
        <v>10092</v>
      </c>
      <c r="J51" s="187">
        <f>'7c. Success counts 1718'!J51+'7b1 Success growth'!J51</f>
        <v>773</v>
      </c>
      <c r="K51" s="187">
        <f>'7c. Success counts 1718'!K51+'7b1 Success growth'!K51</f>
        <v>962</v>
      </c>
      <c r="L51" s="187">
        <f>'7c. Success counts 1718'!L51+'7b1 Success growth'!L51</f>
        <v>12</v>
      </c>
      <c r="M51" s="187">
        <f>'7c. Success counts 1718'!M51+'7b1 Success growth'!M51</f>
        <v>300</v>
      </c>
      <c r="N51" s="187">
        <f>'7c. Success counts 1718'!N51+'7b1 Success growth'!N51</f>
        <v>305</v>
      </c>
      <c r="O51" s="187">
        <f>'7c. Success counts 1718'!O51+'7b1 Success growth'!O51</f>
        <v>2535</v>
      </c>
      <c r="P51" s="187">
        <f>'7c. Success counts 1718'!P51+'7b1 Success growth'!P51</f>
        <v>2003</v>
      </c>
      <c r="Q51" s="187">
        <f>'7c. Success counts 1718'!Q51+'7b1 Success growth'!Q51</f>
        <v>1573</v>
      </c>
      <c r="R51" s="187">
        <f>'7c. Success counts 1718'!R51+'7b1 Success growth'!R51</f>
        <v>1108</v>
      </c>
      <c r="S51" s="187">
        <f>'7c. Success counts 1718'!S51+'7b1 Success growth'!S51</f>
        <v>1306</v>
      </c>
      <c r="T51" s="187">
        <f>'7c. Success counts 1718'!T51+'7b1 Success growth'!T51</f>
        <v>18</v>
      </c>
      <c r="U51" s="187">
        <f>'7c. Success counts 1718'!U51+'7b1 Success growth'!U51</f>
        <v>453</v>
      </c>
      <c r="V51" s="187">
        <f>'7c. Success counts 1718'!V51+'7b1 Success growth'!V51</f>
        <v>443</v>
      </c>
      <c r="W51" s="187">
        <f>'7c. Success counts 1718'!W51+'7b1 Success growth'!W51</f>
        <v>3873</v>
      </c>
      <c r="X51" s="187">
        <f>'7c. Success counts 1718'!X51+'7b1 Success growth'!X51</f>
        <v>3228</v>
      </c>
      <c r="Y51" s="187">
        <f>'7c. Success counts 1718'!Y51+'7b1 Success growth'!Y51</f>
        <v>3248</v>
      </c>
    </row>
    <row r="52" spans="1:25" x14ac:dyDescent="0.25">
      <c r="A52" s="170" t="s">
        <v>29</v>
      </c>
      <c r="B52" s="187">
        <f>'7c. Success counts 1718'!B52+'7b1 Success growth'!B52</f>
        <v>286</v>
      </c>
      <c r="C52" s="187">
        <f>'7c. Success counts 1718'!C52+'7b1 Success growth'!C52</f>
        <v>823</v>
      </c>
      <c r="D52" s="187">
        <f>'7c. Success counts 1718'!D52+'7b1 Success growth'!D52</f>
        <v>0</v>
      </c>
      <c r="E52" s="187">
        <f>'7c. Success counts 1718'!E52+'7b1 Success growth'!E52</f>
        <v>492</v>
      </c>
      <c r="F52" s="187">
        <f>'7c. Success counts 1718'!F52+'7b1 Success growth'!F52</f>
        <v>382</v>
      </c>
      <c r="G52" s="187">
        <f>'7c. Success counts 1718'!G52+'7b1 Success growth'!G52</f>
        <v>5188</v>
      </c>
      <c r="H52" s="187">
        <f>'7c. Success counts 1718'!H52+'7b1 Success growth'!H52</f>
        <v>1810</v>
      </c>
      <c r="I52" s="187">
        <f>'7c. Success counts 1718'!I52+'7b1 Success growth'!I52</f>
        <v>2862</v>
      </c>
      <c r="J52" s="187">
        <f>'7c. Success counts 1718'!J52+'7b1 Success growth'!J52</f>
        <v>139</v>
      </c>
      <c r="K52" s="187">
        <f>'7c. Success counts 1718'!K52+'7b1 Success growth'!K52</f>
        <v>430</v>
      </c>
      <c r="L52" s="187">
        <f>'7c. Success counts 1718'!L52+'7b1 Success growth'!L52</f>
        <v>0</v>
      </c>
      <c r="M52" s="187">
        <f>'7c. Success counts 1718'!M52+'7b1 Success growth'!M52</f>
        <v>142</v>
      </c>
      <c r="N52" s="187">
        <f>'7c. Success counts 1718'!N52+'7b1 Success growth'!N52</f>
        <v>101</v>
      </c>
      <c r="O52" s="187">
        <f>'7c. Success counts 1718'!O52+'7b1 Success growth'!O52</f>
        <v>1417</v>
      </c>
      <c r="P52" s="187">
        <f>'7c. Success counts 1718'!P52+'7b1 Success growth'!P52</f>
        <v>710</v>
      </c>
      <c r="Q52" s="187">
        <f>'7c. Success counts 1718'!Q52+'7b1 Success growth'!Q52</f>
        <v>358</v>
      </c>
      <c r="R52" s="187">
        <f>'7c. Success counts 1718'!R52+'7b1 Success growth'!R52</f>
        <v>197</v>
      </c>
      <c r="S52" s="187">
        <f>'7c. Success counts 1718'!S52+'7b1 Success growth'!S52</f>
        <v>617</v>
      </c>
      <c r="T52" s="187">
        <f>'7c. Success counts 1718'!T52+'7b1 Success growth'!T52</f>
        <v>0</v>
      </c>
      <c r="U52" s="187">
        <f>'7c. Success counts 1718'!U52+'7b1 Success growth'!U52</f>
        <v>290</v>
      </c>
      <c r="V52" s="187">
        <f>'7c. Success counts 1718'!V52+'7b1 Success growth'!V52</f>
        <v>173</v>
      </c>
      <c r="W52" s="187">
        <f>'7c. Success counts 1718'!W52+'7b1 Success growth'!W52</f>
        <v>2703</v>
      </c>
      <c r="X52" s="187">
        <f>'7c. Success counts 1718'!X52+'7b1 Success growth'!X52</f>
        <v>1136</v>
      </c>
      <c r="Y52" s="187">
        <f>'7c. Success counts 1718'!Y52+'7b1 Success growth'!Y52</f>
        <v>691</v>
      </c>
    </row>
    <row r="53" spans="1:25" x14ac:dyDescent="0.25">
      <c r="A53" s="170" t="s">
        <v>87</v>
      </c>
      <c r="B53" s="187">
        <f>'7c. Success counts 1718'!B53+'7b1 Success growth'!B53</f>
        <v>235</v>
      </c>
      <c r="C53" s="187">
        <f>'7c. Success counts 1718'!C53+'7b1 Success growth'!C53</f>
        <v>1300</v>
      </c>
      <c r="D53" s="187">
        <f>'7c. Success counts 1718'!D53+'7b1 Success growth'!D53</f>
        <v>0</v>
      </c>
      <c r="E53" s="187">
        <f>'7c. Success counts 1718'!E53+'7b1 Success growth'!E53</f>
        <v>484</v>
      </c>
      <c r="F53" s="187">
        <f>'7c. Success counts 1718'!F53+'7b1 Success growth'!F53</f>
        <v>317</v>
      </c>
      <c r="G53" s="187">
        <f>'7c. Success counts 1718'!G53+'7b1 Success growth'!G53</f>
        <v>3083</v>
      </c>
      <c r="H53" s="187">
        <f>'7c. Success counts 1718'!H53+'7b1 Success growth'!H53</f>
        <v>1974</v>
      </c>
      <c r="I53" s="187">
        <f>'7c. Success counts 1718'!I53+'7b1 Success growth'!I53</f>
        <v>3314</v>
      </c>
      <c r="J53" s="187">
        <f>'7c. Success counts 1718'!J53+'7b1 Success growth'!J53</f>
        <v>150</v>
      </c>
      <c r="K53" s="187">
        <f>'7c. Success counts 1718'!K53+'7b1 Success growth'!K53</f>
        <v>705</v>
      </c>
      <c r="L53" s="187">
        <f>'7c. Success counts 1718'!L53+'7b1 Success growth'!L53</f>
        <v>0</v>
      </c>
      <c r="M53" s="187">
        <f>'7c. Success counts 1718'!M53+'7b1 Success growth'!M53</f>
        <v>202</v>
      </c>
      <c r="N53" s="187">
        <f>'7c. Success counts 1718'!N53+'7b1 Success growth'!N53</f>
        <v>141</v>
      </c>
      <c r="O53" s="187">
        <f>'7c. Success counts 1718'!O53+'7b1 Success growth'!O53</f>
        <v>1591</v>
      </c>
      <c r="P53" s="187">
        <f>'7c. Success counts 1718'!P53+'7b1 Success growth'!P53</f>
        <v>798</v>
      </c>
      <c r="Q53" s="187">
        <f>'7c. Success counts 1718'!Q53+'7b1 Success growth'!Q53</f>
        <v>1445</v>
      </c>
      <c r="R53" s="187">
        <f>'7c. Success counts 1718'!R53+'7b1 Success growth'!R53</f>
        <v>201</v>
      </c>
      <c r="S53" s="187">
        <f>'7c. Success counts 1718'!S53+'7b1 Success growth'!S53</f>
        <v>1034</v>
      </c>
      <c r="T53" s="187">
        <f>'7c. Success counts 1718'!T53+'7b1 Success growth'!T53</f>
        <v>0</v>
      </c>
      <c r="U53" s="187">
        <f>'7c. Success counts 1718'!U53+'7b1 Success growth'!U53</f>
        <v>312</v>
      </c>
      <c r="V53" s="187">
        <f>'7c. Success counts 1718'!V53+'7b1 Success growth'!V53</f>
        <v>209</v>
      </c>
      <c r="W53" s="187">
        <f>'7c. Success counts 1718'!W53+'7b1 Success growth'!W53</f>
        <v>2309</v>
      </c>
      <c r="X53" s="187">
        <f>'7c. Success counts 1718'!X53+'7b1 Success growth'!X53</f>
        <v>1347</v>
      </c>
      <c r="Y53" s="187">
        <f>'7c. Success counts 1718'!Y53+'7b1 Success growth'!Y53</f>
        <v>2383</v>
      </c>
    </row>
    <row r="54" spans="1:25" x14ac:dyDescent="0.25">
      <c r="A54" s="170" t="s">
        <v>88</v>
      </c>
      <c r="B54" s="187">
        <f>'7c. Success counts 1718'!B54+'7b1 Success growth'!B54</f>
        <v>662</v>
      </c>
      <c r="C54" s="187">
        <f>'7c. Success counts 1718'!C54+'7b1 Success growth'!C54</f>
        <v>509</v>
      </c>
      <c r="D54" s="187">
        <f>'7c. Success counts 1718'!D54+'7b1 Success growth'!D54</f>
        <v>0</v>
      </c>
      <c r="E54" s="187">
        <f>'7c. Success counts 1718'!E54+'7b1 Success growth'!E54</f>
        <v>336</v>
      </c>
      <c r="F54" s="187">
        <f>'7c. Success counts 1718'!F54+'7b1 Success growth'!F54</f>
        <v>390</v>
      </c>
      <c r="G54" s="187">
        <f>'7c. Success counts 1718'!G54+'7b1 Success growth'!G54</f>
        <v>1586</v>
      </c>
      <c r="H54" s="187">
        <f>'7c. Success counts 1718'!H54+'7b1 Success growth'!H54</f>
        <v>1226</v>
      </c>
      <c r="I54" s="187">
        <f>'7c. Success counts 1718'!I54+'7b1 Success growth'!I54</f>
        <v>1724</v>
      </c>
      <c r="J54" s="187">
        <f>'7c. Success counts 1718'!J54+'7b1 Success growth'!J54</f>
        <v>365</v>
      </c>
      <c r="K54" s="187">
        <f>'7c. Success counts 1718'!K54+'7b1 Success growth'!K54</f>
        <v>281</v>
      </c>
      <c r="L54" s="187">
        <f>'7c. Success counts 1718'!L54+'7b1 Success growth'!L54</f>
        <v>0</v>
      </c>
      <c r="M54" s="187">
        <f>'7c. Success counts 1718'!M54+'7b1 Success growth'!M54</f>
        <v>148</v>
      </c>
      <c r="N54" s="187">
        <f>'7c. Success counts 1718'!N54+'7b1 Success growth'!N54</f>
        <v>140</v>
      </c>
      <c r="O54" s="187">
        <f>'7c. Success counts 1718'!O54+'7b1 Success growth'!O54</f>
        <v>689</v>
      </c>
      <c r="P54" s="187">
        <f>'7c. Success counts 1718'!P54+'7b1 Success growth'!P54</f>
        <v>511</v>
      </c>
      <c r="Q54" s="187">
        <f>'7c. Success counts 1718'!Q54+'7b1 Success growth'!Q54</f>
        <v>413</v>
      </c>
      <c r="R54" s="187">
        <f>'7c. Success counts 1718'!R54+'7b1 Success growth'!R54</f>
        <v>518</v>
      </c>
      <c r="S54" s="187">
        <f>'7c. Success counts 1718'!S54+'7b1 Success growth'!S54</f>
        <v>408</v>
      </c>
      <c r="T54" s="187">
        <f>'7c. Success counts 1718'!T54+'7b1 Success growth'!T54</f>
        <v>0</v>
      </c>
      <c r="U54" s="187">
        <f>'7c. Success counts 1718'!U54+'7b1 Success growth'!U54</f>
        <v>227</v>
      </c>
      <c r="V54" s="187">
        <f>'7c. Success counts 1718'!V54+'7b1 Success growth'!V54</f>
        <v>241</v>
      </c>
      <c r="W54" s="187">
        <f>'7c. Success counts 1718'!W54+'7b1 Success growth'!W54</f>
        <v>1093</v>
      </c>
      <c r="X54" s="187">
        <f>'7c. Success counts 1718'!X54+'7b1 Success growth'!X54</f>
        <v>815</v>
      </c>
      <c r="Y54" s="187">
        <f>'7c. Success counts 1718'!Y54+'7b1 Success growth'!Y54</f>
        <v>800</v>
      </c>
    </row>
    <row r="55" spans="1:25" x14ac:dyDescent="0.25">
      <c r="A55" s="170" t="s">
        <v>89</v>
      </c>
      <c r="B55" s="187">
        <f>'7c. Success counts 1718'!B55+'7b1 Success growth'!B55</f>
        <v>430</v>
      </c>
      <c r="C55" s="187">
        <f>'7c. Success counts 1718'!C55+'7b1 Success growth'!C55</f>
        <v>456</v>
      </c>
      <c r="D55" s="187">
        <f>'7c. Success counts 1718'!D55+'7b1 Success growth'!D55</f>
        <v>0</v>
      </c>
      <c r="E55" s="187">
        <f>'7c. Success counts 1718'!E55+'7b1 Success growth'!E55</f>
        <v>239</v>
      </c>
      <c r="F55" s="187">
        <f>'7c. Success counts 1718'!F55+'7b1 Success growth'!F55</f>
        <v>282</v>
      </c>
      <c r="G55" s="187">
        <f>'7c. Success counts 1718'!G55+'7b1 Success growth'!G55</f>
        <v>1451</v>
      </c>
      <c r="H55" s="187">
        <f>'7c. Success counts 1718'!H55+'7b1 Success growth'!H55</f>
        <v>886</v>
      </c>
      <c r="I55" s="187">
        <f>'7c. Success counts 1718'!I55+'7b1 Success growth'!I55</f>
        <v>1190</v>
      </c>
      <c r="J55" s="187">
        <f>'7c. Success counts 1718'!J55+'7b1 Success growth'!J55</f>
        <v>130</v>
      </c>
      <c r="K55" s="187">
        <f>'7c. Success counts 1718'!K55+'7b1 Success growth'!K55</f>
        <v>234</v>
      </c>
      <c r="L55" s="187">
        <f>'7c. Success counts 1718'!L55+'7b1 Success growth'!L55</f>
        <v>0</v>
      </c>
      <c r="M55" s="187">
        <f>'7c. Success counts 1718'!M55+'7b1 Success growth'!M55</f>
        <v>98</v>
      </c>
      <c r="N55" s="187">
        <f>'7c. Success counts 1718'!N55+'7b1 Success growth'!N55</f>
        <v>119</v>
      </c>
      <c r="O55" s="187">
        <f>'7c. Success counts 1718'!O55+'7b1 Success growth'!O55</f>
        <v>659</v>
      </c>
      <c r="P55" s="187">
        <f>'7c. Success counts 1718'!P55+'7b1 Success growth'!P55</f>
        <v>267</v>
      </c>
      <c r="Q55" s="187">
        <f>'7c. Success counts 1718'!Q55+'7b1 Success growth'!Q55</f>
        <v>299</v>
      </c>
      <c r="R55" s="187">
        <f>'7c. Success counts 1718'!R55+'7b1 Success growth'!R55</f>
        <v>259</v>
      </c>
      <c r="S55" s="187">
        <f>'7c. Success counts 1718'!S55+'7b1 Success growth'!S55</f>
        <v>353</v>
      </c>
      <c r="T55" s="187">
        <f>'7c. Success counts 1718'!T55+'7b1 Success growth'!T55</f>
        <v>0</v>
      </c>
      <c r="U55" s="187">
        <f>'7c. Success counts 1718'!U55+'7b1 Success growth'!U55</f>
        <v>143</v>
      </c>
      <c r="V55" s="187">
        <f>'7c. Success counts 1718'!V55+'7b1 Success growth'!V55</f>
        <v>178</v>
      </c>
      <c r="W55" s="187">
        <f>'7c. Success counts 1718'!W55+'7b1 Success growth'!W55</f>
        <v>1001</v>
      </c>
      <c r="X55" s="187">
        <f>'7c. Success counts 1718'!X55+'7b1 Success growth'!X55</f>
        <v>450</v>
      </c>
      <c r="Y55" s="187">
        <f>'7c. Success counts 1718'!Y55+'7b1 Success growth'!Y55</f>
        <v>603</v>
      </c>
    </row>
    <row r="56" spans="1:25" x14ac:dyDescent="0.25">
      <c r="A56" s="170" t="s">
        <v>90</v>
      </c>
      <c r="B56" s="187">
        <f>'7c. Success counts 1718'!B56+'7b1 Success growth'!B56</f>
        <v>828</v>
      </c>
      <c r="C56" s="187">
        <f>'7c. Success counts 1718'!C56+'7b1 Success growth'!C56</f>
        <v>750</v>
      </c>
      <c r="D56" s="187">
        <f>'7c. Success counts 1718'!D56+'7b1 Success growth'!D56</f>
        <v>36</v>
      </c>
      <c r="E56" s="187">
        <f>'7c. Success counts 1718'!E56+'7b1 Success growth'!E56</f>
        <v>548</v>
      </c>
      <c r="F56" s="187">
        <f>'7c. Success counts 1718'!F56+'7b1 Success growth'!F56</f>
        <v>708</v>
      </c>
      <c r="G56" s="187">
        <f>'7c. Success counts 1718'!G56+'7b1 Success growth'!G56</f>
        <v>2735</v>
      </c>
      <c r="H56" s="187">
        <f>'7c. Success counts 1718'!H56+'7b1 Success growth'!H56</f>
        <v>2648</v>
      </c>
      <c r="I56" s="187">
        <f>'7c. Success counts 1718'!I56+'7b1 Success growth'!I56</f>
        <v>1268</v>
      </c>
      <c r="J56" s="187">
        <f>'7c. Success counts 1718'!J56+'7b1 Success growth'!J56</f>
        <v>267</v>
      </c>
      <c r="K56" s="187">
        <f>'7c. Success counts 1718'!K56+'7b1 Success growth'!K56</f>
        <v>255</v>
      </c>
      <c r="L56" s="187">
        <f>'7c. Success counts 1718'!L56+'7b1 Success growth'!L56</f>
        <v>18</v>
      </c>
      <c r="M56" s="187">
        <f>'7c. Success counts 1718'!M56+'7b1 Success growth'!M56</f>
        <v>143</v>
      </c>
      <c r="N56" s="187">
        <f>'7c. Success counts 1718'!N56+'7b1 Success growth'!N56</f>
        <v>159</v>
      </c>
      <c r="O56" s="187">
        <f>'7c. Success counts 1718'!O56+'7b1 Success growth'!O56</f>
        <v>716</v>
      </c>
      <c r="P56" s="187">
        <f>'7c. Success counts 1718'!P56+'7b1 Success growth'!P56</f>
        <v>796</v>
      </c>
      <c r="Q56" s="187">
        <f>'7c. Success counts 1718'!Q56+'7b1 Success growth'!Q56</f>
        <v>191</v>
      </c>
      <c r="R56" s="187">
        <f>'7c. Success counts 1718'!R56+'7b1 Success growth'!R56</f>
        <v>469</v>
      </c>
      <c r="S56" s="187">
        <f>'7c. Success counts 1718'!S56+'7b1 Success growth'!S56</f>
        <v>433</v>
      </c>
      <c r="T56" s="187">
        <f>'7c. Success counts 1718'!T56+'7b1 Success growth'!T56</f>
        <v>26</v>
      </c>
      <c r="U56" s="187">
        <f>'7c. Success counts 1718'!U56+'7b1 Success growth'!U56</f>
        <v>326</v>
      </c>
      <c r="V56" s="187">
        <f>'7c. Success counts 1718'!V56+'7b1 Success growth'!V56</f>
        <v>264</v>
      </c>
      <c r="W56" s="187">
        <f>'7c. Success counts 1718'!W56+'7b1 Success growth'!W56</f>
        <v>1383</v>
      </c>
      <c r="X56" s="187">
        <f>'7c. Success counts 1718'!X56+'7b1 Success growth'!X56</f>
        <v>1355</v>
      </c>
      <c r="Y56" s="187">
        <f>'7c. Success counts 1718'!Y56+'7b1 Success growth'!Y56</f>
        <v>453</v>
      </c>
    </row>
    <row r="57" spans="1:25" x14ac:dyDescent="0.25">
      <c r="A57" s="170" t="s">
        <v>91</v>
      </c>
      <c r="B57" s="187">
        <f>'7c. Success counts 1718'!B57+'7b1 Success growth'!B57</f>
        <v>469</v>
      </c>
      <c r="C57" s="187">
        <f>'7c. Success counts 1718'!C57+'7b1 Success growth'!C57</f>
        <v>722</v>
      </c>
      <c r="D57" s="187">
        <f>'7c. Success counts 1718'!D57+'7b1 Success growth'!D57</f>
        <v>0</v>
      </c>
      <c r="E57" s="187">
        <f>'7c. Success counts 1718'!E57+'7b1 Success growth'!E57</f>
        <v>187</v>
      </c>
      <c r="F57" s="187">
        <f>'7c. Success counts 1718'!F57+'7b1 Success growth'!F57</f>
        <v>365</v>
      </c>
      <c r="G57" s="187">
        <f>'7c. Success counts 1718'!G57+'7b1 Success growth'!G57</f>
        <v>2393</v>
      </c>
      <c r="H57" s="187">
        <f>'7c. Success counts 1718'!H57+'7b1 Success growth'!H57</f>
        <v>1815</v>
      </c>
      <c r="I57" s="187">
        <f>'7c. Success counts 1718'!I57+'7b1 Success growth'!I57</f>
        <v>1558</v>
      </c>
      <c r="J57" s="187">
        <f>'7c. Success counts 1718'!J57+'7b1 Success growth'!J57</f>
        <v>206</v>
      </c>
      <c r="K57" s="187">
        <f>'7c. Success counts 1718'!K57+'7b1 Success growth'!K57</f>
        <v>214</v>
      </c>
      <c r="L57" s="187">
        <f>'7c. Success counts 1718'!L57+'7b1 Success growth'!L57</f>
        <v>0</v>
      </c>
      <c r="M57" s="187">
        <f>'7c. Success counts 1718'!M57+'7b1 Success growth'!M57</f>
        <v>104</v>
      </c>
      <c r="N57" s="187">
        <f>'7c. Success counts 1718'!N57+'7b1 Success growth'!N57</f>
        <v>88</v>
      </c>
      <c r="O57" s="187">
        <f>'7c. Success counts 1718'!O57+'7b1 Success growth'!O57</f>
        <v>832</v>
      </c>
      <c r="P57" s="187">
        <f>'7c. Success counts 1718'!P57+'7b1 Success growth'!P57</f>
        <v>485</v>
      </c>
      <c r="Q57" s="187">
        <f>'7c. Success counts 1718'!Q57+'7b1 Success growth'!Q57</f>
        <v>410</v>
      </c>
      <c r="R57" s="187">
        <f>'7c. Success counts 1718'!R57+'7b1 Success growth'!R57</f>
        <v>304</v>
      </c>
      <c r="S57" s="187">
        <f>'7c. Success counts 1718'!S57+'7b1 Success growth'!S57</f>
        <v>393</v>
      </c>
      <c r="T57" s="187">
        <f>'7c. Success counts 1718'!T57+'7b1 Success growth'!T57</f>
        <v>0</v>
      </c>
      <c r="U57" s="187">
        <f>'7c. Success counts 1718'!U57+'7b1 Success growth'!U57</f>
        <v>139</v>
      </c>
      <c r="V57" s="187">
        <f>'7c. Success counts 1718'!V57+'7b1 Success growth'!V57</f>
        <v>179</v>
      </c>
      <c r="W57" s="187">
        <f>'7c. Success counts 1718'!W57+'7b1 Success growth'!W57</f>
        <v>1322</v>
      </c>
      <c r="X57" s="187">
        <f>'7c. Success counts 1718'!X57+'7b1 Success growth'!X57</f>
        <v>748</v>
      </c>
      <c r="Y57" s="187">
        <f>'7c. Success counts 1718'!Y57+'7b1 Success growth'!Y57</f>
        <v>799</v>
      </c>
    </row>
    <row r="58" spans="1:25" x14ac:dyDescent="0.25">
      <c r="A58" s="170" t="s">
        <v>92</v>
      </c>
      <c r="B58" s="187">
        <f>'7c. Success counts 1718'!B58+'7b1 Success growth'!B58</f>
        <v>1193</v>
      </c>
      <c r="C58" s="187">
        <f>'7c. Success counts 1718'!C58+'7b1 Success growth'!C58</f>
        <v>729</v>
      </c>
      <c r="D58" s="187">
        <f>'7c. Success counts 1718'!D58+'7b1 Success growth'!D58</f>
        <v>0</v>
      </c>
      <c r="E58" s="187">
        <f>'7c. Success counts 1718'!E58+'7b1 Success growth'!E58</f>
        <v>67</v>
      </c>
      <c r="F58" s="187">
        <f>'7c. Success counts 1718'!F58+'7b1 Success growth'!F58</f>
        <v>514</v>
      </c>
      <c r="G58" s="187">
        <f>'7c. Success counts 1718'!G58+'7b1 Success growth'!G58</f>
        <v>3114</v>
      </c>
      <c r="H58" s="187">
        <f>'7c. Success counts 1718'!H58+'7b1 Success growth'!H58</f>
        <v>2319</v>
      </c>
      <c r="I58" s="187">
        <f>'7c. Success counts 1718'!I58+'7b1 Success growth'!I58</f>
        <v>4690</v>
      </c>
      <c r="J58" s="187">
        <f>'7c. Success counts 1718'!J58+'7b1 Success growth'!J58</f>
        <v>461</v>
      </c>
      <c r="K58" s="187">
        <f>'7c. Success counts 1718'!K58+'7b1 Success growth'!K58</f>
        <v>255</v>
      </c>
      <c r="L58" s="187">
        <f>'7c. Success counts 1718'!L58+'7b1 Success growth'!L58</f>
        <v>0</v>
      </c>
      <c r="M58" s="187">
        <f>'7c. Success counts 1718'!M58+'7b1 Success growth'!M58</f>
        <v>71</v>
      </c>
      <c r="N58" s="187">
        <f>'7c. Success counts 1718'!N58+'7b1 Success growth'!N58</f>
        <v>101</v>
      </c>
      <c r="O58" s="187">
        <f>'7c. Success counts 1718'!O58+'7b1 Success growth'!O58</f>
        <v>861</v>
      </c>
      <c r="P58" s="187">
        <f>'7c. Success counts 1718'!P58+'7b1 Success growth'!P58</f>
        <v>746</v>
      </c>
      <c r="Q58" s="187">
        <f>'7c. Success counts 1718'!Q58+'7b1 Success growth'!Q58</f>
        <v>440</v>
      </c>
      <c r="R58" s="187">
        <f>'7c. Success counts 1718'!R58+'7b1 Success growth'!R58</f>
        <v>733</v>
      </c>
      <c r="S58" s="187">
        <f>'7c. Success counts 1718'!S58+'7b1 Success growth'!S58</f>
        <v>432</v>
      </c>
      <c r="T58" s="187">
        <f>'7c. Success counts 1718'!T58+'7b1 Success growth'!T58</f>
        <v>0</v>
      </c>
      <c r="U58" s="187">
        <f>'7c. Success counts 1718'!U58+'7b1 Success growth'!U58</f>
        <v>72</v>
      </c>
      <c r="V58" s="187">
        <f>'7c. Success counts 1718'!V58+'7b1 Success growth'!V58</f>
        <v>191</v>
      </c>
      <c r="W58" s="187">
        <f>'7c. Success counts 1718'!W58+'7b1 Success growth'!W58</f>
        <v>1357</v>
      </c>
      <c r="X58" s="187">
        <f>'7c. Success counts 1718'!X58+'7b1 Success growth'!X58</f>
        <v>1187</v>
      </c>
      <c r="Y58" s="187">
        <f>'7c. Success counts 1718'!Y58+'7b1 Success growth'!Y58</f>
        <v>1003</v>
      </c>
    </row>
    <row r="59" spans="1:25" x14ac:dyDescent="0.25">
      <c r="A59" s="170" t="s">
        <v>31</v>
      </c>
      <c r="B59" s="187">
        <f>'7c. Success counts 1718'!B59+'7b1 Success growth'!B59</f>
        <v>715</v>
      </c>
      <c r="C59" s="187">
        <f>'7c. Success counts 1718'!C59+'7b1 Success growth'!C59</f>
        <v>1255</v>
      </c>
      <c r="D59" s="187">
        <f>'7c. Success counts 1718'!D59+'7b1 Success growth'!D59</f>
        <v>26</v>
      </c>
      <c r="E59" s="187">
        <f>'7c. Success counts 1718'!E59+'7b1 Success growth'!E59</f>
        <v>975</v>
      </c>
      <c r="F59" s="187">
        <f>'7c. Success counts 1718'!F59+'7b1 Success growth'!F59</f>
        <v>510</v>
      </c>
      <c r="G59" s="187">
        <f>'7c. Success counts 1718'!G59+'7b1 Success growth'!G59</f>
        <v>3694</v>
      </c>
      <c r="H59" s="187">
        <f>'7c. Success counts 1718'!H59+'7b1 Success growth'!H59</f>
        <v>3301</v>
      </c>
      <c r="I59" s="187">
        <f>'7c. Success counts 1718'!I59+'7b1 Success growth'!I59</f>
        <v>3076</v>
      </c>
      <c r="J59" s="187">
        <f>'7c. Success counts 1718'!J59+'7b1 Success growth'!J59</f>
        <v>380</v>
      </c>
      <c r="K59" s="187">
        <f>'7c. Success counts 1718'!K59+'7b1 Success growth'!K59</f>
        <v>603</v>
      </c>
      <c r="L59" s="187">
        <f>'7c. Success counts 1718'!L59+'7b1 Success growth'!L59</f>
        <v>16</v>
      </c>
      <c r="M59" s="187">
        <f>'7c. Success counts 1718'!M59+'7b1 Success growth'!M59</f>
        <v>221</v>
      </c>
      <c r="N59" s="187">
        <f>'7c. Success counts 1718'!N59+'7b1 Success growth'!N59</f>
        <v>139</v>
      </c>
      <c r="O59" s="187">
        <f>'7c. Success counts 1718'!O59+'7b1 Success growth'!O59</f>
        <v>1146</v>
      </c>
      <c r="P59" s="187">
        <f>'7c. Success counts 1718'!P59+'7b1 Success growth'!P59</f>
        <v>1117</v>
      </c>
      <c r="Q59" s="187">
        <f>'7c. Success counts 1718'!Q59+'7b1 Success growth'!Q59</f>
        <v>546</v>
      </c>
      <c r="R59" s="187">
        <f>'7c. Success counts 1718'!R59+'7b1 Success growth'!R59</f>
        <v>520</v>
      </c>
      <c r="S59" s="187">
        <f>'7c. Success counts 1718'!S59+'7b1 Success growth'!S59</f>
        <v>805</v>
      </c>
      <c r="T59" s="187">
        <f>'7c. Success counts 1718'!T59+'7b1 Success growth'!T59</f>
        <v>24</v>
      </c>
      <c r="U59" s="187">
        <f>'7c. Success counts 1718'!U59+'7b1 Success growth'!U59</f>
        <v>337</v>
      </c>
      <c r="V59" s="187">
        <f>'7c. Success counts 1718'!V59+'7b1 Success growth'!V59</f>
        <v>187</v>
      </c>
      <c r="W59" s="187">
        <f>'7c. Success counts 1718'!W59+'7b1 Success growth'!W59</f>
        <v>2072</v>
      </c>
      <c r="X59" s="187">
        <f>'7c. Success counts 1718'!X59+'7b1 Success growth'!X59</f>
        <v>1775</v>
      </c>
      <c r="Y59" s="187">
        <f>'7c. Success counts 1718'!Y59+'7b1 Success growth'!Y59</f>
        <v>1388</v>
      </c>
    </row>
    <row r="60" spans="1:25" x14ac:dyDescent="0.25">
      <c r="A60" s="170" t="s">
        <v>93</v>
      </c>
      <c r="B60" s="187">
        <f>'7c. Success counts 1718'!B60+'7b1 Success growth'!B60</f>
        <v>588</v>
      </c>
      <c r="C60" s="187">
        <f>'7c. Success counts 1718'!C60+'7b1 Success growth'!C60</f>
        <v>524</v>
      </c>
      <c r="D60" s="187">
        <f>'7c. Success counts 1718'!D60+'7b1 Success growth'!D60</f>
        <v>0</v>
      </c>
      <c r="E60" s="187">
        <f>'7c. Success counts 1718'!E60+'7b1 Success growth'!E60</f>
        <v>236</v>
      </c>
      <c r="F60" s="187">
        <f>'7c. Success counts 1718'!F60+'7b1 Success growth'!F60</f>
        <v>254</v>
      </c>
      <c r="G60" s="187">
        <f>'7c. Success counts 1718'!G60+'7b1 Success growth'!G60</f>
        <v>1830</v>
      </c>
      <c r="H60" s="187">
        <f>'7c. Success counts 1718'!H60+'7b1 Success growth'!H60</f>
        <v>936</v>
      </c>
      <c r="I60" s="187">
        <f>'7c. Success counts 1718'!I60+'7b1 Success growth'!I60</f>
        <v>1993</v>
      </c>
      <c r="J60" s="187">
        <f>'7c. Success counts 1718'!J60+'7b1 Success growth'!J60</f>
        <v>390</v>
      </c>
      <c r="K60" s="187">
        <f>'7c. Success counts 1718'!K60+'7b1 Success growth'!K60</f>
        <v>380</v>
      </c>
      <c r="L60" s="187">
        <f>'7c. Success counts 1718'!L60+'7b1 Success growth'!L60</f>
        <v>0</v>
      </c>
      <c r="M60" s="187">
        <f>'7c. Success counts 1718'!M60+'7b1 Success growth'!M60</f>
        <v>161</v>
      </c>
      <c r="N60" s="187">
        <f>'7c. Success counts 1718'!N60+'7b1 Success growth'!N60</f>
        <v>136</v>
      </c>
      <c r="O60" s="187">
        <f>'7c. Success counts 1718'!O60+'7b1 Success growth'!O60</f>
        <v>1132</v>
      </c>
      <c r="P60" s="187">
        <f>'7c. Success counts 1718'!P60+'7b1 Success growth'!P60</f>
        <v>514</v>
      </c>
      <c r="Q60" s="187">
        <f>'7c. Success counts 1718'!Q60+'7b1 Success growth'!Q60</f>
        <v>983</v>
      </c>
      <c r="R60" s="187">
        <f>'7c. Success counts 1718'!R60+'7b1 Success growth'!R60</f>
        <v>481</v>
      </c>
      <c r="S60" s="187">
        <f>'7c. Success counts 1718'!S60+'7b1 Success growth'!S60</f>
        <v>449</v>
      </c>
      <c r="T60" s="187">
        <f>'7c. Success counts 1718'!T60+'7b1 Success growth'!T60</f>
        <v>0</v>
      </c>
      <c r="U60" s="187">
        <f>'7c. Success counts 1718'!U60+'7b1 Success growth'!U60</f>
        <v>199</v>
      </c>
      <c r="V60" s="187">
        <f>'7c. Success counts 1718'!V60+'7b1 Success growth'!V60</f>
        <v>172</v>
      </c>
      <c r="W60" s="187">
        <f>'7c. Success counts 1718'!W60+'7b1 Success growth'!W60</f>
        <v>1427</v>
      </c>
      <c r="X60" s="187">
        <f>'7c. Success counts 1718'!X60+'7b1 Success growth'!X60</f>
        <v>679</v>
      </c>
      <c r="Y60" s="187">
        <f>'7c. Success counts 1718'!Y60+'7b1 Success growth'!Y60</f>
        <v>1488</v>
      </c>
    </row>
    <row r="61" spans="1:25" x14ac:dyDescent="0.25">
      <c r="A61" s="170" t="s">
        <v>94</v>
      </c>
      <c r="B61" s="187">
        <f>'7c. Success counts 1718'!B61+'7b1 Success growth'!B61</f>
        <v>323</v>
      </c>
      <c r="C61" s="187">
        <f>'7c. Success counts 1718'!C61+'7b1 Success growth'!C61</f>
        <v>571</v>
      </c>
      <c r="D61" s="187">
        <f>'7c. Success counts 1718'!D61+'7b1 Success growth'!D61</f>
        <v>4</v>
      </c>
      <c r="E61" s="187">
        <f>'7c. Success counts 1718'!E61+'7b1 Success growth'!E61</f>
        <v>250</v>
      </c>
      <c r="F61" s="187">
        <f>'7c. Success counts 1718'!F61+'7b1 Success growth'!F61</f>
        <v>101</v>
      </c>
      <c r="G61" s="187">
        <f>'7c. Success counts 1718'!G61+'7b1 Success growth'!G61</f>
        <v>1506</v>
      </c>
      <c r="H61" s="187">
        <f>'7c. Success counts 1718'!H61+'7b1 Success growth'!H61</f>
        <v>818</v>
      </c>
      <c r="I61" s="187">
        <f>'7c. Success counts 1718'!I61+'7b1 Success growth'!I61</f>
        <v>1687</v>
      </c>
      <c r="J61" s="187">
        <f>'7c. Success counts 1718'!J61+'7b1 Success growth'!J61</f>
        <v>213</v>
      </c>
      <c r="K61" s="187">
        <f>'7c. Success counts 1718'!K61+'7b1 Success growth'!K61</f>
        <v>410</v>
      </c>
      <c r="L61" s="187">
        <f>'7c. Success counts 1718'!L61+'7b1 Success growth'!L61</f>
        <v>0</v>
      </c>
      <c r="M61" s="187">
        <f>'7c. Success counts 1718'!M61+'7b1 Success growth'!M61</f>
        <v>152</v>
      </c>
      <c r="N61" s="187">
        <f>'7c. Success counts 1718'!N61+'7b1 Success growth'!N61</f>
        <v>36</v>
      </c>
      <c r="O61" s="187">
        <f>'7c. Success counts 1718'!O61+'7b1 Success growth'!O61</f>
        <v>980</v>
      </c>
      <c r="P61" s="187">
        <f>'7c. Success counts 1718'!P61+'7b1 Success growth'!P61</f>
        <v>350</v>
      </c>
      <c r="Q61" s="187">
        <f>'7c. Success counts 1718'!Q61+'7b1 Success growth'!Q61</f>
        <v>744</v>
      </c>
      <c r="R61" s="187">
        <f>'7c. Success counts 1718'!R61+'7b1 Success growth'!R61</f>
        <v>260</v>
      </c>
      <c r="S61" s="187">
        <f>'7c. Success counts 1718'!S61+'7b1 Success growth'!S61</f>
        <v>488</v>
      </c>
      <c r="T61" s="187">
        <f>'7c. Success counts 1718'!T61+'7b1 Success growth'!T61</f>
        <v>2</v>
      </c>
      <c r="U61" s="187">
        <f>'7c. Success counts 1718'!U61+'7b1 Success growth'!U61</f>
        <v>191</v>
      </c>
      <c r="V61" s="187">
        <f>'7c. Success counts 1718'!V61+'7b1 Success growth'!V61</f>
        <v>60</v>
      </c>
      <c r="W61" s="187">
        <f>'7c. Success counts 1718'!W61+'7b1 Success growth'!W61</f>
        <v>1266</v>
      </c>
      <c r="X61" s="187">
        <f>'7c. Success counts 1718'!X61+'7b1 Success growth'!X61</f>
        <v>463</v>
      </c>
      <c r="Y61" s="187">
        <f>'7c. Success counts 1718'!Y61+'7b1 Success growth'!Y61</f>
        <v>1123</v>
      </c>
    </row>
    <row r="62" spans="1:25" x14ac:dyDescent="0.25">
      <c r="A62" s="170" t="s">
        <v>95</v>
      </c>
      <c r="B62" s="187">
        <f>'7c. Success counts 1718'!B62+'7b1 Success growth'!B62</f>
        <v>825</v>
      </c>
      <c r="C62" s="187">
        <f>'7c. Success counts 1718'!C62+'7b1 Success growth'!C62</f>
        <v>1153</v>
      </c>
      <c r="D62" s="187">
        <f>'7c. Success counts 1718'!D62+'7b1 Success growth'!D62</f>
        <v>0</v>
      </c>
      <c r="E62" s="187">
        <f>'7c. Success counts 1718'!E62+'7b1 Success growth'!E62</f>
        <v>94</v>
      </c>
      <c r="F62" s="187">
        <f>'7c. Success counts 1718'!F62+'7b1 Success growth'!F62</f>
        <v>735</v>
      </c>
      <c r="G62" s="187">
        <f>'7c. Success counts 1718'!G62+'7b1 Success growth'!G62</f>
        <v>2435</v>
      </c>
      <c r="H62" s="187">
        <f>'7c. Success counts 1718'!H62+'7b1 Success growth'!H62</f>
        <v>2052</v>
      </c>
      <c r="I62" s="187">
        <f>'7c. Success counts 1718'!I62+'7b1 Success growth'!I62</f>
        <v>2382</v>
      </c>
      <c r="J62" s="187">
        <f>'7c. Success counts 1718'!J62+'7b1 Success growth'!J62</f>
        <v>354</v>
      </c>
      <c r="K62" s="187">
        <f>'7c. Success counts 1718'!K62+'7b1 Success growth'!K62</f>
        <v>532</v>
      </c>
      <c r="L62" s="187">
        <f>'7c. Success counts 1718'!L62+'7b1 Success growth'!L62</f>
        <v>0</v>
      </c>
      <c r="M62" s="187">
        <f>'7c. Success counts 1718'!M62+'7b1 Success growth'!M62</f>
        <v>44</v>
      </c>
      <c r="N62" s="187">
        <f>'7c. Success counts 1718'!N62+'7b1 Success growth'!N62</f>
        <v>206</v>
      </c>
      <c r="O62" s="187">
        <f>'7c. Success counts 1718'!O62+'7b1 Success growth'!O62</f>
        <v>835</v>
      </c>
      <c r="P62" s="187">
        <f>'7c. Success counts 1718'!P62+'7b1 Success growth'!P62</f>
        <v>727</v>
      </c>
      <c r="Q62" s="187">
        <f>'7c. Success counts 1718'!Q62+'7b1 Success growth'!Q62</f>
        <v>672</v>
      </c>
      <c r="R62" s="187">
        <f>'7c. Success counts 1718'!R62+'7b1 Success growth'!R62</f>
        <v>515</v>
      </c>
      <c r="S62" s="187">
        <f>'7c. Success counts 1718'!S62+'7b1 Success growth'!S62</f>
        <v>774</v>
      </c>
      <c r="T62" s="187">
        <f>'7c. Success counts 1718'!T62+'7b1 Success growth'!T62</f>
        <v>0</v>
      </c>
      <c r="U62" s="187">
        <f>'7c. Success counts 1718'!U62+'7b1 Success growth'!U62</f>
        <v>66</v>
      </c>
      <c r="V62" s="187">
        <f>'7c. Success counts 1718'!V62+'7b1 Success growth'!V62</f>
        <v>313</v>
      </c>
      <c r="W62" s="187">
        <f>'7c. Success counts 1718'!W62+'7b1 Success growth'!W62</f>
        <v>1369</v>
      </c>
      <c r="X62" s="187">
        <f>'7c. Success counts 1718'!X62+'7b1 Success growth'!X62</f>
        <v>1160</v>
      </c>
      <c r="Y62" s="187">
        <f>'7c. Success counts 1718'!Y62+'7b1 Success growth'!Y62</f>
        <v>1306</v>
      </c>
    </row>
    <row r="63" spans="1:25" x14ac:dyDescent="0.25">
      <c r="A63" s="170" t="s">
        <v>96</v>
      </c>
      <c r="B63" s="187">
        <f>'7c. Success counts 1718'!B63+'7b1 Success growth'!B63</f>
        <v>20</v>
      </c>
      <c r="C63" s="187">
        <f>'7c. Success counts 1718'!C63+'7b1 Success growth'!C63</f>
        <v>134</v>
      </c>
      <c r="D63" s="187">
        <f>'7c. Success counts 1718'!D63+'7b1 Success growth'!D63</f>
        <v>0</v>
      </c>
      <c r="E63" s="187">
        <f>'7c. Success counts 1718'!E63+'7b1 Success growth'!E63</f>
        <v>114</v>
      </c>
      <c r="F63" s="187">
        <f>'7c. Success counts 1718'!F63+'7b1 Success growth'!F63</f>
        <v>148</v>
      </c>
      <c r="G63" s="187">
        <f>'7c. Success counts 1718'!G63+'7b1 Success growth'!G63</f>
        <v>199</v>
      </c>
      <c r="H63" s="187">
        <f>'7c. Success counts 1718'!H63+'7b1 Success growth'!H63</f>
        <v>149</v>
      </c>
      <c r="I63" s="187">
        <f>'7c. Success counts 1718'!I63+'7b1 Success growth'!I63</f>
        <v>1002</v>
      </c>
      <c r="J63" s="187">
        <f>'7c. Success counts 1718'!J63+'7b1 Success growth'!J63</f>
        <v>10</v>
      </c>
      <c r="K63" s="187">
        <f>'7c. Success counts 1718'!K63+'7b1 Success growth'!K63</f>
        <v>103</v>
      </c>
      <c r="L63" s="187">
        <f>'7c. Success counts 1718'!L63+'7b1 Success growth'!L63</f>
        <v>0</v>
      </c>
      <c r="M63" s="187">
        <f>'7c. Success counts 1718'!M63+'7b1 Success growth'!M63</f>
        <v>55</v>
      </c>
      <c r="N63" s="187">
        <f>'7c. Success counts 1718'!N63+'7b1 Success growth'!N63</f>
        <v>99</v>
      </c>
      <c r="O63" s="187">
        <f>'7c. Success counts 1718'!O63+'7b1 Success growth'!O63</f>
        <v>141</v>
      </c>
      <c r="P63" s="187">
        <f>'7c. Success counts 1718'!P63+'7b1 Success growth'!P63</f>
        <v>60</v>
      </c>
      <c r="Q63" s="187">
        <f>'7c. Success counts 1718'!Q63+'7b1 Success growth'!Q63</f>
        <v>141</v>
      </c>
      <c r="R63" s="187">
        <f>'7c. Success counts 1718'!R63+'7b1 Success growth'!R63</f>
        <v>18</v>
      </c>
      <c r="S63" s="187">
        <f>'7c. Success counts 1718'!S63+'7b1 Success growth'!S63</f>
        <v>135</v>
      </c>
      <c r="T63" s="187">
        <f>'7c. Success counts 1718'!T63+'7b1 Success growth'!T63</f>
        <v>0</v>
      </c>
      <c r="U63" s="187">
        <f>'7c. Success counts 1718'!U63+'7b1 Success growth'!U63</f>
        <v>57</v>
      </c>
      <c r="V63" s="187">
        <f>'7c. Success counts 1718'!V63+'7b1 Success growth'!V63</f>
        <v>68</v>
      </c>
      <c r="W63" s="187">
        <f>'7c. Success counts 1718'!W63+'7b1 Success growth'!W63</f>
        <v>194</v>
      </c>
      <c r="X63" s="187">
        <f>'7c. Success counts 1718'!X63+'7b1 Success growth'!X63</f>
        <v>52</v>
      </c>
      <c r="Y63" s="187">
        <f>'7c. Success counts 1718'!Y63+'7b1 Success growth'!Y63</f>
        <v>203</v>
      </c>
    </row>
    <row r="64" spans="1:25" x14ac:dyDescent="0.25">
      <c r="A64" s="170" t="s">
        <v>97</v>
      </c>
      <c r="B64" s="187">
        <f>'7c. Success counts 1718'!B64+'7b1 Success growth'!B64</f>
        <v>205</v>
      </c>
      <c r="C64" s="187">
        <f>'7c. Success counts 1718'!C64+'7b1 Success growth'!C64</f>
        <v>452</v>
      </c>
      <c r="D64" s="187">
        <f>'7c. Success counts 1718'!D64+'7b1 Success growth'!D64</f>
        <v>0</v>
      </c>
      <c r="E64" s="187">
        <f>'7c. Success counts 1718'!E64+'7b1 Success growth'!E64</f>
        <v>59</v>
      </c>
      <c r="F64" s="187">
        <f>'7c. Success counts 1718'!F64+'7b1 Success growth'!F64</f>
        <v>160</v>
      </c>
      <c r="G64" s="187">
        <f>'7c. Success counts 1718'!G64+'7b1 Success growth'!G64</f>
        <v>1109</v>
      </c>
      <c r="H64" s="187">
        <f>'7c. Success counts 1718'!H64+'7b1 Success growth'!H64</f>
        <v>983</v>
      </c>
      <c r="I64" s="187">
        <f>'7c. Success counts 1718'!I64+'7b1 Success growth'!I64</f>
        <v>1198</v>
      </c>
      <c r="J64" s="187">
        <f>'7c. Success counts 1718'!J64+'7b1 Success growth'!J64</f>
        <v>71</v>
      </c>
      <c r="K64" s="187">
        <f>'7c. Success counts 1718'!K64+'7b1 Success growth'!K64</f>
        <v>227</v>
      </c>
      <c r="L64" s="187">
        <f>'7c. Success counts 1718'!L64+'7b1 Success growth'!L64</f>
        <v>0</v>
      </c>
      <c r="M64" s="187">
        <f>'7c. Success counts 1718'!M64+'7b1 Success growth'!M64</f>
        <v>39</v>
      </c>
      <c r="N64" s="187">
        <f>'7c. Success counts 1718'!N64+'7b1 Success growth'!N64</f>
        <v>28</v>
      </c>
      <c r="O64" s="187">
        <f>'7c. Success counts 1718'!O64+'7b1 Success growth'!O64</f>
        <v>386</v>
      </c>
      <c r="P64" s="187">
        <f>'7c. Success counts 1718'!P64+'7b1 Success growth'!P64</f>
        <v>322</v>
      </c>
      <c r="Q64" s="187">
        <f>'7c. Success counts 1718'!Q64+'7b1 Success growth'!Q64</f>
        <v>308</v>
      </c>
      <c r="R64" s="187">
        <f>'7c. Success counts 1718'!R64+'7b1 Success growth'!R64</f>
        <v>130</v>
      </c>
      <c r="S64" s="187">
        <f>'7c. Success counts 1718'!S64+'7b1 Success growth'!S64</f>
        <v>327</v>
      </c>
      <c r="T64" s="187">
        <f>'7c. Success counts 1718'!T64+'7b1 Success growth'!T64</f>
        <v>0</v>
      </c>
      <c r="U64" s="187">
        <f>'7c. Success counts 1718'!U64+'7b1 Success growth'!U64</f>
        <v>67</v>
      </c>
      <c r="V64" s="187">
        <f>'7c. Success counts 1718'!V64+'7b1 Success growth'!V64</f>
        <v>67</v>
      </c>
      <c r="W64" s="187">
        <f>'7c. Success counts 1718'!W64+'7b1 Success growth'!W64</f>
        <v>722</v>
      </c>
      <c r="X64" s="187">
        <f>'7c. Success counts 1718'!X64+'7b1 Success growth'!X64</f>
        <v>596</v>
      </c>
      <c r="Y64" s="187">
        <f>'7c. Success counts 1718'!Y64+'7b1 Success growth'!Y64</f>
        <v>653</v>
      </c>
    </row>
    <row r="65" spans="1:25" x14ac:dyDescent="0.25">
      <c r="A65" s="170" t="s">
        <v>98</v>
      </c>
      <c r="B65" s="187">
        <f>'7c. Success counts 1718'!B65+'7b1 Success growth'!B65</f>
        <v>705</v>
      </c>
      <c r="C65" s="187">
        <f>'7c. Success counts 1718'!C65+'7b1 Success growth'!C65</f>
        <v>1191</v>
      </c>
      <c r="D65" s="187">
        <f>'7c. Success counts 1718'!D65+'7b1 Success growth'!D65</f>
        <v>0</v>
      </c>
      <c r="E65" s="187">
        <f>'7c. Success counts 1718'!E65+'7b1 Success growth'!E65</f>
        <v>442</v>
      </c>
      <c r="F65" s="187">
        <f>'7c. Success counts 1718'!F65+'7b1 Success growth'!F65</f>
        <v>217</v>
      </c>
      <c r="G65" s="187">
        <f>'7c. Success counts 1718'!G65+'7b1 Success growth'!G65</f>
        <v>2908</v>
      </c>
      <c r="H65" s="187">
        <f>'7c. Success counts 1718'!H65+'7b1 Success growth'!H65</f>
        <v>1488</v>
      </c>
      <c r="I65" s="187">
        <f>'7c. Success counts 1718'!I65+'7b1 Success growth'!I65</f>
        <v>3527</v>
      </c>
      <c r="J65" s="187">
        <f>'7c. Success counts 1718'!J65+'7b1 Success growth'!J65</f>
        <v>257</v>
      </c>
      <c r="K65" s="187">
        <f>'7c. Success counts 1718'!K65+'7b1 Success growth'!K65</f>
        <v>494</v>
      </c>
      <c r="L65" s="187">
        <f>'7c. Success counts 1718'!L65+'7b1 Success growth'!L65</f>
        <v>0</v>
      </c>
      <c r="M65" s="187">
        <f>'7c. Success counts 1718'!M65+'7b1 Success growth'!M65</f>
        <v>140</v>
      </c>
      <c r="N65" s="187">
        <f>'7c. Success counts 1718'!N65+'7b1 Success growth'!N65</f>
        <v>71</v>
      </c>
      <c r="O65" s="187">
        <f>'7c. Success counts 1718'!O65+'7b1 Success growth'!O65</f>
        <v>1041</v>
      </c>
      <c r="P65" s="187">
        <f>'7c. Success counts 1718'!P65+'7b1 Success growth'!P65</f>
        <v>410</v>
      </c>
      <c r="Q65" s="187">
        <f>'7c. Success counts 1718'!Q65+'7b1 Success growth'!Q65</f>
        <v>524</v>
      </c>
      <c r="R65" s="187">
        <f>'7c. Success counts 1718'!R65+'7b1 Success growth'!R65</f>
        <v>434</v>
      </c>
      <c r="S65" s="187">
        <f>'7c. Success counts 1718'!S65+'7b1 Success growth'!S65</f>
        <v>850</v>
      </c>
      <c r="T65" s="187">
        <f>'7c. Success counts 1718'!T65+'7b1 Success growth'!T65</f>
        <v>0</v>
      </c>
      <c r="U65" s="187">
        <f>'7c. Success counts 1718'!U65+'7b1 Success growth'!U65</f>
        <v>253</v>
      </c>
      <c r="V65" s="187">
        <f>'7c. Success counts 1718'!V65+'7b1 Success growth'!V65</f>
        <v>100</v>
      </c>
      <c r="W65" s="187">
        <f>'7c. Success counts 1718'!W65+'7b1 Success growth'!W65</f>
        <v>1807</v>
      </c>
      <c r="X65" s="187">
        <f>'7c. Success counts 1718'!X65+'7b1 Success growth'!X65</f>
        <v>753</v>
      </c>
      <c r="Y65" s="187">
        <f>'7c. Success counts 1718'!Y65+'7b1 Success growth'!Y65</f>
        <v>1222</v>
      </c>
    </row>
    <row r="66" spans="1:25" x14ac:dyDescent="0.25">
      <c r="A66" s="170" t="s">
        <v>99</v>
      </c>
      <c r="B66" s="187">
        <f>'7c. Success counts 1718'!B66+'7b1 Success growth'!B66</f>
        <v>1376</v>
      </c>
      <c r="C66" s="187">
        <f>'7c. Success counts 1718'!C66+'7b1 Success growth'!C66</f>
        <v>1402</v>
      </c>
      <c r="D66" s="187">
        <f>'7c. Success counts 1718'!D66+'7b1 Success growth'!D66</f>
        <v>0</v>
      </c>
      <c r="E66" s="187">
        <f>'7c. Success counts 1718'!E66+'7b1 Success growth'!E66</f>
        <v>772</v>
      </c>
      <c r="F66" s="187">
        <f>'7c. Success counts 1718'!F66+'7b1 Success growth'!F66</f>
        <v>1091</v>
      </c>
      <c r="G66" s="187">
        <f>'7c. Success counts 1718'!G66+'7b1 Success growth'!G66</f>
        <v>4229</v>
      </c>
      <c r="H66" s="187">
        <f>'7c. Success counts 1718'!H66+'7b1 Success growth'!H66</f>
        <v>4481</v>
      </c>
      <c r="I66" s="187">
        <f>'7c. Success counts 1718'!I66+'7b1 Success growth'!I66</f>
        <v>4088</v>
      </c>
      <c r="J66" s="187">
        <f>'7c. Success counts 1718'!J66+'7b1 Success growth'!J66</f>
        <v>512</v>
      </c>
      <c r="K66" s="187">
        <f>'7c. Success counts 1718'!K66+'7b1 Success growth'!K66</f>
        <v>445</v>
      </c>
      <c r="L66" s="187">
        <f>'7c. Success counts 1718'!L66+'7b1 Success growth'!L66</f>
        <v>0</v>
      </c>
      <c r="M66" s="187">
        <f>'7c. Success counts 1718'!M66+'7b1 Success growth'!M66</f>
        <v>211</v>
      </c>
      <c r="N66" s="187">
        <f>'7c. Success counts 1718'!N66+'7b1 Success growth'!N66</f>
        <v>243</v>
      </c>
      <c r="O66" s="187">
        <f>'7c. Success counts 1718'!O66+'7b1 Success growth'!O66</f>
        <v>882</v>
      </c>
      <c r="P66" s="187">
        <f>'7c. Success counts 1718'!P66+'7b1 Success growth'!P66</f>
        <v>1280</v>
      </c>
      <c r="Q66" s="187">
        <f>'7c. Success counts 1718'!Q66+'7b1 Success growth'!Q66</f>
        <v>413</v>
      </c>
      <c r="R66" s="187">
        <f>'7c. Success counts 1718'!R66+'7b1 Success growth'!R66</f>
        <v>710</v>
      </c>
      <c r="S66" s="187">
        <f>'7c. Success counts 1718'!S66+'7b1 Success growth'!S66</f>
        <v>756</v>
      </c>
      <c r="T66" s="187">
        <f>'7c. Success counts 1718'!T66+'7b1 Success growth'!T66</f>
        <v>0</v>
      </c>
      <c r="U66" s="187">
        <f>'7c. Success counts 1718'!U66+'7b1 Success growth'!U66</f>
        <v>359</v>
      </c>
      <c r="V66" s="187">
        <f>'7c. Success counts 1718'!V66+'7b1 Success growth'!V66</f>
        <v>372</v>
      </c>
      <c r="W66" s="187">
        <f>'7c. Success counts 1718'!W66+'7b1 Success growth'!W66</f>
        <v>1822</v>
      </c>
      <c r="X66" s="187">
        <f>'7c. Success counts 1718'!X66+'7b1 Success growth'!X66</f>
        <v>2043</v>
      </c>
      <c r="Y66" s="187">
        <f>'7c. Success counts 1718'!Y66+'7b1 Success growth'!Y66</f>
        <v>1077</v>
      </c>
    </row>
    <row r="67" spans="1:25" x14ac:dyDescent="0.25">
      <c r="A67" s="170" t="s">
        <v>100</v>
      </c>
      <c r="B67" s="187">
        <f>'7c. Success counts 1718'!B67+'7b1 Success growth'!B67</f>
        <v>774</v>
      </c>
      <c r="C67" s="187">
        <f>'7c. Success counts 1718'!C67+'7b1 Success growth'!C67</f>
        <v>765</v>
      </c>
      <c r="D67" s="187">
        <f>'7c. Success counts 1718'!D67+'7b1 Success growth'!D67</f>
        <v>0</v>
      </c>
      <c r="E67" s="187">
        <f>'7c. Success counts 1718'!E67+'7b1 Success growth'!E67</f>
        <v>133</v>
      </c>
      <c r="F67" s="187">
        <f>'7c. Success counts 1718'!F67+'7b1 Success growth'!F67</f>
        <v>327</v>
      </c>
      <c r="G67" s="187">
        <f>'7c. Success counts 1718'!G67+'7b1 Success growth'!G67</f>
        <v>2023</v>
      </c>
      <c r="H67" s="187">
        <f>'7c. Success counts 1718'!H67+'7b1 Success growth'!H67</f>
        <v>1288</v>
      </c>
      <c r="I67" s="187">
        <f>'7c. Success counts 1718'!I67+'7b1 Success growth'!I67</f>
        <v>1770</v>
      </c>
      <c r="J67" s="187">
        <f>'7c. Success counts 1718'!J67+'7b1 Success growth'!J67</f>
        <v>445</v>
      </c>
      <c r="K67" s="187">
        <f>'7c. Success counts 1718'!K67+'7b1 Success growth'!K67</f>
        <v>445</v>
      </c>
      <c r="L67" s="187">
        <f>'7c. Success counts 1718'!L67+'7b1 Success growth'!L67</f>
        <v>0</v>
      </c>
      <c r="M67" s="187">
        <f>'7c. Success counts 1718'!M67+'7b1 Success growth'!M67</f>
        <v>68</v>
      </c>
      <c r="N67" s="187">
        <f>'7c. Success counts 1718'!N67+'7b1 Success growth'!N67</f>
        <v>140</v>
      </c>
      <c r="O67" s="187">
        <f>'7c. Success counts 1718'!O67+'7b1 Success growth'!O67</f>
        <v>1135</v>
      </c>
      <c r="P67" s="187">
        <f>'7c. Success counts 1718'!P67+'7b1 Success growth'!P67</f>
        <v>651</v>
      </c>
      <c r="Q67" s="187">
        <f>'7c. Success counts 1718'!Q67+'7b1 Success growth'!Q67</f>
        <v>685</v>
      </c>
      <c r="R67" s="187">
        <f>'7c. Success counts 1718'!R67+'7b1 Success growth'!R67</f>
        <v>600</v>
      </c>
      <c r="S67" s="187">
        <f>'7c. Success counts 1718'!S67+'7b1 Success growth'!S67</f>
        <v>605</v>
      </c>
      <c r="T67" s="187">
        <f>'7c. Success counts 1718'!T67+'7b1 Success growth'!T67</f>
        <v>0</v>
      </c>
      <c r="U67" s="187">
        <f>'7c. Success counts 1718'!U67+'7b1 Success growth'!U67</f>
        <v>106</v>
      </c>
      <c r="V67" s="187">
        <f>'7c. Success counts 1718'!V67+'7b1 Success growth'!V67</f>
        <v>190</v>
      </c>
      <c r="W67" s="187">
        <f>'7c. Success counts 1718'!W67+'7b1 Success growth'!W67</f>
        <v>1626</v>
      </c>
      <c r="X67" s="187">
        <f>'7c. Success counts 1718'!X67+'7b1 Success growth'!X67</f>
        <v>936</v>
      </c>
      <c r="Y67" s="187">
        <f>'7c. Success counts 1718'!Y67+'7b1 Success growth'!Y67</f>
        <v>1061</v>
      </c>
    </row>
    <row r="68" spans="1:25" x14ac:dyDescent="0.25">
      <c r="A68" s="170" t="s">
        <v>101</v>
      </c>
      <c r="B68" s="187">
        <f>'7c. Success counts 1718'!B68+'7b1 Success growth'!B68</f>
        <v>2094</v>
      </c>
      <c r="C68" s="187">
        <f>'7c. Success counts 1718'!C68+'7b1 Success growth'!C68</f>
        <v>1388</v>
      </c>
      <c r="D68" s="187">
        <f>'7c. Success counts 1718'!D68+'7b1 Success growth'!D68</f>
        <v>0</v>
      </c>
      <c r="E68" s="187">
        <f>'7c. Success counts 1718'!E68+'7b1 Success growth'!E68</f>
        <v>1115</v>
      </c>
      <c r="F68" s="187">
        <f>'7c. Success counts 1718'!F68+'7b1 Success growth'!F68</f>
        <v>851</v>
      </c>
      <c r="G68" s="187">
        <f>'7c. Success counts 1718'!G68+'7b1 Success growth'!G68</f>
        <v>5749</v>
      </c>
      <c r="H68" s="187">
        <f>'7c. Success counts 1718'!H68+'7b1 Success growth'!H68</f>
        <v>3546</v>
      </c>
      <c r="I68" s="187">
        <f>'7c. Success counts 1718'!I68+'7b1 Success growth'!I68</f>
        <v>6578</v>
      </c>
      <c r="J68" s="187">
        <f>'7c. Success counts 1718'!J68+'7b1 Success growth'!J68</f>
        <v>1336</v>
      </c>
      <c r="K68" s="187">
        <f>'7c. Success counts 1718'!K68+'7b1 Success growth'!K68</f>
        <v>1032</v>
      </c>
      <c r="L68" s="187">
        <f>'7c. Success counts 1718'!L68+'7b1 Success growth'!L68</f>
        <v>0</v>
      </c>
      <c r="M68" s="187">
        <f>'7c. Success counts 1718'!M68+'7b1 Success growth'!M68</f>
        <v>696</v>
      </c>
      <c r="N68" s="187">
        <f>'7c. Success counts 1718'!N68+'7b1 Success growth'!N68</f>
        <v>467</v>
      </c>
      <c r="O68" s="187">
        <f>'7c. Success counts 1718'!O68+'7b1 Success growth'!O68</f>
        <v>3497</v>
      </c>
      <c r="P68" s="187">
        <f>'7c. Success counts 1718'!P68+'7b1 Success growth'!P68</f>
        <v>1868</v>
      </c>
      <c r="Q68" s="187">
        <f>'7c. Success counts 1718'!Q68+'7b1 Success growth'!Q68</f>
        <v>2992</v>
      </c>
      <c r="R68" s="187">
        <f>'7c. Success counts 1718'!R68+'7b1 Success growth'!R68</f>
        <v>1675</v>
      </c>
      <c r="S68" s="187">
        <f>'7c. Success counts 1718'!S68+'7b1 Success growth'!S68</f>
        <v>1265</v>
      </c>
      <c r="T68" s="187">
        <f>'7c. Success counts 1718'!T68+'7b1 Success growth'!T68</f>
        <v>0</v>
      </c>
      <c r="U68" s="187">
        <f>'7c. Success counts 1718'!U68+'7b1 Success growth'!U68</f>
        <v>869</v>
      </c>
      <c r="V68" s="187">
        <f>'7c. Success counts 1718'!V68+'7b1 Success growth'!V68</f>
        <v>602</v>
      </c>
      <c r="W68" s="187">
        <f>'7c. Success counts 1718'!W68+'7b1 Success growth'!W68</f>
        <v>4594</v>
      </c>
      <c r="X68" s="187">
        <f>'7c. Success counts 1718'!X68+'7b1 Success growth'!X68</f>
        <v>2567</v>
      </c>
      <c r="Y68" s="187">
        <f>'7c. Success counts 1718'!Y68+'7b1 Success growth'!Y68</f>
        <v>4381</v>
      </c>
    </row>
    <row r="69" spans="1:25" x14ac:dyDescent="0.25">
      <c r="A69" s="170" t="s">
        <v>102</v>
      </c>
      <c r="B69" s="187">
        <f>'7c. Success counts 1718'!B69+'7b1 Success growth'!B69</f>
        <v>1977</v>
      </c>
      <c r="C69" s="187">
        <f>'7c. Success counts 1718'!C69+'7b1 Success growth'!C69</f>
        <v>1779</v>
      </c>
      <c r="D69" s="187">
        <f>'7c. Success counts 1718'!D69+'7b1 Success growth'!D69</f>
        <v>0</v>
      </c>
      <c r="E69" s="187">
        <f>'7c. Success counts 1718'!E69+'7b1 Success growth'!E69</f>
        <v>1122</v>
      </c>
      <c r="F69" s="187">
        <f>'7c. Success counts 1718'!F69+'7b1 Success growth'!F69</f>
        <v>1350</v>
      </c>
      <c r="G69" s="187">
        <f>'7c. Success counts 1718'!G69+'7b1 Success growth'!G69</f>
        <v>4056</v>
      </c>
      <c r="H69" s="187">
        <f>'7c. Success counts 1718'!H69+'7b1 Success growth'!H69</f>
        <v>4138</v>
      </c>
      <c r="I69" s="187">
        <f>'7c. Success counts 1718'!I69+'7b1 Success growth'!I69</f>
        <v>2860</v>
      </c>
      <c r="J69" s="187">
        <f>'7c. Success counts 1718'!J69+'7b1 Success growth'!J69</f>
        <v>928</v>
      </c>
      <c r="K69" s="187">
        <f>'7c. Success counts 1718'!K69+'7b1 Success growth'!K69</f>
        <v>986</v>
      </c>
      <c r="L69" s="187">
        <f>'7c. Success counts 1718'!L69+'7b1 Success growth'!L69</f>
        <v>0</v>
      </c>
      <c r="M69" s="187">
        <f>'7c. Success counts 1718'!M69+'7b1 Success growth'!M69</f>
        <v>465</v>
      </c>
      <c r="N69" s="187">
        <f>'7c. Success counts 1718'!N69+'7b1 Success growth'!N69</f>
        <v>491</v>
      </c>
      <c r="O69" s="187">
        <f>'7c. Success counts 1718'!O69+'7b1 Success growth'!O69</f>
        <v>1826</v>
      </c>
      <c r="P69" s="187">
        <f>'7c. Success counts 1718'!P69+'7b1 Success growth'!P69</f>
        <v>1513</v>
      </c>
      <c r="Q69" s="187">
        <f>'7c. Success counts 1718'!Q69+'7b1 Success growth'!Q69</f>
        <v>963</v>
      </c>
      <c r="R69" s="187">
        <f>'7c. Success counts 1718'!R69+'7b1 Success growth'!R69</f>
        <v>1336</v>
      </c>
      <c r="S69" s="187">
        <f>'7c. Success counts 1718'!S69+'7b1 Success growth'!S69</f>
        <v>1331</v>
      </c>
      <c r="T69" s="187">
        <f>'7c. Success counts 1718'!T69+'7b1 Success growth'!T69</f>
        <v>0</v>
      </c>
      <c r="U69" s="187">
        <f>'7c. Success counts 1718'!U69+'7b1 Success growth'!U69</f>
        <v>706</v>
      </c>
      <c r="V69" s="187">
        <f>'7c. Success counts 1718'!V69+'7b1 Success growth'!V69</f>
        <v>728</v>
      </c>
      <c r="W69" s="187">
        <f>'7c. Success counts 1718'!W69+'7b1 Success growth'!W69</f>
        <v>2718</v>
      </c>
      <c r="X69" s="187">
        <f>'7c. Success counts 1718'!X69+'7b1 Success growth'!X69</f>
        <v>2408</v>
      </c>
      <c r="Y69" s="187">
        <f>'7c. Success counts 1718'!Y69+'7b1 Success growth'!Y69</f>
        <v>1693</v>
      </c>
    </row>
    <row r="70" spans="1:25" x14ac:dyDescent="0.25">
      <c r="A70" s="170" t="s">
        <v>103</v>
      </c>
      <c r="B70" s="187">
        <f>'7c. Success counts 1718'!B70+'7b1 Success growth'!B70</f>
        <v>205</v>
      </c>
      <c r="C70" s="187">
        <f>'7c. Success counts 1718'!C70+'7b1 Success growth'!C70</f>
        <v>724</v>
      </c>
      <c r="D70" s="187">
        <f>'7c. Success counts 1718'!D70+'7b1 Success growth'!D70</f>
        <v>0</v>
      </c>
      <c r="E70" s="187">
        <f>'7c. Success counts 1718'!E70+'7b1 Success growth'!E70</f>
        <v>154</v>
      </c>
      <c r="F70" s="187">
        <f>'7c. Success counts 1718'!F70+'7b1 Success growth'!F70</f>
        <v>147</v>
      </c>
      <c r="G70" s="187">
        <f>'7c. Success counts 1718'!G70+'7b1 Success growth'!G70</f>
        <v>1639</v>
      </c>
      <c r="H70" s="187">
        <f>'7c. Success counts 1718'!H70+'7b1 Success growth'!H70</f>
        <v>662</v>
      </c>
      <c r="I70" s="187">
        <f>'7c. Success counts 1718'!I70+'7b1 Success growth'!I70</f>
        <v>1749</v>
      </c>
      <c r="J70" s="187">
        <f>'7c. Success counts 1718'!J70+'7b1 Success growth'!J70</f>
        <v>155</v>
      </c>
      <c r="K70" s="187">
        <f>'7c. Success counts 1718'!K70+'7b1 Success growth'!K70</f>
        <v>491</v>
      </c>
      <c r="L70" s="187">
        <f>'7c. Success counts 1718'!L70+'7b1 Success growth'!L70</f>
        <v>0</v>
      </c>
      <c r="M70" s="187">
        <f>'7c. Success counts 1718'!M70+'7b1 Success growth'!M70</f>
        <v>82</v>
      </c>
      <c r="N70" s="187">
        <f>'7c. Success counts 1718'!N70+'7b1 Success growth'!N70</f>
        <v>91</v>
      </c>
      <c r="O70" s="187">
        <f>'7c. Success counts 1718'!O70+'7b1 Success growth'!O70</f>
        <v>1002</v>
      </c>
      <c r="P70" s="187">
        <f>'7c. Success counts 1718'!P70+'7b1 Success growth'!P70</f>
        <v>402</v>
      </c>
      <c r="Q70" s="187">
        <f>'7c. Success counts 1718'!Q70+'7b1 Success growth'!Q70</f>
        <v>864</v>
      </c>
      <c r="R70" s="187">
        <f>'7c. Success counts 1718'!R70+'7b1 Success growth'!R70</f>
        <v>184</v>
      </c>
      <c r="S70" s="187">
        <f>'7c. Success counts 1718'!S70+'7b1 Success growth'!S70</f>
        <v>620</v>
      </c>
      <c r="T70" s="187">
        <f>'7c. Success counts 1718'!T70+'7b1 Success growth'!T70</f>
        <v>0</v>
      </c>
      <c r="U70" s="187">
        <f>'7c. Success counts 1718'!U70+'7b1 Success growth'!U70</f>
        <v>113</v>
      </c>
      <c r="V70" s="187">
        <f>'7c. Success counts 1718'!V70+'7b1 Success growth'!V70</f>
        <v>123</v>
      </c>
      <c r="W70" s="187">
        <f>'7c. Success counts 1718'!W70+'7b1 Success growth'!W70</f>
        <v>1307</v>
      </c>
      <c r="X70" s="187">
        <f>'7c. Success counts 1718'!X70+'7b1 Success growth'!X70</f>
        <v>517</v>
      </c>
      <c r="Y70" s="187">
        <f>'7c. Success counts 1718'!Y70+'7b1 Success growth'!Y70</f>
        <v>1338</v>
      </c>
    </row>
    <row r="71" spans="1:25" x14ac:dyDescent="0.25">
      <c r="A71" s="170" t="s">
        <v>104</v>
      </c>
      <c r="B71" s="187">
        <f>'7c. Success counts 1718'!B71+'7b1 Success growth'!B71</f>
        <v>284</v>
      </c>
      <c r="C71" s="187">
        <f>'7c. Success counts 1718'!C71+'7b1 Success growth'!C71</f>
        <v>567</v>
      </c>
      <c r="D71" s="187">
        <f>'7c. Success counts 1718'!D71+'7b1 Success growth'!D71</f>
        <v>0</v>
      </c>
      <c r="E71" s="187">
        <f>'7c. Success counts 1718'!E71+'7b1 Success growth'!E71</f>
        <v>201</v>
      </c>
      <c r="F71" s="187">
        <f>'7c. Success counts 1718'!F71+'7b1 Success growth'!F71</f>
        <v>82</v>
      </c>
      <c r="G71" s="187">
        <f>'7c. Success counts 1718'!G71+'7b1 Success growth'!G71</f>
        <v>895</v>
      </c>
      <c r="H71" s="187">
        <f>'7c. Success counts 1718'!H71+'7b1 Success growth'!H71</f>
        <v>631</v>
      </c>
      <c r="I71" s="187">
        <f>'7c. Success counts 1718'!I71+'7b1 Success growth'!I71</f>
        <v>985</v>
      </c>
      <c r="J71" s="187">
        <f>'7c. Success counts 1718'!J71+'7b1 Success growth'!J71</f>
        <v>195</v>
      </c>
      <c r="K71" s="187">
        <f>'7c. Success counts 1718'!K71+'7b1 Success growth'!K71</f>
        <v>420</v>
      </c>
      <c r="L71" s="187">
        <f>'7c. Success counts 1718'!L71+'7b1 Success growth'!L71</f>
        <v>0</v>
      </c>
      <c r="M71" s="187">
        <f>'7c. Success counts 1718'!M71+'7b1 Success growth'!M71</f>
        <v>109</v>
      </c>
      <c r="N71" s="187">
        <f>'7c. Success counts 1718'!N71+'7b1 Success growth'!N71</f>
        <v>69</v>
      </c>
      <c r="O71" s="187">
        <f>'7c. Success counts 1718'!O71+'7b1 Success growth'!O71</f>
        <v>596</v>
      </c>
      <c r="P71" s="187">
        <f>'7c. Success counts 1718'!P71+'7b1 Success growth'!P71</f>
        <v>350</v>
      </c>
      <c r="Q71" s="187">
        <f>'7c. Success counts 1718'!Q71+'7b1 Success growth'!Q71</f>
        <v>507</v>
      </c>
      <c r="R71" s="187">
        <f>'7c. Success counts 1718'!R71+'7b1 Success growth'!R71</f>
        <v>232</v>
      </c>
      <c r="S71" s="187">
        <f>'7c. Success counts 1718'!S71+'7b1 Success growth'!S71</f>
        <v>507</v>
      </c>
      <c r="T71" s="187">
        <f>'7c. Success counts 1718'!T71+'7b1 Success growth'!T71</f>
        <v>0</v>
      </c>
      <c r="U71" s="187">
        <f>'7c. Success counts 1718'!U71+'7b1 Success growth'!U71</f>
        <v>160</v>
      </c>
      <c r="V71" s="187">
        <f>'7c. Success counts 1718'!V71+'7b1 Success growth'!V71</f>
        <v>75</v>
      </c>
      <c r="W71" s="187">
        <f>'7c. Success counts 1718'!W71+'7b1 Success growth'!W71</f>
        <v>739</v>
      </c>
      <c r="X71" s="187">
        <f>'7c. Success counts 1718'!X71+'7b1 Success growth'!X71</f>
        <v>467</v>
      </c>
      <c r="Y71" s="187">
        <f>'7c. Success counts 1718'!Y71+'7b1 Success growth'!Y71</f>
        <v>765</v>
      </c>
    </row>
    <row r="72" spans="1:25" x14ac:dyDescent="0.25">
      <c r="A72" s="170" t="s">
        <v>33</v>
      </c>
      <c r="B72" s="187">
        <f>'7c. Success counts 1718'!B72+'7b1 Success growth'!B72</f>
        <v>107</v>
      </c>
      <c r="C72" s="187">
        <f>'7c. Success counts 1718'!C72+'7b1 Success growth'!C72</f>
        <v>269</v>
      </c>
      <c r="D72" s="187">
        <f>'7c. Success counts 1718'!D72+'7b1 Success growth'!D72</f>
        <v>0</v>
      </c>
      <c r="E72" s="187">
        <f>'7c. Success counts 1718'!E72+'7b1 Success growth'!E72</f>
        <v>7</v>
      </c>
      <c r="F72" s="187">
        <f>'7c. Success counts 1718'!F72+'7b1 Success growth'!F72</f>
        <v>70</v>
      </c>
      <c r="G72" s="187">
        <f>'7c. Success counts 1718'!G72+'7b1 Success growth'!G72</f>
        <v>323</v>
      </c>
      <c r="H72" s="187">
        <f>'7c. Success counts 1718'!H72+'7b1 Success growth'!H72</f>
        <v>303</v>
      </c>
      <c r="I72" s="187">
        <f>'7c. Success counts 1718'!I72+'7b1 Success growth'!I72</f>
        <v>5382</v>
      </c>
      <c r="J72" s="187">
        <f>'7c. Success counts 1718'!J72+'7b1 Success growth'!J72</f>
        <v>69</v>
      </c>
      <c r="K72" s="187">
        <f>'7c. Success counts 1718'!K72+'7b1 Success growth'!K72</f>
        <v>164</v>
      </c>
      <c r="L72" s="187">
        <f>'7c. Success counts 1718'!L72+'7b1 Success growth'!L72</f>
        <v>0</v>
      </c>
      <c r="M72" s="187">
        <f>'7c. Success counts 1718'!M72+'7b1 Success growth'!M72</f>
        <v>7</v>
      </c>
      <c r="N72" s="187">
        <f>'7c. Success counts 1718'!N72+'7b1 Success growth'!N72</f>
        <v>37</v>
      </c>
      <c r="O72" s="187">
        <f>'7c. Success counts 1718'!O72+'7b1 Success growth'!O72</f>
        <v>192</v>
      </c>
      <c r="P72" s="187">
        <f>'7c. Success counts 1718'!P72+'7b1 Success growth'!P72</f>
        <v>137</v>
      </c>
      <c r="Q72" s="187">
        <f>'7c. Success counts 1718'!Q72+'7b1 Success growth'!Q72</f>
        <v>239</v>
      </c>
      <c r="R72" s="187">
        <f>'7c. Success counts 1718'!R72+'7b1 Success growth'!R72</f>
        <v>97</v>
      </c>
      <c r="S72" s="187">
        <f>'7c. Success counts 1718'!S72+'7b1 Success growth'!S72</f>
        <v>245</v>
      </c>
      <c r="T72" s="187">
        <f>'7c. Success counts 1718'!T72+'7b1 Success growth'!T72</f>
        <v>0</v>
      </c>
      <c r="U72" s="187">
        <f>'7c. Success counts 1718'!U72+'7b1 Success growth'!U72</f>
        <v>6</v>
      </c>
      <c r="V72" s="187">
        <f>'7c. Success counts 1718'!V72+'7b1 Success growth'!V72</f>
        <v>44</v>
      </c>
      <c r="W72" s="187">
        <f>'7c. Success counts 1718'!W72+'7b1 Success growth'!W72</f>
        <v>280</v>
      </c>
      <c r="X72" s="187">
        <f>'7c. Success counts 1718'!X72+'7b1 Success growth'!X72</f>
        <v>178</v>
      </c>
      <c r="Y72" s="187">
        <f>'7c. Success counts 1718'!Y72+'7b1 Success growth'!Y72</f>
        <v>473</v>
      </c>
    </row>
    <row r="73" spans="1:25" ht="17.25" x14ac:dyDescent="0.25">
      <c r="A73" s="170" t="s">
        <v>105</v>
      </c>
      <c r="B73" s="187">
        <f>'7c. Success counts 1718'!B73+'7b1 Success growth'!B73</f>
        <v>636</v>
      </c>
      <c r="C73" s="187">
        <f>'7c. Success counts 1718'!C73+'7b1 Success growth'!C73</f>
        <v>502</v>
      </c>
      <c r="D73" s="187">
        <f>'7c. Success counts 1718'!D73+'7b1 Success growth'!D73</f>
        <v>0</v>
      </c>
      <c r="E73" s="187">
        <f>'7c. Success counts 1718'!E73+'7b1 Success growth'!E73</f>
        <v>136</v>
      </c>
      <c r="F73" s="187">
        <f>'7c. Success counts 1718'!F73+'7b1 Success growth'!F73</f>
        <v>314</v>
      </c>
      <c r="G73" s="187">
        <f>'7c. Success counts 1718'!G73+'7b1 Success growth'!G73</f>
        <v>1823</v>
      </c>
      <c r="H73" s="187">
        <f>'7c. Success counts 1718'!H73+'7b1 Success growth'!H73</f>
        <v>1698</v>
      </c>
      <c r="I73" s="187">
        <f>'7c. Success counts 1718'!I73+'7b1 Success growth'!I73</f>
        <v>1963</v>
      </c>
      <c r="J73" s="187">
        <f>'7c. Success counts 1718'!J73+'7b1 Success growth'!J73</f>
        <v>274</v>
      </c>
      <c r="K73" s="187">
        <f>'7c. Success counts 1718'!K73+'7b1 Success growth'!K73</f>
        <v>152</v>
      </c>
      <c r="L73" s="187">
        <f>'7c. Success counts 1718'!L73+'7b1 Success growth'!L73</f>
        <v>0</v>
      </c>
      <c r="M73" s="187">
        <f>'7c. Success counts 1718'!M73+'7b1 Success growth'!M73</f>
        <v>51</v>
      </c>
      <c r="N73" s="187">
        <f>'7c. Success counts 1718'!N73+'7b1 Success growth'!N73</f>
        <v>58</v>
      </c>
      <c r="O73" s="187">
        <f>'7c. Success counts 1718'!O73+'7b1 Success growth'!O73</f>
        <v>459</v>
      </c>
      <c r="P73" s="187">
        <f>'7c. Success counts 1718'!P73+'7b1 Success growth'!P73</f>
        <v>436</v>
      </c>
      <c r="Q73" s="187">
        <f>'7c. Success counts 1718'!Q73+'7b1 Success growth'!Q73</f>
        <v>260</v>
      </c>
      <c r="R73" s="187">
        <f>'7c. Success counts 1718'!R73+'7b1 Success growth'!R73</f>
        <v>379</v>
      </c>
      <c r="S73" s="187">
        <f>'7c. Success counts 1718'!S73+'7b1 Success growth'!S73</f>
        <v>250</v>
      </c>
      <c r="T73" s="187">
        <f>'7c. Success counts 1718'!T73+'7b1 Success growth'!T73</f>
        <v>0</v>
      </c>
      <c r="U73" s="187">
        <f>'7c. Success counts 1718'!U73+'7b1 Success growth'!U73</f>
        <v>74</v>
      </c>
      <c r="V73" s="187">
        <f>'7c. Success counts 1718'!V73+'7b1 Success growth'!V73</f>
        <v>99</v>
      </c>
      <c r="W73" s="187">
        <f>'7c. Success counts 1718'!W73+'7b1 Success growth'!W73</f>
        <v>727</v>
      </c>
      <c r="X73" s="187">
        <f>'7c. Success counts 1718'!X73+'7b1 Success growth'!X73</f>
        <v>683</v>
      </c>
      <c r="Y73" s="187">
        <f>'7c. Success counts 1718'!Y73+'7b1 Success growth'!Y73</f>
        <v>499</v>
      </c>
    </row>
    <row r="74" spans="1:25" x14ac:dyDescent="0.25">
      <c r="A74" s="170" t="s">
        <v>106</v>
      </c>
      <c r="B74" s="187">
        <f>'7c. Success counts 1718'!B74+'7b1 Success growth'!B74</f>
        <v>631</v>
      </c>
      <c r="C74" s="187">
        <f>'7c. Success counts 1718'!C74+'7b1 Success growth'!C74</f>
        <v>1137</v>
      </c>
      <c r="D74" s="187">
        <f>'7c. Success counts 1718'!D74+'7b1 Success growth'!D74</f>
        <v>0</v>
      </c>
      <c r="E74" s="187">
        <f>'7c. Success counts 1718'!E74+'7b1 Success growth'!E74</f>
        <v>268</v>
      </c>
      <c r="F74" s="187">
        <f>'7c. Success counts 1718'!F74+'7b1 Success growth'!F74</f>
        <v>92</v>
      </c>
      <c r="G74" s="187">
        <f>'7c. Success counts 1718'!G74+'7b1 Success growth'!G74</f>
        <v>2735</v>
      </c>
      <c r="H74" s="187">
        <f>'7c. Success counts 1718'!H74+'7b1 Success growth'!H74</f>
        <v>1580</v>
      </c>
      <c r="I74" s="187">
        <f>'7c. Success counts 1718'!I74+'7b1 Success growth'!I74</f>
        <v>3533</v>
      </c>
      <c r="J74" s="187">
        <f>'7c. Success counts 1718'!J74+'7b1 Success growth'!J74</f>
        <v>346</v>
      </c>
      <c r="K74" s="187">
        <f>'7c. Success counts 1718'!K74+'7b1 Success growth'!K74</f>
        <v>675</v>
      </c>
      <c r="L74" s="187">
        <f>'7c. Success counts 1718'!L74+'7b1 Success growth'!L74</f>
        <v>0</v>
      </c>
      <c r="M74" s="187">
        <f>'7c. Success counts 1718'!M74+'7b1 Success growth'!M74</f>
        <v>136</v>
      </c>
      <c r="N74" s="187">
        <f>'7c. Success counts 1718'!N74+'7b1 Success growth'!N74</f>
        <v>51</v>
      </c>
      <c r="O74" s="187">
        <f>'7c. Success counts 1718'!O74+'7b1 Success growth'!O74</f>
        <v>1398</v>
      </c>
      <c r="P74" s="187">
        <f>'7c. Success counts 1718'!P74+'7b1 Success growth'!P74</f>
        <v>810</v>
      </c>
      <c r="Q74" s="187">
        <f>'7c. Success counts 1718'!Q74+'7b1 Success growth'!Q74</f>
        <v>1425</v>
      </c>
      <c r="R74" s="187">
        <f>'7c. Success counts 1718'!R74+'7b1 Success growth'!R74</f>
        <v>491</v>
      </c>
      <c r="S74" s="187">
        <f>'7c. Success counts 1718'!S74+'7b1 Success growth'!S74</f>
        <v>924</v>
      </c>
      <c r="T74" s="187">
        <f>'7c. Success counts 1718'!T74+'7b1 Success growth'!T74</f>
        <v>0</v>
      </c>
      <c r="U74" s="187">
        <f>'7c. Success counts 1718'!U74+'7b1 Success growth'!U74</f>
        <v>203</v>
      </c>
      <c r="V74" s="187">
        <f>'7c. Success counts 1718'!V74+'7b1 Success growth'!V74</f>
        <v>64</v>
      </c>
      <c r="W74" s="187">
        <f>'7c. Success counts 1718'!W74+'7b1 Success growth'!W74</f>
        <v>1969</v>
      </c>
      <c r="X74" s="187">
        <f>'7c. Success counts 1718'!X74+'7b1 Success growth'!X74</f>
        <v>1146</v>
      </c>
      <c r="Y74" s="187">
        <f>'7c. Success counts 1718'!Y74+'7b1 Success growth'!Y74</f>
        <v>2311</v>
      </c>
    </row>
    <row r="75" spans="1:25" x14ac:dyDescent="0.25">
      <c r="A75" s="170" t="s">
        <v>107</v>
      </c>
      <c r="B75" s="187">
        <f>'7c. Success counts 1718'!B75+'7b1 Success growth'!B75</f>
        <v>302</v>
      </c>
      <c r="C75" s="187">
        <f>'7c. Success counts 1718'!C75+'7b1 Success growth'!C75</f>
        <v>517</v>
      </c>
      <c r="D75" s="187">
        <f>'7c. Success counts 1718'!D75+'7b1 Success growth'!D75</f>
        <v>0</v>
      </c>
      <c r="E75" s="187">
        <f>'7c. Success counts 1718'!E75+'7b1 Success growth'!E75</f>
        <v>135</v>
      </c>
      <c r="F75" s="187">
        <f>'7c. Success counts 1718'!F75+'7b1 Success growth'!F75</f>
        <v>121</v>
      </c>
      <c r="G75" s="187">
        <f>'7c. Success counts 1718'!G75+'7b1 Success growth'!G75</f>
        <v>1267</v>
      </c>
      <c r="H75" s="187">
        <f>'7c. Success counts 1718'!H75+'7b1 Success growth'!H75</f>
        <v>818</v>
      </c>
      <c r="I75" s="187">
        <f>'7c. Success counts 1718'!I75+'7b1 Success growth'!I75</f>
        <v>1939</v>
      </c>
      <c r="J75" s="187">
        <f>'7c. Success counts 1718'!J75+'7b1 Success growth'!J75</f>
        <v>176</v>
      </c>
      <c r="K75" s="187">
        <f>'7c. Success counts 1718'!K75+'7b1 Success growth'!K75</f>
        <v>310</v>
      </c>
      <c r="L75" s="187">
        <f>'7c. Success counts 1718'!L75+'7b1 Success growth'!L75</f>
        <v>0</v>
      </c>
      <c r="M75" s="187">
        <f>'7c. Success counts 1718'!M75+'7b1 Success growth'!M75</f>
        <v>48</v>
      </c>
      <c r="N75" s="187">
        <f>'7c. Success counts 1718'!N75+'7b1 Success growth'!N75</f>
        <v>48</v>
      </c>
      <c r="O75" s="187">
        <f>'7c. Success counts 1718'!O75+'7b1 Success growth'!O75</f>
        <v>679</v>
      </c>
      <c r="P75" s="187">
        <f>'7c. Success counts 1718'!P75+'7b1 Success growth'!P75</f>
        <v>364</v>
      </c>
      <c r="Q75" s="187">
        <f>'7c. Success counts 1718'!Q75+'7b1 Success growth'!Q75</f>
        <v>872</v>
      </c>
      <c r="R75" s="187">
        <f>'7c. Success counts 1718'!R75+'7b1 Success growth'!R75</f>
        <v>251</v>
      </c>
      <c r="S75" s="187">
        <f>'7c. Success counts 1718'!S75+'7b1 Success growth'!S75</f>
        <v>437</v>
      </c>
      <c r="T75" s="187">
        <f>'7c. Success counts 1718'!T75+'7b1 Success growth'!T75</f>
        <v>0</v>
      </c>
      <c r="U75" s="187">
        <f>'7c. Success counts 1718'!U75+'7b1 Success growth'!U75</f>
        <v>104</v>
      </c>
      <c r="V75" s="187">
        <f>'7c. Success counts 1718'!V75+'7b1 Success growth'!V75</f>
        <v>75</v>
      </c>
      <c r="W75" s="187">
        <f>'7c. Success counts 1718'!W75+'7b1 Success growth'!W75</f>
        <v>1022</v>
      </c>
      <c r="X75" s="187">
        <f>'7c. Success counts 1718'!X75+'7b1 Success growth'!X75</f>
        <v>506</v>
      </c>
      <c r="Y75" s="187">
        <f>'7c. Success counts 1718'!Y75+'7b1 Success growth'!Y75</f>
        <v>1329</v>
      </c>
    </row>
    <row r="76" spans="1:25" s="110" customFormat="1" x14ac:dyDescent="0.25">
      <c r="A76" s="137" t="s">
        <v>108</v>
      </c>
      <c r="B76" s="131">
        <f t="shared" ref="B76:Y76" si="0">SUM(B4:B75)</f>
        <v>51998</v>
      </c>
      <c r="C76" s="131">
        <f t="shared" si="0"/>
        <v>62587</v>
      </c>
      <c r="D76" s="131">
        <f t="shared" si="0"/>
        <v>212</v>
      </c>
      <c r="E76" s="131">
        <f t="shared" si="0"/>
        <v>23172</v>
      </c>
      <c r="F76" s="131">
        <f t="shared" si="0"/>
        <v>28604</v>
      </c>
      <c r="G76" s="131">
        <f t="shared" si="0"/>
        <v>180888</v>
      </c>
      <c r="H76" s="131">
        <f t="shared" si="0"/>
        <v>131379</v>
      </c>
      <c r="I76" s="131">
        <f t="shared" si="0"/>
        <v>202282</v>
      </c>
      <c r="J76" s="131">
        <f t="shared" si="0"/>
        <v>28208</v>
      </c>
      <c r="K76" s="131">
        <f t="shared" si="0"/>
        <v>33480</v>
      </c>
      <c r="L76" s="131">
        <f t="shared" si="0"/>
        <v>100</v>
      </c>
      <c r="M76" s="131">
        <f t="shared" si="0"/>
        <v>10389</v>
      </c>
      <c r="N76" s="131">
        <f t="shared" si="0"/>
        <v>10855</v>
      </c>
      <c r="O76" s="131">
        <f t="shared" si="0"/>
        <v>78119</v>
      </c>
      <c r="P76" s="131">
        <f t="shared" si="0"/>
        <v>55661</v>
      </c>
      <c r="Q76" s="131">
        <f t="shared" si="0"/>
        <v>54894</v>
      </c>
      <c r="R76" s="131">
        <f t="shared" si="0"/>
        <v>38541</v>
      </c>
      <c r="S76" s="131">
        <f t="shared" si="0"/>
        <v>47074</v>
      </c>
      <c r="T76" s="131">
        <f t="shared" si="0"/>
        <v>168</v>
      </c>
      <c r="U76" s="131">
        <f t="shared" si="0"/>
        <v>15378</v>
      </c>
      <c r="V76" s="131">
        <f t="shared" si="0"/>
        <v>15664</v>
      </c>
      <c r="W76" s="131">
        <f t="shared" si="0"/>
        <v>119026</v>
      </c>
      <c r="X76" s="131">
        <f t="shared" si="0"/>
        <v>82274</v>
      </c>
      <c r="Y76" s="131">
        <f t="shared" si="0"/>
        <v>97456</v>
      </c>
    </row>
  </sheetData>
  <mergeCells count="4">
    <mergeCell ref="B1:Y1"/>
    <mergeCell ref="R2:Y2"/>
    <mergeCell ref="J2:Q2"/>
    <mergeCell ref="B2:I2"/>
  </mergeCells>
  <pageMargins left="0.7" right="0.7" top="0.75" bottom="0.75" header="0.3" footer="0.3"/>
  <pageSetup orientation="portrait" horizontalDpi="300" verticalDpi="300"/>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6"/>
  <sheetViews>
    <sheetView workbookViewId="0">
      <selection activeCell="B4" sqref="B4"/>
    </sheetView>
  </sheetViews>
  <sheetFormatPr defaultColWidth="8.85546875" defaultRowHeight="15" x14ac:dyDescent="0.25"/>
  <cols>
    <col min="1" max="1" width="18.7109375" style="80" bestFit="1" customWidth="1"/>
    <col min="2" max="2" width="8.85546875" style="80" bestFit="1" customWidth="1"/>
    <col min="3" max="16384" width="8.85546875" style="80"/>
  </cols>
  <sheetData>
    <row r="1" spans="1:26" x14ac:dyDescent="0.25">
      <c r="B1" s="311"/>
      <c r="C1" s="311"/>
      <c r="D1" s="311"/>
      <c r="E1" s="311"/>
      <c r="F1" s="311"/>
      <c r="G1" s="311"/>
      <c r="H1" s="311"/>
      <c r="I1" s="312"/>
    </row>
    <row r="2" spans="1:26" ht="18.75" x14ac:dyDescent="0.3">
      <c r="A2" s="206"/>
      <c r="B2" s="132"/>
      <c r="C2" s="133" t="s">
        <v>109</v>
      </c>
      <c r="D2" s="132"/>
      <c r="E2" s="132"/>
      <c r="F2" s="132"/>
      <c r="G2" s="132"/>
      <c r="H2" s="132"/>
      <c r="I2" s="132"/>
      <c r="J2" s="134"/>
      <c r="K2" s="133" t="s">
        <v>110</v>
      </c>
      <c r="L2" s="134"/>
      <c r="M2" s="134"/>
      <c r="N2" s="134"/>
      <c r="O2" s="134"/>
      <c r="P2" s="134"/>
      <c r="Q2" s="134"/>
      <c r="R2" s="135"/>
      <c r="S2" s="133" t="s">
        <v>111</v>
      </c>
      <c r="T2" s="135"/>
      <c r="U2" s="135"/>
      <c r="V2" s="135"/>
      <c r="W2" s="135"/>
      <c r="X2" s="135"/>
      <c r="Y2" s="135"/>
    </row>
    <row r="3" spans="1:26" s="216" customFormat="1" ht="75" x14ac:dyDescent="0.25">
      <c r="A3" s="190" t="s">
        <v>8</v>
      </c>
      <c r="B3" s="192" t="s">
        <v>113</v>
      </c>
      <c r="C3" s="192" t="s">
        <v>112</v>
      </c>
      <c r="D3" s="192" t="s">
        <v>131</v>
      </c>
      <c r="E3" s="192" t="s">
        <v>114</v>
      </c>
      <c r="F3" s="192" t="s">
        <v>117</v>
      </c>
      <c r="G3" s="192" t="s">
        <v>115</v>
      </c>
      <c r="H3" s="192" t="s">
        <v>116</v>
      </c>
      <c r="I3" s="192" t="s">
        <v>118</v>
      </c>
      <c r="J3" s="192" t="s">
        <v>113</v>
      </c>
      <c r="K3" s="192" t="s">
        <v>112</v>
      </c>
      <c r="L3" s="192" t="s">
        <v>131</v>
      </c>
      <c r="M3" s="192" t="s">
        <v>114</v>
      </c>
      <c r="N3" s="192" t="s">
        <v>117</v>
      </c>
      <c r="O3" s="192" t="s">
        <v>115</v>
      </c>
      <c r="P3" s="192" t="s">
        <v>116</v>
      </c>
      <c r="Q3" s="192" t="s">
        <v>118</v>
      </c>
      <c r="R3" s="192" t="s">
        <v>113</v>
      </c>
      <c r="S3" s="192" t="s">
        <v>112</v>
      </c>
      <c r="T3" s="192" t="s">
        <v>131</v>
      </c>
      <c r="U3" s="192" t="s">
        <v>114</v>
      </c>
      <c r="V3" s="192" t="s">
        <v>117</v>
      </c>
      <c r="W3" s="192" t="s">
        <v>115</v>
      </c>
      <c r="X3" s="192" t="s">
        <v>116</v>
      </c>
      <c r="Y3" s="192" t="s">
        <v>118</v>
      </c>
    </row>
    <row r="4" spans="1:26" x14ac:dyDescent="0.25">
      <c r="A4" s="170" t="s">
        <v>43</v>
      </c>
      <c r="B4" s="212">
        <f>'7c. Success counts 1718'!B4-'7d Success counts 1617'!B4</f>
        <v>25</v>
      </c>
      <c r="C4" s="212">
        <f>'7c. Success counts 1718'!C4-'7d Success counts 1617'!C4</f>
        <v>-66</v>
      </c>
      <c r="D4" s="212">
        <f>'7c. Success counts 1718'!D4-'7d Success counts 1617'!D4</f>
        <v>0</v>
      </c>
      <c r="E4" s="212">
        <f>'7c. Success counts 1718'!E4-'7d Success counts 1617'!E4</f>
        <v>-15</v>
      </c>
      <c r="F4" s="212">
        <f>'7c. Success counts 1718'!F4-'7d Success counts 1617'!F4</f>
        <v>-26</v>
      </c>
      <c r="G4" s="212">
        <f>'7c. Success counts 1718'!G4-'7d Success counts 1617'!G4</f>
        <v>-18</v>
      </c>
      <c r="H4" s="212">
        <f>'7c. Success counts 1718'!H4-'7d Success counts 1617'!H4</f>
        <v>62</v>
      </c>
      <c r="I4" s="212">
        <f>'7c. Success counts 1718'!I4-'7d Success counts 1617'!I4</f>
        <v>-287</v>
      </c>
      <c r="J4" s="212">
        <f>'7c. Success counts 1718'!J4-'7d Success counts 1617'!J4</f>
        <v>28</v>
      </c>
      <c r="K4" s="212">
        <f>'7c. Success counts 1718'!K4-'7d Success counts 1617'!K4</f>
        <v>-35</v>
      </c>
      <c r="L4" s="212">
        <f>'7c. Success counts 1718'!L4-'7d Success counts 1617'!L4</f>
        <v>0</v>
      </c>
      <c r="M4" s="212">
        <f>'7c. Success counts 1718'!M4-'7d Success counts 1617'!M4</f>
        <v>6</v>
      </c>
      <c r="N4" s="212">
        <f>'7c. Success counts 1718'!N4-'7d Success counts 1617'!N4</f>
        <v>-10</v>
      </c>
      <c r="O4" s="212">
        <f>'7c. Success counts 1718'!O4-'7d Success counts 1617'!O4</f>
        <v>-84</v>
      </c>
      <c r="P4" s="212">
        <f>'7c. Success counts 1718'!P4-'7d Success counts 1617'!P4</f>
        <v>39</v>
      </c>
      <c r="Q4" s="212">
        <f>'7c. Success counts 1718'!Q4-'7d Success counts 1617'!Q4</f>
        <v>12</v>
      </c>
      <c r="R4" s="212">
        <f>'7c. Success counts 1718'!R4-'7d Success counts 1617'!R4</f>
        <v>30</v>
      </c>
      <c r="S4" s="212">
        <f>'7c. Success counts 1718'!S4-'7d Success counts 1617'!S4</f>
        <v>-45</v>
      </c>
      <c r="T4" s="212">
        <f>'7c. Success counts 1718'!T4-'7d Success counts 1617'!T4</f>
        <v>0</v>
      </c>
      <c r="U4" s="212">
        <f>'7c. Success counts 1718'!U4-'7d Success counts 1617'!U4</f>
        <v>-1</v>
      </c>
      <c r="V4" s="212">
        <f>'7c. Success counts 1718'!V4-'7d Success counts 1617'!V4</f>
        <v>-20</v>
      </c>
      <c r="W4" s="212">
        <f>'7c. Success counts 1718'!W4-'7d Success counts 1617'!W4</f>
        <v>-51</v>
      </c>
      <c r="X4" s="212">
        <f>'7c. Success counts 1718'!X4-'7d Success counts 1617'!X4</f>
        <v>84</v>
      </c>
      <c r="Y4" s="212">
        <f>'7c. Success counts 1718'!Y4-'7d Success counts 1617'!Y4</f>
        <v>24</v>
      </c>
      <c r="Z4" s="213"/>
    </row>
    <row r="5" spans="1:26" x14ac:dyDescent="0.25">
      <c r="A5" s="170" t="s">
        <v>44</v>
      </c>
      <c r="B5" s="212">
        <f>'7c. Success counts 1718'!B5-'7d Success counts 1617'!B5</f>
        <v>79</v>
      </c>
      <c r="C5" s="212">
        <f>'7c. Success counts 1718'!C5-'7d Success counts 1617'!C5</f>
        <v>-99</v>
      </c>
      <c r="D5" s="212">
        <f>'7c. Success counts 1718'!D5-'7d Success counts 1617'!D5</f>
        <v>0</v>
      </c>
      <c r="E5" s="212">
        <f>'7c. Success counts 1718'!E5-'7d Success counts 1617'!E5</f>
        <v>63</v>
      </c>
      <c r="F5" s="212">
        <f>'7c. Success counts 1718'!F5-'7d Success counts 1617'!F5</f>
        <v>-19</v>
      </c>
      <c r="G5" s="212">
        <f>'7c. Success counts 1718'!G5-'7d Success counts 1617'!G5</f>
        <v>-105</v>
      </c>
      <c r="H5" s="212">
        <f>'7c. Success counts 1718'!H5-'7d Success counts 1617'!H5</f>
        <v>26</v>
      </c>
      <c r="I5" s="212">
        <f>'7c. Success counts 1718'!I5-'7d Success counts 1617'!I5</f>
        <v>146</v>
      </c>
      <c r="J5" s="212">
        <f>'7c. Success counts 1718'!J5-'7d Success counts 1617'!J5</f>
        <v>54</v>
      </c>
      <c r="K5" s="212">
        <f>'7c. Success counts 1718'!K5-'7d Success counts 1617'!K5</f>
        <v>-54</v>
      </c>
      <c r="L5" s="212">
        <f>'7c. Success counts 1718'!L5-'7d Success counts 1617'!L5</f>
        <v>0</v>
      </c>
      <c r="M5" s="212">
        <f>'7c. Success counts 1718'!M5-'7d Success counts 1617'!M5</f>
        <v>29</v>
      </c>
      <c r="N5" s="212">
        <f>'7c. Success counts 1718'!N5-'7d Success counts 1617'!N5</f>
        <v>-25</v>
      </c>
      <c r="O5" s="212">
        <f>'7c. Success counts 1718'!O5-'7d Success counts 1617'!O5</f>
        <v>-103</v>
      </c>
      <c r="P5" s="212">
        <f>'7c. Success counts 1718'!P5-'7d Success counts 1617'!P5</f>
        <v>19</v>
      </c>
      <c r="Q5" s="212">
        <f>'7c. Success counts 1718'!Q5-'7d Success counts 1617'!Q5</f>
        <v>93</v>
      </c>
      <c r="R5" s="212">
        <f>'7c. Success counts 1718'!R5-'7d Success counts 1617'!R5</f>
        <v>68</v>
      </c>
      <c r="S5" s="212">
        <f>'7c. Success counts 1718'!S5-'7d Success counts 1617'!S5</f>
        <v>-76</v>
      </c>
      <c r="T5" s="212">
        <f>'7c. Success counts 1718'!T5-'7d Success counts 1617'!T5</f>
        <v>0</v>
      </c>
      <c r="U5" s="212">
        <f>'7c. Success counts 1718'!U5-'7d Success counts 1617'!U5</f>
        <v>45</v>
      </c>
      <c r="V5" s="212">
        <f>'7c. Success counts 1718'!V5-'7d Success counts 1617'!V5</f>
        <v>-18</v>
      </c>
      <c r="W5" s="212">
        <f>'7c. Success counts 1718'!W5-'7d Success counts 1617'!W5</f>
        <v>-103</v>
      </c>
      <c r="X5" s="212">
        <f>'7c. Success counts 1718'!X5-'7d Success counts 1617'!X5</f>
        <v>17</v>
      </c>
      <c r="Y5" s="212">
        <f>'7c. Success counts 1718'!Y5-'7d Success counts 1617'!Y5</f>
        <v>150</v>
      </c>
      <c r="Z5" s="213"/>
    </row>
    <row r="6" spans="1:26" x14ac:dyDescent="0.25">
      <c r="A6" s="170" t="s">
        <v>45</v>
      </c>
      <c r="B6" s="212">
        <f>'7c. Success counts 1718'!B6-'7d Success counts 1617'!B6</f>
        <v>-6</v>
      </c>
      <c r="C6" s="212">
        <f>'7c. Success counts 1718'!C6-'7d Success counts 1617'!C6</f>
        <v>36</v>
      </c>
      <c r="D6" s="212">
        <f>'7c. Success counts 1718'!D6-'7d Success counts 1617'!D6</f>
        <v>0</v>
      </c>
      <c r="E6" s="212">
        <f>'7c. Success counts 1718'!E6-'7d Success counts 1617'!E6</f>
        <v>10</v>
      </c>
      <c r="F6" s="212">
        <f>'7c. Success counts 1718'!F6-'7d Success counts 1617'!F6</f>
        <v>32</v>
      </c>
      <c r="G6" s="212">
        <f>'7c. Success counts 1718'!G6-'7d Success counts 1617'!G6</f>
        <v>-47</v>
      </c>
      <c r="H6" s="212">
        <f>'7c. Success counts 1718'!H6-'7d Success counts 1617'!H6</f>
        <v>-28</v>
      </c>
      <c r="I6" s="212">
        <f>'7c. Success counts 1718'!I6-'7d Success counts 1617'!I6</f>
        <v>56</v>
      </c>
      <c r="J6" s="212">
        <f>'7c. Success counts 1718'!J6-'7d Success counts 1617'!J6</f>
        <v>1</v>
      </c>
      <c r="K6" s="212">
        <f>'7c. Success counts 1718'!K6-'7d Success counts 1617'!K6</f>
        <v>38</v>
      </c>
      <c r="L6" s="212">
        <f>'7c. Success counts 1718'!L6-'7d Success counts 1617'!L6</f>
        <v>0</v>
      </c>
      <c r="M6" s="212">
        <f>'7c. Success counts 1718'!M6-'7d Success counts 1617'!M6</f>
        <v>9</v>
      </c>
      <c r="N6" s="212">
        <f>'7c. Success counts 1718'!N6-'7d Success counts 1617'!N6</f>
        <v>12</v>
      </c>
      <c r="O6" s="212">
        <f>'7c. Success counts 1718'!O6-'7d Success counts 1617'!O6</f>
        <v>-40</v>
      </c>
      <c r="P6" s="212">
        <f>'7c. Success counts 1718'!P6-'7d Success counts 1617'!P6</f>
        <v>-15</v>
      </c>
      <c r="Q6" s="212">
        <f>'7c. Success counts 1718'!Q6-'7d Success counts 1617'!Q6</f>
        <v>29</v>
      </c>
      <c r="R6" s="212">
        <f>'7c. Success counts 1718'!R6-'7d Success counts 1617'!R6</f>
        <v>-3</v>
      </c>
      <c r="S6" s="212">
        <f>'7c. Success counts 1718'!S6-'7d Success counts 1617'!S6</f>
        <v>38</v>
      </c>
      <c r="T6" s="212">
        <f>'7c. Success counts 1718'!T6-'7d Success counts 1617'!T6</f>
        <v>0</v>
      </c>
      <c r="U6" s="212">
        <f>'7c. Success counts 1718'!U6-'7d Success counts 1617'!U6</f>
        <v>10</v>
      </c>
      <c r="V6" s="212">
        <f>'7c. Success counts 1718'!V6-'7d Success counts 1617'!V6</f>
        <v>19</v>
      </c>
      <c r="W6" s="212">
        <f>'7c. Success counts 1718'!W6-'7d Success counts 1617'!W6</f>
        <v>-46</v>
      </c>
      <c r="X6" s="212">
        <f>'7c. Success counts 1718'!X6-'7d Success counts 1617'!X6</f>
        <v>-20</v>
      </c>
      <c r="Y6" s="212">
        <f>'7c. Success counts 1718'!Y6-'7d Success counts 1617'!Y6</f>
        <v>53</v>
      </c>
      <c r="Z6" s="213"/>
    </row>
    <row r="7" spans="1:26" x14ac:dyDescent="0.25">
      <c r="A7" s="170" t="s">
        <v>46</v>
      </c>
      <c r="B7" s="212">
        <f>'7c. Success counts 1718'!B7-'7d Success counts 1617'!B7</f>
        <v>25</v>
      </c>
      <c r="C7" s="212">
        <f>'7c. Success counts 1718'!C7-'7d Success counts 1617'!C7</f>
        <v>-23</v>
      </c>
      <c r="D7" s="212">
        <f>'7c. Success counts 1718'!D7-'7d Success counts 1617'!D7</f>
        <v>0</v>
      </c>
      <c r="E7" s="212">
        <f>'7c. Success counts 1718'!E7-'7d Success counts 1617'!E7</f>
        <v>-3</v>
      </c>
      <c r="F7" s="212">
        <f>'7c. Success counts 1718'!F7-'7d Success counts 1617'!F7</f>
        <v>36</v>
      </c>
      <c r="G7" s="212">
        <f>'7c. Success counts 1718'!G7-'7d Success counts 1617'!G7</f>
        <v>-68</v>
      </c>
      <c r="H7" s="212">
        <f>'7c. Success counts 1718'!H7-'7d Success counts 1617'!H7</f>
        <v>-36</v>
      </c>
      <c r="I7" s="212">
        <f>'7c. Success counts 1718'!I7-'7d Success counts 1617'!I7</f>
        <v>89</v>
      </c>
      <c r="J7" s="212">
        <f>'7c. Success counts 1718'!J7-'7d Success counts 1617'!J7</f>
        <v>-1</v>
      </c>
      <c r="K7" s="212">
        <f>'7c. Success counts 1718'!K7-'7d Success counts 1617'!K7</f>
        <v>-18</v>
      </c>
      <c r="L7" s="212">
        <f>'7c. Success counts 1718'!L7-'7d Success counts 1617'!L7</f>
        <v>0</v>
      </c>
      <c r="M7" s="212">
        <f>'7c. Success counts 1718'!M7-'7d Success counts 1617'!M7</f>
        <v>-21</v>
      </c>
      <c r="N7" s="212">
        <f>'7c. Success counts 1718'!N7-'7d Success counts 1617'!N7</f>
        <v>27</v>
      </c>
      <c r="O7" s="212">
        <f>'7c. Success counts 1718'!O7-'7d Success counts 1617'!O7</f>
        <v>-118</v>
      </c>
      <c r="P7" s="212">
        <f>'7c. Success counts 1718'!P7-'7d Success counts 1617'!P7</f>
        <v>-42</v>
      </c>
      <c r="Q7" s="212">
        <f>'7c. Success counts 1718'!Q7-'7d Success counts 1617'!Q7</f>
        <v>21</v>
      </c>
      <c r="R7" s="212">
        <f>'7c. Success counts 1718'!R7-'7d Success counts 1617'!R7</f>
        <v>9</v>
      </c>
      <c r="S7" s="212">
        <f>'7c. Success counts 1718'!S7-'7d Success counts 1617'!S7</f>
        <v>-21</v>
      </c>
      <c r="T7" s="212">
        <f>'7c. Success counts 1718'!T7-'7d Success counts 1617'!T7</f>
        <v>0</v>
      </c>
      <c r="U7" s="212">
        <f>'7c. Success counts 1718'!U7-'7d Success counts 1617'!U7</f>
        <v>-32</v>
      </c>
      <c r="V7" s="212">
        <f>'7c. Success counts 1718'!V7-'7d Success counts 1617'!V7</f>
        <v>30</v>
      </c>
      <c r="W7" s="212">
        <f>'7c. Success counts 1718'!W7-'7d Success counts 1617'!W7</f>
        <v>-102</v>
      </c>
      <c r="X7" s="212">
        <f>'7c. Success counts 1718'!X7-'7d Success counts 1617'!X7</f>
        <v>-53</v>
      </c>
      <c r="Y7" s="212">
        <f>'7c. Success counts 1718'!Y7-'7d Success counts 1617'!Y7</f>
        <v>47</v>
      </c>
      <c r="Z7" s="213"/>
    </row>
    <row r="8" spans="1:26" x14ac:dyDescent="0.25">
      <c r="A8" s="170" t="s">
        <v>47</v>
      </c>
      <c r="B8" s="212">
        <f>'7c. Success counts 1718'!B8-'7d Success counts 1617'!B8</f>
        <v>34</v>
      </c>
      <c r="C8" s="212">
        <f>'7c. Success counts 1718'!C8-'7d Success counts 1617'!C8</f>
        <v>46</v>
      </c>
      <c r="D8" s="212">
        <f>'7c. Success counts 1718'!D8-'7d Success counts 1617'!D8</f>
        <v>0</v>
      </c>
      <c r="E8" s="212">
        <f>'7c. Success counts 1718'!E8-'7d Success counts 1617'!E8</f>
        <v>-19</v>
      </c>
      <c r="F8" s="212">
        <f>'7c. Success counts 1718'!F8-'7d Success counts 1617'!F8</f>
        <v>-16</v>
      </c>
      <c r="G8" s="212">
        <f>'7c. Success counts 1718'!G8-'7d Success counts 1617'!G8</f>
        <v>-39</v>
      </c>
      <c r="H8" s="212">
        <f>'7c. Success counts 1718'!H8-'7d Success counts 1617'!H8</f>
        <v>61</v>
      </c>
      <c r="I8" s="212">
        <f>'7c. Success counts 1718'!I8-'7d Success counts 1617'!I8</f>
        <v>245</v>
      </c>
      <c r="J8" s="212">
        <f>'7c. Success counts 1718'!J8-'7d Success counts 1617'!J8</f>
        <v>14</v>
      </c>
      <c r="K8" s="212">
        <f>'7c. Success counts 1718'!K8-'7d Success counts 1617'!K8</f>
        <v>-8</v>
      </c>
      <c r="L8" s="212">
        <f>'7c. Success counts 1718'!L8-'7d Success counts 1617'!L8</f>
        <v>0</v>
      </c>
      <c r="M8" s="212">
        <f>'7c. Success counts 1718'!M8-'7d Success counts 1617'!M8</f>
        <v>-10</v>
      </c>
      <c r="N8" s="212">
        <f>'7c. Success counts 1718'!N8-'7d Success counts 1617'!N8</f>
        <v>10</v>
      </c>
      <c r="O8" s="212">
        <f>'7c. Success counts 1718'!O8-'7d Success counts 1617'!O8</f>
        <v>-57</v>
      </c>
      <c r="P8" s="212">
        <f>'7c. Success counts 1718'!P8-'7d Success counts 1617'!P8</f>
        <v>3</v>
      </c>
      <c r="Q8" s="212">
        <f>'7c. Success counts 1718'!Q8-'7d Success counts 1617'!Q8</f>
        <v>40</v>
      </c>
      <c r="R8" s="212">
        <f>'7c. Success counts 1718'!R8-'7d Success counts 1617'!R8</f>
        <v>17</v>
      </c>
      <c r="S8" s="212">
        <f>'7c. Success counts 1718'!S8-'7d Success counts 1617'!S8</f>
        <v>3</v>
      </c>
      <c r="T8" s="212">
        <f>'7c. Success counts 1718'!T8-'7d Success counts 1617'!T8</f>
        <v>0</v>
      </c>
      <c r="U8" s="212">
        <f>'7c. Success counts 1718'!U8-'7d Success counts 1617'!U8</f>
        <v>-21</v>
      </c>
      <c r="V8" s="212">
        <f>'7c. Success counts 1718'!V8-'7d Success counts 1617'!V8</f>
        <v>-2</v>
      </c>
      <c r="W8" s="212">
        <f>'7c. Success counts 1718'!W8-'7d Success counts 1617'!W8</f>
        <v>-58</v>
      </c>
      <c r="X8" s="212">
        <f>'7c. Success counts 1718'!X8-'7d Success counts 1617'!X8</f>
        <v>24</v>
      </c>
      <c r="Y8" s="212">
        <f>'7c. Success counts 1718'!Y8-'7d Success counts 1617'!Y8</f>
        <v>85</v>
      </c>
      <c r="Z8" s="213"/>
    </row>
    <row r="9" spans="1:26" x14ac:dyDescent="0.25">
      <c r="A9" s="170" t="s">
        <v>48</v>
      </c>
      <c r="B9" s="212">
        <f>'7c. Success counts 1718'!B9-'7d Success counts 1617'!B9</f>
        <v>95</v>
      </c>
      <c r="C9" s="212">
        <f>'7c. Success counts 1718'!C9-'7d Success counts 1617'!C9</f>
        <v>91</v>
      </c>
      <c r="D9" s="212">
        <f>'7c. Success counts 1718'!D9-'7d Success counts 1617'!D9</f>
        <v>0</v>
      </c>
      <c r="E9" s="212">
        <f>'7c. Success counts 1718'!E9-'7d Success counts 1617'!E9</f>
        <v>83</v>
      </c>
      <c r="F9" s="212">
        <f>'7c. Success counts 1718'!F9-'7d Success counts 1617'!F9</f>
        <v>48</v>
      </c>
      <c r="G9" s="212">
        <f>'7c. Success counts 1718'!G9-'7d Success counts 1617'!G9</f>
        <v>-108</v>
      </c>
      <c r="H9" s="212">
        <f>'7c. Success counts 1718'!H9-'7d Success counts 1617'!H9</f>
        <v>-33</v>
      </c>
      <c r="I9" s="212">
        <f>'7c. Success counts 1718'!I9-'7d Success counts 1617'!I9</f>
        <v>393</v>
      </c>
      <c r="J9" s="212">
        <f>'7c. Success counts 1718'!J9-'7d Success counts 1617'!J9</f>
        <v>60</v>
      </c>
      <c r="K9" s="212">
        <f>'7c. Success counts 1718'!K9-'7d Success counts 1617'!K9</f>
        <v>62</v>
      </c>
      <c r="L9" s="212">
        <f>'7c. Success counts 1718'!L9-'7d Success counts 1617'!L9</f>
        <v>0</v>
      </c>
      <c r="M9" s="212">
        <f>'7c. Success counts 1718'!M9-'7d Success counts 1617'!M9</f>
        <v>67</v>
      </c>
      <c r="N9" s="212">
        <f>'7c. Success counts 1718'!N9-'7d Success counts 1617'!N9</f>
        <v>31</v>
      </c>
      <c r="O9" s="212">
        <f>'7c. Success counts 1718'!O9-'7d Success counts 1617'!O9</f>
        <v>-139</v>
      </c>
      <c r="P9" s="212">
        <f>'7c. Success counts 1718'!P9-'7d Success counts 1617'!P9</f>
        <v>-20</v>
      </c>
      <c r="Q9" s="212">
        <f>'7c. Success counts 1718'!Q9-'7d Success counts 1617'!Q9</f>
        <v>46</v>
      </c>
      <c r="R9" s="212">
        <f>'7c. Success counts 1718'!R9-'7d Success counts 1617'!R9</f>
        <v>80</v>
      </c>
      <c r="S9" s="212">
        <f>'7c. Success counts 1718'!S9-'7d Success counts 1617'!S9</f>
        <v>71</v>
      </c>
      <c r="T9" s="212">
        <f>'7c. Success counts 1718'!T9-'7d Success counts 1617'!T9</f>
        <v>0</v>
      </c>
      <c r="U9" s="212">
        <f>'7c. Success counts 1718'!U9-'7d Success counts 1617'!U9</f>
        <v>80</v>
      </c>
      <c r="V9" s="212">
        <f>'7c. Success counts 1718'!V9-'7d Success counts 1617'!V9</f>
        <v>40</v>
      </c>
      <c r="W9" s="212">
        <f>'7c. Success counts 1718'!W9-'7d Success counts 1617'!W9</f>
        <v>-106</v>
      </c>
      <c r="X9" s="212">
        <f>'7c. Success counts 1718'!X9-'7d Success counts 1617'!X9</f>
        <v>-1</v>
      </c>
      <c r="Y9" s="212">
        <f>'7c. Success counts 1718'!Y9-'7d Success counts 1617'!Y9</f>
        <v>80</v>
      </c>
      <c r="Z9" s="213"/>
    </row>
    <row r="10" spans="1:26" x14ac:dyDescent="0.25">
      <c r="A10" s="170" t="s">
        <v>49</v>
      </c>
      <c r="B10" s="212">
        <f>'7c. Success counts 1718'!B10-'7d Success counts 1617'!B10</f>
        <v>119</v>
      </c>
      <c r="C10" s="212">
        <f>'7c. Success counts 1718'!C10-'7d Success counts 1617'!C10</f>
        <v>-3</v>
      </c>
      <c r="D10" s="212">
        <f>'7c. Success counts 1718'!D10-'7d Success counts 1617'!D10</f>
        <v>0</v>
      </c>
      <c r="E10" s="212">
        <f>'7c. Success counts 1718'!E10-'7d Success counts 1617'!E10</f>
        <v>62</v>
      </c>
      <c r="F10" s="212">
        <f>'7c. Success counts 1718'!F10-'7d Success counts 1617'!F10</f>
        <v>-4</v>
      </c>
      <c r="G10" s="212">
        <f>'7c. Success counts 1718'!G10-'7d Success counts 1617'!G10</f>
        <v>136</v>
      </c>
      <c r="H10" s="212">
        <f>'7c. Success counts 1718'!H10-'7d Success counts 1617'!H10</f>
        <v>184</v>
      </c>
      <c r="I10" s="212">
        <f>'7c. Success counts 1718'!I10-'7d Success counts 1617'!I10</f>
        <v>262</v>
      </c>
      <c r="J10" s="212">
        <f>'7c. Success counts 1718'!J10-'7d Success counts 1617'!J10</f>
        <v>34</v>
      </c>
      <c r="K10" s="212">
        <f>'7c. Success counts 1718'!K10-'7d Success counts 1617'!K10</f>
        <v>-45</v>
      </c>
      <c r="L10" s="212">
        <f>'7c. Success counts 1718'!L10-'7d Success counts 1617'!L10</f>
        <v>0</v>
      </c>
      <c r="M10" s="212">
        <f>'7c. Success counts 1718'!M10-'7d Success counts 1617'!M10</f>
        <v>22</v>
      </c>
      <c r="N10" s="212">
        <f>'7c. Success counts 1718'!N10-'7d Success counts 1617'!N10</f>
        <v>-6</v>
      </c>
      <c r="O10" s="212">
        <f>'7c. Success counts 1718'!O10-'7d Success counts 1617'!O10</f>
        <v>-55</v>
      </c>
      <c r="P10" s="212">
        <f>'7c. Success counts 1718'!P10-'7d Success counts 1617'!P10</f>
        <v>7</v>
      </c>
      <c r="Q10" s="212">
        <f>'7c. Success counts 1718'!Q10-'7d Success counts 1617'!Q10</f>
        <v>7</v>
      </c>
      <c r="R10" s="212">
        <f>'7c. Success counts 1718'!R10-'7d Success counts 1617'!R10</f>
        <v>64</v>
      </c>
      <c r="S10" s="212">
        <f>'7c. Success counts 1718'!S10-'7d Success counts 1617'!S10</f>
        <v>-33</v>
      </c>
      <c r="T10" s="212">
        <f>'7c. Success counts 1718'!T10-'7d Success counts 1617'!T10</f>
        <v>0</v>
      </c>
      <c r="U10" s="212">
        <f>'7c. Success counts 1718'!U10-'7d Success counts 1617'!U10</f>
        <v>24</v>
      </c>
      <c r="V10" s="212">
        <f>'7c. Success counts 1718'!V10-'7d Success counts 1617'!V10</f>
        <v>-1</v>
      </c>
      <c r="W10" s="212">
        <f>'7c. Success counts 1718'!W10-'7d Success counts 1617'!W10</f>
        <v>-60</v>
      </c>
      <c r="X10" s="212">
        <f>'7c. Success counts 1718'!X10-'7d Success counts 1617'!X10</f>
        <v>19</v>
      </c>
      <c r="Y10" s="212">
        <f>'7c. Success counts 1718'!Y10-'7d Success counts 1617'!Y10</f>
        <v>71</v>
      </c>
      <c r="Z10" s="213"/>
    </row>
    <row r="11" spans="1:26" x14ac:dyDescent="0.25">
      <c r="A11" s="170" t="s">
        <v>50</v>
      </c>
      <c r="B11" s="212">
        <f>'7c. Success counts 1718'!B11-'7d Success counts 1617'!B11</f>
        <v>215</v>
      </c>
      <c r="C11" s="212">
        <f>'7c. Success counts 1718'!C11-'7d Success counts 1617'!C11</f>
        <v>119</v>
      </c>
      <c r="D11" s="212">
        <f>'7c. Success counts 1718'!D11-'7d Success counts 1617'!D11</f>
        <v>0</v>
      </c>
      <c r="E11" s="212">
        <f>'7c. Success counts 1718'!E11-'7d Success counts 1617'!E11</f>
        <v>188</v>
      </c>
      <c r="F11" s="212">
        <f>'7c. Success counts 1718'!F11-'7d Success counts 1617'!F11</f>
        <v>9</v>
      </c>
      <c r="G11" s="212">
        <f>'7c. Success counts 1718'!G11-'7d Success counts 1617'!G11</f>
        <v>-60</v>
      </c>
      <c r="H11" s="212">
        <f>'7c. Success counts 1718'!H11-'7d Success counts 1617'!H11</f>
        <v>-54</v>
      </c>
      <c r="I11" s="212">
        <f>'7c. Success counts 1718'!I11-'7d Success counts 1617'!I11</f>
        <v>260</v>
      </c>
      <c r="J11" s="212">
        <f>'7c. Success counts 1718'!J11-'7d Success counts 1617'!J11</f>
        <v>129</v>
      </c>
      <c r="K11" s="212">
        <f>'7c. Success counts 1718'!K11-'7d Success counts 1617'!K11</f>
        <v>43</v>
      </c>
      <c r="L11" s="212">
        <f>'7c. Success counts 1718'!L11-'7d Success counts 1617'!L11</f>
        <v>0</v>
      </c>
      <c r="M11" s="212">
        <f>'7c. Success counts 1718'!M11-'7d Success counts 1617'!M11</f>
        <v>81</v>
      </c>
      <c r="N11" s="212">
        <f>'7c. Success counts 1718'!N11-'7d Success counts 1617'!N11</f>
        <v>-10</v>
      </c>
      <c r="O11" s="212">
        <f>'7c. Success counts 1718'!O11-'7d Success counts 1617'!O11</f>
        <v>-83</v>
      </c>
      <c r="P11" s="212">
        <f>'7c. Success counts 1718'!P11-'7d Success counts 1617'!P11</f>
        <v>-91</v>
      </c>
      <c r="Q11" s="212">
        <f>'7c. Success counts 1718'!Q11-'7d Success counts 1617'!Q11</f>
        <v>98</v>
      </c>
      <c r="R11" s="212">
        <f>'7c. Success counts 1718'!R11-'7d Success counts 1617'!R11</f>
        <v>162</v>
      </c>
      <c r="S11" s="212">
        <f>'7c. Success counts 1718'!S11-'7d Success counts 1617'!S11</f>
        <v>66</v>
      </c>
      <c r="T11" s="212">
        <f>'7c. Success counts 1718'!T11-'7d Success counts 1617'!T11</f>
        <v>0</v>
      </c>
      <c r="U11" s="212">
        <f>'7c. Success counts 1718'!U11-'7d Success counts 1617'!U11</f>
        <v>160</v>
      </c>
      <c r="V11" s="212">
        <f>'7c. Success counts 1718'!V11-'7d Success counts 1617'!V11</f>
        <v>-1</v>
      </c>
      <c r="W11" s="212">
        <f>'7c. Success counts 1718'!W11-'7d Success counts 1617'!W11</f>
        <v>-101</v>
      </c>
      <c r="X11" s="212">
        <f>'7c. Success counts 1718'!X11-'7d Success counts 1617'!X11</f>
        <v>-40</v>
      </c>
      <c r="Y11" s="212">
        <f>'7c. Success counts 1718'!Y11-'7d Success counts 1617'!Y11</f>
        <v>193</v>
      </c>
      <c r="Z11" s="213"/>
    </row>
    <row r="12" spans="1:26" x14ac:dyDescent="0.25">
      <c r="A12" s="170" t="s">
        <v>51</v>
      </c>
      <c r="B12" s="212">
        <f>'7c. Success counts 1718'!B12-'7d Success counts 1617'!B12</f>
        <v>159</v>
      </c>
      <c r="C12" s="212">
        <f>'7c. Success counts 1718'!C12-'7d Success counts 1617'!C12</f>
        <v>11</v>
      </c>
      <c r="D12" s="212">
        <f>'7c. Success counts 1718'!D12-'7d Success counts 1617'!D12</f>
        <v>0</v>
      </c>
      <c r="E12" s="212">
        <f>'7c. Success counts 1718'!E12-'7d Success counts 1617'!E12</f>
        <v>85</v>
      </c>
      <c r="F12" s="212">
        <f>'7c. Success counts 1718'!F12-'7d Success counts 1617'!F12</f>
        <v>101</v>
      </c>
      <c r="G12" s="212">
        <f>'7c. Success counts 1718'!G12-'7d Success counts 1617'!G12</f>
        <v>-191</v>
      </c>
      <c r="H12" s="212">
        <f>'7c. Success counts 1718'!H12-'7d Success counts 1617'!H12</f>
        <v>84</v>
      </c>
      <c r="I12" s="212">
        <f>'7c. Success counts 1718'!I12-'7d Success counts 1617'!I12</f>
        <v>158</v>
      </c>
      <c r="J12" s="212">
        <f>'7c. Success counts 1718'!J12-'7d Success counts 1617'!J12</f>
        <v>102</v>
      </c>
      <c r="K12" s="212">
        <f>'7c. Success counts 1718'!K12-'7d Success counts 1617'!K12</f>
        <v>4</v>
      </c>
      <c r="L12" s="212">
        <f>'7c. Success counts 1718'!L12-'7d Success counts 1617'!L12</f>
        <v>0</v>
      </c>
      <c r="M12" s="212">
        <f>'7c. Success counts 1718'!M12-'7d Success counts 1617'!M12</f>
        <v>43</v>
      </c>
      <c r="N12" s="212">
        <f>'7c. Success counts 1718'!N12-'7d Success counts 1617'!N12</f>
        <v>51</v>
      </c>
      <c r="O12" s="212">
        <f>'7c. Success counts 1718'!O12-'7d Success counts 1617'!O12</f>
        <v>-92</v>
      </c>
      <c r="P12" s="212">
        <f>'7c. Success counts 1718'!P12-'7d Success counts 1617'!P12</f>
        <v>42</v>
      </c>
      <c r="Q12" s="212">
        <f>'7c. Success counts 1718'!Q12-'7d Success counts 1617'!Q12</f>
        <v>13</v>
      </c>
      <c r="R12" s="212">
        <f>'7c. Success counts 1718'!R12-'7d Success counts 1617'!R12</f>
        <v>123</v>
      </c>
      <c r="S12" s="212">
        <f>'7c. Success counts 1718'!S12-'7d Success counts 1617'!S12</f>
        <v>11</v>
      </c>
      <c r="T12" s="212">
        <f>'7c. Success counts 1718'!T12-'7d Success counts 1617'!T12</f>
        <v>0</v>
      </c>
      <c r="U12" s="212">
        <f>'7c. Success counts 1718'!U12-'7d Success counts 1617'!U12</f>
        <v>78</v>
      </c>
      <c r="V12" s="212">
        <f>'7c. Success counts 1718'!V12-'7d Success counts 1617'!V12</f>
        <v>59</v>
      </c>
      <c r="W12" s="212">
        <f>'7c. Success counts 1718'!W12-'7d Success counts 1617'!W12</f>
        <v>-122</v>
      </c>
      <c r="X12" s="212">
        <f>'7c. Success counts 1718'!X12-'7d Success counts 1617'!X12</f>
        <v>80</v>
      </c>
      <c r="Y12" s="212">
        <f>'7c. Success counts 1718'!Y12-'7d Success counts 1617'!Y12</f>
        <v>69</v>
      </c>
      <c r="Z12" s="213"/>
    </row>
    <row r="13" spans="1:26" x14ac:dyDescent="0.25">
      <c r="A13" s="170" t="s">
        <v>52</v>
      </c>
      <c r="B13" s="212">
        <f>'7c. Success counts 1718'!B13-'7d Success counts 1617'!B13</f>
        <v>100</v>
      </c>
      <c r="C13" s="212">
        <f>'7c. Success counts 1718'!C13-'7d Success counts 1617'!C13</f>
        <v>14</v>
      </c>
      <c r="D13" s="212">
        <f>'7c. Success counts 1718'!D13-'7d Success counts 1617'!D13</f>
        <v>0</v>
      </c>
      <c r="E13" s="212">
        <f>'7c. Success counts 1718'!E13-'7d Success counts 1617'!E13</f>
        <v>109</v>
      </c>
      <c r="F13" s="212">
        <f>'7c. Success counts 1718'!F13-'7d Success counts 1617'!F13</f>
        <v>218</v>
      </c>
      <c r="G13" s="212">
        <f>'7c. Success counts 1718'!G13-'7d Success counts 1617'!G13</f>
        <v>-274</v>
      </c>
      <c r="H13" s="212">
        <f>'7c. Success counts 1718'!H13-'7d Success counts 1617'!H13</f>
        <v>-5</v>
      </c>
      <c r="I13" s="212">
        <f>'7c. Success counts 1718'!I13-'7d Success counts 1617'!I13</f>
        <v>135</v>
      </c>
      <c r="J13" s="212">
        <f>'7c. Success counts 1718'!J13-'7d Success counts 1617'!J13</f>
        <v>34</v>
      </c>
      <c r="K13" s="212">
        <f>'7c. Success counts 1718'!K13-'7d Success counts 1617'!K13</f>
        <v>-58</v>
      </c>
      <c r="L13" s="212">
        <f>'7c. Success counts 1718'!L13-'7d Success counts 1617'!L13</f>
        <v>0</v>
      </c>
      <c r="M13" s="212">
        <f>'7c. Success counts 1718'!M13-'7d Success counts 1617'!M13</f>
        <v>49</v>
      </c>
      <c r="N13" s="212">
        <f>'7c. Success counts 1718'!N13-'7d Success counts 1617'!N13</f>
        <v>92</v>
      </c>
      <c r="O13" s="212">
        <f>'7c. Success counts 1718'!O13-'7d Success counts 1617'!O13</f>
        <v>-279</v>
      </c>
      <c r="P13" s="212">
        <f>'7c. Success counts 1718'!P13-'7d Success counts 1617'!P13</f>
        <v>-56</v>
      </c>
      <c r="Q13" s="212">
        <f>'7c. Success counts 1718'!Q13-'7d Success counts 1617'!Q13</f>
        <v>10</v>
      </c>
      <c r="R13" s="212">
        <f>'7c. Success counts 1718'!R13-'7d Success counts 1617'!R13</f>
        <v>47</v>
      </c>
      <c r="S13" s="212">
        <f>'7c. Success counts 1718'!S13-'7d Success counts 1617'!S13</f>
        <v>144</v>
      </c>
      <c r="T13" s="212">
        <f>'7c. Success counts 1718'!T13-'7d Success counts 1617'!T13</f>
        <v>0</v>
      </c>
      <c r="U13" s="212">
        <f>'7c. Success counts 1718'!U13-'7d Success counts 1617'!U13</f>
        <v>65</v>
      </c>
      <c r="V13" s="212">
        <f>'7c. Success counts 1718'!V13-'7d Success counts 1617'!V13</f>
        <v>96</v>
      </c>
      <c r="W13" s="212">
        <f>'7c. Success counts 1718'!W13-'7d Success counts 1617'!W13</f>
        <v>-159</v>
      </c>
      <c r="X13" s="212">
        <f>'7c. Success counts 1718'!X13-'7d Success counts 1617'!X13</f>
        <v>-58</v>
      </c>
      <c r="Y13" s="212">
        <f>'7c. Success counts 1718'!Y13-'7d Success counts 1617'!Y13</f>
        <v>41</v>
      </c>
      <c r="Z13" s="213"/>
    </row>
    <row r="14" spans="1:26" x14ac:dyDescent="0.25">
      <c r="A14" s="170" t="s">
        <v>53</v>
      </c>
      <c r="B14" s="212">
        <f>'7c. Success counts 1718'!B14-'7d Success counts 1617'!B14</f>
        <v>0</v>
      </c>
      <c r="C14" s="212">
        <f>'7c. Success counts 1718'!C14-'7d Success counts 1617'!C14</f>
        <v>68</v>
      </c>
      <c r="D14" s="212">
        <f>'7c. Success counts 1718'!D14-'7d Success counts 1617'!D14</f>
        <v>0</v>
      </c>
      <c r="E14" s="212">
        <f>'7c. Success counts 1718'!E14-'7d Success counts 1617'!E14</f>
        <v>-15</v>
      </c>
      <c r="F14" s="212">
        <f>'7c. Success counts 1718'!F14-'7d Success counts 1617'!F14</f>
        <v>-8</v>
      </c>
      <c r="G14" s="212">
        <f>'7c. Success counts 1718'!G14-'7d Success counts 1617'!G14</f>
        <v>-4</v>
      </c>
      <c r="H14" s="212">
        <f>'7c. Success counts 1718'!H14-'7d Success counts 1617'!H14</f>
        <v>-14</v>
      </c>
      <c r="I14" s="212">
        <f>'7c. Success counts 1718'!I14-'7d Success counts 1617'!I14</f>
        <v>38</v>
      </c>
      <c r="J14" s="212">
        <f>'7c. Success counts 1718'!J14-'7d Success counts 1617'!J14</f>
        <v>0</v>
      </c>
      <c r="K14" s="212">
        <f>'7c. Success counts 1718'!K14-'7d Success counts 1617'!K14</f>
        <v>42</v>
      </c>
      <c r="L14" s="212">
        <f>'7c. Success counts 1718'!L14-'7d Success counts 1617'!L14</f>
        <v>0</v>
      </c>
      <c r="M14" s="212">
        <f>'7c. Success counts 1718'!M14-'7d Success counts 1617'!M14</f>
        <v>-4</v>
      </c>
      <c r="N14" s="212">
        <f>'7c. Success counts 1718'!N14-'7d Success counts 1617'!N14</f>
        <v>-8</v>
      </c>
      <c r="O14" s="212">
        <f>'7c. Success counts 1718'!O14-'7d Success counts 1617'!O14</f>
        <v>-17</v>
      </c>
      <c r="P14" s="212">
        <f>'7c. Success counts 1718'!P14-'7d Success counts 1617'!P14</f>
        <v>22</v>
      </c>
      <c r="Q14" s="212">
        <f>'7c. Success counts 1718'!Q14-'7d Success counts 1617'!Q14</f>
        <v>16</v>
      </c>
      <c r="R14" s="212">
        <f>'7c. Success counts 1718'!R14-'7d Success counts 1617'!R14</f>
        <v>0</v>
      </c>
      <c r="S14" s="212">
        <f>'7c. Success counts 1718'!S14-'7d Success counts 1617'!S14</f>
        <v>64</v>
      </c>
      <c r="T14" s="212">
        <f>'7c. Success counts 1718'!T14-'7d Success counts 1617'!T14</f>
        <v>0</v>
      </c>
      <c r="U14" s="212">
        <f>'7c. Success counts 1718'!U14-'7d Success counts 1617'!U14</f>
        <v>-19</v>
      </c>
      <c r="V14" s="212">
        <f>'7c. Success counts 1718'!V14-'7d Success counts 1617'!V14</f>
        <v>-9</v>
      </c>
      <c r="W14" s="212">
        <f>'7c. Success counts 1718'!W14-'7d Success counts 1617'!W14</f>
        <v>-21</v>
      </c>
      <c r="X14" s="212">
        <f>'7c. Success counts 1718'!X14-'7d Success counts 1617'!X14</f>
        <v>17</v>
      </c>
      <c r="Y14" s="212">
        <f>'7c. Success counts 1718'!Y14-'7d Success counts 1617'!Y14</f>
        <v>23</v>
      </c>
      <c r="Z14" s="213"/>
    </row>
    <row r="15" spans="1:26" x14ac:dyDescent="0.25">
      <c r="A15" s="170" t="s">
        <v>54</v>
      </c>
      <c r="B15" s="212">
        <f>'7c. Success counts 1718'!B15-'7d Success counts 1617'!B15</f>
        <v>307</v>
      </c>
      <c r="C15" s="212">
        <f>'7c. Success counts 1718'!C15-'7d Success counts 1617'!C15</f>
        <v>122</v>
      </c>
      <c r="D15" s="212">
        <f>'7c. Success counts 1718'!D15-'7d Success counts 1617'!D15</f>
        <v>0</v>
      </c>
      <c r="E15" s="212">
        <f>'7c. Success counts 1718'!E15-'7d Success counts 1617'!E15</f>
        <v>116</v>
      </c>
      <c r="F15" s="212">
        <f>'7c. Success counts 1718'!F15-'7d Success counts 1617'!F15</f>
        <v>87</v>
      </c>
      <c r="G15" s="212">
        <f>'7c. Success counts 1718'!G15-'7d Success counts 1617'!G15</f>
        <v>-120</v>
      </c>
      <c r="H15" s="212">
        <f>'7c. Success counts 1718'!H15-'7d Success counts 1617'!H15</f>
        <v>56</v>
      </c>
      <c r="I15" s="212">
        <f>'7c. Success counts 1718'!I15-'7d Success counts 1617'!I15</f>
        <v>-112</v>
      </c>
      <c r="J15" s="212">
        <f>'7c. Success counts 1718'!J15-'7d Success counts 1617'!J15</f>
        <v>129</v>
      </c>
      <c r="K15" s="212">
        <f>'7c. Success counts 1718'!K15-'7d Success counts 1617'!K15</f>
        <v>41</v>
      </c>
      <c r="L15" s="212">
        <f>'7c. Success counts 1718'!L15-'7d Success counts 1617'!L15</f>
        <v>0</v>
      </c>
      <c r="M15" s="212">
        <f>'7c. Success counts 1718'!M15-'7d Success counts 1617'!M15</f>
        <v>32</v>
      </c>
      <c r="N15" s="212">
        <f>'7c. Success counts 1718'!N15-'7d Success counts 1617'!N15</f>
        <v>32</v>
      </c>
      <c r="O15" s="212">
        <f>'7c. Success counts 1718'!O15-'7d Success counts 1617'!O15</f>
        <v>-17</v>
      </c>
      <c r="P15" s="212">
        <f>'7c. Success counts 1718'!P15-'7d Success counts 1617'!P15</f>
        <v>13</v>
      </c>
      <c r="Q15" s="212">
        <f>'7c. Success counts 1718'!Q15-'7d Success counts 1617'!Q15</f>
        <v>-11</v>
      </c>
      <c r="R15" s="212">
        <f>'7c. Success counts 1718'!R15-'7d Success counts 1617'!R15</f>
        <v>192</v>
      </c>
      <c r="S15" s="212">
        <f>'7c. Success counts 1718'!S15-'7d Success counts 1617'!S15</f>
        <v>82</v>
      </c>
      <c r="T15" s="212">
        <f>'7c. Success counts 1718'!T15-'7d Success counts 1617'!T15</f>
        <v>0</v>
      </c>
      <c r="U15" s="212">
        <f>'7c. Success counts 1718'!U15-'7d Success counts 1617'!U15</f>
        <v>33</v>
      </c>
      <c r="V15" s="212">
        <f>'7c. Success counts 1718'!V15-'7d Success counts 1617'!V15</f>
        <v>69</v>
      </c>
      <c r="W15" s="212">
        <f>'7c. Success counts 1718'!W15-'7d Success counts 1617'!W15</f>
        <v>9</v>
      </c>
      <c r="X15" s="212">
        <f>'7c. Success counts 1718'!X15-'7d Success counts 1617'!X15</f>
        <v>7</v>
      </c>
      <c r="Y15" s="212">
        <f>'7c. Success counts 1718'!Y15-'7d Success counts 1617'!Y15</f>
        <v>-10</v>
      </c>
      <c r="Z15" s="213"/>
    </row>
    <row r="16" spans="1:26" x14ac:dyDescent="0.25">
      <c r="A16" s="170" t="s">
        <v>55</v>
      </c>
      <c r="B16" s="212">
        <f>'7c. Success counts 1718'!B16-'7d Success counts 1617'!B16</f>
        <v>8</v>
      </c>
      <c r="C16" s="212">
        <f>'7c. Success counts 1718'!C16-'7d Success counts 1617'!C16</f>
        <v>37</v>
      </c>
      <c r="D16" s="212">
        <f>'7c. Success counts 1718'!D16-'7d Success counts 1617'!D16</f>
        <v>0</v>
      </c>
      <c r="E16" s="212">
        <f>'7c. Success counts 1718'!E16-'7d Success counts 1617'!E16</f>
        <v>4</v>
      </c>
      <c r="F16" s="212">
        <f>'7c. Success counts 1718'!F16-'7d Success counts 1617'!F16</f>
        <v>2</v>
      </c>
      <c r="G16" s="212">
        <f>'7c. Success counts 1718'!G16-'7d Success counts 1617'!G16</f>
        <v>5</v>
      </c>
      <c r="H16" s="212">
        <f>'7c. Success counts 1718'!H16-'7d Success counts 1617'!H16</f>
        <v>-42</v>
      </c>
      <c r="I16" s="212">
        <f>'7c. Success counts 1718'!I16-'7d Success counts 1617'!I16</f>
        <v>-1</v>
      </c>
      <c r="J16" s="212">
        <f>'7c. Success counts 1718'!J16-'7d Success counts 1617'!J16</f>
        <v>2</v>
      </c>
      <c r="K16" s="212">
        <f>'7c. Success counts 1718'!K16-'7d Success counts 1617'!K16</f>
        <v>28</v>
      </c>
      <c r="L16" s="212">
        <f>'7c. Success counts 1718'!L16-'7d Success counts 1617'!L16</f>
        <v>0</v>
      </c>
      <c r="M16" s="212">
        <f>'7c. Success counts 1718'!M16-'7d Success counts 1617'!M16</f>
        <v>7</v>
      </c>
      <c r="N16" s="212">
        <f>'7c. Success counts 1718'!N16-'7d Success counts 1617'!N16</f>
        <v>-4</v>
      </c>
      <c r="O16" s="212">
        <f>'7c. Success counts 1718'!O16-'7d Success counts 1617'!O16</f>
        <v>-2</v>
      </c>
      <c r="P16" s="212">
        <f>'7c. Success counts 1718'!P16-'7d Success counts 1617'!P16</f>
        <v>-41</v>
      </c>
      <c r="Q16" s="212">
        <f>'7c. Success counts 1718'!Q16-'7d Success counts 1617'!Q16</f>
        <v>-3</v>
      </c>
      <c r="R16" s="212">
        <f>'7c. Success counts 1718'!R16-'7d Success counts 1617'!R16</f>
        <v>6</v>
      </c>
      <c r="S16" s="212">
        <f>'7c. Success counts 1718'!S16-'7d Success counts 1617'!S16</f>
        <v>30</v>
      </c>
      <c r="T16" s="212">
        <f>'7c. Success counts 1718'!T16-'7d Success counts 1617'!T16</f>
        <v>0</v>
      </c>
      <c r="U16" s="212">
        <f>'7c. Success counts 1718'!U16-'7d Success counts 1617'!U16</f>
        <v>5</v>
      </c>
      <c r="V16" s="212">
        <f>'7c. Success counts 1718'!V16-'7d Success counts 1617'!V16</f>
        <v>-5</v>
      </c>
      <c r="W16" s="212">
        <f>'7c. Success counts 1718'!W16-'7d Success counts 1617'!W16</f>
        <v>7</v>
      </c>
      <c r="X16" s="212">
        <f>'7c. Success counts 1718'!X16-'7d Success counts 1617'!X16</f>
        <v>-44</v>
      </c>
      <c r="Y16" s="212">
        <f>'7c. Success counts 1718'!Y16-'7d Success counts 1617'!Y16</f>
        <v>8</v>
      </c>
      <c r="Z16" s="213"/>
    </row>
    <row r="17" spans="1:26" x14ac:dyDescent="0.25">
      <c r="A17" s="170" t="s">
        <v>56</v>
      </c>
      <c r="B17" s="212">
        <f>'7c. Success counts 1718'!B17-'7d Success counts 1617'!B17</f>
        <v>78</v>
      </c>
      <c r="C17" s="212">
        <f>'7c. Success counts 1718'!C17-'7d Success counts 1617'!C17</f>
        <v>4</v>
      </c>
      <c r="D17" s="212">
        <f>'7c. Success counts 1718'!D17-'7d Success counts 1617'!D17</f>
        <v>0</v>
      </c>
      <c r="E17" s="212">
        <f>'7c. Success counts 1718'!E17-'7d Success counts 1617'!E17</f>
        <v>47</v>
      </c>
      <c r="F17" s="212">
        <f>'7c. Success counts 1718'!F17-'7d Success counts 1617'!F17</f>
        <v>33</v>
      </c>
      <c r="G17" s="212">
        <f>'7c. Success counts 1718'!G17-'7d Success counts 1617'!G17</f>
        <v>60</v>
      </c>
      <c r="H17" s="212">
        <f>'7c. Success counts 1718'!H17-'7d Success counts 1617'!H17</f>
        <v>51</v>
      </c>
      <c r="I17" s="212">
        <f>'7c. Success counts 1718'!I17-'7d Success counts 1617'!I17</f>
        <v>16</v>
      </c>
      <c r="J17" s="212">
        <f>'7c. Success counts 1718'!J17-'7d Success counts 1617'!J17</f>
        <v>64</v>
      </c>
      <c r="K17" s="212">
        <f>'7c. Success counts 1718'!K17-'7d Success counts 1617'!K17</f>
        <v>17</v>
      </c>
      <c r="L17" s="212">
        <f>'7c. Success counts 1718'!L17-'7d Success counts 1617'!L17</f>
        <v>0</v>
      </c>
      <c r="M17" s="212">
        <f>'7c. Success counts 1718'!M17-'7d Success counts 1617'!M17</f>
        <v>43</v>
      </c>
      <c r="N17" s="212">
        <f>'7c. Success counts 1718'!N17-'7d Success counts 1617'!N17</f>
        <v>18</v>
      </c>
      <c r="O17" s="212">
        <f>'7c. Success counts 1718'!O17-'7d Success counts 1617'!O17</f>
        <v>39</v>
      </c>
      <c r="P17" s="212">
        <f>'7c. Success counts 1718'!P17-'7d Success counts 1617'!P17</f>
        <v>22</v>
      </c>
      <c r="Q17" s="212">
        <f>'7c. Success counts 1718'!Q17-'7d Success counts 1617'!Q17</f>
        <v>51</v>
      </c>
      <c r="R17" s="212">
        <f>'7c. Success counts 1718'!R17-'7d Success counts 1617'!R17</f>
        <v>98</v>
      </c>
      <c r="S17" s="212">
        <f>'7c. Success counts 1718'!S17-'7d Success counts 1617'!S17</f>
        <v>11</v>
      </c>
      <c r="T17" s="212">
        <f>'7c. Success counts 1718'!T17-'7d Success counts 1617'!T17</f>
        <v>0</v>
      </c>
      <c r="U17" s="212">
        <f>'7c. Success counts 1718'!U17-'7d Success counts 1617'!U17</f>
        <v>51</v>
      </c>
      <c r="V17" s="212">
        <f>'7c. Success counts 1718'!V17-'7d Success counts 1617'!V17</f>
        <v>21</v>
      </c>
      <c r="W17" s="212">
        <f>'7c. Success counts 1718'!W17-'7d Success counts 1617'!W17</f>
        <v>55</v>
      </c>
      <c r="X17" s="212">
        <f>'7c. Success counts 1718'!X17-'7d Success counts 1617'!X17</f>
        <v>29</v>
      </c>
      <c r="Y17" s="212">
        <f>'7c. Success counts 1718'!Y17-'7d Success counts 1617'!Y17</f>
        <v>9</v>
      </c>
      <c r="Z17" s="213"/>
    </row>
    <row r="18" spans="1:26" x14ac:dyDescent="0.25">
      <c r="A18" s="170" t="s">
        <v>57</v>
      </c>
      <c r="B18" s="212">
        <f>'7c. Success counts 1718'!B18-'7d Success counts 1617'!B18</f>
        <v>166</v>
      </c>
      <c r="C18" s="212">
        <f>'7c. Success counts 1718'!C18-'7d Success counts 1617'!C18</f>
        <v>62</v>
      </c>
      <c r="D18" s="212">
        <f>'7c. Success counts 1718'!D18-'7d Success counts 1617'!D18</f>
        <v>0</v>
      </c>
      <c r="E18" s="212">
        <f>'7c. Success counts 1718'!E18-'7d Success counts 1617'!E18</f>
        <v>123</v>
      </c>
      <c r="F18" s="212">
        <f>'7c. Success counts 1718'!F18-'7d Success counts 1617'!F18</f>
        <v>92</v>
      </c>
      <c r="G18" s="212">
        <f>'7c. Success counts 1718'!G18-'7d Success counts 1617'!G18</f>
        <v>64</v>
      </c>
      <c r="H18" s="212">
        <f>'7c. Success counts 1718'!H18-'7d Success counts 1617'!H18</f>
        <v>167</v>
      </c>
      <c r="I18" s="212">
        <f>'7c. Success counts 1718'!I18-'7d Success counts 1617'!I18</f>
        <v>286</v>
      </c>
      <c r="J18" s="212">
        <f>'7c. Success counts 1718'!J18-'7d Success counts 1617'!J18</f>
        <v>50</v>
      </c>
      <c r="K18" s="212">
        <f>'7c. Success counts 1718'!K18-'7d Success counts 1617'!K18</f>
        <v>57</v>
      </c>
      <c r="L18" s="212">
        <f>'7c. Success counts 1718'!L18-'7d Success counts 1617'!L18</f>
        <v>0</v>
      </c>
      <c r="M18" s="212">
        <f>'7c. Success counts 1718'!M18-'7d Success counts 1617'!M18</f>
        <v>27</v>
      </c>
      <c r="N18" s="212">
        <f>'7c. Success counts 1718'!N18-'7d Success counts 1617'!N18</f>
        <v>76</v>
      </c>
      <c r="O18" s="212">
        <f>'7c. Success counts 1718'!O18-'7d Success counts 1617'!O18</f>
        <v>-52</v>
      </c>
      <c r="P18" s="212">
        <f>'7c. Success counts 1718'!P18-'7d Success counts 1617'!P18</f>
        <v>116</v>
      </c>
      <c r="Q18" s="212">
        <f>'7c. Success counts 1718'!Q18-'7d Success counts 1617'!Q18</f>
        <v>74</v>
      </c>
      <c r="R18" s="212">
        <f>'7c. Success counts 1718'!R18-'7d Success counts 1617'!R18</f>
        <v>100</v>
      </c>
      <c r="S18" s="212">
        <f>'7c. Success counts 1718'!S18-'7d Success counts 1617'!S18</f>
        <v>29</v>
      </c>
      <c r="T18" s="212">
        <f>'7c. Success counts 1718'!T18-'7d Success counts 1617'!T18</f>
        <v>0</v>
      </c>
      <c r="U18" s="212">
        <f>'7c. Success counts 1718'!U18-'7d Success counts 1617'!U18</f>
        <v>49</v>
      </c>
      <c r="V18" s="212">
        <f>'7c. Success counts 1718'!V18-'7d Success counts 1617'!V18</f>
        <v>75</v>
      </c>
      <c r="W18" s="212">
        <f>'7c. Success counts 1718'!W18-'7d Success counts 1617'!W18</f>
        <v>-32</v>
      </c>
      <c r="X18" s="212">
        <f>'7c. Success counts 1718'!X18-'7d Success counts 1617'!X18</f>
        <v>105</v>
      </c>
      <c r="Y18" s="212">
        <f>'7c. Success counts 1718'!Y18-'7d Success counts 1617'!Y18</f>
        <v>130</v>
      </c>
      <c r="Z18" s="213"/>
    </row>
    <row r="19" spans="1:26" x14ac:dyDescent="0.25">
      <c r="A19" s="170" t="s">
        <v>58</v>
      </c>
      <c r="B19" s="212">
        <f>'7c. Success counts 1718'!B19-'7d Success counts 1617'!B19</f>
        <v>30</v>
      </c>
      <c r="C19" s="212">
        <f>'7c. Success counts 1718'!C19-'7d Success counts 1617'!C19</f>
        <v>19</v>
      </c>
      <c r="D19" s="212">
        <f>'7c. Success counts 1718'!D19-'7d Success counts 1617'!D19</f>
        <v>3</v>
      </c>
      <c r="E19" s="212">
        <f>'7c. Success counts 1718'!E19-'7d Success counts 1617'!E19</f>
        <v>9</v>
      </c>
      <c r="F19" s="212">
        <f>'7c. Success counts 1718'!F19-'7d Success counts 1617'!F19</f>
        <v>-4</v>
      </c>
      <c r="G19" s="212">
        <f>'7c. Success counts 1718'!G19-'7d Success counts 1617'!G19</f>
        <v>252</v>
      </c>
      <c r="H19" s="212">
        <f>'7c. Success counts 1718'!H19-'7d Success counts 1617'!H19</f>
        <v>-30</v>
      </c>
      <c r="I19" s="212">
        <f>'7c. Success counts 1718'!I19-'7d Success counts 1617'!I19</f>
        <v>-127</v>
      </c>
      <c r="J19" s="212">
        <f>'7c. Success counts 1718'!J19-'7d Success counts 1617'!J19</f>
        <v>4</v>
      </c>
      <c r="K19" s="212">
        <f>'7c. Success counts 1718'!K19-'7d Success counts 1617'!K19</f>
        <v>16</v>
      </c>
      <c r="L19" s="212">
        <f>'7c. Success counts 1718'!L19-'7d Success counts 1617'!L19</f>
        <v>3</v>
      </c>
      <c r="M19" s="212">
        <f>'7c. Success counts 1718'!M19-'7d Success counts 1617'!M19</f>
        <v>6</v>
      </c>
      <c r="N19" s="212">
        <f>'7c. Success counts 1718'!N19-'7d Success counts 1617'!N19</f>
        <v>-3</v>
      </c>
      <c r="O19" s="212">
        <f>'7c. Success counts 1718'!O19-'7d Success counts 1617'!O19</f>
        <v>-14</v>
      </c>
      <c r="P19" s="212">
        <f>'7c. Success counts 1718'!P19-'7d Success counts 1617'!P19</f>
        <v>-6</v>
      </c>
      <c r="Q19" s="212">
        <f>'7c. Success counts 1718'!Q19-'7d Success counts 1617'!Q19</f>
        <v>-11</v>
      </c>
      <c r="R19" s="212">
        <f>'7c. Success counts 1718'!R19-'7d Success counts 1617'!R19</f>
        <v>28</v>
      </c>
      <c r="S19" s="212">
        <f>'7c. Success counts 1718'!S19-'7d Success counts 1617'!S19</f>
        <v>12</v>
      </c>
      <c r="T19" s="212">
        <f>'7c. Success counts 1718'!T19-'7d Success counts 1617'!T19</f>
        <v>2</v>
      </c>
      <c r="U19" s="212">
        <f>'7c. Success counts 1718'!U19-'7d Success counts 1617'!U19</f>
        <v>8</v>
      </c>
      <c r="V19" s="212">
        <f>'7c. Success counts 1718'!V19-'7d Success counts 1617'!V19</f>
        <v>-13</v>
      </c>
      <c r="W19" s="212">
        <f>'7c. Success counts 1718'!W19-'7d Success counts 1617'!W19</f>
        <v>25</v>
      </c>
      <c r="X19" s="212">
        <f>'7c. Success counts 1718'!X19-'7d Success counts 1617'!X19</f>
        <v>-5</v>
      </c>
      <c r="Y19" s="212">
        <f>'7c. Success counts 1718'!Y19-'7d Success counts 1617'!Y19</f>
        <v>-17</v>
      </c>
      <c r="Z19" s="213"/>
    </row>
    <row r="20" spans="1:26" ht="17.25" x14ac:dyDescent="0.25">
      <c r="A20" s="170" t="s">
        <v>59</v>
      </c>
      <c r="B20" s="212">
        <f>'7c. Success counts 1718'!B20-'7d Success counts 1617'!B20</f>
        <v>183</v>
      </c>
      <c r="C20" s="212">
        <f>'7c. Success counts 1718'!C20-'7d Success counts 1617'!C20</f>
        <v>-183</v>
      </c>
      <c r="D20" s="212">
        <f>'7c. Success counts 1718'!D20-'7d Success counts 1617'!D20</f>
        <v>23</v>
      </c>
      <c r="E20" s="212">
        <f>'7c. Success counts 1718'!E20-'7d Success counts 1617'!E20</f>
        <v>159</v>
      </c>
      <c r="F20" s="212">
        <f>'7c. Success counts 1718'!F20-'7d Success counts 1617'!F20</f>
        <v>113</v>
      </c>
      <c r="G20" s="212">
        <f>'7c. Success counts 1718'!G20-'7d Success counts 1617'!G20</f>
        <v>-645</v>
      </c>
      <c r="H20" s="212">
        <f>'7c. Success counts 1718'!H20-'7d Success counts 1617'!H20</f>
        <v>319</v>
      </c>
      <c r="I20" s="212">
        <f>'7c. Success counts 1718'!I20-'7d Success counts 1617'!I20</f>
        <v>817</v>
      </c>
      <c r="J20" s="212">
        <f>'7c. Success counts 1718'!J20-'7d Success counts 1617'!J20</f>
        <v>73</v>
      </c>
      <c r="K20" s="212">
        <f>'7c. Success counts 1718'!K20-'7d Success counts 1617'!K20</f>
        <v>-92</v>
      </c>
      <c r="L20" s="212">
        <f>'7c. Success counts 1718'!L20-'7d Success counts 1617'!L20</f>
        <v>8</v>
      </c>
      <c r="M20" s="212">
        <f>'7c. Success counts 1718'!M20-'7d Success counts 1617'!M20</f>
        <v>9</v>
      </c>
      <c r="N20" s="212">
        <f>'7c. Success counts 1718'!N20-'7d Success counts 1617'!N20</f>
        <v>53</v>
      </c>
      <c r="O20" s="212">
        <f>'7c. Success counts 1718'!O20-'7d Success counts 1617'!O20</f>
        <v>-134</v>
      </c>
      <c r="P20" s="212">
        <f>'7c. Success counts 1718'!P20-'7d Success counts 1617'!P20</f>
        <v>83</v>
      </c>
      <c r="Q20" s="212">
        <f>'7c. Success counts 1718'!Q20-'7d Success counts 1617'!Q20</f>
        <v>53</v>
      </c>
      <c r="R20" s="212">
        <f>'7c. Success counts 1718'!R20-'7d Success counts 1617'!R20</f>
        <v>111</v>
      </c>
      <c r="S20" s="212">
        <f>'7c. Success counts 1718'!S20-'7d Success counts 1617'!S20</f>
        <v>-144</v>
      </c>
      <c r="T20" s="212">
        <f>'7c. Success counts 1718'!T20-'7d Success counts 1617'!T20</f>
        <v>18</v>
      </c>
      <c r="U20" s="212">
        <f>'7c. Success counts 1718'!U20-'7d Success counts 1617'!U20</f>
        <v>26</v>
      </c>
      <c r="V20" s="212">
        <f>'7c. Success counts 1718'!V20-'7d Success counts 1617'!V20</f>
        <v>35</v>
      </c>
      <c r="W20" s="212">
        <f>'7c. Success counts 1718'!W20-'7d Success counts 1617'!W20</f>
        <v>-292</v>
      </c>
      <c r="X20" s="212">
        <f>'7c. Success counts 1718'!X20-'7d Success counts 1617'!X20</f>
        <v>111</v>
      </c>
      <c r="Y20" s="212">
        <f>'7c. Success counts 1718'!Y20-'7d Success counts 1617'!Y20</f>
        <v>150</v>
      </c>
      <c r="Z20" s="213"/>
    </row>
    <row r="21" spans="1:26" x14ac:dyDescent="0.25">
      <c r="A21" s="170" t="s">
        <v>60</v>
      </c>
      <c r="B21" s="212">
        <f>'7c. Success counts 1718'!B21-'7d Success counts 1617'!B21</f>
        <v>77</v>
      </c>
      <c r="C21" s="212">
        <f>'7c. Success counts 1718'!C21-'7d Success counts 1617'!C21</f>
        <v>-10</v>
      </c>
      <c r="D21" s="212">
        <f>'7c. Success counts 1718'!D21-'7d Success counts 1617'!D21</f>
        <v>0</v>
      </c>
      <c r="E21" s="212">
        <f>'7c. Success counts 1718'!E21-'7d Success counts 1617'!E21</f>
        <v>4</v>
      </c>
      <c r="F21" s="212">
        <f>'7c. Success counts 1718'!F21-'7d Success counts 1617'!F21</f>
        <v>15</v>
      </c>
      <c r="G21" s="212">
        <f>'7c. Success counts 1718'!G21-'7d Success counts 1617'!G21</f>
        <v>-84</v>
      </c>
      <c r="H21" s="212">
        <f>'7c. Success counts 1718'!H21-'7d Success counts 1617'!H21</f>
        <v>31</v>
      </c>
      <c r="I21" s="212">
        <f>'7c. Success counts 1718'!I21-'7d Success counts 1617'!I21</f>
        <v>-422</v>
      </c>
      <c r="J21" s="212">
        <f>'7c. Success counts 1718'!J21-'7d Success counts 1617'!J21</f>
        <v>35</v>
      </c>
      <c r="K21" s="212">
        <f>'7c. Success counts 1718'!K21-'7d Success counts 1617'!K21</f>
        <v>-12</v>
      </c>
      <c r="L21" s="212">
        <f>'7c. Success counts 1718'!L21-'7d Success counts 1617'!L21</f>
        <v>0</v>
      </c>
      <c r="M21" s="212">
        <f>'7c. Success counts 1718'!M21-'7d Success counts 1617'!M21</f>
        <v>15</v>
      </c>
      <c r="N21" s="212">
        <f>'7c. Success counts 1718'!N21-'7d Success counts 1617'!N21</f>
        <v>9</v>
      </c>
      <c r="O21" s="212">
        <f>'7c. Success counts 1718'!O21-'7d Success counts 1617'!O21</f>
        <v>-48</v>
      </c>
      <c r="P21" s="212">
        <f>'7c. Success counts 1718'!P21-'7d Success counts 1617'!P21</f>
        <v>17</v>
      </c>
      <c r="Q21" s="212">
        <f>'7c. Success counts 1718'!Q21-'7d Success counts 1617'!Q21</f>
        <v>-6</v>
      </c>
      <c r="R21" s="212">
        <f>'7c. Success counts 1718'!R21-'7d Success counts 1617'!R21</f>
        <v>49</v>
      </c>
      <c r="S21" s="212">
        <f>'7c. Success counts 1718'!S21-'7d Success counts 1617'!S21</f>
        <v>-13</v>
      </c>
      <c r="T21" s="212">
        <f>'7c. Success counts 1718'!T21-'7d Success counts 1617'!T21</f>
        <v>0</v>
      </c>
      <c r="U21" s="212">
        <f>'7c. Success counts 1718'!U21-'7d Success counts 1617'!U21</f>
        <v>18</v>
      </c>
      <c r="V21" s="212">
        <f>'7c. Success counts 1718'!V21-'7d Success counts 1617'!V21</f>
        <v>6</v>
      </c>
      <c r="W21" s="212">
        <f>'7c. Success counts 1718'!W21-'7d Success counts 1617'!W21</f>
        <v>-72</v>
      </c>
      <c r="X21" s="212">
        <f>'7c. Success counts 1718'!X21-'7d Success counts 1617'!X21</f>
        <v>33</v>
      </c>
      <c r="Y21" s="212">
        <f>'7c. Success counts 1718'!Y21-'7d Success counts 1617'!Y21</f>
        <v>9</v>
      </c>
      <c r="Z21" s="213"/>
    </row>
    <row r="22" spans="1:26" x14ac:dyDescent="0.25">
      <c r="A22" s="170" t="s">
        <v>61</v>
      </c>
      <c r="B22" s="212">
        <f>'7c. Success counts 1718'!B22-'7d Success counts 1617'!B22</f>
        <v>70</v>
      </c>
      <c r="C22" s="212">
        <f>'7c. Success counts 1718'!C22-'7d Success counts 1617'!C22</f>
        <v>18</v>
      </c>
      <c r="D22" s="212">
        <f>'7c. Success counts 1718'!D22-'7d Success counts 1617'!D22</f>
        <v>0</v>
      </c>
      <c r="E22" s="212">
        <f>'7c. Success counts 1718'!E22-'7d Success counts 1617'!E22</f>
        <v>-40</v>
      </c>
      <c r="F22" s="212">
        <f>'7c. Success counts 1718'!F22-'7d Success counts 1617'!F22</f>
        <v>-14</v>
      </c>
      <c r="G22" s="212">
        <f>'7c. Success counts 1718'!G22-'7d Success counts 1617'!G22</f>
        <v>-96</v>
      </c>
      <c r="H22" s="212">
        <f>'7c. Success counts 1718'!H22-'7d Success counts 1617'!H22</f>
        <v>-52</v>
      </c>
      <c r="I22" s="212">
        <f>'7c. Success counts 1718'!I22-'7d Success counts 1617'!I22</f>
        <v>101</v>
      </c>
      <c r="J22" s="212">
        <f>'7c. Success counts 1718'!J22-'7d Success counts 1617'!J22</f>
        <v>40</v>
      </c>
      <c r="K22" s="212">
        <f>'7c. Success counts 1718'!K22-'7d Success counts 1617'!K22</f>
        <v>3</v>
      </c>
      <c r="L22" s="212">
        <f>'7c. Success counts 1718'!L22-'7d Success counts 1617'!L22</f>
        <v>0</v>
      </c>
      <c r="M22" s="212">
        <f>'7c. Success counts 1718'!M22-'7d Success counts 1617'!M22</f>
        <v>-28</v>
      </c>
      <c r="N22" s="212">
        <f>'7c. Success counts 1718'!N22-'7d Success counts 1617'!N22</f>
        <v>-2</v>
      </c>
      <c r="O22" s="212">
        <f>'7c. Success counts 1718'!O22-'7d Success counts 1617'!O22</f>
        <v>-41</v>
      </c>
      <c r="P22" s="212">
        <f>'7c. Success counts 1718'!P22-'7d Success counts 1617'!P22</f>
        <v>-48</v>
      </c>
      <c r="Q22" s="212">
        <f>'7c. Success counts 1718'!Q22-'7d Success counts 1617'!Q22</f>
        <v>31</v>
      </c>
      <c r="R22" s="212">
        <f>'7c. Success counts 1718'!R22-'7d Success counts 1617'!R22</f>
        <v>45</v>
      </c>
      <c r="S22" s="212">
        <f>'7c. Success counts 1718'!S22-'7d Success counts 1617'!S22</f>
        <v>18</v>
      </c>
      <c r="T22" s="212">
        <f>'7c. Success counts 1718'!T22-'7d Success counts 1617'!T22</f>
        <v>0</v>
      </c>
      <c r="U22" s="212">
        <f>'7c. Success counts 1718'!U22-'7d Success counts 1617'!U22</f>
        <v>-32</v>
      </c>
      <c r="V22" s="212">
        <f>'7c. Success counts 1718'!V22-'7d Success counts 1617'!V22</f>
        <v>0</v>
      </c>
      <c r="W22" s="212">
        <f>'7c. Success counts 1718'!W22-'7d Success counts 1617'!W22</f>
        <v>-50</v>
      </c>
      <c r="X22" s="212">
        <f>'7c. Success counts 1718'!X22-'7d Success counts 1617'!X22</f>
        <v>-37</v>
      </c>
      <c r="Y22" s="212">
        <f>'7c. Success counts 1718'!Y22-'7d Success counts 1617'!Y22</f>
        <v>53</v>
      </c>
      <c r="Z22" s="213"/>
    </row>
    <row r="23" spans="1:26" x14ac:dyDescent="0.25">
      <c r="A23" s="170" t="s">
        <v>62</v>
      </c>
      <c r="B23" s="212">
        <f>'7c. Success counts 1718'!B23-'7d Success counts 1617'!B23</f>
        <v>166</v>
      </c>
      <c r="C23" s="212">
        <f>'7c. Success counts 1718'!C23-'7d Success counts 1617'!C23</f>
        <v>149</v>
      </c>
      <c r="D23" s="212">
        <f>'7c. Success counts 1718'!D23-'7d Success counts 1617'!D23</f>
        <v>0</v>
      </c>
      <c r="E23" s="212">
        <f>'7c. Success counts 1718'!E23-'7d Success counts 1617'!E23</f>
        <v>13</v>
      </c>
      <c r="F23" s="212">
        <f>'7c. Success counts 1718'!F23-'7d Success counts 1617'!F23</f>
        <v>14</v>
      </c>
      <c r="G23" s="212">
        <f>'7c. Success counts 1718'!G23-'7d Success counts 1617'!G23</f>
        <v>-22</v>
      </c>
      <c r="H23" s="212">
        <f>'7c. Success counts 1718'!H23-'7d Success counts 1617'!H23</f>
        <v>33</v>
      </c>
      <c r="I23" s="212">
        <f>'7c. Success counts 1718'!I23-'7d Success counts 1617'!I23</f>
        <v>234</v>
      </c>
      <c r="J23" s="212">
        <f>'7c. Success counts 1718'!J23-'7d Success counts 1617'!J23</f>
        <v>82</v>
      </c>
      <c r="K23" s="212">
        <f>'7c. Success counts 1718'!K23-'7d Success counts 1617'!K23</f>
        <v>80</v>
      </c>
      <c r="L23" s="212">
        <f>'7c. Success counts 1718'!L23-'7d Success counts 1617'!L23</f>
        <v>0</v>
      </c>
      <c r="M23" s="212">
        <f>'7c. Success counts 1718'!M23-'7d Success counts 1617'!M23</f>
        <v>7</v>
      </c>
      <c r="N23" s="212">
        <f>'7c. Success counts 1718'!N23-'7d Success counts 1617'!N23</f>
        <v>20</v>
      </c>
      <c r="O23" s="212">
        <f>'7c. Success counts 1718'!O23-'7d Success counts 1617'!O23</f>
        <v>15</v>
      </c>
      <c r="P23" s="212">
        <f>'7c. Success counts 1718'!P23-'7d Success counts 1617'!P23</f>
        <v>73</v>
      </c>
      <c r="Q23" s="212">
        <f>'7c. Success counts 1718'!Q23-'7d Success counts 1617'!Q23</f>
        <v>65</v>
      </c>
      <c r="R23" s="212">
        <f>'7c. Success counts 1718'!R23-'7d Success counts 1617'!R23</f>
        <v>117</v>
      </c>
      <c r="S23" s="212">
        <f>'7c. Success counts 1718'!S23-'7d Success counts 1617'!S23</f>
        <v>97</v>
      </c>
      <c r="T23" s="212">
        <f>'7c. Success counts 1718'!T23-'7d Success counts 1617'!T23</f>
        <v>0</v>
      </c>
      <c r="U23" s="212">
        <f>'7c. Success counts 1718'!U23-'7d Success counts 1617'!U23</f>
        <v>6</v>
      </c>
      <c r="V23" s="212">
        <f>'7c. Success counts 1718'!V23-'7d Success counts 1617'!V23</f>
        <v>16</v>
      </c>
      <c r="W23" s="212">
        <f>'7c. Success counts 1718'!W23-'7d Success counts 1617'!W23</f>
        <v>-2</v>
      </c>
      <c r="X23" s="212">
        <f>'7c. Success counts 1718'!X23-'7d Success counts 1617'!X23</f>
        <v>38</v>
      </c>
      <c r="Y23" s="212">
        <f>'7c. Success counts 1718'!Y23-'7d Success counts 1617'!Y23</f>
        <v>82</v>
      </c>
      <c r="Z23" s="213"/>
    </row>
    <row r="24" spans="1:26" x14ac:dyDescent="0.25">
      <c r="A24" s="170" t="s">
        <v>63</v>
      </c>
      <c r="B24" s="212">
        <f>'7c. Success counts 1718'!B24-'7d Success counts 1617'!B24</f>
        <v>127</v>
      </c>
      <c r="C24" s="212">
        <f>'7c. Success counts 1718'!C24-'7d Success counts 1617'!C24</f>
        <v>-17</v>
      </c>
      <c r="D24" s="212">
        <f>'7c. Success counts 1718'!D24-'7d Success counts 1617'!D24</f>
        <v>0</v>
      </c>
      <c r="E24" s="212">
        <f>'7c. Success counts 1718'!E24-'7d Success counts 1617'!E24</f>
        <v>9</v>
      </c>
      <c r="F24" s="212">
        <f>'7c. Success counts 1718'!F24-'7d Success counts 1617'!F24</f>
        <v>-17</v>
      </c>
      <c r="G24" s="212">
        <f>'7c. Success counts 1718'!G24-'7d Success counts 1617'!G24</f>
        <v>-30</v>
      </c>
      <c r="H24" s="212">
        <f>'7c. Success counts 1718'!H24-'7d Success counts 1617'!H24</f>
        <v>43</v>
      </c>
      <c r="I24" s="212">
        <f>'7c. Success counts 1718'!I24-'7d Success counts 1617'!I24</f>
        <v>413</v>
      </c>
      <c r="J24" s="212">
        <f>'7c. Success counts 1718'!J24-'7d Success counts 1617'!J24</f>
        <v>90</v>
      </c>
      <c r="K24" s="212">
        <f>'7c. Success counts 1718'!K24-'7d Success counts 1617'!K24</f>
        <v>-12</v>
      </c>
      <c r="L24" s="212">
        <f>'7c. Success counts 1718'!L24-'7d Success counts 1617'!L24</f>
        <v>0</v>
      </c>
      <c r="M24" s="212">
        <f>'7c. Success counts 1718'!M24-'7d Success counts 1617'!M24</f>
        <v>-3</v>
      </c>
      <c r="N24" s="212">
        <f>'7c. Success counts 1718'!N24-'7d Success counts 1617'!N24</f>
        <v>-7</v>
      </c>
      <c r="O24" s="212">
        <f>'7c. Success counts 1718'!O24-'7d Success counts 1617'!O24</f>
        <v>-57</v>
      </c>
      <c r="P24" s="212">
        <f>'7c. Success counts 1718'!P24-'7d Success counts 1617'!P24</f>
        <v>-7</v>
      </c>
      <c r="Q24" s="212">
        <f>'7c. Success counts 1718'!Q24-'7d Success counts 1617'!Q24</f>
        <v>56</v>
      </c>
      <c r="R24" s="212">
        <f>'7c. Success counts 1718'!R24-'7d Success counts 1617'!R24</f>
        <v>110</v>
      </c>
      <c r="S24" s="212">
        <f>'7c. Success counts 1718'!S24-'7d Success counts 1617'!S24</f>
        <v>-9</v>
      </c>
      <c r="T24" s="212">
        <f>'7c. Success counts 1718'!T24-'7d Success counts 1617'!T24</f>
        <v>0</v>
      </c>
      <c r="U24" s="212">
        <f>'7c. Success counts 1718'!U24-'7d Success counts 1617'!U24</f>
        <v>13</v>
      </c>
      <c r="V24" s="212">
        <f>'7c. Success counts 1718'!V24-'7d Success counts 1617'!V24</f>
        <v>-9</v>
      </c>
      <c r="W24" s="212">
        <f>'7c. Success counts 1718'!W24-'7d Success counts 1617'!W24</f>
        <v>-40</v>
      </c>
      <c r="X24" s="212">
        <f>'7c. Success counts 1718'!X24-'7d Success counts 1617'!X24</f>
        <v>34</v>
      </c>
      <c r="Y24" s="212">
        <f>'7c. Success counts 1718'!Y24-'7d Success counts 1617'!Y24</f>
        <v>100</v>
      </c>
      <c r="Z24" s="213"/>
    </row>
    <row r="25" spans="1:26" x14ac:dyDescent="0.25">
      <c r="A25" s="170" t="s">
        <v>64</v>
      </c>
      <c r="B25" s="212">
        <f>'7c. Success counts 1718'!B25-'7d Success counts 1617'!B25</f>
        <v>62</v>
      </c>
      <c r="C25" s="212">
        <f>'7c. Success counts 1718'!C25-'7d Success counts 1617'!C25</f>
        <v>31</v>
      </c>
      <c r="D25" s="212">
        <f>'7c. Success counts 1718'!D25-'7d Success counts 1617'!D25</f>
        <v>0</v>
      </c>
      <c r="E25" s="212">
        <f>'7c. Success counts 1718'!E25-'7d Success counts 1617'!E25</f>
        <v>0</v>
      </c>
      <c r="F25" s="212">
        <f>'7c. Success counts 1718'!F25-'7d Success counts 1617'!F25</f>
        <v>-8</v>
      </c>
      <c r="G25" s="212">
        <f>'7c. Success counts 1718'!G25-'7d Success counts 1617'!G25</f>
        <v>130</v>
      </c>
      <c r="H25" s="212">
        <f>'7c. Success counts 1718'!H25-'7d Success counts 1617'!H25</f>
        <v>82</v>
      </c>
      <c r="I25" s="212">
        <f>'7c. Success counts 1718'!I25-'7d Success counts 1617'!I25</f>
        <v>-31</v>
      </c>
      <c r="J25" s="212">
        <f>'7c. Success counts 1718'!J25-'7d Success counts 1617'!J25</f>
        <v>28</v>
      </c>
      <c r="K25" s="212">
        <f>'7c. Success counts 1718'!K25-'7d Success counts 1617'!K25</f>
        <v>56</v>
      </c>
      <c r="L25" s="212">
        <f>'7c. Success counts 1718'!L25-'7d Success counts 1617'!L25</f>
        <v>0</v>
      </c>
      <c r="M25" s="212">
        <f>'7c. Success counts 1718'!M25-'7d Success counts 1617'!M25</f>
        <v>-5</v>
      </c>
      <c r="N25" s="212">
        <f>'7c. Success counts 1718'!N25-'7d Success counts 1617'!N25</f>
        <v>1</v>
      </c>
      <c r="O25" s="212">
        <f>'7c. Success counts 1718'!O25-'7d Success counts 1617'!O25</f>
        <v>96</v>
      </c>
      <c r="P25" s="212">
        <f>'7c. Success counts 1718'!P25-'7d Success counts 1617'!P25</f>
        <v>43</v>
      </c>
      <c r="Q25" s="212">
        <f>'7c. Success counts 1718'!Q25-'7d Success counts 1617'!Q25</f>
        <v>-51</v>
      </c>
      <c r="R25" s="212">
        <f>'7c. Success counts 1718'!R25-'7d Success counts 1617'!R25</f>
        <v>36</v>
      </c>
      <c r="S25" s="212">
        <f>'7c. Success counts 1718'!S25-'7d Success counts 1617'!S25</f>
        <v>40</v>
      </c>
      <c r="T25" s="212">
        <f>'7c. Success counts 1718'!T25-'7d Success counts 1617'!T25</f>
        <v>0</v>
      </c>
      <c r="U25" s="212">
        <f>'7c. Success counts 1718'!U25-'7d Success counts 1617'!U25</f>
        <v>-8</v>
      </c>
      <c r="V25" s="212">
        <f>'7c. Success counts 1718'!V25-'7d Success counts 1617'!V25</f>
        <v>2</v>
      </c>
      <c r="W25" s="212">
        <f>'7c. Success counts 1718'!W25-'7d Success counts 1617'!W25</f>
        <v>105</v>
      </c>
      <c r="X25" s="212">
        <f>'7c. Success counts 1718'!X25-'7d Success counts 1617'!X25</f>
        <v>61</v>
      </c>
      <c r="Y25" s="212">
        <f>'7c. Success counts 1718'!Y25-'7d Success counts 1617'!Y25</f>
        <v>-43</v>
      </c>
      <c r="Z25" s="213"/>
    </row>
    <row r="26" spans="1:26" x14ac:dyDescent="0.25">
      <c r="A26" s="170" t="s">
        <v>65</v>
      </c>
      <c r="B26" s="212">
        <f>'7c. Success counts 1718'!B26-'7d Success counts 1617'!B26</f>
        <v>303</v>
      </c>
      <c r="C26" s="212">
        <f>'7c. Success counts 1718'!C26-'7d Success counts 1617'!C26</f>
        <v>10</v>
      </c>
      <c r="D26" s="212">
        <f>'7c. Success counts 1718'!D26-'7d Success counts 1617'!D26</f>
        <v>5</v>
      </c>
      <c r="E26" s="212">
        <f>'7c. Success counts 1718'!E26-'7d Success counts 1617'!E26</f>
        <v>112</v>
      </c>
      <c r="F26" s="212">
        <f>'7c. Success counts 1718'!F26-'7d Success counts 1617'!F26</f>
        <v>101</v>
      </c>
      <c r="G26" s="212">
        <f>'7c. Success counts 1718'!G26-'7d Success counts 1617'!G26</f>
        <v>55</v>
      </c>
      <c r="H26" s="212">
        <f>'7c. Success counts 1718'!H26-'7d Success counts 1617'!H26</f>
        <v>82</v>
      </c>
      <c r="I26" s="212">
        <f>'7c. Success counts 1718'!I26-'7d Success counts 1617'!I26</f>
        <v>180</v>
      </c>
      <c r="J26" s="212">
        <f>'7c. Success counts 1718'!J26-'7d Success counts 1617'!J26</f>
        <v>223</v>
      </c>
      <c r="K26" s="212">
        <f>'7c. Success counts 1718'!K26-'7d Success counts 1617'!K26</f>
        <v>28</v>
      </c>
      <c r="L26" s="212">
        <f>'7c. Success counts 1718'!L26-'7d Success counts 1617'!L26</f>
        <v>4</v>
      </c>
      <c r="M26" s="212">
        <f>'7c. Success counts 1718'!M26-'7d Success counts 1617'!M26</f>
        <v>57</v>
      </c>
      <c r="N26" s="212">
        <f>'7c. Success counts 1718'!N26-'7d Success counts 1617'!N26</f>
        <v>58</v>
      </c>
      <c r="O26" s="212">
        <f>'7c. Success counts 1718'!O26-'7d Success counts 1617'!O26</f>
        <v>-55</v>
      </c>
      <c r="P26" s="212">
        <f>'7c. Success counts 1718'!P26-'7d Success counts 1617'!P26</f>
        <v>54</v>
      </c>
      <c r="Q26" s="212">
        <f>'7c. Success counts 1718'!Q26-'7d Success counts 1617'!Q26</f>
        <v>127</v>
      </c>
      <c r="R26" s="212">
        <f>'7c. Success counts 1718'!R26-'7d Success counts 1617'!R26</f>
        <v>225</v>
      </c>
      <c r="S26" s="212">
        <f>'7c. Success counts 1718'!S26-'7d Success counts 1617'!S26</f>
        <v>20</v>
      </c>
      <c r="T26" s="212">
        <f>'7c. Success counts 1718'!T26-'7d Success counts 1617'!T26</f>
        <v>4</v>
      </c>
      <c r="U26" s="212">
        <f>'7c. Success counts 1718'!U26-'7d Success counts 1617'!U26</f>
        <v>83</v>
      </c>
      <c r="V26" s="212">
        <f>'7c. Success counts 1718'!V26-'7d Success counts 1617'!V26</f>
        <v>81</v>
      </c>
      <c r="W26" s="212">
        <f>'7c. Success counts 1718'!W26-'7d Success counts 1617'!W26</f>
        <v>6</v>
      </c>
      <c r="X26" s="212">
        <f>'7c. Success counts 1718'!X26-'7d Success counts 1617'!X26</f>
        <v>102</v>
      </c>
      <c r="Y26" s="212">
        <f>'7c. Success counts 1718'!Y26-'7d Success counts 1617'!Y26</f>
        <v>316</v>
      </c>
      <c r="Z26" s="213"/>
    </row>
    <row r="27" spans="1:26" x14ac:dyDescent="0.25">
      <c r="A27" s="170" t="s">
        <v>25</v>
      </c>
      <c r="B27" s="212">
        <f>'7c. Success counts 1718'!B27-'7d Success counts 1617'!B27</f>
        <v>15</v>
      </c>
      <c r="C27" s="212">
        <f>'7c. Success counts 1718'!C27-'7d Success counts 1617'!C27</f>
        <v>6</v>
      </c>
      <c r="D27" s="212">
        <f>'7c. Success counts 1718'!D27-'7d Success counts 1617'!D27</f>
        <v>0</v>
      </c>
      <c r="E27" s="212">
        <f>'7c. Success counts 1718'!E27-'7d Success counts 1617'!E27</f>
        <v>-10</v>
      </c>
      <c r="F27" s="212">
        <f>'7c. Success counts 1718'!F27-'7d Success counts 1617'!F27</f>
        <v>6</v>
      </c>
      <c r="G27" s="212">
        <f>'7c. Success counts 1718'!G27-'7d Success counts 1617'!G27</f>
        <v>-42</v>
      </c>
      <c r="H27" s="212">
        <f>'7c. Success counts 1718'!H27-'7d Success counts 1617'!H27</f>
        <v>1</v>
      </c>
      <c r="I27" s="212">
        <f>'7c. Success counts 1718'!I27-'7d Success counts 1617'!I27</f>
        <v>-137</v>
      </c>
      <c r="J27" s="212">
        <f>'7c. Success counts 1718'!J27-'7d Success counts 1617'!J27</f>
        <v>0</v>
      </c>
      <c r="K27" s="212">
        <f>'7c. Success counts 1718'!K27-'7d Success counts 1617'!K27</f>
        <v>9</v>
      </c>
      <c r="L27" s="212">
        <f>'7c. Success counts 1718'!L27-'7d Success counts 1617'!L27</f>
        <v>0</v>
      </c>
      <c r="M27" s="212">
        <f>'7c. Success counts 1718'!M27-'7d Success counts 1617'!M27</f>
        <v>-3</v>
      </c>
      <c r="N27" s="212">
        <f>'7c. Success counts 1718'!N27-'7d Success counts 1617'!N27</f>
        <v>3</v>
      </c>
      <c r="O27" s="212">
        <f>'7c. Success counts 1718'!O27-'7d Success counts 1617'!O27</f>
        <v>-10</v>
      </c>
      <c r="P27" s="212">
        <f>'7c. Success counts 1718'!P27-'7d Success counts 1617'!P27</f>
        <v>-7</v>
      </c>
      <c r="Q27" s="212">
        <f>'7c. Success counts 1718'!Q27-'7d Success counts 1617'!Q27</f>
        <v>6</v>
      </c>
      <c r="R27" s="212">
        <f>'7c. Success counts 1718'!R27-'7d Success counts 1617'!R27</f>
        <v>11</v>
      </c>
      <c r="S27" s="212">
        <f>'7c. Success counts 1718'!S27-'7d Success counts 1617'!S27</f>
        <v>6</v>
      </c>
      <c r="T27" s="212">
        <f>'7c. Success counts 1718'!T27-'7d Success counts 1617'!T27</f>
        <v>0</v>
      </c>
      <c r="U27" s="212">
        <f>'7c. Success counts 1718'!U27-'7d Success counts 1617'!U27</f>
        <v>-6</v>
      </c>
      <c r="V27" s="212">
        <f>'7c. Success counts 1718'!V27-'7d Success counts 1617'!V27</f>
        <v>6</v>
      </c>
      <c r="W27" s="212">
        <f>'7c. Success counts 1718'!W27-'7d Success counts 1617'!W27</f>
        <v>13</v>
      </c>
      <c r="X27" s="212">
        <f>'7c. Success counts 1718'!X27-'7d Success counts 1617'!X27</f>
        <v>-18</v>
      </c>
      <c r="Y27" s="212">
        <f>'7c. Success counts 1718'!Y27-'7d Success counts 1617'!Y27</f>
        <v>-8</v>
      </c>
      <c r="Z27" s="213"/>
    </row>
    <row r="28" spans="1:26" x14ac:dyDescent="0.25">
      <c r="A28" s="170" t="s">
        <v>26</v>
      </c>
      <c r="B28" s="212">
        <f>'7c. Success counts 1718'!B28-'7d Success counts 1617'!B28</f>
        <v>-2</v>
      </c>
      <c r="C28" s="212">
        <f>'7c. Success counts 1718'!C28-'7d Success counts 1617'!C28</f>
        <v>-8</v>
      </c>
      <c r="D28" s="212">
        <f>'7c. Success counts 1718'!D28-'7d Success counts 1617'!D28</f>
        <v>0</v>
      </c>
      <c r="E28" s="212">
        <f>'7c. Success counts 1718'!E28-'7d Success counts 1617'!E28</f>
        <v>-14</v>
      </c>
      <c r="F28" s="212">
        <f>'7c. Success counts 1718'!F28-'7d Success counts 1617'!F28</f>
        <v>7</v>
      </c>
      <c r="G28" s="212">
        <f>'7c. Success counts 1718'!G28-'7d Success counts 1617'!G28</f>
        <v>6</v>
      </c>
      <c r="H28" s="212">
        <f>'7c. Success counts 1718'!H28-'7d Success counts 1617'!H28</f>
        <v>9</v>
      </c>
      <c r="I28" s="212">
        <f>'7c. Success counts 1718'!I28-'7d Success counts 1617'!I28</f>
        <v>-116</v>
      </c>
      <c r="J28" s="212">
        <f>'7c. Success counts 1718'!J28-'7d Success counts 1617'!J28</f>
        <v>-8</v>
      </c>
      <c r="K28" s="212">
        <f>'7c. Success counts 1718'!K28-'7d Success counts 1617'!K28</f>
        <v>-4</v>
      </c>
      <c r="L28" s="212">
        <f>'7c. Success counts 1718'!L28-'7d Success counts 1617'!L28</f>
        <v>0</v>
      </c>
      <c r="M28" s="212">
        <f>'7c. Success counts 1718'!M28-'7d Success counts 1617'!M28</f>
        <v>-9</v>
      </c>
      <c r="N28" s="212">
        <f>'7c. Success counts 1718'!N28-'7d Success counts 1617'!N28</f>
        <v>1</v>
      </c>
      <c r="O28" s="212">
        <f>'7c. Success counts 1718'!O28-'7d Success counts 1617'!O28</f>
        <v>6</v>
      </c>
      <c r="P28" s="212">
        <f>'7c. Success counts 1718'!P28-'7d Success counts 1617'!P28</f>
        <v>-6</v>
      </c>
      <c r="Q28" s="212">
        <f>'7c. Success counts 1718'!Q28-'7d Success counts 1617'!Q28</f>
        <v>0</v>
      </c>
      <c r="R28" s="212">
        <f>'7c. Success counts 1718'!R28-'7d Success counts 1617'!R28</f>
        <v>-8</v>
      </c>
      <c r="S28" s="212">
        <f>'7c. Success counts 1718'!S28-'7d Success counts 1617'!S28</f>
        <v>-3</v>
      </c>
      <c r="T28" s="212">
        <f>'7c. Success counts 1718'!T28-'7d Success counts 1617'!T28</f>
        <v>0</v>
      </c>
      <c r="U28" s="212">
        <f>'7c. Success counts 1718'!U28-'7d Success counts 1617'!U28</f>
        <v>-10</v>
      </c>
      <c r="V28" s="212">
        <f>'7c. Success counts 1718'!V28-'7d Success counts 1617'!V28</f>
        <v>3</v>
      </c>
      <c r="W28" s="212">
        <f>'7c. Success counts 1718'!W28-'7d Success counts 1617'!W28</f>
        <v>13</v>
      </c>
      <c r="X28" s="212">
        <f>'7c. Success counts 1718'!X28-'7d Success counts 1617'!X28</f>
        <v>-7</v>
      </c>
      <c r="Y28" s="212">
        <f>'7c. Success counts 1718'!Y28-'7d Success counts 1617'!Y28</f>
        <v>-4</v>
      </c>
      <c r="Z28" s="213"/>
    </row>
    <row r="29" spans="1:26" x14ac:dyDescent="0.25">
      <c r="A29" s="170" t="s">
        <v>66</v>
      </c>
      <c r="B29" s="212">
        <f>'7c. Success counts 1718'!B29-'7d Success counts 1617'!B29</f>
        <v>38</v>
      </c>
      <c r="C29" s="212">
        <f>'7c. Success counts 1718'!C29-'7d Success counts 1617'!C29</f>
        <v>-118</v>
      </c>
      <c r="D29" s="212">
        <f>'7c. Success counts 1718'!D29-'7d Success counts 1617'!D29</f>
        <v>0</v>
      </c>
      <c r="E29" s="212">
        <f>'7c. Success counts 1718'!E29-'7d Success counts 1617'!E29</f>
        <v>43</v>
      </c>
      <c r="F29" s="212">
        <f>'7c. Success counts 1718'!F29-'7d Success counts 1617'!F29</f>
        <v>30</v>
      </c>
      <c r="G29" s="212">
        <f>'7c. Success counts 1718'!G29-'7d Success counts 1617'!G29</f>
        <v>-273</v>
      </c>
      <c r="H29" s="212">
        <f>'7c. Success counts 1718'!H29-'7d Success counts 1617'!H29</f>
        <v>199</v>
      </c>
      <c r="I29" s="212">
        <f>'7c. Success counts 1718'!I29-'7d Success counts 1617'!I29</f>
        <v>407</v>
      </c>
      <c r="J29" s="212">
        <f>'7c. Success counts 1718'!J29-'7d Success counts 1617'!J29</f>
        <v>13</v>
      </c>
      <c r="K29" s="212">
        <f>'7c. Success counts 1718'!K29-'7d Success counts 1617'!K29</f>
        <v>-66</v>
      </c>
      <c r="L29" s="212">
        <f>'7c. Success counts 1718'!L29-'7d Success counts 1617'!L29</f>
        <v>0</v>
      </c>
      <c r="M29" s="212">
        <f>'7c. Success counts 1718'!M29-'7d Success counts 1617'!M29</f>
        <v>30</v>
      </c>
      <c r="N29" s="212">
        <f>'7c. Success counts 1718'!N29-'7d Success counts 1617'!N29</f>
        <v>22</v>
      </c>
      <c r="O29" s="212">
        <f>'7c. Success counts 1718'!O29-'7d Success counts 1617'!O29</f>
        <v>-222</v>
      </c>
      <c r="P29" s="212">
        <f>'7c. Success counts 1718'!P29-'7d Success counts 1617'!P29</f>
        <v>92</v>
      </c>
      <c r="Q29" s="212">
        <f>'7c. Success counts 1718'!Q29-'7d Success counts 1617'!Q29</f>
        <v>150</v>
      </c>
      <c r="R29" s="212">
        <f>'7c. Success counts 1718'!R29-'7d Success counts 1617'!R29</f>
        <v>31</v>
      </c>
      <c r="S29" s="212">
        <f>'7c. Success counts 1718'!S29-'7d Success counts 1617'!S29</f>
        <v>-90</v>
      </c>
      <c r="T29" s="212">
        <f>'7c. Success counts 1718'!T29-'7d Success counts 1617'!T29</f>
        <v>0</v>
      </c>
      <c r="U29" s="212">
        <f>'7c. Success counts 1718'!U29-'7d Success counts 1617'!U29</f>
        <v>34</v>
      </c>
      <c r="V29" s="212">
        <f>'7c. Success counts 1718'!V29-'7d Success counts 1617'!V29</f>
        <v>36</v>
      </c>
      <c r="W29" s="212">
        <f>'7c. Success counts 1718'!W29-'7d Success counts 1617'!W29</f>
        <v>-285</v>
      </c>
      <c r="X29" s="212">
        <f>'7c. Success counts 1718'!X29-'7d Success counts 1617'!X29</f>
        <v>158</v>
      </c>
      <c r="Y29" s="212">
        <f>'7c. Success counts 1718'!Y29-'7d Success counts 1617'!Y29</f>
        <v>264</v>
      </c>
      <c r="Z29" s="213"/>
    </row>
    <row r="30" spans="1:26" x14ac:dyDescent="0.25">
      <c r="A30" s="170" t="s">
        <v>67</v>
      </c>
      <c r="B30" s="212">
        <f>'7c. Success counts 1718'!B30-'7d Success counts 1617'!B30</f>
        <v>736</v>
      </c>
      <c r="C30" s="212">
        <f>'7c. Success counts 1718'!C30-'7d Success counts 1617'!C30</f>
        <v>-715</v>
      </c>
      <c r="D30" s="212">
        <f>'7c. Success counts 1718'!D30-'7d Success counts 1617'!D30</f>
        <v>28</v>
      </c>
      <c r="E30" s="212">
        <f>'7c. Success counts 1718'!E30-'7d Success counts 1617'!E30</f>
        <v>-407</v>
      </c>
      <c r="F30" s="212">
        <f>'7c. Success counts 1718'!F30-'7d Success counts 1617'!F30</f>
        <v>230</v>
      </c>
      <c r="G30" s="212">
        <f>'7c. Success counts 1718'!G30-'7d Success counts 1617'!G30</f>
        <v>-2782</v>
      </c>
      <c r="H30" s="212">
        <f>'7c. Success counts 1718'!H30-'7d Success counts 1617'!H30</f>
        <v>603</v>
      </c>
      <c r="I30" s="212">
        <f>'7c. Success counts 1718'!I30-'7d Success counts 1617'!I30</f>
        <v>2356</v>
      </c>
      <c r="J30" s="212">
        <f>'7c. Success counts 1718'!J30-'7d Success counts 1617'!J30</f>
        <v>495</v>
      </c>
      <c r="K30" s="212">
        <f>'7c. Success counts 1718'!K30-'7d Success counts 1617'!K30</f>
        <v>-454</v>
      </c>
      <c r="L30" s="212">
        <f>'7c. Success counts 1718'!L30-'7d Success counts 1617'!L30</f>
        <v>11</v>
      </c>
      <c r="M30" s="212">
        <f>'7c. Success counts 1718'!M30-'7d Success counts 1617'!M30</f>
        <v>-253</v>
      </c>
      <c r="N30" s="212">
        <f>'7c. Success counts 1718'!N30-'7d Success counts 1617'!N30</f>
        <v>113</v>
      </c>
      <c r="O30" s="212">
        <f>'7c. Success counts 1718'!O30-'7d Success counts 1617'!O30</f>
        <v>-1582</v>
      </c>
      <c r="P30" s="212">
        <f>'7c. Success counts 1718'!P30-'7d Success counts 1617'!P30</f>
        <v>273</v>
      </c>
      <c r="Q30" s="212">
        <f>'7c. Success counts 1718'!Q30-'7d Success counts 1617'!Q30</f>
        <v>1014</v>
      </c>
      <c r="R30" s="212">
        <f>'7c. Success counts 1718'!R30-'7d Success counts 1617'!R30</f>
        <v>716</v>
      </c>
      <c r="S30" s="212">
        <f>'7c. Success counts 1718'!S30-'7d Success counts 1617'!S30</f>
        <v>-403</v>
      </c>
      <c r="T30" s="212">
        <f>'7c. Success counts 1718'!T30-'7d Success counts 1617'!T30</f>
        <v>22</v>
      </c>
      <c r="U30" s="212">
        <f>'7c. Success counts 1718'!U30-'7d Success counts 1617'!U30</f>
        <v>-291</v>
      </c>
      <c r="V30" s="212">
        <f>'7c. Success counts 1718'!V30-'7d Success counts 1617'!V30</f>
        <v>203</v>
      </c>
      <c r="W30" s="212">
        <f>'7c. Success counts 1718'!W30-'7d Success counts 1617'!W30</f>
        <v>-1426</v>
      </c>
      <c r="X30" s="212">
        <f>'7c. Success counts 1718'!X30-'7d Success counts 1617'!X30</f>
        <v>318</v>
      </c>
      <c r="Y30" s="212">
        <f>'7c. Success counts 1718'!Y30-'7d Success counts 1617'!Y30</f>
        <v>1526</v>
      </c>
      <c r="Z30" s="213"/>
    </row>
    <row r="31" spans="1:26" x14ac:dyDescent="0.25">
      <c r="A31" s="170" t="s">
        <v>68</v>
      </c>
      <c r="B31" s="212">
        <f>'7c. Success counts 1718'!B31-'7d Success counts 1617'!B31</f>
        <v>223</v>
      </c>
      <c r="C31" s="212">
        <f>'7c. Success counts 1718'!C31-'7d Success counts 1617'!C31</f>
        <v>10</v>
      </c>
      <c r="D31" s="212">
        <f>'7c. Success counts 1718'!D31-'7d Success counts 1617'!D31</f>
        <v>0</v>
      </c>
      <c r="E31" s="212">
        <f>'7c. Success counts 1718'!E31-'7d Success counts 1617'!E31</f>
        <v>98</v>
      </c>
      <c r="F31" s="212">
        <f>'7c. Success counts 1718'!F31-'7d Success counts 1617'!F31</f>
        <v>19</v>
      </c>
      <c r="G31" s="212">
        <f>'7c. Success counts 1718'!G31-'7d Success counts 1617'!G31</f>
        <v>-628</v>
      </c>
      <c r="H31" s="212">
        <f>'7c. Success counts 1718'!H31-'7d Success counts 1617'!H31</f>
        <v>262</v>
      </c>
      <c r="I31" s="212">
        <f>'7c. Success counts 1718'!I31-'7d Success counts 1617'!I31</f>
        <v>426</v>
      </c>
      <c r="J31" s="212">
        <f>'7c. Success counts 1718'!J31-'7d Success counts 1617'!J31</f>
        <v>113</v>
      </c>
      <c r="K31" s="212">
        <f>'7c. Success counts 1718'!K31-'7d Success counts 1617'!K31</f>
        <v>-1</v>
      </c>
      <c r="L31" s="212">
        <f>'7c. Success counts 1718'!L31-'7d Success counts 1617'!L31</f>
        <v>0</v>
      </c>
      <c r="M31" s="212">
        <f>'7c. Success counts 1718'!M31-'7d Success counts 1617'!M31</f>
        <v>32</v>
      </c>
      <c r="N31" s="212">
        <f>'7c. Success counts 1718'!N31-'7d Success counts 1617'!N31</f>
        <v>33</v>
      </c>
      <c r="O31" s="212">
        <f>'7c. Success counts 1718'!O31-'7d Success counts 1617'!O31</f>
        <v>-354</v>
      </c>
      <c r="P31" s="212">
        <f>'7c. Success counts 1718'!P31-'7d Success counts 1617'!P31</f>
        <v>135</v>
      </c>
      <c r="Q31" s="212">
        <f>'7c. Success counts 1718'!Q31-'7d Success counts 1617'!Q31</f>
        <v>194</v>
      </c>
      <c r="R31" s="212">
        <f>'7c. Success counts 1718'!R31-'7d Success counts 1617'!R31</f>
        <v>200</v>
      </c>
      <c r="S31" s="212">
        <f>'7c. Success counts 1718'!S31-'7d Success counts 1617'!S31</f>
        <v>11</v>
      </c>
      <c r="T31" s="212">
        <f>'7c. Success counts 1718'!T31-'7d Success counts 1617'!T31</f>
        <v>0</v>
      </c>
      <c r="U31" s="212">
        <f>'7c. Success counts 1718'!U31-'7d Success counts 1617'!U31</f>
        <v>74</v>
      </c>
      <c r="V31" s="212">
        <f>'7c. Success counts 1718'!V31-'7d Success counts 1617'!V31</f>
        <v>14</v>
      </c>
      <c r="W31" s="212">
        <f>'7c. Success counts 1718'!W31-'7d Success counts 1617'!W31</f>
        <v>-505</v>
      </c>
      <c r="X31" s="212">
        <f>'7c. Success counts 1718'!X31-'7d Success counts 1617'!X31</f>
        <v>162</v>
      </c>
      <c r="Y31" s="212">
        <f>'7c. Success counts 1718'!Y31-'7d Success counts 1617'!Y31</f>
        <v>246</v>
      </c>
      <c r="Z31" s="213"/>
    </row>
    <row r="32" spans="1:26" x14ac:dyDescent="0.25">
      <c r="A32" s="170" t="s">
        <v>27</v>
      </c>
      <c r="B32" s="212">
        <f>'7c. Success counts 1718'!B32-'7d Success counts 1617'!B32</f>
        <v>21</v>
      </c>
      <c r="C32" s="212">
        <f>'7c. Success counts 1718'!C32-'7d Success counts 1617'!C32</f>
        <v>-9</v>
      </c>
      <c r="D32" s="212">
        <f>'7c. Success counts 1718'!D32-'7d Success counts 1617'!D32</f>
        <v>0</v>
      </c>
      <c r="E32" s="212">
        <f>'7c. Success counts 1718'!E32-'7d Success counts 1617'!E32</f>
        <v>0</v>
      </c>
      <c r="F32" s="212">
        <f>'7c. Success counts 1718'!F32-'7d Success counts 1617'!F32</f>
        <v>-2</v>
      </c>
      <c r="G32" s="212">
        <f>'7c. Success counts 1718'!G32-'7d Success counts 1617'!G32</f>
        <v>-30</v>
      </c>
      <c r="H32" s="212">
        <f>'7c. Success counts 1718'!H32-'7d Success counts 1617'!H32</f>
        <v>24</v>
      </c>
      <c r="I32" s="212">
        <f>'7c. Success counts 1718'!I32-'7d Success counts 1617'!I32</f>
        <v>35</v>
      </c>
      <c r="J32" s="212">
        <f>'7c. Success counts 1718'!J32-'7d Success counts 1617'!J32</f>
        <v>-4</v>
      </c>
      <c r="K32" s="212">
        <f>'7c. Success counts 1718'!K32-'7d Success counts 1617'!K32</f>
        <v>-1</v>
      </c>
      <c r="L32" s="212">
        <f>'7c. Success counts 1718'!L32-'7d Success counts 1617'!L32</f>
        <v>0</v>
      </c>
      <c r="M32" s="212">
        <f>'7c. Success counts 1718'!M32-'7d Success counts 1617'!M32</f>
        <v>-3</v>
      </c>
      <c r="N32" s="212">
        <f>'7c. Success counts 1718'!N32-'7d Success counts 1617'!N32</f>
        <v>0</v>
      </c>
      <c r="O32" s="212">
        <f>'7c. Success counts 1718'!O32-'7d Success counts 1617'!O32</f>
        <v>6</v>
      </c>
      <c r="P32" s="212">
        <f>'7c. Success counts 1718'!P32-'7d Success counts 1617'!P32</f>
        <v>-6</v>
      </c>
      <c r="Q32" s="212">
        <f>'7c. Success counts 1718'!Q32-'7d Success counts 1617'!Q32</f>
        <v>13</v>
      </c>
      <c r="R32" s="212">
        <f>'7c. Success counts 1718'!R32-'7d Success counts 1617'!R32</f>
        <v>2</v>
      </c>
      <c r="S32" s="212">
        <f>'7c. Success counts 1718'!S32-'7d Success counts 1617'!S32</f>
        <v>-10</v>
      </c>
      <c r="T32" s="212">
        <f>'7c. Success counts 1718'!T32-'7d Success counts 1617'!T32</f>
        <v>0</v>
      </c>
      <c r="U32" s="212">
        <f>'7c. Success counts 1718'!U32-'7d Success counts 1617'!U32</f>
        <v>-2</v>
      </c>
      <c r="V32" s="212">
        <f>'7c. Success counts 1718'!V32-'7d Success counts 1617'!V32</f>
        <v>-6</v>
      </c>
      <c r="W32" s="212">
        <f>'7c. Success counts 1718'!W32-'7d Success counts 1617'!W32</f>
        <v>-14</v>
      </c>
      <c r="X32" s="212">
        <f>'7c. Success counts 1718'!X32-'7d Success counts 1617'!X32</f>
        <v>-3</v>
      </c>
      <c r="Y32" s="212">
        <f>'7c. Success counts 1718'!Y32-'7d Success counts 1617'!Y32</f>
        <v>25</v>
      </c>
      <c r="Z32" s="213"/>
    </row>
    <row r="33" spans="1:26" x14ac:dyDescent="0.25">
      <c r="A33" s="170" t="s">
        <v>69</v>
      </c>
      <c r="B33" s="212">
        <f>'7c. Success counts 1718'!B33-'7d Success counts 1617'!B33</f>
        <v>10</v>
      </c>
      <c r="C33" s="212">
        <f>'7c. Success counts 1718'!C33-'7d Success counts 1617'!C33</f>
        <v>14</v>
      </c>
      <c r="D33" s="212">
        <f>'7c. Success counts 1718'!D33-'7d Success counts 1617'!D33</f>
        <v>0</v>
      </c>
      <c r="E33" s="212">
        <f>'7c. Success counts 1718'!E33-'7d Success counts 1617'!E33</f>
        <v>8</v>
      </c>
      <c r="F33" s="212">
        <f>'7c. Success counts 1718'!F33-'7d Success counts 1617'!F33</f>
        <v>3</v>
      </c>
      <c r="G33" s="212">
        <f>'7c. Success counts 1718'!G33-'7d Success counts 1617'!G33</f>
        <v>-12</v>
      </c>
      <c r="H33" s="212">
        <f>'7c. Success counts 1718'!H33-'7d Success counts 1617'!H33</f>
        <v>17</v>
      </c>
      <c r="I33" s="212">
        <f>'7c. Success counts 1718'!I33-'7d Success counts 1617'!I33</f>
        <v>18</v>
      </c>
      <c r="J33" s="212">
        <f>'7c. Success counts 1718'!J33-'7d Success counts 1617'!J33</f>
        <v>4</v>
      </c>
      <c r="K33" s="212">
        <f>'7c. Success counts 1718'!K33-'7d Success counts 1617'!K33</f>
        <v>-8</v>
      </c>
      <c r="L33" s="212">
        <f>'7c. Success counts 1718'!L33-'7d Success counts 1617'!L33</f>
        <v>0</v>
      </c>
      <c r="M33" s="212">
        <f>'7c. Success counts 1718'!M33-'7d Success counts 1617'!M33</f>
        <v>3</v>
      </c>
      <c r="N33" s="212">
        <f>'7c. Success counts 1718'!N33-'7d Success counts 1617'!N33</f>
        <v>4</v>
      </c>
      <c r="O33" s="212">
        <f>'7c. Success counts 1718'!O33-'7d Success counts 1617'!O33</f>
        <v>-62</v>
      </c>
      <c r="P33" s="212">
        <f>'7c. Success counts 1718'!P33-'7d Success counts 1617'!P33</f>
        <v>-9</v>
      </c>
      <c r="Q33" s="212">
        <f>'7c. Success counts 1718'!Q33-'7d Success counts 1617'!Q33</f>
        <v>31</v>
      </c>
      <c r="R33" s="212">
        <f>'7c. Success counts 1718'!R33-'7d Success counts 1617'!R33</f>
        <v>1</v>
      </c>
      <c r="S33" s="212">
        <f>'7c. Success counts 1718'!S33-'7d Success counts 1617'!S33</f>
        <v>-1</v>
      </c>
      <c r="T33" s="212">
        <f>'7c. Success counts 1718'!T33-'7d Success counts 1617'!T33</f>
        <v>0</v>
      </c>
      <c r="U33" s="212">
        <f>'7c. Success counts 1718'!U33-'7d Success counts 1617'!U33</f>
        <v>3</v>
      </c>
      <c r="V33" s="212">
        <f>'7c. Success counts 1718'!V33-'7d Success counts 1617'!V33</f>
        <v>-3</v>
      </c>
      <c r="W33" s="212">
        <f>'7c. Success counts 1718'!W33-'7d Success counts 1617'!W33</f>
        <v>-38</v>
      </c>
      <c r="X33" s="212">
        <f>'7c. Success counts 1718'!X33-'7d Success counts 1617'!X33</f>
        <v>-3</v>
      </c>
      <c r="Y33" s="212">
        <f>'7c. Success counts 1718'!Y33-'7d Success counts 1617'!Y33</f>
        <v>19</v>
      </c>
      <c r="Z33" s="213"/>
    </row>
    <row r="34" spans="1:26" x14ac:dyDescent="0.25">
      <c r="A34" s="170" t="s">
        <v>70</v>
      </c>
      <c r="B34" s="212">
        <f>'7c. Success counts 1718'!B34-'7d Success counts 1617'!B34</f>
        <v>116</v>
      </c>
      <c r="C34" s="212">
        <f>'7c. Success counts 1718'!C34-'7d Success counts 1617'!C34</f>
        <v>-5</v>
      </c>
      <c r="D34" s="212">
        <f>'7c. Success counts 1718'!D34-'7d Success counts 1617'!D34</f>
        <v>0</v>
      </c>
      <c r="E34" s="212">
        <f>'7c. Success counts 1718'!E34-'7d Success counts 1617'!E34</f>
        <v>5</v>
      </c>
      <c r="F34" s="212">
        <f>'7c. Success counts 1718'!F34-'7d Success counts 1617'!F34</f>
        <v>32</v>
      </c>
      <c r="G34" s="212">
        <f>'7c. Success counts 1718'!G34-'7d Success counts 1617'!G34</f>
        <v>85</v>
      </c>
      <c r="H34" s="212">
        <f>'7c. Success counts 1718'!H34-'7d Success counts 1617'!H34</f>
        <v>54</v>
      </c>
      <c r="I34" s="212">
        <f>'7c. Success counts 1718'!I34-'7d Success counts 1617'!I34</f>
        <v>197</v>
      </c>
      <c r="J34" s="212">
        <f>'7c. Success counts 1718'!J34-'7d Success counts 1617'!J34</f>
        <v>70</v>
      </c>
      <c r="K34" s="212">
        <f>'7c. Success counts 1718'!K34-'7d Success counts 1617'!K34</f>
        <v>-29</v>
      </c>
      <c r="L34" s="212">
        <f>'7c. Success counts 1718'!L34-'7d Success counts 1617'!L34</f>
        <v>0</v>
      </c>
      <c r="M34" s="212">
        <f>'7c. Success counts 1718'!M34-'7d Success counts 1617'!M34</f>
        <v>-9</v>
      </c>
      <c r="N34" s="212">
        <f>'7c. Success counts 1718'!N34-'7d Success counts 1617'!N34</f>
        <v>13</v>
      </c>
      <c r="O34" s="212">
        <f>'7c. Success counts 1718'!O34-'7d Success counts 1617'!O34</f>
        <v>56</v>
      </c>
      <c r="P34" s="212">
        <f>'7c. Success counts 1718'!P34-'7d Success counts 1617'!P34</f>
        <v>2</v>
      </c>
      <c r="Q34" s="212">
        <f>'7c. Success counts 1718'!Q34-'7d Success counts 1617'!Q34</f>
        <v>139</v>
      </c>
      <c r="R34" s="212">
        <f>'7c. Success counts 1718'!R34-'7d Success counts 1617'!R34</f>
        <v>94</v>
      </c>
      <c r="S34" s="212">
        <f>'7c. Success counts 1718'!S34-'7d Success counts 1617'!S34</f>
        <v>-5</v>
      </c>
      <c r="T34" s="212">
        <f>'7c. Success counts 1718'!T34-'7d Success counts 1617'!T34</f>
        <v>0</v>
      </c>
      <c r="U34" s="212">
        <f>'7c. Success counts 1718'!U34-'7d Success counts 1617'!U34</f>
        <v>16</v>
      </c>
      <c r="V34" s="212">
        <f>'7c. Success counts 1718'!V34-'7d Success counts 1617'!V34</f>
        <v>19</v>
      </c>
      <c r="W34" s="212">
        <f>'7c. Success counts 1718'!W34-'7d Success counts 1617'!W34</f>
        <v>95</v>
      </c>
      <c r="X34" s="212">
        <f>'7c. Success counts 1718'!X34-'7d Success counts 1617'!X34</f>
        <v>4</v>
      </c>
      <c r="Y34" s="212">
        <f>'7c. Success counts 1718'!Y34-'7d Success counts 1617'!Y34</f>
        <v>169</v>
      </c>
      <c r="Z34" s="213"/>
    </row>
    <row r="35" spans="1:26" x14ac:dyDescent="0.25">
      <c r="A35" s="170" t="s">
        <v>28</v>
      </c>
      <c r="B35" s="212">
        <f>'7c. Success counts 1718'!B35-'7d Success counts 1617'!B35</f>
        <v>116</v>
      </c>
      <c r="C35" s="212">
        <f>'7c. Success counts 1718'!C35-'7d Success counts 1617'!C35</f>
        <v>277</v>
      </c>
      <c r="D35" s="212">
        <f>'7c. Success counts 1718'!D35-'7d Success counts 1617'!D35</f>
        <v>0</v>
      </c>
      <c r="E35" s="212">
        <f>'7c. Success counts 1718'!E35-'7d Success counts 1617'!E35</f>
        <v>48</v>
      </c>
      <c r="F35" s="212">
        <f>'7c. Success counts 1718'!F35-'7d Success counts 1617'!F35</f>
        <v>10</v>
      </c>
      <c r="G35" s="212">
        <f>'7c. Success counts 1718'!G35-'7d Success counts 1617'!G35</f>
        <v>-28</v>
      </c>
      <c r="H35" s="212">
        <f>'7c. Success counts 1718'!H35-'7d Success counts 1617'!H35</f>
        <v>48</v>
      </c>
      <c r="I35" s="212">
        <f>'7c. Success counts 1718'!I35-'7d Success counts 1617'!I35</f>
        <v>22</v>
      </c>
      <c r="J35" s="212">
        <f>'7c. Success counts 1718'!J35-'7d Success counts 1617'!J35</f>
        <v>35</v>
      </c>
      <c r="K35" s="212">
        <f>'7c. Success counts 1718'!K35-'7d Success counts 1617'!K35</f>
        <v>132</v>
      </c>
      <c r="L35" s="212">
        <f>'7c. Success counts 1718'!L35-'7d Success counts 1617'!L35</f>
        <v>0</v>
      </c>
      <c r="M35" s="212">
        <f>'7c. Success counts 1718'!M35-'7d Success counts 1617'!M35</f>
        <v>27</v>
      </c>
      <c r="N35" s="212">
        <f>'7c. Success counts 1718'!N35-'7d Success counts 1617'!N35</f>
        <v>8</v>
      </c>
      <c r="O35" s="212">
        <f>'7c. Success counts 1718'!O35-'7d Success counts 1617'!O35</f>
        <v>-4</v>
      </c>
      <c r="P35" s="212">
        <f>'7c. Success counts 1718'!P35-'7d Success counts 1617'!P35</f>
        <v>12</v>
      </c>
      <c r="Q35" s="212">
        <f>'7c. Success counts 1718'!Q35-'7d Success counts 1617'!Q35</f>
        <v>31</v>
      </c>
      <c r="R35" s="212">
        <f>'7c. Success counts 1718'!R35-'7d Success counts 1617'!R35</f>
        <v>51</v>
      </c>
      <c r="S35" s="212">
        <f>'7c. Success counts 1718'!S35-'7d Success counts 1617'!S35</f>
        <v>202</v>
      </c>
      <c r="T35" s="212">
        <f>'7c. Success counts 1718'!T35-'7d Success counts 1617'!T35</f>
        <v>0</v>
      </c>
      <c r="U35" s="212">
        <f>'7c. Success counts 1718'!U35-'7d Success counts 1617'!U35</f>
        <v>45</v>
      </c>
      <c r="V35" s="212">
        <f>'7c. Success counts 1718'!V35-'7d Success counts 1617'!V35</f>
        <v>27</v>
      </c>
      <c r="W35" s="212">
        <f>'7c. Success counts 1718'!W35-'7d Success counts 1617'!W35</f>
        <v>9</v>
      </c>
      <c r="X35" s="212">
        <f>'7c. Success counts 1718'!X35-'7d Success counts 1617'!X35</f>
        <v>49</v>
      </c>
      <c r="Y35" s="212">
        <f>'7c. Success counts 1718'!Y35-'7d Success counts 1617'!Y35</f>
        <v>19</v>
      </c>
      <c r="Z35" s="213"/>
    </row>
    <row r="36" spans="1:26" x14ac:dyDescent="0.25">
      <c r="A36" s="170" t="s">
        <v>71</v>
      </c>
      <c r="B36" s="212">
        <f>'7c. Success counts 1718'!B36-'7d Success counts 1617'!B36</f>
        <v>74</v>
      </c>
      <c r="C36" s="212">
        <f>'7c. Success counts 1718'!C36-'7d Success counts 1617'!C36</f>
        <v>10</v>
      </c>
      <c r="D36" s="212">
        <f>'7c. Success counts 1718'!D36-'7d Success counts 1617'!D36</f>
        <v>0</v>
      </c>
      <c r="E36" s="212">
        <f>'7c. Success counts 1718'!E36-'7d Success counts 1617'!E36</f>
        <v>-1</v>
      </c>
      <c r="F36" s="212">
        <f>'7c. Success counts 1718'!F36-'7d Success counts 1617'!F36</f>
        <v>4</v>
      </c>
      <c r="G36" s="212">
        <f>'7c. Success counts 1718'!G36-'7d Success counts 1617'!G36</f>
        <v>30</v>
      </c>
      <c r="H36" s="212">
        <f>'7c. Success counts 1718'!H36-'7d Success counts 1617'!H36</f>
        <v>10</v>
      </c>
      <c r="I36" s="212">
        <f>'7c. Success counts 1718'!I36-'7d Success counts 1617'!I36</f>
        <v>571</v>
      </c>
      <c r="J36" s="212">
        <f>'7c. Success counts 1718'!J36-'7d Success counts 1617'!J36</f>
        <v>18</v>
      </c>
      <c r="K36" s="212">
        <f>'7c. Success counts 1718'!K36-'7d Success counts 1617'!K36</f>
        <v>-4</v>
      </c>
      <c r="L36" s="212">
        <f>'7c. Success counts 1718'!L36-'7d Success counts 1617'!L36</f>
        <v>0</v>
      </c>
      <c r="M36" s="212">
        <f>'7c. Success counts 1718'!M36-'7d Success counts 1617'!M36</f>
        <v>1</v>
      </c>
      <c r="N36" s="212">
        <f>'7c. Success counts 1718'!N36-'7d Success counts 1617'!N36</f>
        <v>17</v>
      </c>
      <c r="O36" s="212">
        <f>'7c. Success counts 1718'!O36-'7d Success counts 1617'!O36</f>
        <v>-15</v>
      </c>
      <c r="P36" s="212">
        <f>'7c. Success counts 1718'!P36-'7d Success counts 1617'!P36</f>
        <v>28</v>
      </c>
      <c r="Q36" s="212">
        <f>'7c. Success counts 1718'!Q36-'7d Success counts 1617'!Q36</f>
        <v>25</v>
      </c>
      <c r="R36" s="212">
        <f>'7c. Success counts 1718'!R36-'7d Success counts 1617'!R36</f>
        <v>51</v>
      </c>
      <c r="S36" s="212">
        <f>'7c. Success counts 1718'!S36-'7d Success counts 1617'!S36</f>
        <v>2</v>
      </c>
      <c r="T36" s="212">
        <f>'7c. Success counts 1718'!T36-'7d Success counts 1617'!T36</f>
        <v>0</v>
      </c>
      <c r="U36" s="212">
        <f>'7c. Success counts 1718'!U36-'7d Success counts 1617'!U36</f>
        <v>3</v>
      </c>
      <c r="V36" s="212">
        <f>'7c. Success counts 1718'!V36-'7d Success counts 1617'!V36</f>
        <v>20</v>
      </c>
      <c r="W36" s="212">
        <f>'7c. Success counts 1718'!W36-'7d Success counts 1617'!W36</f>
        <v>4</v>
      </c>
      <c r="X36" s="212">
        <f>'7c. Success counts 1718'!X36-'7d Success counts 1617'!X36</f>
        <v>25</v>
      </c>
      <c r="Y36" s="212">
        <f>'7c. Success counts 1718'!Y36-'7d Success counts 1617'!Y36</f>
        <v>44</v>
      </c>
      <c r="Z36" s="213"/>
    </row>
    <row r="37" spans="1:26" x14ac:dyDescent="0.25">
      <c r="A37" s="170" t="s">
        <v>72</v>
      </c>
      <c r="B37" s="212">
        <f>'7c. Success counts 1718'!B37-'7d Success counts 1617'!B37</f>
        <v>293</v>
      </c>
      <c r="C37" s="212">
        <f>'7c. Success counts 1718'!C37-'7d Success counts 1617'!C37</f>
        <v>31</v>
      </c>
      <c r="D37" s="212">
        <f>'7c. Success counts 1718'!D37-'7d Success counts 1617'!D37</f>
        <v>0</v>
      </c>
      <c r="E37" s="212">
        <f>'7c. Success counts 1718'!E37-'7d Success counts 1617'!E37</f>
        <v>-55</v>
      </c>
      <c r="F37" s="212">
        <f>'7c. Success counts 1718'!F37-'7d Success counts 1617'!F37</f>
        <v>86</v>
      </c>
      <c r="G37" s="212">
        <f>'7c. Success counts 1718'!G37-'7d Success counts 1617'!G37</f>
        <v>-187</v>
      </c>
      <c r="H37" s="212">
        <f>'7c. Success counts 1718'!H37-'7d Success counts 1617'!H37</f>
        <v>23</v>
      </c>
      <c r="I37" s="212">
        <f>'7c. Success counts 1718'!I37-'7d Success counts 1617'!I37</f>
        <v>363</v>
      </c>
      <c r="J37" s="212">
        <f>'7c. Success counts 1718'!J37-'7d Success counts 1617'!J37</f>
        <v>202</v>
      </c>
      <c r="K37" s="212">
        <f>'7c. Success counts 1718'!K37-'7d Success counts 1617'!K37</f>
        <v>-5</v>
      </c>
      <c r="L37" s="212">
        <f>'7c. Success counts 1718'!L37-'7d Success counts 1617'!L37</f>
        <v>0</v>
      </c>
      <c r="M37" s="212">
        <f>'7c. Success counts 1718'!M37-'7d Success counts 1617'!M37</f>
        <v>-37</v>
      </c>
      <c r="N37" s="212">
        <f>'7c. Success counts 1718'!N37-'7d Success counts 1617'!N37</f>
        <v>58</v>
      </c>
      <c r="O37" s="212">
        <f>'7c. Success counts 1718'!O37-'7d Success counts 1617'!O37</f>
        <v>-214</v>
      </c>
      <c r="P37" s="212">
        <f>'7c. Success counts 1718'!P37-'7d Success counts 1617'!P37</f>
        <v>-32</v>
      </c>
      <c r="Q37" s="212">
        <f>'7c. Success counts 1718'!Q37-'7d Success counts 1617'!Q37</f>
        <v>121</v>
      </c>
      <c r="R37" s="212">
        <f>'7c. Success counts 1718'!R37-'7d Success counts 1617'!R37</f>
        <v>258</v>
      </c>
      <c r="S37" s="212">
        <f>'7c. Success counts 1718'!S37-'7d Success counts 1617'!S37</f>
        <v>15</v>
      </c>
      <c r="T37" s="212">
        <f>'7c. Success counts 1718'!T37-'7d Success counts 1617'!T37</f>
        <v>0</v>
      </c>
      <c r="U37" s="212">
        <f>'7c. Success counts 1718'!U37-'7d Success counts 1617'!U37</f>
        <v>-39</v>
      </c>
      <c r="V37" s="212">
        <f>'7c. Success counts 1718'!V37-'7d Success counts 1617'!V37</f>
        <v>51</v>
      </c>
      <c r="W37" s="212">
        <f>'7c. Success counts 1718'!W37-'7d Success counts 1617'!W37</f>
        <v>-156</v>
      </c>
      <c r="X37" s="212">
        <f>'7c. Success counts 1718'!X37-'7d Success counts 1617'!X37</f>
        <v>-20</v>
      </c>
      <c r="Y37" s="212">
        <f>'7c. Success counts 1718'!Y37-'7d Success counts 1617'!Y37</f>
        <v>184</v>
      </c>
      <c r="Z37" s="213"/>
    </row>
    <row r="38" spans="1:26" x14ac:dyDescent="0.25">
      <c r="A38" s="170" t="s">
        <v>73</v>
      </c>
      <c r="B38" s="212">
        <f>'7c. Success counts 1718'!B38-'7d Success counts 1617'!B38</f>
        <v>118</v>
      </c>
      <c r="C38" s="212">
        <f>'7c. Success counts 1718'!C38-'7d Success counts 1617'!C38</f>
        <v>63</v>
      </c>
      <c r="D38" s="212">
        <f>'7c. Success counts 1718'!D38-'7d Success counts 1617'!D38</f>
        <v>0</v>
      </c>
      <c r="E38" s="212">
        <f>'7c. Success counts 1718'!E38-'7d Success counts 1617'!E38</f>
        <v>3</v>
      </c>
      <c r="F38" s="212">
        <f>'7c. Success counts 1718'!F38-'7d Success counts 1617'!F38</f>
        <v>40</v>
      </c>
      <c r="G38" s="212">
        <f>'7c. Success counts 1718'!G38-'7d Success counts 1617'!G38</f>
        <v>39</v>
      </c>
      <c r="H38" s="212">
        <f>'7c. Success counts 1718'!H38-'7d Success counts 1617'!H38</f>
        <v>129</v>
      </c>
      <c r="I38" s="212">
        <f>'7c. Success counts 1718'!I38-'7d Success counts 1617'!I38</f>
        <v>174</v>
      </c>
      <c r="J38" s="212">
        <f>'7c. Success counts 1718'!J38-'7d Success counts 1617'!J38</f>
        <v>67</v>
      </c>
      <c r="K38" s="212">
        <f>'7c. Success counts 1718'!K38-'7d Success counts 1617'!K38</f>
        <v>36</v>
      </c>
      <c r="L38" s="212">
        <f>'7c. Success counts 1718'!L38-'7d Success counts 1617'!L38</f>
        <v>0</v>
      </c>
      <c r="M38" s="212">
        <f>'7c. Success counts 1718'!M38-'7d Success counts 1617'!M38</f>
        <v>-2</v>
      </c>
      <c r="N38" s="212">
        <f>'7c. Success counts 1718'!N38-'7d Success counts 1617'!N38</f>
        <v>-7</v>
      </c>
      <c r="O38" s="212">
        <f>'7c. Success counts 1718'!O38-'7d Success counts 1617'!O38</f>
        <v>50</v>
      </c>
      <c r="P38" s="212">
        <f>'7c. Success counts 1718'!P38-'7d Success counts 1617'!P38</f>
        <v>92</v>
      </c>
      <c r="Q38" s="212">
        <f>'7c. Success counts 1718'!Q38-'7d Success counts 1617'!Q38</f>
        <v>73</v>
      </c>
      <c r="R38" s="212">
        <f>'7c. Success counts 1718'!R38-'7d Success counts 1617'!R38</f>
        <v>106</v>
      </c>
      <c r="S38" s="212">
        <f>'7c. Success counts 1718'!S38-'7d Success counts 1617'!S38</f>
        <v>56</v>
      </c>
      <c r="T38" s="212">
        <f>'7c. Success counts 1718'!T38-'7d Success counts 1617'!T38</f>
        <v>0</v>
      </c>
      <c r="U38" s="212">
        <f>'7c. Success counts 1718'!U38-'7d Success counts 1617'!U38</f>
        <v>8</v>
      </c>
      <c r="V38" s="212">
        <f>'7c. Success counts 1718'!V38-'7d Success counts 1617'!V38</f>
        <v>21</v>
      </c>
      <c r="W38" s="212">
        <f>'7c. Success counts 1718'!W38-'7d Success counts 1617'!W38</f>
        <v>56</v>
      </c>
      <c r="X38" s="212">
        <f>'7c. Success counts 1718'!X38-'7d Success counts 1617'!X38</f>
        <v>87</v>
      </c>
      <c r="Y38" s="212">
        <f>'7c. Success counts 1718'!Y38-'7d Success counts 1617'!Y38</f>
        <v>143</v>
      </c>
      <c r="Z38" s="213"/>
    </row>
    <row r="39" spans="1:26" x14ac:dyDescent="0.25">
      <c r="A39" s="170" t="s">
        <v>74</v>
      </c>
      <c r="B39" s="212">
        <f>'7c. Success counts 1718'!B39-'7d Success counts 1617'!B39</f>
        <v>45</v>
      </c>
      <c r="C39" s="212">
        <f>'7c. Success counts 1718'!C39-'7d Success counts 1617'!C39</f>
        <v>-60</v>
      </c>
      <c r="D39" s="212">
        <f>'7c. Success counts 1718'!D39-'7d Success counts 1617'!D39</f>
        <v>0</v>
      </c>
      <c r="E39" s="212">
        <f>'7c. Success counts 1718'!E39-'7d Success counts 1617'!E39</f>
        <v>-1</v>
      </c>
      <c r="F39" s="212">
        <f>'7c. Success counts 1718'!F39-'7d Success counts 1617'!F39</f>
        <v>-44</v>
      </c>
      <c r="G39" s="212">
        <f>'7c. Success counts 1718'!G39-'7d Success counts 1617'!G39</f>
        <v>-18</v>
      </c>
      <c r="H39" s="212">
        <f>'7c. Success counts 1718'!H39-'7d Success counts 1617'!H39</f>
        <v>-1</v>
      </c>
      <c r="I39" s="212">
        <f>'7c. Success counts 1718'!I39-'7d Success counts 1617'!I39</f>
        <v>-63</v>
      </c>
      <c r="J39" s="212">
        <f>'7c. Success counts 1718'!J39-'7d Success counts 1617'!J39</f>
        <v>20</v>
      </c>
      <c r="K39" s="212">
        <f>'7c. Success counts 1718'!K39-'7d Success counts 1617'!K39</f>
        <v>-41</v>
      </c>
      <c r="L39" s="212">
        <f>'7c. Success counts 1718'!L39-'7d Success counts 1617'!L39</f>
        <v>0</v>
      </c>
      <c r="M39" s="212">
        <f>'7c. Success counts 1718'!M39-'7d Success counts 1617'!M39</f>
        <v>-13</v>
      </c>
      <c r="N39" s="212">
        <f>'7c. Success counts 1718'!N39-'7d Success counts 1617'!N39</f>
        <v>3</v>
      </c>
      <c r="O39" s="212">
        <f>'7c. Success counts 1718'!O39-'7d Success counts 1617'!O39</f>
        <v>-20</v>
      </c>
      <c r="P39" s="212">
        <f>'7c. Success counts 1718'!P39-'7d Success counts 1617'!P39</f>
        <v>-5</v>
      </c>
      <c r="Q39" s="212">
        <f>'7c. Success counts 1718'!Q39-'7d Success counts 1617'!Q39</f>
        <v>35</v>
      </c>
      <c r="R39" s="212">
        <f>'7c. Success counts 1718'!R39-'7d Success counts 1617'!R39</f>
        <v>50</v>
      </c>
      <c r="S39" s="212">
        <f>'7c. Success counts 1718'!S39-'7d Success counts 1617'!S39</f>
        <v>-45</v>
      </c>
      <c r="T39" s="212">
        <f>'7c. Success counts 1718'!T39-'7d Success counts 1617'!T39</f>
        <v>0</v>
      </c>
      <c r="U39" s="212">
        <f>'7c. Success counts 1718'!U39-'7d Success counts 1617'!U39</f>
        <v>4</v>
      </c>
      <c r="V39" s="212">
        <f>'7c. Success counts 1718'!V39-'7d Success counts 1617'!V39</f>
        <v>-13</v>
      </c>
      <c r="W39" s="212">
        <f>'7c. Success counts 1718'!W39-'7d Success counts 1617'!W39</f>
        <v>-25</v>
      </c>
      <c r="X39" s="212">
        <f>'7c. Success counts 1718'!X39-'7d Success counts 1617'!X39</f>
        <v>-15</v>
      </c>
      <c r="Y39" s="212">
        <f>'7c. Success counts 1718'!Y39-'7d Success counts 1617'!Y39</f>
        <v>-13</v>
      </c>
      <c r="Z39" s="213"/>
    </row>
    <row r="40" spans="1:26" x14ac:dyDescent="0.25">
      <c r="A40" s="170" t="s">
        <v>75</v>
      </c>
      <c r="B40" s="212">
        <f>'7c. Success counts 1718'!B40-'7d Success counts 1617'!B40</f>
        <v>281</v>
      </c>
      <c r="C40" s="212">
        <f>'7c. Success counts 1718'!C40-'7d Success counts 1617'!C40</f>
        <v>129</v>
      </c>
      <c r="D40" s="212">
        <f>'7c. Success counts 1718'!D40-'7d Success counts 1617'!D40</f>
        <v>4</v>
      </c>
      <c r="E40" s="212">
        <f>'7c. Success counts 1718'!E40-'7d Success counts 1617'!E40</f>
        <v>-52</v>
      </c>
      <c r="F40" s="212">
        <f>'7c. Success counts 1718'!F40-'7d Success counts 1617'!F40</f>
        <v>80</v>
      </c>
      <c r="G40" s="212">
        <f>'7c. Success counts 1718'!G40-'7d Success counts 1617'!G40</f>
        <v>-152</v>
      </c>
      <c r="H40" s="212">
        <f>'7c. Success counts 1718'!H40-'7d Success counts 1617'!H40</f>
        <v>-15</v>
      </c>
      <c r="I40" s="212">
        <f>'7c. Success counts 1718'!I40-'7d Success counts 1617'!I40</f>
        <v>242</v>
      </c>
      <c r="J40" s="212">
        <f>'7c. Success counts 1718'!J40-'7d Success counts 1617'!J40</f>
        <v>145</v>
      </c>
      <c r="K40" s="212">
        <f>'7c. Success counts 1718'!K40-'7d Success counts 1617'!K40</f>
        <v>60</v>
      </c>
      <c r="L40" s="212">
        <f>'7c. Success counts 1718'!L40-'7d Success counts 1617'!L40</f>
        <v>1</v>
      </c>
      <c r="M40" s="212">
        <f>'7c. Success counts 1718'!M40-'7d Success counts 1617'!M40</f>
        <v>-16</v>
      </c>
      <c r="N40" s="212">
        <f>'7c. Success counts 1718'!N40-'7d Success counts 1617'!N40</f>
        <v>28</v>
      </c>
      <c r="O40" s="212">
        <f>'7c. Success counts 1718'!O40-'7d Success counts 1617'!O40</f>
        <v>-54</v>
      </c>
      <c r="P40" s="212">
        <f>'7c. Success counts 1718'!P40-'7d Success counts 1617'!P40</f>
        <v>83</v>
      </c>
      <c r="Q40" s="212">
        <f>'7c. Success counts 1718'!Q40-'7d Success counts 1617'!Q40</f>
        <v>127</v>
      </c>
      <c r="R40" s="212">
        <f>'7c. Success counts 1718'!R40-'7d Success counts 1617'!R40</f>
        <v>198</v>
      </c>
      <c r="S40" s="212">
        <f>'7c. Success counts 1718'!S40-'7d Success counts 1617'!S40</f>
        <v>100</v>
      </c>
      <c r="T40" s="212">
        <f>'7c. Success counts 1718'!T40-'7d Success counts 1617'!T40</f>
        <v>3</v>
      </c>
      <c r="U40" s="212">
        <f>'7c. Success counts 1718'!U40-'7d Success counts 1617'!U40</f>
        <v>-46</v>
      </c>
      <c r="V40" s="212">
        <f>'7c. Success counts 1718'!V40-'7d Success counts 1617'!V40</f>
        <v>36</v>
      </c>
      <c r="W40" s="212">
        <f>'7c. Success counts 1718'!W40-'7d Success counts 1617'!W40</f>
        <v>-151</v>
      </c>
      <c r="X40" s="212">
        <f>'7c. Success counts 1718'!X40-'7d Success counts 1617'!X40</f>
        <v>27</v>
      </c>
      <c r="Y40" s="212">
        <f>'7c. Success counts 1718'!Y40-'7d Success counts 1617'!Y40</f>
        <v>164</v>
      </c>
      <c r="Z40" s="213"/>
    </row>
    <row r="41" spans="1:26" x14ac:dyDescent="0.25">
      <c r="A41" s="170" t="s">
        <v>76</v>
      </c>
      <c r="B41" s="212">
        <f>'7c. Success counts 1718'!B41-'7d Success counts 1617'!B41</f>
        <v>22</v>
      </c>
      <c r="C41" s="212">
        <f>'7c. Success counts 1718'!C41-'7d Success counts 1617'!C41</f>
        <v>-21</v>
      </c>
      <c r="D41" s="212">
        <f>'7c. Success counts 1718'!D41-'7d Success counts 1617'!D41</f>
        <v>0</v>
      </c>
      <c r="E41" s="212">
        <f>'7c. Success counts 1718'!E41-'7d Success counts 1617'!E41</f>
        <v>-9</v>
      </c>
      <c r="F41" s="212">
        <f>'7c. Success counts 1718'!F41-'7d Success counts 1617'!F41</f>
        <v>8</v>
      </c>
      <c r="G41" s="212">
        <f>'7c. Success counts 1718'!G41-'7d Success counts 1617'!G41</f>
        <v>-102</v>
      </c>
      <c r="H41" s="212">
        <f>'7c. Success counts 1718'!H41-'7d Success counts 1617'!H41</f>
        <v>191</v>
      </c>
      <c r="I41" s="212">
        <f>'7c. Success counts 1718'!I41-'7d Success counts 1617'!I41</f>
        <v>66</v>
      </c>
      <c r="J41" s="212">
        <f>'7c. Success counts 1718'!J41-'7d Success counts 1617'!J41</f>
        <v>5</v>
      </c>
      <c r="K41" s="212">
        <f>'7c. Success counts 1718'!K41-'7d Success counts 1617'!K41</f>
        <v>-37</v>
      </c>
      <c r="L41" s="212">
        <f>'7c. Success counts 1718'!L41-'7d Success counts 1617'!L41</f>
        <v>0</v>
      </c>
      <c r="M41" s="212">
        <f>'7c. Success counts 1718'!M41-'7d Success counts 1617'!M41</f>
        <v>-1</v>
      </c>
      <c r="N41" s="212">
        <f>'7c. Success counts 1718'!N41-'7d Success counts 1617'!N41</f>
        <v>9</v>
      </c>
      <c r="O41" s="212">
        <f>'7c. Success counts 1718'!O41-'7d Success counts 1617'!O41</f>
        <v>-42</v>
      </c>
      <c r="P41" s="212">
        <f>'7c. Success counts 1718'!P41-'7d Success counts 1617'!P41</f>
        <v>14</v>
      </c>
      <c r="Q41" s="212">
        <f>'7c. Success counts 1718'!Q41-'7d Success counts 1617'!Q41</f>
        <v>-1</v>
      </c>
      <c r="R41" s="212">
        <f>'7c. Success counts 1718'!R41-'7d Success counts 1617'!R41</f>
        <v>17</v>
      </c>
      <c r="S41" s="212">
        <f>'7c. Success counts 1718'!S41-'7d Success counts 1617'!S41</f>
        <v>-35</v>
      </c>
      <c r="T41" s="212">
        <f>'7c. Success counts 1718'!T41-'7d Success counts 1617'!T41</f>
        <v>0</v>
      </c>
      <c r="U41" s="212">
        <f>'7c. Success counts 1718'!U41-'7d Success counts 1617'!U41</f>
        <v>1</v>
      </c>
      <c r="V41" s="212">
        <f>'7c. Success counts 1718'!V41-'7d Success counts 1617'!V41</f>
        <v>8</v>
      </c>
      <c r="W41" s="212">
        <f>'7c. Success counts 1718'!W41-'7d Success counts 1617'!W41</f>
        <v>-66</v>
      </c>
      <c r="X41" s="212">
        <f>'7c. Success counts 1718'!X41-'7d Success counts 1617'!X41</f>
        <v>22</v>
      </c>
      <c r="Y41" s="212">
        <f>'7c. Success counts 1718'!Y41-'7d Success counts 1617'!Y41</f>
        <v>3</v>
      </c>
      <c r="Z41" s="213"/>
    </row>
    <row r="42" spans="1:26" x14ac:dyDescent="0.25">
      <c r="A42" s="170" t="s">
        <v>77</v>
      </c>
      <c r="B42" s="212">
        <f>'7c. Success counts 1718'!B42-'7d Success counts 1617'!B42</f>
        <v>-3</v>
      </c>
      <c r="C42" s="212">
        <f>'7c. Success counts 1718'!C42-'7d Success counts 1617'!C42</f>
        <v>15</v>
      </c>
      <c r="D42" s="212">
        <f>'7c. Success counts 1718'!D42-'7d Success counts 1617'!D42</f>
        <v>0</v>
      </c>
      <c r="E42" s="212">
        <f>'7c. Success counts 1718'!E42-'7d Success counts 1617'!E42</f>
        <v>-11</v>
      </c>
      <c r="F42" s="212">
        <f>'7c. Success counts 1718'!F42-'7d Success counts 1617'!F42</f>
        <v>-2</v>
      </c>
      <c r="G42" s="212">
        <f>'7c. Success counts 1718'!G42-'7d Success counts 1617'!G42</f>
        <v>157</v>
      </c>
      <c r="H42" s="212">
        <f>'7c. Success counts 1718'!H42-'7d Success counts 1617'!H42</f>
        <v>-4</v>
      </c>
      <c r="I42" s="212">
        <f>'7c. Success counts 1718'!I42-'7d Success counts 1617'!I42</f>
        <v>-40</v>
      </c>
      <c r="J42" s="212">
        <f>'7c. Success counts 1718'!J42-'7d Success counts 1617'!J42</f>
        <v>0</v>
      </c>
      <c r="K42" s="212">
        <f>'7c. Success counts 1718'!K42-'7d Success counts 1617'!K42</f>
        <v>1</v>
      </c>
      <c r="L42" s="212">
        <f>'7c. Success counts 1718'!L42-'7d Success counts 1617'!L42</f>
        <v>0</v>
      </c>
      <c r="M42" s="212">
        <f>'7c. Success counts 1718'!M42-'7d Success counts 1617'!M42</f>
        <v>-10</v>
      </c>
      <c r="N42" s="212">
        <f>'7c. Success counts 1718'!N42-'7d Success counts 1617'!N42</f>
        <v>-1</v>
      </c>
      <c r="O42" s="212">
        <f>'7c. Success counts 1718'!O42-'7d Success counts 1617'!O42</f>
        <v>-13</v>
      </c>
      <c r="P42" s="212">
        <f>'7c. Success counts 1718'!P42-'7d Success counts 1617'!P42</f>
        <v>5</v>
      </c>
      <c r="Q42" s="212">
        <f>'7c. Success counts 1718'!Q42-'7d Success counts 1617'!Q42</f>
        <v>-3</v>
      </c>
      <c r="R42" s="212">
        <f>'7c. Success counts 1718'!R42-'7d Success counts 1617'!R42</f>
        <v>-2</v>
      </c>
      <c r="S42" s="212">
        <f>'7c. Success counts 1718'!S42-'7d Success counts 1617'!S42</f>
        <v>11</v>
      </c>
      <c r="T42" s="212">
        <f>'7c. Success counts 1718'!T42-'7d Success counts 1617'!T42</f>
        <v>0</v>
      </c>
      <c r="U42" s="212">
        <f>'7c. Success counts 1718'!U42-'7d Success counts 1617'!U42</f>
        <v>-20</v>
      </c>
      <c r="V42" s="212">
        <f>'7c. Success counts 1718'!V42-'7d Success counts 1617'!V42</f>
        <v>-1</v>
      </c>
      <c r="W42" s="212">
        <f>'7c. Success counts 1718'!W42-'7d Success counts 1617'!W42</f>
        <v>-7</v>
      </c>
      <c r="X42" s="212">
        <f>'7c. Success counts 1718'!X42-'7d Success counts 1617'!X42</f>
        <v>10</v>
      </c>
      <c r="Y42" s="212">
        <f>'7c. Success counts 1718'!Y42-'7d Success counts 1617'!Y42</f>
        <v>41</v>
      </c>
      <c r="Z42" s="213"/>
    </row>
    <row r="43" spans="1:26" x14ac:dyDescent="0.25">
      <c r="A43" s="170" t="s">
        <v>78</v>
      </c>
      <c r="B43" s="212">
        <f>'7c. Success counts 1718'!B43-'7d Success counts 1617'!B43</f>
        <v>126</v>
      </c>
      <c r="C43" s="212">
        <f>'7c. Success counts 1718'!C43-'7d Success counts 1617'!C43</f>
        <v>16</v>
      </c>
      <c r="D43" s="212">
        <f>'7c. Success counts 1718'!D43-'7d Success counts 1617'!D43</f>
        <v>0</v>
      </c>
      <c r="E43" s="212">
        <f>'7c. Success counts 1718'!E43-'7d Success counts 1617'!E43</f>
        <v>-76</v>
      </c>
      <c r="F43" s="212">
        <f>'7c. Success counts 1718'!F43-'7d Success counts 1617'!F43</f>
        <v>145</v>
      </c>
      <c r="G43" s="212">
        <f>'7c. Success counts 1718'!G43-'7d Success counts 1617'!G43</f>
        <v>55</v>
      </c>
      <c r="H43" s="212">
        <f>'7c. Success counts 1718'!H43-'7d Success counts 1617'!H43</f>
        <v>127</v>
      </c>
      <c r="I43" s="212">
        <f>'7c. Success counts 1718'!I43-'7d Success counts 1617'!I43</f>
        <v>222</v>
      </c>
      <c r="J43" s="212">
        <f>'7c. Success counts 1718'!J43-'7d Success counts 1617'!J43</f>
        <v>50</v>
      </c>
      <c r="K43" s="212">
        <f>'7c. Success counts 1718'!K43-'7d Success counts 1617'!K43</f>
        <v>-2</v>
      </c>
      <c r="L43" s="212">
        <f>'7c. Success counts 1718'!L43-'7d Success counts 1617'!L43</f>
        <v>0</v>
      </c>
      <c r="M43" s="212">
        <f>'7c. Success counts 1718'!M43-'7d Success counts 1617'!M43</f>
        <v>-19</v>
      </c>
      <c r="N43" s="212">
        <f>'7c. Success counts 1718'!N43-'7d Success counts 1617'!N43</f>
        <v>70</v>
      </c>
      <c r="O43" s="212">
        <f>'7c. Success counts 1718'!O43-'7d Success counts 1617'!O43</f>
        <v>62</v>
      </c>
      <c r="P43" s="212">
        <f>'7c. Success counts 1718'!P43-'7d Success counts 1617'!P43</f>
        <v>78</v>
      </c>
      <c r="Q43" s="212">
        <f>'7c. Success counts 1718'!Q43-'7d Success counts 1617'!Q43</f>
        <v>29</v>
      </c>
      <c r="R43" s="212">
        <f>'7c. Success counts 1718'!R43-'7d Success counts 1617'!R43</f>
        <v>68</v>
      </c>
      <c r="S43" s="212">
        <f>'7c. Success counts 1718'!S43-'7d Success counts 1617'!S43</f>
        <v>22</v>
      </c>
      <c r="T43" s="212">
        <f>'7c. Success counts 1718'!T43-'7d Success counts 1617'!T43</f>
        <v>0</v>
      </c>
      <c r="U43" s="212">
        <f>'7c. Success counts 1718'!U43-'7d Success counts 1617'!U43</f>
        <v>-26</v>
      </c>
      <c r="V43" s="212">
        <f>'7c. Success counts 1718'!V43-'7d Success counts 1617'!V43</f>
        <v>106</v>
      </c>
      <c r="W43" s="212">
        <f>'7c. Success counts 1718'!W43-'7d Success counts 1617'!W43</f>
        <v>97</v>
      </c>
      <c r="X43" s="212">
        <f>'7c. Success counts 1718'!X43-'7d Success counts 1617'!X43</f>
        <v>97</v>
      </c>
      <c r="Y43" s="212">
        <f>'7c. Success counts 1718'!Y43-'7d Success counts 1617'!Y43</f>
        <v>83</v>
      </c>
      <c r="Z43" s="213"/>
    </row>
    <row r="44" spans="1:26" x14ac:dyDescent="0.25">
      <c r="A44" s="170" t="s">
        <v>79</v>
      </c>
      <c r="B44" s="212">
        <f>'7c. Success counts 1718'!B44-'7d Success counts 1617'!B44</f>
        <v>238</v>
      </c>
      <c r="C44" s="212">
        <f>'7c. Success counts 1718'!C44-'7d Success counts 1617'!C44</f>
        <v>194</v>
      </c>
      <c r="D44" s="212">
        <f>'7c. Success counts 1718'!D44-'7d Success counts 1617'!D44</f>
        <v>0</v>
      </c>
      <c r="E44" s="212">
        <f>'7c. Success counts 1718'!E44-'7d Success counts 1617'!E44</f>
        <v>-26</v>
      </c>
      <c r="F44" s="212">
        <f>'7c. Success counts 1718'!F44-'7d Success counts 1617'!F44</f>
        <v>209</v>
      </c>
      <c r="G44" s="212">
        <f>'7c. Success counts 1718'!G44-'7d Success counts 1617'!G44</f>
        <v>-159</v>
      </c>
      <c r="H44" s="212">
        <f>'7c. Success counts 1718'!H44-'7d Success counts 1617'!H44</f>
        <v>468</v>
      </c>
      <c r="I44" s="212">
        <f>'7c. Success counts 1718'!I44-'7d Success counts 1617'!I44</f>
        <v>354</v>
      </c>
      <c r="J44" s="212">
        <f>'7c. Success counts 1718'!J44-'7d Success counts 1617'!J44</f>
        <v>121</v>
      </c>
      <c r="K44" s="212">
        <f>'7c. Success counts 1718'!K44-'7d Success counts 1617'!K44</f>
        <v>26</v>
      </c>
      <c r="L44" s="212">
        <f>'7c. Success counts 1718'!L44-'7d Success counts 1617'!L44</f>
        <v>0</v>
      </c>
      <c r="M44" s="212">
        <f>'7c. Success counts 1718'!M44-'7d Success counts 1617'!M44</f>
        <v>-3</v>
      </c>
      <c r="N44" s="212">
        <f>'7c. Success counts 1718'!N44-'7d Success counts 1617'!N44</f>
        <v>97</v>
      </c>
      <c r="O44" s="212">
        <f>'7c. Success counts 1718'!O44-'7d Success counts 1617'!O44</f>
        <v>-106</v>
      </c>
      <c r="P44" s="212">
        <f>'7c. Success counts 1718'!P44-'7d Success counts 1617'!P44</f>
        <v>399</v>
      </c>
      <c r="Q44" s="212">
        <f>'7c. Success counts 1718'!Q44-'7d Success counts 1617'!Q44</f>
        <v>134</v>
      </c>
      <c r="R44" s="212">
        <f>'7c. Success counts 1718'!R44-'7d Success counts 1617'!R44</f>
        <v>163</v>
      </c>
      <c r="S44" s="212">
        <f>'7c. Success counts 1718'!S44-'7d Success counts 1617'!S44</f>
        <v>77</v>
      </c>
      <c r="T44" s="212">
        <f>'7c. Success counts 1718'!T44-'7d Success counts 1617'!T44</f>
        <v>0</v>
      </c>
      <c r="U44" s="212">
        <f>'7c. Success counts 1718'!U44-'7d Success counts 1617'!U44</f>
        <v>-33</v>
      </c>
      <c r="V44" s="212">
        <f>'7c. Success counts 1718'!V44-'7d Success counts 1617'!V44</f>
        <v>142</v>
      </c>
      <c r="W44" s="212">
        <f>'7c. Success counts 1718'!W44-'7d Success counts 1617'!W44</f>
        <v>-143</v>
      </c>
      <c r="X44" s="212">
        <f>'7c. Success counts 1718'!X44-'7d Success counts 1617'!X44</f>
        <v>409</v>
      </c>
      <c r="Y44" s="212">
        <f>'7c. Success counts 1718'!Y44-'7d Success counts 1617'!Y44</f>
        <v>196</v>
      </c>
      <c r="Z44" s="213"/>
    </row>
    <row r="45" spans="1:26" x14ac:dyDescent="0.25">
      <c r="A45" s="170" t="s">
        <v>80</v>
      </c>
      <c r="B45" s="212">
        <f>'7c. Success counts 1718'!B45-'7d Success counts 1617'!B45</f>
        <v>53</v>
      </c>
      <c r="C45" s="212">
        <f>'7c. Success counts 1718'!C45-'7d Success counts 1617'!C45</f>
        <v>53</v>
      </c>
      <c r="D45" s="212">
        <f>'7c. Success counts 1718'!D45-'7d Success counts 1617'!D45</f>
        <v>0</v>
      </c>
      <c r="E45" s="212">
        <f>'7c. Success counts 1718'!E45-'7d Success counts 1617'!E45</f>
        <v>-30</v>
      </c>
      <c r="F45" s="212">
        <f>'7c. Success counts 1718'!F45-'7d Success counts 1617'!F45</f>
        <v>-56</v>
      </c>
      <c r="G45" s="212">
        <f>'7c. Success counts 1718'!G45-'7d Success counts 1617'!G45</f>
        <v>-202</v>
      </c>
      <c r="H45" s="212">
        <f>'7c. Success counts 1718'!H45-'7d Success counts 1617'!H45</f>
        <v>-13</v>
      </c>
      <c r="I45" s="212">
        <f>'7c. Success counts 1718'!I45-'7d Success counts 1617'!I45</f>
        <v>-84</v>
      </c>
      <c r="J45" s="212">
        <f>'7c. Success counts 1718'!J45-'7d Success counts 1617'!J45</f>
        <v>26</v>
      </c>
      <c r="K45" s="212">
        <f>'7c. Success counts 1718'!K45-'7d Success counts 1617'!K45</f>
        <v>-23</v>
      </c>
      <c r="L45" s="212">
        <f>'7c. Success counts 1718'!L45-'7d Success counts 1617'!L45</f>
        <v>0</v>
      </c>
      <c r="M45" s="212">
        <f>'7c. Success counts 1718'!M45-'7d Success counts 1617'!M45</f>
        <v>-26</v>
      </c>
      <c r="N45" s="212">
        <f>'7c. Success counts 1718'!N45-'7d Success counts 1617'!N45</f>
        <v>0</v>
      </c>
      <c r="O45" s="212">
        <f>'7c. Success counts 1718'!O45-'7d Success counts 1617'!O45</f>
        <v>-122</v>
      </c>
      <c r="P45" s="212">
        <f>'7c. Success counts 1718'!P45-'7d Success counts 1617'!P45</f>
        <v>-6</v>
      </c>
      <c r="Q45" s="212">
        <f>'7c. Success counts 1718'!Q45-'7d Success counts 1617'!Q45</f>
        <v>-4</v>
      </c>
      <c r="R45" s="212">
        <f>'7c. Success counts 1718'!R45-'7d Success counts 1617'!R45</f>
        <v>43</v>
      </c>
      <c r="S45" s="212">
        <f>'7c. Success counts 1718'!S45-'7d Success counts 1617'!S45</f>
        <v>-5</v>
      </c>
      <c r="T45" s="212">
        <f>'7c. Success counts 1718'!T45-'7d Success counts 1617'!T45</f>
        <v>0</v>
      </c>
      <c r="U45" s="212">
        <f>'7c. Success counts 1718'!U45-'7d Success counts 1617'!U45</f>
        <v>-20</v>
      </c>
      <c r="V45" s="212">
        <f>'7c. Success counts 1718'!V45-'7d Success counts 1617'!V45</f>
        <v>-5</v>
      </c>
      <c r="W45" s="212">
        <f>'7c. Success counts 1718'!W45-'7d Success counts 1617'!W45</f>
        <v>-144</v>
      </c>
      <c r="X45" s="212">
        <f>'7c. Success counts 1718'!X45-'7d Success counts 1617'!X45</f>
        <v>-51</v>
      </c>
      <c r="Y45" s="212">
        <f>'7c. Success counts 1718'!Y45-'7d Success counts 1617'!Y45</f>
        <v>-81</v>
      </c>
      <c r="Z45" s="213"/>
    </row>
    <row r="46" spans="1:26" x14ac:dyDescent="0.25">
      <c r="A46" s="170" t="s">
        <v>81</v>
      </c>
      <c r="B46" s="212">
        <f>'7c. Success counts 1718'!B46-'7d Success counts 1617'!B46</f>
        <v>156</v>
      </c>
      <c r="C46" s="212">
        <f>'7c. Success counts 1718'!C46-'7d Success counts 1617'!C46</f>
        <v>-45</v>
      </c>
      <c r="D46" s="212">
        <f>'7c. Success counts 1718'!D46-'7d Success counts 1617'!D46</f>
        <v>0</v>
      </c>
      <c r="E46" s="212">
        <f>'7c. Success counts 1718'!E46-'7d Success counts 1617'!E46</f>
        <v>5</v>
      </c>
      <c r="F46" s="212">
        <f>'7c. Success counts 1718'!F46-'7d Success counts 1617'!F46</f>
        <v>103</v>
      </c>
      <c r="G46" s="212">
        <f>'7c. Success counts 1718'!G46-'7d Success counts 1617'!G46</f>
        <v>146</v>
      </c>
      <c r="H46" s="212">
        <f>'7c. Success counts 1718'!H46-'7d Success counts 1617'!H46</f>
        <v>-215</v>
      </c>
      <c r="I46" s="212">
        <f>'7c. Success counts 1718'!I46-'7d Success counts 1617'!I46</f>
        <v>-490</v>
      </c>
      <c r="J46" s="212">
        <f>'7c. Success counts 1718'!J46-'7d Success counts 1617'!J46</f>
        <v>82</v>
      </c>
      <c r="K46" s="212">
        <f>'7c. Success counts 1718'!K46-'7d Success counts 1617'!K46</f>
        <v>-8</v>
      </c>
      <c r="L46" s="212">
        <f>'7c. Success counts 1718'!L46-'7d Success counts 1617'!L46</f>
        <v>0</v>
      </c>
      <c r="M46" s="212">
        <f>'7c. Success counts 1718'!M46-'7d Success counts 1617'!M46</f>
        <v>-8</v>
      </c>
      <c r="N46" s="212">
        <f>'7c. Success counts 1718'!N46-'7d Success counts 1617'!N46</f>
        <v>21</v>
      </c>
      <c r="O46" s="212">
        <f>'7c. Success counts 1718'!O46-'7d Success counts 1617'!O46</f>
        <v>-17</v>
      </c>
      <c r="P46" s="212">
        <f>'7c. Success counts 1718'!P46-'7d Success counts 1617'!P46</f>
        <v>-47</v>
      </c>
      <c r="Q46" s="212">
        <f>'7c. Success counts 1718'!Q46-'7d Success counts 1617'!Q46</f>
        <v>-2</v>
      </c>
      <c r="R46" s="212">
        <f>'7c. Success counts 1718'!R46-'7d Success counts 1617'!R46</f>
        <v>97</v>
      </c>
      <c r="S46" s="212">
        <f>'7c. Success counts 1718'!S46-'7d Success counts 1617'!S46</f>
        <v>-23</v>
      </c>
      <c r="T46" s="212">
        <f>'7c. Success counts 1718'!T46-'7d Success counts 1617'!T46</f>
        <v>0</v>
      </c>
      <c r="U46" s="212">
        <f>'7c. Success counts 1718'!U46-'7d Success counts 1617'!U46</f>
        <v>-24</v>
      </c>
      <c r="V46" s="212">
        <f>'7c. Success counts 1718'!V46-'7d Success counts 1617'!V46</f>
        <v>45</v>
      </c>
      <c r="W46" s="212">
        <f>'7c. Success counts 1718'!W46-'7d Success counts 1617'!W46</f>
        <v>-110</v>
      </c>
      <c r="X46" s="212">
        <f>'7c. Success counts 1718'!X46-'7d Success counts 1617'!X46</f>
        <v>-106</v>
      </c>
      <c r="Y46" s="212">
        <f>'7c. Success counts 1718'!Y46-'7d Success counts 1617'!Y46</f>
        <v>57</v>
      </c>
      <c r="Z46" s="213"/>
    </row>
    <row r="47" spans="1:26" x14ac:dyDescent="0.25">
      <c r="A47" s="170" t="s">
        <v>82</v>
      </c>
      <c r="B47" s="212">
        <f>'7c. Success counts 1718'!B47-'7d Success counts 1617'!B47</f>
        <v>16</v>
      </c>
      <c r="C47" s="212">
        <f>'7c. Success counts 1718'!C47-'7d Success counts 1617'!C47</f>
        <v>13</v>
      </c>
      <c r="D47" s="212">
        <f>'7c. Success counts 1718'!D47-'7d Success counts 1617'!D47</f>
        <v>0</v>
      </c>
      <c r="E47" s="212">
        <f>'7c. Success counts 1718'!E47-'7d Success counts 1617'!E47</f>
        <v>-28</v>
      </c>
      <c r="F47" s="212">
        <f>'7c. Success counts 1718'!F47-'7d Success counts 1617'!F47</f>
        <v>-2</v>
      </c>
      <c r="G47" s="212">
        <f>'7c. Success counts 1718'!G47-'7d Success counts 1617'!G47</f>
        <v>-9</v>
      </c>
      <c r="H47" s="212">
        <f>'7c. Success counts 1718'!H47-'7d Success counts 1617'!H47</f>
        <v>83</v>
      </c>
      <c r="I47" s="212">
        <f>'7c. Success counts 1718'!I47-'7d Success counts 1617'!I47</f>
        <v>-16</v>
      </c>
      <c r="J47" s="212">
        <f>'7c. Success counts 1718'!J47-'7d Success counts 1617'!J47</f>
        <v>13</v>
      </c>
      <c r="K47" s="212">
        <f>'7c. Success counts 1718'!K47-'7d Success counts 1617'!K47</f>
        <v>-3</v>
      </c>
      <c r="L47" s="212">
        <f>'7c. Success counts 1718'!L47-'7d Success counts 1617'!L47</f>
        <v>0</v>
      </c>
      <c r="M47" s="212">
        <f>'7c. Success counts 1718'!M47-'7d Success counts 1617'!M47</f>
        <v>-29</v>
      </c>
      <c r="N47" s="212">
        <f>'7c. Success counts 1718'!N47-'7d Success counts 1617'!N47</f>
        <v>-5</v>
      </c>
      <c r="O47" s="212">
        <f>'7c. Success counts 1718'!O47-'7d Success counts 1617'!O47</f>
        <v>-26</v>
      </c>
      <c r="P47" s="212">
        <f>'7c. Success counts 1718'!P47-'7d Success counts 1617'!P47</f>
        <v>40</v>
      </c>
      <c r="Q47" s="212">
        <f>'7c. Success counts 1718'!Q47-'7d Success counts 1617'!Q47</f>
        <v>-5</v>
      </c>
      <c r="R47" s="212">
        <f>'7c. Success counts 1718'!R47-'7d Success counts 1617'!R47</f>
        <v>16</v>
      </c>
      <c r="S47" s="212">
        <f>'7c. Success counts 1718'!S47-'7d Success counts 1617'!S47</f>
        <v>-5</v>
      </c>
      <c r="T47" s="212">
        <f>'7c. Success counts 1718'!T47-'7d Success counts 1617'!T47</f>
        <v>0</v>
      </c>
      <c r="U47" s="212">
        <f>'7c. Success counts 1718'!U47-'7d Success counts 1617'!U47</f>
        <v>-38</v>
      </c>
      <c r="V47" s="212">
        <f>'7c. Success counts 1718'!V47-'7d Success counts 1617'!V47</f>
        <v>-5</v>
      </c>
      <c r="W47" s="212">
        <f>'7c. Success counts 1718'!W47-'7d Success counts 1617'!W47</f>
        <v>-19</v>
      </c>
      <c r="X47" s="212">
        <f>'7c. Success counts 1718'!X47-'7d Success counts 1617'!X47</f>
        <v>63</v>
      </c>
      <c r="Y47" s="212">
        <f>'7c. Success counts 1718'!Y47-'7d Success counts 1617'!Y47</f>
        <v>-5</v>
      </c>
      <c r="Z47" s="213"/>
    </row>
    <row r="48" spans="1:26" x14ac:dyDescent="0.25">
      <c r="A48" s="170" t="s">
        <v>83</v>
      </c>
      <c r="B48" s="212">
        <f>'7c. Success counts 1718'!B48-'7d Success counts 1617'!B48</f>
        <v>65</v>
      </c>
      <c r="C48" s="212">
        <f>'7c. Success counts 1718'!C48-'7d Success counts 1617'!C48</f>
        <v>70</v>
      </c>
      <c r="D48" s="212">
        <f>'7c. Success counts 1718'!D48-'7d Success counts 1617'!D48</f>
        <v>0</v>
      </c>
      <c r="E48" s="212">
        <f>'7c. Success counts 1718'!E48-'7d Success counts 1617'!E48</f>
        <v>295</v>
      </c>
      <c r="F48" s="212">
        <f>'7c. Success counts 1718'!F48-'7d Success counts 1617'!F48</f>
        <v>102</v>
      </c>
      <c r="G48" s="212">
        <f>'7c. Success counts 1718'!G48-'7d Success counts 1617'!G48</f>
        <v>-53</v>
      </c>
      <c r="H48" s="212">
        <f>'7c. Success counts 1718'!H48-'7d Success counts 1617'!H48</f>
        <v>52</v>
      </c>
      <c r="I48" s="212">
        <f>'7c. Success counts 1718'!I48-'7d Success counts 1617'!I48</f>
        <v>89</v>
      </c>
      <c r="J48" s="212">
        <f>'7c. Success counts 1718'!J48-'7d Success counts 1617'!J48</f>
        <v>51</v>
      </c>
      <c r="K48" s="212">
        <f>'7c. Success counts 1718'!K48-'7d Success counts 1617'!K48</f>
        <v>46</v>
      </c>
      <c r="L48" s="212">
        <f>'7c. Success counts 1718'!L48-'7d Success counts 1617'!L48</f>
        <v>0</v>
      </c>
      <c r="M48" s="212">
        <f>'7c. Success counts 1718'!M48-'7d Success counts 1617'!M48</f>
        <v>171</v>
      </c>
      <c r="N48" s="212">
        <f>'7c. Success counts 1718'!N48-'7d Success counts 1617'!N48</f>
        <v>68</v>
      </c>
      <c r="O48" s="212">
        <f>'7c. Success counts 1718'!O48-'7d Success counts 1617'!O48</f>
        <v>-50</v>
      </c>
      <c r="P48" s="212">
        <f>'7c. Success counts 1718'!P48-'7d Success counts 1617'!P48</f>
        <v>54</v>
      </c>
      <c r="Q48" s="212">
        <f>'7c. Success counts 1718'!Q48-'7d Success counts 1617'!Q48</f>
        <v>31</v>
      </c>
      <c r="R48" s="212">
        <f>'7c. Success counts 1718'!R48-'7d Success counts 1617'!R48</f>
        <v>68</v>
      </c>
      <c r="S48" s="212">
        <f>'7c. Success counts 1718'!S48-'7d Success counts 1617'!S48</f>
        <v>75</v>
      </c>
      <c r="T48" s="212">
        <f>'7c. Success counts 1718'!T48-'7d Success counts 1617'!T48</f>
        <v>0</v>
      </c>
      <c r="U48" s="212">
        <f>'7c. Success counts 1718'!U48-'7d Success counts 1617'!U48</f>
        <v>230</v>
      </c>
      <c r="V48" s="212">
        <f>'7c. Success counts 1718'!V48-'7d Success counts 1617'!V48</f>
        <v>99</v>
      </c>
      <c r="W48" s="212">
        <f>'7c. Success counts 1718'!W48-'7d Success counts 1617'!W48</f>
        <v>-57</v>
      </c>
      <c r="X48" s="212">
        <f>'7c. Success counts 1718'!X48-'7d Success counts 1617'!X48</f>
        <v>57</v>
      </c>
      <c r="Y48" s="212">
        <f>'7c. Success counts 1718'!Y48-'7d Success counts 1617'!Y48</f>
        <v>106</v>
      </c>
      <c r="Z48" s="213"/>
    </row>
    <row r="49" spans="1:26" x14ac:dyDescent="0.25">
      <c r="A49" s="170" t="s">
        <v>84</v>
      </c>
      <c r="B49" s="212">
        <f>'7c. Success counts 1718'!B49-'7d Success counts 1617'!B49</f>
        <v>293</v>
      </c>
      <c r="C49" s="212">
        <f>'7c. Success counts 1718'!C49-'7d Success counts 1617'!C49</f>
        <v>475</v>
      </c>
      <c r="D49" s="212">
        <f>'7c. Success counts 1718'!D49-'7d Success counts 1617'!D49</f>
        <v>0</v>
      </c>
      <c r="E49" s="212">
        <f>'7c. Success counts 1718'!E49-'7d Success counts 1617'!E49</f>
        <v>47</v>
      </c>
      <c r="F49" s="212">
        <f>'7c. Success counts 1718'!F49-'7d Success counts 1617'!F49</f>
        <v>414</v>
      </c>
      <c r="G49" s="212">
        <f>'7c. Success counts 1718'!G49-'7d Success counts 1617'!G49</f>
        <v>-25</v>
      </c>
      <c r="H49" s="212">
        <f>'7c. Success counts 1718'!H49-'7d Success counts 1617'!H49</f>
        <v>82</v>
      </c>
      <c r="I49" s="212">
        <f>'7c. Success counts 1718'!I49-'7d Success counts 1617'!I49</f>
        <v>731</v>
      </c>
      <c r="J49" s="212">
        <f>'7c. Success counts 1718'!J49-'7d Success counts 1617'!J49</f>
        <v>182</v>
      </c>
      <c r="K49" s="212">
        <f>'7c. Success counts 1718'!K49-'7d Success counts 1617'!K49</f>
        <v>268</v>
      </c>
      <c r="L49" s="212">
        <f>'7c. Success counts 1718'!L49-'7d Success counts 1617'!L49</f>
        <v>0</v>
      </c>
      <c r="M49" s="212">
        <f>'7c. Success counts 1718'!M49-'7d Success counts 1617'!M49</f>
        <v>3</v>
      </c>
      <c r="N49" s="212">
        <f>'7c. Success counts 1718'!N49-'7d Success counts 1617'!N49</f>
        <v>219</v>
      </c>
      <c r="O49" s="212">
        <f>'7c. Success counts 1718'!O49-'7d Success counts 1617'!O49</f>
        <v>-90</v>
      </c>
      <c r="P49" s="212">
        <f>'7c. Success counts 1718'!P49-'7d Success counts 1617'!P49</f>
        <v>26</v>
      </c>
      <c r="Q49" s="212">
        <f>'7c. Success counts 1718'!Q49-'7d Success counts 1617'!Q49</f>
        <v>231</v>
      </c>
      <c r="R49" s="212">
        <f>'7c. Success counts 1718'!R49-'7d Success counts 1617'!R49</f>
        <v>245</v>
      </c>
      <c r="S49" s="212">
        <f>'7c. Success counts 1718'!S49-'7d Success counts 1617'!S49</f>
        <v>365</v>
      </c>
      <c r="T49" s="212">
        <f>'7c. Success counts 1718'!T49-'7d Success counts 1617'!T49</f>
        <v>0</v>
      </c>
      <c r="U49" s="212">
        <f>'7c. Success counts 1718'!U49-'7d Success counts 1617'!U49</f>
        <v>17</v>
      </c>
      <c r="V49" s="212">
        <f>'7c. Success counts 1718'!V49-'7d Success counts 1617'!V49</f>
        <v>310</v>
      </c>
      <c r="W49" s="212">
        <f>'7c. Success counts 1718'!W49-'7d Success counts 1617'!W49</f>
        <v>-37</v>
      </c>
      <c r="X49" s="212">
        <f>'7c. Success counts 1718'!X49-'7d Success counts 1617'!X49</f>
        <v>36</v>
      </c>
      <c r="Y49" s="212">
        <f>'7c. Success counts 1718'!Y49-'7d Success counts 1617'!Y49</f>
        <v>432</v>
      </c>
      <c r="Z49" s="213"/>
    </row>
    <row r="50" spans="1:26" x14ac:dyDescent="0.25">
      <c r="A50" s="170" t="s">
        <v>85</v>
      </c>
      <c r="B50" s="212">
        <f>'7c. Success counts 1718'!B50-'7d Success counts 1617'!B50</f>
        <v>55</v>
      </c>
      <c r="C50" s="212">
        <f>'7c. Success counts 1718'!C50-'7d Success counts 1617'!C50</f>
        <v>-113</v>
      </c>
      <c r="D50" s="212">
        <f>'7c. Success counts 1718'!D50-'7d Success counts 1617'!D50</f>
        <v>0</v>
      </c>
      <c r="E50" s="212">
        <f>'7c. Success counts 1718'!E50-'7d Success counts 1617'!E50</f>
        <v>22</v>
      </c>
      <c r="F50" s="212">
        <f>'7c. Success counts 1718'!F50-'7d Success counts 1617'!F50</f>
        <v>76</v>
      </c>
      <c r="G50" s="212">
        <f>'7c. Success counts 1718'!G50-'7d Success counts 1617'!G50</f>
        <v>317</v>
      </c>
      <c r="H50" s="212">
        <f>'7c. Success counts 1718'!H50-'7d Success counts 1617'!H50</f>
        <v>25</v>
      </c>
      <c r="I50" s="212">
        <f>'7c. Success counts 1718'!I50-'7d Success counts 1617'!I50</f>
        <v>137</v>
      </c>
      <c r="J50" s="212">
        <f>'7c. Success counts 1718'!J50-'7d Success counts 1617'!J50</f>
        <v>40</v>
      </c>
      <c r="K50" s="212">
        <f>'7c. Success counts 1718'!K50-'7d Success counts 1617'!K50</f>
        <v>-55</v>
      </c>
      <c r="L50" s="212">
        <f>'7c. Success counts 1718'!L50-'7d Success counts 1617'!L50</f>
        <v>0</v>
      </c>
      <c r="M50" s="212">
        <f>'7c. Success counts 1718'!M50-'7d Success counts 1617'!M50</f>
        <v>10</v>
      </c>
      <c r="N50" s="212">
        <f>'7c. Success counts 1718'!N50-'7d Success counts 1617'!N50</f>
        <v>35</v>
      </c>
      <c r="O50" s="212">
        <f>'7c. Success counts 1718'!O50-'7d Success counts 1617'!O50</f>
        <v>-33</v>
      </c>
      <c r="P50" s="212">
        <f>'7c. Success counts 1718'!P50-'7d Success counts 1617'!P50</f>
        <v>-24</v>
      </c>
      <c r="Q50" s="212">
        <f>'7c. Success counts 1718'!Q50-'7d Success counts 1617'!Q50</f>
        <v>69</v>
      </c>
      <c r="R50" s="212">
        <f>'7c. Success counts 1718'!R50-'7d Success counts 1617'!R50</f>
        <v>56</v>
      </c>
      <c r="S50" s="212">
        <f>'7c. Success counts 1718'!S50-'7d Success counts 1617'!S50</f>
        <v>-59</v>
      </c>
      <c r="T50" s="212">
        <f>'7c. Success counts 1718'!T50-'7d Success counts 1617'!T50</f>
        <v>0</v>
      </c>
      <c r="U50" s="212">
        <f>'7c. Success counts 1718'!U50-'7d Success counts 1617'!U50</f>
        <v>17</v>
      </c>
      <c r="V50" s="212">
        <f>'7c. Success counts 1718'!V50-'7d Success counts 1617'!V50</f>
        <v>34</v>
      </c>
      <c r="W50" s="212">
        <f>'7c. Success counts 1718'!W50-'7d Success counts 1617'!W50</f>
        <v>26</v>
      </c>
      <c r="X50" s="212">
        <f>'7c. Success counts 1718'!X50-'7d Success counts 1617'!X50</f>
        <v>24</v>
      </c>
      <c r="Y50" s="212">
        <f>'7c. Success counts 1718'!Y50-'7d Success counts 1617'!Y50</f>
        <v>112</v>
      </c>
      <c r="Z50" s="213"/>
    </row>
    <row r="51" spans="1:26" x14ac:dyDescent="0.25">
      <c r="A51" s="170" t="s">
        <v>86</v>
      </c>
      <c r="B51" s="212">
        <f>'7c. Success counts 1718'!B51-'7d Success counts 1617'!B51</f>
        <v>177</v>
      </c>
      <c r="C51" s="212">
        <f>'7c. Success counts 1718'!C51-'7d Success counts 1617'!C51</f>
        <v>45</v>
      </c>
      <c r="D51" s="212">
        <f>'7c. Success counts 1718'!D51-'7d Success counts 1617'!D51</f>
        <v>10</v>
      </c>
      <c r="E51" s="212">
        <f>'7c. Success counts 1718'!E51-'7d Success counts 1617'!E51</f>
        <v>-24</v>
      </c>
      <c r="F51" s="212">
        <f>'7c. Success counts 1718'!F51-'7d Success counts 1617'!F51</f>
        <v>36</v>
      </c>
      <c r="G51" s="212">
        <f>'7c. Success counts 1718'!G51-'7d Success counts 1617'!G51</f>
        <v>-132</v>
      </c>
      <c r="H51" s="212">
        <f>'7c. Success counts 1718'!H51-'7d Success counts 1617'!H51</f>
        <v>492</v>
      </c>
      <c r="I51" s="212">
        <f>'7c. Success counts 1718'!I51-'7d Success counts 1617'!I51</f>
        <v>758</v>
      </c>
      <c r="J51" s="212">
        <f>'7c. Success counts 1718'!J51-'7d Success counts 1617'!J51</f>
        <v>47</v>
      </c>
      <c r="K51" s="212">
        <f>'7c. Success counts 1718'!K51-'7d Success counts 1617'!K51</f>
        <v>18</v>
      </c>
      <c r="L51" s="212">
        <f>'7c. Success counts 1718'!L51-'7d Success counts 1617'!L51</f>
        <v>6</v>
      </c>
      <c r="M51" s="212">
        <f>'7c. Success counts 1718'!M51-'7d Success counts 1617'!M51</f>
        <v>34</v>
      </c>
      <c r="N51" s="212">
        <f>'7c. Success counts 1718'!N51-'7d Success counts 1617'!N51</f>
        <v>1</v>
      </c>
      <c r="O51" s="212">
        <f>'7c. Success counts 1718'!O51-'7d Success counts 1617'!O51</f>
        <v>-18</v>
      </c>
      <c r="P51" s="212">
        <f>'7c. Success counts 1718'!P51-'7d Success counts 1617'!P51</f>
        <v>124</v>
      </c>
      <c r="Q51" s="212">
        <f>'7c. Success counts 1718'!Q51-'7d Success counts 1617'!Q51</f>
        <v>191</v>
      </c>
      <c r="R51" s="212">
        <f>'7c. Success counts 1718'!R51-'7d Success counts 1617'!R51</f>
        <v>82</v>
      </c>
      <c r="S51" s="212">
        <f>'7c. Success counts 1718'!S51-'7d Success counts 1617'!S51</f>
        <v>13</v>
      </c>
      <c r="T51" s="212">
        <f>'7c. Success counts 1718'!T51-'7d Success counts 1617'!T51</f>
        <v>9</v>
      </c>
      <c r="U51" s="212">
        <f>'7c. Success counts 1718'!U51-'7d Success counts 1617'!U51</f>
        <v>49</v>
      </c>
      <c r="V51" s="212">
        <f>'7c. Success counts 1718'!V51-'7d Success counts 1617'!V51</f>
        <v>8</v>
      </c>
      <c r="W51" s="212">
        <f>'7c. Success counts 1718'!W51-'7d Success counts 1617'!W51</f>
        <v>-77</v>
      </c>
      <c r="X51" s="212">
        <f>'7c. Success counts 1718'!X51-'7d Success counts 1617'!X51</f>
        <v>253</v>
      </c>
      <c r="Y51" s="212">
        <f>'7c. Success counts 1718'!Y51-'7d Success counts 1617'!Y51</f>
        <v>357</v>
      </c>
      <c r="Z51" s="213"/>
    </row>
    <row r="52" spans="1:26" x14ac:dyDescent="0.25">
      <c r="A52" s="170" t="s">
        <v>29</v>
      </c>
      <c r="B52" s="212">
        <f>'7c. Success counts 1718'!B52-'7d Success counts 1617'!B52</f>
        <v>36</v>
      </c>
      <c r="C52" s="212">
        <f>'7c. Success counts 1718'!C52-'7d Success counts 1617'!C52</f>
        <v>40</v>
      </c>
      <c r="D52" s="212">
        <f>'7c. Success counts 1718'!D52-'7d Success counts 1617'!D52</f>
        <v>0</v>
      </c>
      <c r="E52" s="212">
        <f>'7c. Success counts 1718'!E52-'7d Success counts 1617'!E52</f>
        <v>46</v>
      </c>
      <c r="F52" s="212">
        <f>'7c. Success counts 1718'!F52-'7d Success counts 1617'!F52</f>
        <v>84</v>
      </c>
      <c r="G52" s="212">
        <f>'7c. Success counts 1718'!G52-'7d Success counts 1617'!G52</f>
        <v>825</v>
      </c>
      <c r="H52" s="212">
        <f>'7c. Success counts 1718'!H52-'7d Success counts 1617'!H52</f>
        <v>-120</v>
      </c>
      <c r="I52" s="212">
        <f>'7c. Success counts 1718'!I52-'7d Success counts 1617'!I52</f>
        <v>-139</v>
      </c>
      <c r="J52" s="212">
        <f>'7c. Success counts 1718'!J52-'7d Success counts 1617'!J52</f>
        <v>8</v>
      </c>
      <c r="K52" s="212">
        <f>'7c. Success counts 1718'!K52-'7d Success counts 1617'!K52</f>
        <v>19</v>
      </c>
      <c r="L52" s="212">
        <f>'7c. Success counts 1718'!L52-'7d Success counts 1617'!L52</f>
        <v>0</v>
      </c>
      <c r="M52" s="212">
        <f>'7c. Success counts 1718'!M52-'7d Success counts 1617'!M52</f>
        <v>-17</v>
      </c>
      <c r="N52" s="212">
        <f>'7c. Success counts 1718'!N52-'7d Success counts 1617'!N52</f>
        <v>10</v>
      </c>
      <c r="O52" s="212">
        <f>'7c. Success counts 1718'!O52-'7d Success counts 1617'!O52</f>
        <v>124</v>
      </c>
      <c r="P52" s="212">
        <f>'7c. Success counts 1718'!P52-'7d Success counts 1617'!P52</f>
        <v>-87</v>
      </c>
      <c r="Q52" s="212">
        <f>'7c. Success counts 1718'!Q52-'7d Success counts 1617'!Q52</f>
        <v>-17</v>
      </c>
      <c r="R52" s="212">
        <f>'7c. Success counts 1718'!R52-'7d Success counts 1617'!R52</f>
        <v>19</v>
      </c>
      <c r="S52" s="212">
        <f>'7c. Success counts 1718'!S52-'7d Success counts 1617'!S52</f>
        <v>30</v>
      </c>
      <c r="T52" s="212">
        <f>'7c. Success counts 1718'!T52-'7d Success counts 1617'!T52</f>
        <v>0</v>
      </c>
      <c r="U52" s="212">
        <f>'7c. Success counts 1718'!U52-'7d Success counts 1617'!U52</f>
        <v>4</v>
      </c>
      <c r="V52" s="212">
        <f>'7c. Success counts 1718'!V52-'7d Success counts 1617'!V52</f>
        <v>27</v>
      </c>
      <c r="W52" s="212">
        <f>'7c. Success counts 1718'!W52-'7d Success counts 1617'!W52</f>
        <v>343</v>
      </c>
      <c r="X52" s="212">
        <f>'7c. Success counts 1718'!X52-'7d Success counts 1617'!X52</f>
        <v>-79</v>
      </c>
      <c r="Y52" s="212">
        <f>'7c. Success counts 1718'!Y52-'7d Success counts 1617'!Y52</f>
        <v>-47</v>
      </c>
      <c r="Z52" s="213"/>
    </row>
    <row r="53" spans="1:26" x14ac:dyDescent="0.25">
      <c r="A53" s="170" t="s">
        <v>87</v>
      </c>
      <c r="B53" s="212">
        <f>'7c. Success counts 1718'!B53-'7d Success counts 1617'!B53</f>
        <v>22</v>
      </c>
      <c r="C53" s="212">
        <f>'7c. Success counts 1718'!C53-'7d Success counts 1617'!C53</f>
        <v>-84</v>
      </c>
      <c r="D53" s="212">
        <f>'7c. Success counts 1718'!D53-'7d Success counts 1617'!D53</f>
        <v>0</v>
      </c>
      <c r="E53" s="212">
        <f>'7c. Success counts 1718'!E53-'7d Success counts 1617'!E53</f>
        <v>74</v>
      </c>
      <c r="F53" s="212">
        <f>'7c. Success counts 1718'!F53-'7d Success counts 1617'!F53</f>
        <v>69</v>
      </c>
      <c r="G53" s="212">
        <f>'7c. Success counts 1718'!G53-'7d Success counts 1617'!G53</f>
        <v>-185</v>
      </c>
      <c r="H53" s="212">
        <f>'7c. Success counts 1718'!H53-'7d Success counts 1617'!H53</f>
        <v>264</v>
      </c>
      <c r="I53" s="212">
        <f>'7c. Success counts 1718'!I53-'7d Success counts 1617'!I53</f>
        <v>255</v>
      </c>
      <c r="J53" s="212">
        <f>'7c. Success counts 1718'!J53-'7d Success counts 1617'!J53</f>
        <v>17</v>
      </c>
      <c r="K53" s="212">
        <f>'7c. Success counts 1718'!K53-'7d Success counts 1617'!K53</f>
        <v>-84</v>
      </c>
      <c r="L53" s="212">
        <f>'7c. Success counts 1718'!L53-'7d Success counts 1617'!L53</f>
        <v>0</v>
      </c>
      <c r="M53" s="212">
        <f>'7c. Success counts 1718'!M53-'7d Success counts 1617'!M53</f>
        <v>-6</v>
      </c>
      <c r="N53" s="212">
        <f>'7c. Success counts 1718'!N53-'7d Success counts 1617'!N53</f>
        <v>32</v>
      </c>
      <c r="O53" s="212">
        <f>'7c. Success counts 1718'!O53-'7d Success counts 1617'!O53</f>
        <v>-240</v>
      </c>
      <c r="P53" s="212">
        <f>'7c. Success counts 1718'!P53-'7d Success counts 1617'!P53</f>
        <v>77</v>
      </c>
      <c r="Q53" s="212">
        <f>'7c. Success counts 1718'!Q53-'7d Success counts 1617'!Q53</f>
        <v>55</v>
      </c>
      <c r="R53" s="212">
        <f>'7c. Success counts 1718'!R53-'7d Success counts 1617'!R53</f>
        <v>27</v>
      </c>
      <c r="S53" s="212">
        <f>'7c. Success counts 1718'!S53-'7d Success counts 1617'!S53</f>
        <v>-82</v>
      </c>
      <c r="T53" s="212">
        <f>'7c. Success counts 1718'!T53-'7d Success counts 1617'!T53</f>
        <v>0</v>
      </c>
      <c r="U53" s="212">
        <f>'7c. Success counts 1718'!U53-'7d Success counts 1617'!U53</f>
        <v>15</v>
      </c>
      <c r="V53" s="212">
        <f>'7c. Success counts 1718'!V53-'7d Success counts 1617'!V53</f>
        <v>48</v>
      </c>
      <c r="W53" s="212">
        <f>'7c. Success counts 1718'!W53-'7d Success counts 1617'!W53</f>
        <v>-245</v>
      </c>
      <c r="X53" s="212">
        <f>'7c. Success counts 1718'!X53-'7d Success counts 1617'!X53</f>
        <v>177</v>
      </c>
      <c r="Y53" s="212">
        <f>'7c. Success counts 1718'!Y53-'7d Success counts 1617'!Y53</f>
        <v>155</v>
      </c>
      <c r="Z53" s="213"/>
    </row>
    <row r="54" spans="1:26" x14ac:dyDescent="0.25">
      <c r="A54" s="170" t="s">
        <v>88</v>
      </c>
      <c r="B54" s="212">
        <f>'7c. Success counts 1718'!B54-'7d Success counts 1617'!B54</f>
        <v>122</v>
      </c>
      <c r="C54" s="212">
        <f>'7c. Success counts 1718'!C54-'7d Success counts 1617'!C54</f>
        <v>-25</v>
      </c>
      <c r="D54" s="212">
        <f>'7c. Success counts 1718'!D54-'7d Success counts 1617'!D54</f>
        <v>0</v>
      </c>
      <c r="E54" s="212">
        <f>'7c. Success counts 1718'!E54-'7d Success counts 1617'!E54</f>
        <v>26</v>
      </c>
      <c r="F54" s="212">
        <f>'7c. Success counts 1718'!F54-'7d Success counts 1617'!F54</f>
        <v>90</v>
      </c>
      <c r="G54" s="212">
        <f>'7c. Success counts 1718'!G54-'7d Success counts 1617'!G54</f>
        <v>-142</v>
      </c>
      <c r="H54" s="212">
        <f>'7c. Success counts 1718'!H54-'7d Success counts 1617'!H54</f>
        <v>-70</v>
      </c>
      <c r="I54" s="212">
        <f>'7c. Success counts 1718'!I54-'7d Success counts 1617'!I54</f>
        <v>128</v>
      </c>
      <c r="J54" s="212">
        <f>'7c. Success counts 1718'!J54-'7d Success counts 1617'!J54</f>
        <v>63</v>
      </c>
      <c r="K54" s="212">
        <f>'7c. Success counts 1718'!K54-'7d Success counts 1617'!K54</f>
        <v>-13</v>
      </c>
      <c r="L54" s="212">
        <f>'7c. Success counts 1718'!L54-'7d Success counts 1617'!L54</f>
        <v>0</v>
      </c>
      <c r="M54" s="212">
        <f>'7c. Success counts 1718'!M54-'7d Success counts 1617'!M54</f>
        <v>8</v>
      </c>
      <c r="N54" s="212">
        <f>'7c. Success counts 1718'!N54-'7d Success counts 1617'!N54</f>
        <v>33</v>
      </c>
      <c r="O54" s="212">
        <f>'7c. Success counts 1718'!O54-'7d Success counts 1617'!O54</f>
        <v>-69</v>
      </c>
      <c r="P54" s="212">
        <f>'7c. Success counts 1718'!P54-'7d Success counts 1617'!P54</f>
        <v>-16</v>
      </c>
      <c r="Q54" s="212">
        <f>'7c. Success counts 1718'!Q54-'7d Success counts 1617'!Q54</f>
        <v>30</v>
      </c>
      <c r="R54" s="212">
        <f>'7c. Success counts 1718'!R54-'7d Success counts 1617'!R54</f>
        <v>101</v>
      </c>
      <c r="S54" s="212">
        <f>'7c. Success counts 1718'!S54-'7d Success counts 1617'!S54</f>
        <v>-11</v>
      </c>
      <c r="T54" s="212">
        <f>'7c. Success counts 1718'!T54-'7d Success counts 1617'!T54</f>
        <v>0</v>
      </c>
      <c r="U54" s="212">
        <f>'7c. Success counts 1718'!U54-'7d Success counts 1617'!U54</f>
        <v>13</v>
      </c>
      <c r="V54" s="212">
        <f>'7c. Success counts 1718'!V54-'7d Success counts 1617'!V54</f>
        <v>70</v>
      </c>
      <c r="W54" s="212">
        <f>'7c. Success counts 1718'!W54-'7d Success counts 1617'!W54</f>
        <v>-94</v>
      </c>
      <c r="X54" s="212">
        <f>'7c. Success counts 1718'!X54-'7d Success counts 1617'!X54</f>
        <v>-21</v>
      </c>
      <c r="Y54" s="212">
        <f>'7c. Success counts 1718'!Y54-'7d Success counts 1617'!Y54</f>
        <v>38</v>
      </c>
      <c r="Z54" s="213"/>
    </row>
    <row r="55" spans="1:26" x14ac:dyDescent="0.25">
      <c r="A55" s="170" t="s">
        <v>89</v>
      </c>
      <c r="B55" s="212">
        <f>'7c. Success counts 1718'!B55-'7d Success counts 1617'!B55</f>
        <v>27</v>
      </c>
      <c r="C55" s="212">
        <f>'7c. Success counts 1718'!C55-'7d Success counts 1617'!C55</f>
        <v>7</v>
      </c>
      <c r="D55" s="212">
        <f>'7c. Success counts 1718'!D55-'7d Success counts 1617'!D55</f>
        <v>0</v>
      </c>
      <c r="E55" s="212">
        <f>'7c. Success counts 1718'!E55-'7d Success counts 1617'!E55</f>
        <v>39</v>
      </c>
      <c r="F55" s="212">
        <f>'7c. Success counts 1718'!F55-'7d Success counts 1617'!F55</f>
        <v>43</v>
      </c>
      <c r="G55" s="212">
        <f>'7c. Success counts 1718'!G55-'7d Success counts 1617'!G55</f>
        <v>24</v>
      </c>
      <c r="H55" s="212">
        <f>'7c. Success counts 1718'!H55-'7d Success counts 1617'!H55</f>
        <v>-50</v>
      </c>
      <c r="I55" s="212">
        <f>'7c. Success counts 1718'!I55-'7d Success counts 1617'!I55</f>
        <v>-11</v>
      </c>
      <c r="J55" s="212">
        <f>'7c. Success counts 1718'!J55-'7d Success counts 1617'!J55</f>
        <v>-9</v>
      </c>
      <c r="K55" s="212">
        <f>'7c. Success counts 1718'!K55-'7d Success counts 1617'!K55</f>
        <v>19</v>
      </c>
      <c r="L55" s="212">
        <f>'7c. Success counts 1718'!L55-'7d Success counts 1617'!L55</f>
        <v>0</v>
      </c>
      <c r="M55" s="212">
        <f>'7c. Success counts 1718'!M55-'7d Success counts 1617'!M55</f>
        <v>13</v>
      </c>
      <c r="N55" s="212">
        <f>'7c. Success counts 1718'!N55-'7d Success counts 1617'!N55</f>
        <v>37</v>
      </c>
      <c r="O55" s="212">
        <f>'7c. Success counts 1718'!O55-'7d Success counts 1617'!O55</f>
        <v>57</v>
      </c>
      <c r="P55" s="212">
        <f>'7c. Success counts 1718'!P55-'7d Success counts 1617'!P55</f>
        <v>-2</v>
      </c>
      <c r="Q55" s="212">
        <f>'7c. Success counts 1718'!Q55-'7d Success counts 1617'!Q55</f>
        <v>30</v>
      </c>
      <c r="R55" s="212">
        <f>'7c. Success counts 1718'!R55-'7d Success counts 1617'!R55</f>
        <v>14</v>
      </c>
      <c r="S55" s="212">
        <f>'7c. Success counts 1718'!S55-'7d Success counts 1617'!S55</f>
        <v>20</v>
      </c>
      <c r="T55" s="212">
        <f>'7c. Success counts 1718'!T55-'7d Success counts 1617'!T55</f>
        <v>0</v>
      </c>
      <c r="U55" s="212">
        <f>'7c. Success counts 1718'!U55-'7d Success counts 1617'!U55</f>
        <v>11</v>
      </c>
      <c r="V55" s="212">
        <f>'7c. Success counts 1718'!V55-'7d Success counts 1617'!V55</f>
        <v>45</v>
      </c>
      <c r="W55" s="212">
        <f>'7c. Success counts 1718'!W55-'7d Success counts 1617'!W55</f>
        <v>33</v>
      </c>
      <c r="X55" s="212">
        <f>'7c. Success counts 1718'!X55-'7d Success counts 1617'!X55</f>
        <v>-22</v>
      </c>
      <c r="Y55" s="212">
        <f>'7c. Success counts 1718'!Y55-'7d Success counts 1617'!Y55</f>
        <v>-3</v>
      </c>
      <c r="Z55" s="213"/>
    </row>
    <row r="56" spans="1:26" x14ac:dyDescent="0.25">
      <c r="A56" s="170" t="s">
        <v>90</v>
      </c>
      <c r="B56" s="212">
        <f>'7c. Success counts 1718'!B56-'7d Success counts 1617'!B56</f>
        <v>12</v>
      </c>
      <c r="C56" s="212">
        <f>'7c. Success counts 1718'!C56-'7d Success counts 1617'!C56</f>
        <v>-35</v>
      </c>
      <c r="D56" s="212">
        <f>'7c. Success counts 1718'!D56-'7d Success counts 1617'!D56</f>
        <v>18</v>
      </c>
      <c r="E56" s="212">
        <f>'7c. Success counts 1718'!E56-'7d Success counts 1617'!E56</f>
        <v>5</v>
      </c>
      <c r="F56" s="212">
        <f>'7c. Success counts 1718'!F56-'7d Success counts 1617'!F56</f>
        <v>103</v>
      </c>
      <c r="G56" s="212">
        <f>'7c. Success counts 1718'!G56-'7d Success counts 1617'!G56</f>
        <v>-41</v>
      </c>
      <c r="H56" s="212">
        <f>'7c. Success counts 1718'!H56-'7d Success counts 1617'!H56</f>
        <v>141</v>
      </c>
      <c r="I56" s="212">
        <f>'7c. Success counts 1718'!I56-'7d Success counts 1617'!I56</f>
        <v>-44</v>
      </c>
      <c r="J56" s="212">
        <f>'7c. Success counts 1718'!J56-'7d Success counts 1617'!J56</f>
        <v>-39</v>
      </c>
      <c r="K56" s="212">
        <f>'7c. Success counts 1718'!K56-'7d Success counts 1617'!K56</f>
        <v>-53</v>
      </c>
      <c r="L56" s="212">
        <f>'7c. Success counts 1718'!L56-'7d Success counts 1617'!L56</f>
        <v>9</v>
      </c>
      <c r="M56" s="212">
        <f>'7c. Success counts 1718'!M56-'7d Success counts 1617'!M56</f>
        <v>-22</v>
      </c>
      <c r="N56" s="212">
        <f>'7c. Success counts 1718'!N56-'7d Success counts 1617'!N56</f>
        <v>38</v>
      </c>
      <c r="O56" s="212">
        <f>'7c. Success counts 1718'!O56-'7d Success counts 1617'!O56</f>
        <v>-62</v>
      </c>
      <c r="P56" s="212">
        <f>'7c. Success counts 1718'!P56-'7d Success counts 1617'!P56</f>
        <v>60</v>
      </c>
      <c r="Q56" s="212">
        <f>'7c. Success counts 1718'!Q56-'7d Success counts 1617'!Q56</f>
        <v>17</v>
      </c>
      <c r="R56" s="212">
        <f>'7c. Success counts 1718'!R56-'7d Success counts 1617'!R56</f>
        <v>-23</v>
      </c>
      <c r="S56" s="212">
        <f>'7c. Success counts 1718'!S56-'7d Success counts 1617'!S56</f>
        <v>-65</v>
      </c>
      <c r="T56" s="212">
        <f>'7c. Success counts 1718'!T56-'7d Success counts 1617'!T56</f>
        <v>13</v>
      </c>
      <c r="U56" s="212">
        <f>'7c. Success counts 1718'!U56-'7d Success counts 1617'!U56</f>
        <v>-6</v>
      </c>
      <c r="V56" s="212">
        <f>'7c. Success counts 1718'!V56-'7d Success counts 1617'!V56</f>
        <v>49</v>
      </c>
      <c r="W56" s="212">
        <f>'7c. Success counts 1718'!W56-'7d Success counts 1617'!W56</f>
        <v>-66</v>
      </c>
      <c r="X56" s="212">
        <f>'7c. Success counts 1718'!X56-'7d Success counts 1617'!X56</f>
        <v>85</v>
      </c>
      <c r="Y56" s="212">
        <f>'7c. Success counts 1718'!Y56-'7d Success counts 1617'!Y56</f>
        <v>45</v>
      </c>
      <c r="Z56" s="213"/>
    </row>
    <row r="57" spans="1:26" x14ac:dyDescent="0.25">
      <c r="A57" s="170" t="s">
        <v>91</v>
      </c>
      <c r="B57" s="212">
        <f>'7c. Success counts 1718'!B57-'7d Success counts 1617'!B57</f>
        <v>22</v>
      </c>
      <c r="C57" s="212">
        <f>'7c. Success counts 1718'!C57-'7d Success counts 1617'!C57</f>
        <v>-173</v>
      </c>
      <c r="D57" s="212">
        <f>'7c. Success counts 1718'!D57-'7d Success counts 1617'!D57</f>
        <v>0</v>
      </c>
      <c r="E57" s="212">
        <f>'7c. Success counts 1718'!E57-'7d Success counts 1617'!E57</f>
        <v>-131</v>
      </c>
      <c r="F57" s="212">
        <f>'7c. Success counts 1718'!F57-'7d Success counts 1617'!F57</f>
        <v>-1</v>
      </c>
      <c r="G57" s="212">
        <f>'7c. Success counts 1718'!G57-'7d Success counts 1617'!G57</f>
        <v>-289</v>
      </c>
      <c r="H57" s="212">
        <f>'7c. Success counts 1718'!H57-'7d Success counts 1617'!H57</f>
        <v>-74</v>
      </c>
      <c r="I57" s="212">
        <f>'7c. Success counts 1718'!I57-'7d Success counts 1617'!I57</f>
        <v>-201</v>
      </c>
      <c r="J57" s="212">
        <f>'7c. Success counts 1718'!J57-'7d Success counts 1617'!J57</f>
        <v>10</v>
      </c>
      <c r="K57" s="212">
        <f>'7c. Success counts 1718'!K57-'7d Success counts 1617'!K57</f>
        <v>-107</v>
      </c>
      <c r="L57" s="212">
        <f>'7c. Success counts 1718'!L57-'7d Success counts 1617'!L57</f>
        <v>0</v>
      </c>
      <c r="M57" s="212">
        <f>'7c. Success counts 1718'!M57-'7d Success counts 1617'!M57</f>
        <v>-14</v>
      </c>
      <c r="N57" s="212">
        <f>'7c. Success counts 1718'!N57-'7d Success counts 1617'!N57</f>
        <v>9</v>
      </c>
      <c r="O57" s="212">
        <f>'7c. Success counts 1718'!O57-'7d Success counts 1617'!O57</f>
        <v>-166</v>
      </c>
      <c r="P57" s="212">
        <f>'7c. Success counts 1718'!P57-'7d Success counts 1617'!P57</f>
        <v>-30</v>
      </c>
      <c r="Q57" s="212">
        <f>'7c. Success counts 1718'!Q57-'7d Success counts 1617'!Q57</f>
        <v>0</v>
      </c>
      <c r="R57" s="212">
        <f>'7c. Success counts 1718'!R57-'7d Success counts 1617'!R57</f>
        <v>19</v>
      </c>
      <c r="S57" s="212">
        <f>'7c. Success counts 1718'!S57-'7d Success counts 1617'!S57</f>
        <v>-107</v>
      </c>
      <c r="T57" s="212">
        <f>'7c. Success counts 1718'!T57-'7d Success counts 1617'!T57</f>
        <v>0</v>
      </c>
      <c r="U57" s="212">
        <f>'7c. Success counts 1718'!U57-'7d Success counts 1617'!U57</f>
        <v>-39</v>
      </c>
      <c r="V57" s="212">
        <f>'7c. Success counts 1718'!V57-'7d Success counts 1617'!V57</f>
        <v>31</v>
      </c>
      <c r="W57" s="212">
        <f>'7c. Success counts 1718'!W57-'7d Success counts 1617'!W57</f>
        <v>-223</v>
      </c>
      <c r="X57" s="212">
        <f>'7c. Success counts 1718'!X57-'7d Success counts 1617'!X57</f>
        <v>-61</v>
      </c>
      <c r="Y57" s="212">
        <f>'7c. Success counts 1718'!Y57-'7d Success counts 1617'!Y57</f>
        <v>-61</v>
      </c>
      <c r="Z57" s="213"/>
    </row>
    <row r="58" spans="1:26" x14ac:dyDescent="0.25">
      <c r="A58" s="170" t="s">
        <v>92</v>
      </c>
      <c r="B58" s="212">
        <f>'7c. Success counts 1718'!B58-'7d Success counts 1617'!B58</f>
        <v>274</v>
      </c>
      <c r="C58" s="212">
        <f>'7c. Success counts 1718'!C58-'7d Success counts 1617'!C58</f>
        <v>-134</v>
      </c>
      <c r="D58" s="212">
        <f>'7c. Success counts 1718'!D58-'7d Success counts 1617'!D58</f>
        <v>0</v>
      </c>
      <c r="E58" s="212">
        <f>'7c. Success counts 1718'!E58-'7d Success counts 1617'!E58</f>
        <v>-36</v>
      </c>
      <c r="F58" s="212">
        <f>'7c. Success counts 1718'!F58-'7d Success counts 1617'!F58</f>
        <v>53</v>
      </c>
      <c r="G58" s="212">
        <f>'7c. Success counts 1718'!G58-'7d Success counts 1617'!G58</f>
        <v>181</v>
      </c>
      <c r="H58" s="212">
        <f>'7c. Success counts 1718'!H58-'7d Success counts 1617'!H58</f>
        <v>95</v>
      </c>
      <c r="I58" s="212">
        <f>'7c. Success counts 1718'!I58-'7d Success counts 1617'!I58</f>
        <v>818</v>
      </c>
      <c r="J58" s="212">
        <f>'7c. Success counts 1718'!J58-'7d Success counts 1617'!J58</f>
        <v>81</v>
      </c>
      <c r="K58" s="212">
        <f>'7c. Success counts 1718'!K58-'7d Success counts 1617'!K58</f>
        <v>-82</v>
      </c>
      <c r="L58" s="212">
        <f>'7c. Success counts 1718'!L58-'7d Success counts 1617'!L58</f>
        <v>0</v>
      </c>
      <c r="M58" s="212">
        <f>'7c. Success counts 1718'!M58-'7d Success counts 1617'!M58</f>
        <v>15</v>
      </c>
      <c r="N58" s="212">
        <f>'7c. Success counts 1718'!N58-'7d Success counts 1617'!N58</f>
        <v>-6</v>
      </c>
      <c r="O58" s="212">
        <f>'7c. Success counts 1718'!O58-'7d Success counts 1617'!O58</f>
        <v>4</v>
      </c>
      <c r="P58" s="212">
        <f>'7c. Success counts 1718'!P58-'7d Success counts 1617'!P58</f>
        <v>27</v>
      </c>
      <c r="Q58" s="212">
        <f>'7c. Success counts 1718'!Q58-'7d Success counts 1617'!Q58</f>
        <v>31</v>
      </c>
      <c r="R58" s="212">
        <f>'7c. Success counts 1718'!R58-'7d Success counts 1617'!R58</f>
        <v>161</v>
      </c>
      <c r="S58" s="212">
        <f>'7c. Success counts 1718'!S58-'7d Success counts 1617'!S58</f>
        <v>-83</v>
      </c>
      <c r="T58" s="212">
        <f>'7c. Success counts 1718'!T58-'7d Success counts 1617'!T58</f>
        <v>0</v>
      </c>
      <c r="U58" s="212">
        <f>'7c. Success counts 1718'!U58-'7d Success counts 1617'!U58</f>
        <v>-1</v>
      </c>
      <c r="V58" s="212">
        <f>'7c. Success counts 1718'!V58-'7d Success counts 1617'!V58</f>
        <v>1</v>
      </c>
      <c r="W58" s="212">
        <f>'7c. Success counts 1718'!W58-'7d Success counts 1617'!W58</f>
        <v>5</v>
      </c>
      <c r="X58" s="212">
        <f>'7c. Success counts 1718'!X58-'7d Success counts 1617'!X58</f>
        <v>52</v>
      </c>
      <c r="Y58" s="212">
        <f>'7c. Success counts 1718'!Y58-'7d Success counts 1617'!Y58</f>
        <v>133</v>
      </c>
      <c r="Z58" s="213"/>
    </row>
    <row r="59" spans="1:26" x14ac:dyDescent="0.25">
      <c r="A59" s="170" t="s">
        <v>31</v>
      </c>
      <c r="B59" s="212">
        <f>'7c. Success counts 1718'!B59-'7d Success counts 1617'!B59</f>
        <v>131</v>
      </c>
      <c r="C59" s="212">
        <f>'7c. Success counts 1718'!C59-'7d Success counts 1617'!C59</f>
        <v>107</v>
      </c>
      <c r="D59" s="212">
        <f>'7c. Success counts 1718'!D59-'7d Success counts 1617'!D59</f>
        <v>13</v>
      </c>
      <c r="E59" s="212">
        <f>'7c. Success counts 1718'!E59-'7d Success counts 1617'!E59</f>
        <v>360</v>
      </c>
      <c r="F59" s="212">
        <f>'7c. Success counts 1718'!F59-'7d Success counts 1617'!F59</f>
        <v>-58</v>
      </c>
      <c r="G59" s="212">
        <f>'7c. Success counts 1718'!G59-'7d Success counts 1617'!G59</f>
        <v>-64</v>
      </c>
      <c r="H59" s="212">
        <f>'7c. Success counts 1718'!H59-'7d Success counts 1617'!H59</f>
        <v>155</v>
      </c>
      <c r="I59" s="212">
        <f>'7c. Success counts 1718'!I59-'7d Success counts 1617'!I59</f>
        <v>279</v>
      </c>
      <c r="J59" s="212">
        <f>'7c. Success counts 1718'!J59-'7d Success counts 1617'!J59</f>
        <v>83</v>
      </c>
      <c r="K59" s="212">
        <f>'7c. Success counts 1718'!K59-'7d Success counts 1617'!K59</f>
        <v>80</v>
      </c>
      <c r="L59" s="212">
        <f>'7c. Success counts 1718'!L59-'7d Success counts 1617'!L59</f>
        <v>8</v>
      </c>
      <c r="M59" s="212">
        <f>'7c. Success counts 1718'!M59-'7d Success counts 1617'!M59</f>
        <v>59</v>
      </c>
      <c r="N59" s="212">
        <f>'7c. Success counts 1718'!N59-'7d Success counts 1617'!N59</f>
        <v>-16</v>
      </c>
      <c r="O59" s="212">
        <f>'7c. Success counts 1718'!O59-'7d Success counts 1617'!O59</f>
        <v>-7</v>
      </c>
      <c r="P59" s="212">
        <f>'7c. Success counts 1718'!P59-'7d Success counts 1617'!P59</f>
        <v>-12</v>
      </c>
      <c r="Q59" s="212">
        <f>'7c. Success counts 1718'!Q59-'7d Success counts 1617'!Q59</f>
        <v>36</v>
      </c>
      <c r="R59" s="212">
        <f>'7c. Success counts 1718'!R59-'7d Success counts 1617'!R59</f>
        <v>112</v>
      </c>
      <c r="S59" s="212">
        <f>'7c. Success counts 1718'!S59-'7d Success counts 1617'!S59</f>
        <v>85</v>
      </c>
      <c r="T59" s="212">
        <f>'7c. Success counts 1718'!T59-'7d Success counts 1617'!T59</f>
        <v>12</v>
      </c>
      <c r="U59" s="212">
        <f>'7c. Success counts 1718'!U59-'7d Success counts 1617'!U59</f>
        <v>94</v>
      </c>
      <c r="V59" s="212">
        <f>'7c. Success counts 1718'!V59-'7d Success counts 1617'!V59</f>
        <v>-33</v>
      </c>
      <c r="W59" s="212">
        <f>'7c. Success counts 1718'!W59-'7d Success counts 1617'!W59</f>
        <v>72</v>
      </c>
      <c r="X59" s="212">
        <f>'7c. Success counts 1718'!X59-'7d Success counts 1617'!X59</f>
        <v>18</v>
      </c>
      <c r="Y59" s="212">
        <f>'7c. Success counts 1718'!Y59-'7d Success counts 1617'!Y59</f>
        <v>123</v>
      </c>
      <c r="Z59" s="213"/>
    </row>
    <row r="60" spans="1:26" x14ac:dyDescent="0.25">
      <c r="A60" s="170" t="s">
        <v>93</v>
      </c>
      <c r="B60" s="212">
        <f>'7c. Success counts 1718'!B60-'7d Success counts 1617'!B60</f>
        <v>163</v>
      </c>
      <c r="C60" s="212">
        <f>'7c. Success counts 1718'!C60-'7d Success counts 1617'!C60</f>
        <v>-112</v>
      </c>
      <c r="D60" s="212">
        <f>'7c. Success counts 1718'!D60-'7d Success counts 1617'!D60</f>
        <v>0</v>
      </c>
      <c r="E60" s="212">
        <f>'7c. Success counts 1718'!E60-'7d Success counts 1617'!E60</f>
        <v>83</v>
      </c>
      <c r="F60" s="212">
        <f>'7c. Success counts 1718'!F60-'7d Success counts 1617'!F60</f>
        <v>41</v>
      </c>
      <c r="G60" s="212">
        <f>'7c. Success counts 1718'!G60-'7d Success counts 1617'!G60</f>
        <v>5</v>
      </c>
      <c r="H60" s="212">
        <f>'7c. Success counts 1718'!H60-'7d Success counts 1617'!H60</f>
        <v>2</v>
      </c>
      <c r="I60" s="212">
        <f>'7c. Success counts 1718'!I60-'7d Success counts 1617'!I60</f>
        <v>166</v>
      </c>
      <c r="J60" s="212">
        <f>'7c. Success counts 1718'!J60-'7d Success counts 1617'!J60</f>
        <v>109</v>
      </c>
      <c r="K60" s="212">
        <f>'7c. Success counts 1718'!K60-'7d Success counts 1617'!K60</f>
        <v>-55</v>
      </c>
      <c r="L60" s="212">
        <f>'7c. Success counts 1718'!L60-'7d Success counts 1617'!L60</f>
        <v>0</v>
      </c>
      <c r="M60" s="212">
        <f>'7c. Success counts 1718'!M60-'7d Success counts 1617'!M60</f>
        <v>61</v>
      </c>
      <c r="N60" s="212">
        <f>'7c. Success counts 1718'!N60-'7d Success counts 1617'!N60</f>
        <v>29</v>
      </c>
      <c r="O60" s="212">
        <f>'7c. Success counts 1718'!O60-'7d Success counts 1617'!O60</f>
        <v>-13</v>
      </c>
      <c r="P60" s="212">
        <f>'7c. Success counts 1718'!P60-'7d Success counts 1617'!P60</f>
        <v>-35</v>
      </c>
      <c r="Q60" s="212">
        <f>'7c. Success counts 1718'!Q60-'7d Success counts 1617'!Q60</f>
        <v>46</v>
      </c>
      <c r="R60" s="212">
        <f>'7c. Success counts 1718'!R60-'7d Success counts 1617'!R60</f>
        <v>135</v>
      </c>
      <c r="S60" s="212">
        <f>'7c. Success counts 1718'!S60-'7d Success counts 1617'!S60</f>
        <v>-87</v>
      </c>
      <c r="T60" s="212">
        <f>'7c. Success counts 1718'!T60-'7d Success counts 1617'!T60</f>
        <v>0</v>
      </c>
      <c r="U60" s="212">
        <f>'7c. Success counts 1718'!U60-'7d Success counts 1617'!U60</f>
        <v>74</v>
      </c>
      <c r="V60" s="212">
        <f>'7c. Success counts 1718'!V60-'7d Success counts 1617'!V60</f>
        <v>28</v>
      </c>
      <c r="W60" s="212">
        <f>'7c. Success counts 1718'!W60-'7d Success counts 1617'!W60</f>
        <v>-32</v>
      </c>
      <c r="X60" s="212">
        <f>'7c. Success counts 1718'!X60-'7d Success counts 1617'!X60</f>
        <v>-16</v>
      </c>
      <c r="Y60" s="212">
        <f>'7c. Success counts 1718'!Y60-'7d Success counts 1617'!Y60</f>
        <v>145</v>
      </c>
      <c r="Z60" s="213"/>
    </row>
    <row r="61" spans="1:26" x14ac:dyDescent="0.25">
      <c r="A61" s="170" t="s">
        <v>94</v>
      </c>
      <c r="B61" s="212">
        <f>'7c. Success counts 1718'!B61-'7d Success counts 1617'!B61</f>
        <v>77</v>
      </c>
      <c r="C61" s="212">
        <f>'7c. Success counts 1718'!C61-'7d Success counts 1617'!C61</f>
        <v>29</v>
      </c>
      <c r="D61" s="212">
        <f>'7c. Success counts 1718'!D61-'7d Success counts 1617'!D61</f>
        <v>2</v>
      </c>
      <c r="E61" s="212">
        <f>'7c. Success counts 1718'!E61-'7d Success counts 1617'!E61</f>
        <v>76</v>
      </c>
      <c r="F61" s="212">
        <f>'7c. Success counts 1718'!F61-'7d Success counts 1617'!F61</f>
        <v>-8</v>
      </c>
      <c r="G61" s="212">
        <f>'7c. Success counts 1718'!G61-'7d Success counts 1617'!G61</f>
        <v>-21</v>
      </c>
      <c r="H61" s="212">
        <f>'7c. Success counts 1718'!H61-'7d Success counts 1617'!H61</f>
        <v>79</v>
      </c>
      <c r="I61" s="212">
        <f>'7c. Success counts 1718'!I61-'7d Success counts 1617'!I61</f>
        <v>135</v>
      </c>
      <c r="J61" s="212">
        <f>'7c. Success counts 1718'!J61-'7d Success counts 1617'!J61</f>
        <v>57</v>
      </c>
      <c r="K61" s="212">
        <f>'7c. Success counts 1718'!K61-'7d Success counts 1617'!K61</f>
        <v>35</v>
      </c>
      <c r="L61" s="212">
        <f>'7c. Success counts 1718'!L61-'7d Success counts 1617'!L61</f>
        <v>0</v>
      </c>
      <c r="M61" s="212">
        <f>'7c. Success counts 1718'!M61-'7d Success counts 1617'!M61</f>
        <v>51</v>
      </c>
      <c r="N61" s="212">
        <f>'7c. Success counts 1718'!N61-'7d Success counts 1617'!N61</f>
        <v>-11</v>
      </c>
      <c r="O61" s="212">
        <f>'7c. Success counts 1718'!O61-'7d Success counts 1617'!O61</f>
        <v>-15</v>
      </c>
      <c r="P61" s="212">
        <f>'7c. Success counts 1718'!P61-'7d Success counts 1617'!P61</f>
        <v>30</v>
      </c>
      <c r="Q61" s="212">
        <f>'7c. Success counts 1718'!Q61-'7d Success counts 1617'!Q61</f>
        <v>72</v>
      </c>
      <c r="R61" s="212">
        <f>'7c. Success counts 1718'!R61-'7d Success counts 1617'!R61</f>
        <v>66</v>
      </c>
      <c r="S61" s="212">
        <f>'7c. Success counts 1718'!S61-'7d Success counts 1617'!S61</f>
        <v>37</v>
      </c>
      <c r="T61" s="212">
        <f>'7c. Success counts 1718'!T61-'7d Success counts 1617'!T61</f>
        <v>1</v>
      </c>
      <c r="U61" s="212">
        <f>'7c. Success counts 1718'!U61-'7d Success counts 1617'!U61</f>
        <v>57</v>
      </c>
      <c r="V61" s="212">
        <f>'7c. Success counts 1718'!V61-'7d Success counts 1617'!V61</f>
        <v>-5</v>
      </c>
      <c r="W61" s="212">
        <f>'7c. Success counts 1718'!W61-'7d Success counts 1617'!W61</f>
        <v>2</v>
      </c>
      <c r="X61" s="212">
        <f>'7c. Success counts 1718'!X61-'7d Success counts 1617'!X61</f>
        <v>41</v>
      </c>
      <c r="Y61" s="212">
        <f>'7c. Success counts 1718'!Y61-'7d Success counts 1617'!Y61</f>
        <v>114</v>
      </c>
      <c r="Z61" s="213"/>
    </row>
    <row r="62" spans="1:26" x14ac:dyDescent="0.25">
      <c r="A62" s="170" t="s">
        <v>95</v>
      </c>
      <c r="B62" s="212">
        <f>'7c. Success counts 1718'!B62-'7d Success counts 1617'!B62</f>
        <v>71</v>
      </c>
      <c r="C62" s="212">
        <f>'7c. Success counts 1718'!C62-'7d Success counts 1617'!C62</f>
        <v>17</v>
      </c>
      <c r="D62" s="212">
        <f>'7c. Success counts 1718'!D62-'7d Success counts 1617'!D62</f>
        <v>0</v>
      </c>
      <c r="E62" s="212">
        <f>'7c. Success counts 1718'!E62-'7d Success counts 1617'!E62</f>
        <v>14</v>
      </c>
      <c r="F62" s="212">
        <f>'7c. Success counts 1718'!F62-'7d Success counts 1617'!F62</f>
        <v>35</v>
      </c>
      <c r="G62" s="212">
        <f>'7c. Success counts 1718'!G62-'7d Success counts 1617'!G62</f>
        <v>-112</v>
      </c>
      <c r="H62" s="212">
        <f>'7c. Success counts 1718'!H62-'7d Success counts 1617'!H62</f>
        <v>134</v>
      </c>
      <c r="I62" s="212">
        <f>'7c. Success counts 1718'!I62-'7d Success counts 1617'!I62</f>
        <v>93</v>
      </c>
      <c r="J62" s="212">
        <f>'7c. Success counts 1718'!J62-'7d Success counts 1617'!J62</f>
        <v>10</v>
      </c>
      <c r="K62" s="212">
        <f>'7c. Success counts 1718'!K62-'7d Success counts 1617'!K62</f>
        <v>9</v>
      </c>
      <c r="L62" s="212">
        <f>'7c. Success counts 1718'!L62-'7d Success counts 1617'!L62</f>
        <v>0</v>
      </c>
      <c r="M62" s="212">
        <f>'7c. Success counts 1718'!M62-'7d Success counts 1617'!M62</f>
        <v>9</v>
      </c>
      <c r="N62" s="212">
        <f>'7c. Success counts 1718'!N62-'7d Success counts 1617'!N62</f>
        <v>6</v>
      </c>
      <c r="O62" s="212">
        <f>'7c. Success counts 1718'!O62-'7d Success counts 1617'!O62</f>
        <v>-154</v>
      </c>
      <c r="P62" s="212">
        <f>'7c. Success counts 1718'!P62-'7d Success counts 1617'!P62</f>
        <v>62</v>
      </c>
      <c r="Q62" s="212">
        <f>'7c. Success counts 1718'!Q62-'7d Success counts 1617'!Q62</f>
        <v>-8</v>
      </c>
      <c r="R62" s="212">
        <f>'7c. Success counts 1718'!R62-'7d Success counts 1617'!R62</f>
        <v>34</v>
      </c>
      <c r="S62" s="212">
        <f>'7c. Success counts 1718'!S62-'7d Success counts 1617'!S62</f>
        <v>19</v>
      </c>
      <c r="T62" s="212">
        <f>'7c. Success counts 1718'!T62-'7d Success counts 1617'!T62</f>
        <v>0</v>
      </c>
      <c r="U62" s="212">
        <f>'7c. Success counts 1718'!U62-'7d Success counts 1617'!U62</f>
        <v>14</v>
      </c>
      <c r="V62" s="212">
        <f>'7c. Success counts 1718'!V62-'7d Success counts 1617'!V62</f>
        <v>0</v>
      </c>
      <c r="W62" s="212">
        <f>'7c. Success counts 1718'!W62-'7d Success counts 1617'!W62</f>
        <v>-134</v>
      </c>
      <c r="X62" s="212">
        <f>'7c. Success counts 1718'!X62-'7d Success counts 1617'!X62</f>
        <v>105</v>
      </c>
      <c r="Y62" s="212">
        <f>'7c. Success counts 1718'!Y62-'7d Success counts 1617'!Y62</f>
        <v>76</v>
      </c>
      <c r="Z62" s="213"/>
    </row>
    <row r="63" spans="1:26" x14ac:dyDescent="0.25">
      <c r="A63" s="170" t="s">
        <v>96</v>
      </c>
      <c r="B63" s="212">
        <f>'7c. Success counts 1718'!B63-'7d Success counts 1617'!B63</f>
        <v>3</v>
      </c>
      <c r="C63" s="212">
        <f>'7c. Success counts 1718'!C63-'7d Success counts 1617'!C63</f>
        <v>-27</v>
      </c>
      <c r="D63" s="212">
        <f>'7c. Success counts 1718'!D63-'7d Success counts 1617'!D63</f>
        <v>0</v>
      </c>
      <c r="E63" s="212">
        <f>'7c. Success counts 1718'!E63-'7d Success counts 1617'!E63</f>
        <v>45</v>
      </c>
      <c r="F63" s="212">
        <f>'7c. Success counts 1718'!F63-'7d Success counts 1617'!F63</f>
        <v>44</v>
      </c>
      <c r="G63" s="212">
        <f>'7c. Success counts 1718'!G63-'7d Success counts 1617'!G63</f>
        <v>-118</v>
      </c>
      <c r="H63" s="212">
        <f>'7c. Success counts 1718'!H63-'7d Success counts 1617'!H63</f>
        <v>-6</v>
      </c>
      <c r="I63" s="212">
        <f>'7c. Success counts 1718'!I63-'7d Success counts 1617'!I63</f>
        <v>-19</v>
      </c>
      <c r="J63" s="212">
        <f>'7c. Success counts 1718'!J63-'7d Success counts 1617'!J63</f>
        <v>-1</v>
      </c>
      <c r="K63" s="212">
        <f>'7c. Success counts 1718'!K63-'7d Success counts 1617'!K63</f>
        <v>-3</v>
      </c>
      <c r="L63" s="212">
        <f>'7c. Success counts 1718'!L63-'7d Success counts 1617'!L63</f>
        <v>0</v>
      </c>
      <c r="M63" s="212">
        <f>'7c. Success counts 1718'!M63-'7d Success counts 1617'!M63</f>
        <v>20</v>
      </c>
      <c r="N63" s="212">
        <f>'7c. Success counts 1718'!N63-'7d Success counts 1617'!N63</f>
        <v>34</v>
      </c>
      <c r="O63" s="212">
        <f>'7c. Success counts 1718'!O63-'7d Success counts 1617'!O63</f>
        <v>-31</v>
      </c>
      <c r="P63" s="212">
        <f>'7c. Success counts 1718'!P63-'7d Success counts 1617'!P63</f>
        <v>-9</v>
      </c>
      <c r="Q63" s="212">
        <f>'7c. Success counts 1718'!Q63-'7d Success counts 1617'!Q63</f>
        <v>-2</v>
      </c>
      <c r="R63" s="212">
        <f>'7c. Success counts 1718'!R63-'7d Success counts 1617'!R63</f>
        <v>3</v>
      </c>
      <c r="S63" s="212">
        <f>'7c. Success counts 1718'!S63-'7d Success counts 1617'!S63</f>
        <v>9</v>
      </c>
      <c r="T63" s="212">
        <f>'7c. Success counts 1718'!T63-'7d Success counts 1617'!T63</f>
        <v>0</v>
      </c>
      <c r="U63" s="212">
        <f>'7c. Success counts 1718'!U63-'7d Success counts 1617'!U63</f>
        <v>20</v>
      </c>
      <c r="V63" s="212">
        <f>'7c. Success counts 1718'!V63-'7d Success counts 1617'!V63</f>
        <v>18</v>
      </c>
      <c r="W63" s="212">
        <f>'7c. Success counts 1718'!W63-'7d Success counts 1617'!W63</f>
        <v>-26</v>
      </c>
      <c r="X63" s="212">
        <f>'7c. Success counts 1718'!X63-'7d Success counts 1617'!X63</f>
        <v>-13</v>
      </c>
      <c r="Y63" s="212">
        <f>'7c. Success counts 1718'!Y63-'7d Success counts 1617'!Y63</f>
        <v>-8</v>
      </c>
      <c r="Z63" s="213"/>
    </row>
    <row r="64" spans="1:26" x14ac:dyDescent="0.25">
      <c r="A64" s="170" t="s">
        <v>97</v>
      </c>
      <c r="B64" s="212">
        <f>'7c. Success counts 1718'!B64-'7d Success counts 1617'!B64</f>
        <v>17</v>
      </c>
      <c r="C64" s="212">
        <f>'7c. Success counts 1718'!C64-'7d Success counts 1617'!C64</f>
        <v>-3</v>
      </c>
      <c r="D64" s="212">
        <f>'7c. Success counts 1718'!D64-'7d Success counts 1617'!D64</f>
        <v>0</v>
      </c>
      <c r="E64" s="212">
        <f>'7c. Success counts 1718'!E64-'7d Success counts 1617'!E64</f>
        <v>-17</v>
      </c>
      <c r="F64" s="212">
        <f>'7c. Success counts 1718'!F64-'7d Success counts 1617'!F64</f>
        <v>-30</v>
      </c>
      <c r="G64" s="212">
        <f>'7c. Success counts 1718'!G64-'7d Success counts 1617'!G64</f>
        <v>-46</v>
      </c>
      <c r="H64" s="212">
        <f>'7c. Success counts 1718'!H64-'7d Success counts 1617'!H64</f>
        <v>51</v>
      </c>
      <c r="I64" s="212">
        <f>'7c. Success counts 1718'!I64-'7d Success counts 1617'!I64</f>
        <v>-149</v>
      </c>
      <c r="J64" s="212">
        <f>'7c. Success counts 1718'!J64-'7d Success counts 1617'!J64</f>
        <v>-3</v>
      </c>
      <c r="K64" s="212">
        <f>'7c. Success counts 1718'!K64-'7d Success counts 1617'!K64</f>
        <v>8</v>
      </c>
      <c r="L64" s="212">
        <f>'7c. Success counts 1718'!L64-'7d Success counts 1617'!L64</f>
        <v>0</v>
      </c>
      <c r="M64" s="212">
        <f>'7c. Success counts 1718'!M64-'7d Success counts 1617'!M64</f>
        <v>0</v>
      </c>
      <c r="N64" s="212">
        <f>'7c. Success counts 1718'!N64-'7d Success counts 1617'!N64</f>
        <v>-19</v>
      </c>
      <c r="O64" s="212">
        <f>'7c. Success counts 1718'!O64-'7d Success counts 1617'!O64</f>
        <v>-48</v>
      </c>
      <c r="P64" s="212">
        <f>'7c. Success counts 1718'!P64-'7d Success counts 1617'!P64</f>
        <v>13</v>
      </c>
      <c r="Q64" s="212">
        <f>'7c. Success counts 1718'!Q64-'7d Success counts 1617'!Q64</f>
        <v>-43</v>
      </c>
      <c r="R64" s="212">
        <f>'7c. Success counts 1718'!R64-'7d Success counts 1617'!R64</f>
        <v>1</v>
      </c>
      <c r="S64" s="212">
        <f>'7c. Success counts 1718'!S64-'7d Success counts 1617'!S64</f>
        <v>-4</v>
      </c>
      <c r="T64" s="212">
        <f>'7c. Success counts 1718'!T64-'7d Success counts 1617'!T64</f>
        <v>0</v>
      </c>
      <c r="U64" s="212">
        <f>'7c. Success counts 1718'!U64-'7d Success counts 1617'!U64</f>
        <v>4</v>
      </c>
      <c r="V64" s="212">
        <f>'7c. Success counts 1718'!V64-'7d Success counts 1617'!V64</f>
        <v>-24</v>
      </c>
      <c r="W64" s="212">
        <f>'7c. Success counts 1718'!W64-'7d Success counts 1617'!W64</f>
        <v>-40</v>
      </c>
      <c r="X64" s="212">
        <f>'7c. Success counts 1718'!X64-'7d Success counts 1617'!X64</f>
        <v>18</v>
      </c>
      <c r="Y64" s="212">
        <f>'7c. Success counts 1718'!Y64-'7d Success counts 1617'!Y64</f>
        <v>-57</v>
      </c>
      <c r="Z64" s="213"/>
    </row>
    <row r="65" spans="1:26" x14ac:dyDescent="0.25">
      <c r="A65" s="170" t="s">
        <v>98</v>
      </c>
      <c r="B65" s="212">
        <f>'7c. Success counts 1718'!B65-'7d Success counts 1617'!B65</f>
        <v>62</v>
      </c>
      <c r="C65" s="212">
        <f>'7c. Success counts 1718'!C65-'7d Success counts 1617'!C65</f>
        <v>98</v>
      </c>
      <c r="D65" s="212">
        <f>'7c. Success counts 1718'!D65-'7d Success counts 1617'!D65</f>
        <v>0</v>
      </c>
      <c r="E65" s="212">
        <f>'7c. Success counts 1718'!E65-'7d Success counts 1617'!E65</f>
        <v>2</v>
      </c>
      <c r="F65" s="212">
        <f>'7c. Success counts 1718'!F65-'7d Success counts 1617'!F65</f>
        <v>3</v>
      </c>
      <c r="G65" s="212">
        <f>'7c. Success counts 1718'!G65-'7d Success counts 1617'!G65</f>
        <v>20</v>
      </c>
      <c r="H65" s="212">
        <f>'7c. Success counts 1718'!H65-'7d Success counts 1617'!H65</f>
        <v>-111</v>
      </c>
      <c r="I65" s="212">
        <f>'7c. Success counts 1718'!I65-'7d Success counts 1617'!I65</f>
        <v>-162</v>
      </c>
      <c r="J65" s="212">
        <f>'7c. Success counts 1718'!J65-'7d Success counts 1617'!J65</f>
        <v>13</v>
      </c>
      <c r="K65" s="212">
        <f>'7c. Success counts 1718'!K65-'7d Success counts 1617'!K65</f>
        <v>33</v>
      </c>
      <c r="L65" s="212">
        <f>'7c. Success counts 1718'!L65-'7d Success counts 1617'!L65</f>
        <v>0</v>
      </c>
      <c r="M65" s="212">
        <f>'7c. Success counts 1718'!M65-'7d Success counts 1617'!M65</f>
        <v>9</v>
      </c>
      <c r="N65" s="212">
        <f>'7c. Success counts 1718'!N65-'7d Success counts 1617'!N65</f>
        <v>18</v>
      </c>
      <c r="O65" s="212">
        <f>'7c. Success counts 1718'!O65-'7d Success counts 1617'!O65</f>
        <v>48</v>
      </c>
      <c r="P65" s="212">
        <f>'7c. Success counts 1718'!P65-'7d Success counts 1617'!P65</f>
        <v>-58</v>
      </c>
      <c r="Q65" s="212">
        <f>'7c. Success counts 1718'!Q65-'7d Success counts 1617'!Q65</f>
        <v>-37</v>
      </c>
      <c r="R65" s="212">
        <f>'7c. Success counts 1718'!R65-'7d Success counts 1617'!R65</f>
        <v>29</v>
      </c>
      <c r="S65" s="212">
        <f>'7c. Success counts 1718'!S65-'7d Success counts 1617'!S65</f>
        <v>79</v>
      </c>
      <c r="T65" s="212">
        <f>'7c. Success counts 1718'!T65-'7d Success counts 1617'!T65</f>
        <v>0</v>
      </c>
      <c r="U65" s="212">
        <f>'7c. Success counts 1718'!U65-'7d Success counts 1617'!U65</f>
        <v>13</v>
      </c>
      <c r="V65" s="212">
        <f>'7c. Success counts 1718'!V65-'7d Success counts 1617'!V65</f>
        <v>4</v>
      </c>
      <c r="W65" s="212">
        <f>'7c. Success counts 1718'!W65-'7d Success counts 1617'!W65</f>
        <v>48</v>
      </c>
      <c r="X65" s="212">
        <f>'7c. Success counts 1718'!X65-'7d Success counts 1617'!X65</f>
        <v>-82</v>
      </c>
      <c r="Y65" s="212">
        <f>'7c. Success counts 1718'!Y65-'7d Success counts 1617'!Y65</f>
        <v>-121</v>
      </c>
      <c r="Z65" s="213"/>
    </row>
    <row r="66" spans="1:26" x14ac:dyDescent="0.25">
      <c r="A66" s="170" t="s">
        <v>99</v>
      </c>
      <c r="B66" s="212">
        <f>'7c. Success counts 1718'!B66-'7d Success counts 1617'!B66</f>
        <v>197</v>
      </c>
      <c r="C66" s="212">
        <f>'7c. Success counts 1718'!C66-'7d Success counts 1617'!C66</f>
        <v>87</v>
      </c>
      <c r="D66" s="212">
        <f>'7c. Success counts 1718'!D66-'7d Success counts 1617'!D66</f>
        <v>0</v>
      </c>
      <c r="E66" s="212">
        <f>'7c. Success counts 1718'!E66-'7d Success counts 1617'!E66</f>
        <v>-149</v>
      </c>
      <c r="F66" s="212">
        <f>'7c. Success counts 1718'!F66-'7d Success counts 1617'!F66</f>
        <v>136</v>
      </c>
      <c r="G66" s="212">
        <f>'7c. Success counts 1718'!G66-'7d Success counts 1617'!G66</f>
        <v>-131</v>
      </c>
      <c r="H66" s="212">
        <f>'7c. Success counts 1718'!H66-'7d Success counts 1617'!H66</f>
        <v>338</v>
      </c>
      <c r="I66" s="212">
        <f>'7c. Success counts 1718'!I66-'7d Success counts 1617'!I66</f>
        <v>521</v>
      </c>
      <c r="J66" s="212">
        <f>'7c. Success counts 1718'!J66-'7d Success counts 1617'!J66</f>
        <v>85</v>
      </c>
      <c r="K66" s="212">
        <f>'7c. Success counts 1718'!K66-'7d Success counts 1617'!K66</f>
        <v>9</v>
      </c>
      <c r="L66" s="212">
        <f>'7c. Success counts 1718'!L66-'7d Success counts 1617'!L66</f>
        <v>0</v>
      </c>
      <c r="M66" s="212">
        <f>'7c. Success counts 1718'!M66-'7d Success counts 1617'!M66</f>
        <v>-52</v>
      </c>
      <c r="N66" s="212">
        <f>'7c. Success counts 1718'!N66-'7d Success counts 1617'!N66</f>
        <v>34</v>
      </c>
      <c r="O66" s="212">
        <f>'7c. Success counts 1718'!O66-'7d Success counts 1617'!O66</f>
        <v>-153</v>
      </c>
      <c r="P66" s="212">
        <f>'7c. Success counts 1718'!P66-'7d Success counts 1617'!P66</f>
        <v>136</v>
      </c>
      <c r="Q66" s="212">
        <f>'7c. Success counts 1718'!Q66-'7d Success counts 1617'!Q66</f>
        <v>26</v>
      </c>
      <c r="R66" s="212">
        <f>'7c. Success counts 1718'!R66-'7d Success counts 1617'!R66</f>
        <v>86</v>
      </c>
      <c r="S66" s="212">
        <f>'7c. Success counts 1718'!S66-'7d Success counts 1617'!S66</f>
        <v>34</v>
      </c>
      <c r="T66" s="212">
        <f>'7c. Success counts 1718'!T66-'7d Success counts 1617'!T66</f>
        <v>0</v>
      </c>
      <c r="U66" s="212">
        <f>'7c. Success counts 1718'!U66-'7d Success counts 1617'!U66</f>
        <v>-77</v>
      </c>
      <c r="V66" s="212">
        <f>'7c. Success counts 1718'!V66-'7d Success counts 1617'!V66</f>
        <v>43</v>
      </c>
      <c r="W66" s="212">
        <f>'7c. Success counts 1718'!W66-'7d Success counts 1617'!W66</f>
        <v>-216</v>
      </c>
      <c r="X66" s="212">
        <f>'7c. Success counts 1718'!X66-'7d Success counts 1617'!X66</f>
        <v>155</v>
      </c>
      <c r="Y66" s="212">
        <f>'7c. Success counts 1718'!Y66-'7d Success counts 1617'!Y66</f>
        <v>81</v>
      </c>
      <c r="Z66" s="213"/>
    </row>
    <row r="67" spans="1:26" x14ac:dyDescent="0.25">
      <c r="A67" s="170" t="s">
        <v>100</v>
      </c>
      <c r="B67" s="212">
        <f>'7c. Success counts 1718'!B67-'7d Success counts 1617'!B67</f>
        <v>96</v>
      </c>
      <c r="C67" s="212">
        <f>'7c. Success counts 1718'!C67-'7d Success counts 1617'!C67</f>
        <v>21</v>
      </c>
      <c r="D67" s="212">
        <f>'7c. Success counts 1718'!D67-'7d Success counts 1617'!D67</f>
        <v>0</v>
      </c>
      <c r="E67" s="212">
        <f>'7c. Success counts 1718'!E67-'7d Success counts 1617'!E67</f>
        <v>-26</v>
      </c>
      <c r="F67" s="212">
        <f>'7c. Success counts 1718'!F67-'7d Success counts 1617'!F67</f>
        <v>70</v>
      </c>
      <c r="G67" s="212">
        <f>'7c. Success counts 1718'!G67-'7d Success counts 1617'!G67</f>
        <v>-68</v>
      </c>
      <c r="H67" s="212">
        <f>'7c. Success counts 1718'!H67-'7d Success counts 1617'!H67</f>
        <v>-63</v>
      </c>
      <c r="I67" s="212">
        <f>'7c. Success counts 1718'!I67-'7d Success counts 1617'!I67</f>
        <v>-9</v>
      </c>
      <c r="J67" s="212">
        <f>'7c. Success counts 1718'!J67-'7d Success counts 1617'!J67</f>
        <v>41</v>
      </c>
      <c r="K67" s="212">
        <f>'7c. Success counts 1718'!K67-'7d Success counts 1617'!K67</f>
        <v>1</v>
      </c>
      <c r="L67" s="212">
        <f>'7c. Success counts 1718'!L67-'7d Success counts 1617'!L67</f>
        <v>0</v>
      </c>
      <c r="M67" s="212">
        <f>'7c. Success counts 1718'!M67-'7d Success counts 1617'!M67</f>
        <v>-24</v>
      </c>
      <c r="N67" s="212">
        <f>'7c. Success counts 1718'!N67-'7d Success counts 1617'!N67</f>
        <v>31</v>
      </c>
      <c r="O67" s="212">
        <f>'7c. Success counts 1718'!O67-'7d Success counts 1617'!O67</f>
        <v>-24</v>
      </c>
      <c r="P67" s="212">
        <f>'7c. Success counts 1718'!P67-'7d Success counts 1617'!P67</f>
        <v>-34</v>
      </c>
      <c r="Q67" s="212">
        <f>'7c. Success counts 1718'!Q67-'7d Success counts 1617'!Q67</f>
        <v>101</v>
      </c>
      <c r="R67" s="212">
        <f>'7c. Success counts 1718'!R67-'7d Success counts 1617'!R67</f>
        <v>63</v>
      </c>
      <c r="S67" s="212">
        <f>'7c. Success counts 1718'!S67-'7d Success counts 1617'!S67</f>
        <v>-4</v>
      </c>
      <c r="T67" s="212">
        <f>'7c. Success counts 1718'!T67-'7d Success counts 1617'!T67</f>
        <v>0</v>
      </c>
      <c r="U67" s="212">
        <f>'7c. Success counts 1718'!U67-'7d Success counts 1617'!U67</f>
        <v>-25</v>
      </c>
      <c r="V67" s="212">
        <f>'7c. Success counts 1718'!V67-'7d Success counts 1617'!V67</f>
        <v>39</v>
      </c>
      <c r="W67" s="212">
        <f>'7c. Success counts 1718'!W67-'7d Success counts 1617'!W67</f>
        <v>-40</v>
      </c>
      <c r="X67" s="212">
        <f>'7c. Success counts 1718'!X67-'7d Success counts 1617'!X67</f>
        <v>-70</v>
      </c>
      <c r="Y67" s="212">
        <f>'7c. Success counts 1718'!Y67-'7d Success counts 1617'!Y67</f>
        <v>52</v>
      </c>
      <c r="Z67" s="213"/>
    </row>
    <row r="68" spans="1:26" x14ac:dyDescent="0.25">
      <c r="A68" s="170" t="s">
        <v>101</v>
      </c>
      <c r="B68" s="212">
        <f>'7c. Success counts 1718'!B68-'7d Success counts 1617'!B68</f>
        <v>384</v>
      </c>
      <c r="C68" s="212">
        <f>'7c. Success counts 1718'!C68-'7d Success counts 1617'!C68</f>
        <v>123</v>
      </c>
      <c r="D68" s="212">
        <f>'7c. Success counts 1718'!D68-'7d Success counts 1617'!D68</f>
        <v>0</v>
      </c>
      <c r="E68" s="212">
        <f>'7c. Success counts 1718'!E68-'7d Success counts 1617'!E68</f>
        <v>334</v>
      </c>
      <c r="F68" s="212">
        <f>'7c. Success counts 1718'!F68-'7d Success counts 1617'!F68</f>
        <v>141</v>
      </c>
      <c r="G68" s="212">
        <f>'7c. Success counts 1718'!G68-'7d Success counts 1617'!G68</f>
        <v>90</v>
      </c>
      <c r="H68" s="212">
        <f>'7c. Success counts 1718'!H68-'7d Success counts 1617'!H68</f>
        <v>237</v>
      </c>
      <c r="I68" s="212">
        <f>'7c. Success counts 1718'!I68-'7d Success counts 1617'!I68</f>
        <v>601</v>
      </c>
      <c r="J68" s="212">
        <f>'7c. Success counts 1718'!J68-'7d Success counts 1617'!J68</f>
        <v>250</v>
      </c>
      <c r="K68" s="212">
        <f>'7c. Success counts 1718'!K68-'7d Success counts 1617'!K68</f>
        <v>140</v>
      </c>
      <c r="L68" s="212">
        <f>'7c. Success counts 1718'!L68-'7d Success counts 1617'!L68</f>
        <v>0</v>
      </c>
      <c r="M68" s="212">
        <f>'7c. Success counts 1718'!M68-'7d Success counts 1617'!M68</f>
        <v>194</v>
      </c>
      <c r="N68" s="212">
        <f>'7c. Success counts 1718'!N68-'7d Success counts 1617'!N68</f>
        <v>119</v>
      </c>
      <c r="O68" s="212">
        <f>'7c. Success counts 1718'!O68-'7d Success counts 1617'!O68</f>
        <v>29</v>
      </c>
      <c r="P68" s="212">
        <f>'7c. Success counts 1718'!P68-'7d Success counts 1617'!P68</f>
        <v>120</v>
      </c>
      <c r="Q68" s="212">
        <f>'7c. Success counts 1718'!Q68-'7d Success counts 1617'!Q68</f>
        <v>230</v>
      </c>
      <c r="R68" s="212">
        <f>'7c. Success counts 1718'!R68-'7d Success counts 1617'!R68</f>
        <v>299</v>
      </c>
      <c r="S68" s="212">
        <f>'7c. Success counts 1718'!S68-'7d Success counts 1617'!S68</f>
        <v>149</v>
      </c>
      <c r="T68" s="212">
        <f>'7c. Success counts 1718'!T68-'7d Success counts 1617'!T68</f>
        <v>0</v>
      </c>
      <c r="U68" s="212">
        <f>'7c. Success counts 1718'!U68-'7d Success counts 1617'!U68</f>
        <v>237</v>
      </c>
      <c r="V68" s="212">
        <f>'7c. Success counts 1718'!V68-'7d Success counts 1617'!V68</f>
        <v>141</v>
      </c>
      <c r="W68" s="212">
        <f>'7c. Success counts 1718'!W68-'7d Success counts 1617'!W68</f>
        <v>47</v>
      </c>
      <c r="X68" s="212">
        <f>'7c. Success counts 1718'!X68-'7d Success counts 1617'!X68</f>
        <v>154</v>
      </c>
      <c r="Y68" s="212">
        <f>'7c. Success counts 1718'!Y68-'7d Success counts 1617'!Y68</f>
        <v>330</v>
      </c>
      <c r="Z68" s="213"/>
    </row>
    <row r="69" spans="1:26" x14ac:dyDescent="0.25">
      <c r="A69" s="170" t="s">
        <v>102</v>
      </c>
      <c r="B69" s="212">
        <f>'7c. Success counts 1718'!B69-'7d Success counts 1617'!B69</f>
        <v>200</v>
      </c>
      <c r="C69" s="212">
        <f>'7c. Success counts 1718'!C69-'7d Success counts 1617'!C69</f>
        <v>25</v>
      </c>
      <c r="D69" s="212">
        <f>'7c. Success counts 1718'!D69-'7d Success counts 1617'!D69</f>
        <v>0</v>
      </c>
      <c r="E69" s="212">
        <f>'7c. Success counts 1718'!E69-'7d Success counts 1617'!E69</f>
        <v>302</v>
      </c>
      <c r="F69" s="212">
        <f>'7c. Success counts 1718'!F69-'7d Success counts 1617'!F69</f>
        <v>177</v>
      </c>
      <c r="G69" s="212">
        <f>'7c. Success counts 1718'!G69-'7d Success counts 1617'!G69</f>
        <v>114</v>
      </c>
      <c r="H69" s="212">
        <f>'7c. Success counts 1718'!H69-'7d Success counts 1617'!H69</f>
        <v>241</v>
      </c>
      <c r="I69" s="212">
        <f>'7c. Success counts 1718'!I69-'7d Success counts 1617'!I69</f>
        <v>73</v>
      </c>
      <c r="J69" s="212">
        <f>'7c. Success counts 1718'!J69-'7d Success counts 1617'!J69</f>
        <v>87</v>
      </c>
      <c r="K69" s="212">
        <f>'7c. Success counts 1718'!K69-'7d Success counts 1617'!K69</f>
        <v>43</v>
      </c>
      <c r="L69" s="212">
        <f>'7c. Success counts 1718'!L69-'7d Success counts 1617'!L69</f>
        <v>0</v>
      </c>
      <c r="M69" s="212">
        <f>'7c. Success counts 1718'!M69-'7d Success counts 1617'!M69</f>
        <v>83</v>
      </c>
      <c r="N69" s="212">
        <f>'7c. Success counts 1718'!N69-'7d Success counts 1617'!N69</f>
        <v>84</v>
      </c>
      <c r="O69" s="212">
        <f>'7c. Success counts 1718'!O69-'7d Success counts 1617'!O69</f>
        <v>52</v>
      </c>
      <c r="P69" s="212">
        <f>'7c. Success counts 1718'!P69-'7d Success counts 1617'!P69</f>
        <v>110</v>
      </c>
      <c r="Q69" s="212">
        <f>'7c. Success counts 1718'!Q69-'7d Success counts 1617'!Q69</f>
        <v>77</v>
      </c>
      <c r="R69" s="212">
        <f>'7c. Success counts 1718'!R69-'7d Success counts 1617'!R69</f>
        <v>142</v>
      </c>
      <c r="S69" s="212">
        <f>'7c. Success counts 1718'!S69-'7d Success counts 1617'!S69</f>
        <v>20</v>
      </c>
      <c r="T69" s="212">
        <f>'7c. Success counts 1718'!T69-'7d Success counts 1617'!T69</f>
        <v>0</v>
      </c>
      <c r="U69" s="212">
        <f>'7c. Success counts 1718'!U69-'7d Success counts 1617'!U69</f>
        <v>144</v>
      </c>
      <c r="V69" s="212">
        <f>'7c. Success counts 1718'!V69-'7d Success counts 1617'!V69</f>
        <v>125</v>
      </c>
      <c r="W69" s="212">
        <f>'7c. Success counts 1718'!W69-'7d Success counts 1617'!W69</f>
        <v>47</v>
      </c>
      <c r="X69" s="212">
        <f>'7c. Success counts 1718'!X69-'7d Success counts 1617'!X69</f>
        <v>195</v>
      </c>
      <c r="Y69" s="212">
        <f>'7c. Success counts 1718'!Y69-'7d Success counts 1617'!Y69</f>
        <v>73</v>
      </c>
      <c r="Z69" s="213"/>
    </row>
    <row r="70" spans="1:26" x14ac:dyDescent="0.25">
      <c r="A70" s="170" t="s">
        <v>103</v>
      </c>
      <c r="B70" s="212">
        <f>'7c. Success counts 1718'!B70-'7d Success counts 1617'!B70</f>
        <v>51</v>
      </c>
      <c r="C70" s="212">
        <f>'7c. Success counts 1718'!C70-'7d Success counts 1617'!C70</f>
        <v>10</v>
      </c>
      <c r="D70" s="212">
        <f>'7c. Success counts 1718'!D70-'7d Success counts 1617'!D70</f>
        <v>0</v>
      </c>
      <c r="E70" s="212">
        <f>'7c. Success counts 1718'!E70-'7d Success counts 1617'!E70</f>
        <v>40</v>
      </c>
      <c r="F70" s="212">
        <f>'7c. Success counts 1718'!F70-'7d Success counts 1617'!F70</f>
        <v>24</v>
      </c>
      <c r="G70" s="212">
        <f>'7c. Success counts 1718'!G70-'7d Success counts 1617'!G70</f>
        <v>-138</v>
      </c>
      <c r="H70" s="212">
        <f>'7c. Success counts 1718'!H70-'7d Success counts 1617'!H70</f>
        <v>-24</v>
      </c>
      <c r="I70" s="212">
        <f>'7c. Success counts 1718'!I70-'7d Success counts 1617'!I70</f>
        <v>155</v>
      </c>
      <c r="J70" s="212">
        <f>'7c. Success counts 1718'!J70-'7d Success counts 1617'!J70</f>
        <v>39</v>
      </c>
      <c r="K70" s="212">
        <f>'7c. Success counts 1718'!K70-'7d Success counts 1617'!K70</f>
        <v>-11</v>
      </c>
      <c r="L70" s="212">
        <f>'7c. Success counts 1718'!L70-'7d Success counts 1617'!L70</f>
        <v>0</v>
      </c>
      <c r="M70" s="212">
        <f>'7c. Success counts 1718'!M70-'7d Success counts 1617'!M70</f>
        <v>13</v>
      </c>
      <c r="N70" s="212">
        <f>'7c. Success counts 1718'!N70-'7d Success counts 1617'!N70</f>
        <v>20</v>
      </c>
      <c r="O70" s="212">
        <f>'7c. Success counts 1718'!O70-'7d Success counts 1617'!O70</f>
        <v>-145</v>
      </c>
      <c r="P70" s="212">
        <f>'7c. Success counts 1718'!P70-'7d Success counts 1617'!P70</f>
        <v>-11</v>
      </c>
      <c r="Q70" s="212">
        <f>'7c. Success counts 1718'!Q70-'7d Success counts 1617'!Q70</f>
        <v>62</v>
      </c>
      <c r="R70" s="212">
        <f>'7c. Success counts 1718'!R70-'7d Success counts 1617'!R70</f>
        <v>46</v>
      </c>
      <c r="S70" s="212">
        <f>'7c. Success counts 1718'!S70-'7d Success counts 1617'!S70</f>
        <v>1</v>
      </c>
      <c r="T70" s="212">
        <f>'7c. Success counts 1718'!T70-'7d Success counts 1617'!T70</f>
        <v>0</v>
      </c>
      <c r="U70" s="212">
        <f>'7c. Success counts 1718'!U70-'7d Success counts 1617'!U70</f>
        <v>23</v>
      </c>
      <c r="V70" s="212">
        <f>'7c. Success counts 1718'!V70-'7d Success counts 1617'!V70</f>
        <v>25</v>
      </c>
      <c r="W70" s="212">
        <f>'7c. Success counts 1718'!W70-'7d Success counts 1617'!W70</f>
        <v>-154</v>
      </c>
      <c r="X70" s="212">
        <f>'7c. Success counts 1718'!X70-'7d Success counts 1617'!X70</f>
        <v>-11</v>
      </c>
      <c r="Y70" s="212">
        <f>'7c. Success counts 1718'!Y70-'7d Success counts 1617'!Y70</f>
        <v>139</v>
      </c>
      <c r="Z70" s="213"/>
    </row>
    <row r="71" spans="1:26" x14ac:dyDescent="0.25">
      <c r="A71" s="170" t="s">
        <v>104</v>
      </c>
      <c r="B71" s="212">
        <f>'7c. Success counts 1718'!B71-'7d Success counts 1617'!B71</f>
        <v>84</v>
      </c>
      <c r="C71" s="212">
        <f>'7c. Success counts 1718'!C71-'7d Success counts 1617'!C71</f>
        <v>-9</v>
      </c>
      <c r="D71" s="212">
        <f>'7c. Success counts 1718'!D71-'7d Success counts 1617'!D71</f>
        <v>0</v>
      </c>
      <c r="E71" s="212">
        <f>'7c. Success counts 1718'!E71-'7d Success counts 1617'!E71</f>
        <v>46</v>
      </c>
      <c r="F71" s="212">
        <f>'7c. Success counts 1718'!F71-'7d Success counts 1617'!F71</f>
        <v>-33</v>
      </c>
      <c r="G71" s="212">
        <f>'7c. Success counts 1718'!G71-'7d Success counts 1617'!G71</f>
        <v>-44</v>
      </c>
      <c r="H71" s="212">
        <f>'7c. Success counts 1718'!H71-'7d Success counts 1617'!H71</f>
        <v>50</v>
      </c>
      <c r="I71" s="212">
        <f>'7c. Success counts 1718'!I71-'7d Success counts 1617'!I71</f>
        <v>50</v>
      </c>
      <c r="J71" s="212">
        <f>'7c. Success counts 1718'!J71-'7d Success counts 1617'!J71</f>
        <v>55</v>
      </c>
      <c r="K71" s="212">
        <f>'7c. Success counts 1718'!K71-'7d Success counts 1617'!K71</f>
        <v>12</v>
      </c>
      <c r="L71" s="212">
        <f>'7c. Success counts 1718'!L71-'7d Success counts 1617'!L71</f>
        <v>0</v>
      </c>
      <c r="M71" s="212">
        <f>'7c. Success counts 1718'!M71-'7d Success counts 1617'!M71</f>
        <v>12</v>
      </c>
      <c r="N71" s="212">
        <f>'7c. Success counts 1718'!N71-'7d Success counts 1617'!N71</f>
        <v>5</v>
      </c>
      <c r="O71" s="212">
        <f>'7c. Success counts 1718'!O71-'7d Success counts 1617'!O71</f>
        <v>-35</v>
      </c>
      <c r="P71" s="212">
        <f>'7c. Success counts 1718'!P71-'7d Success counts 1617'!P71</f>
        <v>32</v>
      </c>
      <c r="Q71" s="212">
        <f>'7c. Success counts 1718'!Q71-'7d Success counts 1617'!Q71</f>
        <v>-6</v>
      </c>
      <c r="R71" s="212">
        <f>'7c. Success counts 1718'!R71-'7d Success counts 1617'!R71</f>
        <v>63</v>
      </c>
      <c r="S71" s="212">
        <f>'7c. Success counts 1718'!S71-'7d Success counts 1617'!S71</f>
        <v>8</v>
      </c>
      <c r="T71" s="212">
        <f>'7c. Success counts 1718'!T71-'7d Success counts 1617'!T71</f>
        <v>0</v>
      </c>
      <c r="U71" s="212">
        <f>'7c. Success counts 1718'!U71-'7d Success counts 1617'!U71</f>
        <v>30</v>
      </c>
      <c r="V71" s="212">
        <f>'7c. Success counts 1718'!V71-'7d Success counts 1617'!V71</f>
        <v>-3</v>
      </c>
      <c r="W71" s="212">
        <f>'7c. Success counts 1718'!W71-'7d Success counts 1617'!W71</f>
        <v>-46</v>
      </c>
      <c r="X71" s="212">
        <f>'7c. Success counts 1718'!X71-'7d Success counts 1617'!X71</f>
        <v>52</v>
      </c>
      <c r="Y71" s="212">
        <f>'7c. Success counts 1718'!Y71-'7d Success counts 1617'!Y71</f>
        <v>31</v>
      </c>
      <c r="Z71" s="213"/>
    </row>
    <row r="72" spans="1:26" x14ac:dyDescent="0.25">
      <c r="A72" s="170" t="s">
        <v>33</v>
      </c>
      <c r="B72" s="212">
        <f>'7c. Success counts 1718'!B72-'7d Success counts 1617'!B72</f>
        <v>6</v>
      </c>
      <c r="C72" s="212">
        <f>'7c. Success counts 1718'!C72-'7d Success counts 1617'!C72</f>
        <v>-8</v>
      </c>
      <c r="D72" s="212">
        <f>'7c. Success counts 1718'!D72-'7d Success counts 1617'!D72</f>
        <v>0</v>
      </c>
      <c r="E72" s="212">
        <f>'7c. Success counts 1718'!E72-'7d Success counts 1617'!E72</f>
        <v>1</v>
      </c>
      <c r="F72" s="212">
        <f>'7c. Success counts 1718'!F72-'7d Success counts 1617'!F72</f>
        <v>17</v>
      </c>
      <c r="G72" s="212">
        <f>'7c. Success counts 1718'!G72-'7d Success counts 1617'!G72</f>
        <v>10</v>
      </c>
      <c r="H72" s="212">
        <f>'7c. Success counts 1718'!H72-'7d Success counts 1617'!H72</f>
        <v>-6</v>
      </c>
      <c r="I72" s="212">
        <f>'7c. Success counts 1718'!I72-'7d Success counts 1617'!I72</f>
        <v>1599</v>
      </c>
      <c r="J72" s="212">
        <f>'7c. Success counts 1718'!J72-'7d Success counts 1617'!J72</f>
        <v>4</v>
      </c>
      <c r="K72" s="212">
        <f>'7c. Success counts 1718'!K72-'7d Success counts 1617'!K72</f>
        <v>1</v>
      </c>
      <c r="L72" s="212">
        <f>'7c. Success counts 1718'!L72-'7d Success counts 1617'!L72</f>
        <v>0</v>
      </c>
      <c r="M72" s="212">
        <f>'7c. Success counts 1718'!M72-'7d Success counts 1617'!M72</f>
        <v>3</v>
      </c>
      <c r="N72" s="212">
        <f>'7c. Success counts 1718'!N72-'7d Success counts 1617'!N72</f>
        <v>13</v>
      </c>
      <c r="O72" s="212">
        <f>'7c. Success counts 1718'!O72-'7d Success counts 1617'!O72</f>
        <v>7</v>
      </c>
      <c r="P72" s="212">
        <f>'7c. Success counts 1718'!P72-'7d Success counts 1617'!P72</f>
        <v>3</v>
      </c>
      <c r="Q72" s="212">
        <f>'7c. Success counts 1718'!Q72-'7d Success counts 1617'!Q72</f>
        <v>22</v>
      </c>
      <c r="R72" s="212">
        <f>'7c. Success counts 1718'!R72-'7d Success counts 1617'!R72</f>
        <v>12</v>
      </c>
      <c r="S72" s="212">
        <f>'7c. Success counts 1718'!S72-'7d Success counts 1617'!S72</f>
        <v>16</v>
      </c>
      <c r="T72" s="212">
        <f>'7c. Success counts 1718'!T72-'7d Success counts 1617'!T72</f>
        <v>0</v>
      </c>
      <c r="U72" s="212">
        <f>'7c. Success counts 1718'!U72-'7d Success counts 1617'!U72</f>
        <v>1</v>
      </c>
      <c r="V72" s="212">
        <f>'7c. Success counts 1718'!V72-'7d Success counts 1617'!V72</f>
        <v>12</v>
      </c>
      <c r="W72" s="212">
        <f>'7c. Success counts 1718'!W72-'7d Success counts 1617'!W72</f>
        <v>13</v>
      </c>
      <c r="X72" s="212">
        <f>'7c. Success counts 1718'!X72-'7d Success counts 1617'!X72</f>
        <v>-5</v>
      </c>
      <c r="Y72" s="212">
        <f>'7c. Success counts 1718'!Y72-'7d Success counts 1617'!Y72</f>
        <v>71</v>
      </c>
      <c r="Z72" s="213"/>
    </row>
    <row r="73" spans="1:26" ht="17.25" x14ac:dyDescent="0.25">
      <c r="A73" s="170" t="s">
        <v>105</v>
      </c>
      <c r="B73" s="212">
        <f>'7c. Success counts 1718'!B73-'7d Success counts 1617'!B73</f>
        <v>76</v>
      </c>
      <c r="C73" s="212">
        <f>'7c. Success counts 1718'!C73-'7d Success counts 1617'!C73</f>
        <v>54</v>
      </c>
      <c r="D73" s="212">
        <f>'7c. Success counts 1718'!D73-'7d Success counts 1617'!D73</f>
        <v>0</v>
      </c>
      <c r="E73" s="212">
        <f>'7c. Success counts 1718'!E73-'7d Success counts 1617'!E73</f>
        <v>28</v>
      </c>
      <c r="F73" s="212">
        <f>'7c. Success counts 1718'!F73-'7d Success counts 1617'!F73</f>
        <v>19</v>
      </c>
      <c r="G73" s="212">
        <f>'7c. Success counts 1718'!G73-'7d Success counts 1617'!G73</f>
        <v>-44</v>
      </c>
      <c r="H73" s="212">
        <f>'7c. Success counts 1718'!H73-'7d Success counts 1617'!H73</f>
        <v>-97</v>
      </c>
      <c r="I73" s="212">
        <f>'7c. Success counts 1718'!I73-'7d Success counts 1617'!I73</f>
        <v>-8</v>
      </c>
      <c r="J73" s="212">
        <f>'7c. Success counts 1718'!J73-'7d Success counts 1617'!J73</f>
        <v>42</v>
      </c>
      <c r="K73" s="212">
        <f>'7c. Success counts 1718'!K73-'7d Success counts 1617'!K73</f>
        <v>-8</v>
      </c>
      <c r="L73" s="212">
        <f>'7c. Success counts 1718'!L73-'7d Success counts 1617'!L73</f>
        <v>0</v>
      </c>
      <c r="M73" s="212">
        <f>'7c. Success counts 1718'!M73-'7d Success counts 1617'!M73</f>
        <v>13</v>
      </c>
      <c r="N73" s="212">
        <f>'7c. Success counts 1718'!N73-'7d Success counts 1617'!N73</f>
        <v>4</v>
      </c>
      <c r="O73" s="212">
        <f>'7c. Success counts 1718'!O73-'7d Success counts 1617'!O73</f>
        <v>-56</v>
      </c>
      <c r="P73" s="212">
        <f>'7c. Success counts 1718'!P73-'7d Success counts 1617'!P73</f>
        <v>-42</v>
      </c>
      <c r="Q73" s="212">
        <f>'7c. Success counts 1718'!Q73-'7d Success counts 1617'!Q73</f>
        <v>-8</v>
      </c>
      <c r="R73" s="212">
        <f>'7c. Success counts 1718'!R73-'7d Success counts 1617'!R73</f>
        <v>59</v>
      </c>
      <c r="S73" s="212">
        <f>'7c. Success counts 1718'!S73-'7d Success counts 1617'!S73</f>
        <v>6</v>
      </c>
      <c r="T73" s="212">
        <f>'7c. Success counts 1718'!T73-'7d Success counts 1617'!T73</f>
        <v>0</v>
      </c>
      <c r="U73" s="212">
        <f>'7c. Success counts 1718'!U73-'7d Success counts 1617'!U73</f>
        <v>19</v>
      </c>
      <c r="V73" s="212">
        <f>'7c. Success counts 1718'!V73-'7d Success counts 1617'!V73</f>
        <v>13</v>
      </c>
      <c r="W73" s="212">
        <f>'7c. Success counts 1718'!W73-'7d Success counts 1617'!W73</f>
        <v>-75</v>
      </c>
      <c r="X73" s="212">
        <f>'7c. Success counts 1718'!X73-'7d Success counts 1617'!X73</f>
        <v>-76</v>
      </c>
      <c r="Y73" s="212">
        <f>'7c. Success counts 1718'!Y73-'7d Success counts 1617'!Y73</f>
        <v>-52</v>
      </c>
      <c r="Z73" s="213"/>
    </row>
    <row r="74" spans="1:26" x14ac:dyDescent="0.25">
      <c r="A74" s="170" t="s">
        <v>106</v>
      </c>
      <c r="B74" s="212">
        <f>'7c. Success counts 1718'!B74-'7d Success counts 1617'!B74</f>
        <v>108</v>
      </c>
      <c r="C74" s="212">
        <f>'7c. Success counts 1718'!C74-'7d Success counts 1617'!C74</f>
        <v>98</v>
      </c>
      <c r="D74" s="212">
        <f>'7c. Success counts 1718'!D74-'7d Success counts 1617'!D74</f>
        <v>0</v>
      </c>
      <c r="E74" s="212">
        <f>'7c. Success counts 1718'!E74-'7d Success counts 1617'!E74</f>
        <v>66</v>
      </c>
      <c r="F74" s="212">
        <f>'7c. Success counts 1718'!F74-'7d Success counts 1617'!F74</f>
        <v>15</v>
      </c>
      <c r="G74" s="212">
        <f>'7c. Success counts 1718'!G74-'7d Success counts 1617'!G74</f>
        <v>-130</v>
      </c>
      <c r="H74" s="212">
        <f>'7c. Success counts 1718'!H74-'7d Success counts 1617'!H74</f>
        <v>61</v>
      </c>
      <c r="I74" s="212">
        <f>'7c. Success counts 1718'!I74-'7d Success counts 1617'!I74</f>
        <v>219</v>
      </c>
      <c r="J74" s="212">
        <f>'7c. Success counts 1718'!J74-'7d Success counts 1617'!J74</f>
        <v>38</v>
      </c>
      <c r="K74" s="212">
        <f>'7c. Success counts 1718'!K74-'7d Success counts 1617'!K74</f>
        <v>53</v>
      </c>
      <c r="L74" s="212">
        <f>'7c. Success counts 1718'!L74-'7d Success counts 1617'!L74</f>
        <v>0</v>
      </c>
      <c r="M74" s="212">
        <f>'7c. Success counts 1718'!M74-'7d Success counts 1617'!M74</f>
        <v>23</v>
      </c>
      <c r="N74" s="212">
        <f>'7c. Success counts 1718'!N74-'7d Success counts 1617'!N74</f>
        <v>16</v>
      </c>
      <c r="O74" s="212">
        <f>'7c. Success counts 1718'!O74-'7d Success counts 1617'!O74</f>
        <v>-162</v>
      </c>
      <c r="P74" s="212">
        <f>'7c. Success counts 1718'!P74-'7d Success counts 1617'!P74</f>
        <v>27</v>
      </c>
      <c r="Q74" s="212">
        <f>'7c. Success counts 1718'!Q74-'7d Success counts 1617'!Q74</f>
        <v>71</v>
      </c>
      <c r="R74" s="212">
        <f>'7c. Success counts 1718'!R74-'7d Success counts 1617'!R74</f>
        <v>76</v>
      </c>
      <c r="S74" s="212">
        <f>'7c. Success counts 1718'!S74-'7d Success counts 1617'!S74</f>
        <v>86</v>
      </c>
      <c r="T74" s="212">
        <f>'7c. Success counts 1718'!T74-'7d Success counts 1617'!T74</f>
        <v>0</v>
      </c>
      <c r="U74" s="212">
        <f>'7c. Success counts 1718'!U74-'7d Success counts 1617'!U74</f>
        <v>47</v>
      </c>
      <c r="V74" s="212">
        <f>'7c. Success counts 1718'!V74-'7d Success counts 1617'!V74</f>
        <v>15</v>
      </c>
      <c r="W74" s="212">
        <f>'7c. Success counts 1718'!W74-'7d Success counts 1617'!W74</f>
        <v>-181</v>
      </c>
      <c r="X74" s="212">
        <f>'7c. Success counts 1718'!X74-'7d Success counts 1617'!X74</f>
        <v>27</v>
      </c>
      <c r="Y74" s="212">
        <f>'7c. Success counts 1718'!Y74-'7d Success counts 1617'!Y74</f>
        <v>112</v>
      </c>
      <c r="Z74" s="213"/>
    </row>
    <row r="75" spans="1:26" x14ac:dyDescent="0.25">
      <c r="A75" s="170" t="s">
        <v>107</v>
      </c>
      <c r="B75" s="212">
        <f>'7c. Success counts 1718'!B75-'7d Success counts 1617'!B75</f>
        <v>63</v>
      </c>
      <c r="C75" s="212">
        <f>'7c. Success counts 1718'!C75-'7d Success counts 1617'!C75</f>
        <v>-104</v>
      </c>
      <c r="D75" s="212">
        <f>'7c. Success counts 1718'!D75-'7d Success counts 1617'!D75</f>
        <v>0</v>
      </c>
      <c r="E75" s="212">
        <f>'7c. Success counts 1718'!E75-'7d Success counts 1617'!E75</f>
        <v>36</v>
      </c>
      <c r="F75" s="212">
        <f>'7c. Success counts 1718'!F75-'7d Success counts 1617'!F75</f>
        <v>16</v>
      </c>
      <c r="G75" s="212">
        <f>'7c. Success counts 1718'!G75-'7d Success counts 1617'!G75</f>
        <v>-98</v>
      </c>
      <c r="H75" s="212">
        <f>'7c. Success counts 1718'!H75-'7d Success counts 1617'!H75</f>
        <v>33</v>
      </c>
      <c r="I75" s="212">
        <f>'7c. Success counts 1718'!I75-'7d Success counts 1617'!I75</f>
        <v>186</v>
      </c>
      <c r="J75" s="212">
        <f>'7c. Success counts 1718'!J75-'7d Success counts 1617'!J75</f>
        <v>18</v>
      </c>
      <c r="K75" s="212">
        <f>'7c. Success counts 1718'!K75-'7d Success counts 1617'!K75</f>
        <v>-92</v>
      </c>
      <c r="L75" s="212">
        <f>'7c. Success counts 1718'!L75-'7d Success counts 1617'!L75</f>
        <v>0</v>
      </c>
      <c r="M75" s="212">
        <f>'7c. Success counts 1718'!M75-'7d Success counts 1617'!M75</f>
        <v>2</v>
      </c>
      <c r="N75" s="212">
        <f>'7c. Success counts 1718'!N75-'7d Success counts 1617'!N75</f>
        <v>0</v>
      </c>
      <c r="O75" s="212">
        <f>'7c. Success counts 1718'!O75-'7d Success counts 1617'!O75</f>
        <v>-114</v>
      </c>
      <c r="P75" s="212">
        <f>'7c. Success counts 1718'!P75-'7d Success counts 1617'!P75</f>
        <v>-22</v>
      </c>
      <c r="Q75" s="212">
        <f>'7c. Success counts 1718'!Q75-'7d Success counts 1617'!Q75</f>
        <v>74</v>
      </c>
      <c r="R75" s="212">
        <f>'7c. Success counts 1718'!R75-'7d Success counts 1617'!R75</f>
        <v>45</v>
      </c>
      <c r="S75" s="212">
        <f>'7c. Success counts 1718'!S75-'7d Success counts 1617'!S75</f>
        <v>-96</v>
      </c>
      <c r="T75" s="212">
        <f>'7c. Success counts 1718'!T75-'7d Success counts 1617'!T75</f>
        <v>0</v>
      </c>
      <c r="U75" s="212">
        <f>'7c. Success counts 1718'!U75-'7d Success counts 1617'!U75</f>
        <v>26</v>
      </c>
      <c r="V75" s="212">
        <f>'7c. Success counts 1718'!V75-'7d Success counts 1617'!V75</f>
        <v>5</v>
      </c>
      <c r="W75" s="212">
        <f>'7c. Success counts 1718'!W75-'7d Success counts 1617'!W75</f>
        <v>-107</v>
      </c>
      <c r="X75" s="212">
        <f>'7c. Success counts 1718'!X75-'7d Success counts 1617'!X75</f>
        <v>-26</v>
      </c>
      <c r="Y75" s="212">
        <f>'7c. Success counts 1718'!Y75-'7d Success counts 1617'!Y75</f>
        <v>123</v>
      </c>
      <c r="Z75" s="213"/>
    </row>
    <row r="76" spans="1:26" x14ac:dyDescent="0.25">
      <c r="A76" s="214" t="s">
        <v>108</v>
      </c>
      <c r="B76" s="215">
        <f>SUM(B4:B75)</f>
        <v>8008</v>
      </c>
      <c r="C76" s="215">
        <f t="shared" ref="C76:Y76" si="0">SUM(C4:C75)</f>
        <v>765</v>
      </c>
      <c r="D76" s="215">
        <f t="shared" si="0"/>
        <v>106</v>
      </c>
      <c r="E76" s="215">
        <f t="shared" si="0"/>
        <v>2198</v>
      </c>
      <c r="F76" s="215">
        <f t="shared" si="0"/>
        <v>3369</v>
      </c>
      <c r="G76" s="215">
        <f t="shared" si="0"/>
        <v>-5610</v>
      </c>
      <c r="H76" s="215">
        <f t="shared" si="0"/>
        <v>4898</v>
      </c>
      <c r="I76" s="215">
        <f t="shared" si="0"/>
        <v>13607</v>
      </c>
      <c r="J76" s="215">
        <f t="shared" si="0"/>
        <v>4120</v>
      </c>
      <c r="K76" s="215">
        <f t="shared" si="0"/>
        <v>-10</v>
      </c>
      <c r="L76" s="215">
        <f t="shared" si="0"/>
        <v>50</v>
      </c>
      <c r="M76" s="215">
        <f t="shared" si="0"/>
        <v>761</v>
      </c>
      <c r="N76" s="215">
        <f t="shared" si="0"/>
        <v>1745</v>
      </c>
      <c r="O76" s="215">
        <f t="shared" si="0"/>
        <v>-5384</v>
      </c>
      <c r="P76" s="215">
        <f t="shared" si="0"/>
        <v>1881</v>
      </c>
      <c r="Q76" s="215">
        <f t="shared" si="0"/>
        <v>4248</v>
      </c>
      <c r="R76" s="215">
        <f t="shared" si="0"/>
        <v>5917</v>
      </c>
      <c r="S76" s="215">
        <f t="shared" si="0"/>
        <v>726</v>
      </c>
      <c r="T76" s="215">
        <f t="shared" si="0"/>
        <v>84</v>
      </c>
      <c r="U76" s="215">
        <f t="shared" si="0"/>
        <v>1285</v>
      </c>
      <c r="V76" s="215">
        <f t="shared" si="0"/>
        <v>2300</v>
      </c>
      <c r="W76" s="215">
        <f t="shared" si="0"/>
        <v>-5226</v>
      </c>
      <c r="X76" s="215">
        <f t="shared" si="0"/>
        <v>2678</v>
      </c>
      <c r="Y76" s="215">
        <f t="shared" si="0"/>
        <v>7194</v>
      </c>
    </row>
  </sheetData>
  <mergeCells count="1">
    <mergeCell ref="B1:I1"/>
  </mergeCells>
  <pageMargins left="0.7" right="0.7" top="0.75" bottom="0.75" header="0.3" footer="0.3"/>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W76"/>
  <sheetViews>
    <sheetView workbookViewId="0">
      <pane ySplit="3" topLeftCell="A66" activePane="bottomLeft" state="frozen"/>
      <selection pane="bottomLeft" activeCell="H77" sqref="H77"/>
    </sheetView>
  </sheetViews>
  <sheetFormatPr defaultColWidth="8.85546875" defaultRowHeight="15" x14ac:dyDescent="0.25"/>
  <cols>
    <col min="1" max="1" width="18.7109375" style="80" bestFit="1" customWidth="1"/>
    <col min="2" max="7" width="8.85546875" style="80"/>
    <col min="8" max="8" width="11" style="80" bestFit="1" customWidth="1"/>
    <col min="9" max="15" width="8.85546875" style="80"/>
    <col min="16" max="16" width="9.140625" style="80" bestFit="1" customWidth="1"/>
    <col min="17" max="16384" width="8.85546875" style="80"/>
  </cols>
  <sheetData>
    <row r="2" spans="1:75" ht="18.75" x14ac:dyDescent="0.3">
      <c r="A2" s="206"/>
      <c r="B2" s="132"/>
      <c r="C2" s="133" t="s">
        <v>109</v>
      </c>
      <c r="D2" s="132"/>
      <c r="E2" s="132"/>
      <c r="F2" s="132"/>
      <c r="G2" s="132"/>
      <c r="H2" s="132"/>
      <c r="I2" s="132"/>
      <c r="J2" s="134"/>
      <c r="K2" s="133" t="s">
        <v>110</v>
      </c>
      <c r="L2" s="134"/>
      <c r="M2" s="134"/>
      <c r="N2" s="134"/>
      <c r="O2" s="134"/>
      <c r="P2" s="197"/>
      <c r="Q2" s="134"/>
      <c r="R2" s="135"/>
      <c r="S2" s="133" t="s">
        <v>111</v>
      </c>
      <c r="T2" s="135"/>
      <c r="U2" s="135"/>
      <c r="V2" s="135"/>
      <c r="W2" s="135"/>
      <c r="X2" s="135"/>
      <c r="Y2" s="135"/>
      <c r="Z2" s="130"/>
      <c r="AA2" s="132"/>
      <c r="AB2" s="133"/>
      <c r="AC2" s="132"/>
      <c r="AD2" s="132"/>
      <c r="AE2" s="132"/>
      <c r="AF2" s="132"/>
      <c r="AG2" s="132"/>
      <c r="AH2" s="132"/>
      <c r="AI2" s="134"/>
      <c r="AJ2" s="133"/>
      <c r="AK2" s="134"/>
      <c r="AL2" s="134"/>
      <c r="AM2" s="134"/>
      <c r="AN2" s="134"/>
      <c r="AO2" s="134"/>
      <c r="AP2" s="134"/>
      <c r="AQ2" s="135"/>
      <c r="AR2" s="133"/>
      <c r="AS2" s="135"/>
      <c r="AT2" s="135"/>
      <c r="AU2" s="135"/>
      <c r="AV2" s="135"/>
      <c r="AW2" s="135"/>
      <c r="AX2" s="135"/>
      <c r="AY2" s="130"/>
      <c r="AZ2" s="132"/>
      <c r="BA2" s="133"/>
      <c r="BB2" s="132"/>
      <c r="BC2" s="132"/>
      <c r="BD2" s="132"/>
      <c r="BE2" s="132"/>
      <c r="BF2" s="132"/>
      <c r="BG2" s="132"/>
      <c r="BH2" s="134"/>
      <c r="BI2" s="133"/>
      <c r="BJ2" s="134"/>
      <c r="BK2" s="134"/>
      <c r="BL2" s="134"/>
      <c r="BM2" s="134"/>
      <c r="BN2" s="134"/>
      <c r="BO2" s="134"/>
      <c r="BP2" s="135"/>
      <c r="BQ2" s="133"/>
      <c r="BR2" s="135"/>
      <c r="BS2" s="135"/>
      <c r="BT2" s="135"/>
      <c r="BU2" s="135"/>
      <c r="BV2" s="135"/>
      <c r="BW2" s="135"/>
    </row>
    <row r="3" spans="1:75" s="192" customFormat="1" ht="60.6" customHeight="1" x14ac:dyDescent="0.25">
      <c r="A3" s="190" t="s">
        <v>8</v>
      </c>
      <c r="B3" s="192" t="s">
        <v>113</v>
      </c>
      <c r="C3" s="192" t="s">
        <v>112</v>
      </c>
      <c r="D3" s="192" t="s">
        <v>131</v>
      </c>
      <c r="E3" s="192" t="s">
        <v>114</v>
      </c>
      <c r="F3" s="192" t="s">
        <v>117</v>
      </c>
      <c r="G3" s="192" t="s">
        <v>115</v>
      </c>
      <c r="H3" s="192" t="s">
        <v>116</v>
      </c>
      <c r="I3" s="192" t="s">
        <v>118</v>
      </c>
      <c r="J3" s="192" t="s">
        <v>113</v>
      </c>
      <c r="K3" s="192" t="s">
        <v>112</v>
      </c>
      <c r="L3" s="192" t="s">
        <v>131</v>
      </c>
      <c r="M3" s="192" t="s">
        <v>114</v>
      </c>
      <c r="N3" s="192" t="s">
        <v>117</v>
      </c>
      <c r="O3" s="192" t="s">
        <v>115</v>
      </c>
      <c r="P3" s="192" t="s">
        <v>116</v>
      </c>
      <c r="Q3" s="192" t="s">
        <v>118</v>
      </c>
      <c r="R3" s="192" t="s">
        <v>113</v>
      </c>
      <c r="S3" s="192" t="s">
        <v>112</v>
      </c>
      <c r="T3" s="192" t="s">
        <v>131</v>
      </c>
      <c r="U3" s="192" t="s">
        <v>114</v>
      </c>
      <c r="V3" s="192" t="s">
        <v>117</v>
      </c>
      <c r="W3" s="192" t="s">
        <v>115</v>
      </c>
      <c r="X3" s="192" t="s">
        <v>116</v>
      </c>
      <c r="Y3" s="192" t="s">
        <v>118</v>
      </c>
      <c r="Z3" s="193"/>
      <c r="AY3" s="193"/>
    </row>
    <row r="4" spans="1:75" x14ac:dyDescent="0.25">
      <c r="A4" s="170" t="s">
        <v>43</v>
      </c>
      <c r="B4">
        <v>272</v>
      </c>
      <c r="C4">
        <v>577</v>
      </c>
      <c r="D4">
        <v>0</v>
      </c>
      <c r="E4">
        <v>244</v>
      </c>
      <c r="F4" s="80">
        <v>190</v>
      </c>
      <c r="G4" s="207">
        <v>1915</v>
      </c>
      <c r="H4">
        <v>865</v>
      </c>
      <c r="I4" s="80">
        <v>2224</v>
      </c>
      <c r="J4">
        <v>161</v>
      </c>
      <c r="K4">
        <v>311</v>
      </c>
      <c r="L4">
        <v>0</v>
      </c>
      <c r="M4">
        <v>126</v>
      </c>
      <c r="N4" s="80">
        <v>83</v>
      </c>
      <c r="O4" s="207">
        <v>793</v>
      </c>
      <c r="P4">
        <v>328</v>
      </c>
      <c r="Q4" s="80">
        <v>447</v>
      </c>
      <c r="R4">
        <v>225</v>
      </c>
      <c r="S4">
        <v>475</v>
      </c>
      <c r="T4">
        <v>0</v>
      </c>
      <c r="U4">
        <v>193</v>
      </c>
      <c r="V4" s="80">
        <v>136</v>
      </c>
      <c r="W4" s="208">
        <v>1366</v>
      </c>
      <c r="X4">
        <v>551</v>
      </c>
      <c r="Y4" s="80">
        <v>943</v>
      </c>
    </row>
    <row r="5" spans="1:75" x14ac:dyDescent="0.25">
      <c r="A5" s="170" t="s">
        <v>44</v>
      </c>
      <c r="B5">
        <v>485</v>
      </c>
      <c r="C5">
        <v>676</v>
      </c>
      <c r="D5">
        <v>0</v>
      </c>
      <c r="E5">
        <v>254</v>
      </c>
      <c r="F5" s="80">
        <v>187</v>
      </c>
      <c r="G5" s="207">
        <v>2033</v>
      </c>
      <c r="H5">
        <v>992</v>
      </c>
      <c r="I5" s="80">
        <v>1147</v>
      </c>
      <c r="J5">
        <v>340</v>
      </c>
      <c r="K5">
        <v>458</v>
      </c>
      <c r="L5">
        <v>0</v>
      </c>
      <c r="M5">
        <v>164</v>
      </c>
      <c r="N5" s="80">
        <v>97</v>
      </c>
      <c r="O5" s="207">
        <v>1318</v>
      </c>
      <c r="P5">
        <v>568</v>
      </c>
      <c r="Q5" s="80">
        <v>595</v>
      </c>
      <c r="R5">
        <v>415</v>
      </c>
      <c r="S5">
        <v>564</v>
      </c>
      <c r="T5">
        <v>0</v>
      </c>
      <c r="U5">
        <v>207</v>
      </c>
      <c r="V5" s="80">
        <v>139</v>
      </c>
      <c r="W5" s="208">
        <v>1693</v>
      </c>
      <c r="X5">
        <v>788</v>
      </c>
      <c r="Y5" s="80">
        <v>874</v>
      </c>
    </row>
    <row r="6" spans="1:75" x14ac:dyDescent="0.25">
      <c r="A6" s="170" t="s">
        <v>45</v>
      </c>
      <c r="B6">
        <v>67</v>
      </c>
      <c r="C6">
        <v>252</v>
      </c>
      <c r="D6">
        <v>0</v>
      </c>
      <c r="E6">
        <v>17</v>
      </c>
      <c r="F6" s="80">
        <v>57</v>
      </c>
      <c r="G6" s="207">
        <v>374</v>
      </c>
      <c r="H6">
        <v>330</v>
      </c>
      <c r="I6" s="80">
        <v>516</v>
      </c>
      <c r="J6">
        <v>58</v>
      </c>
      <c r="K6">
        <v>198</v>
      </c>
      <c r="L6">
        <v>0</v>
      </c>
      <c r="M6">
        <v>16</v>
      </c>
      <c r="N6" s="80">
        <v>32</v>
      </c>
      <c r="O6" s="207">
        <v>272</v>
      </c>
      <c r="P6">
        <v>149</v>
      </c>
      <c r="Q6" s="80">
        <v>215</v>
      </c>
      <c r="R6">
        <v>63</v>
      </c>
      <c r="S6">
        <v>230</v>
      </c>
      <c r="T6">
        <v>0</v>
      </c>
      <c r="U6">
        <v>17</v>
      </c>
      <c r="V6" s="80">
        <v>42</v>
      </c>
      <c r="W6" s="208">
        <v>328</v>
      </c>
      <c r="X6">
        <v>221</v>
      </c>
      <c r="Y6" s="80">
        <v>338</v>
      </c>
    </row>
    <row r="7" spans="1:75" x14ac:dyDescent="0.25">
      <c r="A7" s="170" t="s">
        <v>46</v>
      </c>
      <c r="B7">
        <v>304</v>
      </c>
      <c r="C7">
        <v>730</v>
      </c>
      <c r="D7">
        <v>0</v>
      </c>
      <c r="E7">
        <v>331</v>
      </c>
      <c r="F7" s="80">
        <v>268</v>
      </c>
      <c r="G7" s="207">
        <v>2192</v>
      </c>
      <c r="H7">
        <v>1201</v>
      </c>
      <c r="I7" s="80">
        <v>1674</v>
      </c>
      <c r="J7">
        <v>183</v>
      </c>
      <c r="K7">
        <v>491</v>
      </c>
      <c r="L7">
        <v>0</v>
      </c>
      <c r="M7">
        <v>131</v>
      </c>
      <c r="N7" s="80">
        <v>134</v>
      </c>
      <c r="O7" s="207">
        <v>1161</v>
      </c>
      <c r="P7">
        <v>616</v>
      </c>
      <c r="Q7" s="80">
        <v>783</v>
      </c>
      <c r="R7">
        <v>231</v>
      </c>
      <c r="S7">
        <v>597</v>
      </c>
      <c r="T7">
        <v>0</v>
      </c>
      <c r="U7">
        <v>176</v>
      </c>
      <c r="V7" s="80">
        <v>170</v>
      </c>
      <c r="W7" s="208">
        <v>1575</v>
      </c>
      <c r="X7">
        <v>806</v>
      </c>
      <c r="Y7" s="80">
        <v>1076</v>
      </c>
    </row>
    <row r="8" spans="1:75" x14ac:dyDescent="0.25">
      <c r="A8" s="170" t="s">
        <v>47</v>
      </c>
      <c r="B8">
        <v>253</v>
      </c>
      <c r="C8">
        <v>700</v>
      </c>
      <c r="D8">
        <v>0</v>
      </c>
      <c r="E8">
        <v>59</v>
      </c>
      <c r="F8" s="80">
        <v>134</v>
      </c>
      <c r="G8" s="207">
        <v>1135</v>
      </c>
      <c r="H8">
        <v>1016</v>
      </c>
      <c r="I8" s="80">
        <v>1650</v>
      </c>
      <c r="J8">
        <v>117</v>
      </c>
      <c r="K8">
        <v>356</v>
      </c>
      <c r="L8">
        <v>0</v>
      </c>
      <c r="M8">
        <v>39</v>
      </c>
      <c r="N8" s="80">
        <v>47</v>
      </c>
      <c r="O8" s="207">
        <v>538</v>
      </c>
      <c r="P8">
        <v>386</v>
      </c>
      <c r="Q8" s="80">
        <v>395</v>
      </c>
      <c r="R8">
        <v>173</v>
      </c>
      <c r="S8">
        <v>485</v>
      </c>
      <c r="T8">
        <v>0</v>
      </c>
      <c r="U8">
        <v>50</v>
      </c>
      <c r="V8" s="80">
        <v>63</v>
      </c>
      <c r="W8" s="208">
        <v>788</v>
      </c>
      <c r="X8">
        <v>585</v>
      </c>
      <c r="Y8" s="80">
        <v>707</v>
      </c>
    </row>
    <row r="9" spans="1:75" x14ac:dyDescent="0.25">
      <c r="A9" s="170" t="s">
        <v>48</v>
      </c>
      <c r="B9">
        <v>690</v>
      </c>
      <c r="C9">
        <v>907</v>
      </c>
      <c r="D9">
        <v>0</v>
      </c>
      <c r="E9">
        <v>668</v>
      </c>
      <c r="F9" s="80">
        <v>204</v>
      </c>
      <c r="G9" s="207">
        <v>3738</v>
      </c>
      <c r="H9">
        <v>1344</v>
      </c>
      <c r="I9" s="80">
        <v>2879</v>
      </c>
      <c r="J9">
        <v>500</v>
      </c>
      <c r="K9">
        <v>603</v>
      </c>
      <c r="L9">
        <v>0</v>
      </c>
      <c r="M9">
        <v>323</v>
      </c>
      <c r="N9" s="80">
        <v>101</v>
      </c>
      <c r="O9" s="207">
        <v>1956</v>
      </c>
      <c r="P9">
        <v>880</v>
      </c>
      <c r="Q9" s="80">
        <v>858</v>
      </c>
      <c r="R9">
        <v>611</v>
      </c>
      <c r="S9">
        <v>766</v>
      </c>
      <c r="T9">
        <v>0</v>
      </c>
      <c r="U9">
        <v>443</v>
      </c>
      <c r="V9" s="80">
        <v>142</v>
      </c>
      <c r="W9" s="208">
        <v>2698</v>
      </c>
      <c r="X9">
        <v>1102</v>
      </c>
      <c r="Y9" s="80">
        <v>1348</v>
      </c>
    </row>
    <row r="10" spans="1:75" x14ac:dyDescent="0.25">
      <c r="A10" s="170" t="s">
        <v>49</v>
      </c>
      <c r="B10">
        <v>623</v>
      </c>
      <c r="C10">
        <v>862</v>
      </c>
      <c r="D10">
        <v>0</v>
      </c>
      <c r="E10">
        <v>270</v>
      </c>
      <c r="F10" s="80">
        <v>470</v>
      </c>
      <c r="G10" s="207">
        <v>2718</v>
      </c>
      <c r="H10">
        <v>2089</v>
      </c>
      <c r="I10" s="80">
        <v>2555</v>
      </c>
      <c r="J10">
        <v>273</v>
      </c>
      <c r="K10">
        <v>355</v>
      </c>
      <c r="L10">
        <v>0</v>
      </c>
      <c r="M10">
        <v>92</v>
      </c>
      <c r="N10" s="80">
        <v>126</v>
      </c>
      <c r="O10" s="207">
        <v>783</v>
      </c>
      <c r="P10">
        <v>754</v>
      </c>
      <c r="Q10" s="80">
        <v>490</v>
      </c>
      <c r="R10">
        <v>392</v>
      </c>
      <c r="S10">
        <v>531</v>
      </c>
      <c r="T10">
        <v>0</v>
      </c>
      <c r="U10">
        <v>137</v>
      </c>
      <c r="V10" s="80">
        <v>193</v>
      </c>
      <c r="W10" s="208">
        <v>1260</v>
      </c>
      <c r="X10">
        <v>1122</v>
      </c>
      <c r="Y10" s="80">
        <v>958</v>
      </c>
    </row>
    <row r="11" spans="1:75" x14ac:dyDescent="0.25">
      <c r="A11" s="170" t="s">
        <v>50</v>
      </c>
      <c r="B11">
        <v>856</v>
      </c>
      <c r="C11">
        <v>862</v>
      </c>
      <c r="D11">
        <v>0</v>
      </c>
      <c r="E11">
        <v>403</v>
      </c>
      <c r="F11" s="80">
        <v>263</v>
      </c>
      <c r="G11" s="207">
        <v>2382</v>
      </c>
      <c r="H11">
        <v>1413</v>
      </c>
      <c r="I11" s="80">
        <v>2781</v>
      </c>
      <c r="J11">
        <v>511</v>
      </c>
      <c r="K11">
        <v>498</v>
      </c>
      <c r="L11">
        <v>0</v>
      </c>
      <c r="M11">
        <v>194</v>
      </c>
      <c r="N11" s="80">
        <v>86</v>
      </c>
      <c r="O11" s="207">
        <v>1202</v>
      </c>
      <c r="P11">
        <v>731</v>
      </c>
      <c r="Q11" s="80">
        <v>1187</v>
      </c>
      <c r="R11">
        <v>679</v>
      </c>
      <c r="S11">
        <v>680</v>
      </c>
      <c r="T11">
        <v>0</v>
      </c>
      <c r="U11">
        <v>321</v>
      </c>
      <c r="V11" s="80">
        <v>142</v>
      </c>
      <c r="W11" s="208">
        <v>1772</v>
      </c>
      <c r="X11">
        <v>1061</v>
      </c>
      <c r="Y11" s="80">
        <v>2030</v>
      </c>
    </row>
    <row r="12" spans="1:75" x14ac:dyDescent="0.25">
      <c r="A12" s="170" t="s">
        <v>51</v>
      </c>
      <c r="B12">
        <v>876</v>
      </c>
      <c r="C12">
        <v>562</v>
      </c>
      <c r="D12">
        <v>0</v>
      </c>
      <c r="E12">
        <v>396</v>
      </c>
      <c r="F12" s="80">
        <v>324</v>
      </c>
      <c r="G12" s="207">
        <v>1728</v>
      </c>
      <c r="H12">
        <v>1399</v>
      </c>
      <c r="I12" s="80">
        <v>1150</v>
      </c>
      <c r="J12">
        <v>511</v>
      </c>
      <c r="K12">
        <v>298</v>
      </c>
      <c r="L12">
        <v>0</v>
      </c>
      <c r="M12">
        <v>211</v>
      </c>
      <c r="N12" s="80">
        <v>121</v>
      </c>
      <c r="O12" s="207">
        <v>854</v>
      </c>
      <c r="P12">
        <v>648</v>
      </c>
      <c r="Q12" s="80">
        <v>373</v>
      </c>
      <c r="R12">
        <v>671</v>
      </c>
      <c r="S12">
        <v>401</v>
      </c>
      <c r="T12">
        <v>0</v>
      </c>
      <c r="U12">
        <v>302</v>
      </c>
      <c r="V12" s="80">
        <v>180</v>
      </c>
      <c r="W12" s="208">
        <v>1252</v>
      </c>
      <c r="X12">
        <v>958</v>
      </c>
      <c r="Y12" s="80">
        <v>669</v>
      </c>
    </row>
    <row r="13" spans="1:75" x14ac:dyDescent="0.25">
      <c r="A13" s="170" t="s">
        <v>52</v>
      </c>
      <c r="B13">
        <v>1594</v>
      </c>
      <c r="C13">
        <v>2620</v>
      </c>
      <c r="D13">
        <v>0</v>
      </c>
      <c r="E13">
        <v>851</v>
      </c>
      <c r="F13" s="80">
        <v>1146</v>
      </c>
      <c r="G13" s="207">
        <v>5575</v>
      </c>
      <c r="H13">
        <v>4938</v>
      </c>
      <c r="I13" s="80">
        <v>4003</v>
      </c>
      <c r="J13">
        <v>815</v>
      </c>
      <c r="K13">
        <v>1003</v>
      </c>
      <c r="L13">
        <v>0</v>
      </c>
      <c r="M13">
        <v>324</v>
      </c>
      <c r="N13" s="80">
        <v>437</v>
      </c>
      <c r="O13" s="207">
        <v>2008</v>
      </c>
      <c r="P13">
        <v>1972</v>
      </c>
      <c r="Q13" s="80">
        <v>736</v>
      </c>
      <c r="R13">
        <v>1097</v>
      </c>
      <c r="S13">
        <v>1562</v>
      </c>
      <c r="T13">
        <v>0</v>
      </c>
      <c r="U13">
        <v>551</v>
      </c>
      <c r="V13" s="80">
        <v>587</v>
      </c>
      <c r="W13" s="208">
        <v>3317</v>
      </c>
      <c r="X13">
        <v>2813</v>
      </c>
      <c r="Y13" s="80">
        <v>1735</v>
      </c>
    </row>
    <row r="14" spans="1:75" x14ac:dyDescent="0.25">
      <c r="A14" s="170" t="s">
        <v>53</v>
      </c>
      <c r="B14">
        <v>0</v>
      </c>
      <c r="C14">
        <v>432</v>
      </c>
      <c r="D14">
        <v>0</v>
      </c>
      <c r="E14">
        <v>48</v>
      </c>
      <c r="F14" s="80">
        <v>25</v>
      </c>
      <c r="G14" s="207">
        <v>555</v>
      </c>
      <c r="H14">
        <v>489</v>
      </c>
      <c r="I14" s="80">
        <v>777</v>
      </c>
      <c r="J14">
        <v>0</v>
      </c>
      <c r="K14">
        <v>323</v>
      </c>
      <c r="L14">
        <v>0</v>
      </c>
      <c r="M14">
        <v>36</v>
      </c>
      <c r="N14" s="80">
        <v>11</v>
      </c>
      <c r="O14" s="207">
        <v>313</v>
      </c>
      <c r="P14">
        <v>227</v>
      </c>
      <c r="Q14" s="80">
        <v>219</v>
      </c>
      <c r="R14">
        <v>0</v>
      </c>
      <c r="S14">
        <v>408</v>
      </c>
      <c r="T14">
        <v>0</v>
      </c>
      <c r="U14">
        <v>42</v>
      </c>
      <c r="V14" s="80">
        <v>19</v>
      </c>
      <c r="W14" s="208">
        <v>420</v>
      </c>
      <c r="X14">
        <v>299</v>
      </c>
      <c r="Y14" s="80">
        <v>367</v>
      </c>
    </row>
    <row r="15" spans="1:75" x14ac:dyDescent="0.25">
      <c r="A15" s="170" t="s">
        <v>54</v>
      </c>
      <c r="B15">
        <v>1422</v>
      </c>
      <c r="C15">
        <v>1497</v>
      </c>
      <c r="D15">
        <v>0</v>
      </c>
      <c r="E15">
        <v>596</v>
      </c>
      <c r="F15" s="80">
        <v>902</v>
      </c>
      <c r="G15" s="207">
        <v>4406</v>
      </c>
      <c r="H15">
        <v>3636</v>
      </c>
      <c r="I15" s="80">
        <v>2501</v>
      </c>
      <c r="J15">
        <v>559</v>
      </c>
      <c r="K15">
        <v>672</v>
      </c>
      <c r="L15">
        <v>0</v>
      </c>
      <c r="M15">
        <v>189</v>
      </c>
      <c r="N15" s="80">
        <v>206</v>
      </c>
      <c r="O15" s="207">
        <v>1630</v>
      </c>
      <c r="P15">
        <v>1164</v>
      </c>
      <c r="Q15" s="80">
        <v>505</v>
      </c>
      <c r="R15">
        <v>800</v>
      </c>
      <c r="S15">
        <v>971</v>
      </c>
      <c r="T15">
        <v>0</v>
      </c>
      <c r="U15">
        <v>264</v>
      </c>
      <c r="V15" s="80">
        <v>338</v>
      </c>
      <c r="W15" s="208">
        <v>2437</v>
      </c>
      <c r="X15">
        <v>1825</v>
      </c>
      <c r="Y15" s="80">
        <v>986</v>
      </c>
    </row>
    <row r="16" spans="1:75" x14ac:dyDescent="0.25">
      <c r="A16" s="170" t="s">
        <v>55</v>
      </c>
      <c r="B16">
        <v>60</v>
      </c>
      <c r="C16">
        <v>130</v>
      </c>
      <c r="D16">
        <v>0</v>
      </c>
      <c r="E16">
        <v>14</v>
      </c>
      <c r="F16" s="80">
        <v>32</v>
      </c>
      <c r="G16" s="207">
        <v>232</v>
      </c>
      <c r="H16">
        <v>92</v>
      </c>
      <c r="I16" s="80">
        <v>187</v>
      </c>
      <c r="J16">
        <v>45</v>
      </c>
      <c r="K16">
        <v>98</v>
      </c>
      <c r="L16">
        <v>0</v>
      </c>
      <c r="M16">
        <v>13</v>
      </c>
      <c r="N16" s="80">
        <v>13</v>
      </c>
      <c r="O16" s="207">
        <v>168</v>
      </c>
      <c r="P16">
        <v>56</v>
      </c>
      <c r="Q16" s="80">
        <v>81</v>
      </c>
      <c r="R16">
        <v>55</v>
      </c>
      <c r="S16">
        <v>115</v>
      </c>
      <c r="T16">
        <v>0</v>
      </c>
      <c r="U16">
        <v>13</v>
      </c>
      <c r="V16" s="80">
        <v>19</v>
      </c>
      <c r="W16" s="208">
        <v>211</v>
      </c>
      <c r="X16">
        <v>74</v>
      </c>
      <c r="Y16" s="80">
        <v>128</v>
      </c>
    </row>
    <row r="17" spans="1:25" x14ac:dyDescent="0.25">
      <c r="A17" s="170" t="s">
        <v>56</v>
      </c>
      <c r="B17">
        <v>524</v>
      </c>
      <c r="C17">
        <v>355</v>
      </c>
      <c r="D17">
        <v>0</v>
      </c>
      <c r="E17">
        <v>146</v>
      </c>
      <c r="F17" s="80">
        <v>111</v>
      </c>
      <c r="G17" s="207">
        <v>1688</v>
      </c>
      <c r="H17">
        <v>686</v>
      </c>
      <c r="I17" s="80">
        <v>1363</v>
      </c>
      <c r="J17">
        <v>371</v>
      </c>
      <c r="K17">
        <v>239</v>
      </c>
      <c r="L17">
        <v>0</v>
      </c>
      <c r="M17">
        <v>107</v>
      </c>
      <c r="N17" s="80">
        <v>58</v>
      </c>
      <c r="O17" s="207">
        <v>1074</v>
      </c>
      <c r="P17">
        <v>430</v>
      </c>
      <c r="Q17" s="80">
        <v>664</v>
      </c>
      <c r="R17">
        <v>461</v>
      </c>
      <c r="S17">
        <v>303</v>
      </c>
      <c r="T17">
        <v>0</v>
      </c>
      <c r="U17">
        <v>129</v>
      </c>
      <c r="V17" s="80">
        <v>84</v>
      </c>
      <c r="W17" s="208">
        <v>1405</v>
      </c>
      <c r="X17">
        <v>542</v>
      </c>
      <c r="Y17" s="80">
        <v>953</v>
      </c>
    </row>
    <row r="18" spans="1:25" x14ac:dyDescent="0.25">
      <c r="A18" s="170" t="s">
        <v>57</v>
      </c>
      <c r="B18">
        <v>974</v>
      </c>
      <c r="C18">
        <v>1085</v>
      </c>
      <c r="D18">
        <v>0</v>
      </c>
      <c r="E18">
        <v>350</v>
      </c>
      <c r="F18" s="80">
        <v>584</v>
      </c>
      <c r="G18" s="207">
        <v>2690</v>
      </c>
      <c r="H18">
        <v>2145</v>
      </c>
      <c r="I18" s="80">
        <v>2228</v>
      </c>
      <c r="J18">
        <v>539</v>
      </c>
      <c r="K18">
        <v>578</v>
      </c>
      <c r="L18">
        <v>0</v>
      </c>
      <c r="M18">
        <v>143</v>
      </c>
      <c r="N18" s="80">
        <v>227</v>
      </c>
      <c r="O18" s="207">
        <v>1203</v>
      </c>
      <c r="P18">
        <v>1013</v>
      </c>
      <c r="Q18" s="80">
        <v>640</v>
      </c>
      <c r="R18">
        <v>708</v>
      </c>
      <c r="S18">
        <v>745</v>
      </c>
      <c r="T18">
        <v>0</v>
      </c>
      <c r="U18">
        <v>204</v>
      </c>
      <c r="V18" s="80">
        <v>298</v>
      </c>
      <c r="W18" s="208">
        <v>1701</v>
      </c>
      <c r="X18">
        <v>1364</v>
      </c>
      <c r="Y18" s="80">
        <v>1172</v>
      </c>
    </row>
    <row r="19" spans="1:25" x14ac:dyDescent="0.25">
      <c r="A19" s="170" t="s">
        <v>58</v>
      </c>
      <c r="B19">
        <v>56</v>
      </c>
      <c r="C19">
        <v>158</v>
      </c>
      <c r="D19">
        <v>3</v>
      </c>
      <c r="E19">
        <v>9</v>
      </c>
      <c r="F19" s="80">
        <v>47</v>
      </c>
      <c r="G19" s="207">
        <v>590</v>
      </c>
      <c r="H19">
        <v>162</v>
      </c>
      <c r="I19" s="80">
        <v>235</v>
      </c>
      <c r="J19">
        <v>17</v>
      </c>
      <c r="K19">
        <v>63</v>
      </c>
      <c r="L19">
        <v>3</v>
      </c>
      <c r="M19">
        <v>6</v>
      </c>
      <c r="N19" s="80">
        <v>20</v>
      </c>
      <c r="O19" s="207">
        <v>124</v>
      </c>
      <c r="P19">
        <v>44</v>
      </c>
      <c r="Q19" s="80">
        <v>32</v>
      </c>
      <c r="R19">
        <v>44</v>
      </c>
      <c r="S19">
        <v>106</v>
      </c>
      <c r="T19">
        <v>2</v>
      </c>
      <c r="U19">
        <v>8</v>
      </c>
      <c r="V19" s="80">
        <v>16</v>
      </c>
      <c r="W19" s="208">
        <v>239</v>
      </c>
      <c r="X19">
        <v>67</v>
      </c>
      <c r="Y19" s="80">
        <v>68</v>
      </c>
    </row>
    <row r="20" spans="1:25" ht="17.25" x14ac:dyDescent="0.25">
      <c r="A20" s="170" t="s">
        <v>59</v>
      </c>
      <c r="B20">
        <v>1187</v>
      </c>
      <c r="C20">
        <v>1370</v>
      </c>
      <c r="D20">
        <v>23</v>
      </c>
      <c r="E20">
        <v>509</v>
      </c>
      <c r="F20" s="80">
        <v>1165</v>
      </c>
      <c r="G20" s="207">
        <v>5263</v>
      </c>
      <c r="H20">
        <v>4709</v>
      </c>
      <c r="I20" s="80">
        <v>5492</v>
      </c>
      <c r="J20">
        <v>441</v>
      </c>
      <c r="K20">
        <v>512</v>
      </c>
      <c r="L20">
        <v>8</v>
      </c>
      <c r="M20">
        <v>56</v>
      </c>
      <c r="N20" s="80">
        <v>239</v>
      </c>
      <c r="O20" s="207">
        <v>1070</v>
      </c>
      <c r="P20">
        <v>1269</v>
      </c>
      <c r="Q20" s="80">
        <v>440</v>
      </c>
      <c r="R20">
        <v>670</v>
      </c>
      <c r="S20">
        <v>832</v>
      </c>
      <c r="T20">
        <v>18</v>
      </c>
      <c r="U20">
        <v>111</v>
      </c>
      <c r="V20" s="80">
        <v>349</v>
      </c>
      <c r="W20" s="208">
        <v>1989</v>
      </c>
      <c r="X20">
        <v>2082</v>
      </c>
      <c r="Y20" s="80">
        <v>1270</v>
      </c>
    </row>
    <row r="21" spans="1:25" x14ac:dyDescent="0.25">
      <c r="A21" s="170" t="s">
        <v>60</v>
      </c>
      <c r="B21">
        <v>226</v>
      </c>
      <c r="C21">
        <v>315</v>
      </c>
      <c r="D21">
        <v>0</v>
      </c>
      <c r="E21">
        <v>163</v>
      </c>
      <c r="F21" s="80">
        <v>92</v>
      </c>
      <c r="G21" s="207">
        <v>729</v>
      </c>
      <c r="H21">
        <v>439</v>
      </c>
      <c r="I21" s="80">
        <v>1163</v>
      </c>
      <c r="J21">
        <v>110</v>
      </c>
      <c r="K21">
        <v>170</v>
      </c>
      <c r="L21">
        <v>0</v>
      </c>
      <c r="M21">
        <v>66</v>
      </c>
      <c r="N21" s="80">
        <v>33</v>
      </c>
      <c r="O21" s="207">
        <v>269</v>
      </c>
      <c r="P21">
        <v>166</v>
      </c>
      <c r="Q21" s="80">
        <v>175</v>
      </c>
      <c r="R21">
        <v>152</v>
      </c>
      <c r="S21">
        <v>216</v>
      </c>
      <c r="T21">
        <v>0</v>
      </c>
      <c r="U21">
        <v>92</v>
      </c>
      <c r="V21" s="80">
        <v>47</v>
      </c>
      <c r="W21" s="208">
        <v>376</v>
      </c>
      <c r="X21">
        <v>241</v>
      </c>
      <c r="Y21" s="80">
        <v>305</v>
      </c>
    </row>
    <row r="22" spans="1:25" x14ac:dyDescent="0.25">
      <c r="A22" s="170" t="s">
        <v>61</v>
      </c>
      <c r="B22">
        <v>498</v>
      </c>
      <c r="C22">
        <v>327</v>
      </c>
      <c r="D22">
        <v>0</v>
      </c>
      <c r="E22">
        <v>139</v>
      </c>
      <c r="F22" s="80">
        <v>257</v>
      </c>
      <c r="G22" s="207">
        <v>2231</v>
      </c>
      <c r="H22">
        <v>1561</v>
      </c>
      <c r="I22" s="80">
        <v>1561</v>
      </c>
      <c r="J22">
        <v>325</v>
      </c>
      <c r="K22">
        <v>177</v>
      </c>
      <c r="L22">
        <v>0</v>
      </c>
      <c r="M22">
        <v>76</v>
      </c>
      <c r="N22" s="80">
        <v>126</v>
      </c>
      <c r="O22" s="207">
        <v>1191</v>
      </c>
      <c r="P22">
        <v>836</v>
      </c>
      <c r="Q22" s="80">
        <v>476</v>
      </c>
      <c r="R22">
        <v>402</v>
      </c>
      <c r="S22">
        <v>247</v>
      </c>
      <c r="T22">
        <v>0</v>
      </c>
      <c r="U22">
        <v>102</v>
      </c>
      <c r="V22" s="80">
        <v>168</v>
      </c>
      <c r="W22" s="208">
        <v>1651</v>
      </c>
      <c r="X22">
        <v>1163</v>
      </c>
      <c r="Y22" s="80">
        <v>831</v>
      </c>
    </row>
    <row r="23" spans="1:25" x14ac:dyDescent="0.25">
      <c r="A23" s="170" t="s">
        <v>62</v>
      </c>
      <c r="B23">
        <v>890</v>
      </c>
      <c r="C23">
        <v>1238</v>
      </c>
      <c r="D23">
        <v>0</v>
      </c>
      <c r="E23">
        <v>127</v>
      </c>
      <c r="F23" s="80">
        <v>590</v>
      </c>
      <c r="G23" s="207">
        <v>2385</v>
      </c>
      <c r="H23">
        <v>2148</v>
      </c>
      <c r="I23" s="80">
        <v>1953</v>
      </c>
      <c r="J23">
        <v>433</v>
      </c>
      <c r="K23">
        <v>630</v>
      </c>
      <c r="L23">
        <v>0</v>
      </c>
      <c r="M23">
        <v>60</v>
      </c>
      <c r="N23" s="80">
        <v>253</v>
      </c>
      <c r="O23" s="207">
        <v>1135</v>
      </c>
      <c r="P23">
        <v>845</v>
      </c>
      <c r="Q23" s="80">
        <v>510</v>
      </c>
      <c r="R23">
        <v>637</v>
      </c>
      <c r="S23">
        <v>918</v>
      </c>
      <c r="T23">
        <v>0</v>
      </c>
      <c r="U23">
        <v>91</v>
      </c>
      <c r="V23" s="80">
        <v>352</v>
      </c>
      <c r="W23" s="208">
        <v>1708</v>
      </c>
      <c r="X23">
        <v>1402</v>
      </c>
      <c r="Y23" s="80">
        <v>1091</v>
      </c>
    </row>
    <row r="24" spans="1:25" x14ac:dyDescent="0.25">
      <c r="A24" s="170" t="s">
        <v>63</v>
      </c>
      <c r="B24">
        <v>483</v>
      </c>
      <c r="C24">
        <v>373</v>
      </c>
      <c r="D24">
        <v>0</v>
      </c>
      <c r="E24">
        <v>69</v>
      </c>
      <c r="F24" s="80">
        <v>184</v>
      </c>
      <c r="G24" s="207">
        <v>839</v>
      </c>
      <c r="H24">
        <v>808</v>
      </c>
      <c r="I24" s="80">
        <v>2397</v>
      </c>
      <c r="J24">
        <v>321</v>
      </c>
      <c r="K24">
        <v>227</v>
      </c>
      <c r="L24">
        <v>0</v>
      </c>
      <c r="M24">
        <v>36</v>
      </c>
      <c r="N24" s="80">
        <v>86</v>
      </c>
      <c r="O24" s="207">
        <v>465</v>
      </c>
      <c r="P24">
        <v>440</v>
      </c>
      <c r="Q24" s="80">
        <v>438</v>
      </c>
      <c r="R24">
        <v>436</v>
      </c>
      <c r="S24">
        <v>327</v>
      </c>
      <c r="T24">
        <v>0</v>
      </c>
      <c r="U24">
        <v>61</v>
      </c>
      <c r="V24" s="80">
        <v>145</v>
      </c>
      <c r="W24" s="208">
        <v>691</v>
      </c>
      <c r="X24">
        <v>630</v>
      </c>
      <c r="Y24" s="80">
        <v>766</v>
      </c>
    </row>
    <row r="25" spans="1:25" x14ac:dyDescent="0.25">
      <c r="A25" s="170" t="s">
        <v>64</v>
      </c>
      <c r="B25">
        <v>413</v>
      </c>
      <c r="C25">
        <v>511</v>
      </c>
      <c r="D25">
        <v>0</v>
      </c>
      <c r="E25">
        <v>135</v>
      </c>
      <c r="F25" s="80">
        <v>108</v>
      </c>
      <c r="G25" s="207">
        <v>1379</v>
      </c>
      <c r="H25">
        <v>603</v>
      </c>
      <c r="I25" s="80">
        <v>890</v>
      </c>
      <c r="J25">
        <v>280</v>
      </c>
      <c r="K25">
        <v>416</v>
      </c>
      <c r="L25">
        <v>0</v>
      </c>
      <c r="M25">
        <v>108</v>
      </c>
      <c r="N25" s="80">
        <v>70</v>
      </c>
      <c r="O25" s="207">
        <v>1088</v>
      </c>
      <c r="P25">
        <v>402</v>
      </c>
      <c r="Q25" s="80">
        <v>534</v>
      </c>
      <c r="R25">
        <v>352</v>
      </c>
      <c r="S25">
        <v>473</v>
      </c>
      <c r="T25">
        <v>0</v>
      </c>
      <c r="U25">
        <v>118</v>
      </c>
      <c r="V25" s="80">
        <v>90</v>
      </c>
      <c r="W25" s="208">
        <v>1250</v>
      </c>
      <c r="X25">
        <v>518</v>
      </c>
      <c r="Y25" s="80">
        <v>674</v>
      </c>
    </row>
    <row r="26" spans="1:25" x14ac:dyDescent="0.25">
      <c r="A26" s="170" t="s">
        <v>65</v>
      </c>
      <c r="B26">
        <v>983</v>
      </c>
      <c r="C26">
        <v>952</v>
      </c>
      <c r="D26">
        <v>5</v>
      </c>
      <c r="E26">
        <v>461</v>
      </c>
      <c r="F26" s="80">
        <v>382</v>
      </c>
      <c r="G26" s="207">
        <v>4789</v>
      </c>
      <c r="H26">
        <v>1909</v>
      </c>
      <c r="I26" s="80">
        <v>4719</v>
      </c>
      <c r="J26">
        <v>663</v>
      </c>
      <c r="K26">
        <v>662</v>
      </c>
      <c r="L26">
        <v>4</v>
      </c>
      <c r="M26">
        <v>299</v>
      </c>
      <c r="N26" s="80">
        <v>191</v>
      </c>
      <c r="O26" s="207">
        <v>2504</v>
      </c>
      <c r="P26">
        <v>996</v>
      </c>
      <c r="Q26" s="80">
        <v>2108</v>
      </c>
      <c r="R26">
        <v>794</v>
      </c>
      <c r="S26">
        <v>800</v>
      </c>
      <c r="T26">
        <v>4</v>
      </c>
      <c r="U26">
        <v>371</v>
      </c>
      <c r="V26" s="80">
        <v>269</v>
      </c>
      <c r="W26" s="208">
        <v>3283</v>
      </c>
      <c r="X26">
        <v>1321</v>
      </c>
      <c r="Y26" s="80">
        <v>2941</v>
      </c>
    </row>
    <row r="27" spans="1:25" x14ac:dyDescent="0.25">
      <c r="A27" s="170" t="s">
        <v>25</v>
      </c>
      <c r="B27">
        <v>58</v>
      </c>
      <c r="C27">
        <v>80</v>
      </c>
      <c r="D27">
        <v>0</v>
      </c>
      <c r="E27">
        <v>11</v>
      </c>
      <c r="F27" s="80">
        <v>20</v>
      </c>
      <c r="G27" s="207">
        <v>245</v>
      </c>
      <c r="H27">
        <v>186</v>
      </c>
      <c r="I27" s="80">
        <v>696</v>
      </c>
      <c r="J27">
        <v>28</v>
      </c>
      <c r="K27">
        <v>46</v>
      </c>
      <c r="L27">
        <v>0</v>
      </c>
      <c r="M27">
        <v>4</v>
      </c>
      <c r="N27" s="80">
        <v>8</v>
      </c>
      <c r="O27" s="207">
        <v>70</v>
      </c>
      <c r="P27">
        <v>62</v>
      </c>
      <c r="Q27" s="80">
        <v>63</v>
      </c>
      <c r="R27">
        <v>46</v>
      </c>
      <c r="S27">
        <v>66</v>
      </c>
      <c r="T27">
        <v>0</v>
      </c>
      <c r="U27">
        <v>7</v>
      </c>
      <c r="V27" s="80">
        <v>13</v>
      </c>
      <c r="W27" s="208">
        <v>132</v>
      </c>
      <c r="X27">
        <v>96</v>
      </c>
      <c r="Y27" s="80">
        <v>174</v>
      </c>
    </row>
    <row r="28" spans="1:25" x14ac:dyDescent="0.25">
      <c r="A28" s="170" t="s">
        <v>26</v>
      </c>
      <c r="B28">
        <v>35</v>
      </c>
      <c r="C28">
        <v>103</v>
      </c>
      <c r="D28">
        <v>0</v>
      </c>
      <c r="E28">
        <v>6</v>
      </c>
      <c r="F28" s="80">
        <v>29</v>
      </c>
      <c r="G28" s="207">
        <v>295</v>
      </c>
      <c r="H28">
        <v>81</v>
      </c>
      <c r="I28" s="80">
        <v>325</v>
      </c>
      <c r="J28">
        <v>14</v>
      </c>
      <c r="K28">
        <v>36</v>
      </c>
      <c r="L28">
        <v>0</v>
      </c>
      <c r="M28">
        <v>4</v>
      </c>
      <c r="N28" s="80">
        <v>8</v>
      </c>
      <c r="O28" s="207">
        <v>113</v>
      </c>
      <c r="P28">
        <v>25</v>
      </c>
      <c r="Q28" s="80">
        <v>56</v>
      </c>
      <c r="R28">
        <v>17</v>
      </c>
      <c r="S28">
        <v>78</v>
      </c>
      <c r="T28">
        <v>0</v>
      </c>
      <c r="U28">
        <v>5</v>
      </c>
      <c r="V28" s="80">
        <v>11</v>
      </c>
      <c r="W28" s="208">
        <v>228</v>
      </c>
      <c r="X28">
        <v>32</v>
      </c>
      <c r="Y28" s="80">
        <v>143</v>
      </c>
    </row>
    <row r="29" spans="1:25" x14ac:dyDescent="0.25">
      <c r="A29" s="170" t="s">
        <v>66</v>
      </c>
      <c r="B29">
        <v>747</v>
      </c>
      <c r="C29">
        <v>467</v>
      </c>
      <c r="D29">
        <v>0</v>
      </c>
      <c r="E29">
        <v>173</v>
      </c>
      <c r="F29" s="80">
        <v>333</v>
      </c>
      <c r="G29" s="207">
        <v>2747</v>
      </c>
      <c r="H29">
        <v>1867</v>
      </c>
      <c r="I29" s="80">
        <v>2466</v>
      </c>
      <c r="J29">
        <v>483</v>
      </c>
      <c r="K29">
        <v>313</v>
      </c>
      <c r="L29">
        <v>0</v>
      </c>
      <c r="M29">
        <v>119</v>
      </c>
      <c r="N29" s="80">
        <v>160</v>
      </c>
      <c r="O29" s="207">
        <v>1644</v>
      </c>
      <c r="P29">
        <v>1066</v>
      </c>
      <c r="Q29" s="80">
        <v>980</v>
      </c>
      <c r="R29">
        <v>607</v>
      </c>
      <c r="S29">
        <v>388</v>
      </c>
      <c r="T29">
        <v>0</v>
      </c>
      <c r="U29">
        <v>148</v>
      </c>
      <c r="V29" s="80">
        <v>218</v>
      </c>
      <c r="W29" s="208">
        <v>2140</v>
      </c>
      <c r="X29">
        <v>1403</v>
      </c>
      <c r="Y29" s="80">
        <v>1530</v>
      </c>
    </row>
    <row r="30" spans="1:25" x14ac:dyDescent="0.25">
      <c r="A30" s="170" t="s">
        <v>67</v>
      </c>
      <c r="B30">
        <v>3057</v>
      </c>
      <c r="C30">
        <v>4509</v>
      </c>
      <c r="D30">
        <v>28</v>
      </c>
      <c r="E30">
        <v>1973</v>
      </c>
      <c r="F30" s="80">
        <v>914</v>
      </c>
      <c r="G30" s="207">
        <v>17253</v>
      </c>
      <c r="H30">
        <v>9502</v>
      </c>
      <c r="I30" s="80">
        <v>15309</v>
      </c>
      <c r="J30">
        <v>2089</v>
      </c>
      <c r="K30">
        <v>2948</v>
      </c>
      <c r="L30">
        <v>11</v>
      </c>
      <c r="M30">
        <v>1134</v>
      </c>
      <c r="N30" s="80">
        <v>405</v>
      </c>
      <c r="O30" s="207">
        <v>8865</v>
      </c>
      <c r="P30">
        <v>5276</v>
      </c>
      <c r="Q30" s="80">
        <v>5193</v>
      </c>
      <c r="R30">
        <v>2649</v>
      </c>
      <c r="S30">
        <v>3779</v>
      </c>
      <c r="T30">
        <v>22</v>
      </c>
      <c r="U30">
        <v>1565</v>
      </c>
      <c r="V30" s="80">
        <v>597</v>
      </c>
      <c r="W30" s="208">
        <v>12706</v>
      </c>
      <c r="X30">
        <v>7222</v>
      </c>
      <c r="Y30" s="80">
        <v>9311</v>
      </c>
    </row>
    <row r="31" spans="1:25" x14ac:dyDescent="0.25">
      <c r="A31" s="170" t="s">
        <v>68</v>
      </c>
      <c r="B31">
        <v>1695</v>
      </c>
      <c r="C31">
        <v>2675</v>
      </c>
      <c r="D31">
        <v>0</v>
      </c>
      <c r="E31">
        <v>805</v>
      </c>
      <c r="F31" s="80">
        <v>653</v>
      </c>
      <c r="G31" s="207">
        <v>8430</v>
      </c>
      <c r="H31">
        <v>5586</v>
      </c>
      <c r="I31" s="80">
        <v>12003</v>
      </c>
      <c r="J31">
        <v>951</v>
      </c>
      <c r="K31">
        <v>1486</v>
      </c>
      <c r="L31">
        <v>0</v>
      </c>
      <c r="M31">
        <v>394</v>
      </c>
      <c r="N31" s="80">
        <v>245</v>
      </c>
      <c r="O31" s="207">
        <v>3853</v>
      </c>
      <c r="P31">
        <v>2393</v>
      </c>
      <c r="Q31" s="80">
        <v>3490</v>
      </c>
      <c r="R31">
        <v>1338</v>
      </c>
      <c r="S31">
        <v>2095</v>
      </c>
      <c r="T31">
        <v>0</v>
      </c>
      <c r="U31">
        <v>571</v>
      </c>
      <c r="V31" s="80">
        <v>339</v>
      </c>
      <c r="W31" s="208">
        <v>5874</v>
      </c>
      <c r="X31">
        <v>3814</v>
      </c>
      <c r="Y31" s="80">
        <v>6654</v>
      </c>
    </row>
    <row r="32" spans="1:25" x14ac:dyDescent="0.25">
      <c r="A32" s="170" t="s">
        <v>27</v>
      </c>
      <c r="B32">
        <v>112</v>
      </c>
      <c r="C32">
        <v>151</v>
      </c>
      <c r="D32">
        <v>0</v>
      </c>
      <c r="E32">
        <v>51</v>
      </c>
      <c r="F32" s="80">
        <v>53</v>
      </c>
      <c r="G32" s="207">
        <v>434</v>
      </c>
      <c r="H32">
        <v>438</v>
      </c>
      <c r="I32" s="80">
        <v>334</v>
      </c>
      <c r="J32">
        <v>42</v>
      </c>
      <c r="K32">
        <v>76</v>
      </c>
      <c r="L32">
        <v>0</v>
      </c>
      <c r="M32">
        <v>18</v>
      </c>
      <c r="N32" s="80">
        <v>14</v>
      </c>
      <c r="O32" s="207">
        <v>158</v>
      </c>
      <c r="P32">
        <v>122</v>
      </c>
      <c r="Q32" s="80">
        <v>48</v>
      </c>
      <c r="R32">
        <v>68</v>
      </c>
      <c r="S32">
        <v>108</v>
      </c>
      <c r="T32">
        <v>0</v>
      </c>
      <c r="U32">
        <v>29</v>
      </c>
      <c r="V32" s="80">
        <v>21</v>
      </c>
      <c r="W32" s="208">
        <v>250</v>
      </c>
      <c r="X32">
        <v>196</v>
      </c>
      <c r="Y32" s="80">
        <v>83</v>
      </c>
    </row>
    <row r="33" spans="1:25" x14ac:dyDescent="0.25">
      <c r="A33" s="170" t="s">
        <v>69</v>
      </c>
      <c r="B33">
        <v>96</v>
      </c>
      <c r="C33">
        <v>196</v>
      </c>
      <c r="D33">
        <v>0</v>
      </c>
      <c r="E33">
        <v>46</v>
      </c>
      <c r="F33" s="80">
        <v>32</v>
      </c>
      <c r="G33" s="207">
        <v>517</v>
      </c>
      <c r="H33">
        <v>262</v>
      </c>
      <c r="I33" s="80">
        <v>701</v>
      </c>
      <c r="J33">
        <v>65</v>
      </c>
      <c r="K33">
        <v>124</v>
      </c>
      <c r="L33">
        <v>0</v>
      </c>
      <c r="M33">
        <v>29</v>
      </c>
      <c r="N33" s="80">
        <v>16</v>
      </c>
      <c r="O33" s="207">
        <v>295</v>
      </c>
      <c r="P33">
        <v>101</v>
      </c>
      <c r="Q33" s="80">
        <v>248</v>
      </c>
      <c r="R33">
        <v>77</v>
      </c>
      <c r="S33">
        <v>163</v>
      </c>
      <c r="T33">
        <v>0</v>
      </c>
      <c r="U33">
        <v>37</v>
      </c>
      <c r="V33" s="80">
        <v>22</v>
      </c>
      <c r="W33" s="208">
        <v>397</v>
      </c>
      <c r="X33">
        <v>150</v>
      </c>
      <c r="Y33" s="80">
        <v>416</v>
      </c>
    </row>
    <row r="34" spans="1:25" x14ac:dyDescent="0.25">
      <c r="A34" s="170" t="s">
        <v>70</v>
      </c>
      <c r="B34">
        <v>506</v>
      </c>
      <c r="C34">
        <v>405</v>
      </c>
      <c r="D34">
        <v>0</v>
      </c>
      <c r="E34">
        <v>125</v>
      </c>
      <c r="F34" s="80">
        <v>206</v>
      </c>
      <c r="G34" s="207">
        <v>1443</v>
      </c>
      <c r="H34">
        <v>918</v>
      </c>
      <c r="I34" s="80">
        <v>1947</v>
      </c>
      <c r="J34">
        <v>347</v>
      </c>
      <c r="K34">
        <v>272</v>
      </c>
      <c r="L34">
        <v>0</v>
      </c>
      <c r="M34">
        <v>80</v>
      </c>
      <c r="N34" s="80">
        <v>98</v>
      </c>
      <c r="O34" s="207">
        <v>984</v>
      </c>
      <c r="P34">
        <v>566</v>
      </c>
      <c r="Q34" s="80">
        <v>964</v>
      </c>
      <c r="R34">
        <v>430</v>
      </c>
      <c r="S34">
        <v>338</v>
      </c>
      <c r="T34">
        <v>0</v>
      </c>
      <c r="U34">
        <v>117</v>
      </c>
      <c r="V34" s="80">
        <v>138</v>
      </c>
      <c r="W34" s="208">
        <v>1244</v>
      </c>
      <c r="X34">
        <v>729</v>
      </c>
      <c r="Y34" s="80">
        <v>1295</v>
      </c>
    </row>
    <row r="35" spans="1:25" x14ac:dyDescent="0.25">
      <c r="A35" s="170" t="s">
        <v>28</v>
      </c>
      <c r="B35">
        <v>326</v>
      </c>
      <c r="C35">
        <v>1014</v>
      </c>
      <c r="D35">
        <v>0</v>
      </c>
      <c r="E35">
        <v>233</v>
      </c>
      <c r="F35" s="80">
        <v>334</v>
      </c>
      <c r="G35" s="207">
        <v>1863</v>
      </c>
      <c r="H35">
        <v>1732</v>
      </c>
      <c r="I35" s="80">
        <v>1564</v>
      </c>
      <c r="J35">
        <v>153</v>
      </c>
      <c r="K35">
        <v>479</v>
      </c>
      <c r="L35">
        <v>0</v>
      </c>
      <c r="M35">
        <v>103</v>
      </c>
      <c r="N35" s="80">
        <v>93</v>
      </c>
      <c r="O35" s="207">
        <v>821</v>
      </c>
      <c r="P35">
        <v>594</v>
      </c>
      <c r="Q35" s="80">
        <v>298</v>
      </c>
      <c r="R35">
        <v>199</v>
      </c>
      <c r="S35">
        <v>661</v>
      </c>
      <c r="T35">
        <v>0</v>
      </c>
      <c r="U35">
        <v>151</v>
      </c>
      <c r="V35" s="80">
        <v>154</v>
      </c>
      <c r="W35" s="208">
        <v>1193</v>
      </c>
      <c r="X35">
        <v>903</v>
      </c>
      <c r="Y35" s="80">
        <v>611</v>
      </c>
    </row>
    <row r="36" spans="1:25" x14ac:dyDescent="0.25">
      <c r="A36" s="170" t="s">
        <v>71</v>
      </c>
      <c r="B36">
        <v>294</v>
      </c>
      <c r="C36">
        <v>270</v>
      </c>
      <c r="D36">
        <v>0</v>
      </c>
      <c r="E36">
        <v>77</v>
      </c>
      <c r="F36" s="80">
        <v>96</v>
      </c>
      <c r="G36" s="207">
        <v>880</v>
      </c>
      <c r="H36">
        <v>710</v>
      </c>
      <c r="I36" s="80">
        <v>2266</v>
      </c>
      <c r="J36">
        <v>132</v>
      </c>
      <c r="K36">
        <v>122</v>
      </c>
      <c r="L36">
        <v>0</v>
      </c>
      <c r="M36">
        <v>20</v>
      </c>
      <c r="N36" s="80">
        <v>39</v>
      </c>
      <c r="O36" s="207">
        <v>252</v>
      </c>
      <c r="P36">
        <v>227</v>
      </c>
      <c r="Q36" s="80">
        <v>217</v>
      </c>
      <c r="R36">
        <v>205</v>
      </c>
      <c r="S36">
        <v>184</v>
      </c>
      <c r="T36">
        <v>0</v>
      </c>
      <c r="U36">
        <v>29</v>
      </c>
      <c r="V36" s="80">
        <v>57</v>
      </c>
      <c r="W36" s="208">
        <v>402</v>
      </c>
      <c r="X36">
        <v>368</v>
      </c>
      <c r="Y36" s="80">
        <v>423</v>
      </c>
    </row>
    <row r="37" spans="1:25" x14ac:dyDescent="0.25">
      <c r="A37" s="170" t="s">
        <v>72</v>
      </c>
      <c r="B37">
        <v>783</v>
      </c>
      <c r="C37">
        <v>1381</v>
      </c>
      <c r="D37">
        <v>0</v>
      </c>
      <c r="E37">
        <v>253</v>
      </c>
      <c r="F37" s="80">
        <v>452</v>
      </c>
      <c r="G37" s="207">
        <v>4963</v>
      </c>
      <c r="H37">
        <v>2521</v>
      </c>
      <c r="I37" s="80">
        <v>2928</v>
      </c>
      <c r="J37">
        <v>496</v>
      </c>
      <c r="K37">
        <v>808</v>
      </c>
      <c r="L37">
        <v>0</v>
      </c>
      <c r="M37">
        <v>122</v>
      </c>
      <c r="N37" s="80">
        <v>168</v>
      </c>
      <c r="O37" s="207">
        <v>2451</v>
      </c>
      <c r="P37">
        <v>1309</v>
      </c>
      <c r="Q37" s="80">
        <v>938</v>
      </c>
      <c r="R37">
        <v>647</v>
      </c>
      <c r="S37">
        <v>1120</v>
      </c>
      <c r="T37">
        <v>0</v>
      </c>
      <c r="U37">
        <v>195</v>
      </c>
      <c r="V37" s="80">
        <v>248</v>
      </c>
      <c r="W37" s="208">
        <v>3698</v>
      </c>
      <c r="X37">
        <v>1851</v>
      </c>
      <c r="Y37" s="80">
        <v>1622</v>
      </c>
    </row>
    <row r="38" spans="1:25" x14ac:dyDescent="0.25">
      <c r="A38" s="170" t="s">
        <v>73</v>
      </c>
      <c r="B38">
        <v>433</v>
      </c>
      <c r="C38">
        <v>899</v>
      </c>
      <c r="D38">
        <v>0</v>
      </c>
      <c r="E38">
        <v>64</v>
      </c>
      <c r="F38" s="80">
        <v>387</v>
      </c>
      <c r="G38" s="207">
        <v>1409</v>
      </c>
      <c r="H38">
        <v>1273</v>
      </c>
      <c r="I38" s="80">
        <v>1964</v>
      </c>
      <c r="J38">
        <v>258</v>
      </c>
      <c r="K38">
        <v>563</v>
      </c>
      <c r="L38">
        <v>0</v>
      </c>
      <c r="M38">
        <v>36</v>
      </c>
      <c r="N38" s="80">
        <v>148</v>
      </c>
      <c r="O38" s="207">
        <v>845</v>
      </c>
      <c r="P38">
        <v>690</v>
      </c>
      <c r="Q38" s="80">
        <v>823</v>
      </c>
      <c r="R38">
        <v>361</v>
      </c>
      <c r="S38">
        <v>745</v>
      </c>
      <c r="T38">
        <v>0</v>
      </c>
      <c r="U38">
        <v>52</v>
      </c>
      <c r="V38" s="80">
        <v>252</v>
      </c>
      <c r="W38" s="208">
        <v>1134</v>
      </c>
      <c r="X38">
        <v>954</v>
      </c>
      <c r="Y38" s="80">
        <v>1367</v>
      </c>
    </row>
    <row r="39" spans="1:25" x14ac:dyDescent="0.25">
      <c r="A39" s="170" t="s">
        <v>74</v>
      </c>
      <c r="B39">
        <v>228</v>
      </c>
      <c r="C39">
        <v>304</v>
      </c>
      <c r="D39">
        <v>0</v>
      </c>
      <c r="E39">
        <v>111</v>
      </c>
      <c r="F39" s="80">
        <v>132</v>
      </c>
      <c r="G39" s="207">
        <v>845</v>
      </c>
      <c r="H39">
        <v>531</v>
      </c>
      <c r="I39" s="80">
        <v>1050</v>
      </c>
      <c r="J39">
        <v>110</v>
      </c>
      <c r="K39">
        <v>133</v>
      </c>
      <c r="L39">
        <v>0</v>
      </c>
      <c r="M39">
        <v>34</v>
      </c>
      <c r="N39" s="80">
        <v>47</v>
      </c>
      <c r="O39" s="207">
        <v>288</v>
      </c>
      <c r="P39">
        <v>229</v>
      </c>
      <c r="Q39" s="80">
        <v>237</v>
      </c>
      <c r="R39">
        <v>172</v>
      </c>
      <c r="S39">
        <v>218</v>
      </c>
      <c r="T39">
        <v>0</v>
      </c>
      <c r="U39">
        <v>73</v>
      </c>
      <c r="V39" s="80">
        <v>79</v>
      </c>
      <c r="W39" s="208">
        <v>505</v>
      </c>
      <c r="X39">
        <v>352</v>
      </c>
      <c r="Y39" s="80">
        <v>458</v>
      </c>
    </row>
    <row r="40" spans="1:25" x14ac:dyDescent="0.25">
      <c r="A40" s="170" t="s">
        <v>75</v>
      </c>
      <c r="B40">
        <v>1450</v>
      </c>
      <c r="C40">
        <v>1362</v>
      </c>
      <c r="D40">
        <v>4</v>
      </c>
      <c r="E40">
        <v>361</v>
      </c>
      <c r="F40" s="80">
        <v>774</v>
      </c>
      <c r="G40" s="207">
        <v>4770</v>
      </c>
      <c r="H40">
        <v>3546</v>
      </c>
      <c r="I40" s="80">
        <v>3477</v>
      </c>
      <c r="J40">
        <v>783</v>
      </c>
      <c r="K40">
        <v>709</v>
      </c>
      <c r="L40">
        <v>1</v>
      </c>
      <c r="M40">
        <v>157</v>
      </c>
      <c r="N40" s="80">
        <v>267</v>
      </c>
      <c r="O40" s="207">
        <v>2072</v>
      </c>
      <c r="P40">
        <v>1591</v>
      </c>
      <c r="Q40" s="80">
        <v>746</v>
      </c>
      <c r="R40">
        <v>1108</v>
      </c>
      <c r="S40">
        <v>1027</v>
      </c>
      <c r="T40">
        <v>3</v>
      </c>
      <c r="U40">
        <v>261</v>
      </c>
      <c r="V40" s="80">
        <v>415</v>
      </c>
      <c r="W40" s="208">
        <v>3327</v>
      </c>
      <c r="X40">
        <v>2430</v>
      </c>
      <c r="Y40" s="80">
        <v>1543</v>
      </c>
    </row>
    <row r="41" spans="1:25" x14ac:dyDescent="0.25">
      <c r="A41" s="170" t="s">
        <v>76</v>
      </c>
      <c r="B41">
        <v>253</v>
      </c>
      <c r="C41">
        <v>381</v>
      </c>
      <c r="D41">
        <v>0</v>
      </c>
      <c r="E41">
        <v>7</v>
      </c>
      <c r="F41" s="80">
        <v>240</v>
      </c>
      <c r="G41" s="207">
        <v>905</v>
      </c>
      <c r="H41">
        <v>1285</v>
      </c>
      <c r="I41" s="80">
        <v>1520</v>
      </c>
      <c r="J41">
        <v>98</v>
      </c>
      <c r="K41">
        <v>123</v>
      </c>
      <c r="L41">
        <v>0</v>
      </c>
      <c r="M41">
        <v>2</v>
      </c>
      <c r="N41" s="80">
        <v>60</v>
      </c>
      <c r="O41" s="207">
        <v>239</v>
      </c>
      <c r="P41">
        <v>298</v>
      </c>
      <c r="Q41" s="80">
        <v>116</v>
      </c>
      <c r="R41">
        <v>150</v>
      </c>
      <c r="S41">
        <v>213</v>
      </c>
      <c r="T41">
        <v>0</v>
      </c>
      <c r="U41">
        <v>7</v>
      </c>
      <c r="V41" s="80">
        <v>97</v>
      </c>
      <c r="W41" s="208">
        <v>398</v>
      </c>
      <c r="X41">
        <v>485</v>
      </c>
      <c r="Y41" s="80">
        <v>259</v>
      </c>
    </row>
    <row r="42" spans="1:25" x14ac:dyDescent="0.25">
      <c r="A42" s="170" t="s">
        <v>77</v>
      </c>
      <c r="B42">
        <v>7</v>
      </c>
      <c r="C42">
        <v>93</v>
      </c>
      <c r="D42">
        <v>0</v>
      </c>
      <c r="E42">
        <v>28</v>
      </c>
      <c r="F42" s="80">
        <v>2</v>
      </c>
      <c r="G42" s="207">
        <v>738</v>
      </c>
      <c r="H42">
        <v>45</v>
      </c>
      <c r="I42" s="80">
        <v>542</v>
      </c>
      <c r="J42">
        <v>3</v>
      </c>
      <c r="K42">
        <v>26</v>
      </c>
      <c r="L42">
        <v>0</v>
      </c>
      <c r="M42">
        <v>7</v>
      </c>
      <c r="N42" s="80">
        <v>2</v>
      </c>
      <c r="O42" s="207">
        <v>84</v>
      </c>
      <c r="P42">
        <v>18</v>
      </c>
      <c r="Q42" s="80">
        <v>44</v>
      </c>
      <c r="R42">
        <v>7</v>
      </c>
      <c r="S42">
        <v>85</v>
      </c>
      <c r="T42">
        <v>0</v>
      </c>
      <c r="U42">
        <v>10</v>
      </c>
      <c r="V42" s="80">
        <v>2</v>
      </c>
      <c r="W42" s="208">
        <v>430</v>
      </c>
      <c r="X42">
        <v>34</v>
      </c>
      <c r="Y42" s="80">
        <v>151</v>
      </c>
    </row>
    <row r="43" spans="1:25" x14ac:dyDescent="0.25">
      <c r="A43" s="170" t="s">
        <v>78</v>
      </c>
      <c r="B43">
        <v>418</v>
      </c>
      <c r="C43">
        <v>1027</v>
      </c>
      <c r="D43">
        <v>0</v>
      </c>
      <c r="E43">
        <v>479</v>
      </c>
      <c r="F43" s="80">
        <v>367</v>
      </c>
      <c r="G43" s="207">
        <v>3432</v>
      </c>
      <c r="H43">
        <v>2352</v>
      </c>
      <c r="I43" s="80">
        <v>2515</v>
      </c>
      <c r="J43">
        <v>172</v>
      </c>
      <c r="K43">
        <v>412</v>
      </c>
      <c r="L43">
        <v>0</v>
      </c>
      <c r="M43">
        <v>138</v>
      </c>
      <c r="N43" s="80">
        <v>124</v>
      </c>
      <c r="O43" s="207">
        <v>971</v>
      </c>
      <c r="P43">
        <v>698</v>
      </c>
      <c r="Q43" s="80">
        <v>419</v>
      </c>
      <c r="R43">
        <v>268</v>
      </c>
      <c r="S43">
        <v>681</v>
      </c>
      <c r="T43">
        <v>0</v>
      </c>
      <c r="U43">
        <v>239</v>
      </c>
      <c r="V43" s="80">
        <v>196</v>
      </c>
      <c r="W43" s="208">
        <v>1735</v>
      </c>
      <c r="X43">
        <v>1292</v>
      </c>
      <c r="Y43" s="80">
        <v>1018</v>
      </c>
    </row>
    <row r="44" spans="1:25" x14ac:dyDescent="0.25">
      <c r="A44" s="170" t="s">
        <v>79</v>
      </c>
      <c r="B44">
        <v>1143</v>
      </c>
      <c r="C44">
        <v>1256</v>
      </c>
      <c r="D44">
        <v>0</v>
      </c>
      <c r="E44">
        <v>235</v>
      </c>
      <c r="F44" s="80">
        <v>860</v>
      </c>
      <c r="G44" s="207">
        <v>3092</v>
      </c>
      <c r="H44">
        <v>3147</v>
      </c>
      <c r="I44" s="80">
        <v>2345</v>
      </c>
      <c r="J44">
        <v>690</v>
      </c>
      <c r="K44">
        <v>603</v>
      </c>
      <c r="L44">
        <v>0</v>
      </c>
      <c r="M44">
        <v>103</v>
      </c>
      <c r="N44" s="80">
        <v>360</v>
      </c>
      <c r="O44" s="207">
        <v>1396</v>
      </c>
      <c r="P44">
        <v>1652</v>
      </c>
      <c r="Q44" s="80">
        <v>649</v>
      </c>
      <c r="R44">
        <v>898</v>
      </c>
      <c r="S44">
        <v>862</v>
      </c>
      <c r="T44">
        <v>0</v>
      </c>
      <c r="U44">
        <v>172</v>
      </c>
      <c r="V44" s="80">
        <v>501</v>
      </c>
      <c r="W44" s="208">
        <v>2141</v>
      </c>
      <c r="X44">
        <v>2259</v>
      </c>
      <c r="Y44" s="80">
        <v>1243</v>
      </c>
    </row>
    <row r="45" spans="1:25" x14ac:dyDescent="0.25">
      <c r="A45" s="170" t="s">
        <v>80</v>
      </c>
      <c r="B45">
        <v>518</v>
      </c>
      <c r="C45">
        <v>868</v>
      </c>
      <c r="D45">
        <v>0</v>
      </c>
      <c r="E45">
        <v>338</v>
      </c>
      <c r="F45" s="80">
        <v>241</v>
      </c>
      <c r="G45" s="207">
        <v>2758</v>
      </c>
      <c r="H45">
        <v>2234</v>
      </c>
      <c r="I45" s="80">
        <v>2715</v>
      </c>
      <c r="J45">
        <v>302</v>
      </c>
      <c r="K45">
        <v>492</v>
      </c>
      <c r="L45">
        <v>0</v>
      </c>
      <c r="M45">
        <v>169</v>
      </c>
      <c r="N45" s="80">
        <v>96</v>
      </c>
      <c r="O45" s="207">
        <v>1246</v>
      </c>
      <c r="P45">
        <v>891</v>
      </c>
      <c r="Q45" s="80">
        <v>602</v>
      </c>
      <c r="R45">
        <v>393</v>
      </c>
      <c r="S45">
        <v>635</v>
      </c>
      <c r="T45">
        <v>0</v>
      </c>
      <c r="U45">
        <v>241</v>
      </c>
      <c r="V45" s="80">
        <v>123</v>
      </c>
      <c r="W45" s="208">
        <v>1829</v>
      </c>
      <c r="X45">
        <v>1315</v>
      </c>
      <c r="Y45" s="80">
        <v>1139</v>
      </c>
    </row>
    <row r="46" spans="1:25" x14ac:dyDescent="0.25">
      <c r="A46" s="170" t="s">
        <v>81</v>
      </c>
      <c r="B46">
        <v>1126</v>
      </c>
      <c r="C46">
        <v>1450</v>
      </c>
      <c r="D46">
        <v>0</v>
      </c>
      <c r="E46">
        <v>341</v>
      </c>
      <c r="F46" s="80">
        <v>747</v>
      </c>
      <c r="G46" s="207">
        <v>3907</v>
      </c>
      <c r="H46">
        <v>2415</v>
      </c>
      <c r="I46" s="80">
        <v>6793</v>
      </c>
      <c r="J46">
        <v>536</v>
      </c>
      <c r="K46">
        <v>627</v>
      </c>
      <c r="L46">
        <v>0</v>
      </c>
      <c r="M46">
        <v>132</v>
      </c>
      <c r="N46" s="80">
        <v>285</v>
      </c>
      <c r="O46" s="207">
        <v>1068</v>
      </c>
      <c r="P46">
        <v>918</v>
      </c>
      <c r="Q46" s="80">
        <v>444</v>
      </c>
      <c r="R46">
        <v>800</v>
      </c>
      <c r="S46">
        <v>1062</v>
      </c>
      <c r="T46">
        <v>0</v>
      </c>
      <c r="U46">
        <v>242</v>
      </c>
      <c r="V46" s="80">
        <v>446</v>
      </c>
      <c r="W46" s="208">
        <v>2157</v>
      </c>
      <c r="X46">
        <v>1525</v>
      </c>
      <c r="Y46" s="80">
        <v>1336</v>
      </c>
    </row>
    <row r="47" spans="1:25" x14ac:dyDescent="0.25">
      <c r="A47" s="170" t="s">
        <v>82</v>
      </c>
      <c r="B47">
        <v>72</v>
      </c>
      <c r="C47">
        <v>339</v>
      </c>
      <c r="D47">
        <v>0</v>
      </c>
      <c r="E47">
        <v>88</v>
      </c>
      <c r="F47" s="80">
        <v>54</v>
      </c>
      <c r="G47" s="207">
        <v>737</v>
      </c>
      <c r="H47">
        <v>477</v>
      </c>
      <c r="I47" s="80">
        <v>912</v>
      </c>
      <c r="J47">
        <v>48</v>
      </c>
      <c r="K47">
        <v>224</v>
      </c>
      <c r="L47">
        <v>0</v>
      </c>
      <c r="M47">
        <v>36</v>
      </c>
      <c r="N47" s="80">
        <v>26</v>
      </c>
      <c r="O47" s="207">
        <v>406</v>
      </c>
      <c r="P47">
        <v>238</v>
      </c>
      <c r="Q47" s="80">
        <v>351</v>
      </c>
      <c r="R47">
        <v>59</v>
      </c>
      <c r="S47">
        <v>276</v>
      </c>
      <c r="T47">
        <v>0</v>
      </c>
      <c r="U47">
        <v>47</v>
      </c>
      <c r="V47" s="80">
        <v>36</v>
      </c>
      <c r="W47" s="208">
        <v>544</v>
      </c>
      <c r="X47">
        <v>332</v>
      </c>
      <c r="Y47" s="80">
        <v>532</v>
      </c>
    </row>
    <row r="48" spans="1:25" x14ac:dyDescent="0.25">
      <c r="A48" s="170" t="s">
        <v>83</v>
      </c>
      <c r="B48">
        <v>553</v>
      </c>
      <c r="C48">
        <v>596</v>
      </c>
      <c r="D48">
        <v>0</v>
      </c>
      <c r="E48">
        <v>374</v>
      </c>
      <c r="F48" s="80">
        <v>215</v>
      </c>
      <c r="G48" s="207">
        <v>1972</v>
      </c>
      <c r="H48">
        <v>1114</v>
      </c>
      <c r="I48" s="80">
        <v>3046</v>
      </c>
      <c r="J48">
        <v>375</v>
      </c>
      <c r="K48">
        <v>368</v>
      </c>
      <c r="L48">
        <v>0</v>
      </c>
      <c r="M48">
        <v>212</v>
      </c>
      <c r="N48" s="80">
        <v>122</v>
      </c>
      <c r="O48" s="207">
        <v>1019</v>
      </c>
      <c r="P48">
        <v>615</v>
      </c>
      <c r="Q48" s="80">
        <v>621</v>
      </c>
      <c r="R48">
        <v>485</v>
      </c>
      <c r="S48">
        <v>504</v>
      </c>
      <c r="T48">
        <v>0</v>
      </c>
      <c r="U48">
        <v>291</v>
      </c>
      <c r="V48" s="80">
        <v>179</v>
      </c>
      <c r="W48" s="208">
        <v>1459</v>
      </c>
      <c r="X48">
        <v>827</v>
      </c>
      <c r="Y48" s="80">
        <v>1049</v>
      </c>
    </row>
    <row r="49" spans="1:25" x14ac:dyDescent="0.25">
      <c r="A49" s="170" t="s">
        <v>84</v>
      </c>
      <c r="B49">
        <v>849</v>
      </c>
      <c r="C49">
        <v>2374</v>
      </c>
      <c r="D49">
        <v>0</v>
      </c>
      <c r="E49">
        <v>483</v>
      </c>
      <c r="F49" s="80">
        <v>823</v>
      </c>
      <c r="G49" s="207">
        <v>4286</v>
      </c>
      <c r="H49">
        <v>2782</v>
      </c>
      <c r="I49" s="80">
        <v>5143</v>
      </c>
      <c r="J49">
        <v>514</v>
      </c>
      <c r="K49">
        <v>1454</v>
      </c>
      <c r="L49">
        <v>0</v>
      </c>
      <c r="M49">
        <v>244</v>
      </c>
      <c r="N49" s="80">
        <v>384</v>
      </c>
      <c r="O49" s="207">
        <v>2299</v>
      </c>
      <c r="P49">
        <v>1411</v>
      </c>
      <c r="Q49" s="80">
        <v>1937</v>
      </c>
      <c r="R49">
        <v>695</v>
      </c>
      <c r="S49">
        <v>1955</v>
      </c>
      <c r="T49">
        <v>0</v>
      </c>
      <c r="U49">
        <v>337</v>
      </c>
      <c r="V49" s="80">
        <v>554</v>
      </c>
      <c r="W49" s="208">
        <v>3262</v>
      </c>
      <c r="X49">
        <v>2045</v>
      </c>
      <c r="Y49" s="80">
        <v>3267</v>
      </c>
    </row>
    <row r="50" spans="1:25" x14ac:dyDescent="0.25">
      <c r="A50" s="170" t="s">
        <v>85</v>
      </c>
      <c r="B50">
        <v>512</v>
      </c>
      <c r="C50">
        <v>793</v>
      </c>
      <c r="D50">
        <v>0</v>
      </c>
      <c r="E50">
        <v>223</v>
      </c>
      <c r="F50" s="80">
        <v>245</v>
      </c>
      <c r="G50" s="207">
        <v>2591</v>
      </c>
      <c r="H50">
        <v>1490</v>
      </c>
      <c r="I50" s="80">
        <v>2953</v>
      </c>
      <c r="J50">
        <v>329</v>
      </c>
      <c r="K50">
        <v>475</v>
      </c>
      <c r="L50">
        <v>0</v>
      </c>
      <c r="M50">
        <v>110</v>
      </c>
      <c r="N50" s="80">
        <v>95</v>
      </c>
      <c r="O50" s="207">
        <v>1127</v>
      </c>
      <c r="P50">
        <v>706</v>
      </c>
      <c r="Q50" s="80">
        <v>1044</v>
      </c>
      <c r="R50">
        <v>446</v>
      </c>
      <c r="S50">
        <v>682</v>
      </c>
      <c r="T50">
        <v>0</v>
      </c>
      <c r="U50">
        <v>179</v>
      </c>
      <c r="V50" s="80">
        <v>143</v>
      </c>
      <c r="W50" s="208">
        <v>1809</v>
      </c>
      <c r="X50">
        <v>1102</v>
      </c>
      <c r="Y50" s="80">
        <v>1967</v>
      </c>
    </row>
    <row r="51" spans="1:25" x14ac:dyDescent="0.25">
      <c r="A51" s="170" t="s">
        <v>86</v>
      </c>
      <c r="B51">
        <v>1417</v>
      </c>
      <c r="C51">
        <v>1721</v>
      </c>
      <c r="D51">
        <v>10</v>
      </c>
      <c r="E51">
        <v>528</v>
      </c>
      <c r="F51" s="80">
        <v>826</v>
      </c>
      <c r="G51" s="207">
        <v>6048</v>
      </c>
      <c r="H51">
        <v>4723</v>
      </c>
      <c r="I51" s="80">
        <v>9334</v>
      </c>
      <c r="J51">
        <v>726</v>
      </c>
      <c r="K51">
        <v>944</v>
      </c>
      <c r="L51">
        <v>6</v>
      </c>
      <c r="M51">
        <v>266</v>
      </c>
      <c r="N51" s="80">
        <v>304</v>
      </c>
      <c r="O51" s="207">
        <v>2553</v>
      </c>
      <c r="P51">
        <v>1879</v>
      </c>
      <c r="Q51" s="80">
        <v>1382</v>
      </c>
      <c r="R51">
        <v>1026</v>
      </c>
      <c r="S51">
        <v>1293</v>
      </c>
      <c r="T51">
        <v>9</v>
      </c>
      <c r="U51">
        <v>404</v>
      </c>
      <c r="V51" s="80">
        <v>435</v>
      </c>
      <c r="W51" s="208">
        <v>3950</v>
      </c>
      <c r="X51">
        <v>2975</v>
      </c>
      <c r="Y51" s="80">
        <v>2891</v>
      </c>
    </row>
    <row r="52" spans="1:25" x14ac:dyDescent="0.25">
      <c r="A52" s="170" t="s">
        <v>29</v>
      </c>
      <c r="B52">
        <v>250</v>
      </c>
      <c r="C52">
        <v>783</v>
      </c>
      <c r="D52">
        <v>0</v>
      </c>
      <c r="E52">
        <v>446</v>
      </c>
      <c r="F52" s="80">
        <v>298</v>
      </c>
      <c r="G52" s="207">
        <v>4363</v>
      </c>
      <c r="H52">
        <v>1930</v>
      </c>
      <c r="I52" s="80">
        <v>3001</v>
      </c>
      <c r="J52">
        <v>131</v>
      </c>
      <c r="K52">
        <v>411</v>
      </c>
      <c r="L52">
        <v>0</v>
      </c>
      <c r="M52">
        <v>159</v>
      </c>
      <c r="N52" s="80">
        <v>91</v>
      </c>
      <c r="O52" s="207">
        <v>1293</v>
      </c>
      <c r="P52">
        <v>797</v>
      </c>
      <c r="Q52" s="80">
        <v>375</v>
      </c>
      <c r="R52">
        <v>178</v>
      </c>
      <c r="S52">
        <v>587</v>
      </c>
      <c r="T52">
        <v>0</v>
      </c>
      <c r="U52">
        <v>286</v>
      </c>
      <c r="V52" s="80">
        <v>146</v>
      </c>
      <c r="W52" s="208">
        <v>2360</v>
      </c>
      <c r="X52">
        <v>1215</v>
      </c>
      <c r="Y52" s="80">
        <v>738</v>
      </c>
    </row>
    <row r="53" spans="1:25" x14ac:dyDescent="0.25">
      <c r="A53" s="170" t="s">
        <v>87</v>
      </c>
      <c r="B53">
        <v>213</v>
      </c>
      <c r="C53">
        <v>1384</v>
      </c>
      <c r="D53">
        <v>0</v>
      </c>
      <c r="E53">
        <v>410</v>
      </c>
      <c r="F53" s="80">
        <v>248</v>
      </c>
      <c r="G53" s="207">
        <v>3268</v>
      </c>
      <c r="H53">
        <v>1710</v>
      </c>
      <c r="I53" s="80">
        <v>3059</v>
      </c>
      <c r="J53">
        <v>133</v>
      </c>
      <c r="K53">
        <v>789</v>
      </c>
      <c r="L53">
        <v>0</v>
      </c>
      <c r="M53">
        <v>208</v>
      </c>
      <c r="N53" s="80">
        <v>109</v>
      </c>
      <c r="O53" s="207">
        <v>1831</v>
      </c>
      <c r="P53">
        <v>721</v>
      </c>
      <c r="Q53" s="80">
        <v>1390</v>
      </c>
      <c r="R53">
        <v>174</v>
      </c>
      <c r="S53">
        <v>1116</v>
      </c>
      <c r="T53">
        <v>0</v>
      </c>
      <c r="U53">
        <v>297</v>
      </c>
      <c r="V53" s="80">
        <v>161</v>
      </c>
      <c r="W53" s="208">
        <v>2554</v>
      </c>
      <c r="X53">
        <v>1170</v>
      </c>
      <c r="Y53" s="80">
        <v>2228</v>
      </c>
    </row>
    <row r="54" spans="1:25" x14ac:dyDescent="0.25">
      <c r="A54" s="170" t="s">
        <v>88</v>
      </c>
      <c r="B54">
        <v>540</v>
      </c>
      <c r="C54">
        <v>534</v>
      </c>
      <c r="D54">
        <v>0</v>
      </c>
      <c r="E54">
        <v>310</v>
      </c>
      <c r="F54" s="80">
        <v>300</v>
      </c>
      <c r="G54" s="207">
        <v>1728</v>
      </c>
      <c r="H54">
        <v>1296</v>
      </c>
      <c r="I54" s="80">
        <v>1596</v>
      </c>
      <c r="J54">
        <v>302</v>
      </c>
      <c r="K54">
        <v>294</v>
      </c>
      <c r="L54">
        <v>0</v>
      </c>
      <c r="M54">
        <v>140</v>
      </c>
      <c r="N54" s="80">
        <v>107</v>
      </c>
      <c r="O54" s="207">
        <v>758</v>
      </c>
      <c r="P54">
        <v>527</v>
      </c>
      <c r="Q54" s="80">
        <v>383</v>
      </c>
      <c r="R54">
        <v>417</v>
      </c>
      <c r="S54">
        <v>419</v>
      </c>
      <c r="T54">
        <v>0</v>
      </c>
      <c r="U54">
        <v>214</v>
      </c>
      <c r="V54" s="80">
        <v>171</v>
      </c>
      <c r="W54" s="208">
        <v>1187</v>
      </c>
      <c r="X54">
        <v>836</v>
      </c>
      <c r="Y54" s="80">
        <v>762</v>
      </c>
    </row>
    <row r="55" spans="1:25" x14ac:dyDescent="0.25">
      <c r="A55" s="170" t="s">
        <v>89</v>
      </c>
      <c r="B55">
        <v>403</v>
      </c>
      <c r="C55">
        <v>449</v>
      </c>
      <c r="D55">
        <v>0</v>
      </c>
      <c r="E55">
        <v>200</v>
      </c>
      <c r="F55" s="80">
        <v>239</v>
      </c>
      <c r="G55" s="207">
        <v>1427</v>
      </c>
      <c r="H55">
        <v>936</v>
      </c>
      <c r="I55" s="80">
        <v>1201</v>
      </c>
      <c r="J55">
        <v>139</v>
      </c>
      <c r="K55">
        <v>215</v>
      </c>
      <c r="L55">
        <v>0</v>
      </c>
      <c r="M55">
        <v>85</v>
      </c>
      <c r="N55" s="80">
        <v>82</v>
      </c>
      <c r="O55" s="207">
        <v>602</v>
      </c>
      <c r="P55">
        <v>269</v>
      </c>
      <c r="Q55" s="80">
        <v>269</v>
      </c>
      <c r="R55">
        <v>245</v>
      </c>
      <c r="S55">
        <v>333</v>
      </c>
      <c r="T55">
        <v>0</v>
      </c>
      <c r="U55">
        <v>132</v>
      </c>
      <c r="V55" s="80">
        <v>133</v>
      </c>
      <c r="W55" s="208">
        <v>968</v>
      </c>
      <c r="X55">
        <v>472</v>
      </c>
      <c r="Y55" s="80">
        <v>606</v>
      </c>
    </row>
    <row r="56" spans="1:25" x14ac:dyDescent="0.25">
      <c r="A56" s="170" t="s">
        <v>90</v>
      </c>
      <c r="B56">
        <v>816</v>
      </c>
      <c r="C56">
        <v>785</v>
      </c>
      <c r="D56">
        <v>18</v>
      </c>
      <c r="E56">
        <v>543</v>
      </c>
      <c r="F56" s="80">
        <v>605</v>
      </c>
      <c r="G56" s="207">
        <v>2776</v>
      </c>
      <c r="H56">
        <v>2507</v>
      </c>
      <c r="I56" s="80">
        <v>1312</v>
      </c>
      <c r="J56">
        <v>306</v>
      </c>
      <c r="K56">
        <v>308</v>
      </c>
      <c r="L56">
        <v>9</v>
      </c>
      <c r="M56">
        <v>165</v>
      </c>
      <c r="N56" s="80">
        <v>121</v>
      </c>
      <c r="O56" s="207">
        <v>778</v>
      </c>
      <c r="P56">
        <v>736</v>
      </c>
      <c r="Q56" s="80">
        <v>174</v>
      </c>
      <c r="R56">
        <v>492</v>
      </c>
      <c r="S56">
        <v>498</v>
      </c>
      <c r="T56">
        <v>13</v>
      </c>
      <c r="U56">
        <v>332</v>
      </c>
      <c r="V56" s="80">
        <v>215</v>
      </c>
      <c r="W56" s="208">
        <v>1449</v>
      </c>
      <c r="X56">
        <v>1270</v>
      </c>
      <c r="Y56" s="80">
        <v>408</v>
      </c>
    </row>
    <row r="57" spans="1:25" x14ac:dyDescent="0.25">
      <c r="A57" s="170" t="s">
        <v>91</v>
      </c>
      <c r="B57">
        <v>447</v>
      </c>
      <c r="C57">
        <v>895</v>
      </c>
      <c r="D57">
        <v>0</v>
      </c>
      <c r="E57">
        <v>318</v>
      </c>
      <c r="F57" s="80">
        <v>366</v>
      </c>
      <c r="G57" s="207">
        <v>2682</v>
      </c>
      <c r="H57">
        <v>1889</v>
      </c>
      <c r="I57" s="80">
        <v>1759</v>
      </c>
      <c r="J57">
        <v>196</v>
      </c>
      <c r="K57">
        <v>321</v>
      </c>
      <c r="L57">
        <v>0</v>
      </c>
      <c r="M57">
        <v>118</v>
      </c>
      <c r="N57" s="80">
        <v>79</v>
      </c>
      <c r="O57" s="207">
        <v>998</v>
      </c>
      <c r="P57">
        <v>515</v>
      </c>
      <c r="Q57" s="80">
        <v>410</v>
      </c>
      <c r="R57">
        <v>285</v>
      </c>
      <c r="S57">
        <v>500</v>
      </c>
      <c r="T57">
        <v>0</v>
      </c>
      <c r="U57">
        <v>178</v>
      </c>
      <c r="V57" s="80">
        <v>148</v>
      </c>
      <c r="W57" s="208">
        <v>1545</v>
      </c>
      <c r="X57">
        <v>809</v>
      </c>
      <c r="Y57" s="80">
        <v>860</v>
      </c>
    </row>
    <row r="58" spans="1:25" x14ac:dyDescent="0.25">
      <c r="A58" s="170" t="s">
        <v>92</v>
      </c>
      <c r="B58">
        <v>919</v>
      </c>
      <c r="C58">
        <v>863</v>
      </c>
      <c r="D58">
        <v>0</v>
      </c>
      <c r="E58">
        <v>103</v>
      </c>
      <c r="F58" s="80">
        <v>461</v>
      </c>
      <c r="G58" s="207">
        <v>2933</v>
      </c>
      <c r="H58">
        <v>2224</v>
      </c>
      <c r="I58" s="80">
        <v>3872</v>
      </c>
      <c r="J58">
        <v>380</v>
      </c>
      <c r="K58">
        <v>337</v>
      </c>
      <c r="L58">
        <v>0</v>
      </c>
      <c r="M58">
        <v>56</v>
      </c>
      <c r="N58" s="80">
        <v>107</v>
      </c>
      <c r="O58" s="207">
        <v>857</v>
      </c>
      <c r="P58">
        <v>719</v>
      </c>
      <c r="Q58" s="80">
        <v>409</v>
      </c>
      <c r="R58">
        <v>572</v>
      </c>
      <c r="S58">
        <v>515</v>
      </c>
      <c r="T58">
        <v>0</v>
      </c>
      <c r="U58">
        <v>73</v>
      </c>
      <c r="V58" s="80">
        <v>190</v>
      </c>
      <c r="W58" s="208">
        <v>1352</v>
      </c>
      <c r="X58">
        <v>1135</v>
      </c>
      <c r="Y58" s="80">
        <v>870</v>
      </c>
    </row>
    <row r="59" spans="1:25" x14ac:dyDescent="0.25">
      <c r="A59" s="170" t="s">
        <v>31</v>
      </c>
      <c r="B59">
        <v>584</v>
      </c>
      <c r="C59">
        <v>1148</v>
      </c>
      <c r="D59">
        <v>13</v>
      </c>
      <c r="E59">
        <v>615</v>
      </c>
      <c r="F59" s="80">
        <v>568</v>
      </c>
      <c r="G59" s="207">
        <v>3758</v>
      </c>
      <c r="H59">
        <v>3146</v>
      </c>
      <c r="I59" s="80">
        <v>2797</v>
      </c>
      <c r="J59">
        <v>297</v>
      </c>
      <c r="K59">
        <v>523</v>
      </c>
      <c r="L59">
        <v>8</v>
      </c>
      <c r="M59">
        <v>162</v>
      </c>
      <c r="N59" s="80">
        <v>155</v>
      </c>
      <c r="O59" s="207">
        <v>1153</v>
      </c>
      <c r="P59">
        <v>1129</v>
      </c>
      <c r="Q59" s="80">
        <v>510</v>
      </c>
      <c r="R59">
        <v>408</v>
      </c>
      <c r="S59">
        <v>720</v>
      </c>
      <c r="T59">
        <v>12</v>
      </c>
      <c r="U59">
        <v>243</v>
      </c>
      <c r="V59" s="80">
        <v>220</v>
      </c>
      <c r="W59" s="208">
        <v>2000</v>
      </c>
      <c r="X59">
        <v>1757</v>
      </c>
      <c r="Y59" s="80">
        <v>1265</v>
      </c>
    </row>
    <row r="60" spans="1:25" x14ac:dyDescent="0.25">
      <c r="A60" s="170" t="s">
        <v>93</v>
      </c>
      <c r="B60">
        <v>425</v>
      </c>
      <c r="C60">
        <v>636</v>
      </c>
      <c r="D60">
        <v>0</v>
      </c>
      <c r="E60">
        <v>153</v>
      </c>
      <c r="F60" s="80">
        <v>213</v>
      </c>
      <c r="G60" s="207">
        <v>1825</v>
      </c>
      <c r="H60">
        <v>934</v>
      </c>
      <c r="I60" s="80">
        <v>1827</v>
      </c>
      <c r="J60">
        <v>281</v>
      </c>
      <c r="K60">
        <v>435</v>
      </c>
      <c r="L60">
        <v>0</v>
      </c>
      <c r="M60">
        <v>100</v>
      </c>
      <c r="N60" s="80">
        <v>107</v>
      </c>
      <c r="O60" s="207">
        <v>1145</v>
      </c>
      <c r="P60">
        <v>549</v>
      </c>
      <c r="Q60" s="80">
        <v>937</v>
      </c>
      <c r="R60">
        <v>346</v>
      </c>
      <c r="S60">
        <v>536</v>
      </c>
      <c r="T60">
        <v>0</v>
      </c>
      <c r="U60">
        <v>125</v>
      </c>
      <c r="V60" s="80">
        <v>144</v>
      </c>
      <c r="W60" s="208">
        <v>1459</v>
      </c>
      <c r="X60">
        <v>695</v>
      </c>
      <c r="Y60" s="80">
        <v>1343</v>
      </c>
    </row>
    <row r="61" spans="1:25" x14ac:dyDescent="0.25">
      <c r="A61" s="170" t="s">
        <v>94</v>
      </c>
      <c r="B61">
        <v>246</v>
      </c>
      <c r="C61">
        <v>542</v>
      </c>
      <c r="D61">
        <v>2</v>
      </c>
      <c r="E61">
        <v>174</v>
      </c>
      <c r="F61" s="80">
        <v>109</v>
      </c>
      <c r="G61" s="207">
        <v>1527</v>
      </c>
      <c r="H61">
        <v>739</v>
      </c>
      <c r="I61" s="80">
        <v>1552</v>
      </c>
      <c r="J61">
        <v>156</v>
      </c>
      <c r="K61">
        <v>375</v>
      </c>
      <c r="L61">
        <v>0</v>
      </c>
      <c r="M61">
        <v>101</v>
      </c>
      <c r="N61" s="80">
        <v>47</v>
      </c>
      <c r="O61" s="207">
        <v>995</v>
      </c>
      <c r="P61">
        <v>320</v>
      </c>
      <c r="Q61" s="80">
        <v>672</v>
      </c>
      <c r="R61">
        <v>194</v>
      </c>
      <c r="S61">
        <v>451</v>
      </c>
      <c r="T61">
        <v>1</v>
      </c>
      <c r="U61">
        <v>134</v>
      </c>
      <c r="V61" s="80">
        <v>65</v>
      </c>
      <c r="W61" s="208">
        <v>1264</v>
      </c>
      <c r="X61">
        <v>422</v>
      </c>
      <c r="Y61" s="80">
        <v>1009</v>
      </c>
    </row>
    <row r="62" spans="1:25" x14ac:dyDescent="0.25">
      <c r="A62" s="170" t="s">
        <v>95</v>
      </c>
      <c r="B62">
        <v>754</v>
      </c>
      <c r="C62">
        <v>1136</v>
      </c>
      <c r="D62">
        <v>0</v>
      </c>
      <c r="E62">
        <v>80</v>
      </c>
      <c r="F62" s="80">
        <v>700</v>
      </c>
      <c r="G62" s="207">
        <v>2547</v>
      </c>
      <c r="H62">
        <v>1918</v>
      </c>
      <c r="I62" s="80">
        <v>2289</v>
      </c>
      <c r="J62">
        <v>344</v>
      </c>
      <c r="K62">
        <v>523</v>
      </c>
      <c r="L62">
        <v>0</v>
      </c>
      <c r="M62">
        <v>35</v>
      </c>
      <c r="N62" s="80">
        <v>200</v>
      </c>
      <c r="O62" s="207">
        <v>989</v>
      </c>
      <c r="P62">
        <v>665</v>
      </c>
      <c r="Q62" s="80">
        <v>680</v>
      </c>
      <c r="R62">
        <v>481</v>
      </c>
      <c r="S62">
        <v>755</v>
      </c>
      <c r="T62">
        <v>0</v>
      </c>
      <c r="U62">
        <v>52</v>
      </c>
      <c r="V62" s="80">
        <v>313</v>
      </c>
      <c r="W62" s="208">
        <v>1503</v>
      </c>
      <c r="X62">
        <v>1055</v>
      </c>
      <c r="Y62" s="80">
        <v>1230</v>
      </c>
    </row>
    <row r="63" spans="1:25" x14ac:dyDescent="0.25">
      <c r="A63" s="170" t="s">
        <v>96</v>
      </c>
      <c r="B63">
        <v>17</v>
      </c>
      <c r="C63">
        <v>161</v>
      </c>
      <c r="D63">
        <v>0</v>
      </c>
      <c r="E63">
        <v>69</v>
      </c>
      <c r="F63" s="80">
        <v>104</v>
      </c>
      <c r="G63" s="207">
        <v>317</v>
      </c>
      <c r="H63">
        <v>155</v>
      </c>
      <c r="I63" s="80">
        <v>1021</v>
      </c>
      <c r="J63">
        <v>11</v>
      </c>
      <c r="K63">
        <v>106</v>
      </c>
      <c r="L63">
        <v>0</v>
      </c>
      <c r="M63">
        <v>35</v>
      </c>
      <c r="N63" s="80">
        <v>65</v>
      </c>
      <c r="O63" s="207">
        <v>172</v>
      </c>
      <c r="P63">
        <v>69</v>
      </c>
      <c r="Q63" s="80">
        <v>143</v>
      </c>
      <c r="R63">
        <v>15</v>
      </c>
      <c r="S63">
        <v>126</v>
      </c>
      <c r="T63">
        <v>0</v>
      </c>
      <c r="U63">
        <v>37</v>
      </c>
      <c r="V63" s="80">
        <v>50</v>
      </c>
      <c r="W63" s="208">
        <v>220</v>
      </c>
      <c r="X63">
        <v>65</v>
      </c>
      <c r="Y63" s="80">
        <v>211</v>
      </c>
    </row>
    <row r="64" spans="1:25" x14ac:dyDescent="0.25">
      <c r="A64" s="170" t="s">
        <v>97</v>
      </c>
      <c r="B64">
        <v>188</v>
      </c>
      <c r="C64">
        <v>455</v>
      </c>
      <c r="D64">
        <v>0</v>
      </c>
      <c r="E64">
        <v>76</v>
      </c>
      <c r="F64" s="80">
        <v>190</v>
      </c>
      <c r="G64" s="207">
        <v>1155</v>
      </c>
      <c r="H64">
        <v>932</v>
      </c>
      <c r="I64" s="80">
        <v>1347</v>
      </c>
      <c r="J64">
        <v>74</v>
      </c>
      <c r="K64">
        <v>219</v>
      </c>
      <c r="L64">
        <v>0</v>
      </c>
      <c r="M64">
        <v>39</v>
      </c>
      <c r="N64" s="80">
        <v>47</v>
      </c>
      <c r="O64" s="207">
        <v>434</v>
      </c>
      <c r="P64">
        <v>309</v>
      </c>
      <c r="Q64" s="80">
        <v>351</v>
      </c>
      <c r="R64">
        <v>129</v>
      </c>
      <c r="S64">
        <v>331</v>
      </c>
      <c r="T64">
        <v>0</v>
      </c>
      <c r="U64">
        <v>63</v>
      </c>
      <c r="V64" s="80">
        <v>91</v>
      </c>
      <c r="W64" s="208">
        <v>762</v>
      </c>
      <c r="X64">
        <v>578</v>
      </c>
      <c r="Y64" s="80">
        <v>710</v>
      </c>
    </row>
    <row r="65" spans="1:25" x14ac:dyDescent="0.25">
      <c r="A65" s="170" t="s">
        <v>98</v>
      </c>
      <c r="B65">
        <v>643</v>
      </c>
      <c r="C65">
        <v>1093</v>
      </c>
      <c r="D65">
        <v>0</v>
      </c>
      <c r="E65">
        <v>440</v>
      </c>
      <c r="F65" s="80">
        <v>214</v>
      </c>
      <c r="G65" s="207">
        <v>2888</v>
      </c>
      <c r="H65">
        <v>1599</v>
      </c>
      <c r="I65" s="80">
        <v>3689</v>
      </c>
      <c r="J65">
        <v>244</v>
      </c>
      <c r="K65">
        <v>461</v>
      </c>
      <c r="L65">
        <v>0</v>
      </c>
      <c r="M65">
        <v>131</v>
      </c>
      <c r="N65" s="80">
        <v>53</v>
      </c>
      <c r="O65" s="207">
        <v>993</v>
      </c>
      <c r="P65">
        <v>468</v>
      </c>
      <c r="Q65" s="80">
        <v>561</v>
      </c>
      <c r="R65">
        <v>405</v>
      </c>
      <c r="S65">
        <v>771</v>
      </c>
      <c r="T65">
        <v>0</v>
      </c>
      <c r="U65">
        <v>240</v>
      </c>
      <c r="V65" s="80">
        <v>96</v>
      </c>
      <c r="W65" s="208">
        <v>1759</v>
      </c>
      <c r="X65">
        <v>835</v>
      </c>
      <c r="Y65" s="80">
        <v>1343</v>
      </c>
    </row>
    <row r="66" spans="1:25" x14ac:dyDescent="0.25">
      <c r="A66" s="170" t="s">
        <v>99</v>
      </c>
      <c r="B66">
        <v>1179</v>
      </c>
      <c r="C66">
        <v>1315</v>
      </c>
      <c r="D66">
        <v>0</v>
      </c>
      <c r="E66">
        <v>921</v>
      </c>
      <c r="F66" s="80">
        <v>955</v>
      </c>
      <c r="G66" s="207">
        <v>4360</v>
      </c>
      <c r="H66">
        <v>4143</v>
      </c>
      <c r="I66" s="80">
        <v>3567</v>
      </c>
      <c r="J66">
        <v>427</v>
      </c>
      <c r="K66">
        <v>436</v>
      </c>
      <c r="L66">
        <v>0</v>
      </c>
      <c r="M66">
        <v>263</v>
      </c>
      <c r="N66" s="80">
        <v>209</v>
      </c>
      <c r="O66" s="207">
        <v>1035</v>
      </c>
      <c r="P66">
        <v>1144</v>
      </c>
      <c r="Q66" s="80">
        <v>387</v>
      </c>
      <c r="R66">
        <v>624</v>
      </c>
      <c r="S66">
        <v>722</v>
      </c>
      <c r="T66">
        <v>0</v>
      </c>
      <c r="U66">
        <v>436</v>
      </c>
      <c r="V66" s="80">
        <v>329</v>
      </c>
      <c r="W66" s="208">
        <v>2038</v>
      </c>
      <c r="X66">
        <v>1888</v>
      </c>
      <c r="Y66" s="80">
        <v>996</v>
      </c>
    </row>
    <row r="67" spans="1:25" x14ac:dyDescent="0.25">
      <c r="A67" s="170" t="s">
        <v>100</v>
      </c>
      <c r="B67">
        <v>678</v>
      </c>
      <c r="C67">
        <v>744</v>
      </c>
      <c r="D67">
        <v>0</v>
      </c>
      <c r="E67">
        <v>159</v>
      </c>
      <c r="F67" s="80">
        <v>257</v>
      </c>
      <c r="G67" s="207">
        <v>2091</v>
      </c>
      <c r="H67">
        <v>1351</v>
      </c>
      <c r="I67" s="80">
        <v>1779</v>
      </c>
      <c r="J67">
        <v>404</v>
      </c>
      <c r="K67">
        <v>444</v>
      </c>
      <c r="L67">
        <v>0</v>
      </c>
      <c r="M67">
        <v>92</v>
      </c>
      <c r="N67" s="80">
        <v>109</v>
      </c>
      <c r="O67" s="207">
        <v>1159</v>
      </c>
      <c r="P67">
        <v>685</v>
      </c>
      <c r="Q67" s="80">
        <v>584</v>
      </c>
      <c r="R67">
        <v>537</v>
      </c>
      <c r="S67">
        <v>609</v>
      </c>
      <c r="T67">
        <v>0</v>
      </c>
      <c r="U67">
        <v>131</v>
      </c>
      <c r="V67" s="80">
        <v>151</v>
      </c>
      <c r="W67" s="208">
        <v>1666</v>
      </c>
      <c r="X67">
        <v>1006</v>
      </c>
      <c r="Y67" s="80">
        <v>1009</v>
      </c>
    </row>
    <row r="68" spans="1:25" x14ac:dyDescent="0.25">
      <c r="A68" s="170" t="s">
        <v>101</v>
      </c>
      <c r="B68">
        <v>1710</v>
      </c>
      <c r="C68">
        <v>1265</v>
      </c>
      <c r="D68">
        <v>0</v>
      </c>
      <c r="E68">
        <v>781</v>
      </c>
      <c r="F68" s="80">
        <v>710</v>
      </c>
      <c r="G68" s="207">
        <v>5659</v>
      </c>
      <c r="H68">
        <v>3309</v>
      </c>
      <c r="I68" s="80">
        <v>5977</v>
      </c>
      <c r="J68">
        <v>1086</v>
      </c>
      <c r="K68">
        <v>892</v>
      </c>
      <c r="L68">
        <v>0</v>
      </c>
      <c r="M68">
        <v>502</v>
      </c>
      <c r="N68" s="80">
        <v>348</v>
      </c>
      <c r="O68" s="207">
        <v>3468</v>
      </c>
      <c r="P68">
        <v>1748</v>
      </c>
      <c r="Q68" s="80">
        <v>2762</v>
      </c>
      <c r="R68">
        <v>1376</v>
      </c>
      <c r="S68">
        <v>1116</v>
      </c>
      <c r="T68">
        <v>0</v>
      </c>
      <c r="U68">
        <v>632</v>
      </c>
      <c r="V68" s="80">
        <v>461</v>
      </c>
      <c r="W68" s="208">
        <v>4547</v>
      </c>
      <c r="X68">
        <v>2413</v>
      </c>
      <c r="Y68" s="80">
        <v>4051</v>
      </c>
    </row>
    <row r="69" spans="1:25" x14ac:dyDescent="0.25">
      <c r="A69" s="170" t="s">
        <v>102</v>
      </c>
      <c r="B69">
        <v>1777</v>
      </c>
      <c r="C69">
        <v>1754</v>
      </c>
      <c r="D69">
        <v>0</v>
      </c>
      <c r="E69">
        <v>820</v>
      </c>
      <c r="F69" s="80">
        <v>1173</v>
      </c>
      <c r="G69" s="207">
        <v>3942</v>
      </c>
      <c r="H69">
        <v>3897</v>
      </c>
      <c r="I69" s="80">
        <v>2787</v>
      </c>
      <c r="J69">
        <v>841</v>
      </c>
      <c r="K69">
        <v>943</v>
      </c>
      <c r="L69">
        <v>0</v>
      </c>
      <c r="M69">
        <v>382</v>
      </c>
      <c r="N69" s="80">
        <v>407</v>
      </c>
      <c r="O69" s="207">
        <v>1774</v>
      </c>
      <c r="P69">
        <v>1403</v>
      </c>
      <c r="Q69" s="80">
        <v>886</v>
      </c>
      <c r="R69">
        <v>1194</v>
      </c>
      <c r="S69">
        <v>1311</v>
      </c>
      <c r="T69">
        <v>0</v>
      </c>
      <c r="U69">
        <v>562</v>
      </c>
      <c r="V69" s="80">
        <v>603</v>
      </c>
      <c r="W69" s="208">
        <v>2671</v>
      </c>
      <c r="X69">
        <v>2213</v>
      </c>
      <c r="Y69" s="80">
        <v>1620</v>
      </c>
    </row>
    <row r="70" spans="1:25" x14ac:dyDescent="0.25">
      <c r="A70" s="170" t="s">
        <v>103</v>
      </c>
      <c r="B70">
        <v>154</v>
      </c>
      <c r="C70">
        <v>714</v>
      </c>
      <c r="D70">
        <v>0</v>
      </c>
      <c r="E70">
        <v>114</v>
      </c>
      <c r="F70" s="80">
        <v>123</v>
      </c>
      <c r="G70" s="207">
        <v>1777</v>
      </c>
      <c r="H70">
        <v>686</v>
      </c>
      <c r="I70" s="80">
        <v>1594</v>
      </c>
      <c r="J70">
        <v>116</v>
      </c>
      <c r="K70">
        <v>502</v>
      </c>
      <c r="L70">
        <v>0</v>
      </c>
      <c r="M70">
        <v>69</v>
      </c>
      <c r="N70" s="80">
        <v>71</v>
      </c>
      <c r="O70" s="207">
        <v>1147</v>
      </c>
      <c r="P70">
        <v>413</v>
      </c>
      <c r="Q70" s="80">
        <v>802</v>
      </c>
      <c r="R70">
        <v>138</v>
      </c>
      <c r="S70">
        <v>619</v>
      </c>
      <c r="T70">
        <v>0</v>
      </c>
      <c r="U70">
        <v>90</v>
      </c>
      <c r="V70" s="80">
        <v>98</v>
      </c>
      <c r="W70" s="208">
        <v>1461</v>
      </c>
      <c r="X70">
        <v>528</v>
      </c>
      <c r="Y70" s="80">
        <v>1199</v>
      </c>
    </row>
    <row r="71" spans="1:25" x14ac:dyDescent="0.25">
      <c r="A71" s="170" t="s">
        <v>104</v>
      </c>
      <c r="B71">
        <v>200</v>
      </c>
      <c r="C71">
        <v>576</v>
      </c>
      <c r="D71">
        <v>0</v>
      </c>
      <c r="E71">
        <v>155</v>
      </c>
      <c r="F71" s="80">
        <v>115</v>
      </c>
      <c r="G71" s="207">
        <v>939</v>
      </c>
      <c r="H71">
        <v>581</v>
      </c>
      <c r="I71" s="80">
        <v>935</v>
      </c>
      <c r="J71">
        <v>140</v>
      </c>
      <c r="K71">
        <v>408</v>
      </c>
      <c r="L71">
        <v>0</v>
      </c>
      <c r="M71">
        <v>97</v>
      </c>
      <c r="N71" s="80">
        <v>64</v>
      </c>
      <c r="O71" s="207">
        <v>631</v>
      </c>
      <c r="P71">
        <v>318</v>
      </c>
      <c r="Q71" s="80">
        <v>513</v>
      </c>
      <c r="R71">
        <v>169</v>
      </c>
      <c r="S71">
        <v>499</v>
      </c>
      <c r="T71">
        <v>0</v>
      </c>
      <c r="U71">
        <v>130</v>
      </c>
      <c r="V71" s="80">
        <v>78</v>
      </c>
      <c r="W71" s="208">
        <v>785</v>
      </c>
      <c r="X71">
        <v>415</v>
      </c>
      <c r="Y71" s="80">
        <v>734</v>
      </c>
    </row>
    <row r="72" spans="1:25" x14ac:dyDescent="0.25">
      <c r="A72" s="170" t="s">
        <v>33</v>
      </c>
      <c r="B72">
        <v>101</v>
      </c>
      <c r="C72">
        <v>277</v>
      </c>
      <c r="D72">
        <v>0</v>
      </c>
      <c r="E72">
        <v>6</v>
      </c>
      <c r="F72" s="80">
        <v>53</v>
      </c>
      <c r="G72" s="207">
        <v>313</v>
      </c>
      <c r="H72">
        <v>309</v>
      </c>
      <c r="I72" s="80">
        <v>3783</v>
      </c>
      <c r="J72">
        <v>65</v>
      </c>
      <c r="K72">
        <v>163</v>
      </c>
      <c r="L72">
        <v>0</v>
      </c>
      <c r="M72">
        <v>4</v>
      </c>
      <c r="N72" s="80">
        <v>24</v>
      </c>
      <c r="O72" s="207">
        <v>185</v>
      </c>
      <c r="P72">
        <v>134</v>
      </c>
      <c r="Q72" s="80">
        <v>217</v>
      </c>
      <c r="R72">
        <v>85</v>
      </c>
      <c r="S72">
        <v>229</v>
      </c>
      <c r="T72">
        <v>0</v>
      </c>
      <c r="U72">
        <v>5</v>
      </c>
      <c r="V72" s="80">
        <v>32</v>
      </c>
      <c r="W72" s="208">
        <v>267</v>
      </c>
      <c r="X72">
        <v>183</v>
      </c>
      <c r="Y72" s="80">
        <v>402</v>
      </c>
    </row>
    <row r="73" spans="1:25" ht="17.25" x14ac:dyDescent="0.25">
      <c r="A73" s="170" t="s">
        <v>105</v>
      </c>
      <c r="B73">
        <v>560</v>
      </c>
      <c r="C73">
        <v>448</v>
      </c>
      <c r="D73">
        <v>0</v>
      </c>
      <c r="E73">
        <v>108</v>
      </c>
      <c r="F73" s="80">
        <v>295</v>
      </c>
      <c r="G73" s="207">
        <v>1867</v>
      </c>
      <c r="H73">
        <v>1795</v>
      </c>
      <c r="I73" s="80">
        <v>1971</v>
      </c>
      <c r="J73">
        <v>232</v>
      </c>
      <c r="K73">
        <v>160</v>
      </c>
      <c r="L73">
        <v>0</v>
      </c>
      <c r="M73">
        <v>38</v>
      </c>
      <c r="N73" s="80">
        <v>54</v>
      </c>
      <c r="O73" s="207">
        <v>515</v>
      </c>
      <c r="P73">
        <v>478</v>
      </c>
      <c r="Q73" s="80">
        <v>268</v>
      </c>
      <c r="R73">
        <v>320</v>
      </c>
      <c r="S73">
        <v>244</v>
      </c>
      <c r="T73">
        <v>0</v>
      </c>
      <c r="U73">
        <v>55</v>
      </c>
      <c r="V73" s="80">
        <v>86</v>
      </c>
      <c r="W73" s="208">
        <v>802</v>
      </c>
      <c r="X73">
        <v>759</v>
      </c>
      <c r="Y73" s="80">
        <v>551</v>
      </c>
    </row>
    <row r="74" spans="1:25" x14ac:dyDescent="0.25">
      <c r="A74" s="170" t="s">
        <v>106</v>
      </c>
      <c r="B74">
        <v>523</v>
      </c>
      <c r="C74">
        <v>1039</v>
      </c>
      <c r="D74">
        <v>0</v>
      </c>
      <c r="E74">
        <v>202</v>
      </c>
      <c r="F74" s="80">
        <v>77</v>
      </c>
      <c r="G74" s="207">
        <v>2865</v>
      </c>
      <c r="H74">
        <v>1519</v>
      </c>
      <c r="I74" s="80">
        <v>3314</v>
      </c>
      <c r="J74">
        <v>308</v>
      </c>
      <c r="K74">
        <v>622</v>
      </c>
      <c r="L74">
        <v>0</v>
      </c>
      <c r="M74">
        <v>113</v>
      </c>
      <c r="N74" s="80">
        <v>35</v>
      </c>
      <c r="O74" s="207">
        <v>1560</v>
      </c>
      <c r="P74">
        <v>783</v>
      </c>
      <c r="Q74" s="80">
        <v>1354</v>
      </c>
      <c r="R74">
        <v>415</v>
      </c>
      <c r="S74">
        <v>838</v>
      </c>
      <c r="T74">
        <v>0</v>
      </c>
      <c r="U74">
        <v>156</v>
      </c>
      <c r="V74" s="80">
        <v>49</v>
      </c>
      <c r="W74" s="208">
        <v>2150</v>
      </c>
      <c r="X74">
        <v>1119</v>
      </c>
      <c r="Y74" s="80">
        <v>2199</v>
      </c>
    </row>
    <row r="75" spans="1:25" x14ac:dyDescent="0.25">
      <c r="A75" s="170" t="s">
        <v>107</v>
      </c>
      <c r="B75">
        <v>239</v>
      </c>
      <c r="C75">
        <v>621</v>
      </c>
      <c r="D75">
        <v>0</v>
      </c>
      <c r="E75">
        <v>99</v>
      </c>
      <c r="F75" s="80">
        <v>105</v>
      </c>
      <c r="G75" s="207">
        <v>1365</v>
      </c>
      <c r="H75">
        <v>785</v>
      </c>
      <c r="I75" s="80">
        <v>1753</v>
      </c>
      <c r="J75">
        <v>158</v>
      </c>
      <c r="K75">
        <v>402</v>
      </c>
      <c r="L75">
        <v>0</v>
      </c>
      <c r="M75">
        <v>46</v>
      </c>
      <c r="N75" s="80">
        <v>48</v>
      </c>
      <c r="O75" s="207">
        <v>793</v>
      </c>
      <c r="P75">
        <v>386</v>
      </c>
      <c r="Q75" s="80">
        <v>798</v>
      </c>
      <c r="R75">
        <v>206</v>
      </c>
      <c r="S75">
        <v>533</v>
      </c>
      <c r="T75">
        <v>0</v>
      </c>
      <c r="U75">
        <v>78</v>
      </c>
      <c r="V75" s="80">
        <v>70</v>
      </c>
      <c r="W75" s="208">
        <v>1129</v>
      </c>
      <c r="X75">
        <v>532</v>
      </c>
      <c r="Y75" s="80">
        <v>1206</v>
      </c>
    </row>
    <row r="76" spans="1:25" x14ac:dyDescent="0.25">
      <c r="A76" s="137" t="s">
        <v>108</v>
      </c>
      <c r="B76" s="131">
        <f>SUM(B4:B75)</f>
        <v>43990</v>
      </c>
      <c r="C76" s="131">
        <f t="shared" ref="C76:Y76" si="0">SUM(C4:C75)</f>
        <v>61822</v>
      </c>
      <c r="D76" s="131">
        <f t="shared" si="0"/>
        <v>106</v>
      </c>
      <c r="E76" s="131">
        <f t="shared" si="0"/>
        <v>20974</v>
      </c>
      <c r="F76" s="131">
        <f t="shared" si="0"/>
        <v>25235</v>
      </c>
      <c r="G76" s="131">
        <f t="shared" si="0"/>
        <v>186498</v>
      </c>
      <c r="H76" s="131">
        <f t="shared" si="0"/>
        <v>126481</v>
      </c>
      <c r="I76" s="131">
        <f t="shared" si="0"/>
        <v>188675</v>
      </c>
      <c r="J76" s="131">
        <f t="shared" si="0"/>
        <v>24088</v>
      </c>
      <c r="K76" s="131">
        <f t="shared" si="0"/>
        <v>33490</v>
      </c>
      <c r="L76" s="131">
        <f t="shared" si="0"/>
        <v>50</v>
      </c>
      <c r="M76" s="131">
        <f t="shared" si="0"/>
        <v>9628</v>
      </c>
      <c r="N76" s="131">
        <f t="shared" si="0"/>
        <v>9110</v>
      </c>
      <c r="O76" s="131">
        <f t="shared" si="0"/>
        <v>83503</v>
      </c>
      <c r="P76" s="131">
        <f t="shared" si="0"/>
        <v>53780</v>
      </c>
      <c r="Q76" s="131">
        <f t="shared" si="0"/>
        <v>50646</v>
      </c>
      <c r="R76" s="131">
        <f t="shared" si="0"/>
        <v>32624</v>
      </c>
      <c r="S76" s="131">
        <f t="shared" si="0"/>
        <v>46348</v>
      </c>
      <c r="T76" s="131">
        <f t="shared" si="0"/>
        <v>84</v>
      </c>
      <c r="U76" s="131">
        <f t="shared" si="0"/>
        <v>14093</v>
      </c>
      <c r="V76" s="131">
        <f t="shared" si="0"/>
        <v>13364</v>
      </c>
      <c r="W76" s="131">
        <f t="shared" si="0"/>
        <v>124252</v>
      </c>
      <c r="X76" s="131">
        <f t="shared" si="0"/>
        <v>79596</v>
      </c>
      <c r="Y76" s="131">
        <f t="shared" si="0"/>
        <v>90262</v>
      </c>
    </row>
  </sheetData>
  <pageMargins left="0.7" right="0.7" top="0.75" bottom="0.75" header="0.3" footer="0.3"/>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76"/>
  <sheetViews>
    <sheetView workbookViewId="0">
      <pane ySplit="3" topLeftCell="A69" activePane="bottomLeft" state="frozen"/>
      <selection pane="bottomLeft" activeCell="H76" sqref="H76"/>
    </sheetView>
  </sheetViews>
  <sheetFormatPr defaultColWidth="8.85546875" defaultRowHeight="15" x14ac:dyDescent="0.25"/>
  <cols>
    <col min="1" max="1" width="18.7109375" style="80" bestFit="1" customWidth="1"/>
    <col min="2" max="3" width="10" style="80" bestFit="1" customWidth="1"/>
    <col min="4" max="4" width="8.85546875" style="80" bestFit="1" customWidth="1"/>
    <col min="5" max="6" width="10" style="80" bestFit="1" customWidth="1"/>
    <col min="7" max="9" width="11" style="80" bestFit="1" customWidth="1"/>
    <col min="10" max="11" width="10" style="80" bestFit="1" customWidth="1"/>
    <col min="12" max="12" width="8.85546875" style="80" bestFit="1" customWidth="1"/>
    <col min="13" max="14" width="9" style="80" bestFit="1" customWidth="1"/>
    <col min="15" max="19" width="10" style="80" bestFit="1" customWidth="1"/>
    <col min="20" max="20" width="8.85546875" style="80" bestFit="1" customWidth="1"/>
    <col min="21" max="22" width="10" style="80" bestFit="1" customWidth="1"/>
    <col min="23" max="23" width="11" style="80" bestFit="1" customWidth="1"/>
    <col min="24" max="25" width="10" style="80" bestFit="1" customWidth="1"/>
    <col min="26" max="16384" width="8.85546875" style="80"/>
  </cols>
  <sheetData>
    <row r="1" spans="1:75" x14ac:dyDescent="0.25">
      <c r="B1" s="313" t="s">
        <v>204</v>
      </c>
      <c r="C1" s="313"/>
      <c r="D1" s="313"/>
      <c r="E1" s="313"/>
      <c r="F1" s="313"/>
      <c r="G1" s="313"/>
      <c r="H1" s="313"/>
      <c r="I1" s="313"/>
      <c r="J1" s="313"/>
      <c r="K1" s="313"/>
      <c r="L1" s="313"/>
      <c r="M1" s="313"/>
      <c r="N1" s="313"/>
      <c r="O1" s="313"/>
      <c r="P1" s="313"/>
      <c r="Q1" s="313"/>
      <c r="R1" s="313"/>
      <c r="S1" s="313"/>
      <c r="T1" s="313"/>
      <c r="U1" s="313"/>
      <c r="V1" s="313"/>
      <c r="W1" s="313"/>
      <c r="X1" s="313"/>
      <c r="Y1" s="313"/>
    </row>
    <row r="2" spans="1:75" ht="18.75" x14ac:dyDescent="0.3">
      <c r="A2" s="206"/>
      <c r="B2" s="317" t="s">
        <v>109</v>
      </c>
      <c r="C2" s="318"/>
      <c r="D2" s="318"/>
      <c r="E2" s="318"/>
      <c r="F2" s="318"/>
      <c r="G2" s="318"/>
      <c r="H2" s="318"/>
      <c r="I2" s="318"/>
      <c r="J2" s="317" t="s">
        <v>110</v>
      </c>
      <c r="K2" s="318"/>
      <c r="L2" s="318"/>
      <c r="M2" s="318"/>
      <c r="N2" s="318"/>
      <c r="O2" s="318"/>
      <c r="P2" s="318"/>
      <c r="Q2" s="318"/>
      <c r="R2" s="317" t="s">
        <v>111</v>
      </c>
      <c r="S2" s="318"/>
      <c r="T2" s="318"/>
      <c r="U2" s="318"/>
      <c r="V2" s="318"/>
      <c r="W2" s="318"/>
      <c r="X2" s="318"/>
      <c r="Y2" s="318"/>
      <c r="Z2" s="130"/>
      <c r="AA2" s="132"/>
      <c r="AB2" s="133"/>
      <c r="AC2" s="132"/>
      <c r="AD2" s="132"/>
      <c r="AE2" s="132"/>
      <c r="AF2" s="132"/>
      <c r="AG2" s="132"/>
      <c r="AH2" s="132"/>
      <c r="AI2" s="134"/>
      <c r="AJ2" s="133"/>
      <c r="AK2" s="134"/>
      <c r="AL2" s="134"/>
      <c r="AM2" s="134"/>
      <c r="AN2" s="134"/>
      <c r="AO2" s="134"/>
      <c r="AP2" s="134"/>
      <c r="AQ2" s="135"/>
      <c r="AR2" s="133"/>
      <c r="AS2" s="135"/>
      <c r="AT2" s="135"/>
      <c r="AU2" s="135"/>
      <c r="AV2" s="135"/>
      <c r="AW2" s="135"/>
      <c r="AX2" s="135"/>
      <c r="AY2" s="130"/>
      <c r="AZ2" s="132"/>
      <c r="BA2" s="133"/>
      <c r="BB2" s="132"/>
      <c r="BC2" s="132"/>
      <c r="BD2" s="132"/>
      <c r="BE2" s="132"/>
      <c r="BF2" s="132"/>
      <c r="BG2" s="132"/>
      <c r="BH2" s="134"/>
      <c r="BI2" s="133"/>
      <c r="BJ2" s="134"/>
      <c r="BK2" s="134"/>
      <c r="BL2" s="134"/>
      <c r="BM2" s="134"/>
      <c r="BN2" s="134"/>
      <c r="BO2" s="134"/>
      <c r="BP2" s="135"/>
      <c r="BQ2" s="133"/>
      <c r="BR2" s="135"/>
      <c r="BS2" s="135"/>
      <c r="BT2" s="135"/>
      <c r="BU2" s="135"/>
      <c r="BV2" s="135"/>
      <c r="BW2" s="135"/>
    </row>
    <row r="3" spans="1:75" s="192" customFormat="1" ht="60.6" customHeight="1" x14ac:dyDescent="0.25">
      <c r="A3" s="190" t="s">
        <v>8</v>
      </c>
      <c r="B3" s="191" t="s">
        <v>209</v>
      </c>
      <c r="C3" s="191" t="s">
        <v>210</v>
      </c>
      <c r="D3" s="191" t="s">
        <v>211</v>
      </c>
      <c r="E3" s="191" t="s">
        <v>212</v>
      </c>
      <c r="F3" s="192" t="s">
        <v>117</v>
      </c>
      <c r="G3" s="192" t="s">
        <v>115</v>
      </c>
      <c r="H3" s="192" t="s">
        <v>116</v>
      </c>
      <c r="I3" s="192" t="s">
        <v>118</v>
      </c>
      <c r="J3" s="192" t="s">
        <v>113</v>
      </c>
      <c r="K3" s="192" t="s">
        <v>112</v>
      </c>
      <c r="L3" s="192" t="s">
        <v>131</v>
      </c>
      <c r="M3" s="192" t="s">
        <v>114</v>
      </c>
      <c r="N3" s="192" t="s">
        <v>117</v>
      </c>
      <c r="O3" s="192" t="s">
        <v>115</v>
      </c>
      <c r="P3" s="192" t="s">
        <v>116</v>
      </c>
      <c r="Q3" s="192" t="s">
        <v>118</v>
      </c>
      <c r="R3" s="192" t="s">
        <v>113</v>
      </c>
      <c r="S3" s="192" t="s">
        <v>112</v>
      </c>
      <c r="T3" s="192" t="s">
        <v>131</v>
      </c>
      <c r="U3" s="192" t="s">
        <v>114</v>
      </c>
      <c r="V3" s="192" t="s">
        <v>117</v>
      </c>
      <c r="W3" s="192" t="s">
        <v>115</v>
      </c>
      <c r="X3" s="192" t="s">
        <v>116</v>
      </c>
      <c r="Y3" s="192" t="s">
        <v>118</v>
      </c>
      <c r="Z3" s="193"/>
      <c r="AY3" s="193"/>
    </row>
    <row r="4" spans="1:75" x14ac:dyDescent="0.25">
      <c r="A4" s="170" t="s">
        <v>43</v>
      </c>
      <c r="B4">
        <v>247</v>
      </c>
      <c r="C4">
        <v>643</v>
      </c>
      <c r="D4">
        <v>0</v>
      </c>
      <c r="E4">
        <v>259</v>
      </c>
      <c r="F4" s="80">
        <v>216</v>
      </c>
      <c r="G4" s="209">
        <v>1933</v>
      </c>
      <c r="H4">
        <v>803</v>
      </c>
      <c r="I4" s="80">
        <v>2511</v>
      </c>
      <c r="J4">
        <v>133</v>
      </c>
      <c r="K4">
        <v>346</v>
      </c>
      <c r="L4">
        <v>0</v>
      </c>
      <c r="M4">
        <v>120</v>
      </c>
      <c r="N4" s="80">
        <v>93</v>
      </c>
      <c r="O4" s="209">
        <v>877</v>
      </c>
      <c r="P4">
        <v>289</v>
      </c>
      <c r="Q4" s="80">
        <v>435</v>
      </c>
      <c r="R4">
        <v>195</v>
      </c>
      <c r="S4">
        <v>520</v>
      </c>
      <c r="T4">
        <v>0</v>
      </c>
      <c r="U4">
        <v>194</v>
      </c>
      <c r="V4" s="80">
        <v>156</v>
      </c>
      <c r="W4" s="209">
        <v>1417</v>
      </c>
      <c r="X4">
        <v>467</v>
      </c>
      <c r="Y4" s="80">
        <v>919</v>
      </c>
      <c r="Z4" s="210"/>
    </row>
    <row r="5" spans="1:75" x14ac:dyDescent="0.25">
      <c r="A5" s="170" t="s">
        <v>44</v>
      </c>
      <c r="B5">
        <v>406</v>
      </c>
      <c r="C5">
        <v>775</v>
      </c>
      <c r="D5">
        <v>0</v>
      </c>
      <c r="E5">
        <v>191</v>
      </c>
      <c r="F5" s="80">
        <v>206</v>
      </c>
      <c r="G5" s="209">
        <v>2138</v>
      </c>
      <c r="H5">
        <v>966</v>
      </c>
      <c r="I5" s="80">
        <v>1001</v>
      </c>
      <c r="J5">
        <v>286</v>
      </c>
      <c r="K5">
        <v>512</v>
      </c>
      <c r="L5">
        <v>0</v>
      </c>
      <c r="M5">
        <v>135</v>
      </c>
      <c r="N5" s="80">
        <v>122</v>
      </c>
      <c r="O5" s="209">
        <v>1421</v>
      </c>
      <c r="P5">
        <v>549</v>
      </c>
      <c r="Q5" s="80">
        <v>502</v>
      </c>
      <c r="R5">
        <v>347</v>
      </c>
      <c r="S5">
        <v>640</v>
      </c>
      <c r="T5">
        <v>0</v>
      </c>
      <c r="U5">
        <v>162</v>
      </c>
      <c r="V5" s="80">
        <v>157</v>
      </c>
      <c r="W5" s="209">
        <v>1796</v>
      </c>
      <c r="X5">
        <v>771</v>
      </c>
      <c r="Y5" s="80">
        <v>724</v>
      </c>
    </row>
    <row r="6" spans="1:75" x14ac:dyDescent="0.25">
      <c r="A6" s="170" t="s">
        <v>45</v>
      </c>
      <c r="B6">
        <v>73</v>
      </c>
      <c r="C6">
        <v>216</v>
      </c>
      <c r="D6">
        <v>0</v>
      </c>
      <c r="E6">
        <v>7</v>
      </c>
      <c r="F6" s="80">
        <v>25</v>
      </c>
      <c r="G6" s="209">
        <v>421</v>
      </c>
      <c r="H6">
        <v>358</v>
      </c>
      <c r="I6" s="80">
        <v>460</v>
      </c>
      <c r="J6">
        <v>57</v>
      </c>
      <c r="K6">
        <v>160</v>
      </c>
      <c r="L6">
        <v>0</v>
      </c>
      <c r="M6">
        <v>7</v>
      </c>
      <c r="N6" s="80">
        <v>20</v>
      </c>
      <c r="O6" s="209">
        <v>312</v>
      </c>
      <c r="P6">
        <v>164</v>
      </c>
      <c r="Q6" s="80">
        <v>186</v>
      </c>
      <c r="R6">
        <v>66</v>
      </c>
      <c r="S6">
        <v>192</v>
      </c>
      <c r="T6">
        <v>0</v>
      </c>
      <c r="U6">
        <v>7</v>
      </c>
      <c r="V6" s="80">
        <v>23</v>
      </c>
      <c r="W6" s="209">
        <v>374</v>
      </c>
      <c r="X6">
        <v>241</v>
      </c>
      <c r="Y6" s="80">
        <v>285</v>
      </c>
    </row>
    <row r="7" spans="1:75" x14ac:dyDescent="0.25">
      <c r="A7" s="170" t="s">
        <v>46</v>
      </c>
      <c r="B7">
        <v>279</v>
      </c>
      <c r="C7">
        <v>753</v>
      </c>
      <c r="D7">
        <v>0</v>
      </c>
      <c r="E7">
        <v>334</v>
      </c>
      <c r="F7" s="80">
        <v>232</v>
      </c>
      <c r="G7" s="209">
        <v>2260</v>
      </c>
      <c r="H7">
        <v>1237</v>
      </c>
      <c r="I7" s="80">
        <v>1585</v>
      </c>
      <c r="J7">
        <v>184</v>
      </c>
      <c r="K7">
        <v>509</v>
      </c>
      <c r="L7">
        <v>0</v>
      </c>
      <c r="M7">
        <v>152</v>
      </c>
      <c r="N7" s="80">
        <v>107</v>
      </c>
      <c r="O7" s="209">
        <v>1279</v>
      </c>
      <c r="P7">
        <v>658</v>
      </c>
      <c r="Q7" s="80">
        <v>762</v>
      </c>
      <c r="R7">
        <v>222</v>
      </c>
      <c r="S7">
        <v>618</v>
      </c>
      <c r="T7">
        <v>0</v>
      </c>
      <c r="U7">
        <v>208</v>
      </c>
      <c r="V7" s="80">
        <v>140</v>
      </c>
      <c r="W7" s="209">
        <v>1677</v>
      </c>
      <c r="X7">
        <v>859</v>
      </c>
      <c r="Y7" s="80">
        <v>1029</v>
      </c>
    </row>
    <row r="8" spans="1:75" x14ac:dyDescent="0.25">
      <c r="A8" s="170" t="s">
        <v>47</v>
      </c>
      <c r="B8">
        <v>219</v>
      </c>
      <c r="C8">
        <v>654</v>
      </c>
      <c r="D8">
        <v>0</v>
      </c>
      <c r="E8">
        <v>78</v>
      </c>
      <c r="F8" s="80">
        <v>150</v>
      </c>
      <c r="G8" s="209">
        <v>1174</v>
      </c>
      <c r="H8">
        <v>955</v>
      </c>
      <c r="I8" s="80">
        <v>1405</v>
      </c>
      <c r="J8">
        <v>103</v>
      </c>
      <c r="K8">
        <v>364</v>
      </c>
      <c r="L8">
        <v>0</v>
      </c>
      <c r="M8">
        <v>49</v>
      </c>
      <c r="N8" s="80">
        <v>37</v>
      </c>
      <c r="O8" s="209">
        <v>595</v>
      </c>
      <c r="P8">
        <v>383</v>
      </c>
      <c r="Q8" s="80">
        <v>355</v>
      </c>
      <c r="R8">
        <v>156</v>
      </c>
      <c r="S8">
        <v>482</v>
      </c>
      <c r="T8">
        <v>0</v>
      </c>
      <c r="U8">
        <v>71</v>
      </c>
      <c r="V8" s="80">
        <v>65</v>
      </c>
      <c r="W8" s="209">
        <v>846</v>
      </c>
      <c r="X8">
        <v>561</v>
      </c>
      <c r="Y8" s="80">
        <v>622</v>
      </c>
    </row>
    <row r="9" spans="1:75" x14ac:dyDescent="0.25">
      <c r="A9" s="170" t="s">
        <v>48</v>
      </c>
      <c r="B9">
        <v>595</v>
      </c>
      <c r="C9">
        <v>816</v>
      </c>
      <c r="D9">
        <v>0</v>
      </c>
      <c r="E9">
        <v>585</v>
      </c>
      <c r="F9" s="80">
        <v>156</v>
      </c>
      <c r="G9" s="209">
        <v>3846</v>
      </c>
      <c r="H9">
        <v>1377</v>
      </c>
      <c r="I9" s="80">
        <v>2486</v>
      </c>
      <c r="J9">
        <v>440</v>
      </c>
      <c r="K9">
        <v>541</v>
      </c>
      <c r="L9">
        <v>0</v>
      </c>
      <c r="M9">
        <v>256</v>
      </c>
      <c r="N9" s="80">
        <v>70</v>
      </c>
      <c r="O9" s="209">
        <v>2095</v>
      </c>
      <c r="P9">
        <v>900</v>
      </c>
      <c r="Q9" s="80">
        <v>812</v>
      </c>
      <c r="R9">
        <v>531</v>
      </c>
      <c r="S9">
        <v>695</v>
      </c>
      <c r="T9">
        <v>0</v>
      </c>
      <c r="U9">
        <v>363</v>
      </c>
      <c r="V9" s="80">
        <v>102</v>
      </c>
      <c r="W9" s="209">
        <v>2804</v>
      </c>
      <c r="X9">
        <v>1103</v>
      </c>
      <c r="Y9" s="80">
        <v>1268</v>
      </c>
    </row>
    <row r="10" spans="1:75" x14ac:dyDescent="0.25">
      <c r="A10" s="170" t="s">
        <v>49</v>
      </c>
      <c r="B10">
        <v>504</v>
      </c>
      <c r="C10">
        <v>865</v>
      </c>
      <c r="D10">
        <v>0</v>
      </c>
      <c r="E10">
        <v>208</v>
      </c>
      <c r="F10" s="80">
        <v>474</v>
      </c>
      <c r="G10" s="209">
        <v>2582</v>
      </c>
      <c r="H10">
        <v>1905</v>
      </c>
      <c r="I10" s="80">
        <v>2293</v>
      </c>
      <c r="J10">
        <v>239</v>
      </c>
      <c r="K10">
        <v>400</v>
      </c>
      <c r="L10">
        <v>0</v>
      </c>
      <c r="M10">
        <v>70</v>
      </c>
      <c r="N10" s="80">
        <v>132</v>
      </c>
      <c r="O10" s="209">
        <v>838</v>
      </c>
      <c r="P10">
        <v>747</v>
      </c>
      <c r="Q10" s="80">
        <v>483</v>
      </c>
      <c r="R10">
        <v>328</v>
      </c>
      <c r="S10">
        <v>564</v>
      </c>
      <c r="T10">
        <v>0</v>
      </c>
      <c r="U10">
        <v>113</v>
      </c>
      <c r="V10" s="80">
        <v>194</v>
      </c>
      <c r="W10" s="209">
        <v>1320</v>
      </c>
      <c r="X10">
        <v>1103</v>
      </c>
      <c r="Y10" s="80">
        <v>887</v>
      </c>
    </row>
    <row r="11" spans="1:75" x14ac:dyDescent="0.25">
      <c r="A11" s="170" t="s">
        <v>50</v>
      </c>
      <c r="B11">
        <v>641</v>
      </c>
      <c r="C11">
        <v>743</v>
      </c>
      <c r="D11">
        <v>0</v>
      </c>
      <c r="E11">
        <v>215</v>
      </c>
      <c r="F11" s="80">
        <v>254</v>
      </c>
      <c r="G11" s="209">
        <v>2442</v>
      </c>
      <c r="H11">
        <v>1467</v>
      </c>
      <c r="I11" s="80">
        <v>2521</v>
      </c>
      <c r="J11">
        <v>382</v>
      </c>
      <c r="K11">
        <v>455</v>
      </c>
      <c r="L11">
        <v>0</v>
      </c>
      <c r="M11">
        <v>113</v>
      </c>
      <c r="N11" s="80">
        <v>96</v>
      </c>
      <c r="O11" s="209">
        <v>1285</v>
      </c>
      <c r="P11">
        <v>822</v>
      </c>
      <c r="Q11" s="80">
        <v>1089</v>
      </c>
      <c r="R11">
        <v>517</v>
      </c>
      <c r="S11">
        <v>614</v>
      </c>
      <c r="T11">
        <v>0</v>
      </c>
      <c r="U11">
        <v>161</v>
      </c>
      <c r="V11" s="80">
        <v>143</v>
      </c>
      <c r="W11" s="209">
        <v>1873</v>
      </c>
      <c r="X11">
        <v>1101</v>
      </c>
      <c r="Y11" s="80">
        <v>1837</v>
      </c>
    </row>
    <row r="12" spans="1:75" x14ac:dyDescent="0.25">
      <c r="A12" s="170" t="s">
        <v>51</v>
      </c>
      <c r="B12">
        <v>717</v>
      </c>
      <c r="C12">
        <v>551</v>
      </c>
      <c r="D12">
        <v>0</v>
      </c>
      <c r="E12">
        <v>311</v>
      </c>
      <c r="F12" s="80">
        <v>223</v>
      </c>
      <c r="G12" s="209">
        <v>1919</v>
      </c>
      <c r="H12">
        <v>1315</v>
      </c>
      <c r="I12" s="80">
        <v>992</v>
      </c>
      <c r="J12">
        <v>409</v>
      </c>
      <c r="K12">
        <v>294</v>
      </c>
      <c r="L12">
        <v>0</v>
      </c>
      <c r="M12">
        <v>168</v>
      </c>
      <c r="N12" s="80">
        <v>70</v>
      </c>
      <c r="O12" s="209">
        <v>946</v>
      </c>
      <c r="P12">
        <v>606</v>
      </c>
      <c r="Q12" s="80">
        <v>360</v>
      </c>
      <c r="R12">
        <v>548</v>
      </c>
      <c r="S12">
        <v>390</v>
      </c>
      <c r="T12">
        <v>0</v>
      </c>
      <c r="U12">
        <v>224</v>
      </c>
      <c r="V12" s="80">
        <v>121</v>
      </c>
      <c r="W12" s="209">
        <v>1374</v>
      </c>
      <c r="X12">
        <v>878</v>
      </c>
      <c r="Y12" s="80">
        <v>600</v>
      </c>
    </row>
    <row r="13" spans="1:75" x14ac:dyDescent="0.25">
      <c r="A13" s="170" t="s">
        <v>52</v>
      </c>
      <c r="B13">
        <v>1494</v>
      </c>
      <c r="C13">
        <v>2606</v>
      </c>
      <c r="D13">
        <v>0</v>
      </c>
      <c r="E13">
        <v>742</v>
      </c>
      <c r="F13" s="80">
        <v>928</v>
      </c>
      <c r="G13" s="209">
        <v>5849</v>
      </c>
      <c r="H13">
        <v>4943</v>
      </c>
      <c r="I13" s="80">
        <v>3868</v>
      </c>
      <c r="J13">
        <v>781</v>
      </c>
      <c r="K13">
        <v>1061</v>
      </c>
      <c r="L13">
        <v>0</v>
      </c>
      <c r="M13">
        <v>275</v>
      </c>
      <c r="N13" s="80">
        <v>345</v>
      </c>
      <c r="O13" s="209">
        <v>2287</v>
      </c>
      <c r="P13">
        <v>2028</v>
      </c>
      <c r="Q13" s="80">
        <v>726</v>
      </c>
      <c r="R13">
        <v>1050</v>
      </c>
      <c r="S13">
        <v>1418</v>
      </c>
      <c r="T13">
        <v>0</v>
      </c>
      <c r="U13">
        <v>486</v>
      </c>
      <c r="V13" s="80">
        <v>491</v>
      </c>
      <c r="W13" s="209">
        <v>3476</v>
      </c>
      <c r="X13">
        <v>2871</v>
      </c>
      <c r="Y13" s="80">
        <v>1694</v>
      </c>
    </row>
    <row r="14" spans="1:75" x14ac:dyDescent="0.25">
      <c r="A14" s="170" t="s">
        <v>53</v>
      </c>
      <c r="B14">
        <v>0</v>
      </c>
      <c r="C14">
        <v>364</v>
      </c>
      <c r="D14">
        <v>0</v>
      </c>
      <c r="E14">
        <v>63</v>
      </c>
      <c r="F14" s="80">
        <v>33</v>
      </c>
      <c r="G14" s="209">
        <v>559</v>
      </c>
      <c r="H14">
        <v>503</v>
      </c>
      <c r="I14" s="80">
        <v>739</v>
      </c>
      <c r="J14">
        <v>0</v>
      </c>
      <c r="K14">
        <v>281</v>
      </c>
      <c r="L14">
        <v>0</v>
      </c>
      <c r="M14">
        <v>40</v>
      </c>
      <c r="N14" s="80">
        <v>19</v>
      </c>
      <c r="O14" s="209">
        <v>330</v>
      </c>
      <c r="P14">
        <v>205</v>
      </c>
      <c r="Q14" s="80">
        <v>203</v>
      </c>
      <c r="R14">
        <v>0</v>
      </c>
      <c r="S14">
        <v>344</v>
      </c>
      <c r="T14">
        <v>0</v>
      </c>
      <c r="U14">
        <v>61</v>
      </c>
      <c r="V14" s="80">
        <v>28</v>
      </c>
      <c r="W14" s="209">
        <v>441</v>
      </c>
      <c r="X14">
        <v>282</v>
      </c>
      <c r="Y14" s="80">
        <v>344</v>
      </c>
    </row>
    <row r="15" spans="1:75" x14ac:dyDescent="0.25">
      <c r="A15" s="170" t="s">
        <v>54</v>
      </c>
      <c r="B15">
        <v>1115</v>
      </c>
      <c r="C15">
        <v>1375</v>
      </c>
      <c r="D15">
        <v>0</v>
      </c>
      <c r="E15">
        <v>480</v>
      </c>
      <c r="F15" s="80">
        <v>815</v>
      </c>
      <c r="G15" s="209">
        <v>4526</v>
      </c>
      <c r="H15">
        <v>3580</v>
      </c>
      <c r="I15" s="80">
        <v>2613</v>
      </c>
      <c r="J15">
        <v>430</v>
      </c>
      <c r="K15">
        <v>631</v>
      </c>
      <c r="L15">
        <v>0</v>
      </c>
      <c r="M15">
        <v>157</v>
      </c>
      <c r="N15" s="80">
        <v>174</v>
      </c>
      <c r="O15" s="209">
        <v>1647</v>
      </c>
      <c r="P15">
        <v>1151</v>
      </c>
      <c r="Q15" s="80">
        <v>516</v>
      </c>
      <c r="R15">
        <v>608</v>
      </c>
      <c r="S15">
        <v>889</v>
      </c>
      <c r="T15">
        <v>0</v>
      </c>
      <c r="U15">
        <v>231</v>
      </c>
      <c r="V15" s="80">
        <v>269</v>
      </c>
      <c r="W15" s="209">
        <v>2428</v>
      </c>
      <c r="X15">
        <v>1818</v>
      </c>
      <c r="Y15" s="80">
        <v>996</v>
      </c>
    </row>
    <row r="16" spans="1:75" x14ac:dyDescent="0.25">
      <c r="A16" s="170" t="s">
        <v>55</v>
      </c>
      <c r="B16">
        <v>52</v>
      </c>
      <c r="C16">
        <v>93</v>
      </c>
      <c r="D16">
        <v>0</v>
      </c>
      <c r="E16">
        <v>10</v>
      </c>
      <c r="F16" s="80">
        <v>30</v>
      </c>
      <c r="G16" s="209">
        <v>227</v>
      </c>
      <c r="H16">
        <v>134</v>
      </c>
      <c r="I16" s="80">
        <v>188</v>
      </c>
      <c r="J16">
        <v>43</v>
      </c>
      <c r="K16">
        <v>70</v>
      </c>
      <c r="L16">
        <v>0</v>
      </c>
      <c r="M16">
        <v>6</v>
      </c>
      <c r="N16" s="80">
        <v>17</v>
      </c>
      <c r="O16" s="209">
        <v>170</v>
      </c>
      <c r="P16">
        <v>97</v>
      </c>
      <c r="Q16" s="80">
        <v>84</v>
      </c>
      <c r="R16">
        <v>49</v>
      </c>
      <c r="S16">
        <v>85</v>
      </c>
      <c r="T16">
        <v>0</v>
      </c>
      <c r="U16">
        <v>8</v>
      </c>
      <c r="V16" s="80">
        <v>24</v>
      </c>
      <c r="W16" s="209">
        <v>204</v>
      </c>
      <c r="X16">
        <v>118</v>
      </c>
      <c r="Y16" s="80">
        <v>120</v>
      </c>
    </row>
    <row r="17" spans="1:25" x14ac:dyDescent="0.25">
      <c r="A17" s="170" t="s">
        <v>56</v>
      </c>
      <c r="B17">
        <v>446</v>
      </c>
      <c r="C17">
        <v>351</v>
      </c>
      <c r="D17">
        <v>0</v>
      </c>
      <c r="E17">
        <v>99</v>
      </c>
      <c r="F17" s="80">
        <v>78</v>
      </c>
      <c r="G17" s="209">
        <v>1628</v>
      </c>
      <c r="H17">
        <v>635</v>
      </c>
      <c r="I17" s="80">
        <v>1347</v>
      </c>
      <c r="J17">
        <v>307</v>
      </c>
      <c r="K17">
        <v>222</v>
      </c>
      <c r="L17">
        <v>0</v>
      </c>
      <c r="M17">
        <v>64</v>
      </c>
      <c r="N17" s="80">
        <v>40</v>
      </c>
      <c r="O17" s="209">
        <v>1035</v>
      </c>
      <c r="P17">
        <v>408</v>
      </c>
      <c r="Q17" s="80">
        <v>613</v>
      </c>
      <c r="R17">
        <v>363</v>
      </c>
      <c r="S17">
        <v>292</v>
      </c>
      <c r="T17">
        <v>0</v>
      </c>
      <c r="U17">
        <v>78</v>
      </c>
      <c r="V17" s="80">
        <v>63</v>
      </c>
      <c r="W17" s="209">
        <v>1350</v>
      </c>
      <c r="X17">
        <v>513</v>
      </c>
      <c r="Y17" s="80">
        <v>944</v>
      </c>
    </row>
    <row r="18" spans="1:25" x14ac:dyDescent="0.25">
      <c r="A18" s="170" t="s">
        <v>57</v>
      </c>
      <c r="B18">
        <v>808</v>
      </c>
      <c r="C18">
        <v>1023</v>
      </c>
      <c r="D18">
        <v>0</v>
      </c>
      <c r="E18">
        <v>227</v>
      </c>
      <c r="F18" s="80">
        <v>492</v>
      </c>
      <c r="G18" s="209">
        <v>2626</v>
      </c>
      <c r="H18">
        <v>1978</v>
      </c>
      <c r="I18" s="80">
        <v>1942</v>
      </c>
      <c r="J18">
        <v>489</v>
      </c>
      <c r="K18">
        <v>521</v>
      </c>
      <c r="L18">
        <v>0</v>
      </c>
      <c r="M18">
        <v>116</v>
      </c>
      <c r="N18" s="80">
        <v>151</v>
      </c>
      <c r="O18" s="209">
        <v>1255</v>
      </c>
      <c r="P18">
        <v>897</v>
      </c>
      <c r="Q18" s="80">
        <v>566</v>
      </c>
      <c r="R18">
        <v>608</v>
      </c>
      <c r="S18">
        <v>716</v>
      </c>
      <c r="T18">
        <v>0</v>
      </c>
      <c r="U18">
        <v>155</v>
      </c>
      <c r="V18" s="80">
        <v>223</v>
      </c>
      <c r="W18" s="209">
        <v>1733</v>
      </c>
      <c r="X18">
        <v>1259</v>
      </c>
      <c r="Y18" s="80">
        <v>1042</v>
      </c>
    </row>
    <row r="19" spans="1:25" x14ac:dyDescent="0.25">
      <c r="A19" s="170" t="s">
        <v>58</v>
      </c>
      <c r="B19">
        <v>26</v>
      </c>
      <c r="C19">
        <v>139</v>
      </c>
      <c r="D19">
        <v>0</v>
      </c>
      <c r="E19">
        <v>0</v>
      </c>
      <c r="F19" s="80">
        <v>51</v>
      </c>
      <c r="G19" s="209">
        <v>338</v>
      </c>
      <c r="H19">
        <v>192</v>
      </c>
      <c r="I19" s="80">
        <v>362</v>
      </c>
      <c r="J19">
        <v>13</v>
      </c>
      <c r="K19">
        <v>47</v>
      </c>
      <c r="L19">
        <v>0</v>
      </c>
      <c r="M19">
        <v>0</v>
      </c>
      <c r="N19" s="80">
        <v>23</v>
      </c>
      <c r="O19" s="209">
        <v>138</v>
      </c>
      <c r="P19">
        <v>50</v>
      </c>
      <c r="Q19" s="80">
        <v>43</v>
      </c>
      <c r="R19">
        <v>16</v>
      </c>
      <c r="S19">
        <v>94</v>
      </c>
      <c r="T19">
        <v>0</v>
      </c>
      <c r="U19">
        <v>0</v>
      </c>
      <c r="V19" s="80">
        <v>29</v>
      </c>
      <c r="W19" s="209">
        <v>214</v>
      </c>
      <c r="X19">
        <v>72</v>
      </c>
      <c r="Y19" s="80">
        <v>85</v>
      </c>
    </row>
    <row r="20" spans="1:25" ht="17.25" x14ac:dyDescent="0.25">
      <c r="A20" s="170" t="s">
        <v>59</v>
      </c>
      <c r="B20">
        <v>1004</v>
      </c>
      <c r="C20">
        <v>1553</v>
      </c>
      <c r="D20">
        <v>0</v>
      </c>
      <c r="E20">
        <v>350</v>
      </c>
      <c r="F20" s="80">
        <v>1052</v>
      </c>
      <c r="G20" s="209">
        <v>5908</v>
      </c>
      <c r="H20">
        <v>4390</v>
      </c>
      <c r="I20" s="80">
        <v>4675</v>
      </c>
      <c r="J20">
        <v>368</v>
      </c>
      <c r="K20">
        <v>604</v>
      </c>
      <c r="L20">
        <v>0</v>
      </c>
      <c r="M20">
        <v>47</v>
      </c>
      <c r="N20" s="80">
        <v>186</v>
      </c>
      <c r="O20" s="209">
        <v>1204</v>
      </c>
      <c r="P20">
        <v>1186</v>
      </c>
      <c r="Q20" s="80">
        <v>387</v>
      </c>
      <c r="R20">
        <v>559</v>
      </c>
      <c r="S20">
        <v>976</v>
      </c>
      <c r="T20">
        <v>0</v>
      </c>
      <c r="U20">
        <v>85</v>
      </c>
      <c r="V20" s="80">
        <v>314</v>
      </c>
      <c r="W20" s="209">
        <v>2281</v>
      </c>
      <c r="X20">
        <v>1971</v>
      </c>
      <c r="Y20" s="80">
        <v>1120</v>
      </c>
    </row>
    <row r="21" spans="1:25" x14ac:dyDescent="0.25">
      <c r="A21" s="170" t="s">
        <v>60</v>
      </c>
      <c r="B21">
        <v>149</v>
      </c>
      <c r="C21">
        <v>325</v>
      </c>
      <c r="D21">
        <v>0</v>
      </c>
      <c r="E21">
        <v>159</v>
      </c>
      <c r="F21" s="80">
        <v>77</v>
      </c>
      <c r="G21" s="209">
        <v>813</v>
      </c>
      <c r="H21">
        <v>408</v>
      </c>
      <c r="I21" s="80">
        <v>1585</v>
      </c>
      <c r="J21">
        <v>75</v>
      </c>
      <c r="K21">
        <v>182</v>
      </c>
      <c r="L21">
        <v>0</v>
      </c>
      <c r="M21">
        <v>51</v>
      </c>
      <c r="N21" s="80">
        <v>24</v>
      </c>
      <c r="O21" s="209">
        <v>317</v>
      </c>
      <c r="P21">
        <v>149</v>
      </c>
      <c r="Q21" s="80">
        <v>181</v>
      </c>
      <c r="R21">
        <v>103</v>
      </c>
      <c r="S21">
        <v>229</v>
      </c>
      <c r="T21">
        <v>0</v>
      </c>
      <c r="U21">
        <v>74</v>
      </c>
      <c r="V21" s="80">
        <v>41</v>
      </c>
      <c r="W21" s="209">
        <v>448</v>
      </c>
      <c r="X21">
        <v>208</v>
      </c>
      <c r="Y21" s="80">
        <v>296</v>
      </c>
    </row>
    <row r="22" spans="1:25" x14ac:dyDescent="0.25">
      <c r="A22" s="170" t="s">
        <v>61</v>
      </c>
      <c r="B22">
        <v>428</v>
      </c>
      <c r="C22">
        <v>309</v>
      </c>
      <c r="D22">
        <v>0</v>
      </c>
      <c r="E22">
        <v>179</v>
      </c>
      <c r="F22" s="80">
        <v>271</v>
      </c>
      <c r="G22" s="209">
        <v>2327</v>
      </c>
      <c r="H22">
        <v>1613</v>
      </c>
      <c r="I22" s="80">
        <v>1460</v>
      </c>
      <c r="J22">
        <v>285</v>
      </c>
      <c r="K22">
        <v>174</v>
      </c>
      <c r="L22">
        <v>0</v>
      </c>
      <c r="M22">
        <v>104</v>
      </c>
      <c r="N22" s="80">
        <v>128</v>
      </c>
      <c r="O22" s="209">
        <v>1232</v>
      </c>
      <c r="P22">
        <v>884</v>
      </c>
      <c r="Q22" s="80">
        <v>445</v>
      </c>
      <c r="R22">
        <v>357</v>
      </c>
      <c r="S22">
        <v>229</v>
      </c>
      <c r="T22">
        <v>0</v>
      </c>
      <c r="U22">
        <v>134</v>
      </c>
      <c r="V22" s="80">
        <v>168</v>
      </c>
      <c r="W22" s="209">
        <v>1701</v>
      </c>
      <c r="X22">
        <v>1200</v>
      </c>
      <c r="Y22" s="80">
        <v>778</v>
      </c>
    </row>
    <row r="23" spans="1:25" x14ac:dyDescent="0.25">
      <c r="A23" s="170" t="s">
        <v>62</v>
      </c>
      <c r="B23">
        <v>724</v>
      </c>
      <c r="C23">
        <v>1089</v>
      </c>
      <c r="D23">
        <v>0</v>
      </c>
      <c r="E23">
        <v>114</v>
      </c>
      <c r="F23" s="80">
        <v>576</v>
      </c>
      <c r="G23" s="209">
        <v>2407</v>
      </c>
      <c r="H23">
        <v>2115</v>
      </c>
      <c r="I23" s="80">
        <v>1719</v>
      </c>
      <c r="J23">
        <v>351</v>
      </c>
      <c r="K23">
        <v>550</v>
      </c>
      <c r="L23">
        <v>0</v>
      </c>
      <c r="M23">
        <v>53</v>
      </c>
      <c r="N23" s="80">
        <v>233</v>
      </c>
      <c r="O23" s="209">
        <v>1120</v>
      </c>
      <c r="P23">
        <v>772</v>
      </c>
      <c r="Q23" s="80">
        <v>445</v>
      </c>
      <c r="R23">
        <v>520</v>
      </c>
      <c r="S23">
        <v>821</v>
      </c>
      <c r="T23">
        <v>0</v>
      </c>
      <c r="U23">
        <v>85</v>
      </c>
      <c r="V23" s="80">
        <v>336</v>
      </c>
      <c r="W23" s="209">
        <v>1710</v>
      </c>
      <c r="X23">
        <v>1364</v>
      </c>
      <c r="Y23" s="80">
        <v>1009</v>
      </c>
    </row>
    <row r="24" spans="1:25" x14ac:dyDescent="0.25">
      <c r="A24" s="170" t="s">
        <v>63</v>
      </c>
      <c r="B24">
        <v>356</v>
      </c>
      <c r="C24">
        <v>390</v>
      </c>
      <c r="D24">
        <v>0</v>
      </c>
      <c r="E24">
        <v>60</v>
      </c>
      <c r="F24" s="80">
        <v>201</v>
      </c>
      <c r="G24" s="209">
        <v>869</v>
      </c>
      <c r="H24">
        <v>765</v>
      </c>
      <c r="I24" s="80">
        <v>1984</v>
      </c>
      <c r="J24">
        <v>231</v>
      </c>
      <c r="K24">
        <v>239</v>
      </c>
      <c r="L24">
        <v>0</v>
      </c>
      <c r="M24">
        <v>39</v>
      </c>
      <c r="N24" s="80">
        <v>93</v>
      </c>
      <c r="O24" s="209">
        <v>522</v>
      </c>
      <c r="P24">
        <v>447</v>
      </c>
      <c r="Q24" s="80">
        <v>382</v>
      </c>
      <c r="R24">
        <v>326</v>
      </c>
      <c r="S24">
        <v>336</v>
      </c>
      <c r="T24">
        <v>0</v>
      </c>
      <c r="U24">
        <v>48</v>
      </c>
      <c r="V24" s="80">
        <v>154</v>
      </c>
      <c r="W24" s="209">
        <v>731</v>
      </c>
      <c r="X24">
        <v>596</v>
      </c>
      <c r="Y24" s="80">
        <v>666</v>
      </c>
    </row>
    <row r="25" spans="1:25" x14ac:dyDescent="0.25">
      <c r="A25" s="170" t="s">
        <v>64</v>
      </c>
      <c r="B25">
        <v>351</v>
      </c>
      <c r="C25">
        <v>480</v>
      </c>
      <c r="D25">
        <v>0</v>
      </c>
      <c r="E25">
        <v>135</v>
      </c>
      <c r="F25" s="80">
        <v>116</v>
      </c>
      <c r="G25" s="209">
        <v>1249</v>
      </c>
      <c r="H25">
        <v>521</v>
      </c>
      <c r="I25" s="80">
        <v>921</v>
      </c>
      <c r="J25">
        <v>252</v>
      </c>
      <c r="K25">
        <v>360</v>
      </c>
      <c r="L25">
        <v>0</v>
      </c>
      <c r="M25">
        <v>113</v>
      </c>
      <c r="N25" s="80">
        <v>69</v>
      </c>
      <c r="O25" s="209">
        <v>992</v>
      </c>
      <c r="P25">
        <v>359</v>
      </c>
      <c r="Q25" s="80">
        <v>585</v>
      </c>
      <c r="R25">
        <v>316</v>
      </c>
      <c r="S25">
        <v>433</v>
      </c>
      <c r="T25">
        <v>0</v>
      </c>
      <c r="U25">
        <v>126</v>
      </c>
      <c r="V25" s="80">
        <v>88</v>
      </c>
      <c r="W25" s="209">
        <v>1145</v>
      </c>
      <c r="X25">
        <v>457</v>
      </c>
      <c r="Y25" s="80">
        <v>717</v>
      </c>
    </row>
    <row r="26" spans="1:25" x14ac:dyDescent="0.25">
      <c r="A26" s="170" t="s">
        <v>65</v>
      </c>
      <c r="B26">
        <v>680</v>
      </c>
      <c r="C26">
        <v>942</v>
      </c>
      <c r="D26">
        <v>0</v>
      </c>
      <c r="E26">
        <v>349</v>
      </c>
      <c r="F26" s="80">
        <v>281</v>
      </c>
      <c r="G26" s="209">
        <v>4734</v>
      </c>
      <c r="H26">
        <v>1827</v>
      </c>
      <c r="I26" s="80">
        <v>4539</v>
      </c>
      <c r="J26">
        <v>440</v>
      </c>
      <c r="K26">
        <v>634</v>
      </c>
      <c r="L26">
        <v>0</v>
      </c>
      <c r="M26">
        <v>242</v>
      </c>
      <c r="N26" s="80">
        <v>133</v>
      </c>
      <c r="O26" s="209">
        <v>2559</v>
      </c>
      <c r="P26">
        <v>942</v>
      </c>
      <c r="Q26" s="80">
        <v>1981</v>
      </c>
      <c r="R26">
        <v>569</v>
      </c>
      <c r="S26">
        <v>780</v>
      </c>
      <c r="T26">
        <v>0</v>
      </c>
      <c r="U26">
        <v>288</v>
      </c>
      <c r="V26" s="80">
        <v>188</v>
      </c>
      <c r="W26" s="209">
        <v>3277</v>
      </c>
      <c r="X26">
        <v>1219</v>
      </c>
      <c r="Y26" s="80">
        <v>2625</v>
      </c>
    </row>
    <row r="27" spans="1:25" x14ac:dyDescent="0.25">
      <c r="A27" s="170" t="s">
        <v>25</v>
      </c>
      <c r="B27">
        <v>43</v>
      </c>
      <c r="C27">
        <v>74</v>
      </c>
      <c r="D27">
        <v>0</v>
      </c>
      <c r="E27">
        <v>21</v>
      </c>
      <c r="F27" s="80">
        <v>14</v>
      </c>
      <c r="G27" s="209">
        <v>287</v>
      </c>
      <c r="H27">
        <v>185</v>
      </c>
      <c r="I27" s="80">
        <v>833</v>
      </c>
      <c r="J27">
        <v>28</v>
      </c>
      <c r="K27">
        <v>37</v>
      </c>
      <c r="L27">
        <v>0</v>
      </c>
      <c r="M27">
        <v>7</v>
      </c>
      <c r="N27" s="80">
        <v>5</v>
      </c>
      <c r="O27" s="209">
        <v>80</v>
      </c>
      <c r="P27">
        <v>69</v>
      </c>
      <c r="Q27" s="80">
        <v>57</v>
      </c>
      <c r="R27">
        <v>35</v>
      </c>
      <c r="S27">
        <v>60</v>
      </c>
      <c r="T27">
        <v>0</v>
      </c>
      <c r="U27">
        <v>13</v>
      </c>
      <c r="V27" s="80">
        <v>7</v>
      </c>
      <c r="W27" s="209">
        <v>119</v>
      </c>
      <c r="X27">
        <v>114</v>
      </c>
      <c r="Y27" s="80">
        <v>182</v>
      </c>
    </row>
    <row r="28" spans="1:25" x14ac:dyDescent="0.25">
      <c r="A28" s="170" t="s">
        <v>26</v>
      </c>
      <c r="B28">
        <v>37</v>
      </c>
      <c r="C28">
        <v>111</v>
      </c>
      <c r="D28">
        <v>0</v>
      </c>
      <c r="E28">
        <v>20</v>
      </c>
      <c r="F28" s="80">
        <v>22</v>
      </c>
      <c r="G28" s="209">
        <v>289</v>
      </c>
      <c r="H28">
        <v>72</v>
      </c>
      <c r="I28" s="80">
        <v>441</v>
      </c>
      <c r="J28">
        <v>22</v>
      </c>
      <c r="K28">
        <v>40</v>
      </c>
      <c r="L28">
        <v>0</v>
      </c>
      <c r="M28">
        <v>13</v>
      </c>
      <c r="N28" s="80">
        <v>7</v>
      </c>
      <c r="O28" s="209">
        <v>107</v>
      </c>
      <c r="P28">
        <v>31</v>
      </c>
      <c r="Q28" s="80">
        <v>56</v>
      </c>
      <c r="R28">
        <v>25</v>
      </c>
      <c r="S28">
        <v>81</v>
      </c>
      <c r="T28">
        <v>0</v>
      </c>
      <c r="U28">
        <v>15</v>
      </c>
      <c r="V28" s="80">
        <v>8</v>
      </c>
      <c r="W28" s="209">
        <v>215</v>
      </c>
      <c r="X28">
        <v>39</v>
      </c>
      <c r="Y28" s="80">
        <v>147</v>
      </c>
    </row>
    <row r="29" spans="1:25" x14ac:dyDescent="0.25">
      <c r="A29" s="170" t="s">
        <v>66</v>
      </c>
      <c r="B29">
        <v>709</v>
      </c>
      <c r="C29">
        <v>585</v>
      </c>
      <c r="D29">
        <v>0</v>
      </c>
      <c r="E29">
        <v>130</v>
      </c>
      <c r="F29" s="80">
        <v>303</v>
      </c>
      <c r="G29" s="209">
        <v>3020</v>
      </c>
      <c r="H29">
        <v>1668</v>
      </c>
      <c r="I29" s="80">
        <v>2059</v>
      </c>
      <c r="J29">
        <v>470</v>
      </c>
      <c r="K29">
        <v>379</v>
      </c>
      <c r="L29">
        <v>0</v>
      </c>
      <c r="M29">
        <v>89</v>
      </c>
      <c r="N29" s="80">
        <v>138</v>
      </c>
      <c r="O29" s="209">
        <v>1866</v>
      </c>
      <c r="P29">
        <v>974</v>
      </c>
      <c r="Q29" s="80">
        <v>830</v>
      </c>
      <c r="R29">
        <v>576</v>
      </c>
      <c r="S29">
        <v>478</v>
      </c>
      <c r="T29">
        <v>0</v>
      </c>
      <c r="U29">
        <v>114</v>
      </c>
      <c r="V29" s="80">
        <v>182</v>
      </c>
      <c r="W29" s="209">
        <v>2425</v>
      </c>
      <c r="X29">
        <v>1245</v>
      </c>
      <c r="Y29" s="80">
        <v>1266</v>
      </c>
    </row>
    <row r="30" spans="1:25" x14ac:dyDescent="0.25">
      <c r="A30" s="170" t="s">
        <v>67</v>
      </c>
      <c r="B30">
        <v>2321</v>
      </c>
      <c r="C30">
        <v>5224</v>
      </c>
      <c r="D30">
        <v>0</v>
      </c>
      <c r="E30">
        <v>2380</v>
      </c>
      <c r="F30" s="80">
        <v>684</v>
      </c>
      <c r="G30" s="209">
        <v>20035</v>
      </c>
      <c r="H30">
        <v>8899</v>
      </c>
      <c r="I30" s="80">
        <v>12953</v>
      </c>
      <c r="J30">
        <v>1594</v>
      </c>
      <c r="K30">
        <v>3402</v>
      </c>
      <c r="L30">
        <v>0</v>
      </c>
      <c r="M30">
        <v>1387</v>
      </c>
      <c r="N30" s="80">
        <v>292</v>
      </c>
      <c r="O30" s="209">
        <v>10447</v>
      </c>
      <c r="P30">
        <v>5003</v>
      </c>
      <c r="Q30" s="80">
        <v>4179</v>
      </c>
      <c r="R30">
        <v>1933</v>
      </c>
      <c r="S30">
        <v>4182</v>
      </c>
      <c r="T30">
        <v>0</v>
      </c>
      <c r="U30">
        <v>1856</v>
      </c>
      <c r="V30" s="80">
        <v>394</v>
      </c>
      <c r="W30" s="209">
        <v>14132</v>
      </c>
      <c r="X30">
        <v>6904</v>
      </c>
      <c r="Y30" s="80">
        <v>7785</v>
      </c>
    </row>
    <row r="31" spans="1:25" x14ac:dyDescent="0.25">
      <c r="A31" s="170" t="s">
        <v>68</v>
      </c>
      <c r="B31">
        <v>1472</v>
      </c>
      <c r="C31">
        <v>2665</v>
      </c>
      <c r="D31">
        <v>0</v>
      </c>
      <c r="E31">
        <v>707</v>
      </c>
      <c r="F31" s="80">
        <v>634</v>
      </c>
      <c r="G31" s="209">
        <v>9058</v>
      </c>
      <c r="H31">
        <v>5324</v>
      </c>
      <c r="I31" s="80">
        <v>11577</v>
      </c>
      <c r="J31">
        <v>838</v>
      </c>
      <c r="K31">
        <v>1487</v>
      </c>
      <c r="L31">
        <v>0</v>
      </c>
      <c r="M31">
        <v>362</v>
      </c>
      <c r="N31" s="80">
        <v>212</v>
      </c>
      <c r="O31" s="209">
        <v>4207</v>
      </c>
      <c r="P31">
        <v>2258</v>
      </c>
      <c r="Q31" s="80">
        <v>3296</v>
      </c>
      <c r="R31">
        <v>1138</v>
      </c>
      <c r="S31">
        <v>2084</v>
      </c>
      <c r="T31">
        <v>0</v>
      </c>
      <c r="U31">
        <v>497</v>
      </c>
      <c r="V31" s="80">
        <v>325</v>
      </c>
      <c r="W31" s="209">
        <v>6379</v>
      </c>
      <c r="X31">
        <v>3652</v>
      </c>
      <c r="Y31" s="80">
        <v>6408</v>
      </c>
    </row>
    <row r="32" spans="1:25" x14ac:dyDescent="0.25">
      <c r="A32" s="170" t="s">
        <v>27</v>
      </c>
      <c r="B32">
        <v>91</v>
      </c>
      <c r="C32">
        <v>160</v>
      </c>
      <c r="D32">
        <v>0</v>
      </c>
      <c r="E32">
        <v>51</v>
      </c>
      <c r="F32" s="80">
        <v>55</v>
      </c>
      <c r="G32" s="209">
        <v>464</v>
      </c>
      <c r="H32">
        <v>414</v>
      </c>
      <c r="I32" s="80">
        <v>299</v>
      </c>
      <c r="J32">
        <v>46</v>
      </c>
      <c r="K32">
        <v>77</v>
      </c>
      <c r="L32">
        <v>0</v>
      </c>
      <c r="M32">
        <v>21</v>
      </c>
      <c r="N32" s="80">
        <v>14</v>
      </c>
      <c r="O32" s="209">
        <v>152</v>
      </c>
      <c r="P32">
        <v>128</v>
      </c>
      <c r="Q32" s="80">
        <v>35</v>
      </c>
      <c r="R32">
        <v>66</v>
      </c>
      <c r="S32">
        <v>118</v>
      </c>
      <c r="T32">
        <v>0</v>
      </c>
      <c r="U32">
        <v>31</v>
      </c>
      <c r="V32" s="80">
        <v>27</v>
      </c>
      <c r="W32" s="209">
        <v>264</v>
      </c>
      <c r="X32">
        <v>199</v>
      </c>
      <c r="Y32" s="80">
        <v>58</v>
      </c>
    </row>
    <row r="33" spans="1:25" x14ac:dyDescent="0.25">
      <c r="A33" s="170" t="s">
        <v>69</v>
      </c>
      <c r="B33">
        <v>86</v>
      </c>
      <c r="C33">
        <v>182</v>
      </c>
      <c r="D33">
        <v>0</v>
      </c>
      <c r="E33">
        <v>38</v>
      </c>
      <c r="F33" s="80">
        <v>29</v>
      </c>
      <c r="G33" s="209">
        <v>529</v>
      </c>
      <c r="H33">
        <v>245</v>
      </c>
      <c r="I33" s="80">
        <v>683</v>
      </c>
      <c r="J33">
        <v>61</v>
      </c>
      <c r="K33">
        <v>132</v>
      </c>
      <c r="L33">
        <v>0</v>
      </c>
      <c r="M33">
        <v>26</v>
      </c>
      <c r="N33" s="80">
        <v>12</v>
      </c>
      <c r="O33" s="209">
        <v>357</v>
      </c>
      <c r="P33">
        <v>110</v>
      </c>
      <c r="Q33" s="80">
        <v>217</v>
      </c>
      <c r="R33">
        <v>76</v>
      </c>
      <c r="S33">
        <v>164</v>
      </c>
      <c r="T33">
        <v>0</v>
      </c>
      <c r="U33">
        <v>34</v>
      </c>
      <c r="V33" s="80">
        <v>25</v>
      </c>
      <c r="W33" s="209">
        <v>435</v>
      </c>
      <c r="X33">
        <v>153</v>
      </c>
      <c r="Y33" s="80">
        <v>397</v>
      </c>
    </row>
    <row r="34" spans="1:25" x14ac:dyDescent="0.25">
      <c r="A34" s="170" t="s">
        <v>70</v>
      </c>
      <c r="B34">
        <v>390</v>
      </c>
      <c r="C34">
        <v>410</v>
      </c>
      <c r="D34">
        <v>0</v>
      </c>
      <c r="E34">
        <v>120</v>
      </c>
      <c r="F34" s="80">
        <v>174</v>
      </c>
      <c r="G34" s="209">
        <v>1358</v>
      </c>
      <c r="H34">
        <v>864</v>
      </c>
      <c r="I34" s="80">
        <v>1750</v>
      </c>
      <c r="J34">
        <v>277</v>
      </c>
      <c r="K34">
        <v>301</v>
      </c>
      <c r="L34">
        <v>0</v>
      </c>
      <c r="M34">
        <v>89</v>
      </c>
      <c r="N34" s="80">
        <v>85</v>
      </c>
      <c r="O34" s="209">
        <v>928</v>
      </c>
      <c r="P34">
        <v>564</v>
      </c>
      <c r="Q34" s="80">
        <v>825</v>
      </c>
      <c r="R34">
        <v>336</v>
      </c>
      <c r="S34">
        <v>343</v>
      </c>
      <c r="T34">
        <v>0</v>
      </c>
      <c r="U34">
        <v>101</v>
      </c>
      <c r="V34" s="80">
        <v>119</v>
      </c>
      <c r="W34" s="209">
        <v>1149</v>
      </c>
      <c r="X34">
        <v>725</v>
      </c>
      <c r="Y34" s="80">
        <v>1126</v>
      </c>
    </row>
    <row r="35" spans="1:25" x14ac:dyDescent="0.25">
      <c r="A35" s="170" t="s">
        <v>28</v>
      </c>
      <c r="B35">
        <v>210</v>
      </c>
      <c r="C35">
        <v>737</v>
      </c>
      <c r="D35">
        <v>0</v>
      </c>
      <c r="E35">
        <v>185</v>
      </c>
      <c r="F35" s="80">
        <v>324</v>
      </c>
      <c r="G35" s="209">
        <v>1891</v>
      </c>
      <c r="H35">
        <v>1684</v>
      </c>
      <c r="I35" s="80">
        <v>1542</v>
      </c>
      <c r="J35">
        <v>118</v>
      </c>
      <c r="K35">
        <v>347</v>
      </c>
      <c r="L35">
        <v>0</v>
      </c>
      <c r="M35">
        <v>76</v>
      </c>
      <c r="N35" s="80">
        <v>85</v>
      </c>
      <c r="O35" s="209">
        <v>825</v>
      </c>
      <c r="P35">
        <v>582</v>
      </c>
      <c r="Q35" s="80">
        <v>267</v>
      </c>
      <c r="R35">
        <v>148</v>
      </c>
      <c r="S35">
        <v>459</v>
      </c>
      <c r="T35">
        <v>0</v>
      </c>
      <c r="U35">
        <v>106</v>
      </c>
      <c r="V35" s="80">
        <v>127</v>
      </c>
      <c r="W35" s="209">
        <v>1184</v>
      </c>
      <c r="X35">
        <v>854</v>
      </c>
      <c r="Y35" s="80">
        <v>592</v>
      </c>
    </row>
    <row r="36" spans="1:25" x14ac:dyDescent="0.25">
      <c r="A36" s="170" t="s">
        <v>71</v>
      </c>
      <c r="B36">
        <v>220</v>
      </c>
      <c r="C36">
        <v>260</v>
      </c>
      <c r="D36">
        <v>0</v>
      </c>
      <c r="E36">
        <v>78</v>
      </c>
      <c r="F36" s="80">
        <v>92</v>
      </c>
      <c r="G36" s="209">
        <v>850</v>
      </c>
      <c r="H36">
        <v>700</v>
      </c>
      <c r="I36" s="80">
        <v>1695</v>
      </c>
      <c r="J36">
        <v>114</v>
      </c>
      <c r="K36">
        <v>126</v>
      </c>
      <c r="L36">
        <v>0</v>
      </c>
      <c r="M36">
        <v>19</v>
      </c>
      <c r="N36" s="80">
        <v>22</v>
      </c>
      <c r="O36" s="209">
        <v>267</v>
      </c>
      <c r="P36">
        <v>199</v>
      </c>
      <c r="Q36" s="80">
        <v>192</v>
      </c>
      <c r="R36">
        <v>154</v>
      </c>
      <c r="S36">
        <v>182</v>
      </c>
      <c r="T36">
        <v>0</v>
      </c>
      <c r="U36">
        <v>26</v>
      </c>
      <c r="V36" s="80">
        <v>37</v>
      </c>
      <c r="W36" s="209">
        <v>398</v>
      </c>
      <c r="X36">
        <v>343</v>
      </c>
      <c r="Y36" s="80">
        <v>379</v>
      </c>
    </row>
    <row r="37" spans="1:25" x14ac:dyDescent="0.25">
      <c r="A37" s="170" t="s">
        <v>72</v>
      </c>
      <c r="B37">
        <v>490</v>
      </c>
      <c r="C37">
        <v>1350</v>
      </c>
      <c r="D37">
        <v>0</v>
      </c>
      <c r="E37">
        <v>308</v>
      </c>
      <c r="F37" s="80">
        <v>366</v>
      </c>
      <c r="G37" s="209">
        <v>5150</v>
      </c>
      <c r="H37">
        <v>2498</v>
      </c>
      <c r="I37" s="80">
        <v>2565</v>
      </c>
      <c r="J37">
        <v>294</v>
      </c>
      <c r="K37">
        <v>813</v>
      </c>
      <c r="L37">
        <v>0</v>
      </c>
      <c r="M37">
        <v>159</v>
      </c>
      <c r="N37" s="80">
        <v>110</v>
      </c>
      <c r="O37" s="209">
        <v>2665</v>
      </c>
      <c r="P37">
        <v>1341</v>
      </c>
      <c r="Q37" s="80">
        <v>817</v>
      </c>
      <c r="R37">
        <v>389</v>
      </c>
      <c r="S37">
        <v>1105</v>
      </c>
      <c r="T37">
        <v>0</v>
      </c>
      <c r="U37">
        <v>234</v>
      </c>
      <c r="V37" s="80">
        <v>197</v>
      </c>
      <c r="W37" s="209">
        <v>3854</v>
      </c>
      <c r="X37">
        <v>1871</v>
      </c>
      <c r="Y37" s="80">
        <v>1438</v>
      </c>
    </row>
    <row r="38" spans="1:25" x14ac:dyDescent="0.25">
      <c r="A38" s="170" t="s">
        <v>73</v>
      </c>
      <c r="B38">
        <v>315</v>
      </c>
      <c r="C38">
        <v>836</v>
      </c>
      <c r="D38">
        <v>0</v>
      </c>
      <c r="E38">
        <v>61</v>
      </c>
      <c r="F38" s="80">
        <v>347</v>
      </c>
      <c r="G38" s="209">
        <v>1370</v>
      </c>
      <c r="H38">
        <v>1144</v>
      </c>
      <c r="I38" s="80">
        <v>1790</v>
      </c>
      <c r="J38">
        <v>191</v>
      </c>
      <c r="K38">
        <v>527</v>
      </c>
      <c r="L38">
        <v>0</v>
      </c>
      <c r="M38">
        <v>38</v>
      </c>
      <c r="N38" s="80">
        <v>155</v>
      </c>
      <c r="O38" s="209">
        <v>795</v>
      </c>
      <c r="P38">
        <v>598</v>
      </c>
      <c r="Q38" s="80">
        <v>750</v>
      </c>
      <c r="R38">
        <v>255</v>
      </c>
      <c r="S38">
        <v>689</v>
      </c>
      <c r="T38">
        <v>0</v>
      </c>
      <c r="U38">
        <v>44</v>
      </c>
      <c r="V38" s="80">
        <v>231</v>
      </c>
      <c r="W38" s="209">
        <v>1078</v>
      </c>
      <c r="X38">
        <v>867</v>
      </c>
      <c r="Y38" s="80">
        <v>1224</v>
      </c>
    </row>
    <row r="39" spans="1:25" x14ac:dyDescent="0.25">
      <c r="A39" s="170" t="s">
        <v>74</v>
      </c>
      <c r="B39">
        <v>183</v>
      </c>
      <c r="C39">
        <v>364</v>
      </c>
      <c r="D39">
        <v>0</v>
      </c>
      <c r="E39">
        <v>112</v>
      </c>
      <c r="F39" s="80">
        <v>176</v>
      </c>
      <c r="G39" s="209">
        <v>863</v>
      </c>
      <c r="H39">
        <v>532</v>
      </c>
      <c r="I39" s="80">
        <v>1113</v>
      </c>
      <c r="J39">
        <v>90</v>
      </c>
      <c r="K39">
        <v>174</v>
      </c>
      <c r="L39">
        <v>0</v>
      </c>
      <c r="M39">
        <v>47</v>
      </c>
      <c r="N39" s="80">
        <v>44</v>
      </c>
      <c r="O39" s="209">
        <v>308</v>
      </c>
      <c r="P39">
        <v>234</v>
      </c>
      <c r="Q39" s="80">
        <v>202</v>
      </c>
      <c r="R39">
        <v>122</v>
      </c>
      <c r="S39">
        <v>263</v>
      </c>
      <c r="T39">
        <v>0</v>
      </c>
      <c r="U39">
        <v>69</v>
      </c>
      <c r="V39" s="80">
        <v>92</v>
      </c>
      <c r="W39" s="209">
        <v>530</v>
      </c>
      <c r="X39">
        <v>367</v>
      </c>
      <c r="Y39" s="80">
        <v>471</v>
      </c>
    </row>
    <row r="40" spans="1:25" x14ac:dyDescent="0.25">
      <c r="A40" s="170" t="s">
        <v>75</v>
      </c>
      <c r="B40">
        <v>1169</v>
      </c>
      <c r="C40">
        <v>1233</v>
      </c>
      <c r="D40">
        <v>0</v>
      </c>
      <c r="E40">
        <v>413</v>
      </c>
      <c r="F40" s="80">
        <v>694</v>
      </c>
      <c r="G40" s="209">
        <v>4922</v>
      </c>
      <c r="H40">
        <v>3561</v>
      </c>
      <c r="I40" s="80">
        <v>3235</v>
      </c>
      <c r="J40">
        <v>638</v>
      </c>
      <c r="K40">
        <v>649</v>
      </c>
      <c r="L40">
        <v>0</v>
      </c>
      <c r="M40">
        <v>173</v>
      </c>
      <c r="N40" s="80">
        <v>239</v>
      </c>
      <c r="O40" s="209">
        <v>2126</v>
      </c>
      <c r="P40">
        <v>1508</v>
      </c>
      <c r="Q40" s="80">
        <v>619</v>
      </c>
      <c r="R40">
        <v>910</v>
      </c>
      <c r="S40">
        <v>927</v>
      </c>
      <c r="T40">
        <v>0</v>
      </c>
      <c r="U40">
        <v>307</v>
      </c>
      <c r="V40" s="80">
        <v>379</v>
      </c>
      <c r="W40" s="209">
        <v>3478</v>
      </c>
      <c r="X40">
        <v>2403</v>
      </c>
      <c r="Y40" s="80">
        <v>1379</v>
      </c>
    </row>
    <row r="41" spans="1:25" x14ac:dyDescent="0.25">
      <c r="A41" s="170" t="s">
        <v>76</v>
      </c>
      <c r="B41">
        <v>231</v>
      </c>
      <c r="C41">
        <v>402</v>
      </c>
      <c r="D41">
        <v>0</v>
      </c>
      <c r="E41">
        <v>16</v>
      </c>
      <c r="F41" s="80">
        <v>232</v>
      </c>
      <c r="G41" s="209">
        <v>1007</v>
      </c>
      <c r="H41">
        <v>1094</v>
      </c>
      <c r="I41" s="80">
        <v>1454</v>
      </c>
      <c r="J41">
        <v>93</v>
      </c>
      <c r="K41">
        <v>160</v>
      </c>
      <c r="L41">
        <v>0</v>
      </c>
      <c r="M41">
        <v>3</v>
      </c>
      <c r="N41" s="80">
        <v>51</v>
      </c>
      <c r="O41" s="209">
        <v>281</v>
      </c>
      <c r="P41">
        <v>284</v>
      </c>
      <c r="Q41" s="80">
        <v>117</v>
      </c>
      <c r="R41">
        <v>133</v>
      </c>
      <c r="S41">
        <v>248</v>
      </c>
      <c r="T41">
        <v>0</v>
      </c>
      <c r="U41">
        <v>6</v>
      </c>
      <c r="V41" s="80">
        <v>89</v>
      </c>
      <c r="W41" s="209">
        <v>464</v>
      </c>
      <c r="X41">
        <v>463</v>
      </c>
      <c r="Y41" s="80">
        <v>256</v>
      </c>
    </row>
    <row r="42" spans="1:25" x14ac:dyDescent="0.25">
      <c r="A42" s="170" t="s">
        <v>77</v>
      </c>
      <c r="B42">
        <v>10</v>
      </c>
      <c r="C42">
        <v>78</v>
      </c>
      <c r="D42">
        <v>0</v>
      </c>
      <c r="E42">
        <v>39</v>
      </c>
      <c r="F42" s="80">
        <v>4</v>
      </c>
      <c r="G42" s="209">
        <v>581</v>
      </c>
      <c r="H42">
        <v>49</v>
      </c>
      <c r="I42" s="80">
        <v>582</v>
      </c>
      <c r="J42">
        <v>3</v>
      </c>
      <c r="K42">
        <v>25</v>
      </c>
      <c r="L42">
        <v>0</v>
      </c>
      <c r="M42">
        <v>17</v>
      </c>
      <c r="N42" s="80">
        <v>3</v>
      </c>
      <c r="O42" s="209">
        <v>97</v>
      </c>
      <c r="P42">
        <v>13</v>
      </c>
      <c r="Q42" s="80">
        <v>47</v>
      </c>
      <c r="R42">
        <v>9</v>
      </c>
      <c r="S42">
        <v>74</v>
      </c>
      <c r="T42">
        <v>0</v>
      </c>
      <c r="U42">
        <v>30</v>
      </c>
      <c r="V42" s="80">
        <v>3</v>
      </c>
      <c r="W42" s="209">
        <v>437</v>
      </c>
      <c r="X42">
        <v>24</v>
      </c>
      <c r="Y42" s="80">
        <v>110</v>
      </c>
    </row>
    <row r="43" spans="1:25" x14ac:dyDescent="0.25">
      <c r="A43" s="170" t="s">
        <v>78</v>
      </c>
      <c r="B43">
        <v>292</v>
      </c>
      <c r="C43">
        <v>1011</v>
      </c>
      <c r="D43">
        <v>0</v>
      </c>
      <c r="E43">
        <v>555</v>
      </c>
      <c r="F43" s="80">
        <v>222</v>
      </c>
      <c r="G43" s="209">
        <v>3377</v>
      </c>
      <c r="H43">
        <v>2225</v>
      </c>
      <c r="I43" s="80">
        <v>2293</v>
      </c>
      <c r="J43">
        <v>122</v>
      </c>
      <c r="K43">
        <v>414</v>
      </c>
      <c r="L43">
        <v>0</v>
      </c>
      <c r="M43">
        <v>157</v>
      </c>
      <c r="N43" s="80">
        <v>54</v>
      </c>
      <c r="O43" s="209">
        <v>909</v>
      </c>
      <c r="P43">
        <v>620</v>
      </c>
      <c r="Q43" s="80">
        <v>390</v>
      </c>
      <c r="R43">
        <v>200</v>
      </c>
      <c r="S43">
        <v>659</v>
      </c>
      <c r="T43">
        <v>0</v>
      </c>
      <c r="U43">
        <v>265</v>
      </c>
      <c r="V43" s="80">
        <v>90</v>
      </c>
      <c r="W43" s="209">
        <v>1638</v>
      </c>
      <c r="X43">
        <v>1195</v>
      </c>
      <c r="Y43" s="80">
        <v>935</v>
      </c>
    </row>
    <row r="44" spans="1:25" x14ac:dyDescent="0.25">
      <c r="A44" s="170" t="s">
        <v>79</v>
      </c>
      <c r="B44">
        <v>905</v>
      </c>
      <c r="C44">
        <v>1062</v>
      </c>
      <c r="D44">
        <v>0</v>
      </c>
      <c r="E44">
        <v>261</v>
      </c>
      <c r="F44" s="80">
        <v>651</v>
      </c>
      <c r="G44" s="209">
        <v>3251</v>
      </c>
      <c r="H44">
        <v>2679</v>
      </c>
      <c r="I44" s="80">
        <v>1991</v>
      </c>
      <c r="J44">
        <v>569</v>
      </c>
      <c r="K44">
        <v>577</v>
      </c>
      <c r="L44">
        <v>0</v>
      </c>
      <c r="M44">
        <v>106</v>
      </c>
      <c r="N44" s="80">
        <v>263</v>
      </c>
      <c r="O44" s="209">
        <v>1502</v>
      </c>
      <c r="P44">
        <v>1253</v>
      </c>
      <c r="Q44" s="80">
        <v>515</v>
      </c>
      <c r="R44">
        <v>735</v>
      </c>
      <c r="S44">
        <v>785</v>
      </c>
      <c r="T44">
        <v>0</v>
      </c>
      <c r="U44">
        <v>205</v>
      </c>
      <c r="V44" s="80">
        <v>359</v>
      </c>
      <c r="W44" s="209">
        <v>2284</v>
      </c>
      <c r="X44">
        <v>1850</v>
      </c>
      <c r="Y44" s="80">
        <v>1047</v>
      </c>
    </row>
    <row r="45" spans="1:25" x14ac:dyDescent="0.25">
      <c r="A45" s="170" t="s">
        <v>80</v>
      </c>
      <c r="B45">
        <v>465</v>
      </c>
      <c r="C45">
        <v>815</v>
      </c>
      <c r="D45">
        <v>0</v>
      </c>
      <c r="E45">
        <v>368</v>
      </c>
      <c r="F45" s="80">
        <v>297</v>
      </c>
      <c r="G45" s="209">
        <v>2960</v>
      </c>
      <c r="H45">
        <v>2247</v>
      </c>
      <c r="I45" s="80">
        <v>2799</v>
      </c>
      <c r="J45">
        <v>276</v>
      </c>
      <c r="K45">
        <v>515</v>
      </c>
      <c r="L45">
        <v>0</v>
      </c>
      <c r="M45">
        <v>195</v>
      </c>
      <c r="N45" s="80">
        <v>96</v>
      </c>
      <c r="O45" s="209">
        <v>1368</v>
      </c>
      <c r="P45">
        <v>897</v>
      </c>
      <c r="Q45" s="80">
        <v>606</v>
      </c>
      <c r="R45">
        <v>350</v>
      </c>
      <c r="S45">
        <v>640</v>
      </c>
      <c r="T45">
        <v>0</v>
      </c>
      <c r="U45">
        <v>261</v>
      </c>
      <c r="V45" s="80">
        <v>128</v>
      </c>
      <c r="W45" s="209">
        <v>1973</v>
      </c>
      <c r="X45">
        <v>1366</v>
      </c>
      <c r="Y45" s="80">
        <v>1220</v>
      </c>
    </row>
    <row r="46" spans="1:25" x14ac:dyDescent="0.25">
      <c r="A46" s="170" t="s">
        <v>81</v>
      </c>
      <c r="B46">
        <v>970</v>
      </c>
      <c r="C46">
        <v>1495</v>
      </c>
      <c r="D46">
        <v>0</v>
      </c>
      <c r="E46">
        <v>336</v>
      </c>
      <c r="F46" s="80">
        <v>644</v>
      </c>
      <c r="G46" s="209">
        <v>3761</v>
      </c>
      <c r="H46">
        <v>2630</v>
      </c>
      <c r="I46" s="80">
        <v>7283</v>
      </c>
      <c r="J46">
        <v>454</v>
      </c>
      <c r="K46">
        <v>635</v>
      </c>
      <c r="L46">
        <v>0</v>
      </c>
      <c r="M46">
        <v>140</v>
      </c>
      <c r="N46" s="80">
        <v>264</v>
      </c>
      <c r="O46" s="209">
        <v>1085</v>
      </c>
      <c r="P46">
        <v>965</v>
      </c>
      <c r="Q46" s="80">
        <v>446</v>
      </c>
      <c r="R46">
        <v>703</v>
      </c>
      <c r="S46">
        <v>1085</v>
      </c>
      <c r="T46">
        <v>0</v>
      </c>
      <c r="U46">
        <v>266</v>
      </c>
      <c r="V46" s="80">
        <v>401</v>
      </c>
      <c r="W46" s="209">
        <v>2267</v>
      </c>
      <c r="X46">
        <v>1631</v>
      </c>
      <c r="Y46" s="80">
        <v>1279</v>
      </c>
    </row>
    <row r="47" spans="1:25" x14ac:dyDescent="0.25">
      <c r="A47" s="170" t="s">
        <v>82</v>
      </c>
      <c r="B47">
        <v>56</v>
      </c>
      <c r="C47">
        <v>326</v>
      </c>
      <c r="D47">
        <v>0</v>
      </c>
      <c r="E47">
        <v>116</v>
      </c>
      <c r="F47" s="80">
        <v>56</v>
      </c>
      <c r="G47" s="209">
        <v>746</v>
      </c>
      <c r="H47">
        <v>394</v>
      </c>
      <c r="I47" s="80">
        <v>928</v>
      </c>
      <c r="J47">
        <v>35</v>
      </c>
      <c r="K47">
        <v>227</v>
      </c>
      <c r="L47">
        <v>0</v>
      </c>
      <c r="M47">
        <v>65</v>
      </c>
      <c r="N47" s="80">
        <v>31</v>
      </c>
      <c r="O47" s="209">
        <v>432</v>
      </c>
      <c r="P47">
        <v>198</v>
      </c>
      <c r="Q47" s="80">
        <v>356</v>
      </c>
      <c r="R47">
        <v>43</v>
      </c>
      <c r="S47">
        <v>281</v>
      </c>
      <c r="T47">
        <v>0</v>
      </c>
      <c r="U47">
        <v>85</v>
      </c>
      <c r="V47" s="80">
        <v>41</v>
      </c>
      <c r="W47" s="209">
        <v>563</v>
      </c>
      <c r="X47">
        <v>269</v>
      </c>
      <c r="Y47" s="80">
        <v>537</v>
      </c>
    </row>
    <row r="48" spans="1:25" x14ac:dyDescent="0.25">
      <c r="A48" s="170" t="s">
        <v>83</v>
      </c>
      <c r="B48">
        <v>488</v>
      </c>
      <c r="C48">
        <v>526</v>
      </c>
      <c r="D48">
        <v>0</v>
      </c>
      <c r="E48">
        <v>79</v>
      </c>
      <c r="F48" s="80">
        <v>113</v>
      </c>
      <c r="G48" s="209">
        <v>2025</v>
      </c>
      <c r="H48">
        <v>1062</v>
      </c>
      <c r="I48" s="80">
        <v>2957</v>
      </c>
      <c r="J48">
        <v>324</v>
      </c>
      <c r="K48">
        <v>322</v>
      </c>
      <c r="L48">
        <v>0</v>
      </c>
      <c r="M48">
        <v>41</v>
      </c>
      <c r="N48" s="80">
        <v>54</v>
      </c>
      <c r="O48" s="209">
        <v>1069</v>
      </c>
      <c r="P48">
        <v>561</v>
      </c>
      <c r="Q48" s="80">
        <v>590</v>
      </c>
      <c r="R48">
        <v>417</v>
      </c>
      <c r="S48">
        <v>429</v>
      </c>
      <c r="T48">
        <v>0</v>
      </c>
      <c r="U48">
        <v>61</v>
      </c>
      <c r="V48" s="80">
        <v>80</v>
      </c>
      <c r="W48" s="209">
        <v>1516</v>
      </c>
      <c r="X48">
        <v>770</v>
      </c>
      <c r="Y48" s="80">
        <v>943</v>
      </c>
    </row>
    <row r="49" spans="1:25" x14ac:dyDescent="0.25">
      <c r="A49" s="170" t="s">
        <v>84</v>
      </c>
      <c r="B49">
        <v>556</v>
      </c>
      <c r="C49">
        <v>1899</v>
      </c>
      <c r="D49">
        <v>0</v>
      </c>
      <c r="E49">
        <v>436</v>
      </c>
      <c r="F49" s="80">
        <v>409</v>
      </c>
      <c r="G49" s="209">
        <v>4311</v>
      </c>
      <c r="H49">
        <v>2700</v>
      </c>
      <c r="I49" s="80">
        <v>4412</v>
      </c>
      <c r="J49">
        <v>332</v>
      </c>
      <c r="K49">
        <v>1186</v>
      </c>
      <c r="L49">
        <v>0</v>
      </c>
      <c r="M49">
        <v>241</v>
      </c>
      <c r="N49" s="80">
        <v>165</v>
      </c>
      <c r="O49" s="209">
        <v>2389</v>
      </c>
      <c r="P49">
        <v>1385</v>
      </c>
      <c r="Q49" s="80">
        <v>1706</v>
      </c>
      <c r="R49">
        <v>450</v>
      </c>
      <c r="S49">
        <v>1590</v>
      </c>
      <c r="T49">
        <v>0</v>
      </c>
      <c r="U49">
        <v>320</v>
      </c>
      <c r="V49" s="80">
        <v>244</v>
      </c>
      <c r="W49" s="209">
        <v>3299</v>
      </c>
      <c r="X49">
        <v>2009</v>
      </c>
      <c r="Y49" s="80">
        <v>2835</v>
      </c>
    </row>
    <row r="50" spans="1:25" x14ac:dyDescent="0.25">
      <c r="A50" s="170" t="s">
        <v>85</v>
      </c>
      <c r="B50">
        <v>457</v>
      </c>
      <c r="C50">
        <v>906</v>
      </c>
      <c r="D50">
        <v>0</v>
      </c>
      <c r="E50">
        <v>201</v>
      </c>
      <c r="F50" s="80">
        <v>169</v>
      </c>
      <c r="G50" s="209">
        <v>2274</v>
      </c>
      <c r="H50">
        <v>1465</v>
      </c>
      <c r="I50" s="80">
        <v>2816</v>
      </c>
      <c r="J50">
        <v>289</v>
      </c>
      <c r="K50">
        <v>530</v>
      </c>
      <c r="L50">
        <v>0</v>
      </c>
      <c r="M50">
        <v>100</v>
      </c>
      <c r="N50" s="80">
        <v>60</v>
      </c>
      <c r="O50" s="209">
        <v>1160</v>
      </c>
      <c r="P50">
        <v>730</v>
      </c>
      <c r="Q50" s="80">
        <v>975</v>
      </c>
      <c r="R50">
        <v>390</v>
      </c>
      <c r="S50">
        <v>741</v>
      </c>
      <c r="T50">
        <v>0</v>
      </c>
      <c r="U50">
        <v>162</v>
      </c>
      <c r="V50" s="80">
        <v>109</v>
      </c>
      <c r="W50" s="209">
        <v>1783</v>
      </c>
      <c r="X50">
        <v>1078</v>
      </c>
      <c r="Y50" s="80">
        <v>1855</v>
      </c>
    </row>
    <row r="51" spans="1:25" x14ac:dyDescent="0.25">
      <c r="A51" s="170" t="s">
        <v>86</v>
      </c>
      <c r="B51">
        <v>1240</v>
      </c>
      <c r="C51">
        <v>1676</v>
      </c>
      <c r="D51">
        <v>0</v>
      </c>
      <c r="E51">
        <v>552</v>
      </c>
      <c r="F51" s="80">
        <v>790</v>
      </c>
      <c r="G51" s="209">
        <v>6180</v>
      </c>
      <c r="H51">
        <v>4231</v>
      </c>
      <c r="I51" s="80">
        <v>8576</v>
      </c>
      <c r="J51">
        <v>679</v>
      </c>
      <c r="K51">
        <v>926</v>
      </c>
      <c r="L51">
        <v>0</v>
      </c>
      <c r="M51">
        <v>232</v>
      </c>
      <c r="N51" s="80">
        <v>303</v>
      </c>
      <c r="O51" s="209">
        <v>2571</v>
      </c>
      <c r="P51">
        <v>1755</v>
      </c>
      <c r="Q51" s="80">
        <v>1191</v>
      </c>
      <c r="R51">
        <v>944</v>
      </c>
      <c r="S51">
        <v>1280</v>
      </c>
      <c r="T51">
        <v>0</v>
      </c>
      <c r="U51">
        <v>355</v>
      </c>
      <c r="V51" s="80">
        <v>427</v>
      </c>
      <c r="W51" s="209">
        <v>4027</v>
      </c>
      <c r="X51">
        <v>2722</v>
      </c>
      <c r="Y51" s="80">
        <v>2534</v>
      </c>
    </row>
    <row r="52" spans="1:25" x14ac:dyDescent="0.25">
      <c r="A52" s="170" t="s">
        <v>29</v>
      </c>
      <c r="B52">
        <v>214</v>
      </c>
      <c r="C52">
        <v>743</v>
      </c>
      <c r="D52">
        <v>0</v>
      </c>
      <c r="E52">
        <v>400</v>
      </c>
      <c r="F52" s="80">
        <v>214</v>
      </c>
      <c r="G52" s="209">
        <v>3538</v>
      </c>
      <c r="H52">
        <v>2050</v>
      </c>
      <c r="I52" s="80">
        <v>3140</v>
      </c>
      <c r="J52">
        <v>123</v>
      </c>
      <c r="K52">
        <v>392</v>
      </c>
      <c r="L52">
        <v>0</v>
      </c>
      <c r="M52">
        <v>176</v>
      </c>
      <c r="N52" s="80">
        <v>81</v>
      </c>
      <c r="O52" s="209">
        <v>1169</v>
      </c>
      <c r="P52">
        <v>884</v>
      </c>
      <c r="Q52" s="80">
        <v>392</v>
      </c>
      <c r="R52">
        <v>159</v>
      </c>
      <c r="S52">
        <v>557</v>
      </c>
      <c r="T52">
        <v>0</v>
      </c>
      <c r="U52">
        <v>282</v>
      </c>
      <c r="V52" s="80">
        <v>119</v>
      </c>
      <c r="W52" s="209">
        <v>2017</v>
      </c>
      <c r="X52">
        <v>1294</v>
      </c>
      <c r="Y52" s="80">
        <v>785</v>
      </c>
    </row>
    <row r="53" spans="1:25" x14ac:dyDescent="0.25">
      <c r="A53" s="170" t="s">
        <v>87</v>
      </c>
      <c r="B53">
        <v>191</v>
      </c>
      <c r="C53">
        <v>1468</v>
      </c>
      <c r="D53">
        <v>0</v>
      </c>
      <c r="E53">
        <v>336</v>
      </c>
      <c r="F53" s="80">
        <v>179</v>
      </c>
      <c r="G53" s="209">
        <v>3453</v>
      </c>
      <c r="H53">
        <v>1446</v>
      </c>
      <c r="I53" s="80">
        <v>2804</v>
      </c>
      <c r="J53">
        <v>116</v>
      </c>
      <c r="K53">
        <v>873</v>
      </c>
      <c r="L53">
        <v>0</v>
      </c>
      <c r="M53">
        <v>214</v>
      </c>
      <c r="N53" s="80">
        <v>77</v>
      </c>
      <c r="O53" s="209">
        <v>2071</v>
      </c>
      <c r="P53">
        <v>644</v>
      </c>
      <c r="Q53" s="80">
        <v>1335</v>
      </c>
      <c r="R53">
        <v>147</v>
      </c>
      <c r="S53">
        <v>1198</v>
      </c>
      <c r="T53">
        <v>0</v>
      </c>
      <c r="U53">
        <v>282</v>
      </c>
      <c r="V53" s="80">
        <v>113</v>
      </c>
      <c r="W53" s="209">
        <v>2799</v>
      </c>
      <c r="X53">
        <v>993</v>
      </c>
      <c r="Y53" s="80">
        <v>2073</v>
      </c>
    </row>
    <row r="54" spans="1:25" x14ac:dyDescent="0.25">
      <c r="A54" s="170" t="s">
        <v>88</v>
      </c>
      <c r="B54">
        <v>418</v>
      </c>
      <c r="C54">
        <v>559</v>
      </c>
      <c r="D54">
        <v>0</v>
      </c>
      <c r="E54">
        <v>284</v>
      </c>
      <c r="F54" s="80">
        <v>210</v>
      </c>
      <c r="G54" s="209">
        <v>1870</v>
      </c>
      <c r="H54">
        <v>1366</v>
      </c>
      <c r="I54" s="80">
        <v>1468</v>
      </c>
      <c r="J54">
        <v>239</v>
      </c>
      <c r="K54">
        <v>307</v>
      </c>
      <c r="L54">
        <v>0</v>
      </c>
      <c r="M54">
        <v>132</v>
      </c>
      <c r="N54" s="80">
        <v>74</v>
      </c>
      <c r="O54" s="209">
        <v>827</v>
      </c>
      <c r="P54">
        <v>543</v>
      </c>
      <c r="Q54" s="80">
        <v>353</v>
      </c>
      <c r="R54">
        <v>316</v>
      </c>
      <c r="S54">
        <v>430</v>
      </c>
      <c r="T54">
        <v>0</v>
      </c>
      <c r="U54">
        <v>201</v>
      </c>
      <c r="V54" s="80">
        <v>101</v>
      </c>
      <c r="W54" s="209">
        <v>1281</v>
      </c>
      <c r="X54">
        <v>857</v>
      </c>
      <c r="Y54" s="80">
        <v>724</v>
      </c>
    </row>
    <row r="55" spans="1:25" x14ac:dyDescent="0.25">
      <c r="A55" s="170" t="s">
        <v>89</v>
      </c>
      <c r="B55">
        <v>376</v>
      </c>
      <c r="C55">
        <v>442</v>
      </c>
      <c r="D55">
        <v>0</v>
      </c>
      <c r="E55">
        <v>161</v>
      </c>
      <c r="F55" s="80">
        <v>196</v>
      </c>
      <c r="G55" s="209">
        <v>1403</v>
      </c>
      <c r="H55">
        <v>986</v>
      </c>
      <c r="I55" s="80">
        <v>1212</v>
      </c>
      <c r="J55">
        <v>148</v>
      </c>
      <c r="K55">
        <v>196</v>
      </c>
      <c r="L55">
        <v>0</v>
      </c>
      <c r="M55">
        <v>72</v>
      </c>
      <c r="N55" s="80">
        <v>45</v>
      </c>
      <c r="O55" s="209">
        <v>545</v>
      </c>
      <c r="P55">
        <v>271</v>
      </c>
      <c r="Q55" s="80">
        <v>239</v>
      </c>
      <c r="R55">
        <v>231</v>
      </c>
      <c r="S55">
        <v>313</v>
      </c>
      <c r="T55">
        <v>0</v>
      </c>
      <c r="U55">
        <v>121</v>
      </c>
      <c r="V55" s="80">
        <v>88</v>
      </c>
      <c r="W55" s="209">
        <v>935</v>
      </c>
      <c r="X55">
        <v>494</v>
      </c>
      <c r="Y55" s="80">
        <v>609</v>
      </c>
    </row>
    <row r="56" spans="1:25" x14ac:dyDescent="0.25">
      <c r="A56" s="170" t="s">
        <v>90</v>
      </c>
      <c r="B56">
        <v>804</v>
      </c>
      <c r="C56">
        <v>820</v>
      </c>
      <c r="D56">
        <v>0</v>
      </c>
      <c r="E56">
        <v>538</v>
      </c>
      <c r="F56" s="80">
        <v>502</v>
      </c>
      <c r="G56" s="209">
        <v>2817</v>
      </c>
      <c r="H56">
        <v>2366</v>
      </c>
      <c r="I56" s="80">
        <v>1356</v>
      </c>
      <c r="J56">
        <v>345</v>
      </c>
      <c r="K56">
        <v>361</v>
      </c>
      <c r="L56">
        <v>0</v>
      </c>
      <c r="M56">
        <v>187</v>
      </c>
      <c r="N56" s="80">
        <v>83</v>
      </c>
      <c r="O56" s="209">
        <v>840</v>
      </c>
      <c r="P56">
        <v>676</v>
      </c>
      <c r="Q56" s="80">
        <v>157</v>
      </c>
      <c r="R56">
        <v>515</v>
      </c>
      <c r="S56">
        <v>563</v>
      </c>
      <c r="T56">
        <v>0</v>
      </c>
      <c r="U56">
        <v>338</v>
      </c>
      <c r="V56" s="80">
        <v>166</v>
      </c>
      <c r="W56" s="209">
        <v>1515</v>
      </c>
      <c r="X56">
        <v>1185</v>
      </c>
      <c r="Y56" s="80">
        <v>363</v>
      </c>
    </row>
    <row r="57" spans="1:25" x14ac:dyDescent="0.25">
      <c r="A57" s="170" t="s">
        <v>91</v>
      </c>
      <c r="B57">
        <v>425</v>
      </c>
      <c r="C57">
        <v>1068</v>
      </c>
      <c r="D57">
        <v>0</v>
      </c>
      <c r="E57">
        <v>449</v>
      </c>
      <c r="F57" s="80">
        <v>367</v>
      </c>
      <c r="G57" s="209">
        <v>2971</v>
      </c>
      <c r="H57">
        <v>1963</v>
      </c>
      <c r="I57" s="80">
        <v>1960</v>
      </c>
      <c r="J57">
        <v>186</v>
      </c>
      <c r="K57">
        <v>428</v>
      </c>
      <c r="L57">
        <v>0</v>
      </c>
      <c r="M57">
        <v>132</v>
      </c>
      <c r="N57" s="80">
        <v>70</v>
      </c>
      <c r="O57" s="209">
        <v>1164</v>
      </c>
      <c r="P57">
        <v>545</v>
      </c>
      <c r="Q57" s="80">
        <v>410</v>
      </c>
      <c r="R57">
        <v>266</v>
      </c>
      <c r="S57">
        <v>607</v>
      </c>
      <c r="T57">
        <v>0</v>
      </c>
      <c r="U57">
        <v>217</v>
      </c>
      <c r="V57" s="80">
        <v>117</v>
      </c>
      <c r="W57" s="209">
        <v>1768</v>
      </c>
      <c r="X57">
        <v>870</v>
      </c>
      <c r="Y57" s="80">
        <v>921</v>
      </c>
    </row>
    <row r="58" spans="1:25" x14ac:dyDescent="0.25">
      <c r="A58" s="170" t="s">
        <v>92</v>
      </c>
      <c r="B58">
        <v>645</v>
      </c>
      <c r="C58">
        <v>997</v>
      </c>
      <c r="D58">
        <v>0</v>
      </c>
      <c r="E58">
        <v>139</v>
      </c>
      <c r="F58" s="80">
        <v>408</v>
      </c>
      <c r="G58" s="209">
        <v>2752</v>
      </c>
      <c r="H58">
        <v>2129</v>
      </c>
      <c r="I58" s="80">
        <v>3054</v>
      </c>
      <c r="J58">
        <v>299</v>
      </c>
      <c r="K58">
        <v>419</v>
      </c>
      <c r="L58">
        <v>0</v>
      </c>
      <c r="M58">
        <v>41</v>
      </c>
      <c r="N58" s="80">
        <v>113</v>
      </c>
      <c r="O58" s="209">
        <v>853</v>
      </c>
      <c r="P58">
        <v>692</v>
      </c>
      <c r="Q58" s="80">
        <v>378</v>
      </c>
      <c r="R58">
        <v>411</v>
      </c>
      <c r="S58">
        <v>598</v>
      </c>
      <c r="T58">
        <v>0</v>
      </c>
      <c r="U58">
        <v>74</v>
      </c>
      <c r="V58" s="80">
        <v>189</v>
      </c>
      <c r="W58" s="209">
        <v>1347</v>
      </c>
      <c r="X58">
        <v>1083</v>
      </c>
      <c r="Y58" s="80">
        <v>737</v>
      </c>
    </row>
    <row r="59" spans="1:25" x14ac:dyDescent="0.25">
      <c r="A59" s="170" t="s">
        <v>31</v>
      </c>
      <c r="B59">
        <v>453</v>
      </c>
      <c r="C59">
        <v>1041</v>
      </c>
      <c r="D59">
        <v>0</v>
      </c>
      <c r="E59">
        <v>255</v>
      </c>
      <c r="F59" s="80">
        <v>626</v>
      </c>
      <c r="G59" s="209">
        <v>3822</v>
      </c>
      <c r="H59">
        <v>2991</v>
      </c>
      <c r="I59" s="80">
        <v>2518</v>
      </c>
      <c r="J59">
        <v>214</v>
      </c>
      <c r="K59">
        <v>443</v>
      </c>
      <c r="L59">
        <v>0</v>
      </c>
      <c r="M59">
        <v>103</v>
      </c>
      <c r="N59" s="80">
        <v>171</v>
      </c>
      <c r="O59" s="209">
        <v>1160</v>
      </c>
      <c r="P59">
        <v>1141</v>
      </c>
      <c r="Q59" s="80">
        <v>474</v>
      </c>
      <c r="R59">
        <v>296</v>
      </c>
      <c r="S59">
        <v>635</v>
      </c>
      <c r="T59">
        <v>0</v>
      </c>
      <c r="U59">
        <v>149</v>
      </c>
      <c r="V59" s="80">
        <v>253</v>
      </c>
      <c r="W59" s="209">
        <v>1928</v>
      </c>
      <c r="X59">
        <v>1739</v>
      </c>
      <c r="Y59" s="80">
        <v>1142</v>
      </c>
    </row>
    <row r="60" spans="1:25" x14ac:dyDescent="0.25">
      <c r="A60" s="170" t="s">
        <v>93</v>
      </c>
      <c r="B60">
        <v>262</v>
      </c>
      <c r="C60">
        <v>748</v>
      </c>
      <c r="D60">
        <v>0</v>
      </c>
      <c r="E60">
        <v>70</v>
      </c>
      <c r="F60" s="80">
        <v>172</v>
      </c>
      <c r="G60" s="209">
        <v>1820</v>
      </c>
      <c r="H60">
        <v>932</v>
      </c>
      <c r="I60" s="80">
        <v>1661</v>
      </c>
      <c r="J60">
        <v>172</v>
      </c>
      <c r="K60">
        <v>490</v>
      </c>
      <c r="L60">
        <v>0</v>
      </c>
      <c r="M60">
        <v>39</v>
      </c>
      <c r="N60" s="80">
        <v>78</v>
      </c>
      <c r="O60" s="209">
        <v>1158</v>
      </c>
      <c r="P60">
        <v>584</v>
      </c>
      <c r="Q60" s="80">
        <v>891</v>
      </c>
      <c r="R60">
        <v>211</v>
      </c>
      <c r="S60">
        <v>623</v>
      </c>
      <c r="T60">
        <v>0</v>
      </c>
      <c r="U60">
        <v>51</v>
      </c>
      <c r="V60" s="80">
        <v>116</v>
      </c>
      <c r="W60" s="209">
        <v>1491</v>
      </c>
      <c r="X60">
        <v>711</v>
      </c>
      <c r="Y60" s="80">
        <v>1198</v>
      </c>
    </row>
    <row r="61" spans="1:25" x14ac:dyDescent="0.25">
      <c r="A61" s="170" t="s">
        <v>94</v>
      </c>
      <c r="B61">
        <v>169</v>
      </c>
      <c r="C61">
        <v>513</v>
      </c>
      <c r="D61">
        <v>0</v>
      </c>
      <c r="E61">
        <v>98</v>
      </c>
      <c r="F61" s="80">
        <v>117</v>
      </c>
      <c r="G61" s="209">
        <v>1548</v>
      </c>
      <c r="H61">
        <v>660</v>
      </c>
      <c r="I61" s="80">
        <v>1417</v>
      </c>
      <c r="J61">
        <v>99</v>
      </c>
      <c r="K61">
        <v>340</v>
      </c>
      <c r="L61">
        <v>0</v>
      </c>
      <c r="M61">
        <v>50</v>
      </c>
      <c r="N61" s="80">
        <v>58</v>
      </c>
      <c r="O61" s="209">
        <v>1010</v>
      </c>
      <c r="P61">
        <v>290</v>
      </c>
      <c r="Q61" s="80">
        <v>600</v>
      </c>
      <c r="R61">
        <v>128</v>
      </c>
      <c r="S61">
        <v>414</v>
      </c>
      <c r="T61">
        <v>0</v>
      </c>
      <c r="U61">
        <v>77</v>
      </c>
      <c r="V61" s="80">
        <v>70</v>
      </c>
      <c r="W61" s="209">
        <v>1262</v>
      </c>
      <c r="X61">
        <v>381</v>
      </c>
      <c r="Y61" s="80">
        <v>895</v>
      </c>
    </row>
    <row r="62" spans="1:25" x14ac:dyDescent="0.25">
      <c r="A62" s="170" t="s">
        <v>95</v>
      </c>
      <c r="B62">
        <v>683</v>
      </c>
      <c r="C62">
        <v>1119</v>
      </c>
      <c r="D62">
        <v>0</v>
      </c>
      <c r="E62">
        <v>66</v>
      </c>
      <c r="F62" s="80">
        <v>665</v>
      </c>
      <c r="G62" s="209">
        <v>2659</v>
      </c>
      <c r="H62">
        <v>1784</v>
      </c>
      <c r="I62" s="80">
        <v>2196</v>
      </c>
      <c r="J62">
        <v>334</v>
      </c>
      <c r="K62">
        <v>514</v>
      </c>
      <c r="L62">
        <v>0</v>
      </c>
      <c r="M62">
        <v>26</v>
      </c>
      <c r="N62" s="80">
        <v>194</v>
      </c>
      <c r="O62" s="209">
        <v>1143</v>
      </c>
      <c r="P62">
        <v>603</v>
      </c>
      <c r="Q62" s="80">
        <v>688</v>
      </c>
      <c r="R62">
        <v>447</v>
      </c>
      <c r="S62">
        <v>736</v>
      </c>
      <c r="T62">
        <v>0</v>
      </c>
      <c r="U62">
        <v>38</v>
      </c>
      <c r="V62" s="80">
        <v>313</v>
      </c>
      <c r="W62" s="209">
        <v>1637</v>
      </c>
      <c r="X62">
        <v>950</v>
      </c>
      <c r="Y62" s="80">
        <v>1154</v>
      </c>
    </row>
    <row r="63" spans="1:25" x14ac:dyDescent="0.25">
      <c r="A63" s="170" t="s">
        <v>96</v>
      </c>
      <c r="B63">
        <v>14</v>
      </c>
      <c r="C63">
        <v>188</v>
      </c>
      <c r="D63">
        <v>0</v>
      </c>
      <c r="E63">
        <v>24</v>
      </c>
      <c r="F63" s="80">
        <v>60</v>
      </c>
      <c r="G63" s="209">
        <v>435</v>
      </c>
      <c r="H63">
        <v>161</v>
      </c>
      <c r="I63" s="80">
        <v>1040</v>
      </c>
      <c r="J63">
        <v>12</v>
      </c>
      <c r="K63">
        <v>109</v>
      </c>
      <c r="L63">
        <v>0</v>
      </c>
      <c r="M63">
        <v>15</v>
      </c>
      <c r="N63" s="80">
        <v>31</v>
      </c>
      <c r="O63" s="209">
        <v>203</v>
      </c>
      <c r="P63">
        <v>78</v>
      </c>
      <c r="Q63" s="80">
        <v>145</v>
      </c>
      <c r="R63">
        <v>12</v>
      </c>
      <c r="S63">
        <v>117</v>
      </c>
      <c r="T63">
        <v>0</v>
      </c>
      <c r="U63">
        <v>17</v>
      </c>
      <c r="V63" s="80">
        <v>32</v>
      </c>
      <c r="W63" s="209">
        <v>246</v>
      </c>
      <c r="X63">
        <v>78</v>
      </c>
      <c r="Y63" s="80">
        <v>219</v>
      </c>
    </row>
    <row r="64" spans="1:25" x14ac:dyDescent="0.25">
      <c r="A64" s="170" t="s">
        <v>97</v>
      </c>
      <c r="B64">
        <v>171</v>
      </c>
      <c r="C64">
        <v>458</v>
      </c>
      <c r="D64">
        <v>0</v>
      </c>
      <c r="E64">
        <v>93</v>
      </c>
      <c r="F64" s="80">
        <v>220</v>
      </c>
      <c r="G64" s="209">
        <v>1201</v>
      </c>
      <c r="H64">
        <v>881</v>
      </c>
      <c r="I64" s="80">
        <v>1496</v>
      </c>
      <c r="J64">
        <v>77</v>
      </c>
      <c r="K64">
        <v>211</v>
      </c>
      <c r="L64">
        <v>0</v>
      </c>
      <c r="M64">
        <v>39</v>
      </c>
      <c r="N64" s="80">
        <v>66</v>
      </c>
      <c r="O64" s="209">
        <v>482</v>
      </c>
      <c r="P64">
        <v>296</v>
      </c>
      <c r="Q64" s="80">
        <v>394</v>
      </c>
      <c r="R64">
        <v>128</v>
      </c>
      <c r="S64">
        <v>335</v>
      </c>
      <c r="T64">
        <v>0</v>
      </c>
      <c r="U64">
        <v>59</v>
      </c>
      <c r="V64" s="80">
        <v>115</v>
      </c>
      <c r="W64" s="209">
        <v>802</v>
      </c>
      <c r="X64">
        <v>560</v>
      </c>
      <c r="Y64" s="80">
        <v>767</v>
      </c>
    </row>
    <row r="65" spans="1:25" x14ac:dyDescent="0.25">
      <c r="A65" s="170" t="s">
        <v>98</v>
      </c>
      <c r="B65">
        <v>581</v>
      </c>
      <c r="C65">
        <v>995</v>
      </c>
      <c r="D65">
        <v>0</v>
      </c>
      <c r="E65">
        <v>438</v>
      </c>
      <c r="F65" s="80">
        <v>211</v>
      </c>
      <c r="G65" s="209">
        <v>2868</v>
      </c>
      <c r="H65">
        <v>1710</v>
      </c>
      <c r="I65" s="80">
        <v>3851</v>
      </c>
      <c r="J65">
        <v>231</v>
      </c>
      <c r="K65">
        <v>428</v>
      </c>
      <c r="L65">
        <v>0</v>
      </c>
      <c r="M65">
        <v>122</v>
      </c>
      <c r="N65" s="80">
        <v>35</v>
      </c>
      <c r="O65" s="209">
        <v>945</v>
      </c>
      <c r="P65">
        <v>526</v>
      </c>
      <c r="Q65" s="80">
        <v>598</v>
      </c>
      <c r="R65">
        <v>376</v>
      </c>
      <c r="S65">
        <v>692</v>
      </c>
      <c r="T65">
        <v>0</v>
      </c>
      <c r="U65">
        <v>227</v>
      </c>
      <c r="V65" s="80">
        <v>92</v>
      </c>
      <c r="W65" s="209">
        <v>1711</v>
      </c>
      <c r="X65">
        <v>917</v>
      </c>
      <c r="Y65" s="80">
        <v>1464</v>
      </c>
    </row>
    <row r="66" spans="1:25" x14ac:dyDescent="0.25">
      <c r="A66" s="170" t="s">
        <v>99</v>
      </c>
      <c r="B66">
        <v>982</v>
      </c>
      <c r="C66">
        <v>1228</v>
      </c>
      <c r="D66">
        <v>0</v>
      </c>
      <c r="E66">
        <v>1070</v>
      </c>
      <c r="F66" s="80">
        <v>819</v>
      </c>
      <c r="G66" s="209">
        <v>4491</v>
      </c>
      <c r="H66">
        <v>3805</v>
      </c>
      <c r="I66" s="80">
        <v>3046</v>
      </c>
      <c r="J66">
        <v>342</v>
      </c>
      <c r="K66">
        <v>427</v>
      </c>
      <c r="L66">
        <v>0</v>
      </c>
      <c r="M66">
        <v>315</v>
      </c>
      <c r="N66" s="80">
        <v>175</v>
      </c>
      <c r="O66" s="209">
        <v>1188</v>
      </c>
      <c r="P66">
        <v>1008</v>
      </c>
      <c r="Q66" s="80">
        <v>361</v>
      </c>
      <c r="R66">
        <v>538</v>
      </c>
      <c r="S66">
        <v>688</v>
      </c>
      <c r="T66">
        <v>0</v>
      </c>
      <c r="U66">
        <v>513</v>
      </c>
      <c r="V66" s="80">
        <v>286</v>
      </c>
      <c r="W66" s="209">
        <v>2254</v>
      </c>
      <c r="X66">
        <v>1733</v>
      </c>
      <c r="Y66" s="80">
        <v>915</v>
      </c>
    </row>
    <row r="67" spans="1:25" x14ac:dyDescent="0.25">
      <c r="A67" s="170" t="s">
        <v>100</v>
      </c>
      <c r="B67">
        <v>582</v>
      </c>
      <c r="C67">
        <v>723</v>
      </c>
      <c r="D67">
        <v>0</v>
      </c>
      <c r="E67">
        <v>185</v>
      </c>
      <c r="F67" s="80">
        <v>187</v>
      </c>
      <c r="G67" s="209">
        <v>2159</v>
      </c>
      <c r="H67">
        <v>1414</v>
      </c>
      <c r="I67" s="80">
        <v>1788</v>
      </c>
      <c r="J67">
        <v>363</v>
      </c>
      <c r="K67">
        <v>443</v>
      </c>
      <c r="L67">
        <v>0</v>
      </c>
      <c r="M67">
        <v>116</v>
      </c>
      <c r="N67" s="80">
        <v>78</v>
      </c>
      <c r="O67" s="209">
        <v>1183</v>
      </c>
      <c r="P67">
        <v>719</v>
      </c>
      <c r="Q67" s="80">
        <v>483</v>
      </c>
      <c r="R67">
        <v>474</v>
      </c>
      <c r="S67">
        <v>613</v>
      </c>
      <c r="T67">
        <v>0</v>
      </c>
      <c r="U67">
        <v>156</v>
      </c>
      <c r="V67" s="80">
        <v>112</v>
      </c>
      <c r="W67" s="209">
        <v>1706</v>
      </c>
      <c r="X67">
        <v>1076</v>
      </c>
      <c r="Y67" s="80">
        <v>957</v>
      </c>
    </row>
    <row r="68" spans="1:25" x14ac:dyDescent="0.25">
      <c r="A68" s="170" t="s">
        <v>101</v>
      </c>
      <c r="B68">
        <v>1326</v>
      </c>
      <c r="C68">
        <v>1142</v>
      </c>
      <c r="D68">
        <v>0</v>
      </c>
      <c r="E68">
        <v>447</v>
      </c>
      <c r="F68" s="80">
        <v>569</v>
      </c>
      <c r="G68" s="209">
        <v>5569</v>
      </c>
      <c r="H68">
        <v>3072</v>
      </c>
      <c r="I68" s="80">
        <v>5376</v>
      </c>
      <c r="J68">
        <v>836</v>
      </c>
      <c r="K68">
        <v>752</v>
      </c>
      <c r="L68">
        <v>0</v>
      </c>
      <c r="M68">
        <v>308</v>
      </c>
      <c r="N68" s="80">
        <v>229</v>
      </c>
      <c r="O68" s="209">
        <v>3439</v>
      </c>
      <c r="P68">
        <v>1628</v>
      </c>
      <c r="Q68" s="80">
        <v>2532</v>
      </c>
      <c r="R68">
        <v>1077</v>
      </c>
      <c r="S68">
        <v>967</v>
      </c>
      <c r="T68">
        <v>0</v>
      </c>
      <c r="U68">
        <v>395</v>
      </c>
      <c r="V68" s="80">
        <v>320</v>
      </c>
      <c r="W68" s="209">
        <v>4500</v>
      </c>
      <c r="X68">
        <v>2259</v>
      </c>
      <c r="Y68" s="80">
        <v>3721</v>
      </c>
    </row>
    <row r="69" spans="1:25" x14ac:dyDescent="0.25">
      <c r="A69" s="170" t="s">
        <v>102</v>
      </c>
      <c r="B69">
        <v>1577</v>
      </c>
      <c r="C69">
        <v>1729</v>
      </c>
      <c r="D69">
        <v>0</v>
      </c>
      <c r="E69">
        <v>518</v>
      </c>
      <c r="F69" s="80">
        <v>996</v>
      </c>
      <c r="G69" s="209">
        <v>3828</v>
      </c>
      <c r="H69">
        <v>3656</v>
      </c>
      <c r="I69" s="80">
        <v>2714</v>
      </c>
      <c r="J69">
        <v>754</v>
      </c>
      <c r="K69">
        <v>900</v>
      </c>
      <c r="L69">
        <v>0</v>
      </c>
      <c r="M69">
        <v>299</v>
      </c>
      <c r="N69" s="80">
        <v>323</v>
      </c>
      <c r="O69" s="209">
        <v>1722</v>
      </c>
      <c r="P69">
        <v>1293</v>
      </c>
      <c r="Q69" s="80">
        <v>809</v>
      </c>
      <c r="R69">
        <v>1052</v>
      </c>
      <c r="S69">
        <v>1291</v>
      </c>
      <c r="T69">
        <v>0</v>
      </c>
      <c r="U69">
        <v>418</v>
      </c>
      <c r="V69" s="80">
        <v>478</v>
      </c>
      <c r="W69" s="209">
        <v>2624</v>
      </c>
      <c r="X69">
        <v>2018</v>
      </c>
      <c r="Y69" s="80">
        <v>1547</v>
      </c>
    </row>
    <row r="70" spans="1:25" x14ac:dyDescent="0.25">
      <c r="A70" s="170" t="s">
        <v>103</v>
      </c>
      <c r="B70">
        <v>103</v>
      </c>
      <c r="C70">
        <v>704</v>
      </c>
      <c r="D70">
        <v>0</v>
      </c>
      <c r="E70">
        <v>74</v>
      </c>
      <c r="F70" s="80">
        <v>99</v>
      </c>
      <c r="G70" s="209">
        <v>1915</v>
      </c>
      <c r="H70">
        <v>710</v>
      </c>
      <c r="I70" s="80">
        <v>1439</v>
      </c>
      <c r="J70">
        <v>77</v>
      </c>
      <c r="K70">
        <v>513</v>
      </c>
      <c r="L70">
        <v>0</v>
      </c>
      <c r="M70">
        <v>56</v>
      </c>
      <c r="N70" s="80">
        <v>51</v>
      </c>
      <c r="O70" s="209">
        <v>1292</v>
      </c>
      <c r="P70">
        <v>424</v>
      </c>
      <c r="Q70" s="80">
        <v>740</v>
      </c>
      <c r="R70">
        <v>92</v>
      </c>
      <c r="S70">
        <v>618</v>
      </c>
      <c r="T70">
        <v>0</v>
      </c>
      <c r="U70">
        <v>67</v>
      </c>
      <c r="V70" s="80">
        <v>73</v>
      </c>
      <c r="W70" s="209">
        <v>1615</v>
      </c>
      <c r="X70">
        <v>539</v>
      </c>
      <c r="Y70" s="80">
        <v>1060</v>
      </c>
    </row>
    <row r="71" spans="1:25" x14ac:dyDescent="0.25">
      <c r="A71" s="170" t="s">
        <v>104</v>
      </c>
      <c r="B71">
        <v>116</v>
      </c>
      <c r="C71">
        <v>585</v>
      </c>
      <c r="D71">
        <v>0</v>
      </c>
      <c r="E71">
        <v>109</v>
      </c>
      <c r="F71" s="80">
        <v>148</v>
      </c>
      <c r="G71" s="209">
        <v>983</v>
      </c>
      <c r="H71">
        <v>531</v>
      </c>
      <c r="I71" s="80">
        <v>885</v>
      </c>
      <c r="J71">
        <v>85</v>
      </c>
      <c r="K71">
        <v>396</v>
      </c>
      <c r="L71">
        <v>0</v>
      </c>
      <c r="M71">
        <v>85</v>
      </c>
      <c r="N71" s="80">
        <v>59</v>
      </c>
      <c r="O71" s="209">
        <v>666</v>
      </c>
      <c r="P71">
        <v>286</v>
      </c>
      <c r="Q71" s="80">
        <v>519</v>
      </c>
      <c r="R71">
        <v>106</v>
      </c>
      <c r="S71">
        <v>491</v>
      </c>
      <c r="T71">
        <v>0</v>
      </c>
      <c r="U71">
        <v>100</v>
      </c>
      <c r="V71" s="80">
        <v>81</v>
      </c>
      <c r="W71" s="209">
        <v>831</v>
      </c>
      <c r="X71">
        <v>363</v>
      </c>
      <c r="Y71" s="80">
        <v>703</v>
      </c>
    </row>
    <row r="72" spans="1:25" x14ac:dyDescent="0.25">
      <c r="A72" s="170" t="s">
        <v>33</v>
      </c>
      <c r="B72">
        <v>95</v>
      </c>
      <c r="C72">
        <v>285</v>
      </c>
      <c r="D72">
        <v>0</v>
      </c>
      <c r="E72">
        <v>5</v>
      </c>
      <c r="F72" s="80">
        <v>36</v>
      </c>
      <c r="G72" s="209">
        <v>303</v>
      </c>
      <c r="H72">
        <v>315</v>
      </c>
      <c r="I72" s="80">
        <v>2184</v>
      </c>
      <c r="J72">
        <v>61</v>
      </c>
      <c r="K72">
        <v>162</v>
      </c>
      <c r="L72">
        <v>0</v>
      </c>
      <c r="M72">
        <v>1</v>
      </c>
      <c r="N72" s="80">
        <v>11</v>
      </c>
      <c r="O72" s="209">
        <v>178</v>
      </c>
      <c r="P72">
        <v>131</v>
      </c>
      <c r="Q72" s="80">
        <v>195</v>
      </c>
      <c r="R72">
        <v>73</v>
      </c>
      <c r="S72">
        <v>213</v>
      </c>
      <c r="T72">
        <v>0</v>
      </c>
      <c r="U72">
        <v>4</v>
      </c>
      <c r="V72" s="80">
        <v>20</v>
      </c>
      <c r="W72" s="209">
        <v>254</v>
      </c>
      <c r="X72">
        <v>188</v>
      </c>
      <c r="Y72" s="80">
        <v>331</v>
      </c>
    </row>
    <row r="73" spans="1:25" ht="17.25" x14ac:dyDescent="0.25">
      <c r="A73" s="170" t="s">
        <v>105</v>
      </c>
      <c r="B73">
        <v>484</v>
      </c>
      <c r="C73">
        <v>394</v>
      </c>
      <c r="D73">
        <v>0</v>
      </c>
      <c r="E73">
        <v>80</v>
      </c>
      <c r="F73" s="80">
        <v>276</v>
      </c>
      <c r="G73" s="209">
        <v>1911</v>
      </c>
      <c r="H73">
        <v>1892</v>
      </c>
      <c r="I73" s="80">
        <v>1979</v>
      </c>
      <c r="J73">
        <v>190</v>
      </c>
      <c r="K73">
        <v>168</v>
      </c>
      <c r="L73">
        <v>0</v>
      </c>
      <c r="M73">
        <v>25</v>
      </c>
      <c r="N73" s="80">
        <v>50</v>
      </c>
      <c r="O73" s="209">
        <v>571</v>
      </c>
      <c r="P73">
        <v>520</v>
      </c>
      <c r="Q73" s="80">
        <v>276</v>
      </c>
      <c r="R73">
        <v>261</v>
      </c>
      <c r="S73">
        <v>238</v>
      </c>
      <c r="T73">
        <v>0</v>
      </c>
      <c r="U73">
        <v>36</v>
      </c>
      <c r="V73" s="80">
        <v>73</v>
      </c>
      <c r="W73" s="209">
        <v>877</v>
      </c>
      <c r="X73">
        <v>835</v>
      </c>
      <c r="Y73" s="80">
        <v>603</v>
      </c>
    </row>
    <row r="74" spans="1:25" x14ac:dyDescent="0.25">
      <c r="A74" s="170" t="s">
        <v>106</v>
      </c>
      <c r="B74">
        <v>415</v>
      </c>
      <c r="C74">
        <v>941</v>
      </c>
      <c r="D74">
        <v>0</v>
      </c>
      <c r="E74">
        <v>136</v>
      </c>
      <c r="F74" s="80">
        <v>62</v>
      </c>
      <c r="G74" s="209">
        <v>2995</v>
      </c>
      <c r="H74">
        <v>1458</v>
      </c>
      <c r="I74" s="80">
        <v>3095</v>
      </c>
      <c r="J74">
        <v>270</v>
      </c>
      <c r="K74">
        <v>569</v>
      </c>
      <c r="L74">
        <v>0</v>
      </c>
      <c r="M74">
        <v>90</v>
      </c>
      <c r="N74" s="80">
        <v>19</v>
      </c>
      <c r="O74" s="209">
        <v>1722</v>
      </c>
      <c r="P74">
        <v>756</v>
      </c>
      <c r="Q74" s="80">
        <v>1283</v>
      </c>
      <c r="R74">
        <v>339</v>
      </c>
      <c r="S74">
        <v>752</v>
      </c>
      <c r="T74">
        <v>0</v>
      </c>
      <c r="U74">
        <v>109</v>
      </c>
      <c r="V74" s="80">
        <v>34</v>
      </c>
      <c r="W74" s="209">
        <v>2331</v>
      </c>
      <c r="X74">
        <v>1092</v>
      </c>
      <c r="Y74" s="80">
        <v>2087</v>
      </c>
    </row>
    <row r="75" spans="1:25" x14ac:dyDescent="0.25">
      <c r="A75" s="170" t="s">
        <v>107</v>
      </c>
      <c r="B75">
        <v>176</v>
      </c>
      <c r="C75">
        <v>725</v>
      </c>
      <c r="D75">
        <v>0</v>
      </c>
      <c r="E75">
        <v>63</v>
      </c>
      <c r="F75" s="80">
        <v>89</v>
      </c>
      <c r="G75" s="211">
        <v>1463</v>
      </c>
      <c r="H75">
        <v>752</v>
      </c>
      <c r="I75" s="80">
        <v>1567</v>
      </c>
      <c r="J75">
        <v>140</v>
      </c>
      <c r="K75">
        <v>494</v>
      </c>
      <c r="L75">
        <v>0</v>
      </c>
      <c r="M75">
        <v>44</v>
      </c>
      <c r="N75" s="80">
        <v>48</v>
      </c>
      <c r="O75" s="211">
        <v>907</v>
      </c>
      <c r="P75">
        <v>408</v>
      </c>
      <c r="Q75" s="80">
        <v>724</v>
      </c>
      <c r="R75">
        <v>161</v>
      </c>
      <c r="S75">
        <v>629</v>
      </c>
      <c r="T75">
        <v>0</v>
      </c>
      <c r="U75">
        <v>52</v>
      </c>
      <c r="V75" s="80">
        <v>65</v>
      </c>
      <c r="W75" s="211">
        <v>1236</v>
      </c>
      <c r="X75">
        <v>558</v>
      </c>
      <c r="Y75" s="80">
        <v>1083</v>
      </c>
    </row>
    <row r="76" spans="1:25" s="131" customFormat="1" x14ac:dyDescent="0.25">
      <c r="A76" s="188" t="s">
        <v>108</v>
      </c>
      <c r="B76" s="131">
        <f>SUM(B4:B75)</f>
        <v>35982</v>
      </c>
      <c r="C76" s="131">
        <f t="shared" ref="C76:Y76" si="0">SUM(C4:C75)</f>
        <v>61057</v>
      </c>
      <c r="D76" s="131">
        <f t="shared" si="0"/>
        <v>0</v>
      </c>
      <c r="E76" s="131">
        <f t="shared" si="0"/>
        <v>18776</v>
      </c>
      <c r="F76" s="131">
        <f t="shared" si="0"/>
        <v>21866</v>
      </c>
      <c r="G76" s="131">
        <f t="shared" si="0"/>
        <v>192108</v>
      </c>
      <c r="H76" s="131">
        <f t="shared" si="0"/>
        <v>121583</v>
      </c>
      <c r="I76" s="131">
        <f t="shared" si="0"/>
        <v>175068</v>
      </c>
      <c r="J76" s="131">
        <f t="shared" si="0"/>
        <v>19968</v>
      </c>
      <c r="K76" s="131">
        <f t="shared" si="0"/>
        <v>33500</v>
      </c>
      <c r="L76" s="131">
        <f t="shared" si="0"/>
        <v>0</v>
      </c>
      <c r="M76" s="131">
        <f t="shared" si="0"/>
        <v>8867</v>
      </c>
      <c r="N76" s="131">
        <f t="shared" si="0"/>
        <v>7365</v>
      </c>
      <c r="O76" s="131">
        <f t="shared" si="0"/>
        <v>88887</v>
      </c>
      <c r="P76" s="131">
        <f t="shared" si="0"/>
        <v>51899</v>
      </c>
      <c r="Q76" s="131">
        <f t="shared" si="0"/>
        <v>46398</v>
      </c>
      <c r="R76" s="131">
        <f t="shared" si="0"/>
        <v>26707</v>
      </c>
      <c r="S76" s="131">
        <f t="shared" si="0"/>
        <v>45622</v>
      </c>
      <c r="T76" s="131">
        <f t="shared" si="0"/>
        <v>0</v>
      </c>
      <c r="U76" s="131">
        <f t="shared" si="0"/>
        <v>12808</v>
      </c>
      <c r="V76" s="131">
        <f t="shared" si="0"/>
        <v>11064</v>
      </c>
      <c r="W76" s="131">
        <f t="shared" si="0"/>
        <v>129478</v>
      </c>
      <c r="X76" s="131">
        <f t="shared" si="0"/>
        <v>76918</v>
      </c>
      <c r="Y76" s="131">
        <f t="shared" si="0"/>
        <v>83068</v>
      </c>
    </row>
  </sheetData>
  <mergeCells count="4">
    <mergeCell ref="B2:I2"/>
    <mergeCell ref="J2:Q2"/>
    <mergeCell ref="R2:Y2"/>
    <mergeCell ref="B1:Y1"/>
  </mergeCells>
  <pageMargins left="0.7" right="0.7" top="0.75" bottom="0.75" header="0.3" footer="0.3"/>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1. Data Dictionary</vt:lpstr>
      <vt:lpstr>2. Weighting</vt:lpstr>
      <vt:lpstr>Differential Districts</vt:lpstr>
      <vt:lpstr>3. HH-Total</vt:lpstr>
      <vt:lpstr>4. Compare</vt:lpstr>
      <vt:lpstr>5. Base Allocation</vt:lpstr>
      <vt:lpstr>5a. Base Counts</vt:lpstr>
      <vt:lpstr>5b. Base Hist</vt:lpstr>
      <vt:lpstr>6. Supplemental Allocation</vt:lpstr>
      <vt:lpstr>6a. Supp Counts</vt:lpstr>
      <vt:lpstr>6a1. Supp growth</vt:lpstr>
      <vt:lpstr>7. Success Allocation</vt:lpstr>
      <vt:lpstr>7a. Success 3 yr</vt:lpstr>
      <vt:lpstr>7b. Success proj 1819</vt:lpstr>
      <vt:lpstr>7b1 Success growth</vt:lpstr>
      <vt:lpstr>7c. Success counts 1718</vt:lpstr>
      <vt:lpstr>7d Success counts 1617</vt:lpstr>
      <vt:lpstr>'1. Data Dictionary'!Print_Titles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Darcie Harvey</dc:creator>
  <cp:lastModifiedBy>Jonah Breslow</cp:lastModifiedBy>
  <dcterms:created xsi:type="dcterms:W3CDTF">2019-03-22T12:16:18Z</dcterms:created>
  <dcterms:modified xsi:type="dcterms:W3CDTF">2019-10-30T22:07:48Z</dcterms:modified>
</cp:coreProperties>
</file>