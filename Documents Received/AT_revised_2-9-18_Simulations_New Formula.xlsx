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106"/>
  <workbookPr/>
  <mc:AlternateContent xmlns:mc="http://schemas.openxmlformats.org/markup-compatibility/2006">
    <mc:Choice Requires="x15">
      <x15ac:absPath xmlns:x15ac="http://schemas.microsoft.com/office/spreadsheetml/2010/11/ac" url="/Users/lizettenavarette/Desktop/"/>
    </mc:Choice>
  </mc:AlternateContent>
  <bookViews>
    <workbookView xWindow="0" yWindow="460" windowWidth="25600" windowHeight="14420"/>
  </bookViews>
  <sheets>
    <sheet name="All" sheetId="17" r:id="rId1"/>
    <sheet name="Runs" sheetId="18" r:id="rId2"/>
    <sheet name="Formula Weights" sheetId="29" r:id="rId3"/>
    <sheet name="16-17 Apportionments Data" sheetId="19" r:id="rId4"/>
    <sheet name="15-16 Apportionments Data" sheetId="20" r:id="rId5"/>
    <sheet name="14-15 Program Awards (Datamart)" sheetId="21" r:id="rId6"/>
    <sheet name="15-16 Program Awards (Datamart)" sheetId="22" r:id="rId7"/>
    <sheet name="14-15 BOG (datamart)" sheetId="23" r:id="rId8"/>
    <sheet name="15-16 BOG (datamart)" sheetId="24" r:id="rId9"/>
    <sheet name="14-15 ADTS Awarded (datamart)" sheetId="25" r:id="rId10"/>
    <sheet name="15-16 ADTS Awarded (datamart)" sheetId="26" r:id="rId11"/>
    <sheet name="COMPLETION_RATE_2_3" sheetId="27" r:id="rId12"/>
    <sheet name="PELL" sheetId="28" r:id="rId13"/>
    <sheet name="Allan Hancock" sheetId="10" r:id="rId14"/>
    <sheet name="Copper Mountain" sheetId="2" r:id="rId15"/>
    <sheet name="GCCCD" sheetId="5" r:id="rId16"/>
    <sheet name="Long Beach" sheetId="14" r:id="rId17"/>
    <sheet name="LACCD" sheetId="6" r:id="rId18"/>
    <sheet name="Los Rios" sheetId="1" r:id="rId19"/>
    <sheet name="Miracosta" sheetId="7" r:id="rId20"/>
    <sheet name="North Orange" sheetId="11" r:id="rId21"/>
    <sheet name="San Diego" sheetId="16" r:id="rId22"/>
    <sheet name="San Mateo" sheetId="9" r:id="rId23"/>
    <sheet name="Santa Monica" sheetId="3" r:id="rId24"/>
    <sheet name="Shasta" sheetId="4" r:id="rId25"/>
    <sheet name="Sierra" sheetId="12" r:id="rId26"/>
    <sheet name="Siskiyou" sheetId="13" r:id="rId27"/>
    <sheet name="South Orange" sheetId="15" r:id="rId28"/>
    <sheet name="State Center" sheetId="8" r:id="rId29"/>
  </sheets>
  <externalReferences>
    <externalReference r:id="rId30"/>
  </externalReferences>
  <definedNames>
    <definedName name="_xlnm._FilterDatabase" localSheetId="0" hidden="1">All!$A$13:$A$85</definedName>
    <definedName name="_xlnm._FilterDatabase" localSheetId="1" hidden="1">Runs!$A$1:$A$74</definedName>
  </definedNames>
  <calcPr calcId="150001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5" i="29" l="1"/>
  <c r="B33" i="29"/>
  <c r="B32" i="29"/>
  <c r="B31" i="29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A2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P73" i="18"/>
  <c r="O73" i="18"/>
  <c r="M73" i="18"/>
  <c r="L73" i="18"/>
  <c r="K73" i="18"/>
  <c r="I73" i="18"/>
  <c r="J73" i="18"/>
  <c r="H73" i="18"/>
  <c r="G73" i="18"/>
  <c r="F73" i="18"/>
  <c r="D73" i="18"/>
  <c r="C73" i="18"/>
  <c r="B73" i="18"/>
  <c r="P72" i="18"/>
  <c r="O72" i="18"/>
  <c r="M72" i="18"/>
  <c r="L72" i="18"/>
  <c r="K72" i="18"/>
  <c r="I72" i="18"/>
  <c r="J72" i="18"/>
  <c r="H72" i="18"/>
  <c r="G72" i="18"/>
  <c r="F72" i="18"/>
  <c r="D72" i="18"/>
  <c r="C72" i="18"/>
  <c r="B72" i="18"/>
  <c r="P71" i="18"/>
  <c r="O71" i="18"/>
  <c r="M71" i="18"/>
  <c r="L71" i="18"/>
  <c r="K71" i="18"/>
  <c r="I71" i="18"/>
  <c r="J71" i="18"/>
  <c r="H71" i="18"/>
  <c r="G71" i="18"/>
  <c r="F71" i="18"/>
  <c r="D71" i="18"/>
  <c r="C71" i="18"/>
  <c r="B71" i="18"/>
  <c r="P70" i="18"/>
  <c r="O70" i="18"/>
  <c r="M70" i="18"/>
  <c r="L70" i="18"/>
  <c r="K70" i="18"/>
  <c r="I70" i="18"/>
  <c r="J70" i="18"/>
  <c r="H70" i="18"/>
  <c r="G70" i="18"/>
  <c r="F70" i="18"/>
  <c r="D70" i="18"/>
  <c r="C70" i="18"/>
  <c r="B70" i="18"/>
  <c r="P69" i="18"/>
  <c r="O69" i="18"/>
  <c r="M69" i="18"/>
  <c r="L69" i="18"/>
  <c r="K69" i="18"/>
  <c r="I69" i="18"/>
  <c r="J69" i="18"/>
  <c r="H69" i="18"/>
  <c r="G69" i="18"/>
  <c r="F69" i="18"/>
  <c r="D69" i="18"/>
  <c r="C69" i="18"/>
  <c r="B69" i="18"/>
  <c r="P68" i="18"/>
  <c r="O68" i="18"/>
  <c r="M68" i="18"/>
  <c r="L68" i="18"/>
  <c r="K68" i="18"/>
  <c r="I68" i="18"/>
  <c r="J68" i="18"/>
  <c r="H68" i="18"/>
  <c r="G68" i="18"/>
  <c r="F68" i="18"/>
  <c r="D68" i="18"/>
  <c r="C68" i="18"/>
  <c r="B68" i="18"/>
  <c r="P67" i="18"/>
  <c r="O67" i="18"/>
  <c r="M67" i="18"/>
  <c r="L67" i="18"/>
  <c r="K67" i="18"/>
  <c r="I67" i="18"/>
  <c r="J67" i="18"/>
  <c r="H67" i="18"/>
  <c r="G67" i="18"/>
  <c r="F67" i="18"/>
  <c r="D67" i="18"/>
  <c r="C67" i="18"/>
  <c r="B67" i="18"/>
  <c r="P66" i="18"/>
  <c r="O66" i="18"/>
  <c r="M66" i="18"/>
  <c r="L66" i="18"/>
  <c r="K66" i="18"/>
  <c r="I66" i="18"/>
  <c r="J66" i="18"/>
  <c r="H66" i="18"/>
  <c r="G66" i="18"/>
  <c r="F66" i="18"/>
  <c r="D66" i="18"/>
  <c r="C66" i="18"/>
  <c r="B66" i="18"/>
  <c r="P65" i="18"/>
  <c r="O65" i="18"/>
  <c r="M65" i="18"/>
  <c r="L65" i="18"/>
  <c r="K65" i="18"/>
  <c r="I65" i="18"/>
  <c r="J65" i="18"/>
  <c r="H65" i="18"/>
  <c r="G65" i="18"/>
  <c r="F65" i="18"/>
  <c r="D65" i="18"/>
  <c r="C65" i="18"/>
  <c r="B65" i="18"/>
  <c r="P64" i="18"/>
  <c r="O64" i="18"/>
  <c r="M64" i="18"/>
  <c r="L64" i="18"/>
  <c r="K64" i="18"/>
  <c r="I64" i="18"/>
  <c r="J64" i="18"/>
  <c r="H64" i="18"/>
  <c r="G64" i="18"/>
  <c r="F64" i="18"/>
  <c r="D64" i="18"/>
  <c r="C64" i="18"/>
  <c r="B64" i="18"/>
  <c r="P63" i="18"/>
  <c r="O63" i="18"/>
  <c r="M63" i="18"/>
  <c r="L63" i="18"/>
  <c r="K63" i="18"/>
  <c r="I63" i="18"/>
  <c r="J63" i="18"/>
  <c r="H63" i="18"/>
  <c r="G63" i="18"/>
  <c r="F63" i="18"/>
  <c r="D63" i="18"/>
  <c r="C63" i="18"/>
  <c r="B63" i="18"/>
  <c r="P62" i="18"/>
  <c r="O62" i="18"/>
  <c r="M62" i="18"/>
  <c r="L62" i="18"/>
  <c r="K62" i="18"/>
  <c r="I62" i="18"/>
  <c r="J62" i="18"/>
  <c r="H62" i="18"/>
  <c r="G62" i="18"/>
  <c r="F62" i="18"/>
  <c r="D62" i="18"/>
  <c r="C62" i="18"/>
  <c r="B62" i="18"/>
  <c r="P61" i="18"/>
  <c r="O61" i="18"/>
  <c r="M61" i="18"/>
  <c r="L61" i="18"/>
  <c r="K61" i="18"/>
  <c r="I61" i="18"/>
  <c r="J61" i="18"/>
  <c r="H61" i="18"/>
  <c r="G61" i="18"/>
  <c r="F61" i="18"/>
  <c r="D61" i="18"/>
  <c r="C61" i="18"/>
  <c r="B61" i="18"/>
  <c r="P60" i="18"/>
  <c r="O60" i="18"/>
  <c r="M60" i="18"/>
  <c r="L60" i="18"/>
  <c r="K60" i="18"/>
  <c r="I60" i="18"/>
  <c r="J60" i="18"/>
  <c r="H60" i="18"/>
  <c r="G60" i="18"/>
  <c r="F60" i="18"/>
  <c r="D60" i="18"/>
  <c r="C60" i="18"/>
  <c r="B60" i="18"/>
  <c r="P59" i="18"/>
  <c r="O59" i="18"/>
  <c r="M59" i="18"/>
  <c r="L59" i="18"/>
  <c r="K59" i="18"/>
  <c r="I59" i="18"/>
  <c r="J59" i="18"/>
  <c r="H59" i="18"/>
  <c r="G59" i="18"/>
  <c r="F59" i="18"/>
  <c r="D59" i="18"/>
  <c r="C59" i="18"/>
  <c r="B59" i="18"/>
  <c r="P58" i="18"/>
  <c r="O58" i="18"/>
  <c r="M58" i="18"/>
  <c r="L58" i="18"/>
  <c r="K58" i="18"/>
  <c r="I58" i="18"/>
  <c r="J58" i="18"/>
  <c r="H58" i="18"/>
  <c r="G58" i="18"/>
  <c r="F58" i="18"/>
  <c r="D58" i="18"/>
  <c r="C58" i="18"/>
  <c r="B58" i="18"/>
  <c r="P57" i="18"/>
  <c r="O57" i="18"/>
  <c r="M57" i="18"/>
  <c r="L57" i="18"/>
  <c r="K57" i="18"/>
  <c r="I57" i="18"/>
  <c r="J57" i="18"/>
  <c r="H57" i="18"/>
  <c r="G57" i="18"/>
  <c r="F57" i="18"/>
  <c r="D57" i="18"/>
  <c r="C57" i="18"/>
  <c r="B57" i="18"/>
  <c r="P56" i="18"/>
  <c r="O56" i="18"/>
  <c r="M56" i="18"/>
  <c r="L56" i="18"/>
  <c r="K56" i="18"/>
  <c r="I56" i="18"/>
  <c r="J56" i="18"/>
  <c r="H56" i="18"/>
  <c r="G56" i="18"/>
  <c r="F56" i="18"/>
  <c r="D56" i="18"/>
  <c r="C56" i="18"/>
  <c r="B56" i="18"/>
  <c r="P55" i="18"/>
  <c r="O55" i="18"/>
  <c r="M55" i="18"/>
  <c r="L55" i="18"/>
  <c r="K55" i="18"/>
  <c r="I55" i="18"/>
  <c r="J55" i="18"/>
  <c r="H55" i="18"/>
  <c r="G55" i="18"/>
  <c r="F55" i="18"/>
  <c r="D55" i="18"/>
  <c r="C55" i="18"/>
  <c r="B55" i="18"/>
  <c r="P54" i="18"/>
  <c r="O54" i="18"/>
  <c r="M54" i="18"/>
  <c r="L54" i="18"/>
  <c r="K54" i="18"/>
  <c r="I54" i="18"/>
  <c r="J54" i="18"/>
  <c r="H54" i="18"/>
  <c r="G54" i="18"/>
  <c r="F54" i="18"/>
  <c r="D54" i="18"/>
  <c r="C54" i="18"/>
  <c r="B54" i="18"/>
  <c r="P53" i="18"/>
  <c r="O53" i="18"/>
  <c r="M53" i="18"/>
  <c r="L53" i="18"/>
  <c r="K53" i="18"/>
  <c r="I53" i="18"/>
  <c r="J53" i="18"/>
  <c r="H53" i="18"/>
  <c r="G53" i="18"/>
  <c r="F53" i="18"/>
  <c r="D53" i="18"/>
  <c r="C53" i="18"/>
  <c r="B53" i="18"/>
  <c r="P52" i="18"/>
  <c r="O52" i="18"/>
  <c r="M52" i="18"/>
  <c r="L52" i="18"/>
  <c r="K52" i="18"/>
  <c r="I52" i="18"/>
  <c r="J52" i="18"/>
  <c r="H52" i="18"/>
  <c r="G52" i="18"/>
  <c r="F52" i="18"/>
  <c r="D52" i="18"/>
  <c r="C52" i="18"/>
  <c r="B52" i="18"/>
  <c r="P51" i="18"/>
  <c r="O51" i="18"/>
  <c r="M51" i="18"/>
  <c r="L51" i="18"/>
  <c r="K51" i="18"/>
  <c r="I51" i="18"/>
  <c r="J51" i="18"/>
  <c r="H51" i="18"/>
  <c r="G51" i="18"/>
  <c r="F51" i="18"/>
  <c r="D51" i="18"/>
  <c r="C51" i="18"/>
  <c r="B51" i="18"/>
  <c r="P50" i="18"/>
  <c r="O50" i="18"/>
  <c r="M50" i="18"/>
  <c r="L50" i="18"/>
  <c r="K50" i="18"/>
  <c r="I50" i="18"/>
  <c r="J50" i="18"/>
  <c r="H50" i="18"/>
  <c r="G50" i="18"/>
  <c r="F50" i="18"/>
  <c r="D50" i="18"/>
  <c r="C50" i="18"/>
  <c r="B50" i="18"/>
  <c r="P49" i="18"/>
  <c r="O49" i="18"/>
  <c r="M49" i="18"/>
  <c r="L49" i="18"/>
  <c r="K49" i="18"/>
  <c r="I49" i="18"/>
  <c r="J49" i="18"/>
  <c r="H49" i="18"/>
  <c r="G49" i="18"/>
  <c r="F49" i="18"/>
  <c r="D49" i="18"/>
  <c r="C49" i="18"/>
  <c r="B49" i="18"/>
  <c r="P48" i="18"/>
  <c r="O48" i="18"/>
  <c r="M48" i="18"/>
  <c r="L48" i="18"/>
  <c r="K48" i="18"/>
  <c r="I48" i="18"/>
  <c r="J48" i="18"/>
  <c r="H48" i="18"/>
  <c r="G48" i="18"/>
  <c r="F48" i="18"/>
  <c r="D48" i="18"/>
  <c r="C48" i="18"/>
  <c r="B48" i="18"/>
  <c r="P47" i="18"/>
  <c r="O47" i="18"/>
  <c r="M47" i="18"/>
  <c r="L47" i="18"/>
  <c r="K47" i="18"/>
  <c r="I47" i="18"/>
  <c r="J47" i="18"/>
  <c r="H47" i="18"/>
  <c r="G47" i="18"/>
  <c r="F47" i="18"/>
  <c r="D47" i="18"/>
  <c r="C47" i="18"/>
  <c r="B47" i="18"/>
  <c r="P46" i="18"/>
  <c r="O46" i="18"/>
  <c r="M46" i="18"/>
  <c r="L46" i="18"/>
  <c r="K46" i="18"/>
  <c r="I46" i="18"/>
  <c r="J46" i="18"/>
  <c r="H46" i="18"/>
  <c r="G46" i="18"/>
  <c r="F46" i="18"/>
  <c r="D46" i="18"/>
  <c r="C46" i="18"/>
  <c r="B46" i="18"/>
  <c r="P45" i="18"/>
  <c r="O45" i="18"/>
  <c r="M45" i="18"/>
  <c r="L45" i="18"/>
  <c r="K45" i="18"/>
  <c r="I45" i="18"/>
  <c r="J45" i="18"/>
  <c r="H45" i="18"/>
  <c r="G45" i="18"/>
  <c r="F45" i="18"/>
  <c r="D45" i="18"/>
  <c r="C45" i="18"/>
  <c r="B45" i="18"/>
  <c r="P44" i="18"/>
  <c r="O44" i="18"/>
  <c r="M44" i="18"/>
  <c r="L44" i="18"/>
  <c r="K44" i="18"/>
  <c r="I44" i="18"/>
  <c r="J44" i="18"/>
  <c r="H44" i="18"/>
  <c r="G44" i="18"/>
  <c r="F44" i="18"/>
  <c r="D44" i="18"/>
  <c r="C44" i="18"/>
  <c r="B44" i="18"/>
  <c r="P43" i="18"/>
  <c r="O43" i="18"/>
  <c r="M43" i="18"/>
  <c r="L43" i="18"/>
  <c r="K43" i="18"/>
  <c r="I43" i="18"/>
  <c r="J43" i="18"/>
  <c r="H43" i="18"/>
  <c r="G43" i="18"/>
  <c r="F43" i="18"/>
  <c r="D43" i="18"/>
  <c r="C43" i="18"/>
  <c r="B43" i="18"/>
  <c r="P42" i="18"/>
  <c r="O42" i="18"/>
  <c r="M42" i="18"/>
  <c r="L42" i="18"/>
  <c r="K42" i="18"/>
  <c r="I42" i="18"/>
  <c r="J42" i="18"/>
  <c r="H42" i="18"/>
  <c r="G42" i="18"/>
  <c r="F42" i="18"/>
  <c r="D42" i="18"/>
  <c r="C42" i="18"/>
  <c r="B42" i="18"/>
  <c r="P41" i="18"/>
  <c r="O41" i="18"/>
  <c r="M41" i="18"/>
  <c r="L41" i="18"/>
  <c r="K41" i="18"/>
  <c r="I41" i="18"/>
  <c r="J41" i="18"/>
  <c r="H41" i="18"/>
  <c r="G41" i="18"/>
  <c r="F41" i="18"/>
  <c r="D41" i="18"/>
  <c r="C41" i="18"/>
  <c r="B41" i="18"/>
  <c r="P40" i="18"/>
  <c r="O40" i="18"/>
  <c r="M40" i="18"/>
  <c r="L40" i="18"/>
  <c r="K40" i="18"/>
  <c r="I40" i="18"/>
  <c r="J40" i="18"/>
  <c r="H40" i="18"/>
  <c r="G40" i="18"/>
  <c r="F40" i="18"/>
  <c r="D40" i="18"/>
  <c r="C40" i="18"/>
  <c r="B40" i="18"/>
  <c r="P39" i="18"/>
  <c r="O39" i="18"/>
  <c r="M39" i="18"/>
  <c r="L39" i="18"/>
  <c r="K39" i="18"/>
  <c r="I39" i="18"/>
  <c r="J39" i="18"/>
  <c r="H39" i="18"/>
  <c r="G39" i="18"/>
  <c r="F39" i="18"/>
  <c r="D39" i="18"/>
  <c r="C39" i="18"/>
  <c r="B39" i="18"/>
  <c r="P38" i="18"/>
  <c r="O38" i="18"/>
  <c r="M38" i="18"/>
  <c r="L38" i="18"/>
  <c r="K38" i="18"/>
  <c r="I38" i="18"/>
  <c r="J38" i="18"/>
  <c r="H38" i="18"/>
  <c r="G38" i="18"/>
  <c r="F38" i="18"/>
  <c r="D38" i="18"/>
  <c r="C38" i="18"/>
  <c r="B38" i="18"/>
  <c r="P37" i="18"/>
  <c r="O37" i="18"/>
  <c r="M37" i="18"/>
  <c r="L37" i="18"/>
  <c r="K37" i="18"/>
  <c r="I37" i="18"/>
  <c r="J37" i="18"/>
  <c r="H37" i="18"/>
  <c r="G37" i="18"/>
  <c r="F37" i="18"/>
  <c r="D37" i="18"/>
  <c r="C37" i="18"/>
  <c r="B37" i="18"/>
  <c r="P36" i="18"/>
  <c r="O36" i="18"/>
  <c r="M36" i="18"/>
  <c r="L36" i="18"/>
  <c r="K36" i="18"/>
  <c r="I36" i="18"/>
  <c r="J36" i="18"/>
  <c r="H36" i="18"/>
  <c r="G36" i="18"/>
  <c r="F36" i="18"/>
  <c r="D36" i="18"/>
  <c r="C36" i="18"/>
  <c r="B36" i="18"/>
  <c r="P35" i="18"/>
  <c r="O35" i="18"/>
  <c r="M35" i="18"/>
  <c r="L35" i="18"/>
  <c r="K35" i="18"/>
  <c r="I35" i="18"/>
  <c r="J35" i="18"/>
  <c r="H35" i="18"/>
  <c r="G35" i="18"/>
  <c r="F35" i="18"/>
  <c r="D35" i="18"/>
  <c r="C35" i="18"/>
  <c r="B35" i="18"/>
  <c r="P34" i="18"/>
  <c r="O34" i="18"/>
  <c r="M34" i="18"/>
  <c r="L34" i="18"/>
  <c r="K34" i="18"/>
  <c r="I34" i="18"/>
  <c r="J34" i="18"/>
  <c r="H34" i="18"/>
  <c r="G34" i="18"/>
  <c r="F34" i="18"/>
  <c r="D34" i="18"/>
  <c r="C34" i="18"/>
  <c r="B34" i="18"/>
  <c r="P33" i="18"/>
  <c r="O33" i="18"/>
  <c r="M33" i="18"/>
  <c r="L33" i="18"/>
  <c r="K33" i="18"/>
  <c r="I33" i="18"/>
  <c r="J33" i="18"/>
  <c r="H33" i="18"/>
  <c r="G33" i="18"/>
  <c r="F33" i="18"/>
  <c r="D33" i="18"/>
  <c r="C33" i="18"/>
  <c r="B33" i="18"/>
  <c r="P32" i="18"/>
  <c r="O32" i="18"/>
  <c r="M32" i="18"/>
  <c r="L32" i="18"/>
  <c r="K32" i="18"/>
  <c r="I32" i="18"/>
  <c r="J32" i="18"/>
  <c r="H32" i="18"/>
  <c r="G32" i="18"/>
  <c r="F32" i="18"/>
  <c r="D32" i="18"/>
  <c r="C32" i="18"/>
  <c r="B32" i="18"/>
  <c r="P31" i="18"/>
  <c r="O31" i="18"/>
  <c r="M31" i="18"/>
  <c r="L31" i="18"/>
  <c r="K31" i="18"/>
  <c r="I31" i="18"/>
  <c r="J31" i="18"/>
  <c r="H31" i="18"/>
  <c r="G31" i="18"/>
  <c r="F31" i="18"/>
  <c r="D31" i="18"/>
  <c r="C31" i="18"/>
  <c r="B31" i="18"/>
  <c r="P30" i="18"/>
  <c r="O30" i="18"/>
  <c r="M30" i="18"/>
  <c r="L30" i="18"/>
  <c r="K30" i="18"/>
  <c r="I30" i="18"/>
  <c r="J30" i="18"/>
  <c r="H30" i="18"/>
  <c r="G30" i="18"/>
  <c r="F30" i="18"/>
  <c r="D30" i="18"/>
  <c r="C30" i="18"/>
  <c r="B30" i="18"/>
  <c r="P29" i="18"/>
  <c r="O29" i="18"/>
  <c r="M29" i="18"/>
  <c r="L29" i="18"/>
  <c r="K29" i="18"/>
  <c r="I29" i="18"/>
  <c r="J29" i="18"/>
  <c r="H29" i="18"/>
  <c r="G29" i="18"/>
  <c r="F29" i="18"/>
  <c r="D29" i="18"/>
  <c r="C29" i="18"/>
  <c r="B29" i="18"/>
  <c r="P28" i="18"/>
  <c r="O28" i="18"/>
  <c r="M28" i="18"/>
  <c r="L28" i="18"/>
  <c r="K28" i="18"/>
  <c r="I28" i="18"/>
  <c r="J28" i="18"/>
  <c r="H28" i="18"/>
  <c r="G28" i="18"/>
  <c r="F28" i="18"/>
  <c r="D28" i="18"/>
  <c r="C28" i="18"/>
  <c r="B28" i="18"/>
  <c r="P27" i="18"/>
  <c r="O27" i="18"/>
  <c r="M27" i="18"/>
  <c r="L27" i="18"/>
  <c r="K27" i="18"/>
  <c r="I27" i="18"/>
  <c r="J27" i="18"/>
  <c r="H27" i="18"/>
  <c r="G27" i="18"/>
  <c r="F27" i="18"/>
  <c r="D27" i="18"/>
  <c r="C27" i="18"/>
  <c r="B27" i="18"/>
  <c r="P26" i="18"/>
  <c r="O26" i="18"/>
  <c r="M26" i="18"/>
  <c r="L26" i="18"/>
  <c r="K26" i="18"/>
  <c r="I26" i="18"/>
  <c r="J26" i="18"/>
  <c r="H26" i="18"/>
  <c r="G26" i="18"/>
  <c r="F26" i="18"/>
  <c r="D26" i="18"/>
  <c r="C26" i="18"/>
  <c r="B26" i="18"/>
  <c r="P25" i="18"/>
  <c r="O25" i="18"/>
  <c r="M25" i="18"/>
  <c r="L25" i="18"/>
  <c r="K25" i="18"/>
  <c r="I25" i="18"/>
  <c r="J25" i="18"/>
  <c r="H25" i="18"/>
  <c r="G25" i="18"/>
  <c r="F25" i="18"/>
  <c r="D25" i="18"/>
  <c r="C25" i="18"/>
  <c r="B25" i="18"/>
  <c r="P24" i="18"/>
  <c r="O24" i="18"/>
  <c r="M24" i="18"/>
  <c r="L24" i="18"/>
  <c r="K24" i="18"/>
  <c r="I24" i="18"/>
  <c r="J24" i="18"/>
  <c r="H24" i="18"/>
  <c r="G24" i="18"/>
  <c r="F24" i="18"/>
  <c r="D24" i="18"/>
  <c r="C24" i="18"/>
  <c r="B24" i="18"/>
  <c r="P23" i="18"/>
  <c r="O23" i="18"/>
  <c r="M23" i="18"/>
  <c r="L23" i="18"/>
  <c r="K23" i="18"/>
  <c r="I23" i="18"/>
  <c r="J23" i="18"/>
  <c r="H23" i="18"/>
  <c r="G23" i="18"/>
  <c r="F23" i="18"/>
  <c r="D23" i="18"/>
  <c r="C23" i="18"/>
  <c r="B23" i="18"/>
  <c r="P22" i="18"/>
  <c r="O22" i="18"/>
  <c r="M22" i="18"/>
  <c r="L22" i="18"/>
  <c r="K22" i="18"/>
  <c r="I22" i="18"/>
  <c r="J22" i="18"/>
  <c r="H22" i="18"/>
  <c r="G22" i="18"/>
  <c r="F22" i="18"/>
  <c r="D22" i="18"/>
  <c r="C22" i="18"/>
  <c r="B22" i="18"/>
  <c r="P21" i="18"/>
  <c r="O21" i="18"/>
  <c r="M21" i="18"/>
  <c r="L21" i="18"/>
  <c r="K21" i="18"/>
  <c r="I21" i="18"/>
  <c r="J21" i="18"/>
  <c r="H21" i="18"/>
  <c r="G21" i="18"/>
  <c r="F21" i="18"/>
  <c r="D21" i="18"/>
  <c r="C21" i="18"/>
  <c r="B21" i="18"/>
  <c r="P20" i="18"/>
  <c r="O20" i="18"/>
  <c r="M20" i="18"/>
  <c r="L20" i="18"/>
  <c r="K20" i="18"/>
  <c r="I20" i="18"/>
  <c r="J20" i="18"/>
  <c r="H20" i="18"/>
  <c r="G20" i="18"/>
  <c r="F20" i="18"/>
  <c r="D20" i="18"/>
  <c r="C20" i="18"/>
  <c r="B20" i="18"/>
  <c r="P19" i="18"/>
  <c r="O19" i="18"/>
  <c r="M19" i="18"/>
  <c r="L19" i="18"/>
  <c r="K19" i="18"/>
  <c r="I19" i="18"/>
  <c r="J19" i="18"/>
  <c r="H19" i="18"/>
  <c r="G19" i="18"/>
  <c r="F19" i="18"/>
  <c r="D19" i="18"/>
  <c r="C19" i="18"/>
  <c r="B19" i="18"/>
  <c r="P18" i="18"/>
  <c r="O18" i="18"/>
  <c r="M18" i="18"/>
  <c r="L18" i="18"/>
  <c r="K18" i="18"/>
  <c r="I18" i="18"/>
  <c r="J18" i="18"/>
  <c r="H18" i="18"/>
  <c r="G18" i="18"/>
  <c r="F18" i="18"/>
  <c r="D18" i="18"/>
  <c r="C18" i="18"/>
  <c r="B18" i="18"/>
  <c r="P17" i="18"/>
  <c r="O17" i="18"/>
  <c r="M17" i="18"/>
  <c r="L17" i="18"/>
  <c r="K17" i="18"/>
  <c r="I17" i="18"/>
  <c r="J17" i="18"/>
  <c r="H17" i="18"/>
  <c r="G17" i="18"/>
  <c r="F17" i="18"/>
  <c r="D17" i="18"/>
  <c r="C17" i="18"/>
  <c r="B17" i="18"/>
  <c r="P16" i="18"/>
  <c r="O16" i="18"/>
  <c r="M16" i="18"/>
  <c r="L16" i="18"/>
  <c r="K16" i="18"/>
  <c r="I16" i="18"/>
  <c r="J16" i="18"/>
  <c r="H16" i="18"/>
  <c r="G16" i="18"/>
  <c r="F16" i="18"/>
  <c r="D16" i="18"/>
  <c r="C16" i="18"/>
  <c r="B16" i="18"/>
  <c r="P15" i="18"/>
  <c r="O15" i="18"/>
  <c r="M15" i="18"/>
  <c r="L15" i="18"/>
  <c r="K15" i="18"/>
  <c r="I15" i="18"/>
  <c r="J15" i="18"/>
  <c r="H15" i="18"/>
  <c r="G15" i="18"/>
  <c r="F15" i="18"/>
  <c r="D15" i="18"/>
  <c r="C15" i="18"/>
  <c r="B15" i="18"/>
  <c r="P14" i="18"/>
  <c r="O14" i="18"/>
  <c r="M14" i="18"/>
  <c r="L14" i="18"/>
  <c r="K14" i="18"/>
  <c r="I14" i="18"/>
  <c r="J14" i="18"/>
  <c r="H14" i="18"/>
  <c r="G14" i="18"/>
  <c r="F14" i="18"/>
  <c r="D14" i="18"/>
  <c r="C14" i="18"/>
  <c r="B14" i="18"/>
  <c r="P13" i="18"/>
  <c r="O13" i="18"/>
  <c r="M13" i="18"/>
  <c r="L13" i="18"/>
  <c r="K13" i="18"/>
  <c r="I13" i="18"/>
  <c r="J13" i="18"/>
  <c r="H13" i="18"/>
  <c r="G13" i="18"/>
  <c r="F13" i="18"/>
  <c r="D13" i="18"/>
  <c r="C13" i="18"/>
  <c r="B13" i="18"/>
  <c r="P12" i="18"/>
  <c r="O12" i="18"/>
  <c r="M12" i="18"/>
  <c r="L12" i="18"/>
  <c r="K12" i="18"/>
  <c r="I12" i="18"/>
  <c r="J12" i="18"/>
  <c r="H12" i="18"/>
  <c r="G12" i="18"/>
  <c r="F12" i="18"/>
  <c r="D12" i="18"/>
  <c r="C12" i="18"/>
  <c r="B12" i="18"/>
  <c r="P11" i="18"/>
  <c r="O11" i="18"/>
  <c r="M11" i="18"/>
  <c r="L11" i="18"/>
  <c r="K11" i="18"/>
  <c r="I11" i="18"/>
  <c r="J11" i="18"/>
  <c r="H11" i="18"/>
  <c r="G11" i="18"/>
  <c r="F11" i="18"/>
  <c r="D11" i="18"/>
  <c r="C11" i="18"/>
  <c r="B11" i="18"/>
  <c r="P10" i="18"/>
  <c r="O10" i="18"/>
  <c r="M10" i="18"/>
  <c r="L10" i="18"/>
  <c r="K10" i="18"/>
  <c r="I10" i="18"/>
  <c r="J10" i="18"/>
  <c r="H10" i="18"/>
  <c r="G10" i="18"/>
  <c r="F10" i="18"/>
  <c r="D10" i="18"/>
  <c r="C10" i="18"/>
  <c r="B10" i="18"/>
  <c r="P9" i="18"/>
  <c r="O9" i="18"/>
  <c r="M9" i="18"/>
  <c r="L9" i="18"/>
  <c r="K9" i="18"/>
  <c r="I9" i="18"/>
  <c r="J9" i="18"/>
  <c r="H9" i="18"/>
  <c r="G9" i="18"/>
  <c r="F9" i="18"/>
  <c r="D9" i="18"/>
  <c r="C9" i="18"/>
  <c r="B9" i="18"/>
  <c r="P8" i="18"/>
  <c r="O8" i="18"/>
  <c r="M8" i="18"/>
  <c r="L8" i="18"/>
  <c r="K8" i="18"/>
  <c r="I8" i="18"/>
  <c r="J8" i="18"/>
  <c r="H8" i="18"/>
  <c r="G8" i="18"/>
  <c r="F8" i="18"/>
  <c r="D8" i="18"/>
  <c r="C8" i="18"/>
  <c r="B8" i="18"/>
  <c r="P7" i="18"/>
  <c r="O7" i="18"/>
  <c r="M7" i="18"/>
  <c r="L7" i="18"/>
  <c r="K7" i="18"/>
  <c r="I7" i="18"/>
  <c r="J7" i="18"/>
  <c r="H7" i="18"/>
  <c r="G7" i="18"/>
  <c r="F7" i="18"/>
  <c r="D7" i="18"/>
  <c r="C7" i="18"/>
  <c r="B7" i="18"/>
  <c r="P6" i="18"/>
  <c r="O6" i="18"/>
  <c r="M6" i="18"/>
  <c r="L6" i="18"/>
  <c r="K6" i="18"/>
  <c r="I6" i="18"/>
  <c r="J6" i="18"/>
  <c r="H6" i="18"/>
  <c r="G6" i="18"/>
  <c r="F6" i="18"/>
  <c r="D6" i="18"/>
  <c r="C6" i="18"/>
  <c r="B6" i="18"/>
  <c r="P5" i="18"/>
  <c r="O5" i="18"/>
  <c r="M5" i="18"/>
  <c r="L5" i="18"/>
  <c r="K5" i="18"/>
  <c r="I5" i="18"/>
  <c r="J5" i="18"/>
  <c r="H5" i="18"/>
  <c r="G5" i="18"/>
  <c r="F5" i="18"/>
  <c r="D5" i="18"/>
  <c r="C5" i="18"/>
  <c r="B5" i="18"/>
  <c r="P4" i="18"/>
  <c r="O4" i="18"/>
  <c r="M4" i="18"/>
  <c r="L4" i="18"/>
  <c r="K4" i="18"/>
  <c r="I4" i="18"/>
  <c r="J4" i="18"/>
  <c r="H4" i="18"/>
  <c r="G4" i="18"/>
  <c r="F4" i="18"/>
  <c r="D4" i="18"/>
  <c r="C4" i="18"/>
  <c r="B4" i="18"/>
  <c r="P3" i="18"/>
  <c r="O3" i="18"/>
  <c r="M3" i="18"/>
  <c r="L3" i="18"/>
  <c r="K3" i="18"/>
  <c r="I3" i="18"/>
  <c r="J3" i="18"/>
  <c r="H3" i="18"/>
  <c r="G3" i="18"/>
  <c r="F3" i="18"/>
  <c r="D3" i="18"/>
  <c r="C3" i="18"/>
  <c r="B3" i="18"/>
  <c r="P2" i="18"/>
  <c r="O2" i="18"/>
  <c r="M2" i="18"/>
  <c r="L2" i="18"/>
  <c r="K2" i="18"/>
  <c r="I2" i="18"/>
  <c r="J2" i="18"/>
  <c r="H2" i="18"/>
  <c r="G2" i="18"/>
  <c r="F2" i="18"/>
  <c r="D2" i="18"/>
  <c r="C2" i="18"/>
  <c r="B2" i="18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J13" i="17"/>
  <c r="F15" i="17"/>
  <c r="G15" i="17"/>
  <c r="J15" i="17"/>
  <c r="F16" i="17"/>
  <c r="G16" i="17"/>
  <c r="J16" i="17"/>
  <c r="F17" i="17"/>
  <c r="G17" i="17"/>
  <c r="J17" i="17"/>
  <c r="F18" i="17"/>
  <c r="G18" i="17"/>
  <c r="J18" i="17"/>
  <c r="F19" i="17"/>
  <c r="G19" i="17"/>
  <c r="J19" i="17"/>
  <c r="F20" i="17"/>
  <c r="G20" i="17"/>
  <c r="J20" i="17"/>
  <c r="F21" i="17"/>
  <c r="G21" i="17"/>
  <c r="J21" i="17"/>
  <c r="F22" i="17"/>
  <c r="G22" i="17"/>
  <c r="J22" i="17"/>
  <c r="F23" i="17"/>
  <c r="G23" i="17"/>
  <c r="J23" i="17"/>
  <c r="F24" i="17"/>
  <c r="G24" i="17"/>
  <c r="J24" i="17"/>
  <c r="F25" i="17"/>
  <c r="G25" i="17"/>
  <c r="J25" i="17"/>
  <c r="F26" i="17"/>
  <c r="G26" i="17"/>
  <c r="J26" i="17"/>
  <c r="F27" i="17"/>
  <c r="G27" i="17"/>
  <c r="J27" i="17"/>
  <c r="F28" i="17"/>
  <c r="G28" i="17"/>
  <c r="J28" i="17"/>
  <c r="F29" i="17"/>
  <c r="G29" i="17"/>
  <c r="J29" i="17"/>
  <c r="F30" i="17"/>
  <c r="G30" i="17"/>
  <c r="J30" i="17"/>
  <c r="F31" i="17"/>
  <c r="G31" i="17"/>
  <c r="J31" i="17"/>
  <c r="F32" i="17"/>
  <c r="G32" i="17"/>
  <c r="J32" i="17"/>
  <c r="F33" i="17"/>
  <c r="G33" i="17"/>
  <c r="J33" i="17"/>
  <c r="F34" i="17"/>
  <c r="G34" i="17"/>
  <c r="J34" i="17"/>
  <c r="F35" i="17"/>
  <c r="G35" i="17"/>
  <c r="J35" i="17"/>
  <c r="F36" i="17"/>
  <c r="G36" i="17"/>
  <c r="J36" i="17"/>
  <c r="F37" i="17"/>
  <c r="G37" i="17"/>
  <c r="J37" i="17"/>
  <c r="F38" i="17"/>
  <c r="G38" i="17"/>
  <c r="J38" i="17"/>
  <c r="F39" i="17"/>
  <c r="G39" i="17"/>
  <c r="J39" i="17"/>
  <c r="F40" i="17"/>
  <c r="G40" i="17"/>
  <c r="J40" i="17"/>
  <c r="F41" i="17"/>
  <c r="G41" i="17"/>
  <c r="J41" i="17"/>
  <c r="F42" i="17"/>
  <c r="G42" i="17"/>
  <c r="J42" i="17"/>
  <c r="F43" i="17"/>
  <c r="G43" i="17"/>
  <c r="J43" i="17"/>
  <c r="F44" i="17"/>
  <c r="G44" i="17"/>
  <c r="J44" i="17"/>
  <c r="F45" i="17"/>
  <c r="G45" i="17"/>
  <c r="J45" i="17"/>
  <c r="F46" i="17"/>
  <c r="G46" i="17"/>
  <c r="J46" i="17"/>
  <c r="F47" i="17"/>
  <c r="G47" i="17"/>
  <c r="J47" i="17"/>
  <c r="F48" i="17"/>
  <c r="G48" i="17"/>
  <c r="J48" i="17"/>
  <c r="F49" i="17"/>
  <c r="G49" i="17"/>
  <c r="J49" i="17"/>
  <c r="F50" i="17"/>
  <c r="G50" i="17"/>
  <c r="J50" i="17"/>
  <c r="F51" i="17"/>
  <c r="G51" i="17"/>
  <c r="J51" i="17"/>
  <c r="F52" i="17"/>
  <c r="G52" i="17"/>
  <c r="J52" i="17"/>
  <c r="F53" i="17"/>
  <c r="G53" i="17"/>
  <c r="J53" i="17"/>
  <c r="F54" i="17"/>
  <c r="G54" i="17"/>
  <c r="J54" i="17"/>
  <c r="F55" i="17"/>
  <c r="G55" i="17"/>
  <c r="J55" i="17"/>
  <c r="F56" i="17"/>
  <c r="G56" i="17"/>
  <c r="J56" i="17"/>
  <c r="F57" i="17"/>
  <c r="G57" i="17"/>
  <c r="J57" i="17"/>
  <c r="F58" i="17"/>
  <c r="G58" i="17"/>
  <c r="J58" i="17"/>
  <c r="F59" i="17"/>
  <c r="G59" i="17"/>
  <c r="J59" i="17"/>
  <c r="F60" i="17"/>
  <c r="G60" i="17"/>
  <c r="J60" i="17"/>
  <c r="F61" i="17"/>
  <c r="G61" i="17"/>
  <c r="J61" i="17"/>
  <c r="F62" i="17"/>
  <c r="G62" i="17"/>
  <c r="J62" i="17"/>
  <c r="F63" i="17"/>
  <c r="G63" i="17"/>
  <c r="J63" i="17"/>
  <c r="F64" i="17"/>
  <c r="G64" i="17"/>
  <c r="J64" i="17"/>
  <c r="F65" i="17"/>
  <c r="G65" i="17"/>
  <c r="J65" i="17"/>
  <c r="F66" i="17"/>
  <c r="G66" i="17"/>
  <c r="J66" i="17"/>
  <c r="F67" i="17"/>
  <c r="G67" i="17"/>
  <c r="J67" i="17"/>
  <c r="F68" i="17"/>
  <c r="G68" i="17"/>
  <c r="J68" i="17"/>
  <c r="F69" i="17"/>
  <c r="G69" i="17"/>
  <c r="J69" i="17"/>
  <c r="F70" i="17"/>
  <c r="G70" i="17"/>
  <c r="J70" i="17"/>
  <c r="F71" i="17"/>
  <c r="G71" i="17"/>
  <c r="J71" i="17"/>
  <c r="F72" i="17"/>
  <c r="G72" i="17"/>
  <c r="J72" i="17"/>
  <c r="F73" i="17"/>
  <c r="G73" i="17"/>
  <c r="J73" i="17"/>
  <c r="F74" i="17"/>
  <c r="G74" i="17"/>
  <c r="J74" i="17"/>
  <c r="F75" i="17"/>
  <c r="G75" i="17"/>
  <c r="J75" i="17"/>
  <c r="F76" i="17"/>
  <c r="G76" i="17"/>
  <c r="J76" i="17"/>
  <c r="F77" i="17"/>
  <c r="G77" i="17"/>
  <c r="J77" i="17"/>
  <c r="F78" i="17"/>
  <c r="G78" i="17"/>
  <c r="J78" i="17"/>
  <c r="F79" i="17"/>
  <c r="G79" i="17"/>
  <c r="J79" i="17"/>
  <c r="F80" i="17"/>
  <c r="G80" i="17"/>
  <c r="J80" i="17"/>
  <c r="F81" i="17"/>
  <c r="G81" i="17"/>
  <c r="J81" i="17"/>
  <c r="F82" i="17"/>
  <c r="G82" i="17"/>
  <c r="J82" i="17"/>
  <c r="F83" i="17"/>
  <c r="G83" i="17"/>
  <c r="J83" i="17"/>
  <c r="F84" i="17"/>
  <c r="G84" i="17"/>
  <c r="J84" i="17"/>
  <c r="F85" i="17"/>
  <c r="G85" i="17"/>
  <c r="J85" i="17"/>
  <c r="F14" i="17"/>
  <c r="G14" i="17"/>
  <c r="J14" i="17"/>
  <c r="P74" i="20"/>
  <c r="P3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J3" i="20"/>
  <c r="J4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P2" i="20"/>
  <c r="O2" i="20"/>
  <c r="F2" i="20"/>
  <c r="J2" i="20"/>
  <c r="E14" i="17"/>
  <c r="B24" i="29"/>
  <c r="B23" i="29"/>
  <c r="B22" i="29"/>
  <c r="B21" i="29"/>
  <c r="B20" i="29"/>
  <c r="B18" i="29"/>
  <c r="C18" i="29"/>
  <c r="D18" i="29"/>
  <c r="E18" i="29"/>
  <c r="F18" i="29"/>
  <c r="G18" i="29"/>
  <c r="H18" i="29"/>
  <c r="I18" i="29"/>
  <c r="J18" i="29"/>
  <c r="K18" i="29"/>
  <c r="L18" i="29"/>
  <c r="B17" i="29"/>
  <c r="C17" i="29"/>
  <c r="D17" i="29"/>
  <c r="E17" i="29"/>
  <c r="F17" i="29"/>
  <c r="G17" i="29"/>
  <c r="H17" i="29"/>
  <c r="I17" i="29"/>
  <c r="J17" i="29"/>
  <c r="K17" i="29"/>
  <c r="L17" i="29"/>
  <c r="L16" i="29"/>
  <c r="K16" i="29"/>
  <c r="J16" i="29"/>
  <c r="I16" i="29"/>
  <c r="H16" i="29"/>
  <c r="G16" i="29"/>
  <c r="F16" i="29"/>
  <c r="E16" i="29"/>
  <c r="D16" i="29"/>
  <c r="C16" i="29"/>
  <c r="B16" i="29"/>
  <c r="Q2" i="20"/>
  <c r="V2" i="20"/>
  <c r="Q3" i="20"/>
  <c r="V3" i="20"/>
  <c r="Q4" i="20"/>
  <c r="V4" i="20"/>
  <c r="Q5" i="20"/>
  <c r="V5" i="20"/>
  <c r="Q6" i="20"/>
  <c r="V6" i="20"/>
  <c r="Q7" i="20"/>
  <c r="V7" i="20"/>
  <c r="Q8" i="20"/>
  <c r="V8" i="20"/>
  <c r="Q9" i="20"/>
  <c r="V9" i="20"/>
  <c r="Q10" i="20"/>
  <c r="V10" i="20"/>
  <c r="Q11" i="20"/>
  <c r="V11" i="20"/>
  <c r="Q12" i="20"/>
  <c r="V12" i="20"/>
  <c r="Q13" i="20"/>
  <c r="V13" i="20"/>
  <c r="Q14" i="20"/>
  <c r="V14" i="20"/>
  <c r="Q15" i="20"/>
  <c r="V15" i="20"/>
  <c r="Q16" i="20"/>
  <c r="V16" i="20"/>
  <c r="Q17" i="20"/>
  <c r="V17" i="20"/>
  <c r="Q18" i="20"/>
  <c r="V18" i="20"/>
  <c r="Q19" i="20"/>
  <c r="V19" i="20"/>
  <c r="Q20" i="20"/>
  <c r="V20" i="20"/>
  <c r="Q21" i="20"/>
  <c r="V21" i="20"/>
  <c r="Q22" i="20"/>
  <c r="V22" i="20"/>
  <c r="Q23" i="20"/>
  <c r="V23" i="20"/>
  <c r="Q24" i="20"/>
  <c r="V24" i="20"/>
  <c r="Q25" i="20"/>
  <c r="V25" i="20"/>
  <c r="Q26" i="20"/>
  <c r="V26" i="20"/>
  <c r="Q27" i="20"/>
  <c r="V27" i="20"/>
  <c r="Q28" i="20"/>
  <c r="V28" i="20"/>
  <c r="Q29" i="20"/>
  <c r="V29" i="20"/>
  <c r="V30" i="20"/>
  <c r="Q31" i="20"/>
  <c r="V31" i="20"/>
  <c r="Q32" i="20"/>
  <c r="V32" i="20"/>
  <c r="V33" i="20"/>
  <c r="Q34" i="20"/>
  <c r="V34" i="20"/>
  <c r="Q35" i="20"/>
  <c r="V35" i="20"/>
  <c r="Q36" i="20"/>
  <c r="V36" i="20"/>
  <c r="V37" i="20"/>
  <c r="Q38" i="20"/>
  <c r="V38" i="20"/>
  <c r="Q39" i="20"/>
  <c r="V39" i="20"/>
  <c r="Q40" i="20"/>
  <c r="V40" i="20"/>
  <c r="Q41" i="20"/>
  <c r="V41" i="20"/>
  <c r="Q42" i="20"/>
  <c r="V42" i="20"/>
  <c r="Q43" i="20"/>
  <c r="V43" i="20"/>
  <c r="Q44" i="20"/>
  <c r="V44" i="20"/>
  <c r="Q45" i="20"/>
  <c r="V45" i="20"/>
  <c r="Q46" i="20"/>
  <c r="V46" i="20"/>
  <c r="Q47" i="20"/>
  <c r="V47" i="20"/>
  <c r="Q48" i="20"/>
  <c r="V48" i="20"/>
  <c r="Q49" i="20"/>
  <c r="V49" i="20"/>
  <c r="Q50" i="20"/>
  <c r="V50" i="20"/>
  <c r="Q51" i="20"/>
  <c r="V51" i="20"/>
  <c r="V52" i="20"/>
  <c r="V53" i="20"/>
  <c r="V54" i="20"/>
  <c r="Q55" i="20"/>
  <c r="V55" i="20"/>
  <c r="Q56" i="20"/>
  <c r="V56" i="20"/>
  <c r="Q57" i="20"/>
  <c r="V57" i="20"/>
  <c r="Q58" i="20"/>
  <c r="V58" i="20"/>
  <c r="Q59" i="20"/>
  <c r="V59" i="20"/>
  <c r="V60" i="20"/>
  <c r="Q61" i="20"/>
  <c r="V61" i="20"/>
  <c r="Q62" i="20"/>
  <c r="V62" i="20"/>
  <c r="Q63" i="20"/>
  <c r="V63" i="20"/>
  <c r="V64" i="20"/>
  <c r="Q65" i="20"/>
  <c r="V65" i="20"/>
  <c r="Q66" i="20"/>
  <c r="V66" i="20"/>
  <c r="Q67" i="20"/>
  <c r="V67" i="20"/>
  <c r="Q68" i="20"/>
  <c r="V68" i="20"/>
  <c r="Q69" i="20"/>
  <c r="V69" i="20"/>
  <c r="Q70" i="20"/>
  <c r="V70" i="20"/>
  <c r="V71" i="20"/>
  <c r="Q72" i="20"/>
  <c r="V72" i="20"/>
  <c r="Q73" i="20"/>
  <c r="V73" i="20"/>
  <c r="U74" i="20"/>
  <c r="T74" i="20"/>
  <c r="S74" i="20"/>
  <c r="R74" i="20"/>
  <c r="Q74" i="20"/>
  <c r="M74" i="20"/>
  <c r="I14" i="20"/>
  <c r="I74" i="20"/>
  <c r="E13" i="20"/>
  <c r="E17" i="20"/>
  <c r="E61" i="20"/>
  <c r="E68" i="20"/>
  <c r="E74" i="20"/>
  <c r="L74" i="20"/>
  <c r="H74" i="20"/>
  <c r="D74" i="20"/>
  <c r="K50" i="20"/>
  <c r="K74" i="20"/>
  <c r="G50" i="20"/>
  <c r="G74" i="20"/>
  <c r="C50" i="20"/>
  <c r="C74" i="20"/>
  <c r="B78" i="25"/>
  <c r="B78" i="26"/>
  <c r="L2" i="19"/>
  <c r="R2" i="19"/>
  <c r="R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4" i="19"/>
  <c r="R55" i="19"/>
  <c r="R56" i="19"/>
  <c r="R57" i="19"/>
  <c r="R58" i="19"/>
  <c r="R59" i="19"/>
  <c r="R60" i="19"/>
  <c r="R61" i="19"/>
  <c r="R62" i="19"/>
  <c r="R63" i="19"/>
  <c r="R64" i="19"/>
  <c r="R65" i="19"/>
  <c r="R66" i="19"/>
  <c r="R67" i="19"/>
  <c r="R68" i="19"/>
  <c r="R69" i="19"/>
  <c r="R70" i="19"/>
  <c r="R71" i="19"/>
  <c r="R72" i="19"/>
  <c r="R73" i="19"/>
  <c r="R74" i="19"/>
  <c r="Q74" i="19"/>
  <c r="P74" i="19"/>
  <c r="O74" i="19"/>
  <c r="N74" i="19"/>
  <c r="M74" i="19"/>
  <c r="L74" i="19"/>
  <c r="K6" i="19"/>
  <c r="K20" i="19"/>
  <c r="K27" i="19"/>
  <c r="K74" i="19"/>
  <c r="J6" i="19"/>
  <c r="J25" i="19"/>
  <c r="J74" i="19"/>
  <c r="I2" i="19"/>
  <c r="I19" i="19"/>
  <c r="I29" i="19"/>
  <c r="I31" i="19"/>
  <c r="I32" i="19"/>
  <c r="I34" i="19"/>
  <c r="I39" i="19"/>
  <c r="I41" i="19"/>
  <c r="I59" i="19"/>
  <c r="I65" i="19"/>
  <c r="I68" i="19"/>
  <c r="I71" i="19"/>
  <c r="I73" i="19"/>
  <c r="I74" i="19"/>
  <c r="H74" i="19"/>
  <c r="G74" i="19"/>
  <c r="F74" i="19"/>
  <c r="E74" i="19"/>
  <c r="D74" i="19"/>
  <c r="C74" i="19"/>
  <c r="Q2" i="18"/>
  <c r="Q3" i="18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Q51" i="18"/>
  <c r="Q52" i="18"/>
  <c r="Q53" i="18"/>
  <c r="Q54" i="18"/>
  <c r="Q55" i="18"/>
  <c r="Q56" i="18"/>
  <c r="Q57" i="18"/>
  <c r="Q58" i="18"/>
  <c r="Q59" i="18"/>
  <c r="Q60" i="18"/>
  <c r="Q61" i="18"/>
  <c r="Q62" i="18"/>
  <c r="Q63" i="18"/>
  <c r="Q64" i="18"/>
  <c r="Q65" i="18"/>
  <c r="Q66" i="18"/>
  <c r="Q67" i="18"/>
  <c r="Q68" i="18"/>
  <c r="Q69" i="18"/>
  <c r="Q70" i="18"/>
  <c r="Q71" i="18"/>
  <c r="Q72" i="18"/>
  <c r="Q73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N13" i="17"/>
  <c r="N14" i="17"/>
  <c r="P13" i="17"/>
  <c r="P14" i="17"/>
  <c r="Q14" i="17"/>
  <c r="C114" i="17"/>
  <c r="C113" i="17"/>
  <c r="C112" i="17"/>
  <c r="C111" i="17"/>
  <c r="C110" i="17"/>
  <c r="C108" i="17"/>
  <c r="D108" i="17"/>
  <c r="E108" i="17"/>
  <c r="AC108" i="17"/>
  <c r="F108" i="17"/>
  <c r="G108" i="17"/>
  <c r="J108" i="17"/>
  <c r="K108" i="17"/>
  <c r="N108" i="17"/>
  <c r="O108" i="17"/>
  <c r="C107" i="17"/>
  <c r="D107" i="17"/>
  <c r="E107" i="17"/>
  <c r="AC107" i="17"/>
  <c r="F107" i="17"/>
  <c r="G107" i="17"/>
  <c r="J107" i="17"/>
  <c r="K107" i="17"/>
  <c r="N107" i="17"/>
  <c r="O107" i="17"/>
  <c r="O106" i="17"/>
  <c r="N106" i="17"/>
  <c r="K106" i="17"/>
  <c r="J106" i="17"/>
  <c r="G106" i="17"/>
  <c r="F106" i="17"/>
  <c r="AC106" i="17"/>
  <c r="E106" i="17"/>
  <c r="D106" i="17"/>
  <c r="C106" i="17"/>
  <c r="B15" i="2"/>
  <c r="B15" i="5"/>
  <c r="B15" i="14"/>
  <c r="B15" i="6"/>
  <c r="B15" i="1"/>
  <c r="B15" i="7"/>
  <c r="B15" i="11"/>
  <c r="B15" i="16"/>
  <c r="B15" i="9"/>
  <c r="B15" i="3"/>
  <c r="B15" i="4"/>
  <c r="B15" i="12"/>
  <c r="B15" i="13"/>
  <c r="B15" i="8"/>
  <c r="B15" i="15"/>
  <c r="B33" i="15"/>
  <c r="B32" i="15"/>
  <c r="B31" i="15"/>
  <c r="B24" i="15"/>
  <c r="B23" i="15"/>
  <c r="B16" i="15"/>
  <c r="B14" i="15"/>
  <c r="B33" i="13"/>
  <c r="B32" i="13"/>
  <c r="B31" i="13"/>
  <c r="B24" i="13"/>
  <c r="B23" i="13"/>
  <c r="B16" i="13"/>
  <c r="B14" i="13"/>
  <c r="B33" i="12"/>
  <c r="B32" i="12"/>
  <c r="B31" i="12"/>
  <c r="B24" i="12"/>
  <c r="B23" i="12"/>
  <c r="B16" i="12"/>
  <c r="B14" i="12"/>
  <c r="B33" i="4"/>
  <c r="B32" i="4"/>
  <c r="B31" i="4"/>
  <c r="B24" i="4"/>
  <c r="B23" i="4"/>
  <c r="B16" i="4"/>
  <c r="B14" i="4"/>
  <c r="B33" i="3"/>
  <c r="B32" i="3"/>
  <c r="B31" i="3"/>
  <c r="B24" i="3"/>
  <c r="B23" i="3"/>
  <c r="B16" i="3"/>
  <c r="B14" i="3"/>
  <c r="B33" i="9"/>
  <c r="B32" i="9"/>
  <c r="B31" i="9"/>
  <c r="B24" i="9"/>
  <c r="B23" i="9"/>
  <c r="B16" i="9"/>
  <c r="B14" i="9"/>
  <c r="B33" i="16"/>
  <c r="B32" i="16"/>
  <c r="B31" i="16"/>
  <c r="B24" i="16"/>
  <c r="B23" i="16"/>
  <c r="B16" i="16"/>
  <c r="B14" i="16"/>
  <c r="B33" i="11"/>
  <c r="B32" i="11"/>
  <c r="B31" i="11"/>
  <c r="B24" i="11"/>
  <c r="B23" i="11"/>
  <c r="B16" i="11"/>
  <c r="B14" i="11"/>
  <c r="B33" i="7"/>
  <c r="B32" i="7"/>
  <c r="B31" i="7"/>
  <c r="B24" i="7"/>
  <c r="B23" i="7"/>
  <c r="B16" i="7"/>
  <c r="B14" i="7"/>
  <c r="B33" i="1"/>
  <c r="B32" i="1"/>
  <c r="B31" i="1"/>
  <c r="B24" i="1"/>
  <c r="B23" i="1"/>
  <c r="B16" i="1"/>
  <c r="B14" i="1"/>
  <c r="B33" i="6"/>
  <c r="B32" i="6"/>
  <c r="B31" i="6"/>
  <c r="B24" i="6"/>
  <c r="B23" i="6"/>
  <c r="B16" i="6"/>
  <c r="B14" i="6"/>
  <c r="B33" i="14"/>
  <c r="B32" i="14"/>
  <c r="B31" i="14"/>
  <c r="B24" i="14"/>
  <c r="B23" i="14"/>
  <c r="B16" i="14"/>
  <c r="B14" i="14"/>
  <c r="B33" i="5"/>
  <c r="B32" i="5"/>
  <c r="B31" i="5"/>
  <c r="B24" i="5"/>
  <c r="B23" i="5"/>
  <c r="B16" i="5"/>
  <c r="B14" i="5"/>
  <c r="B33" i="2"/>
  <c r="B32" i="2"/>
  <c r="B31" i="2"/>
  <c r="B24" i="2"/>
  <c r="B23" i="2"/>
  <c r="B16" i="2"/>
  <c r="B14" i="2"/>
  <c r="B33" i="10"/>
  <c r="B32" i="10"/>
  <c r="B31" i="10"/>
  <c r="B24" i="10"/>
  <c r="B23" i="10"/>
  <c r="B16" i="10"/>
  <c r="B15" i="10"/>
  <c r="B14" i="10"/>
  <c r="AA13" i="17"/>
  <c r="AA15" i="17"/>
  <c r="AA16" i="17"/>
  <c r="AA17" i="17"/>
  <c r="AA18" i="17"/>
  <c r="AA19" i="17"/>
  <c r="AA20" i="17"/>
  <c r="AA21" i="17"/>
  <c r="AA22" i="17"/>
  <c r="AA23" i="17"/>
  <c r="AA24" i="17"/>
  <c r="AA25" i="17"/>
  <c r="AA26" i="17"/>
  <c r="AA27" i="17"/>
  <c r="AA28" i="17"/>
  <c r="AA29" i="17"/>
  <c r="AA30" i="17"/>
  <c r="AA31" i="17"/>
  <c r="AA32" i="17"/>
  <c r="AA33" i="17"/>
  <c r="AA34" i="17"/>
  <c r="AA35" i="17"/>
  <c r="AA36" i="17"/>
  <c r="AA37" i="17"/>
  <c r="AA38" i="17"/>
  <c r="AA39" i="17"/>
  <c r="AA40" i="17"/>
  <c r="AA41" i="17"/>
  <c r="AA42" i="17"/>
  <c r="AA43" i="17"/>
  <c r="AA44" i="17"/>
  <c r="AA45" i="17"/>
  <c r="AA46" i="17"/>
  <c r="AA47" i="17"/>
  <c r="AA48" i="17"/>
  <c r="AA49" i="17"/>
  <c r="AA50" i="17"/>
  <c r="AA51" i="17"/>
  <c r="AA52" i="17"/>
  <c r="AA53" i="17"/>
  <c r="AA54" i="17"/>
  <c r="AA55" i="17"/>
  <c r="AA56" i="17"/>
  <c r="AA57" i="17"/>
  <c r="AA58" i="17"/>
  <c r="AA59" i="17"/>
  <c r="AA60" i="17"/>
  <c r="AA61" i="17"/>
  <c r="AA62" i="17"/>
  <c r="AA63" i="17"/>
  <c r="AA64" i="17"/>
  <c r="AA65" i="17"/>
  <c r="AA66" i="17"/>
  <c r="AA67" i="17"/>
  <c r="AA68" i="17"/>
  <c r="AA69" i="17"/>
  <c r="AA70" i="17"/>
  <c r="AA71" i="17"/>
  <c r="AA72" i="17"/>
  <c r="AA73" i="17"/>
  <c r="AA74" i="17"/>
  <c r="AA75" i="17"/>
  <c r="AA76" i="17"/>
  <c r="AA77" i="17"/>
  <c r="AA78" i="17"/>
  <c r="AA79" i="17"/>
  <c r="AA80" i="17"/>
  <c r="AA81" i="17"/>
  <c r="AA82" i="17"/>
  <c r="AA83" i="17"/>
  <c r="AA84" i="17"/>
  <c r="AA85" i="17"/>
  <c r="AA14" i="17"/>
  <c r="W13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82" i="17"/>
  <c r="W83" i="17"/>
  <c r="W84" i="17"/>
  <c r="W85" i="17"/>
  <c r="W14" i="17"/>
  <c r="U13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C7" i="17"/>
  <c r="D7" i="17"/>
  <c r="AB14" i="17"/>
  <c r="C8" i="17"/>
  <c r="D8" i="17"/>
  <c r="C9" i="17"/>
  <c r="D9" i="17"/>
  <c r="AD14" i="17"/>
  <c r="AB15" i="17"/>
  <c r="Q15" i="17"/>
  <c r="AD15" i="17"/>
  <c r="AB16" i="17"/>
  <c r="Q16" i="17"/>
  <c r="AD16" i="17"/>
  <c r="AB17" i="17"/>
  <c r="Q17" i="17"/>
  <c r="AD17" i="17"/>
  <c r="AB18" i="17"/>
  <c r="Q18" i="17"/>
  <c r="AD18" i="17"/>
  <c r="AB19" i="17"/>
  <c r="Q19" i="17"/>
  <c r="AD19" i="17"/>
  <c r="AB20" i="17"/>
  <c r="Q20" i="17"/>
  <c r="AD20" i="17"/>
  <c r="AB21" i="17"/>
  <c r="Q21" i="17"/>
  <c r="AD21" i="17"/>
  <c r="AB22" i="17"/>
  <c r="Q22" i="17"/>
  <c r="AD22" i="17"/>
  <c r="AB23" i="17"/>
  <c r="Q23" i="17"/>
  <c r="AD23" i="17"/>
  <c r="AB24" i="17"/>
  <c r="Q24" i="17"/>
  <c r="AD24" i="17"/>
  <c r="AB25" i="17"/>
  <c r="Q25" i="17"/>
  <c r="AD25" i="17"/>
  <c r="AB26" i="17"/>
  <c r="Q26" i="17"/>
  <c r="AD26" i="17"/>
  <c r="AB27" i="17"/>
  <c r="Q27" i="17"/>
  <c r="AD27" i="17"/>
  <c r="AB28" i="17"/>
  <c r="Q28" i="17"/>
  <c r="AD28" i="17"/>
  <c r="AB29" i="17"/>
  <c r="Q29" i="17"/>
  <c r="AD29" i="17"/>
  <c r="AB30" i="17"/>
  <c r="Q30" i="17"/>
  <c r="AD30" i="17"/>
  <c r="AB31" i="17"/>
  <c r="Q31" i="17"/>
  <c r="AD31" i="17"/>
  <c r="AB32" i="17"/>
  <c r="Q32" i="17"/>
  <c r="AD32" i="17"/>
  <c r="AB33" i="17"/>
  <c r="Q33" i="17"/>
  <c r="AD33" i="17"/>
  <c r="AB34" i="17"/>
  <c r="Q34" i="17"/>
  <c r="AD34" i="17"/>
  <c r="AB35" i="17"/>
  <c r="Q35" i="17"/>
  <c r="AD35" i="17"/>
  <c r="AB36" i="17"/>
  <c r="Q36" i="17"/>
  <c r="AD36" i="17"/>
  <c r="AB37" i="17"/>
  <c r="Q37" i="17"/>
  <c r="AD37" i="17"/>
  <c r="AB38" i="17"/>
  <c r="Q38" i="17"/>
  <c r="AD38" i="17"/>
  <c r="AB39" i="17"/>
  <c r="Q39" i="17"/>
  <c r="AD39" i="17"/>
  <c r="AB40" i="17"/>
  <c r="Q40" i="17"/>
  <c r="AD40" i="17"/>
  <c r="AB41" i="17"/>
  <c r="Q41" i="17"/>
  <c r="AD41" i="17"/>
  <c r="AB42" i="17"/>
  <c r="Q42" i="17"/>
  <c r="AD42" i="17"/>
  <c r="AB43" i="17"/>
  <c r="Q43" i="17"/>
  <c r="AD43" i="17"/>
  <c r="AB44" i="17"/>
  <c r="Q44" i="17"/>
  <c r="AD44" i="17"/>
  <c r="AB45" i="17"/>
  <c r="Q45" i="17"/>
  <c r="AD45" i="17"/>
  <c r="AB46" i="17"/>
  <c r="Q46" i="17"/>
  <c r="AD46" i="17"/>
  <c r="AB47" i="17"/>
  <c r="Q47" i="17"/>
  <c r="AD47" i="17"/>
  <c r="AB48" i="17"/>
  <c r="Q48" i="17"/>
  <c r="AD48" i="17"/>
  <c r="AB49" i="17"/>
  <c r="Q49" i="17"/>
  <c r="AD49" i="17"/>
  <c r="AB50" i="17"/>
  <c r="Q50" i="17"/>
  <c r="AD50" i="17"/>
  <c r="AB51" i="17"/>
  <c r="Q51" i="17"/>
  <c r="AD51" i="17"/>
  <c r="AB52" i="17"/>
  <c r="Q52" i="17"/>
  <c r="AD52" i="17"/>
  <c r="AB53" i="17"/>
  <c r="Q53" i="17"/>
  <c r="AD53" i="17"/>
  <c r="AB54" i="17"/>
  <c r="Q54" i="17"/>
  <c r="AD54" i="17"/>
  <c r="AB55" i="17"/>
  <c r="Q55" i="17"/>
  <c r="AD55" i="17"/>
  <c r="AB56" i="17"/>
  <c r="Q56" i="17"/>
  <c r="AD56" i="17"/>
  <c r="AB57" i="17"/>
  <c r="Q57" i="17"/>
  <c r="AD57" i="17"/>
  <c r="AB58" i="17"/>
  <c r="Q58" i="17"/>
  <c r="AD58" i="17"/>
  <c r="AB59" i="17"/>
  <c r="Q59" i="17"/>
  <c r="AD59" i="17"/>
  <c r="AB60" i="17"/>
  <c r="Q60" i="17"/>
  <c r="AD60" i="17"/>
  <c r="AB61" i="17"/>
  <c r="Q61" i="17"/>
  <c r="AD61" i="17"/>
  <c r="AB62" i="17"/>
  <c r="Q62" i="17"/>
  <c r="AD62" i="17"/>
  <c r="AB63" i="17"/>
  <c r="Q63" i="17"/>
  <c r="AD63" i="17"/>
  <c r="AB64" i="17"/>
  <c r="Q64" i="17"/>
  <c r="AD64" i="17"/>
  <c r="AB65" i="17"/>
  <c r="Q65" i="17"/>
  <c r="AD65" i="17"/>
  <c r="AB66" i="17"/>
  <c r="Q66" i="17"/>
  <c r="AD66" i="17"/>
  <c r="AB67" i="17"/>
  <c r="Q67" i="17"/>
  <c r="AD67" i="17"/>
  <c r="AB68" i="17"/>
  <c r="Q68" i="17"/>
  <c r="AD68" i="17"/>
  <c r="AB69" i="17"/>
  <c r="Q69" i="17"/>
  <c r="AD69" i="17"/>
  <c r="AB70" i="17"/>
  <c r="Q70" i="17"/>
  <c r="AD70" i="17"/>
  <c r="AB71" i="17"/>
  <c r="Q71" i="17"/>
  <c r="AD71" i="17"/>
  <c r="AB72" i="17"/>
  <c r="Q72" i="17"/>
  <c r="AD72" i="17"/>
  <c r="AB73" i="17"/>
  <c r="Q73" i="17"/>
  <c r="AD73" i="17"/>
  <c r="AB74" i="17"/>
  <c r="Q74" i="17"/>
  <c r="AD74" i="17"/>
  <c r="AB75" i="17"/>
  <c r="Q75" i="17"/>
  <c r="AD75" i="17"/>
  <c r="AB76" i="17"/>
  <c r="Q76" i="17"/>
  <c r="AD76" i="17"/>
  <c r="AB77" i="17"/>
  <c r="Q77" i="17"/>
  <c r="AD77" i="17"/>
  <c r="AB78" i="17"/>
  <c r="Q78" i="17"/>
  <c r="AD78" i="17"/>
  <c r="AB79" i="17"/>
  <c r="Q79" i="17"/>
  <c r="AD79" i="17"/>
  <c r="AB80" i="17"/>
  <c r="Q80" i="17"/>
  <c r="AD80" i="17"/>
  <c r="AB81" i="17"/>
  <c r="Q81" i="17"/>
  <c r="AD81" i="17"/>
  <c r="AB82" i="17"/>
  <c r="Q82" i="17"/>
  <c r="AD82" i="17"/>
  <c r="AB83" i="17"/>
  <c r="Q83" i="17"/>
  <c r="AD83" i="17"/>
  <c r="AB84" i="17"/>
  <c r="Q84" i="17"/>
  <c r="AD84" i="17"/>
  <c r="AB85" i="17"/>
  <c r="Q85" i="17"/>
  <c r="AD85" i="17"/>
  <c r="AD87" i="17"/>
  <c r="AG14" i="17"/>
  <c r="AG15" i="17"/>
  <c r="AG16" i="17"/>
  <c r="AG17" i="17"/>
  <c r="AG18" i="17"/>
  <c r="AG19" i="17"/>
  <c r="AG20" i="17"/>
  <c r="AG21" i="17"/>
  <c r="AG22" i="17"/>
  <c r="AG23" i="17"/>
  <c r="AG24" i="17"/>
  <c r="AG25" i="17"/>
  <c r="AG26" i="17"/>
  <c r="AG27" i="17"/>
  <c r="AG28" i="17"/>
  <c r="AG29" i="17"/>
  <c r="AG30" i="17"/>
  <c r="AG31" i="17"/>
  <c r="AG32" i="17"/>
  <c r="AG33" i="17"/>
  <c r="AG34" i="17"/>
  <c r="AG35" i="17"/>
  <c r="AG36" i="17"/>
  <c r="AG37" i="17"/>
  <c r="AG38" i="17"/>
  <c r="AG39" i="17"/>
  <c r="AG40" i="17"/>
  <c r="AG41" i="17"/>
  <c r="AG42" i="17"/>
  <c r="AG43" i="17"/>
  <c r="AG44" i="17"/>
  <c r="AG45" i="17"/>
  <c r="AG46" i="17"/>
  <c r="AG47" i="17"/>
  <c r="AG48" i="17"/>
  <c r="AG49" i="17"/>
  <c r="AG50" i="17"/>
  <c r="AG51" i="17"/>
  <c r="AG52" i="17"/>
  <c r="AG53" i="17"/>
  <c r="AG54" i="17"/>
  <c r="AG55" i="17"/>
  <c r="AG56" i="17"/>
  <c r="AG57" i="17"/>
  <c r="AG58" i="17"/>
  <c r="AG59" i="17"/>
  <c r="AG60" i="17"/>
  <c r="AG61" i="17"/>
  <c r="AG62" i="17"/>
  <c r="AG63" i="17"/>
  <c r="AG64" i="17"/>
  <c r="AG65" i="17"/>
  <c r="AG66" i="17"/>
  <c r="AG67" i="17"/>
  <c r="AG68" i="17"/>
  <c r="AG69" i="17"/>
  <c r="AG70" i="17"/>
  <c r="AG71" i="17"/>
  <c r="AG72" i="17"/>
  <c r="AG73" i="17"/>
  <c r="AG74" i="17"/>
  <c r="AG75" i="17"/>
  <c r="AG76" i="17"/>
  <c r="AG77" i="17"/>
  <c r="AG78" i="17"/>
  <c r="AG79" i="17"/>
  <c r="AG80" i="17"/>
  <c r="AG81" i="17"/>
  <c r="AG82" i="17"/>
  <c r="AG83" i="17"/>
  <c r="AG84" i="17"/>
  <c r="AG85" i="17"/>
  <c r="AG87" i="17"/>
  <c r="D23" i="7"/>
  <c r="F23" i="7"/>
  <c r="D31" i="10"/>
  <c r="F31" i="10"/>
  <c r="F8" i="8"/>
  <c r="F8" i="15"/>
  <c r="F8" i="13"/>
  <c r="F8" i="12"/>
  <c r="F8" i="4"/>
  <c r="F8" i="3"/>
  <c r="F8" i="9"/>
  <c r="F8" i="16"/>
  <c r="F8" i="11"/>
  <c r="F8" i="7"/>
  <c r="F8" i="1"/>
  <c r="F8" i="6"/>
  <c r="F8" i="14"/>
  <c r="F8" i="5"/>
  <c r="F8" i="2"/>
  <c r="F8" i="10"/>
  <c r="AF14" i="17"/>
  <c r="AF15" i="17"/>
  <c r="AF16" i="17"/>
  <c r="AF17" i="17"/>
  <c r="AF18" i="17"/>
  <c r="AF19" i="17"/>
  <c r="AF20" i="17"/>
  <c r="AF21" i="17"/>
  <c r="AF22" i="17"/>
  <c r="AF23" i="17"/>
  <c r="AF24" i="17"/>
  <c r="AF25" i="17"/>
  <c r="AF26" i="17"/>
  <c r="AF27" i="17"/>
  <c r="AF28" i="17"/>
  <c r="AF29" i="17"/>
  <c r="AF30" i="17"/>
  <c r="AF31" i="17"/>
  <c r="AF32" i="17"/>
  <c r="AF33" i="17"/>
  <c r="AF34" i="17"/>
  <c r="AF35" i="17"/>
  <c r="AF36" i="17"/>
  <c r="AF37" i="17"/>
  <c r="AF38" i="17"/>
  <c r="AF39" i="17"/>
  <c r="AF40" i="17"/>
  <c r="AF41" i="17"/>
  <c r="AF42" i="17"/>
  <c r="AF43" i="17"/>
  <c r="AF44" i="17"/>
  <c r="AF45" i="17"/>
  <c r="AF46" i="17"/>
  <c r="AF47" i="17"/>
  <c r="AF48" i="17"/>
  <c r="AF49" i="17"/>
  <c r="AF50" i="17"/>
  <c r="AF51" i="17"/>
  <c r="AF52" i="17"/>
  <c r="AF53" i="17"/>
  <c r="AF54" i="17"/>
  <c r="AF55" i="17"/>
  <c r="AF56" i="17"/>
  <c r="AF57" i="17"/>
  <c r="AF58" i="17"/>
  <c r="AF59" i="17"/>
  <c r="AF60" i="17"/>
  <c r="AF61" i="17"/>
  <c r="AF62" i="17"/>
  <c r="AF63" i="17"/>
  <c r="AF64" i="17"/>
  <c r="AF65" i="17"/>
  <c r="AF66" i="17"/>
  <c r="AF67" i="17"/>
  <c r="AF68" i="17"/>
  <c r="AF69" i="17"/>
  <c r="AF70" i="17"/>
  <c r="AF71" i="17"/>
  <c r="AF72" i="17"/>
  <c r="AF73" i="17"/>
  <c r="AF74" i="17"/>
  <c r="AF75" i="17"/>
  <c r="AF76" i="17"/>
  <c r="AF77" i="17"/>
  <c r="AF78" i="17"/>
  <c r="AF79" i="17"/>
  <c r="AF80" i="17"/>
  <c r="AF81" i="17"/>
  <c r="AF82" i="17"/>
  <c r="AF83" i="17"/>
  <c r="AF84" i="17"/>
  <c r="AF85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D14" i="9"/>
  <c r="F14" i="9"/>
  <c r="D15" i="9"/>
  <c r="F15" i="9"/>
  <c r="D16" i="9"/>
  <c r="F16" i="9"/>
  <c r="F17" i="9"/>
  <c r="D23" i="9"/>
  <c r="F23" i="9"/>
  <c r="D24" i="9"/>
  <c r="F24" i="9"/>
  <c r="F25" i="9"/>
  <c r="D31" i="9"/>
  <c r="F31" i="9"/>
  <c r="D32" i="9"/>
  <c r="F32" i="9"/>
  <c r="D33" i="9"/>
  <c r="F33" i="9"/>
  <c r="F34" i="9"/>
  <c r="F36" i="9"/>
  <c r="F38" i="9"/>
  <c r="D14" i="3"/>
  <c r="F14" i="3"/>
  <c r="D15" i="3"/>
  <c r="F15" i="3"/>
  <c r="D16" i="3"/>
  <c r="F16" i="3"/>
  <c r="F17" i="3"/>
  <c r="D23" i="3"/>
  <c r="F23" i="3"/>
  <c r="D24" i="3"/>
  <c r="F24" i="3"/>
  <c r="F25" i="3"/>
  <c r="D31" i="3"/>
  <c r="F31" i="3"/>
  <c r="D32" i="3"/>
  <c r="F32" i="3"/>
  <c r="D33" i="3"/>
  <c r="E33" i="3"/>
  <c r="F33" i="3"/>
  <c r="F34" i="3"/>
  <c r="F36" i="3"/>
  <c r="D14" i="4"/>
  <c r="F14" i="4"/>
  <c r="D15" i="4"/>
  <c r="F15" i="4"/>
  <c r="D16" i="4"/>
  <c r="F16" i="4"/>
  <c r="F17" i="4"/>
  <c r="D23" i="4"/>
  <c r="F23" i="4"/>
  <c r="D24" i="4"/>
  <c r="F24" i="4"/>
  <c r="F25" i="4"/>
  <c r="D31" i="4"/>
  <c r="F31" i="4"/>
  <c r="D32" i="4"/>
  <c r="F32" i="4"/>
  <c r="D33" i="4"/>
  <c r="F33" i="4"/>
  <c r="F34" i="4"/>
  <c r="F36" i="4"/>
  <c r="D14" i="12"/>
  <c r="F14" i="12"/>
  <c r="D15" i="12"/>
  <c r="F15" i="12"/>
  <c r="D16" i="12"/>
  <c r="F16" i="12"/>
  <c r="F17" i="12"/>
  <c r="D23" i="12"/>
  <c r="F23" i="12"/>
  <c r="D24" i="12"/>
  <c r="F24" i="12"/>
  <c r="F25" i="12"/>
  <c r="D31" i="12"/>
  <c r="F31" i="12"/>
  <c r="D32" i="12"/>
  <c r="F32" i="12"/>
  <c r="D33" i="12"/>
  <c r="F33" i="12"/>
  <c r="F34" i="12"/>
  <c r="F36" i="12"/>
  <c r="D14" i="13"/>
  <c r="F14" i="13"/>
  <c r="D15" i="13"/>
  <c r="F15" i="13"/>
  <c r="D16" i="13"/>
  <c r="F16" i="13"/>
  <c r="F17" i="13"/>
  <c r="D23" i="13"/>
  <c r="F23" i="13"/>
  <c r="D24" i="13"/>
  <c r="F24" i="13"/>
  <c r="F25" i="13"/>
  <c r="D31" i="13"/>
  <c r="F31" i="13"/>
  <c r="D32" i="13"/>
  <c r="F32" i="13"/>
  <c r="D33" i="13"/>
  <c r="F33" i="13"/>
  <c r="F34" i="13"/>
  <c r="F36" i="13"/>
  <c r="D14" i="15"/>
  <c r="F14" i="15"/>
  <c r="D15" i="15"/>
  <c r="F15" i="15"/>
  <c r="D16" i="15"/>
  <c r="F16" i="15"/>
  <c r="F17" i="15"/>
  <c r="D23" i="15"/>
  <c r="F23" i="15"/>
  <c r="D24" i="15"/>
  <c r="F24" i="15"/>
  <c r="F25" i="15"/>
  <c r="D31" i="15"/>
  <c r="F31" i="15"/>
  <c r="D32" i="15"/>
  <c r="F32" i="15"/>
  <c r="D33" i="15"/>
  <c r="F33" i="15"/>
  <c r="F34" i="15"/>
  <c r="F36" i="15"/>
  <c r="D14" i="8"/>
  <c r="F14" i="8"/>
  <c r="D15" i="8"/>
  <c r="F15" i="8"/>
  <c r="D16" i="8"/>
  <c r="F16" i="8"/>
  <c r="F17" i="8"/>
  <c r="D23" i="8"/>
  <c r="F23" i="8"/>
  <c r="D24" i="8"/>
  <c r="F24" i="8"/>
  <c r="F25" i="8"/>
  <c r="D31" i="8"/>
  <c r="F31" i="8"/>
  <c r="D32" i="8"/>
  <c r="F32" i="8"/>
  <c r="D33" i="8"/>
  <c r="F33" i="8"/>
  <c r="F34" i="8"/>
  <c r="F36" i="8"/>
  <c r="D31" i="16"/>
  <c r="F31" i="16"/>
  <c r="D32" i="16"/>
  <c r="F32" i="16"/>
  <c r="D33" i="16"/>
  <c r="F33" i="16"/>
  <c r="F34" i="16"/>
  <c r="D14" i="16"/>
  <c r="F14" i="16"/>
  <c r="D15" i="16"/>
  <c r="F15" i="16"/>
  <c r="D16" i="16"/>
  <c r="F16" i="16"/>
  <c r="F17" i="16"/>
  <c r="D23" i="16"/>
  <c r="F23" i="16"/>
  <c r="D24" i="16"/>
  <c r="F24" i="16"/>
  <c r="F25" i="16"/>
  <c r="F36" i="16"/>
  <c r="D31" i="11"/>
  <c r="F31" i="11"/>
  <c r="D32" i="11"/>
  <c r="F32" i="11"/>
  <c r="D33" i="11"/>
  <c r="F33" i="11"/>
  <c r="F34" i="11"/>
  <c r="D14" i="11"/>
  <c r="F14" i="11"/>
  <c r="D15" i="11"/>
  <c r="F15" i="11"/>
  <c r="D16" i="11"/>
  <c r="F16" i="11"/>
  <c r="F17" i="11"/>
  <c r="D23" i="11"/>
  <c r="F23" i="11"/>
  <c r="D24" i="11"/>
  <c r="F24" i="11"/>
  <c r="F25" i="11"/>
  <c r="F36" i="11"/>
  <c r="D31" i="7"/>
  <c r="F31" i="7"/>
  <c r="D32" i="7"/>
  <c r="F32" i="7"/>
  <c r="D33" i="7"/>
  <c r="F33" i="7"/>
  <c r="F34" i="7"/>
  <c r="D14" i="7"/>
  <c r="F14" i="7"/>
  <c r="D15" i="7"/>
  <c r="F15" i="7"/>
  <c r="D16" i="7"/>
  <c r="F16" i="7"/>
  <c r="F17" i="7"/>
  <c r="D24" i="7"/>
  <c r="F24" i="7"/>
  <c r="F25" i="7"/>
  <c r="F36" i="7"/>
  <c r="D31" i="1"/>
  <c r="F31" i="1"/>
  <c r="D32" i="1"/>
  <c r="F32" i="1"/>
  <c r="D33" i="1"/>
  <c r="F33" i="1"/>
  <c r="F34" i="1"/>
  <c r="D14" i="1"/>
  <c r="F14" i="1"/>
  <c r="D15" i="1"/>
  <c r="F15" i="1"/>
  <c r="D16" i="1"/>
  <c r="F16" i="1"/>
  <c r="F17" i="1"/>
  <c r="D23" i="1"/>
  <c r="F23" i="1"/>
  <c r="D24" i="1"/>
  <c r="F24" i="1"/>
  <c r="F25" i="1"/>
  <c r="F36" i="1"/>
  <c r="D14" i="6"/>
  <c r="F14" i="6"/>
  <c r="D15" i="6"/>
  <c r="F15" i="6"/>
  <c r="D16" i="6"/>
  <c r="F16" i="6"/>
  <c r="F17" i="6"/>
  <c r="D23" i="6"/>
  <c r="F23" i="6"/>
  <c r="D24" i="6"/>
  <c r="F24" i="6"/>
  <c r="F25" i="6"/>
  <c r="D31" i="6"/>
  <c r="F31" i="6"/>
  <c r="D32" i="6"/>
  <c r="F32" i="6"/>
  <c r="D33" i="6"/>
  <c r="F33" i="6"/>
  <c r="F34" i="6"/>
  <c r="F36" i="6"/>
  <c r="D14" i="14"/>
  <c r="F14" i="14"/>
  <c r="D15" i="14"/>
  <c r="F15" i="14"/>
  <c r="D16" i="14"/>
  <c r="F16" i="14"/>
  <c r="F17" i="14"/>
  <c r="D23" i="14"/>
  <c r="F23" i="14"/>
  <c r="D24" i="14"/>
  <c r="F24" i="14"/>
  <c r="F25" i="14"/>
  <c r="D31" i="14"/>
  <c r="F31" i="14"/>
  <c r="D32" i="14"/>
  <c r="F32" i="14"/>
  <c r="D33" i="14"/>
  <c r="F33" i="14"/>
  <c r="F34" i="14"/>
  <c r="F36" i="14"/>
  <c r="D16" i="2"/>
  <c r="F16" i="2"/>
  <c r="D14" i="2"/>
  <c r="F14" i="2"/>
  <c r="D15" i="2"/>
  <c r="F15" i="2"/>
  <c r="F17" i="2"/>
  <c r="D23" i="2"/>
  <c r="F23" i="2"/>
  <c r="D24" i="2"/>
  <c r="F24" i="2"/>
  <c r="F25" i="2"/>
  <c r="D31" i="2"/>
  <c r="F31" i="2"/>
  <c r="D32" i="2"/>
  <c r="F32" i="2"/>
  <c r="D33" i="2"/>
  <c r="F33" i="2"/>
  <c r="F34" i="2"/>
  <c r="F36" i="2"/>
  <c r="D32" i="5"/>
  <c r="F32" i="5"/>
  <c r="D31" i="5"/>
  <c r="F31" i="5"/>
  <c r="D33" i="5"/>
  <c r="F33" i="5"/>
  <c r="F34" i="5"/>
  <c r="D14" i="5"/>
  <c r="F14" i="5"/>
  <c r="D15" i="5"/>
  <c r="F15" i="5"/>
  <c r="D16" i="5"/>
  <c r="F16" i="5"/>
  <c r="F17" i="5"/>
  <c r="D23" i="5"/>
  <c r="F23" i="5"/>
  <c r="D24" i="5"/>
  <c r="F24" i="5"/>
  <c r="F25" i="5"/>
  <c r="F36" i="5"/>
  <c r="D14" i="10"/>
  <c r="F14" i="10"/>
  <c r="D15" i="10"/>
  <c r="F15" i="10"/>
  <c r="D16" i="10"/>
  <c r="F16" i="10"/>
  <c r="F17" i="10"/>
  <c r="D23" i="10"/>
  <c r="F23" i="10"/>
  <c r="D24" i="10"/>
  <c r="F24" i="10"/>
  <c r="F25" i="10"/>
  <c r="D32" i="10"/>
  <c r="F32" i="10"/>
  <c r="D33" i="10"/>
  <c r="F33" i="10"/>
  <c r="F34" i="10"/>
  <c r="F36" i="10"/>
  <c r="F38" i="16"/>
  <c r="F38" i="15"/>
  <c r="F38" i="14"/>
  <c r="F38" i="13"/>
  <c r="F38" i="3"/>
  <c r="F38" i="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38" i="12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38" i="11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38" i="10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38" i="8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38" i="7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38" i="6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38" i="5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38" i="4"/>
  <c r="F38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</calcChain>
</file>

<file path=xl/sharedStrings.xml><?xml version="1.0" encoding="utf-8"?>
<sst xmlns="http://schemas.openxmlformats.org/spreadsheetml/2006/main" count="2914" uniqueCount="481">
  <si>
    <t>Credit</t>
  </si>
  <si>
    <t>Non-Credit</t>
  </si>
  <si>
    <t>CDCP</t>
  </si>
  <si>
    <t>Per FTES Amount</t>
  </si>
  <si>
    <t>% Applicable</t>
  </si>
  <si>
    <t>Payment Per FTES</t>
  </si>
  <si>
    <t>A</t>
  </si>
  <si>
    <t>B</t>
  </si>
  <si>
    <t>D</t>
  </si>
  <si>
    <t>C= A*B</t>
  </si>
  <si>
    <t>FTES Funded</t>
  </si>
  <si>
    <t>Amount Paid</t>
  </si>
  <si>
    <t>Total Funding From Base Grant:</t>
  </si>
  <si>
    <t>E=C*D</t>
  </si>
  <si>
    <t>Pell</t>
  </si>
  <si>
    <t>Total Funding From Supplemental Grant:</t>
  </si>
  <si>
    <t>Awards</t>
  </si>
  <si>
    <t>3 Year Completion</t>
  </si>
  <si>
    <t>ADT</t>
  </si>
  <si>
    <t>Total Computational Revenue Under New Formula:</t>
  </si>
  <si>
    <t>Total Computational Revenue Under Old Formula:</t>
  </si>
  <si>
    <t>Increase/&lt;Decrease&gt; in Funding Under New Formula:</t>
  </si>
  <si>
    <t>Calculation of Base Grant</t>
  </si>
  <si>
    <t>Calculation of Supplemental Grant</t>
  </si>
  <si>
    <t>Calculation of Student Success Incentive Grant</t>
  </si>
  <si>
    <t>Basic Allocation</t>
  </si>
  <si>
    <t>Apportionment Calculation Under Proposed New Funding Formula for 2018-19</t>
  </si>
  <si>
    <t>Cal. Promise Grant (BOG)</t>
  </si>
  <si>
    <t>Applicable Count</t>
  </si>
  <si>
    <t>Los Rios CCD</t>
  </si>
  <si>
    <t>Payment Per Count</t>
  </si>
  <si>
    <r>
      <t xml:space="preserve">A </t>
    </r>
    <r>
      <rPr>
        <sz val="11"/>
        <color theme="1"/>
        <rFont val="Calibri"/>
        <family val="2"/>
        <scheme val="minor"/>
      </rPr>
      <t>(rate w/COLA)</t>
    </r>
  </si>
  <si>
    <t>Grossmont-Cuyamaca CCD</t>
  </si>
  <si>
    <t>Los Angeles CCD</t>
  </si>
  <si>
    <t>Miracosta CCD</t>
  </si>
  <si>
    <t>San Mateo CCD</t>
  </si>
  <si>
    <t>Shasta CCD</t>
  </si>
  <si>
    <t>State Center CCD</t>
  </si>
  <si>
    <t>Allan Hancock CCD</t>
  </si>
  <si>
    <t>North Orange CCD</t>
  </si>
  <si>
    <t>Copper Mountain CCD</t>
  </si>
  <si>
    <t>A (rate w/COLA)</t>
  </si>
  <si>
    <t>Santa Monica College</t>
  </si>
  <si>
    <t>Apportionment Calculation Under Proposed New Funding Formula for 2017-2018</t>
  </si>
  <si>
    <t>Applicable HC</t>
  </si>
  <si>
    <t>Cal. Promise</t>
  </si>
  <si>
    <t>Sierra CCD</t>
  </si>
  <si>
    <t>Siskiyou CCD</t>
  </si>
  <si>
    <t>Long Beach CCD</t>
  </si>
  <si>
    <t>South Orange County CCD</t>
  </si>
  <si>
    <t>(per Advanced Principle Apportionment 2017-18)</t>
  </si>
  <si>
    <t>Sources</t>
  </si>
  <si>
    <t>San Diego CCD</t>
  </si>
  <si>
    <t xml:space="preserve"> Basic Allocation </t>
  </si>
  <si>
    <t xml:space="preserve"> A (rate w/COLA) </t>
  </si>
  <si>
    <t xml:space="preserve"> B </t>
  </si>
  <si>
    <t xml:space="preserve"> C </t>
  </si>
  <si>
    <t xml:space="preserve"> D </t>
  </si>
  <si>
    <t xml:space="preserve"> % Applicable </t>
  </si>
  <si>
    <t xml:space="preserve"> College(s) Rate </t>
  </si>
  <si>
    <t xml:space="preserve"> Center(s) Rate </t>
  </si>
  <si>
    <t xml:space="preserve"> Amount Paid </t>
  </si>
  <si>
    <t>C</t>
  </si>
  <si>
    <t>College(s) Rate</t>
  </si>
  <si>
    <t>Center(s) Rate</t>
  </si>
  <si>
    <t>Analysis of the State Proposed Funding Formula</t>
  </si>
  <si>
    <t>18/19 COLA</t>
  </si>
  <si>
    <t>18/19 FTES</t>
  </si>
  <si>
    <t xml:space="preserve"> Rate</t>
  </si>
  <si>
    <t>Rate</t>
  </si>
  <si>
    <t>NonCredit</t>
  </si>
  <si>
    <t># of students</t>
  </si>
  <si>
    <t>BOG Waivers</t>
  </si>
  <si>
    <t>Pell Awards</t>
  </si>
  <si>
    <t># of Degrees</t>
  </si>
  <si>
    <t># of ADT</t>
  </si>
  <si>
    <t>Success</t>
  </si>
  <si>
    <t>17/18</t>
  </si>
  <si>
    <t>Total</t>
  </si>
  <si>
    <t>District</t>
  </si>
  <si>
    <t>Credit FTES</t>
  </si>
  <si>
    <t>NC FTES</t>
  </si>
  <si>
    <t>CDCP FTES</t>
  </si>
  <si>
    <t>Total FTES</t>
  </si>
  <si>
    <t>Headcount</t>
  </si>
  <si>
    <t>Grant</t>
  </si>
  <si>
    <t>Certificates or Awards</t>
  </si>
  <si>
    <t>Degrees</t>
  </si>
  <si>
    <t>FTES Allocation</t>
  </si>
  <si>
    <t>ALLAN HANCOCK</t>
  </si>
  <si>
    <t>ANTELOPE VALLEY</t>
  </si>
  <si>
    <t>BARSTOW</t>
  </si>
  <si>
    <t>BUTTE</t>
  </si>
  <si>
    <t>CABRILLO</t>
  </si>
  <si>
    <t>CERRITOS</t>
  </si>
  <si>
    <t>CHABOT-LAS POSITAS</t>
  </si>
  <si>
    <t>CHAFFEY</t>
  </si>
  <si>
    <t>CITRUS</t>
  </si>
  <si>
    <t>COAST</t>
  </si>
  <si>
    <t>COMPTON</t>
  </si>
  <si>
    <t>CONTRA COSTA</t>
  </si>
  <si>
    <t>COPPER MOUNTAIN</t>
  </si>
  <si>
    <t>DESERT</t>
  </si>
  <si>
    <t>EL CAMINO</t>
  </si>
  <si>
    <t>FEATHER RIVER</t>
  </si>
  <si>
    <t>FOOTHILL-DEANZA</t>
  </si>
  <si>
    <t>GAVILAN</t>
  </si>
  <si>
    <t>GLENDALE</t>
  </si>
  <si>
    <t>GROSSMONT-CUYAMACA</t>
  </si>
  <si>
    <t>HARTNELL</t>
  </si>
  <si>
    <t>IMPERIAL</t>
  </si>
  <si>
    <t>KERN</t>
  </si>
  <si>
    <t>LAKE TAHOE</t>
  </si>
  <si>
    <t>LASSEN</t>
  </si>
  <si>
    <t>LONG BEACH</t>
  </si>
  <si>
    <t>LOS ANGELES</t>
  </si>
  <si>
    <t>LOS RIOS</t>
  </si>
  <si>
    <t>MARIN</t>
  </si>
  <si>
    <t>MENDOCINO-LAKE</t>
  </si>
  <si>
    <t>MERCED</t>
  </si>
  <si>
    <t>MIRA COSTA</t>
  </si>
  <si>
    <t>MONTEREY</t>
  </si>
  <si>
    <t>MT. SAN ANTONIO</t>
  </si>
  <si>
    <t>MT. SAN JACINTO</t>
  </si>
  <si>
    <t>NAPA VALLEY</t>
  </si>
  <si>
    <t>NORTH ORANGE</t>
  </si>
  <si>
    <t>OHLONE</t>
  </si>
  <si>
    <t>PALO VERDE</t>
  </si>
  <si>
    <t>PALOMAR</t>
  </si>
  <si>
    <t>PASADENA</t>
  </si>
  <si>
    <t>PERALTA</t>
  </si>
  <si>
    <t>RANCHO SANTIAGO</t>
  </si>
  <si>
    <t>REDWOODS</t>
  </si>
  <si>
    <t>RIO HONDO</t>
  </si>
  <si>
    <t>RIVERSIDE</t>
  </si>
  <si>
    <t>SAN BERNARDINO</t>
  </si>
  <si>
    <t>SAN DIEGO</t>
  </si>
  <si>
    <t>SAN FRANCISCO</t>
  </si>
  <si>
    <t>SAN JOAQUIN DELTA</t>
  </si>
  <si>
    <t>SAN JOSE-EVERGREEN</t>
  </si>
  <si>
    <t>SAN LUIS OBISPO</t>
  </si>
  <si>
    <t>SAN MATEO</t>
  </si>
  <si>
    <t>SANTA BARBARA</t>
  </si>
  <si>
    <t>SANTA CLARITA</t>
  </si>
  <si>
    <t>SANTA MONICA</t>
  </si>
  <si>
    <t>SEQUOIAS</t>
  </si>
  <si>
    <t>SHASTA-TEHAMA-TRINITY</t>
  </si>
  <si>
    <t>SIERRA</t>
  </si>
  <si>
    <t>SISKIYOUS</t>
  </si>
  <si>
    <t>SOLANO</t>
  </si>
  <si>
    <t>SONOMA</t>
  </si>
  <si>
    <t>SOUTH ORANGE</t>
  </si>
  <si>
    <t>SOUTHWESTERN</t>
  </si>
  <si>
    <t>STATE CENTER</t>
  </si>
  <si>
    <t>VENTURA</t>
  </si>
  <si>
    <t>VICTOR VALLEY</t>
  </si>
  <si>
    <t>WEST HILLS</t>
  </si>
  <si>
    <t>WEST KERN</t>
  </si>
  <si>
    <t>WEST VALLEY-MISSION</t>
  </si>
  <si>
    <t>YOSEMITE</t>
  </si>
  <si>
    <t>YUBA</t>
  </si>
  <si>
    <t>TCR</t>
  </si>
  <si>
    <t xml:space="preserve"> E=C+D</t>
  </si>
  <si>
    <t>Difference %</t>
  </si>
  <si>
    <t>New Allocation</t>
  </si>
  <si>
    <t>Total Difference</t>
  </si>
  <si>
    <t>(New Allocation-TCR)</t>
  </si>
  <si>
    <t xml:space="preserve">Supplemental </t>
  </si>
  <si>
    <t>Base Grant</t>
  </si>
  <si>
    <t>BOG Rate</t>
  </si>
  <si>
    <t>Pell Rate</t>
  </si>
  <si>
    <t>Awards Rate</t>
  </si>
  <si>
    <t>3 Year Rate</t>
  </si>
  <si>
    <t>ADT Rate</t>
  </si>
  <si>
    <t>Supplement Grant</t>
  </si>
  <si>
    <t>Success Grant</t>
  </si>
  <si>
    <t>Blackwood Format</t>
  </si>
  <si>
    <t>FTES Rate</t>
  </si>
  <si>
    <t>Base FTES</t>
  </si>
  <si>
    <t>Base Credit Rate</t>
  </si>
  <si>
    <t>Base NC Rate</t>
  </si>
  <si>
    <t>Base CDCP</t>
  </si>
  <si>
    <t>3 Yrs Completion</t>
  </si>
  <si>
    <t>Stability</t>
  </si>
  <si>
    <t>Formula Weights</t>
  </si>
  <si>
    <t>Base Rate Credit</t>
  </si>
  <si>
    <t>Base Rate NonCredit</t>
  </si>
  <si>
    <t>Base Rate CDCP</t>
  </si>
  <si>
    <t>Base Grant Per College</t>
  </si>
  <si>
    <t>Existing Law</t>
  </si>
  <si>
    <t>Weighting Factors</t>
  </si>
  <si>
    <t>Supplemental Grant (BOG)</t>
  </si>
  <si>
    <t>Supplemental Grant (Pell Cohort)</t>
  </si>
  <si>
    <t>Student Success Grant</t>
  </si>
  <si>
    <t>Student Success Cohort Grant</t>
  </si>
  <si>
    <t>Student Success Grant- ADT</t>
  </si>
  <si>
    <t>Foothill-DeAnza</t>
  </si>
  <si>
    <t>Lake Tahoe</t>
  </si>
  <si>
    <t>Lassen</t>
  </si>
  <si>
    <t>Marin</t>
  </si>
  <si>
    <t>Miracosta</t>
  </si>
  <si>
    <t>San Francisco</t>
  </si>
  <si>
    <t>San Jose-Evergreen</t>
  </si>
  <si>
    <t>Santa Monica</t>
  </si>
  <si>
    <t>South Orange</t>
  </si>
  <si>
    <t>West Kern</t>
  </si>
  <si>
    <t>Base Grant Rate Credit</t>
  </si>
  <si>
    <t>Student Success ADT Weights</t>
  </si>
  <si>
    <t>Cohort</t>
  </si>
  <si>
    <t>Base NonCredit</t>
  </si>
  <si>
    <t>Base per College</t>
  </si>
  <si>
    <t>Base Stablity</t>
  </si>
  <si>
    <t>Supplemental (BOG) Stability</t>
  </si>
  <si>
    <t>Supplemental Grant (Pell Cohort) 15-16</t>
  </si>
  <si>
    <t>Supplemental Grant 14-15 (Pell Cohort) Stablility</t>
  </si>
  <si>
    <t>Student Success Grant Stability</t>
  </si>
  <si>
    <t>Student Success Cohort Grant Stability</t>
  </si>
  <si>
    <t>Student Success ADT</t>
  </si>
  <si>
    <t>Student Success ADT Stability</t>
  </si>
  <si>
    <t>Total New Formula</t>
  </si>
  <si>
    <t>Total Sum</t>
  </si>
  <si>
    <t>Base</t>
  </si>
  <si>
    <t>16-17 TCR</t>
  </si>
  <si>
    <t>District Name</t>
  </si>
  <si>
    <t>College Name</t>
  </si>
  <si>
    <t>Base Credit FTES</t>
  </si>
  <si>
    <t>Base Noncredit FTES</t>
  </si>
  <si>
    <t>Base Noncredit - CDCP FTES</t>
  </si>
  <si>
    <t>Declining Credit FTES</t>
  </si>
  <si>
    <t>Declining Noncredit FTES</t>
  </si>
  <si>
    <t>Declining Noncredit - CDCP FTES</t>
  </si>
  <si>
    <t>Growth Credit FTES</t>
  </si>
  <si>
    <t>Growth Noncredit FTES</t>
  </si>
  <si>
    <t>Growth Noncredit - CDCP FTES</t>
  </si>
  <si>
    <t>Apportionments GF</t>
  </si>
  <si>
    <t>Apportionments EPA</t>
  </si>
  <si>
    <t>Apportionments P-Tax</t>
  </si>
  <si>
    <t>Excess Tax</t>
  </si>
  <si>
    <t>Apportionments Student Fees</t>
  </si>
  <si>
    <t>Total Computational Revenue</t>
  </si>
  <si>
    <t>ALLAN HANCOCK COMMUNITY COLLEGE DISTRICT</t>
  </si>
  <si>
    <t>ANTELOPE VALLEY COMMUNITY COLLEGE DISTRICT</t>
  </si>
  <si>
    <t>BARSTOW COMMUNITY COLLEGE DISTRICT</t>
  </si>
  <si>
    <t>BUTTE COMMUNITY COLLEGE DISTRICT</t>
  </si>
  <si>
    <t>CABRILLO COMMUNITY COLLEGE DISTRICT</t>
  </si>
  <si>
    <t>CERRITOS COMMUNITY COLLEGE DISTRICT</t>
  </si>
  <si>
    <t>CHABOT-LAS POSITAS COMMUNITY COLLEGE DISTRICT</t>
  </si>
  <si>
    <t>CHAFFEY COMMUNITY COLLEGE DISTRICT</t>
  </si>
  <si>
    <t>CITRUS COMMUNITY COLLEGE DISTRICT</t>
  </si>
  <si>
    <t>COAST COMMUNITY COLLEGE DISTRICT</t>
  </si>
  <si>
    <t>COMPTON COMMUNITY COLLEGE DISTRICT</t>
  </si>
  <si>
    <t>CONTRA COSTA COMMUNITY COLLEGE DISTRICT</t>
  </si>
  <si>
    <t>COPPER MT. COMMUNITY COLLEGE DISTRICT</t>
  </si>
  <si>
    <t>DESERT COMMUNITY COLLEGE DISTRICT</t>
  </si>
  <si>
    <t>EL CAMINO COMMUNITY COLLEGE DISTRICT</t>
  </si>
  <si>
    <t>FEATHER RIVER COMMUNITY COLLEGE DISTRICT</t>
  </si>
  <si>
    <t>FOOTHILL-DEANZA COMMUNITY COLLEGE DISTRICT</t>
  </si>
  <si>
    <t>GAVILAN COMMUNITY COLLEGE DISTRICT</t>
  </si>
  <si>
    <t>GLENDALE COMMUNITY COLLEGE DISTRICT</t>
  </si>
  <si>
    <t>GROSSMONT-CUYAMACA COMMUNITY COLLEGE DISTRICT</t>
  </si>
  <si>
    <t>HARTNELL COMMUNITY COLLEGE DISTRICT</t>
  </si>
  <si>
    <t>IMPERIAL COMMUNITY COLLEGE DISTRICT</t>
  </si>
  <si>
    <t>KERN COMMUNITY COLLEGE DISTRICT</t>
  </si>
  <si>
    <t>LAKE TAHOE COMMUNITY COLLEGE DISTRICT</t>
  </si>
  <si>
    <t>LASSEN COMMUNITY COLLEGE DISTRICT</t>
  </si>
  <si>
    <t>LONG BEACH COMMUNITY COLLEGE DISTRICT</t>
  </si>
  <si>
    <t>LOS ANGELES COMMUNITY COLLEGE DISTRICT</t>
  </si>
  <si>
    <t>LOS RIOS COMMUNITY COLLEGE DISTRICT</t>
  </si>
  <si>
    <t>MARIN COMMUNITY COLLEGE DISTRICT</t>
  </si>
  <si>
    <t>MENDOCINO-LAKE COMMUNITY COLLEGE DISTRICT</t>
  </si>
  <si>
    <t>MERCED COMMUNITY COLLEGE DISTRICT</t>
  </si>
  <si>
    <t>MIRACOSTA COMMUNITY COLLEGE DISTRICT</t>
  </si>
  <si>
    <t>MONTEREY PENINSULA COMMUNITY COLLEGE DISTRICT</t>
  </si>
  <si>
    <t>MT. SAN ANTONIO COMMUNITY COLLEGE DISTRICT</t>
  </si>
  <si>
    <t>MT. SAN JACINTO COMMUNITY COLLEGE DISTRICT</t>
  </si>
  <si>
    <t>NAPA VALLEY COMMUNITY COLLEGE DISTRICT</t>
  </si>
  <si>
    <t>NORTH ORANGE COUNTY COMMUNITY COLLEGE DISTRICT</t>
  </si>
  <si>
    <t>OHLONE COMMUNITY COLLEGE DISTRICT</t>
  </si>
  <si>
    <t>PALO VERDE COMMUNITY COLLEGE DISTRICT</t>
  </si>
  <si>
    <t>PALOMAR COMMUNITY COLLEGE DISTRICT</t>
  </si>
  <si>
    <t>PASADENA AREA COMMUNITY COLLEGE DISTRICT</t>
  </si>
  <si>
    <t>PERALTA COMMUNITY COLLEGE DISTRICT</t>
  </si>
  <si>
    <t>RANCHO SANTIAGO COMMUNITY COLLEGE DISTRICT</t>
  </si>
  <si>
    <t>REDWOODS COMMUNITY COLLEGE DISTRICT</t>
  </si>
  <si>
    <t>RIO HONDO COMMUNITY COLLEGE DISTRICT</t>
  </si>
  <si>
    <t>RIVERSIDE COMMUNITY COLLEGE DISTRICT</t>
  </si>
  <si>
    <t>SAN BERNARDINO COMMUNITY COLLEGE DISTRICT</t>
  </si>
  <si>
    <t>SAN DIEGO COMMUNITY COLLEGE DISTRICT</t>
  </si>
  <si>
    <t>SAN FRANCISCO COMMUNITY COLLEGE DISTRICT</t>
  </si>
  <si>
    <t>SAN JOAQUIN DELTA COMMUNITY COLLEGE DISTRICT</t>
  </si>
  <si>
    <t>SAN JOSE-EVERGREEN COMMUNITY COLLEGE DISTRICT</t>
  </si>
  <si>
    <t>SAN LUIS OBISPO COMMUNITY COLLEGE DISTRICT</t>
  </si>
  <si>
    <t>SAN MATEO COMMUNITY COLLEGE DISTRICT</t>
  </si>
  <si>
    <t>SANTA BARBARA COMMUNITY COLLEGE DISTRICT</t>
  </si>
  <si>
    <t>SANTA CLARITA COMMUNITY COLLEGE DISTRICT</t>
  </si>
  <si>
    <t>SANTA MONICA COMMUNITY COLLEGE DISTRICT</t>
  </si>
  <si>
    <t>SEQUOIAS COMMUNITY COLLEGE DISTRICT</t>
  </si>
  <si>
    <t>SHASTA-TEHAMA-TRINITY COMMUNITY COLLEGE DISTRICT</t>
  </si>
  <si>
    <t>SIERRA COMMUNITY COLLEGE DISTRICT</t>
  </si>
  <si>
    <t>SISKIYOU COMMUNITY COLLEGE DISTRICT</t>
  </si>
  <si>
    <t>SOLANO COMMUNITY COLLEGE DISTRICT</t>
  </si>
  <si>
    <t>SONOMA COMMUNITY COLLEGE DISTRICT</t>
  </si>
  <si>
    <t>SOUTH ORANGE COMMUNITY COLLEGE DISTRICT</t>
  </si>
  <si>
    <t>SOUTHWESTERN COMMUNITY COLLEGE DISTRICT</t>
  </si>
  <si>
    <t>STATE CENTER COMMUNITY COLLEGE DISTRICT</t>
  </si>
  <si>
    <t>VENTURA COMMUNITY COLLEGE DISTRICT</t>
  </si>
  <si>
    <t>VICTOR VALLEY COMMUNITY COLLEGE DISTRICT</t>
  </si>
  <si>
    <t>WEST HILLS COMMUNITY COLLEGE DISTRICT</t>
  </si>
  <si>
    <t>WEST KERN COMMUNITY COLLEGE DISTRICT</t>
  </si>
  <si>
    <t>WEST VALLEY-MISSION COMMUNITY COLLEGE DISTRICT</t>
  </si>
  <si>
    <t>YOSEMITE COMMUNITY COLLEGE DISTRICT</t>
  </si>
  <si>
    <t>YUBA COMMUNITY COLLEGE DISTRICT</t>
  </si>
  <si>
    <t>Statewide Total</t>
  </si>
  <si>
    <t>COHORT_YEAR</t>
  </si>
  <si>
    <t>District_id</t>
  </si>
  <si>
    <t>District_Name</t>
  </si>
  <si>
    <t>2014-2015</t>
  </si>
  <si>
    <t>610</t>
  </si>
  <si>
    <t>*Numbers reflect students in the 2014-2015 and 2015-2016 scorecard cohorts</t>
  </si>
  <si>
    <t>620</t>
  </si>
  <si>
    <t>910</t>
  </si>
  <si>
    <t>110</t>
  </si>
  <si>
    <t>410</t>
  </si>
  <si>
    <t>810</t>
  </si>
  <si>
    <t>480</t>
  </si>
  <si>
    <t>920</t>
  </si>
  <si>
    <t>820</t>
  </si>
  <si>
    <t>830</t>
  </si>
  <si>
    <t>710</t>
  </si>
  <si>
    <t>310</t>
  </si>
  <si>
    <t>970</t>
  </si>
  <si>
    <t>930</t>
  </si>
  <si>
    <t>720</t>
  </si>
  <si>
    <t>120</t>
  </si>
  <si>
    <t>420</t>
  </si>
  <si>
    <t>440</t>
  </si>
  <si>
    <t>730</t>
  </si>
  <si>
    <t>020</t>
  </si>
  <si>
    <t>450</t>
  </si>
  <si>
    <t>030</t>
  </si>
  <si>
    <t>520</t>
  </si>
  <si>
    <t>220</t>
  </si>
  <si>
    <t>130</t>
  </si>
  <si>
    <t>840</t>
  </si>
  <si>
    <t>740</t>
  </si>
  <si>
    <t>230</t>
  </si>
  <si>
    <t>330</t>
  </si>
  <si>
    <t>140</t>
  </si>
  <si>
    <t>530</t>
  </si>
  <si>
    <t>050</t>
  </si>
  <si>
    <t>460</t>
  </si>
  <si>
    <t>850</t>
  </si>
  <si>
    <t>940</t>
  </si>
  <si>
    <t>240</t>
  </si>
  <si>
    <t>860</t>
  </si>
  <si>
    <t>430</t>
  </si>
  <si>
    <t>950</t>
  </si>
  <si>
    <t>060</t>
  </si>
  <si>
    <t>770</t>
  </si>
  <si>
    <t>340</t>
  </si>
  <si>
    <t>870</t>
  </si>
  <si>
    <t>160</t>
  </si>
  <si>
    <t>880</t>
  </si>
  <si>
    <t>960</t>
  </si>
  <si>
    <t>980</t>
  </si>
  <si>
    <t>070</t>
  </si>
  <si>
    <t>360</t>
  </si>
  <si>
    <t>550</t>
  </si>
  <si>
    <t>470</t>
  </si>
  <si>
    <t>640</t>
  </si>
  <si>
    <t>370</t>
  </si>
  <si>
    <t>650</t>
  </si>
  <si>
    <t>660</t>
  </si>
  <si>
    <t>780</t>
  </si>
  <si>
    <t>560</t>
  </si>
  <si>
    <t>170</t>
  </si>
  <si>
    <t>270</t>
  </si>
  <si>
    <t>180</t>
  </si>
  <si>
    <t>280</t>
  </si>
  <si>
    <t>260</t>
  </si>
  <si>
    <t>890</t>
  </si>
  <si>
    <t>090</t>
  </si>
  <si>
    <t>570</t>
  </si>
  <si>
    <t>680</t>
  </si>
  <si>
    <t>990</t>
  </si>
  <si>
    <t>580</t>
  </si>
  <si>
    <t>690</t>
  </si>
  <si>
    <t>490</t>
  </si>
  <si>
    <t>590</t>
  </si>
  <si>
    <t>290</t>
  </si>
  <si>
    <t>2015-2016</t>
  </si>
  <si>
    <t>Outcome</t>
  </si>
  <si>
    <t>cohort</t>
  </si>
  <si>
    <t>2013-2014</t>
  </si>
  <si>
    <t>*2013-14 Cohort represents 3 year scprecard completion rates</t>
  </si>
  <si>
    <t>**2014-15 Cohore represents 2 year scorecard completion rates</t>
  </si>
  <si>
    <t>California Community Colleges Chancellor's Office</t>
  </si>
  <si>
    <t>ADTs</t>
  </si>
  <si>
    <t>Annual 2015-2016</t>
  </si>
  <si>
    <t>Antelope CCD</t>
  </si>
  <si>
    <t>Barstow CCD</t>
  </si>
  <si>
    <t>Butte CCD</t>
  </si>
  <si>
    <t>Cabrillo CCD</t>
  </si>
  <si>
    <t>Cerritos CCD</t>
  </si>
  <si>
    <t>Chabot-Las Positas CCD</t>
  </si>
  <si>
    <t>Chaffey CCD</t>
  </si>
  <si>
    <t>Citrus CCD</t>
  </si>
  <si>
    <t>Coast CCD</t>
  </si>
  <si>
    <t>Compton CCD</t>
  </si>
  <si>
    <t>Contra Costa CCD</t>
  </si>
  <si>
    <t>Copper Mountain</t>
  </si>
  <si>
    <t>Desert CCD</t>
  </si>
  <si>
    <t>El Camino CCD</t>
  </si>
  <si>
    <t>Feather River CCD</t>
  </si>
  <si>
    <t>Foothill CCD</t>
  </si>
  <si>
    <t>Gavilan CCD</t>
  </si>
  <si>
    <t>Glendale CCD</t>
  </si>
  <si>
    <t>Grossmont CCD</t>
  </si>
  <si>
    <t>Hartnell CCD</t>
  </si>
  <si>
    <t>Imperial CCD</t>
  </si>
  <si>
    <t>Kern CCD</t>
  </si>
  <si>
    <t>Lake Tahoe CCD</t>
  </si>
  <si>
    <t>Lassen CCD</t>
  </si>
  <si>
    <t>Marin CCD</t>
  </si>
  <si>
    <t>Mendocino CCD</t>
  </si>
  <si>
    <t>Merced CCD</t>
  </si>
  <si>
    <t>MiraCosta CCD</t>
  </si>
  <si>
    <t>Monterey CCD</t>
  </si>
  <si>
    <t>Mt. San Antonio CCD</t>
  </si>
  <si>
    <t>Mt. San Jacinto CCD</t>
  </si>
  <si>
    <t>Napa CCD</t>
  </si>
  <si>
    <t>Ohlone CCD</t>
  </si>
  <si>
    <t>Palo Verde CCD</t>
  </si>
  <si>
    <t>Palomar CCD</t>
  </si>
  <si>
    <t>Pasadena CCD</t>
  </si>
  <si>
    <t>Peralta CCD</t>
  </si>
  <si>
    <t>Rancho Santiago CCD</t>
  </si>
  <si>
    <t>Redwoods CCD</t>
  </si>
  <si>
    <t>Rio Hondo CCD</t>
  </si>
  <si>
    <t>Riverside CCD</t>
  </si>
  <si>
    <t>San Bernardino CCD</t>
  </si>
  <si>
    <t>San Francisco CCD</t>
  </si>
  <si>
    <t>San Joaquin Delta CCD</t>
  </si>
  <si>
    <t>San Jose CCD</t>
  </si>
  <si>
    <t>San Luis Obispo CCD</t>
  </si>
  <si>
    <t>Santa Barbara CCD</t>
  </si>
  <si>
    <t>Santa Clarita CCD</t>
  </si>
  <si>
    <t>Santa Monica CCD</t>
  </si>
  <si>
    <t>Sequoias CCD</t>
  </si>
  <si>
    <t>Shasta Tehama CCD</t>
  </si>
  <si>
    <t>Siskiyous CCD</t>
  </si>
  <si>
    <t>Solano CCD</t>
  </si>
  <si>
    <t>Sonoma CCD</t>
  </si>
  <si>
    <t>Southwestern CCD</t>
  </si>
  <si>
    <t>Ventura CCD</t>
  </si>
  <si>
    <t>Victor Valley CCD</t>
  </si>
  <si>
    <t>West Hills CCD</t>
  </si>
  <si>
    <t>West Kern CCD</t>
  </si>
  <si>
    <t>West Valley CCD</t>
  </si>
  <si>
    <t>Yosemite CCD</t>
  </si>
  <si>
    <t>Yuba CCD</t>
  </si>
  <si>
    <t>Annual 2014-2015</t>
  </si>
  <si>
    <t>BOG</t>
  </si>
  <si>
    <t>Report Run Date As Of : 10/8/2017 11:28:07 AM</t>
  </si>
  <si>
    <t>Program Awards Summary Report</t>
  </si>
  <si>
    <t>Check Points</t>
  </si>
  <si>
    <t>Base Grant Percentage of Total</t>
  </si>
  <si>
    <t>Supplemental Grant Percentage of Total</t>
  </si>
  <si>
    <t>SSI Grant Percentage of Total</t>
  </si>
  <si>
    <t>Formula Total</t>
  </si>
  <si>
    <t>2016-17 Estimated TCR*</t>
  </si>
  <si>
    <t>*As of 18-19 GB</t>
  </si>
  <si>
    <t xml:space="preserve">Prior </t>
  </si>
  <si>
    <t xml:space="preserve">BOG </t>
  </si>
  <si>
    <t>Prior Year</t>
  </si>
  <si>
    <t>Stbaility</t>
  </si>
  <si>
    <t># of Awards</t>
  </si>
  <si>
    <t>Total FTES $ and Base</t>
  </si>
  <si>
    <t>Year (15-16)</t>
  </si>
  <si>
    <t>Total (16-17)</t>
  </si>
  <si>
    <t>Base Grant*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</si>
</sst>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.000_);_(* \(#,##0.000\);_(* &quot;-&quot;??_);_(@_)"/>
    <numFmt numFmtId="167" formatCode="_(* #,##0_);_(* \(#,##0\);_(* &quot;-&quot;??_);_(@_)"/>
    <numFmt numFmtId="168" formatCode="_(* #,##0.0000_);_(* \(#,##0.0000\);_(* &quot;-&quot;??_);_(@_)"/>
    <numFmt numFmtId="169" formatCode="&quot;$&quot;#,##0.00"/>
    <numFmt numFmtId="170" formatCode="[$-10409]#,##0.00;\(#,##0.00\)"/>
    <numFmt numFmtId="171" formatCode="&quot;$&quot;#,##0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i/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b/>
      <sz val="10"/>
      <name val="Calibri"/>
      <scheme val="minor"/>
    </font>
    <font>
      <b/>
      <sz val="10"/>
      <name val="MS Sans Serif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sz val="9.75"/>
      <color rgb="FF000000"/>
      <name val="Times New Roman"/>
      <family val="2"/>
    </font>
    <font>
      <sz val="8.25"/>
      <color rgb="FF000000"/>
      <name val="Tahoma"/>
      <family val="2"/>
    </font>
    <font>
      <sz val="10"/>
      <color theme="1"/>
      <name val="Arial"/>
    </font>
    <font>
      <b/>
      <sz val="12"/>
      <color theme="0"/>
      <name val="MS Sans Serif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4D0C8"/>
      </patternFill>
    </fill>
    <fill>
      <patternFill patternType="solid">
        <fgColor rgb="FFFFFFFF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1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2" fillId="0" borderId="0"/>
    <xf numFmtId="43" fontId="14" fillId="0" borderId="0" applyFont="0" applyFill="0" applyBorder="0" applyAlignment="0" applyProtection="0"/>
    <xf numFmtId="0" fontId="2" fillId="9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22">
    <xf numFmtId="0" fontId="0" fillId="0" borderId="0" xfId="0"/>
    <xf numFmtId="44" fontId="0" fillId="0" borderId="0" xfId="1" applyFont="1"/>
    <xf numFmtId="44" fontId="3" fillId="0" borderId="0" xfId="1" applyFont="1" applyAlignment="1">
      <alignment horizontal="center"/>
    </xf>
    <xf numFmtId="44" fontId="3" fillId="0" borderId="0" xfId="1" applyFont="1" applyAlignment="1">
      <alignment horizontal="right"/>
    </xf>
    <xf numFmtId="44" fontId="3" fillId="0" borderId="0" xfId="1" applyFont="1"/>
    <xf numFmtId="9" fontId="0" fillId="0" borderId="0" xfId="3" applyNumberFormat="1" applyFont="1"/>
    <xf numFmtId="165" fontId="0" fillId="0" borderId="0" xfId="1" applyNumberFormat="1" applyFont="1"/>
    <xf numFmtId="44" fontId="3" fillId="0" borderId="10" xfId="1" applyFont="1" applyBorder="1" applyAlignment="1">
      <alignment horizontal="center"/>
    </xf>
    <xf numFmtId="44" fontId="3" fillId="0" borderId="0" xfId="1" applyFont="1" applyBorder="1" applyAlignment="1">
      <alignment horizontal="center"/>
    </xf>
    <xf numFmtId="44" fontId="3" fillId="0" borderId="11" xfId="1" applyFont="1" applyBorder="1" applyAlignment="1">
      <alignment horizontal="center"/>
    </xf>
    <xf numFmtId="44" fontId="0" fillId="0" borderId="10" xfId="1" applyFont="1" applyBorder="1"/>
    <xf numFmtId="44" fontId="0" fillId="0" borderId="0" xfId="1" applyFont="1" applyBorder="1"/>
    <xf numFmtId="44" fontId="0" fillId="0" borderId="11" xfId="1" applyFont="1" applyBorder="1"/>
    <xf numFmtId="165" fontId="0" fillId="0" borderId="0" xfId="1" applyNumberFormat="1" applyFont="1" applyBorder="1"/>
    <xf numFmtId="43" fontId="0" fillId="0" borderId="0" xfId="2" applyFont="1" applyBorder="1"/>
    <xf numFmtId="164" fontId="0" fillId="0" borderId="0" xfId="3" applyNumberFormat="1" applyFont="1" applyBorder="1"/>
    <xf numFmtId="44" fontId="0" fillId="0" borderId="4" xfId="1" applyFont="1" applyBorder="1"/>
    <xf numFmtId="165" fontId="0" fillId="0" borderId="5" xfId="1" applyNumberFormat="1" applyFont="1" applyBorder="1"/>
    <xf numFmtId="44" fontId="0" fillId="0" borderId="5" xfId="1" applyFont="1" applyBorder="1"/>
    <xf numFmtId="44" fontId="3" fillId="0" borderId="5" xfId="1" applyFont="1" applyBorder="1" applyAlignment="1">
      <alignment horizontal="right"/>
    </xf>
    <xf numFmtId="44" fontId="3" fillId="0" borderId="6" xfId="1" applyFont="1" applyBorder="1"/>
    <xf numFmtId="44" fontId="3" fillId="0" borderId="1" xfId="1" applyFont="1" applyBorder="1" applyAlignment="1">
      <alignment horizontal="center"/>
    </xf>
    <xf numFmtId="165" fontId="3" fillId="0" borderId="2" xfId="1" applyNumberFormat="1" applyFont="1" applyBorder="1" applyAlignment="1">
      <alignment horizontal="center"/>
    </xf>
    <xf numFmtId="44" fontId="3" fillId="0" borderId="2" xfId="1" applyFont="1" applyBorder="1" applyAlignment="1">
      <alignment horizontal="center"/>
    </xf>
    <xf numFmtId="44" fontId="3" fillId="0" borderId="3" xfId="1" applyFont="1" applyBorder="1" applyAlignment="1">
      <alignment horizontal="center"/>
    </xf>
    <xf numFmtId="165" fontId="3" fillId="0" borderId="0" xfId="1" applyNumberFormat="1" applyFont="1" applyBorder="1" applyAlignment="1">
      <alignment horizontal="center"/>
    </xf>
    <xf numFmtId="10" fontId="0" fillId="0" borderId="0" xfId="3" applyNumberFormat="1" applyFont="1" applyBorder="1"/>
    <xf numFmtId="9" fontId="0" fillId="0" borderId="5" xfId="3" applyNumberFormat="1" applyFont="1" applyBorder="1"/>
    <xf numFmtId="166" fontId="0" fillId="0" borderId="0" xfId="2" applyNumberFormat="1" applyFont="1" applyBorder="1"/>
    <xf numFmtId="44" fontId="6" fillId="0" borderId="0" xfId="1" applyFont="1" applyAlignment="1">
      <alignment horizontal="right"/>
    </xf>
    <xf numFmtId="44" fontId="3" fillId="0" borderId="10" xfId="1" applyFont="1" applyBorder="1" applyAlignment="1">
      <alignment horizontal="right"/>
    </xf>
    <xf numFmtId="44" fontId="3" fillId="0" borderId="12" xfId="1" applyFont="1" applyBorder="1" applyAlignment="1">
      <alignment horizontal="right"/>
    </xf>
    <xf numFmtId="44" fontId="3" fillId="0" borderId="0" xfId="1" applyFont="1" applyBorder="1" applyAlignment="1">
      <alignment horizontal="right"/>
    </xf>
    <xf numFmtId="44" fontId="7" fillId="0" borderId="10" xfId="0" applyNumberFormat="1" applyFont="1" applyBorder="1" applyAlignment="1">
      <alignment horizontal="center"/>
    </xf>
    <xf numFmtId="44" fontId="7" fillId="0" borderId="0" xfId="0" applyNumberFormat="1" applyFont="1" applyAlignment="1">
      <alignment horizontal="center"/>
    </xf>
    <xf numFmtId="44" fontId="7" fillId="0" borderId="11" xfId="0" applyNumberFormat="1" applyFont="1" applyBorder="1" applyAlignment="1">
      <alignment horizontal="center"/>
    </xf>
    <xf numFmtId="0" fontId="8" fillId="0" borderId="0" xfId="0" applyFont="1"/>
    <xf numFmtId="44" fontId="8" fillId="0" borderId="10" xfId="0" applyNumberFormat="1" applyFont="1" applyBorder="1"/>
    <xf numFmtId="44" fontId="8" fillId="0" borderId="0" xfId="0" applyNumberFormat="1" applyFont="1"/>
    <xf numFmtId="44" fontId="8" fillId="0" borderId="11" xfId="0" applyNumberFormat="1" applyFont="1" applyBorder="1"/>
    <xf numFmtId="44" fontId="8" fillId="0" borderId="4" xfId="0" applyNumberFormat="1" applyFont="1" applyBorder="1"/>
    <xf numFmtId="165" fontId="8" fillId="0" borderId="5" xfId="0" applyNumberFormat="1" applyFont="1" applyBorder="1"/>
    <xf numFmtId="164" fontId="8" fillId="0" borderId="5" xfId="0" applyNumberFormat="1" applyFont="1" applyBorder="1"/>
    <xf numFmtId="44" fontId="8" fillId="0" borderId="5" xfId="0" applyNumberFormat="1" applyFont="1" applyBorder="1"/>
    <xf numFmtId="43" fontId="8" fillId="0" borderId="5" xfId="0" applyNumberFormat="1" applyFont="1" applyBorder="1"/>
    <xf numFmtId="44" fontId="8" fillId="0" borderId="6" xfId="0" applyNumberFormat="1" applyFont="1" applyBorder="1"/>
    <xf numFmtId="44" fontId="9" fillId="0" borderId="0" xfId="1" applyFont="1"/>
    <xf numFmtId="44" fontId="10" fillId="0" borderId="0" xfId="1" applyFont="1" applyAlignment="1">
      <alignment horizontal="center"/>
    </xf>
    <xf numFmtId="164" fontId="0" fillId="0" borderId="5" xfId="3" applyNumberFormat="1" applyFont="1" applyBorder="1"/>
    <xf numFmtId="43" fontId="0" fillId="0" borderId="5" xfId="2" applyFont="1" applyBorder="1"/>
    <xf numFmtId="44" fontId="0" fillId="0" borderId="6" xfId="1" applyFont="1" applyBorder="1"/>
    <xf numFmtId="44" fontId="11" fillId="0" borderId="0" xfId="1" applyFont="1" applyAlignment="1">
      <alignment horizontal="right"/>
    </xf>
    <xf numFmtId="0" fontId="9" fillId="0" borderId="0" xfId="0" applyFont="1"/>
    <xf numFmtId="0" fontId="0" fillId="0" borderId="14" xfId="0" applyBorder="1"/>
    <xf numFmtId="0" fontId="0" fillId="0" borderId="17" xfId="0" applyBorder="1"/>
    <xf numFmtId="0" fontId="0" fillId="0" borderId="0" xfId="0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165" fontId="0" fillId="0" borderId="18" xfId="0" applyNumberFormat="1" applyBorder="1"/>
    <xf numFmtId="165" fontId="0" fillId="0" borderId="20" xfId="1" applyNumberFormat="1" applyFont="1" applyBorder="1"/>
    <xf numFmtId="165" fontId="0" fillId="0" borderId="21" xfId="0" applyNumberFormat="1" applyBorder="1"/>
    <xf numFmtId="0" fontId="0" fillId="0" borderId="0" xfId="0" applyAlignment="1">
      <alignment horizontal="center"/>
    </xf>
    <xf numFmtId="167" fontId="0" fillId="0" borderId="0" xfId="2" applyNumberFormat="1" applyFont="1"/>
    <xf numFmtId="165" fontId="0" fillId="0" borderId="0" xfId="0" applyNumberFormat="1"/>
    <xf numFmtId="165" fontId="0" fillId="4" borderId="0" xfId="0" applyNumberFormat="1" applyFill="1"/>
    <xf numFmtId="44" fontId="0" fillId="0" borderId="0" xfId="1" applyNumberFormat="1" applyFont="1"/>
    <xf numFmtId="165" fontId="0" fillId="4" borderId="0" xfId="1" applyNumberFormat="1" applyFont="1" applyFill="1"/>
    <xf numFmtId="0" fontId="3" fillId="0" borderId="0" xfId="0" applyFont="1"/>
    <xf numFmtId="0" fontId="3" fillId="0" borderId="6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10" fontId="3" fillId="0" borderId="5" xfId="0" applyNumberFormat="1" applyFont="1" applyBorder="1" applyAlignment="1">
      <alignment horizontal="center"/>
    </xf>
    <xf numFmtId="10" fontId="3" fillId="0" borderId="5" xfId="0" applyNumberFormat="1" applyFont="1" applyBorder="1"/>
    <xf numFmtId="0" fontId="3" fillId="4" borderId="5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/>
    <xf numFmtId="0" fontId="3" fillId="0" borderId="19" xfId="0" applyFont="1" applyBorder="1"/>
    <xf numFmtId="0" fontId="3" fillId="4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10" fontId="3" fillId="4" borderId="5" xfId="0" applyNumberFormat="1" applyFont="1" applyFill="1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165" fontId="0" fillId="0" borderId="0" xfId="0" applyNumberFormat="1" applyFill="1"/>
    <xf numFmtId="0" fontId="0" fillId="0" borderId="0" xfId="0" applyFill="1"/>
    <xf numFmtId="3" fontId="0" fillId="0" borderId="0" xfId="0" applyNumberFormat="1"/>
    <xf numFmtId="5" fontId="0" fillId="0" borderId="0" xfId="0" applyNumberFormat="1" applyFill="1" applyBorder="1"/>
    <xf numFmtId="0" fontId="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169" fontId="2" fillId="0" borderId="0" xfId="2" applyNumberFormat="1" applyFont="1" applyFill="1" applyBorder="1"/>
    <xf numFmtId="164" fontId="2" fillId="0" borderId="0" xfId="8" applyNumberFormat="1" applyFill="1"/>
    <xf numFmtId="164" fontId="2" fillId="10" borderId="0" xfId="8" applyNumberFormat="1" applyFill="1"/>
    <xf numFmtId="164" fontId="3" fillId="10" borderId="5" xfId="8" applyNumberFormat="1" applyFont="1" applyFill="1" applyBorder="1" applyAlignment="1">
      <alignment horizontal="center"/>
    </xf>
    <xf numFmtId="0" fontId="3" fillId="8" borderId="24" xfId="0" applyFont="1" applyFill="1" applyBorder="1" applyAlignment="1">
      <alignment horizontal="center"/>
    </xf>
    <xf numFmtId="165" fontId="0" fillId="8" borderId="23" xfId="0" applyNumberFormat="1" applyFill="1" applyBorder="1"/>
    <xf numFmtId="0" fontId="3" fillId="8" borderId="22" xfId="0" applyFont="1" applyFill="1" applyBorder="1" applyAlignment="1">
      <alignment horizontal="center"/>
    </xf>
    <xf numFmtId="165" fontId="0" fillId="8" borderId="24" xfId="0" applyNumberFormat="1" applyFill="1" applyBorder="1"/>
    <xf numFmtId="0" fontId="3" fillId="0" borderId="0" xfId="0" applyFont="1" applyAlignment="1">
      <alignment horizontal="left"/>
    </xf>
    <xf numFmtId="169" fontId="0" fillId="3" borderId="0" xfId="0" applyNumberFormat="1" applyFill="1"/>
    <xf numFmtId="169" fontId="3" fillId="3" borderId="0" xfId="0" applyNumberFormat="1" applyFont="1" applyFill="1" applyAlignment="1">
      <alignment horizontal="center"/>
    </xf>
    <xf numFmtId="169" fontId="3" fillId="3" borderId="5" xfId="8" applyNumberFormat="1" applyFont="1" applyFill="1" applyBorder="1" applyAlignment="1">
      <alignment horizontal="center"/>
    </xf>
    <xf numFmtId="169" fontId="0" fillId="0" borderId="0" xfId="0" applyNumberFormat="1"/>
    <xf numFmtId="14" fontId="16" fillId="0" borderId="0" xfId="0" applyNumberFormat="1" applyFont="1" applyAlignment="1">
      <alignment horizontal="left"/>
    </xf>
    <xf numFmtId="0" fontId="15" fillId="0" borderId="0" xfId="0" applyFont="1"/>
    <xf numFmtId="0" fontId="3" fillId="0" borderId="0" xfId="0" applyFont="1" applyFill="1" applyBorder="1" applyAlignment="1">
      <alignment horizontal="left"/>
    </xf>
    <xf numFmtId="0" fontId="0" fillId="0" borderId="1" xfId="0" applyBorder="1"/>
    <xf numFmtId="0" fontId="0" fillId="0" borderId="10" xfId="0" applyBorder="1"/>
    <xf numFmtId="0" fontId="0" fillId="0" borderId="22" xfId="0" applyFont="1" applyFill="1" applyBorder="1" applyAlignment="1">
      <alignment horizontal="left"/>
    </xf>
    <xf numFmtId="10" fontId="3" fillId="0" borderId="24" xfId="0" applyNumberFormat="1" applyFont="1" applyBorder="1" applyAlignment="1">
      <alignment horizontal="center"/>
    </xf>
    <xf numFmtId="0" fontId="0" fillId="0" borderId="23" xfId="0" applyBorder="1"/>
    <xf numFmtId="0" fontId="0" fillId="0" borderId="1" xfId="0" applyFont="1" applyFill="1" applyBorder="1" applyAlignment="1">
      <alignment horizontal="left"/>
    </xf>
    <xf numFmtId="10" fontId="3" fillId="0" borderId="4" xfId="0" applyNumberFormat="1" applyFont="1" applyBorder="1" applyAlignment="1">
      <alignment horizontal="center"/>
    </xf>
    <xf numFmtId="9" fontId="3" fillId="0" borderId="24" xfId="0" applyNumberFormat="1" applyFont="1" applyBorder="1" applyAlignment="1">
      <alignment horizontal="center"/>
    </xf>
    <xf numFmtId="10" fontId="3" fillId="0" borderId="4" xfId="0" applyNumberFormat="1" applyFont="1" applyFill="1" applyBorder="1" applyAlignment="1">
      <alignment horizontal="center"/>
    </xf>
    <xf numFmtId="168" fontId="17" fillId="0" borderId="0" xfId="7" applyNumberFormat="1" applyFont="1" applyFill="1" applyBorder="1" applyProtection="1">
      <protection locked="0"/>
    </xf>
    <xf numFmtId="0" fontId="3" fillId="0" borderId="0" xfId="0" applyFont="1" applyFill="1"/>
    <xf numFmtId="44" fontId="3" fillId="0" borderId="9" xfId="1" applyFont="1" applyBorder="1"/>
    <xf numFmtId="44" fontId="0" fillId="0" borderId="7" xfId="1" applyFont="1" applyBorder="1"/>
    <xf numFmtId="44" fontId="3" fillId="0" borderId="3" xfId="1" applyFont="1" applyBorder="1"/>
    <xf numFmtId="44" fontId="0" fillId="0" borderId="1" xfId="1" applyFont="1" applyBorder="1"/>
    <xf numFmtId="0" fontId="9" fillId="0" borderId="0" xfId="0" applyFont="1" applyAlignment="1">
      <alignment horizontal="right" vertical="center"/>
    </xf>
    <xf numFmtId="0" fontId="13" fillId="0" borderId="17" xfId="6" applyFont="1" applyBorder="1"/>
    <xf numFmtId="0" fontId="13" fillId="11" borderId="17" xfId="6" applyFont="1" applyFill="1" applyBorder="1"/>
    <xf numFmtId="0" fontId="19" fillId="0" borderId="17" xfId="6" applyFont="1" applyFill="1" applyBorder="1"/>
    <xf numFmtId="170" fontId="18" fillId="0" borderId="0" xfId="0" applyNumberFormat="1" applyFont="1" applyBorder="1" applyAlignment="1" applyProtection="1">
      <alignment horizontal="right" readingOrder="1"/>
      <protection locked="0"/>
    </xf>
    <xf numFmtId="0" fontId="3" fillId="0" borderId="4" xfId="0" applyFont="1" applyBorder="1"/>
    <xf numFmtId="167" fontId="13" fillId="0" borderId="0" xfId="2" applyNumberFormat="1" applyFont="1"/>
    <xf numFmtId="171" fontId="0" fillId="0" borderId="3" xfId="0" applyNumberFormat="1" applyBorder="1"/>
    <xf numFmtId="171" fontId="0" fillId="0" borderId="11" xfId="0" applyNumberFormat="1" applyBorder="1"/>
    <xf numFmtId="0" fontId="0" fillId="0" borderId="4" xfId="0" applyBorder="1"/>
    <xf numFmtId="171" fontId="0" fillId="0" borderId="6" xfId="0" applyNumberFormat="1" applyBorder="1"/>
    <xf numFmtId="0" fontId="0" fillId="0" borderId="7" xfId="0" applyBorder="1"/>
    <xf numFmtId="171" fontId="0" fillId="0" borderId="9" xfId="0" applyNumberFormat="1" applyBorder="1"/>
    <xf numFmtId="3" fontId="0" fillId="0" borderId="11" xfId="0" applyNumberFormat="1" applyBorder="1"/>
    <xf numFmtId="0" fontId="0" fillId="0" borderId="3" xfId="0" applyBorder="1"/>
    <xf numFmtId="9" fontId="0" fillId="0" borderId="11" xfId="3" applyFont="1" applyBorder="1"/>
    <xf numFmtId="0" fontId="0" fillId="0" borderId="5" xfId="0" applyBorder="1"/>
    <xf numFmtId="9" fontId="0" fillId="0" borderId="6" xfId="3" applyFont="1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4" fontId="0" fillId="0" borderId="2" xfId="0" applyNumberFormat="1" applyBorder="1"/>
    <xf numFmtId="0" fontId="0" fillId="0" borderId="2" xfId="0" applyBorder="1"/>
    <xf numFmtId="171" fontId="0" fillId="0" borderId="10" xfId="0" applyNumberFormat="1" applyBorder="1"/>
    <xf numFmtId="171" fontId="0" fillId="0" borderId="0" xfId="0" applyNumberFormat="1" applyBorder="1"/>
    <xf numFmtId="171" fontId="0" fillId="0" borderId="4" xfId="0" applyNumberFormat="1" applyBorder="1"/>
    <xf numFmtId="171" fontId="0" fillId="0" borderId="5" xfId="0" applyNumberFormat="1" applyBorder="1"/>
    <xf numFmtId="171" fontId="0" fillId="0" borderId="3" xfId="1" applyNumberFormat="1" applyFont="1" applyBorder="1"/>
    <xf numFmtId="171" fontId="0" fillId="0" borderId="11" xfId="1" applyNumberFormat="1" applyFont="1" applyBorder="1"/>
    <xf numFmtId="0" fontId="20" fillId="0" borderId="0" xfId="0" applyFont="1"/>
    <xf numFmtId="167" fontId="12" fillId="12" borderId="0" xfId="2" applyNumberFormat="1" applyFont="1" applyFill="1"/>
    <xf numFmtId="167" fontId="0" fillId="0" borderId="0" xfId="0" applyNumberFormat="1"/>
    <xf numFmtId="0" fontId="0" fillId="11" borderId="0" xfId="0" applyFill="1"/>
    <xf numFmtId="167" fontId="12" fillId="11" borderId="0" xfId="2" applyNumberFormat="1" applyFont="1" applyFill="1"/>
    <xf numFmtId="167" fontId="20" fillId="0" borderId="0" xfId="0" applyNumberFormat="1" applyFont="1"/>
    <xf numFmtId="167" fontId="20" fillId="12" borderId="0" xfId="0" applyNumberFormat="1" applyFont="1" applyFill="1"/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3" fillId="0" borderId="7" xfId="0" applyFont="1" applyBorder="1" applyAlignment="1">
      <alignment wrapText="1"/>
    </xf>
    <xf numFmtId="171" fontId="3" fillId="0" borderId="9" xfId="0" applyNumberFormat="1" applyFont="1" applyBorder="1"/>
    <xf numFmtId="6" fontId="0" fillId="0" borderId="0" xfId="0" applyNumberFormat="1"/>
    <xf numFmtId="0" fontId="21" fillId="0" borderId="0" xfId="0" applyFont="1" applyFill="1" applyBorder="1"/>
    <xf numFmtId="0" fontId="22" fillId="0" borderId="0" xfId="0" applyFont="1" applyFill="1" applyBorder="1"/>
    <xf numFmtId="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6" fontId="22" fillId="0" borderId="0" xfId="0" applyNumberFormat="1" applyFont="1" applyFill="1" applyBorder="1"/>
    <xf numFmtId="4" fontId="22" fillId="0" borderId="0" xfId="0" applyNumberFormat="1" applyFont="1" applyFill="1" applyBorder="1"/>
    <xf numFmtId="0" fontId="22" fillId="11" borderId="0" xfId="0" applyFont="1" applyFill="1" applyBorder="1"/>
    <xf numFmtId="6" fontId="21" fillId="0" borderId="0" xfId="0" applyNumberFormat="1" applyFont="1" applyFill="1" applyBorder="1"/>
    <xf numFmtId="4" fontId="21" fillId="0" borderId="0" xfId="0" applyNumberFormat="1" applyFont="1" applyFill="1" applyBorder="1"/>
    <xf numFmtId="0" fontId="13" fillId="0" borderId="20" xfId="0" applyFont="1" applyBorder="1"/>
    <xf numFmtId="167" fontId="13" fillId="0" borderId="20" xfId="2" applyNumberFormat="1" applyFont="1" applyBorder="1"/>
    <xf numFmtId="0" fontId="13" fillId="0" borderId="0" xfId="0" applyFont="1"/>
    <xf numFmtId="0" fontId="12" fillId="0" borderId="0" xfId="6"/>
    <xf numFmtId="49" fontId="25" fillId="13" borderId="25" xfId="6" applyNumberFormat="1" applyFont="1" applyFill="1" applyBorder="1" applyAlignment="1" applyProtection="1">
      <alignment horizontal="left" vertical="center" readingOrder="1"/>
    </xf>
    <xf numFmtId="3" fontId="25" fillId="14" borderId="25" xfId="6" applyNumberFormat="1" applyFont="1" applyFill="1" applyBorder="1" applyAlignment="1" applyProtection="1">
      <alignment horizontal="right" vertical="center" readingOrder="1"/>
    </xf>
    <xf numFmtId="3" fontId="25" fillId="11" borderId="25" xfId="6" applyNumberFormat="1" applyFont="1" applyFill="1" applyBorder="1" applyAlignment="1" applyProtection="1">
      <alignment horizontal="right" vertical="center" readingOrder="1"/>
    </xf>
    <xf numFmtId="4" fontId="22" fillId="11" borderId="0" xfId="0" applyNumberFormat="1" applyFont="1" applyFill="1" applyBorder="1"/>
    <xf numFmtId="10" fontId="0" fillId="0" borderId="0" xfId="0" applyNumberFormat="1"/>
    <xf numFmtId="169" fontId="0" fillId="0" borderId="0" xfId="1" applyNumberFormat="1" applyFont="1"/>
    <xf numFmtId="4" fontId="26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7" fillId="15" borderId="0" xfId="0" applyFont="1" applyFill="1"/>
    <xf numFmtId="0" fontId="27" fillId="15" borderId="0" xfId="0" applyFont="1" applyFill="1" applyAlignment="1">
      <alignment wrapText="1"/>
    </xf>
    <xf numFmtId="0" fontId="27" fillId="12" borderId="0" xfId="0" applyFont="1" applyFill="1" applyAlignment="1">
      <alignment wrapText="1"/>
    </xf>
    <xf numFmtId="0" fontId="3" fillId="0" borderId="0" xfId="0" applyFont="1" applyAlignment="1"/>
    <xf numFmtId="0" fontId="3" fillId="0" borderId="5" xfId="0" applyFont="1" applyBorder="1" applyAlignment="1"/>
    <xf numFmtId="0" fontId="21" fillId="0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169" fontId="22" fillId="0" borderId="0" xfId="0" applyNumberFormat="1" applyFont="1" applyFill="1" applyBorder="1"/>
    <xf numFmtId="169" fontId="21" fillId="0" borderId="0" xfId="0" applyNumberFormat="1" applyFont="1" applyFill="1" applyBorder="1"/>
    <xf numFmtId="8" fontId="22" fillId="0" borderId="0" xfId="0" applyNumberFormat="1" applyFont="1" applyAlignment="1">
      <alignment horizontal="right" vertical="center"/>
    </xf>
    <xf numFmtId="169" fontId="21" fillId="16" borderId="0" xfId="0" applyNumberFormat="1" applyFont="1" applyFill="1" applyBorder="1" applyAlignment="1">
      <alignment vertical="center" wrapText="1"/>
    </xf>
    <xf numFmtId="0" fontId="3" fillId="16" borderId="5" xfId="0" applyFont="1" applyFill="1" applyBorder="1" applyAlignment="1">
      <alignment horizontal="center"/>
    </xf>
    <xf numFmtId="0" fontId="0" fillId="0" borderId="26" xfId="0" applyFont="1" applyFill="1" applyBorder="1" applyAlignment="1">
      <alignment horizontal="left"/>
    </xf>
    <xf numFmtId="0" fontId="20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4" fillId="0" borderId="0" xfId="6" applyNumberFormat="1" applyFont="1" applyAlignment="1" applyProtection="1">
      <alignment horizontal="left" vertical="top" wrapText="1" readingOrder="1"/>
    </xf>
    <xf numFmtId="44" fontId="3" fillId="5" borderId="7" xfId="1" applyFont="1" applyFill="1" applyBorder="1" applyAlignment="1">
      <alignment horizontal="center"/>
    </xf>
    <xf numFmtId="44" fontId="3" fillId="5" borderId="8" xfId="1" applyFont="1" applyFill="1" applyBorder="1" applyAlignment="1">
      <alignment horizontal="center"/>
    </xf>
    <xf numFmtId="44" fontId="3" fillId="5" borderId="9" xfId="1" applyFont="1" applyFill="1" applyBorder="1" applyAlignment="1">
      <alignment horizontal="center"/>
    </xf>
    <xf numFmtId="44" fontId="3" fillId="4" borderId="7" xfId="1" applyFont="1" applyFill="1" applyBorder="1" applyAlignment="1">
      <alignment horizontal="center"/>
    </xf>
    <xf numFmtId="44" fontId="3" fillId="4" borderId="8" xfId="1" applyFont="1" applyFill="1" applyBorder="1" applyAlignment="1">
      <alignment horizontal="center"/>
    </xf>
    <xf numFmtId="44" fontId="3" fillId="4" borderId="9" xfId="1" applyFont="1" applyFill="1" applyBorder="1" applyAlignment="1">
      <alignment horizontal="center"/>
    </xf>
    <xf numFmtId="44" fontId="3" fillId="2" borderId="1" xfId="1" applyFont="1" applyFill="1" applyBorder="1" applyAlignment="1">
      <alignment horizontal="center"/>
    </xf>
    <xf numFmtId="44" fontId="3" fillId="2" borderId="2" xfId="1" applyFont="1" applyFill="1" applyBorder="1" applyAlignment="1">
      <alignment horizontal="center"/>
    </xf>
    <xf numFmtId="44" fontId="3" fillId="2" borderId="3" xfId="1" applyFont="1" applyFill="1" applyBorder="1" applyAlignment="1">
      <alignment horizontal="center"/>
    </xf>
    <xf numFmtId="44" fontId="3" fillId="2" borderId="4" xfId="1" applyFont="1" applyFill="1" applyBorder="1" applyAlignment="1">
      <alignment horizontal="center"/>
    </xf>
    <xf numFmtId="44" fontId="3" fillId="2" borderId="5" xfId="1" applyFont="1" applyFill="1" applyBorder="1" applyAlignment="1">
      <alignment horizontal="center"/>
    </xf>
    <xf numFmtId="44" fontId="3" fillId="2" borderId="6" xfId="1" applyFont="1" applyFill="1" applyBorder="1" applyAlignment="1">
      <alignment horizontal="center"/>
    </xf>
    <xf numFmtId="44" fontId="3" fillId="3" borderId="7" xfId="1" applyFont="1" applyFill="1" applyBorder="1" applyAlignment="1">
      <alignment horizontal="center"/>
    </xf>
    <xf numFmtId="44" fontId="3" fillId="3" borderId="8" xfId="1" applyFont="1" applyFill="1" applyBorder="1" applyAlignment="1">
      <alignment horizontal="center"/>
    </xf>
    <xf numFmtId="44" fontId="3" fillId="3" borderId="9" xfId="1" applyFont="1" applyFill="1" applyBorder="1" applyAlignment="1">
      <alignment horizontal="center"/>
    </xf>
    <xf numFmtId="44" fontId="7" fillId="6" borderId="7" xfId="0" applyNumberFormat="1" applyFont="1" applyFill="1" applyBorder="1" applyAlignment="1">
      <alignment horizontal="center"/>
    </xf>
    <xf numFmtId="44" fontId="7" fillId="6" borderId="8" xfId="0" applyNumberFormat="1" applyFont="1" applyFill="1" applyBorder="1" applyAlignment="1">
      <alignment horizontal="center"/>
    </xf>
    <xf numFmtId="44" fontId="7" fillId="6" borderId="13" xfId="0" applyNumberFormat="1" applyFont="1" applyFill="1" applyBorder="1" applyAlignment="1">
      <alignment horizontal="center"/>
    </xf>
    <xf numFmtId="44" fontId="3" fillId="7" borderId="7" xfId="1" applyFont="1" applyFill="1" applyBorder="1" applyAlignment="1">
      <alignment horizontal="center"/>
    </xf>
    <xf numFmtId="44" fontId="3" fillId="7" borderId="8" xfId="1" applyFont="1" applyFill="1" applyBorder="1" applyAlignment="1">
      <alignment horizontal="center"/>
    </xf>
    <xf numFmtId="44" fontId="3" fillId="7" borderId="9" xfId="1" applyFont="1" applyFill="1" applyBorder="1" applyAlignment="1">
      <alignment horizontal="center"/>
    </xf>
  </cellXfs>
  <cellStyles count="21">
    <cellStyle name="40% - Accent3" xfId="8" builtinId="39"/>
    <cellStyle name="Comma" xfId="2" builtinId="3"/>
    <cellStyle name="Comma 12" xfId="7"/>
    <cellStyle name="Currency" xfId="1" builtinId="4"/>
    <cellStyle name="Followed Hyperlink" xfId="5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4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  <cellStyle name="Normal 2" xfId="6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haredStrings" Target="sharedStrings.xml"/><Relationship Id="rId34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CC%20Funding%20Formula%20Data%20Run-LeagueCop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6-17 Apportionments Data"/>
      <sheetName val="15-16 Apportionments Data"/>
      <sheetName val="16-17 Program Awards (Datamart)"/>
      <sheetName val="14-15 Program Awards (Datamart)"/>
      <sheetName val="15-16 Program Awards (Datamart)"/>
      <sheetName val="16-17 BOG (datamart)"/>
      <sheetName val="14-15 BOG (datamart)"/>
      <sheetName val="15-16 BOG (datamart)"/>
      <sheetName val="16-17 ADTS Awarded (datamart)"/>
      <sheetName val="14-15 ADTS Awarded (datamart)"/>
      <sheetName val="15-16 ADTS Awarded (datamart)"/>
      <sheetName val="COMPLETION_RATE_2_3"/>
      <sheetName val="PELL"/>
      <sheetName val="Formula Weights"/>
      <sheetName val="Runs"/>
      <sheetName val="Comparisons-Hold Harmless"/>
      <sheetName val="Summary"/>
    </sheetNames>
    <sheetDataSet>
      <sheetData sheetId="0">
        <row r="2">
          <cell r="C2">
            <v>7534.91</v>
          </cell>
          <cell r="D2">
            <v>547.44000000000005</v>
          </cell>
          <cell r="E2">
            <v>411.48</v>
          </cell>
          <cell r="F2">
            <v>0</v>
          </cell>
          <cell r="G2">
            <v>0</v>
          </cell>
          <cell r="H2">
            <v>0</v>
          </cell>
          <cell r="I2">
            <v>1675.74</v>
          </cell>
          <cell r="J2">
            <v>-61.45</v>
          </cell>
          <cell r="K2">
            <v>-92.25</v>
          </cell>
          <cell r="T2">
            <v>6003494</v>
          </cell>
        </row>
        <row r="3">
          <cell r="C3">
            <v>11613</v>
          </cell>
          <cell r="D3">
            <v>43.96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21.18</v>
          </cell>
          <cell r="J3">
            <v>-21.03</v>
          </cell>
          <cell r="K3">
            <v>0</v>
          </cell>
          <cell r="T3">
            <v>6003494</v>
          </cell>
        </row>
        <row r="4">
          <cell r="C4">
            <v>2464.42</v>
          </cell>
          <cell r="D4">
            <v>32.549999999999997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42.28</v>
          </cell>
          <cell r="J4">
            <v>-14.14</v>
          </cell>
          <cell r="K4">
            <v>0</v>
          </cell>
          <cell r="T4">
            <v>4747788</v>
          </cell>
        </row>
        <row r="5">
          <cell r="C5">
            <v>9656.1</v>
          </cell>
          <cell r="D5">
            <v>1177.1099999999999</v>
          </cell>
          <cell r="E5">
            <v>32.15</v>
          </cell>
          <cell r="F5">
            <v>-934.21</v>
          </cell>
          <cell r="G5">
            <v>28.87</v>
          </cell>
          <cell r="H5">
            <v>-10.49</v>
          </cell>
          <cell r="I5">
            <v>0</v>
          </cell>
          <cell r="J5">
            <v>0</v>
          </cell>
          <cell r="K5">
            <v>0</v>
          </cell>
          <cell r="T5">
            <v>6003494</v>
          </cell>
        </row>
        <row r="6">
          <cell r="C6">
            <v>9184.82</v>
          </cell>
          <cell r="D6">
            <v>182.39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1031.76</v>
          </cell>
          <cell r="J6">
            <v>-2.56</v>
          </cell>
          <cell r="K6">
            <v>5</v>
          </cell>
          <cell r="T6">
            <v>6003494</v>
          </cell>
        </row>
        <row r="7">
          <cell r="C7">
            <v>17324.97</v>
          </cell>
          <cell r="D7">
            <v>117.31</v>
          </cell>
          <cell r="E7">
            <v>298.48</v>
          </cell>
          <cell r="F7">
            <v>-841.56</v>
          </cell>
          <cell r="G7">
            <v>-2.21</v>
          </cell>
          <cell r="H7">
            <v>-149.44999999999999</v>
          </cell>
          <cell r="I7">
            <v>0</v>
          </cell>
          <cell r="J7">
            <v>0</v>
          </cell>
          <cell r="K7">
            <v>0</v>
          </cell>
          <cell r="T7">
            <v>4802795</v>
          </cell>
        </row>
        <row r="8">
          <cell r="C8">
            <v>17504.169999999998</v>
          </cell>
          <cell r="D8">
            <v>135.85</v>
          </cell>
          <cell r="E8">
            <v>0</v>
          </cell>
          <cell r="F8">
            <v>-2120.69</v>
          </cell>
          <cell r="G8">
            <v>21.88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T8">
            <v>7804542</v>
          </cell>
        </row>
        <row r="9">
          <cell r="C9">
            <v>15489.42</v>
          </cell>
          <cell r="D9">
            <v>359.9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650.61</v>
          </cell>
          <cell r="J9">
            <v>32.24</v>
          </cell>
          <cell r="K9">
            <v>0</v>
          </cell>
          <cell r="T9">
            <v>7204193</v>
          </cell>
        </row>
        <row r="10">
          <cell r="C10">
            <v>11378.55</v>
          </cell>
          <cell r="D10">
            <v>272.26</v>
          </cell>
          <cell r="E10">
            <v>132.19</v>
          </cell>
          <cell r="F10">
            <v>0</v>
          </cell>
          <cell r="G10">
            <v>0</v>
          </cell>
          <cell r="H10">
            <v>0</v>
          </cell>
          <cell r="I10">
            <v>141.80000000000001</v>
          </cell>
          <cell r="J10">
            <v>-39.29</v>
          </cell>
          <cell r="K10">
            <v>-25.86</v>
          </cell>
          <cell r="T10">
            <v>4802795</v>
          </cell>
        </row>
        <row r="11">
          <cell r="C11">
            <v>32335.14</v>
          </cell>
          <cell r="D11">
            <v>288.66000000000003</v>
          </cell>
          <cell r="E11">
            <v>0</v>
          </cell>
          <cell r="F11">
            <v>-2263.86</v>
          </cell>
          <cell r="G11">
            <v>51.16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T11">
            <v>12006988</v>
          </cell>
        </row>
        <row r="12">
          <cell r="C12">
            <v>5982.99</v>
          </cell>
          <cell r="D12">
            <v>23.01</v>
          </cell>
          <cell r="E12">
            <v>0</v>
          </cell>
          <cell r="F12">
            <v>-890.27</v>
          </cell>
          <cell r="G12">
            <v>4.8600000000000003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T12">
            <v>3602096</v>
          </cell>
        </row>
        <row r="13">
          <cell r="C13">
            <v>29353.11</v>
          </cell>
          <cell r="D13">
            <v>135.74</v>
          </cell>
          <cell r="E13">
            <v>0</v>
          </cell>
          <cell r="F13">
            <v>-2744.1</v>
          </cell>
          <cell r="G13">
            <v>-52.74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T13">
            <v>13808036</v>
          </cell>
        </row>
        <row r="14">
          <cell r="C14">
            <v>1397.72</v>
          </cell>
          <cell r="D14">
            <v>82.1</v>
          </cell>
          <cell r="E14">
            <v>2.46</v>
          </cell>
          <cell r="F14">
            <v>-25.89</v>
          </cell>
          <cell r="G14">
            <v>23.53</v>
          </cell>
          <cell r="H14">
            <v>-1.76</v>
          </cell>
          <cell r="I14">
            <v>0</v>
          </cell>
          <cell r="J14">
            <v>0</v>
          </cell>
          <cell r="K14">
            <v>0</v>
          </cell>
          <cell r="T14">
            <v>4747788</v>
          </cell>
        </row>
        <row r="15">
          <cell r="C15">
            <v>8435.0300000000007</v>
          </cell>
          <cell r="D15">
            <v>24.92</v>
          </cell>
          <cell r="E15">
            <v>593.5</v>
          </cell>
          <cell r="F15">
            <v>-136.47</v>
          </cell>
          <cell r="G15">
            <v>227.76</v>
          </cell>
          <cell r="H15">
            <v>-11.8</v>
          </cell>
          <cell r="I15">
            <v>0</v>
          </cell>
          <cell r="J15">
            <v>0</v>
          </cell>
          <cell r="K15">
            <v>0</v>
          </cell>
          <cell r="T15">
            <v>3602096</v>
          </cell>
        </row>
        <row r="16">
          <cell r="C16">
            <v>19463.240000000002</v>
          </cell>
          <cell r="D16">
            <v>22.76</v>
          </cell>
          <cell r="E16">
            <v>0</v>
          </cell>
          <cell r="F16">
            <v>-1597.98</v>
          </cell>
          <cell r="G16">
            <v>5.31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T16">
            <v>8404891</v>
          </cell>
        </row>
        <row r="17">
          <cell r="C17">
            <v>1576.62</v>
          </cell>
          <cell r="D17">
            <v>43.26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10.34</v>
          </cell>
          <cell r="J17">
            <v>-7.42</v>
          </cell>
          <cell r="K17">
            <v>0</v>
          </cell>
          <cell r="T17">
            <v>4747788</v>
          </cell>
        </row>
        <row r="18">
          <cell r="C18">
            <v>26756.003000000001</v>
          </cell>
          <cell r="D18">
            <v>215.89</v>
          </cell>
          <cell r="E18">
            <v>169.43</v>
          </cell>
          <cell r="F18">
            <v>-1225.3030000000001</v>
          </cell>
          <cell r="G18">
            <v>37.880000000000003</v>
          </cell>
          <cell r="H18">
            <v>18.73</v>
          </cell>
          <cell r="I18">
            <v>0</v>
          </cell>
          <cell r="J18">
            <v>0</v>
          </cell>
          <cell r="K18">
            <v>0</v>
          </cell>
          <cell r="T18">
            <v>9605591</v>
          </cell>
        </row>
        <row r="19">
          <cell r="C19">
            <v>4265.0749999999998</v>
          </cell>
          <cell r="D19">
            <v>438.96</v>
          </cell>
          <cell r="E19">
            <v>85.28</v>
          </cell>
          <cell r="F19">
            <v>0</v>
          </cell>
          <cell r="G19">
            <v>0</v>
          </cell>
          <cell r="H19">
            <v>0</v>
          </cell>
          <cell r="I19">
            <v>633.125</v>
          </cell>
          <cell r="J19">
            <v>-109.02</v>
          </cell>
          <cell r="K19">
            <v>-11.26</v>
          </cell>
          <cell r="T19">
            <v>4747788</v>
          </cell>
        </row>
        <row r="20">
          <cell r="C20">
            <v>11297.33</v>
          </cell>
          <cell r="D20">
            <v>257.10000000000002</v>
          </cell>
          <cell r="E20">
            <v>2538.98</v>
          </cell>
          <cell r="F20">
            <v>0</v>
          </cell>
          <cell r="G20">
            <v>0</v>
          </cell>
          <cell r="H20">
            <v>0</v>
          </cell>
          <cell r="I20">
            <v>1166.3</v>
          </cell>
          <cell r="J20">
            <v>-98.41</v>
          </cell>
          <cell r="K20">
            <v>379.63</v>
          </cell>
          <cell r="T20">
            <v>6003494</v>
          </cell>
        </row>
        <row r="21">
          <cell r="C21">
            <v>18727.580000000002</v>
          </cell>
          <cell r="D21">
            <v>21.93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386.29</v>
          </cell>
          <cell r="J21">
            <v>-10.8</v>
          </cell>
          <cell r="K21">
            <v>0</v>
          </cell>
          <cell r="T21">
            <v>7804542</v>
          </cell>
        </row>
        <row r="22">
          <cell r="C22">
            <v>7276.54</v>
          </cell>
          <cell r="D22">
            <v>17.8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76.81</v>
          </cell>
          <cell r="J22">
            <v>-12.58</v>
          </cell>
          <cell r="K22">
            <v>0</v>
          </cell>
          <cell r="T22">
            <v>3902271</v>
          </cell>
        </row>
        <row r="23">
          <cell r="C23">
            <v>6770.48</v>
          </cell>
          <cell r="D23">
            <v>24.72</v>
          </cell>
          <cell r="E23">
            <v>16.7</v>
          </cell>
          <cell r="F23">
            <v>-44.12</v>
          </cell>
          <cell r="G23">
            <v>9.16</v>
          </cell>
          <cell r="H23">
            <v>-4.78</v>
          </cell>
          <cell r="I23">
            <v>0</v>
          </cell>
          <cell r="J23">
            <v>0</v>
          </cell>
          <cell r="K23">
            <v>0</v>
          </cell>
          <cell r="T23">
            <v>3602096</v>
          </cell>
        </row>
        <row r="24">
          <cell r="C24">
            <v>20732.060000000001</v>
          </cell>
          <cell r="D24">
            <v>61.47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905.86</v>
          </cell>
          <cell r="J24">
            <v>25.92</v>
          </cell>
          <cell r="K24">
            <v>0</v>
          </cell>
          <cell r="T24">
            <v>15308910</v>
          </cell>
        </row>
        <row r="25">
          <cell r="C25">
            <v>1620.22</v>
          </cell>
          <cell r="D25">
            <v>36.4</v>
          </cell>
          <cell r="E25">
            <v>22.09</v>
          </cell>
          <cell r="F25">
            <v>0</v>
          </cell>
          <cell r="G25">
            <v>0</v>
          </cell>
          <cell r="H25">
            <v>0</v>
          </cell>
          <cell r="I25">
            <v>32.71</v>
          </cell>
          <cell r="J25">
            <v>37.15</v>
          </cell>
          <cell r="K25">
            <v>-8.0399999999999991</v>
          </cell>
          <cell r="T25">
            <v>4747788</v>
          </cell>
        </row>
        <row r="26">
          <cell r="C26">
            <v>1302.78</v>
          </cell>
          <cell r="D26">
            <v>63.14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240.6</v>
          </cell>
          <cell r="J26">
            <v>93.49</v>
          </cell>
          <cell r="K26">
            <v>0.18</v>
          </cell>
          <cell r="T26">
            <v>4747788</v>
          </cell>
        </row>
        <row r="27">
          <cell r="C27">
            <v>18622.62</v>
          </cell>
          <cell r="D27">
            <v>64.72</v>
          </cell>
          <cell r="E27">
            <v>389.99</v>
          </cell>
          <cell r="F27">
            <v>0</v>
          </cell>
          <cell r="G27">
            <v>0</v>
          </cell>
          <cell r="H27">
            <v>0</v>
          </cell>
          <cell r="I27">
            <v>1608.97</v>
          </cell>
          <cell r="J27">
            <v>57.83</v>
          </cell>
          <cell r="K27">
            <v>30.87</v>
          </cell>
          <cell r="T27">
            <v>7204193</v>
          </cell>
        </row>
        <row r="28">
          <cell r="C28">
            <v>101352.37</v>
          </cell>
          <cell r="D28">
            <v>2034.51</v>
          </cell>
          <cell r="E28">
            <v>4102.57</v>
          </cell>
          <cell r="F28">
            <v>0</v>
          </cell>
          <cell r="G28">
            <v>0</v>
          </cell>
          <cell r="H28">
            <v>0</v>
          </cell>
          <cell r="I28">
            <v>-396.17</v>
          </cell>
          <cell r="J28">
            <v>-77.16</v>
          </cell>
          <cell r="K28">
            <v>585.14</v>
          </cell>
          <cell r="T28">
            <v>36020963</v>
          </cell>
        </row>
        <row r="29">
          <cell r="C29">
            <v>47527.49</v>
          </cell>
          <cell r="D29">
            <v>251.75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4703.16</v>
          </cell>
          <cell r="J29">
            <v>-5.35</v>
          </cell>
          <cell r="K29">
            <v>0</v>
          </cell>
          <cell r="T29">
            <v>22813278</v>
          </cell>
        </row>
        <row r="30">
          <cell r="C30">
            <v>3532.39</v>
          </cell>
          <cell r="D30">
            <v>240.72</v>
          </cell>
          <cell r="E30">
            <v>0</v>
          </cell>
          <cell r="F30">
            <v>-85.33</v>
          </cell>
          <cell r="G30">
            <v>18.440000000000001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T30">
            <v>3602096</v>
          </cell>
        </row>
        <row r="31">
          <cell r="C31">
            <v>2498.7600000000002</v>
          </cell>
          <cell r="D31">
            <v>38.53</v>
          </cell>
          <cell r="E31">
            <v>43.1</v>
          </cell>
          <cell r="F31">
            <v>0</v>
          </cell>
          <cell r="G31">
            <v>0</v>
          </cell>
          <cell r="H31">
            <v>0</v>
          </cell>
          <cell r="I31">
            <v>514.98</v>
          </cell>
          <cell r="J31">
            <v>3.97</v>
          </cell>
          <cell r="K31">
            <v>-6.85</v>
          </cell>
          <cell r="T31">
            <v>5348138</v>
          </cell>
        </row>
        <row r="32">
          <cell r="C32">
            <v>8194.74</v>
          </cell>
          <cell r="D32">
            <v>318.14</v>
          </cell>
          <cell r="E32">
            <v>633.52</v>
          </cell>
          <cell r="F32">
            <v>0</v>
          </cell>
          <cell r="G32">
            <v>0</v>
          </cell>
          <cell r="H32">
            <v>0</v>
          </cell>
          <cell r="I32">
            <v>432.89</v>
          </cell>
          <cell r="J32">
            <v>42.17</v>
          </cell>
          <cell r="K32">
            <v>-70.56</v>
          </cell>
          <cell r="T32">
            <v>6003494</v>
          </cell>
        </row>
        <row r="33">
          <cell r="C33">
            <v>10684.56</v>
          </cell>
          <cell r="D33">
            <v>663.74</v>
          </cell>
          <cell r="E33">
            <v>0</v>
          </cell>
          <cell r="F33">
            <v>-969.58</v>
          </cell>
          <cell r="G33">
            <v>172.25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T33">
            <v>6003494</v>
          </cell>
        </row>
        <row r="34">
          <cell r="C34">
            <v>5789.88</v>
          </cell>
          <cell r="D34">
            <v>355.9</v>
          </cell>
          <cell r="E34">
            <v>115.98</v>
          </cell>
          <cell r="F34">
            <v>0</v>
          </cell>
          <cell r="G34">
            <v>0</v>
          </cell>
          <cell r="H34">
            <v>0</v>
          </cell>
          <cell r="I34">
            <v>469.9</v>
          </cell>
          <cell r="J34">
            <v>-3</v>
          </cell>
          <cell r="K34">
            <v>-27.97</v>
          </cell>
          <cell r="T34">
            <v>3902271</v>
          </cell>
        </row>
        <row r="35">
          <cell r="C35">
            <v>25096.34</v>
          </cell>
          <cell r="D35">
            <v>1644.62</v>
          </cell>
          <cell r="E35">
            <v>4643.5600000000004</v>
          </cell>
          <cell r="F35">
            <v>-833.43</v>
          </cell>
          <cell r="G35">
            <v>-58.62</v>
          </cell>
          <cell r="H35">
            <v>451.54</v>
          </cell>
          <cell r="I35">
            <v>0</v>
          </cell>
          <cell r="J35">
            <v>0</v>
          </cell>
          <cell r="K35">
            <v>0</v>
          </cell>
          <cell r="T35">
            <v>6003494</v>
          </cell>
        </row>
        <row r="36">
          <cell r="C36">
            <v>11249.79</v>
          </cell>
          <cell r="D36">
            <v>323.88</v>
          </cell>
          <cell r="E36">
            <v>315.98</v>
          </cell>
          <cell r="F36">
            <v>0</v>
          </cell>
          <cell r="G36">
            <v>0</v>
          </cell>
          <cell r="H36">
            <v>0</v>
          </cell>
          <cell r="I36">
            <v>462.28</v>
          </cell>
          <cell r="J36">
            <v>-151.94</v>
          </cell>
          <cell r="K36">
            <v>8.7799999999999994</v>
          </cell>
          <cell r="T36">
            <v>6003494</v>
          </cell>
        </row>
        <row r="37">
          <cell r="C37">
            <v>5036.74</v>
          </cell>
          <cell r="D37">
            <v>539.61</v>
          </cell>
          <cell r="E37">
            <v>13.89</v>
          </cell>
          <cell r="F37">
            <v>-100.44</v>
          </cell>
          <cell r="G37">
            <v>-67.64</v>
          </cell>
          <cell r="H37">
            <v>-3.44</v>
          </cell>
          <cell r="I37">
            <v>0</v>
          </cell>
          <cell r="J37">
            <v>0</v>
          </cell>
          <cell r="K37">
            <v>0</v>
          </cell>
          <cell r="T37">
            <v>4202445</v>
          </cell>
        </row>
        <row r="38">
          <cell r="C38">
            <v>30332.14</v>
          </cell>
          <cell r="D38">
            <v>2724.79</v>
          </cell>
          <cell r="E38">
            <v>2777.81</v>
          </cell>
          <cell r="F38">
            <v>-795.67</v>
          </cell>
          <cell r="G38">
            <v>-175.99</v>
          </cell>
          <cell r="H38">
            <v>-112.12</v>
          </cell>
          <cell r="I38">
            <v>0</v>
          </cell>
          <cell r="J38">
            <v>0</v>
          </cell>
          <cell r="K38">
            <v>0</v>
          </cell>
          <cell r="T38">
            <v>9605591</v>
          </cell>
        </row>
        <row r="39">
          <cell r="C39">
            <v>7065.28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1075.1400000000001</v>
          </cell>
          <cell r="J39">
            <v>0</v>
          </cell>
          <cell r="K39">
            <v>0</v>
          </cell>
          <cell r="T39">
            <v>4802795</v>
          </cell>
        </row>
        <row r="40">
          <cell r="C40">
            <v>1945.81</v>
          </cell>
          <cell r="D40">
            <v>108.07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21.56</v>
          </cell>
          <cell r="J40">
            <v>-80.27</v>
          </cell>
          <cell r="K40">
            <v>79.930000000000007</v>
          </cell>
          <cell r="T40">
            <v>4897875</v>
          </cell>
        </row>
        <row r="41">
          <cell r="C41">
            <v>15801.89</v>
          </cell>
          <cell r="D41">
            <v>280.2</v>
          </cell>
          <cell r="E41">
            <v>520.71</v>
          </cell>
          <cell r="F41">
            <v>0</v>
          </cell>
          <cell r="G41">
            <v>0</v>
          </cell>
          <cell r="H41">
            <v>0</v>
          </cell>
          <cell r="I41">
            <v>1523.1490000000001</v>
          </cell>
          <cell r="J41">
            <v>-13.96</v>
          </cell>
          <cell r="K41">
            <v>-0.74</v>
          </cell>
          <cell r="T41">
            <v>7204193</v>
          </cell>
        </row>
        <row r="42">
          <cell r="C42">
            <v>22282.71</v>
          </cell>
          <cell r="D42">
            <v>183.34</v>
          </cell>
          <cell r="E42">
            <v>1036.18</v>
          </cell>
          <cell r="F42">
            <v>0</v>
          </cell>
          <cell r="G42">
            <v>0</v>
          </cell>
          <cell r="H42">
            <v>0</v>
          </cell>
          <cell r="I42">
            <v>486.48</v>
          </cell>
          <cell r="J42">
            <v>-23.53</v>
          </cell>
          <cell r="K42">
            <v>22.64</v>
          </cell>
          <cell r="T42">
            <v>7204193</v>
          </cell>
        </row>
        <row r="43">
          <cell r="C43">
            <v>19409.34</v>
          </cell>
          <cell r="D43">
            <v>119.13</v>
          </cell>
          <cell r="E43">
            <v>0</v>
          </cell>
          <cell r="F43">
            <v>-2287.0300000000002</v>
          </cell>
          <cell r="G43">
            <v>534.29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T43">
            <v>14408384</v>
          </cell>
        </row>
        <row r="44">
          <cell r="C44">
            <v>22274.09</v>
          </cell>
          <cell r="D44">
            <v>702.14</v>
          </cell>
          <cell r="E44">
            <v>5925.41</v>
          </cell>
          <cell r="F44">
            <v>0</v>
          </cell>
          <cell r="G44">
            <v>0</v>
          </cell>
          <cell r="H44">
            <v>0</v>
          </cell>
          <cell r="I44">
            <v>699.41</v>
          </cell>
          <cell r="J44">
            <v>75.400000000000006</v>
          </cell>
          <cell r="K44">
            <v>-744.74</v>
          </cell>
          <cell r="T44">
            <v>10806289</v>
          </cell>
        </row>
        <row r="45">
          <cell r="C45">
            <v>3508.35</v>
          </cell>
          <cell r="D45">
            <v>54.32</v>
          </cell>
          <cell r="E45">
            <v>31.68</v>
          </cell>
          <cell r="F45">
            <v>0</v>
          </cell>
          <cell r="G45">
            <v>0</v>
          </cell>
          <cell r="H45">
            <v>0</v>
          </cell>
          <cell r="I45">
            <v>349.63</v>
          </cell>
          <cell r="J45">
            <v>1.85</v>
          </cell>
          <cell r="K45">
            <v>23.62</v>
          </cell>
          <cell r="T45">
            <v>5648312</v>
          </cell>
        </row>
        <row r="46">
          <cell r="C46">
            <v>12503.3</v>
          </cell>
          <cell r="D46">
            <v>365.21</v>
          </cell>
          <cell r="E46">
            <v>37.380000000000003</v>
          </cell>
          <cell r="F46">
            <v>-467.05</v>
          </cell>
          <cell r="G46">
            <v>-97.44</v>
          </cell>
          <cell r="H46">
            <v>-14.66</v>
          </cell>
          <cell r="I46">
            <v>0</v>
          </cell>
          <cell r="J46">
            <v>0</v>
          </cell>
          <cell r="K46">
            <v>0</v>
          </cell>
          <cell r="T46">
            <v>4802795</v>
          </cell>
        </row>
        <row r="47">
          <cell r="C47">
            <v>28599.64</v>
          </cell>
          <cell r="D47">
            <v>82.8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290.01</v>
          </cell>
          <cell r="J47">
            <v>32.72</v>
          </cell>
          <cell r="K47">
            <v>0</v>
          </cell>
          <cell r="T47">
            <v>11406638</v>
          </cell>
        </row>
        <row r="48">
          <cell r="C48">
            <v>15275.66</v>
          </cell>
          <cell r="D48">
            <v>67.08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403.49</v>
          </cell>
          <cell r="J48">
            <v>22.1</v>
          </cell>
          <cell r="K48">
            <v>0</v>
          </cell>
          <cell r="T48">
            <v>7804542</v>
          </cell>
        </row>
        <row r="49">
          <cell r="C49">
            <v>34919.01</v>
          </cell>
          <cell r="D49">
            <v>2077.7199999999998</v>
          </cell>
          <cell r="E49">
            <v>6289.53</v>
          </cell>
          <cell r="F49">
            <v>0</v>
          </cell>
          <cell r="G49">
            <v>0</v>
          </cell>
          <cell r="H49">
            <v>0</v>
          </cell>
          <cell r="I49">
            <v>618.09</v>
          </cell>
          <cell r="J49">
            <v>1.38</v>
          </cell>
          <cell r="K49">
            <v>113.93</v>
          </cell>
          <cell r="T49">
            <v>18010483</v>
          </cell>
        </row>
        <row r="50">
          <cell r="C50">
            <v>20598.335999999999</v>
          </cell>
          <cell r="D50">
            <v>2394.3150000000001</v>
          </cell>
          <cell r="E50">
            <v>6366.5190000000002</v>
          </cell>
          <cell r="F50">
            <v>-6436.7860000000001</v>
          </cell>
          <cell r="G50">
            <v>-688.11500000000001</v>
          </cell>
          <cell r="H50">
            <v>-1866.8389999999999</v>
          </cell>
          <cell r="I50">
            <v>0</v>
          </cell>
          <cell r="J50">
            <v>0</v>
          </cell>
          <cell r="K50">
            <v>0</v>
          </cell>
          <cell r="T50">
            <v>13507863</v>
          </cell>
        </row>
        <row r="51">
          <cell r="C51">
            <v>16165.28</v>
          </cell>
          <cell r="D51">
            <v>171.42</v>
          </cell>
          <cell r="E51">
            <v>0</v>
          </cell>
          <cell r="F51">
            <v>-2927.7</v>
          </cell>
          <cell r="G51">
            <v>-41.28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T51">
            <v>6003494</v>
          </cell>
        </row>
        <row r="52">
          <cell r="C52">
            <v>11493.07</v>
          </cell>
          <cell r="D52">
            <v>87.43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328.59</v>
          </cell>
          <cell r="J52">
            <v>20.02</v>
          </cell>
          <cell r="K52">
            <v>0</v>
          </cell>
          <cell r="T52">
            <v>7204192</v>
          </cell>
        </row>
        <row r="53">
          <cell r="C53">
            <v>8036.95</v>
          </cell>
          <cell r="D53">
            <v>109.19</v>
          </cell>
          <cell r="E53">
            <v>173.86</v>
          </cell>
          <cell r="F53">
            <v>-1167.27</v>
          </cell>
          <cell r="G53">
            <v>84.73</v>
          </cell>
          <cell r="H53">
            <v>55.35</v>
          </cell>
          <cell r="I53">
            <v>0</v>
          </cell>
          <cell r="J53">
            <v>0</v>
          </cell>
          <cell r="K53">
            <v>0</v>
          </cell>
          <cell r="T53">
            <v>4802795</v>
          </cell>
        </row>
        <row r="54">
          <cell r="C54">
            <v>17216.650000000001</v>
          </cell>
          <cell r="D54">
            <v>87.46</v>
          </cell>
          <cell r="E54">
            <v>0</v>
          </cell>
          <cell r="F54">
            <v>-746.48</v>
          </cell>
          <cell r="G54">
            <v>-36.58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T54">
            <v>10806288</v>
          </cell>
        </row>
        <row r="55">
          <cell r="C55">
            <v>12674.99</v>
          </cell>
          <cell r="D55">
            <v>147.59</v>
          </cell>
          <cell r="E55">
            <v>387.68</v>
          </cell>
          <cell r="F55">
            <v>-958.6</v>
          </cell>
          <cell r="G55">
            <v>20.92</v>
          </cell>
          <cell r="H55">
            <v>31.32</v>
          </cell>
          <cell r="I55">
            <v>0</v>
          </cell>
          <cell r="J55">
            <v>0</v>
          </cell>
          <cell r="K55">
            <v>0</v>
          </cell>
          <cell r="T55">
            <v>6904018</v>
          </cell>
        </row>
        <row r="56">
          <cell r="C56">
            <v>15566.39</v>
          </cell>
          <cell r="D56">
            <v>246.74</v>
          </cell>
          <cell r="E56">
            <v>181.64</v>
          </cell>
          <cell r="F56">
            <v>0</v>
          </cell>
          <cell r="G56">
            <v>0</v>
          </cell>
          <cell r="H56">
            <v>0</v>
          </cell>
          <cell r="I56">
            <v>459.54</v>
          </cell>
          <cell r="J56">
            <v>-24.11</v>
          </cell>
          <cell r="K56">
            <v>-0.64</v>
          </cell>
          <cell r="T56">
            <v>6003494</v>
          </cell>
        </row>
        <row r="57">
          <cell r="C57">
            <v>21263.86</v>
          </cell>
          <cell r="D57">
            <v>597.29</v>
          </cell>
          <cell r="E57">
            <v>167.26</v>
          </cell>
          <cell r="F57">
            <v>-566.29</v>
          </cell>
          <cell r="G57">
            <v>172.98</v>
          </cell>
          <cell r="H57">
            <v>-167.26</v>
          </cell>
          <cell r="I57">
            <v>0</v>
          </cell>
          <cell r="J57">
            <v>0</v>
          </cell>
          <cell r="K57">
            <v>0</v>
          </cell>
          <cell r="T57">
            <v>7204193</v>
          </cell>
        </row>
        <row r="58">
          <cell r="C58">
            <v>8921.49</v>
          </cell>
          <cell r="D58">
            <v>339.26</v>
          </cell>
          <cell r="E58">
            <v>169.53</v>
          </cell>
          <cell r="F58">
            <v>0</v>
          </cell>
          <cell r="G58">
            <v>0</v>
          </cell>
          <cell r="H58">
            <v>0</v>
          </cell>
          <cell r="I58">
            <v>222.31</v>
          </cell>
          <cell r="J58">
            <v>4.16</v>
          </cell>
          <cell r="K58">
            <v>23.25</v>
          </cell>
          <cell r="T58">
            <v>6003494</v>
          </cell>
        </row>
        <row r="59">
          <cell r="C59">
            <v>5886.12</v>
          </cell>
          <cell r="D59">
            <v>177.17</v>
          </cell>
          <cell r="E59">
            <v>34.340000000000003</v>
          </cell>
          <cell r="F59">
            <v>0</v>
          </cell>
          <cell r="G59">
            <v>0</v>
          </cell>
          <cell r="H59">
            <v>0</v>
          </cell>
          <cell r="I59">
            <v>1153.75</v>
          </cell>
          <cell r="J59">
            <v>-45.88</v>
          </cell>
          <cell r="K59">
            <v>-6.5</v>
          </cell>
          <cell r="T59">
            <v>3602096</v>
          </cell>
        </row>
        <row r="60">
          <cell r="C60">
            <v>14578.91</v>
          </cell>
          <cell r="D60">
            <v>296.83</v>
          </cell>
          <cell r="E60">
            <v>0</v>
          </cell>
          <cell r="F60">
            <v>-852.2</v>
          </cell>
          <cell r="G60">
            <v>-15.83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T60">
            <v>6153581</v>
          </cell>
        </row>
        <row r="61">
          <cell r="C61">
            <v>2354.38</v>
          </cell>
          <cell r="D61">
            <v>63.79</v>
          </cell>
          <cell r="E61">
            <v>401.67</v>
          </cell>
          <cell r="F61">
            <v>-205</v>
          </cell>
          <cell r="G61">
            <v>11.92</v>
          </cell>
          <cell r="H61">
            <v>69.56</v>
          </cell>
          <cell r="I61">
            <v>0</v>
          </cell>
          <cell r="J61">
            <v>0</v>
          </cell>
          <cell r="K61">
            <v>0</v>
          </cell>
          <cell r="T61">
            <v>4747788</v>
          </cell>
        </row>
        <row r="62">
          <cell r="C62">
            <v>8230.74</v>
          </cell>
          <cell r="D62">
            <v>15.12</v>
          </cell>
          <cell r="E62">
            <v>0</v>
          </cell>
          <cell r="F62">
            <v>-1047.1500000000001</v>
          </cell>
          <cell r="G62">
            <v>33.549999999999997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T62">
            <v>6003494</v>
          </cell>
        </row>
        <row r="63">
          <cell r="C63">
            <v>16518.78</v>
          </cell>
          <cell r="D63">
            <v>2303.5500000000002</v>
          </cell>
          <cell r="E63">
            <v>592.23</v>
          </cell>
          <cell r="F63">
            <v>-2749.53</v>
          </cell>
          <cell r="G63">
            <v>-47.83</v>
          </cell>
          <cell r="H63">
            <v>143.93</v>
          </cell>
          <cell r="I63">
            <v>0</v>
          </cell>
          <cell r="J63">
            <v>0</v>
          </cell>
          <cell r="K63">
            <v>0</v>
          </cell>
          <cell r="T63">
            <v>8705067</v>
          </cell>
        </row>
        <row r="64">
          <cell r="C64">
            <v>21433.62</v>
          </cell>
          <cell r="D64">
            <v>2030.21</v>
          </cell>
          <cell r="E64">
            <v>169.1</v>
          </cell>
          <cell r="F64">
            <v>0</v>
          </cell>
          <cell r="G64">
            <v>0</v>
          </cell>
          <cell r="H64">
            <v>0</v>
          </cell>
          <cell r="I64">
            <v>3296.1</v>
          </cell>
          <cell r="J64">
            <v>303.75</v>
          </cell>
          <cell r="K64">
            <v>86.01</v>
          </cell>
          <cell r="T64">
            <v>8404892</v>
          </cell>
        </row>
        <row r="65">
          <cell r="C65">
            <v>13509.49</v>
          </cell>
          <cell r="D65">
            <v>220.62</v>
          </cell>
          <cell r="E65">
            <v>37.32</v>
          </cell>
          <cell r="F65">
            <v>0</v>
          </cell>
          <cell r="G65">
            <v>0</v>
          </cell>
          <cell r="H65">
            <v>0</v>
          </cell>
          <cell r="I65">
            <v>1839.03</v>
          </cell>
          <cell r="J65">
            <v>7.71</v>
          </cell>
          <cell r="K65">
            <v>-20.04</v>
          </cell>
          <cell r="T65">
            <v>8404892</v>
          </cell>
        </row>
        <row r="66">
          <cell r="C66">
            <v>28765.43</v>
          </cell>
          <cell r="D66">
            <v>270.64</v>
          </cell>
          <cell r="E66">
            <v>158.08000000000001</v>
          </cell>
          <cell r="F66">
            <v>0</v>
          </cell>
          <cell r="G66">
            <v>0</v>
          </cell>
          <cell r="H66">
            <v>0</v>
          </cell>
          <cell r="I66">
            <v>287.97000000000003</v>
          </cell>
          <cell r="J66">
            <v>8.4499999999999993</v>
          </cell>
          <cell r="K66">
            <v>-26.17</v>
          </cell>
          <cell r="T66">
            <v>13808036</v>
          </cell>
        </row>
        <row r="67">
          <cell r="C67">
            <v>26405.15</v>
          </cell>
          <cell r="D67">
            <v>61.88</v>
          </cell>
          <cell r="E67">
            <v>0</v>
          </cell>
          <cell r="F67">
            <v>-1032.9000000000001</v>
          </cell>
          <cell r="G67">
            <v>-34.79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T67">
            <v>12006988</v>
          </cell>
        </row>
        <row r="68">
          <cell r="C68">
            <v>9141.67</v>
          </cell>
          <cell r="D68">
            <v>70.88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324.59000000000003</v>
          </cell>
          <cell r="J68">
            <v>-60.92</v>
          </cell>
          <cell r="K68">
            <v>0</v>
          </cell>
          <cell r="T68">
            <v>4802795</v>
          </cell>
        </row>
        <row r="69">
          <cell r="C69">
            <v>4934.96</v>
          </cell>
          <cell r="D69">
            <v>346.65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342.97</v>
          </cell>
          <cell r="J69">
            <v>-124.58</v>
          </cell>
          <cell r="K69">
            <v>0</v>
          </cell>
          <cell r="T69">
            <v>7504367</v>
          </cell>
        </row>
        <row r="70">
          <cell r="C70">
            <v>2519.69</v>
          </cell>
          <cell r="D70">
            <v>44.69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88</v>
          </cell>
          <cell r="J70">
            <v>-12.38</v>
          </cell>
          <cell r="K70">
            <v>0</v>
          </cell>
          <cell r="T70">
            <v>4747788</v>
          </cell>
        </row>
        <row r="71">
          <cell r="C71">
            <v>12344.34</v>
          </cell>
          <cell r="D71">
            <v>1087.3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405.65999999999997</v>
          </cell>
          <cell r="J71">
            <v>-430.49</v>
          </cell>
          <cell r="K71">
            <v>0</v>
          </cell>
          <cell r="T71">
            <v>7204192</v>
          </cell>
        </row>
        <row r="72">
          <cell r="C72">
            <v>16226.93</v>
          </cell>
          <cell r="D72">
            <v>175.66</v>
          </cell>
          <cell r="E72">
            <v>168.85</v>
          </cell>
          <cell r="F72">
            <v>-158.96</v>
          </cell>
          <cell r="G72">
            <v>16.95</v>
          </cell>
          <cell r="H72">
            <v>-8.75</v>
          </cell>
          <cell r="I72">
            <v>0</v>
          </cell>
          <cell r="J72">
            <v>0</v>
          </cell>
          <cell r="K72">
            <v>0</v>
          </cell>
          <cell r="T72">
            <v>7804542</v>
          </cell>
        </row>
        <row r="73">
          <cell r="C73">
            <v>7484.81</v>
          </cell>
          <cell r="D73">
            <v>141.61000000000001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10.71</v>
          </cell>
          <cell r="J73">
            <v>-11.13</v>
          </cell>
          <cell r="K73">
            <v>0</v>
          </cell>
          <cell r="T73">
            <v>9005240</v>
          </cell>
        </row>
      </sheetData>
      <sheetData sheetId="1">
        <row r="2">
          <cell r="A2" t="str">
            <v>ALLAN HANCOCK COMMUNITY COLLEGE DISTRICT</v>
          </cell>
        </row>
        <row r="3">
          <cell r="A3" t="str">
            <v>ANTELOPE VALLEY COMMUNITY COLLEGE DISTRICT</v>
          </cell>
        </row>
        <row r="4">
          <cell r="A4" t="str">
            <v>BARSTOW COMMUNITY COLLEGE DISTRICT</v>
          </cell>
        </row>
        <row r="5">
          <cell r="A5" t="str">
            <v>BUTTE COMMUNITY COLLEGE DISTRICT</v>
          </cell>
        </row>
        <row r="6">
          <cell r="A6" t="str">
            <v>CABRILLO COMMUNITY COLLEGE DISTRICT</v>
          </cell>
        </row>
        <row r="7">
          <cell r="A7" t="str">
            <v>CERRITOS COMMUNITY COLLEGE DISTRICT</v>
          </cell>
        </row>
        <row r="8">
          <cell r="A8" t="str">
            <v>CHABOT-LAS POSITAS COMMUNITY COLLEGE DISTRICT</v>
          </cell>
        </row>
        <row r="9">
          <cell r="A9" t="str">
            <v>CHAFFEY COMMUNITY COLLEGE DISTRICT</v>
          </cell>
        </row>
        <row r="10">
          <cell r="A10" t="str">
            <v>CITRUS COMMUNITY COLLEGE DISTRICT</v>
          </cell>
        </row>
        <row r="11">
          <cell r="A11" t="str">
            <v>COAST COMMUNITY COLLEGE DISTRICT</v>
          </cell>
        </row>
        <row r="12">
          <cell r="A12" t="str">
            <v>COMPTON COMMUNITY COLLEGE DISTRICT</v>
          </cell>
        </row>
        <row r="13">
          <cell r="A13" t="str">
            <v>CONTRA COSTA COMMUNITY COLLEGE DISTRICT</v>
          </cell>
        </row>
        <row r="14">
          <cell r="A14" t="str">
            <v>COPPER MT. COMMUNITY COLLEGE DISTRICT</v>
          </cell>
        </row>
        <row r="15">
          <cell r="A15" t="str">
            <v>DESERT COMMUNITY COLLEGE DISTRICT</v>
          </cell>
        </row>
        <row r="16">
          <cell r="A16" t="str">
            <v>EL CAMINO COMMUNITY COLLEGE DISTRICT</v>
          </cell>
        </row>
        <row r="17">
          <cell r="A17" t="str">
            <v>FEATHER RIVER COMMUNITY COLLEGE DISTRICT</v>
          </cell>
        </row>
        <row r="18">
          <cell r="A18" t="str">
            <v>FOOTHILL-DEANZA COMMUNITY COLLEGE DISTRICT</v>
          </cell>
        </row>
        <row r="19">
          <cell r="A19" t="str">
            <v>GAVILAN COMMUNITY COLLEGE DISTRICT</v>
          </cell>
        </row>
        <row r="20">
          <cell r="A20" t="str">
            <v>GLENDALE COMMUNITY COLLEGE DISTRICT</v>
          </cell>
        </row>
        <row r="21">
          <cell r="A21" t="str">
            <v>GROSSMONT-CUYAMACA COMMUNITY COLLEGE DISTRICT</v>
          </cell>
        </row>
        <row r="22">
          <cell r="A22" t="str">
            <v>HARTNELL COMMUNITY COLLEGE DISTRICT</v>
          </cell>
        </row>
        <row r="23">
          <cell r="A23" t="str">
            <v>IMPERIAL COMMUNITY COLLEGE DISTRICT</v>
          </cell>
        </row>
        <row r="24">
          <cell r="A24" t="str">
            <v>KERN COMMUNITY COLLEGE DISTRICT</v>
          </cell>
        </row>
        <row r="25">
          <cell r="A25" t="str">
            <v>LAKE TAHOE COMMUNITY COLLEGE DISTRICT</v>
          </cell>
        </row>
        <row r="26">
          <cell r="A26" t="str">
            <v>LASSEN COMMUNITY COLLEGE DISTRICT</v>
          </cell>
        </row>
        <row r="27">
          <cell r="A27" t="str">
            <v>LONG BEACH COMMUNITY COLLEGE DISTRICT</v>
          </cell>
        </row>
        <row r="28">
          <cell r="A28" t="str">
            <v>LOS ANGELES COMMUNITY COLLEGE DISTRICT</v>
          </cell>
        </row>
        <row r="29">
          <cell r="A29" t="str">
            <v>LOS RIOS COMMUNITY COLLEGE DISTRICT</v>
          </cell>
        </row>
        <row r="30">
          <cell r="A30" t="str">
            <v>MARIN COMMUNITY COLLEGE DISTRICT</v>
          </cell>
        </row>
        <row r="31">
          <cell r="A31" t="str">
            <v>MENDOCINO-LAKE COMMUNITY COLLEGE DISTRICT</v>
          </cell>
        </row>
        <row r="32">
          <cell r="A32" t="str">
            <v>MERCED COMMUNITY COLLEGE DISTRICT</v>
          </cell>
        </row>
        <row r="33">
          <cell r="A33" t="str">
            <v>MIRACOSTA COMMUNITY COLLEGE DISTRICT</v>
          </cell>
        </row>
        <row r="34">
          <cell r="A34" t="str">
            <v>MONTEREY PENINSULA COMMUNITY COLLEGE DISTRICT</v>
          </cell>
        </row>
        <row r="35">
          <cell r="A35" t="str">
            <v>MT. SAN ANTONIO COMMUNITY COLLEGE DISTRICT</v>
          </cell>
        </row>
        <row r="36">
          <cell r="A36" t="str">
            <v>MT. SAN JACINTO COMMUNITY COLLEGE DISTRICT</v>
          </cell>
        </row>
        <row r="37">
          <cell r="A37" t="str">
            <v>NAPA VALLEY COMMUNITY COLLEGE DISTRICT</v>
          </cell>
        </row>
        <row r="38">
          <cell r="A38" t="str">
            <v>NORTH ORANGE COUNTY COMMUNITY COLLEGE DISTRICT</v>
          </cell>
        </row>
        <row r="39">
          <cell r="A39" t="str">
            <v>OHLONE COMMUNITY COLLEGE DISTRICT</v>
          </cell>
        </row>
        <row r="40">
          <cell r="A40" t="str">
            <v>PALO VERDE COMMUNITY COLLEGE DISTRICT</v>
          </cell>
        </row>
        <row r="41">
          <cell r="A41" t="str">
            <v>PALOMAR COMMUNITY COLLEGE DISTRICT</v>
          </cell>
        </row>
        <row r="42">
          <cell r="A42" t="str">
            <v>PASADENA AREA COMMUNITY COLLEGE DISTRICT</v>
          </cell>
        </row>
        <row r="43">
          <cell r="A43" t="str">
            <v>PERALTA COMMUNITY COLLEGE DISTRICT</v>
          </cell>
        </row>
        <row r="44">
          <cell r="A44" t="str">
            <v>RANCHO SANTIAGO COMMUNITY COLLEGE DISTRICT</v>
          </cell>
        </row>
        <row r="45">
          <cell r="A45" t="str">
            <v>REDWOODS COMMUNITY COLLEGE DISTRICT</v>
          </cell>
        </row>
        <row r="46">
          <cell r="A46" t="str">
            <v>RIO HONDO COMMUNITY COLLEGE DISTRICT</v>
          </cell>
        </row>
        <row r="47">
          <cell r="A47" t="str">
            <v>RIVERSIDE COMMUNITY COLLEGE DISTRICT</v>
          </cell>
        </row>
        <row r="48">
          <cell r="A48" t="str">
            <v>SAN BERNARDINO COMMUNITY COLLEGE DISTRICT</v>
          </cell>
        </row>
        <row r="49">
          <cell r="A49" t="str">
            <v>SAN DIEGO COMMUNITY COLLEGE DISTRICT</v>
          </cell>
        </row>
        <row r="50">
          <cell r="A50" t="str">
            <v>SAN FRANCISCO COMMUNITY COLLEGE DISTRICT</v>
          </cell>
        </row>
        <row r="51">
          <cell r="A51" t="str">
            <v>SAN JOAQUIN DELTA COMMUNITY COLLEGE DISTRICT</v>
          </cell>
        </row>
        <row r="52">
          <cell r="A52" t="str">
            <v>SAN JOSE-EVERGREEN COMMUNITY COLLEGE DISTRICT</v>
          </cell>
        </row>
        <row r="53">
          <cell r="A53" t="str">
            <v>SAN LUIS OBISPO COMMUNITY COLLEGE DISTRICT</v>
          </cell>
        </row>
        <row r="54">
          <cell r="A54" t="str">
            <v>SAN MATEO COMMUNITY COLLEGE DISTRICT</v>
          </cell>
        </row>
        <row r="55">
          <cell r="A55" t="str">
            <v>SANTA BARBARA COMMUNITY COLLEGE DISTRICT</v>
          </cell>
        </row>
        <row r="56">
          <cell r="A56" t="str">
            <v>SANTA CLARITA COMMUNITY COLLEGE DISTRICT</v>
          </cell>
        </row>
        <row r="57">
          <cell r="A57" t="str">
            <v>SANTA MONICA COMMUNITY COLLEGE DISTRICT</v>
          </cell>
        </row>
        <row r="58">
          <cell r="A58" t="str">
            <v>SEQUOIAS COMMUNITY COLLEGE DISTRICT</v>
          </cell>
        </row>
        <row r="59">
          <cell r="A59" t="str">
            <v>SHASTA-TEHAMA-TRINITY COMMUNITY COLLEGE DISTRICT</v>
          </cell>
        </row>
        <row r="60">
          <cell r="A60" t="str">
            <v>SIERRA COMMUNITY COLLEGE DISTRICT</v>
          </cell>
        </row>
        <row r="61">
          <cell r="A61" t="str">
            <v>SISKIYOU COMMUNITY COLLEGE DISTRICT</v>
          </cell>
        </row>
        <row r="62">
          <cell r="A62" t="str">
            <v>SOLANO COMMUNITY COLLEGE DISTRICT</v>
          </cell>
        </row>
        <row r="63">
          <cell r="A63" t="str">
            <v>SONOMA COMMUNITY COLLEGE DISTRICT</v>
          </cell>
        </row>
        <row r="64">
          <cell r="A64" t="str">
            <v>SOUTH ORANGE COMMUNITY COLLEGE DISTRICT</v>
          </cell>
        </row>
        <row r="65">
          <cell r="A65" t="str">
            <v>SOUTHWESTERN COMMUNITY COLLEGE DISTRICT</v>
          </cell>
        </row>
        <row r="66">
          <cell r="A66" t="str">
            <v>STATE CENTER COMMUNITY COLLEGE DISTRICT</v>
          </cell>
        </row>
        <row r="67">
          <cell r="A67" t="str">
            <v>VENTURA COMMUNITY COLLEGE DISTRICT</v>
          </cell>
        </row>
        <row r="68">
          <cell r="A68" t="str">
            <v>VICTOR VALLEY COMMUNITY COLLEGE DISTRICT</v>
          </cell>
        </row>
        <row r="69">
          <cell r="A69" t="str">
            <v>WEST HILLS COMMUNITY COLLEGE DISTRICT</v>
          </cell>
        </row>
        <row r="70">
          <cell r="A70" t="str">
            <v>WEST KERN COMMUNITY COLLEGE DISTRICT</v>
          </cell>
        </row>
        <row r="71">
          <cell r="A71" t="str">
            <v>WEST VALLEY-MISSION COMMUNITY COLLEGE DISTRICT</v>
          </cell>
        </row>
        <row r="72">
          <cell r="A72" t="str">
            <v>YOSEMITE COMMUNITY COLLEGE DISTRICT</v>
          </cell>
        </row>
        <row r="73">
          <cell r="A73" t="str">
            <v>YUBA COMMUNITY COLLEGE DISTRICT</v>
          </cell>
        </row>
      </sheetData>
      <sheetData sheetId="2"/>
      <sheetData sheetId="3">
        <row r="5">
          <cell r="B5">
            <v>2019</v>
          </cell>
        </row>
        <row r="6">
          <cell r="B6">
            <v>2199</v>
          </cell>
        </row>
        <row r="7">
          <cell r="B7">
            <v>303</v>
          </cell>
        </row>
        <row r="8">
          <cell r="B8">
            <v>1953</v>
          </cell>
        </row>
        <row r="9">
          <cell r="B9">
            <v>1531</v>
          </cell>
        </row>
        <row r="10">
          <cell r="B10">
            <v>2129</v>
          </cell>
        </row>
        <row r="11">
          <cell r="B11">
            <v>1866</v>
          </cell>
        </row>
        <row r="12">
          <cell r="B12">
            <v>3025</v>
          </cell>
        </row>
        <row r="13">
          <cell r="B13">
            <v>3605</v>
          </cell>
        </row>
        <row r="14">
          <cell r="B14">
            <v>8751</v>
          </cell>
        </row>
        <row r="15">
          <cell r="B15">
            <v>420</v>
          </cell>
        </row>
        <row r="16">
          <cell r="B16">
            <v>4866</v>
          </cell>
        </row>
        <row r="17">
          <cell r="B17">
            <v>257</v>
          </cell>
        </row>
        <row r="18">
          <cell r="B18">
            <v>1208</v>
          </cell>
        </row>
        <row r="19">
          <cell r="B19">
            <v>2387</v>
          </cell>
        </row>
        <row r="20">
          <cell r="B20">
            <v>178</v>
          </cell>
        </row>
        <row r="21">
          <cell r="B21">
            <v>3825</v>
          </cell>
        </row>
        <row r="22">
          <cell r="B22">
            <v>845</v>
          </cell>
        </row>
        <row r="23">
          <cell r="B23">
            <v>1089</v>
          </cell>
        </row>
        <row r="24">
          <cell r="B24">
            <v>3991</v>
          </cell>
        </row>
        <row r="25">
          <cell r="B25">
            <v>1305</v>
          </cell>
        </row>
        <row r="26">
          <cell r="B26">
            <v>1629</v>
          </cell>
        </row>
        <row r="27">
          <cell r="B27">
            <v>2263</v>
          </cell>
        </row>
        <row r="28">
          <cell r="B28">
            <v>206</v>
          </cell>
        </row>
        <row r="29">
          <cell r="B29">
            <v>332</v>
          </cell>
        </row>
        <row r="30">
          <cell r="B30">
            <v>1325</v>
          </cell>
        </row>
        <row r="31">
          <cell r="B31">
            <v>13337</v>
          </cell>
        </row>
        <row r="32">
          <cell r="B32">
            <v>7876</v>
          </cell>
        </row>
        <row r="33">
          <cell r="B33">
            <v>363</v>
          </cell>
        </row>
        <row r="34">
          <cell r="B34">
            <v>382</v>
          </cell>
        </row>
        <row r="35">
          <cell r="B35">
            <v>1062</v>
          </cell>
        </row>
        <row r="36">
          <cell r="B36">
            <v>2324</v>
          </cell>
        </row>
        <row r="37">
          <cell r="B37">
            <v>665</v>
          </cell>
        </row>
        <row r="38">
          <cell r="B38">
            <v>4106</v>
          </cell>
        </row>
        <row r="39">
          <cell r="B39">
            <v>1867</v>
          </cell>
        </row>
        <row r="40">
          <cell r="B40">
            <v>872</v>
          </cell>
        </row>
        <row r="41">
          <cell r="B41">
            <v>4046</v>
          </cell>
        </row>
        <row r="42">
          <cell r="B42">
            <v>1009</v>
          </cell>
        </row>
        <row r="43">
          <cell r="B43">
            <v>195</v>
          </cell>
        </row>
        <row r="44">
          <cell r="B44">
            <v>3728</v>
          </cell>
        </row>
        <row r="45">
          <cell r="B45">
            <v>3914</v>
          </cell>
        </row>
        <row r="46">
          <cell r="B46">
            <v>2338</v>
          </cell>
        </row>
        <row r="47">
          <cell r="B47">
            <v>8730</v>
          </cell>
        </row>
        <row r="48">
          <cell r="B48">
            <v>615</v>
          </cell>
        </row>
        <row r="49">
          <cell r="B49">
            <v>1388</v>
          </cell>
        </row>
        <row r="50">
          <cell r="B50">
            <v>3825</v>
          </cell>
        </row>
        <row r="51">
          <cell r="B51">
            <v>1957</v>
          </cell>
        </row>
        <row r="52">
          <cell r="B52">
            <v>11552</v>
          </cell>
        </row>
        <row r="53">
          <cell r="B53">
            <v>3090</v>
          </cell>
        </row>
        <row r="54">
          <cell r="B54">
            <v>2817</v>
          </cell>
        </row>
        <row r="55">
          <cell r="B55">
            <v>1580</v>
          </cell>
        </row>
        <row r="56">
          <cell r="B56">
            <v>1157</v>
          </cell>
        </row>
        <row r="57">
          <cell r="B57">
            <v>3445</v>
          </cell>
        </row>
        <row r="58">
          <cell r="B58">
            <v>3082</v>
          </cell>
        </row>
        <row r="59">
          <cell r="B59">
            <v>2016</v>
          </cell>
        </row>
        <row r="60">
          <cell r="B60">
            <v>3737</v>
          </cell>
        </row>
        <row r="61">
          <cell r="B61">
            <v>1415</v>
          </cell>
        </row>
        <row r="62">
          <cell r="B62">
            <v>1068</v>
          </cell>
        </row>
        <row r="63">
          <cell r="B63">
            <v>2767</v>
          </cell>
        </row>
        <row r="64">
          <cell r="B64">
            <v>277</v>
          </cell>
        </row>
        <row r="65">
          <cell r="B65">
            <v>1602</v>
          </cell>
        </row>
        <row r="66">
          <cell r="B66">
            <v>2640</v>
          </cell>
        </row>
        <row r="67">
          <cell r="B67">
            <v>5494</v>
          </cell>
        </row>
        <row r="68">
          <cell r="B68">
            <v>1683</v>
          </cell>
        </row>
        <row r="69">
          <cell r="B69">
            <v>3446</v>
          </cell>
        </row>
        <row r="70">
          <cell r="B70">
            <v>4664</v>
          </cell>
        </row>
        <row r="71">
          <cell r="B71">
            <v>1055</v>
          </cell>
        </row>
        <row r="72">
          <cell r="B72">
            <v>1085</v>
          </cell>
        </row>
        <row r="73">
          <cell r="B73">
            <v>409</v>
          </cell>
        </row>
        <row r="74">
          <cell r="B74">
            <v>1662</v>
          </cell>
        </row>
        <row r="75">
          <cell r="B75">
            <v>2239</v>
          </cell>
        </row>
        <row r="76">
          <cell r="B76">
            <v>1076</v>
          </cell>
        </row>
      </sheetData>
      <sheetData sheetId="4">
        <row r="5">
          <cell r="B5">
            <v>1888</v>
          </cell>
        </row>
        <row r="6">
          <cell r="B6">
            <v>2491</v>
          </cell>
        </row>
        <row r="7">
          <cell r="B7">
            <v>337</v>
          </cell>
        </row>
        <row r="8">
          <cell r="B8">
            <v>2753</v>
          </cell>
        </row>
        <row r="9">
          <cell r="B9">
            <v>1809</v>
          </cell>
        </row>
        <row r="10">
          <cell r="B10">
            <v>2496</v>
          </cell>
        </row>
        <row r="11">
          <cell r="B11">
            <v>1880</v>
          </cell>
        </row>
        <row r="12">
          <cell r="B12">
            <v>3676</v>
          </cell>
        </row>
        <row r="13">
          <cell r="B13">
            <v>4324</v>
          </cell>
        </row>
        <row r="14">
          <cell r="B14">
            <v>9634</v>
          </cell>
        </row>
        <row r="15">
          <cell r="B15">
            <v>565</v>
          </cell>
        </row>
        <row r="16">
          <cell r="B16">
            <v>6089</v>
          </cell>
        </row>
        <row r="17">
          <cell r="B17">
            <v>332</v>
          </cell>
        </row>
        <row r="18">
          <cell r="B18">
            <v>1157</v>
          </cell>
        </row>
        <row r="19">
          <cell r="B19">
            <v>2937</v>
          </cell>
        </row>
        <row r="20">
          <cell r="B20">
            <v>219</v>
          </cell>
        </row>
        <row r="21">
          <cell r="B21">
            <v>4129</v>
          </cell>
        </row>
        <row r="22">
          <cell r="B22">
            <v>972</v>
          </cell>
        </row>
        <row r="23">
          <cell r="B23">
            <v>1204</v>
          </cell>
        </row>
        <row r="24">
          <cell r="B24">
            <v>4114</v>
          </cell>
        </row>
        <row r="25">
          <cell r="B25">
            <v>1642</v>
          </cell>
        </row>
        <row r="26">
          <cell r="B26">
            <v>1699</v>
          </cell>
        </row>
        <row r="27">
          <cell r="B27">
            <v>3263</v>
          </cell>
        </row>
        <row r="28">
          <cell r="B28">
            <v>242</v>
          </cell>
        </row>
        <row r="29">
          <cell r="B29">
            <v>352</v>
          </cell>
        </row>
        <row r="30">
          <cell r="B30">
            <v>1841</v>
          </cell>
        </row>
        <row r="31">
          <cell r="B31">
            <v>20227</v>
          </cell>
        </row>
        <row r="32">
          <cell r="B32">
            <v>10889</v>
          </cell>
        </row>
        <row r="33">
          <cell r="B33">
            <v>418</v>
          </cell>
        </row>
        <row r="34">
          <cell r="B34">
            <v>388</v>
          </cell>
        </row>
        <row r="35">
          <cell r="B35">
            <v>1401</v>
          </cell>
        </row>
        <row r="36">
          <cell r="B36">
            <v>3307</v>
          </cell>
        </row>
        <row r="37">
          <cell r="B37">
            <v>537</v>
          </cell>
        </row>
        <row r="38">
          <cell r="B38">
            <v>4806</v>
          </cell>
        </row>
        <row r="39">
          <cell r="B39">
            <v>2044</v>
          </cell>
        </row>
        <row r="40">
          <cell r="B40">
            <v>1014</v>
          </cell>
        </row>
        <row r="41">
          <cell r="B41">
            <v>4653</v>
          </cell>
        </row>
        <row r="42">
          <cell r="B42">
            <v>1444</v>
          </cell>
        </row>
        <row r="43">
          <cell r="B43">
            <v>445</v>
          </cell>
        </row>
        <row r="44">
          <cell r="B44">
            <v>4347</v>
          </cell>
        </row>
        <row r="45">
          <cell r="B45">
            <v>4637</v>
          </cell>
        </row>
        <row r="46">
          <cell r="B46">
            <v>3107</v>
          </cell>
        </row>
        <row r="47">
          <cell r="B47">
            <v>8834</v>
          </cell>
        </row>
        <row r="48">
          <cell r="B48">
            <v>964</v>
          </cell>
        </row>
        <row r="49">
          <cell r="B49">
            <v>1746</v>
          </cell>
        </row>
        <row r="50">
          <cell r="B50">
            <v>4679</v>
          </cell>
        </row>
        <row r="51">
          <cell r="B51">
            <v>2404</v>
          </cell>
        </row>
        <row r="52">
          <cell r="B52">
            <v>14339</v>
          </cell>
        </row>
        <row r="53">
          <cell r="B53">
            <v>3433</v>
          </cell>
        </row>
        <row r="54">
          <cell r="B54">
            <v>2947</v>
          </cell>
        </row>
        <row r="55">
          <cell r="B55">
            <v>1662</v>
          </cell>
        </row>
        <row r="56">
          <cell r="B56">
            <v>1315</v>
          </cell>
        </row>
        <row r="57">
          <cell r="B57">
            <v>3771</v>
          </cell>
        </row>
        <row r="58">
          <cell r="B58">
            <v>3732</v>
          </cell>
        </row>
        <row r="59">
          <cell r="B59">
            <v>3298</v>
          </cell>
        </row>
        <row r="60">
          <cell r="B60">
            <v>4861</v>
          </cell>
        </row>
        <row r="61">
          <cell r="B61">
            <v>2083</v>
          </cell>
        </row>
        <row r="62">
          <cell r="B62">
            <v>1221</v>
          </cell>
        </row>
        <row r="63">
          <cell r="B63">
            <v>3126</v>
          </cell>
        </row>
        <row r="64">
          <cell r="B64">
            <v>258</v>
          </cell>
        </row>
        <row r="65">
          <cell r="B65">
            <v>1587</v>
          </cell>
        </row>
        <row r="66">
          <cell r="B66">
            <v>5415</v>
          </cell>
        </row>
        <row r="67">
          <cell r="B67">
            <v>6256</v>
          </cell>
        </row>
        <row r="68">
          <cell r="B68">
            <v>2550</v>
          </cell>
        </row>
        <row r="69">
          <cell r="B69">
            <v>3511</v>
          </cell>
        </row>
        <row r="70">
          <cell r="B70">
            <v>6255</v>
          </cell>
        </row>
        <row r="71">
          <cell r="B71">
            <v>1182</v>
          </cell>
        </row>
        <row r="72">
          <cell r="B72">
            <v>1437</v>
          </cell>
        </row>
        <row r="73">
          <cell r="B73">
            <v>495</v>
          </cell>
        </row>
        <row r="74">
          <cell r="B74">
            <v>1600</v>
          </cell>
        </row>
        <row r="75">
          <cell r="B75">
            <v>2659</v>
          </cell>
        </row>
        <row r="76">
          <cell r="B76">
            <v>1236</v>
          </cell>
        </row>
      </sheetData>
      <sheetData sheetId="5"/>
      <sheetData sheetId="6">
        <row r="5">
          <cell r="B5">
            <v>9518</v>
          </cell>
        </row>
        <row r="6">
          <cell r="B6">
            <v>14631</v>
          </cell>
        </row>
        <row r="7">
          <cell r="B7">
            <v>3865</v>
          </cell>
        </row>
        <row r="8">
          <cell r="B8">
            <v>10279</v>
          </cell>
        </row>
        <row r="9">
          <cell r="B9">
            <v>8654</v>
          </cell>
        </row>
        <row r="10">
          <cell r="B10">
            <v>20719</v>
          </cell>
        </row>
        <row r="11">
          <cell r="B11">
            <v>12619</v>
          </cell>
        </row>
        <row r="12">
          <cell r="B12">
            <v>17401</v>
          </cell>
        </row>
        <row r="13">
          <cell r="B13">
            <v>11063</v>
          </cell>
        </row>
        <row r="14">
          <cell r="B14">
            <v>33554</v>
          </cell>
        </row>
        <row r="15">
          <cell r="B15">
            <v>5305</v>
          </cell>
        </row>
        <row r="16">
          <cell r="B16">
            <v>19264</v>
          </cell>
        </row>
        <row r="17">
          <cell r="B17">
            <v>1837</v>
          </cell>
        </row>
        <row r="18">
          <cell r="B18">
            <v>8881</v>
          </cell>
        </row>
        <row r="19">
          <cell r="B19">
            <v>17737</v>
          </cell>
        </row>
        <row r="20">
          <cell r="B20">
            <v>1511</v>
          </cell>
        </row>
        <row r="21">
          <cell r="B21">
            <v>18017</v>
          </cell>
        </row>
        <row r="22">
          <cell r="B22">
            <v>3601</v>
          </cell>
        </row>
        <row r="23">
          <cell r="B23">
            <v>12244</v>
          </cell>
        </row>
        <row r="24">
          <cell r="B24">
            <v>19998</v>
          </cell>
        </row>
        <row r="25">
          <cell r="B25">
            <v>7864</v>
          </cell>
        </row>
        <row r="26">
          <cell r="B26">
            <v>7809</v>
          </cell>
        </row>
        <row r="27">
          <cell r="B27">
            <v>21631</v>
          </cell>
        </row>
        <row r="28">
          <cell r="B28">
            <v>1997</v>
          </cell>
        </row>
        <row r="29">
          <cell r="B29">
            <v>2986</v>
          </cell>
        </row>
        <row r="30">
          <cell r="B30">
            <v>22112</v>
          </cell>
        </row>
        <row r="31">
          <cell r="B31">
            <v>112494</v>
          </cell>
        </row>
        <row r="32">
          <cell r="B32">
            <v>61415</v>
          </cell>
        </row>
        <row r="33">
          <cell r="B33">
            <v>3194</v>
          </cell>
        </row>
        <row r="34">
          <cell r="B34">
            <v>3402</v>
          </cell>
        </row>
        <row r="35">
          <cell r="B35">
            <v>9490</v>
          </cell>
        </row>
        <row r="36">
          <cell r="B36">
            <v>9754</v>
          </cell>
        </row>
        <row r="37">
          <cell r="B37">
            <v>4117</v>
          </cell>
        </row>
        <row r="38">
          <cell r="B38">
            <v>26194</v>
          </cell>
        </row>
        <row r="39">
          <cell r="B39">
            <v>13918</v>
          </cell>
        </row>
        <row r="40">
          <cell r="B40">
            <v>4796</v>
          </cell>
        </row>
        <row r="41">
          <cell r="B41">
            <v>29733</v>
          </cell>
        </row>
        <row r="42">
          <cell r="B42">
            <v>4637</v>
          </cell>
        </row>
        <row r="43">
          <cell r="B43">
            <v>2264</v>
          </cell>
        </row>
        <row r="44">
          <cell r="B44">
            <v>14724</v>
          </cell>
        </row>
        <row r="45">
          <cell r="B45">
            <v>21670</v>
          </cell>
        </row>
        <row r="46">
          <cell r="B46">
            <v>18984</v>
          </cell>
        </row>
        <row r="47">
          <cell r="B47">
            <v>19771</v>
          </cell>
        </row>
        <row r="48">
          <cell r="B48">
            <v>4116</v>
          </cell>
        </row>
        <row r="49">
          <cell r="B49">
            <v>12335</v>
          </cell>
        </row>
        <row r="50">
          <cell r="B50">
            <v>29524</v>
          </cell>
        </row>
        <row r="51">
          <cell r="B51">
            <v>17330</v>
          </cell>
        </row>
        <row r="52">
          <cell r="B52">
            <v>35407</v>
          </cell>
        </row>
        <row r="53">
          <cell r="B53">
            <v>16235</v>
          </cell>
        </row>
        <row r="54">
          <cell r="B54">
            <v>18586</v>
          </cell>
        </row>
        <row r="55">
          <cell r="B55">
            <v>12796</v>
          </cell>
        </row>
        <row r="56">
          <cell r="B56">
            <v>5622</v>
          </cell>
        </row>
        <row r="57">
          <cell r="B57">
            <v>15154</v>
          </cell>
        </row>
        <row r="58">
          <cell r="B58">
            <v>11257</v>
          </cell>
        </row>
        <row r="59">
          <cell r="B59">
            <v>10052</v>
          </cell>
        </row>
        <row r="60">
          <cell r="B60">
            <v>21870</v>
          </cell>
        </row>
        <row r="61">
          <cell r="B61">
            <v>10276</v>
          </cell>
        </row>
        <row r="62">
          <cell r="B62">
            <v>6496</v>
          </cell>
        </row>
        <row r="63">
          <cell r="B63">
            <v>13661</v>
          </cell>
        </row>
        <row r="64">
          <cell r="B64">
            <v>1483</v>
          </cell>
        </row>
        <row r="65">
          <cell r="B65">
            <v>7219</v>
          </cell>
        </row>
        <row r="66">
          <cell r="B66">
            <v>12517</v>
          </cell>
        </row>
        <row r="67">
          <cell r="B67">
            <v>16459</v>
          </cell>
        </row>
        <row r="68">
          <cell r="B68">
            <v>16827</v>
          </cell>
        </row>
        <row r="69">
          <cell r="B69">
            <v>32348</v>
          </cell>
        </row>
        <row r="70">
          <cell r="B70">
            <v>22899</v>
          </cell>
        </row>
        <row r="71">
          <cell r="B71">
            <v>12234</v>
          </cell>
        </row>
        <row r="72">
          <cell r="B72">
            <v>5714</v>
          </cell>
        </row>
        <row r="73">
          <cell r="B73">
            <v>2741</v>
          </cell>
        </row>
        <row r="74">
          <cell r="B74">
            <v>9021</v>
          </cell>
        </row>
        <row r="75">
          <cell r="B75">
            <v>18318</v>
          </cell>
        </row>
        <row r="76">
          <cell r="B76">
            <v>8940</v>
          </cell>
        </row>
      </sheetData>
      <sheetData sheetId="7">
        <row r="5">
          <cell r="B5">
            <v>9416</v>
          </cell>
        </row>
        <row r="6">
          <cell r="B6">
            <v>14343</v>
          </cell>
        </row>
        <row r="7">
          <cell r="B7">
            <v>3495</v>
          </cell>
        </row>
        <row r="8">
          <cell r="B8">
            <v>9549</v>
          </cell>
        </row>
        <row r="9">
          <cell r="B9">
            <v>7685</v>
          </cell>
        </row>
        <row r="10">
          <cell r="B10">
            <v>20129</v>
          </cell>
        </row>
        <row r="11">
          <cell r="B11">
            <v>12480</v>
          </cell>
        </row>
        <row r="12">
          <cell r="B12">
            <v>18398</v>
          </cell>
        </row>
        <row r="13">
          <cell r="B13">
            <v>11343</v>
          </cell>
        </row>
        <row r="14">
          <cell r="B14">
            <v>33899</v>
          </cell>
        </row>
        <row r="15">
          <cell r="B15">
            <v>5508</v>
          </cell>
        </row>
        <row r="16">
          <cell r="B16">
            <v>19538</v>
          </cell>
        </row>
        <row r="17">
          <cell r="B17">
            <v>1921</v>
          </cell>
        </row>
        <row r="18">
          <cell r="B18">
            <v>9340</v>
          </cell>
        </row>
        <row r="19">
          <cell r="B19">
            <v>17951</v>
          </cell>
        </row>
        <row r="20">
          <cell r="B20">
            <v>1645</v>
          </cell>
        </row>
        <row r="21">
          <cell r="B21">
            <v>17354</v>
          </cell>
        </row>
        <row r="22">
          <cell r="B22">
            <v>3582</v>
          </cell>
        </row>
        <row r="23">
          <cell r="B23">
            <v>13000</v>
          </cell>
        </row>
        <row r="24">
          <cell r="B24">
            <v>19896</v>
          </cell>
        </row>
        <row r="25">
          <cell r="B25">
            <v>7821</v>
          </cell>
        </row>
        <row r="26">
          <cell r="B26">
            <v>7905</v>
          </cell>
        </row>
        <row r="27">
          <cell r="B27">
            <v>18763</v>
          </cell>
        </row>
        <row r="28">
          <cell r="B28">
            <v>2093</v>
          </cell>
        </row>
        <row r="29">
          <cell r="B29">
            <v>2610</v>
          </cell>
        </row>
        <row r="30">
          <cell r="B30">
            <v>21285</v>
          </cell>
        </row>
        <row r="31">
          <cell r="B31">
            <v>109566</v>
          </cell>
        </row>
        <row r="32">
          <cell r="B32">
            <v>59418</v>
          </cell>
        </row>
        <row r="33">
          <cell r="B33">
            <v>2602</v>
          </cell>
        </row>
        <row r="34">
          <cell r="B34">
            <v>3369</v>
          </cell>
        </row>
        <row r="35">
          <cell r="B35">
            <v>9558</v>
          </cell>
        </row>
        <row r="36">
          <cell r="B36">
            <v>9941</v>
          </cell>
        </row>
        <row r="37">
          <cell r="B37">
            <v>4062</v>
          </cell>
        </row>
        <row r="38">
          <cell r="B38">
            <v>25905</v>
          </cell>
        </row>
        <row r="39">
          <cell r="B39">
            <v>14276</v>
          </cell>
        </row>
        <row r="40">
          <cell r="B40">
            <v>4608</v>
          </cell>
        </row>
        <row r="41">
          <cell r="B41">
            <v>29492</v>
          </cell>
        </row>
        <row r="42">
          <cell r="B42">
            <v>4391</v>
          </cell>
        </row>
        <row r="43">
          <cell r="B43">
            <v>2497</v>
          </cell>
        </row>
        <row r="44">
          <cell r="B44">
            <v>14358</v>
          </cell>
        </row>
        <row r="45">
          <cell r="B45">
            <v>20497</v>
          </cell>
        </row>
        <row r="46">
          <cell r="B46">
            <v>17898</v>
          </cell>
        </row>
        <row r="47">
          <cell r="B47">
            <v>19983</v>
          </cell>
        </row>
        <row r="48">
          <cell r="B48">
            <v>3839</v>
          </cell>
        </row>
        <row r="49">
          <cell r="B49">
            <v>11817</v>
          </cell>
        </row>
        <row r="50">
          <cell r="B50">
            <v>29821</v>
          </cell>
        </row>
        <row r="51">
          <cell r="B51">
            <v>17254</v>
          </cell>
        </row>
        <row r="52">
          <cell r="B52">
            <v>34335</v>
          </cell>
        </row>
        <row r="53">
          <cell r="B53">
            <v>15073</v>
          </cell>
        </row>
        <row r="54">
          <cell r="B54">
            <v>17225</v>
          </cell>
        </row>
        <row r="55">
          <cell r="B55">
            <v>12031</v>
          </cell>
        </row>
        <row r="56">
          <cell r="B56">
            <v>5518</v>
          </cell>
        </row>
        <row r="57">
          <cell r="B57">
            <v>13349</v>
          </cell>
        </row>
        <row r="58">
          <cell r="B58">
            <v>10963</v>
          </cell>
        </row>
        <row r="59">
          <cell r="B59">
            <v>11750</v>
          </cell>
        </row>
        <row r="60">
          <cell r="B60">
            <v>21364</v>
          </cell>
        </row>
        <row r="61">
          <cell r="B61">
            <v>10494</v>
          </cell>
        </row>
        <row r="62">
          <cell r="B62">
            <v>6044</v>
          </cell>
        </row>
        <row r="63">
          <cell r="B63">
            <v>12856</v>
          </cell>
        </row>
        <row r="64">
          <cell r="B64">
            <v>1421</v>
          </cell>
        </row>
        <row r="65">
          <cell r="B65">
            <v>7134</v>
          </cell>
        </row>
        <row r="66">
          <cell r="B66">
            <v>12067</v>
          </cell>
        </row>
        <row r="67">
          <cell r="B67">
            <v>16615</v>
          </cell>
        </row>
        <row r="68">
          <cell r="B68">
            <v>16977</v>
          </cell>
        </row>
        <row r="69">
          <cell r="B69">
            <v>32850</v>
          </cell>
        </row>
        <row r="70">
          <cell r="B70">
            <v>23237</v>
          </cell>
        </row>
        <row r="71">
          <cell r="B71">
            <v>12233</v>
          </cell>
        </row>
        <row r="72">
          <cell r="B72">
            <v>5852</v>
          </cell>
        </row>
        <row r="73">
          <cell r="B73">
            <v>2931</v>
          </cell>
        </row>
        <row r="74">
          <cell r="B74">
            <v>8319</v>
          </cell>
        </row>
        <row r="75">
          <cell r="B75">
            <v>18318</v>
          </cell>
        </row>
        <row r="76">
          <cell r="B76">
            <v>8916</v>
          </cell>
        </row>
      </sheetData>
      <sheetData sheetId="8">
        <row r="5">
          <cell r="B5">
            <v>230</v>
          </cell>
        </row>
        <row r="6">
          <cell r="B6">
            <v>223</v>
          </cell>
        </row>
        <row r="7">
          <cell r="B7">
            <v>409</v>
          </cell>
        </row>
        <row r="8">
          <cell r="B8">
            <v>340</v>
          </cell>
        </row>
        <row r="9">
          <cell r="B9">
            <v>45</v>
          </cell>
        </row>
        <row r="10">
          <cell r="B10">
            <v>54</v>
          </cell>
        </row>
        <row r="11">
          <cell r="B11">
            <v>274</v>
          </cell>
        </row>
        <row r="12">
          <cell r="B12">
            <v>292</v>
          </cell>
        </row>
        <row r="13">
          <cell r="B13">
            <v>170</v>
          </cell>
        </row>
        <row r="14">
          <cell r="B14">
            <v>281</v>
          </cell>
        </row>
        <row r="15">
          <cell r="B15">
            <v>618</v>
          </cell>
        </row>
        <row r="16">
          <cell r="B16">
            <v>573</v>
          </cell>
        </row>
        <row r="17">
          <cell r="B17">
            <v>324</v>
          </cell>
        </row>
        <row r="18">
          <cell r="B18">
            <v>372</v>
          </cell>
        </row>
        <row r="19">
          <cell r="B19">
            <v>639</v>
          </cell>
        </row>
        <row r="20">
          <cell r="B20">
            <v>643</v>
          </cell>
        </row>
        <row r="21">
          <cell r="B21">
            <v>720</v>
          </cell>
        </row>
        <row r="22">
          <cell r="B22">
            <v>786</v>
          </cell>
        </row>
        <row r="23">
          <cell r="B23">
            <v>1249</v>
          </cell>
        </row>
        <row r="24">
          <cell r="B24">
            <v>1577</v>
          </cell>
        </row>
        <row r="25">
          <cell r="B25">
            <v>1025</v>
          </cell>
        </row>
        <row r="26">
          <cell r="B26">
            <v>1398</v>
          </cell>
        </row>
        <row r="27">
          <cell r="B27">
            <v>79</v>
          </cell>
        </row>
        <row r="28">
          <cell r="B28">
            <v>43</v>
          </cell>
        </row>
        <row r="29">
          <cell r="B29">
            <v>394</v>
          </cell>
        </row>
        <row r="30">
          <cell r="B30">
            <v>435</v>
          </cell>
        </row>
        <row r="31">
          <cell r="B31">
            <v>4</v>
          </cell>
        </row>
        <row r="32">
          <cell r="B32">
            <v>646</v>
          </cell>
        </row>
        <row r="33">
          <cell r="B33">
            <v>27</v>
          </cell>
        </row>
        <row r="34">
          <cell r="B34">
            <v>25</v>
          </cell>
        </row>
        <row r="35">
          <cell r="B35">
            <v>906</v>
          </cell>
        </row>
        <row r="36">
          <cell r="B36">
            <v>932</v>
          </cell>
        </row>
        <row r="37">
          <cell r="B37">
            <v>167</v>
          </cell>
        </row>
        <row r="38">
          <cell r="B38">
            <v>139</v>
          </cell>
        </row>
        <row r="39">
          <cell r="B39">
            <v>453</v>
          </cell>
        </row>
        <row r="40">
          <cell r="B40">
            <v>409</v>
          </cell>
        </row>
        <row r="41">
          <cell r="B41">
            <v>791</v>
          </cell>
        </row>
        <row r="42">
          <cell r="B42">
            <v>858</v>
          </cell>
        </row>
        <row r="43">
          <cell r="B43">
            <v>320</v>
          </cell>
        </row>
        <row r="44">
          <cell r="B44">
            <v>433</v>
          </cell>
        </row>
        <row r="45">
          <cell r="B45">
            <v>335</v>
          </cell>
        </row>
        <row r="46">
          <cell r="B46">
            <v>357</v>
          </cell>
        </row>
        <row r="47">
          <cell r="B47">
            <v>482</v>
          </cell>
        </row>
        <row r="48">
          <cell r="B48">
            <v>854</v>
          </cell>
        </row>
        <row r="49">
          <cell r="B49">
            <v>63</v>
          </cell>
        </row>
        <row r="50">
          <cell r="B50">
            <v>38</v>
          </cell>
        </row>
        <row r="51">
          <cell r="B51">
            <v>27</v>
          </cell>
        </row>
        <row r="52">
          <cell r="B52">
            <v>42</v>
          </cell>
        </row>
        <row r="53">
          <cell r="B53">
            <v>554</v>
          </cell>
        </row>
        <row r="54">
          <cell r="B54">
            <v>804</v>
          </cell>
        </row>
        <row r="55">
          <cell r="B55">
            <v>1897</v>
          </cell>
        </row>
        <row r="56">
          <cell r="B56">
            <v>2100</v>
          </cell>
        </row>
        <row r="57">
          <cell r="B57">
            <v>1567</v>
          </cell>
        </row>
        <row r="58">
          <cell r="B58">
            <v>1361</v>
          </cell>
        </row>
        <row r="59">
          <cell r="B59">
            <v>70</v>
          </cell>
        </row>
        <row r="60">
          <cell r="B60">
            <v>125</v>
          </cell>
        </row>
        <row r="61">
          <cell r="B61">
            <v>94</v>
          </cell>
        </row>
        <row r="62">
          <cell r="B62">
            <v>77</v>
          </cell>
        </row>
        <row r="63">
          <cell r="B63">
            <v>423</v>
          </cell>
        </row>
        <row r="64">
          <cell r="B64">
            <v>408</v>
          </cell>
        </row>
        <row r="65">
          <cell r="B65">
            <v>299</v>
          </cell>
        </row>
        <row r="66">
          <cell r="B66">
            <v>167</v>
          </cell>
        </row>
        <row r="67">
          <cell r="B67">
            <v>220</v>
          </cell>
        </row>
        <row r="68">
          <cell r="B68">
            <v>218</v>
          </cell>
        </row>
        <row r="69">
          <cell r="B69">
            <v>155</v>
          </cell>
        </row>
        <row r="70">
          <cell r="B70">
            <v>796</v>
          </cell>
        </row>
        <row r="71">
          <cell r="B71">
            <v>406</v>
          </cell>
        </row>
        <row r="72">
          <cell r="B72">
            <v>197</v>
          </cell>
        </row>
        <row r="73">
          <cell r="B73">
            <v>169</v>
          </cell>
        </row>
        <row r="74">
          <cell r="B74">
            <v>198</v>
          </cell>
        </row>
        <row r="75">
          <cell r="B75">
            <v>951</v>
          </cell>
        </row>
        <row r="76">
          <cell r="B76">
            <v>1427</v>
          </cell>
        </row>
      </sheetData>
      <sheetData sheetId="9">
        <row r="5">
          <cell r="B5">
            <v>140</v>
          </cell>
        </row>
        <row r="6">
          <cell r="B6">
            <v>107</v>
          </cell>
        </row>
        <row r="7">
          <cell r="B7">
            <v>10</v>
          </cell>
        </row>
        <row r="8">
          <cell r="B8">
            <v>179</v>
          </cell>
        </row>
        <row r="9">
          <cell r="B9">
            <v>167</v>
          </cell>
        </row>
        <row r="10">
          <cell r="B10">
            <v>347</v>
          </cell>
        </row>
        <row r="11">
          <cell r="B11">
            <v>185</v>
          </cell>
        </row>
        <row r="12">
          <cell r="B12">
            <v>402</v>
          </cell>
        </row>
        <row r="13">
          <cell r="B13">
            <v>500</v>
          </cell>
        </row>
        <row r="14">
          <cell r="B14">
            <v>984</v>
          </cell>
        </row>
        <row r="15">
          <cell r="B15">
            <v>0</v>
          </cell>
        </row>
        <row r="16">
          <cell r="B16">
            <v>798</v>
          </cell>
        </row>
        <row r="17">
          <cell r="B17">
            <v>27</v>
          </cell>
        </row>
        <row r="18">
          <cell r="B18">
            <v>304</v>
          </cell>
        </row>
        <row r="19">
          <cell r="B19">
            <v>177</v>
          </cell>
        </row>
        <row r="20">
          <cell r="B20">
            <v>12</v>
          </cell>
        </row>
        <row r="21">
          <cell r="B21">
            <v>397</v>
          </cell>
        </row>
        <row r="22">
          <cell r="B22">
            <v>58</v>
          </cell>
        </row>
        <row r="23">
          <cell r="B23">
            <v>212</v>
          </cell>
        </row>
        <row r="24">
          <cell r="B24">
            <v>590</v>
          </cell>
        </row>
        <row r="25">
          <cell r="B25">
            <v>193</v>
          </cell>
        </row>
        <row r="26">
          <cell r="B26">
            <v>249</v>
          </cell>
        </row>
        <row r="27">
          <cell r="B27">
            <v>296</v>
          </cell>
        </row>
        <row r="28">
          <cell r="B28">
            <v>38</v>
          </cell>
        </row>
        <row r="29">
          <cell r="B29">
            <v>28</v>
          </cell>
        </row>
        <row r="30">
          <cell r="B30">
            <v>463</v>
          </cell>
        </row>
        <row r="31">
          <cell r="B31">
            <v>645</v>
          </cell>
        </row>
        <row r="32">
          <cell r="B32">
            <v>861</v>
          </cell>
        </row>
        <row r="33">
          <cell r="B33">
            <v>62</v>
          </cell>
        </row>
        <row r="34">
          <cell r="B34">
            <v>74</v>
          </cell>
        </row>
        <row r="35">
          <cell r="B35">
            <v>252</v>
          </cell>
        </row>
        <row r="36">
          <cell r="B36">
            <v>152</v>
          </cell>
        </row>
        <row r="37">
          <cell r="B37">
            <v>175</v>
          </cell>
        </row>
        <row r="38">
          <cell r="B38">
            <v>330</v>
          </cell>
        </row>
        <row r="39">
          <cell r="B39">
            <v>183</v>
          </cell>
        </row>
        <row r="40">
          <cell r="B40">
            <v>75</v>
          </cell>
        </row>
        <row r="41">
          <cell r="B41">
            <v>869</v>
          </cell>
        </row>
        <row r="42">
          <cell r="B42">
            <v>153</v>
          </cell>
        </row>
        <row r="43">
          <cell r="B43">
            <v>1</v>
          </cell>
        </row>
        <row r="44">
          <cell r="B44">
            <v>165</v>
          </cell>
        </row>
        <row r="45">
          <cell r="B45">
            <v>557</v>
          </cell>
        </row>
        <row r="46">
          <cell r="B46">
            <v>202</v>
          </cell>
        </row>
        <row r="47">
          <cell r="B47">
            <v>605</v>
          </cell>
        </row>
        <row r="48">
          <cell r="B48">
            <v>0</v>
          </cell>
        </row>
        <row r="49">
          <cell r="B49">
            <v>298</v>
          </cell>
        </row>
        <row r="50">
          <cell r="B50">
            <v>183</v>
          </cell>
        </row>
        <row r="51">
          <cell r="B51">
            <v>305</v>
          </cell>
        </row>
        <row r="52">
          <cell r="B52">
            <v>1056</v>
          </cell>
        </row>
        <row r="53">
          <cell r="B53">
            <v>199</v>
          </cell>
        </row>
        <row r="54">
          <cell r="B54">
            <v>86</v>
          </cell>
        </row>
        <row r="55">
          <cell r="B55">
            <v>177</v>
          </cell>
        </row>
        <row r="56">
          <cell r="B56">
            <v>321</v>
          </cell>
        </row>
        <row r="57">
          <cell r="B57">
            <v>485</v>
          </cell>
        </row>
        <row r="58">
          <cell r="B58">
            <v>0</v>
          </cell>
        </row>
        <row r="59">
          <cell r="B59">
            <v>291</v>
          </cell>
        </row>
        <row r="60">
          <cell r="B60">
            <v>287</v>
          </cell>
        </row>
        <row r="61">
          <cell r="B61">
            <v>99</v>
          </cell>
        </row>
        <row r="62">
          <cell r="B62">
            <v>141</v>
          </cell>
        </row>
        <row r="63">
          <cell r="B63">
            <v>498</v>
          </cell>
        </row>
        <row r="64">
          <cell r="B64">
            <v>9</v>
          </cell>
        </row>
        <row r="65">
          <cell r="B65">
            <v>39</v>
          </cell>
        </row>
        <row r="66">
          <cell r="B66">
            <v>430</v>
          </cell>
        </row>
        <row r="67">
          <cell r="B67">
            <v>699</v>
          </cell>
        </row>
        <row r="68">
          <cell r="B68">
            <v>407</v>
          </cell>
        </row>
        <row r="69">
          <cell r="B69">
            <v>569</v>
          </cell>
        </row>
        <row r="70">
          <cell r="B70">
            <v>1093</v>
          </cell>
        </row>
        <row r="71">
          <cell r="B71">
            <v>43</v>
          </cell>
        </row>
        <row r="72">
          <cell r="B72">
            <v>26</v>
          </cell>
        </row>
        <row r="73">
          <cell r="B73">
            <v>28</v>
          </cell>
        </row>
        <row r="74">
          <cell r="B74">
            <v>423</v>
          </cell>
        </row>
        <row r="75">
          <cell r="B75">
            <v>270</v>
          </cell>
        </row>
        <row r="76">
          <cell r="B76">
            <v>61</v>
          </cell>
        </row>
      </sheetData>
      <sheetData sheetId="10">
        <row r="5">
          <cell r="B5">
            <v>194</v>
          </cell>
        </row>
        <row r="6">
          <cell r="B6">
            <v>319</v>
          </cell>
        </row>
        <row r="7">
          <cell r="B7">
            <v>20</v>
          </cell>
        </row>
        <row r="8">
          <cell r="B8">
            <v>263</v>
          </cell>
        </row>
        <row r="9">
          <cell r="B9">
            <v>224</v>
          </cell>
        </row>
        <row r="10">
          <cell r="B10">
            <v>546</v>
          </cell>
        </row>
        <row r="11">
          <cell r="B11">
            <v>264</v>
          </cell>
        </row>
        <row r="12">
          <cell r="B12">
            <v>556</v>
          </cell>
        </row>
        <row r="13">
          <cell r="B13">
            <v>703</v>
          </cell>
        </row>
        <row r="14">
          <cell r="B14">
            <v>1253</v>
          </cell>
        </row>
        <row r="15">
          <cell r="B15">
            <v>0</v>
          </cell>
        </row>
        <row r="16">
          <cell r="B16">
            <v>1143</v>
          </cell>
        </row>
        <row r="17">
          <cell r="B17">
            <v>63</v>
          </cell>
        </row>
        <row r="18">
          <cell r="B18">
            <v>353</v>
          </cell>
        </row>
        <row r="19">
          <cell r="B19">
            <v>301</v>
          </cell>
        </row>
        <row r="20">
          <cell r="B20">
            <v>26</v>
          </cell>
        </row>
        <row r="21">
          <cell r="B21">
            <v>768</v>
          </cell>
        </row>
        <row r="22">
          <cell r="B22">
            <v>149</v>
          </cell>
        </row>
        <row r="23">
          <cell r="B23">
            <v>395</v>
          </cell>
        </row>
        <row r="24">
          <cell r="B24">
            <v>729</v>
          </cell>
        </row>
        <row r="25">
          <cell r="B25">
            <v>351</v>
          </cell>
        </row>
        <row r="26">
          <cell r="B26">
            <v>325</v>
          </cell>
        </row>
        <row r="27">
          <cell r="B27">
            <v>555</v>
          </cell>
        </row>
        <row r="28">
          <cell r="B28">
            <v>53</v>
          </cell>
        </row>
        <row r="29">
          <cell r="B29">
            <v>22</v>
          </cell>
        </row>
        <row r="30">
          <cell r="B30">
            <v>576</v>
          </cell>
        </row>
        <row r="31">
          <cell r="B31">
            <v>1531</v>
          </cell>
        </row>
        <row r="32">
          <cell r="B32">
            <v>1327</v>
          </cell>
        </row>
        <row r="33">
          <cell r="B33">
            <v>96</v>
          </cell>
        </row>
        <row r="34">
          <cell r="B34">
            <v>78</v>
          </cell>
        </row>
        <row r="35">
          <cell r="B35">
            <v>390</v>
          </cell>
        </row>
        <row r="36">
          <cell r="B36">
            <v>243</v>
          </cell>
        </row>
        <row r="37">
          <cell r="B37">
            <v>184</v>
          </cell>
        </row>
        <row r="38">
          <cell r="B38">
            <v>427</v>
          </cell>
        </row>
        <row r="39">
          <cell r="B39">
            <v>266</v>
          </cell>
        </row>
        <row r="40">
          <cell r="B40">
            <v>149</v>
          </cell>
        </row>
        <row r="41">
          <cell r="B41">
            <v>1099</v>
          </cell>
        </row>
        <row r="42">
          <cell r="B42">
            <v>206</v>
          </cell>
        </row>
        <row r="43">
          <cell r="B43">
            <v>0</v>
          </cell>
        </row>
        <row r="44">
          <cell r="B44">
            <v>211</v>
          </cell>
        </row>
        <row r="45">
          <cell r="B45">
            <v>800</v>
          </cell>
        </row>
        <row r="46">
          <cell r="B46">
            <v>337</v>
          </cell>
        </row>
        <row r="47">
          <cell r="B47">
            <v>989</v>
          </cell>
        </row>
        <row r="48">
          <cell r="B48">
            <v>0</v>
          </cell>
        </row>
        <row r="49">
          <cell r="B49">
            <v>470</v>
          </cell>
        </row>
        <row r="50">
          <cell r="B50">
            <v>343</v>
          </cell>
        </row>
        <row r="51">
          <cell r="B51">
            <v>379</v>
          </cell>
        </row>
        <row r="52">
          <cell r="B52">
            <v>1008</v>
          </cell>
        </row>
        <row r="53">
          <cell r="B53">
            <v>264</v>
          </cell>
        </row>
        <row r="54">
          <cell r="B54">
            <v>174</v>
          </cell>
        </row>
        <row r="55">
          <cell r="B55">
            <v>342</v>
          </cell>
        </row>
        <row r="56">
          <cell r="B56">
            <v>442</v>
          </cell>
        </row>
        <row r="57">
          <cell r="B57">
            <v>669</v>
          </cell>
        </row>
        <row r="58">
          <cell r="B58">
            <v>0</v>
          </cell>
        </row>
        <row r="59">
          <cell r="B59">
            <v>509</v>
          </cell>
        </row>
        <row r="60">
          <cell r="B60">
            <v>499</v>
          </cell>
        </row>
        <row r="61">
          <cell r="B61">
            <v>161</v>
          </cell>
        </row>
        <row r="62">
          <cell r="B62">
            <v>135</v>
          </cell>
        </row>
        <row r="63">
          <cell r="B63">
            <v>619</v>
          </cell>
        </row>
        <row r="64">
          <cell r="B64">
            <v>11</v>
          </cell>
        </row>
        <row r="65">
          <cell r="B65">
            <v>157</v>
          </cell>
        </row>
        <row r="66">
          <cell r="B66">
            <v>614</v>
          </cell>
        </row>
        <row r="67">
          <cell r="B67">
            <v>964</v>
          </cell>
        </row>
        <row r="68">
          <cell r="B68">
            <v>611</v>
          </cell>
        </row>
        <row r="69">
          <cell r="B69">
            <v>1143</v>
          </cell>
        </row>
        <row r="70">
          <cell r="B70">
            <v>1514</v>
          </cell>
        </row>
        <row r="71">
          <cell r="B71">
            <v>94</v>
          </cell>
        </row>
        <row r="72">
          <cell r="B72">
            <v>119</v>
          </cell>
        </row>
        <row r="73">
          <cell r="B73">
            <v>62</v>
          </cell>
        </row>
        <row r="74">
          <cell r="B74">
            <v>529</v>
          </cell>
        </row>
        <row r="75">
          <cell r="B75">
            <v>447</v>
          </cell>
        </row>
        <row r="76">
          <cell r="B76">
            <v>108</v>
          </cell>
        </row>
      </sheetData>
      <sheetData sheetId="11">
        <row r="2">
          <cell r="D2">
            <v>427</v>
          </cell>
        </row>
        <row r="3">
          <cell r="D3">
            <v>489</v>
          </cell>
        </row>
        <row r="4">
          <cell r="D4">
            <v>114</v>
          </cell>
        </row>
        <row r="5">
          <cell r="D5">
            <v>639</v>
          </cell>
        </row>
        <row r="6">
          <cell r="D6">
            <v>426</v>
          </cell>
        </row>
        <row r="7">
          <cell r="D7">
            <v>666</v>
          </cell>
        </row>
        <row r="8">
          <cell r="D8">
            <v>1073</v>
          </cell>
        </row>
        <row r="9">
          <cell r="D9">
            <v>705</v>
          </cell>
        </row>
        <row r="10">
          <cell r="D10">
            <v>708</v>
          </cell>
        </row>
        <row r="11">
          <cell r="D11">
            <v>1849</v>
          </cell>
        </row>
        <row r="12">
          <cell r="D12">
            <v>182</v>
          </cell>
        </row>
        <row r="13">
          <cell r="D13">
            <v>1913</v>
          </cell>
        </row>
        <row r="14">
          <cell r="D14">
            <v>76</v>
          </cell>
        </row>
        <row r="15">
          <cell r="D15">
            <v>333</v>
          </cell>
        </row>
        <row r="16">
          <cell r="D16">
            <v>1053</v>
          </cell>
        </row>
        <row r="17">
          <cell r="D17">
            <v>92</v>
          </cell>
        </row>
        <row r="18">
          <cell r="D18">
            <v>2135</v>
          </cell>
        </row>
        <row r="19">
          <cell r="D19">
            <v>239</v>
          </cell>
        </row>
        <row r="20">
          <cell r="D20">
            <v>559</v>
          </cell>
        </row>
        <row r="21">
          <cell r="D21">
            <v>1227</v>
          </cell>
        </row>
        <row r="22">
          <cell r="D22">
            <v>357</v>
          </cell>
        </row>
        <row r="23">
          <cell r="D23">
            <v>389</v>
          </cell>
        </row>
        <row r="24">
          <cell r="D24">
            <v>810</v>
          </cell>
        </row>
        <row r="25">
          <cell r="D25">
            <v>58</v>
          </cell>
        </row>
        <row r="26">
          <cell r="D26">
            <v>63</v>
          </cell>
        </row>
        <row r="27">
          <cell r="D27">
            <v>670</v>
          </cell>
        </row>
        <row r="28">
          <cell r="D28">
            <v>3184</v>
          </cell>
        </row>
        <row r="29">
          <cell r="D29">
            <v>2561</v>
          </cell>
        </row>
        <row r="30">
          <cell r="D30">
            <v>133</v>
          </cell>
        </row>
        <row r="31">
          <cell r="D31">
            <v>112</v>
          </cell>
        </row>
        <row r="32">
          <cell r="D32">
            <v>391</v>
          </cell>
        </row>
        <row r="33">
          <cell r="D33">
            <v>749</v>
          </cell>
        </row>
        <row r="34">
          <cell r="D34">
            <v>191</v>
          </cell>
        </row>
        <row r="35">
          <cell r="D35">
            <v>1399</v>
          </cell>
        </row>
        <row r="36">
          <cell r="D36">
            <v>456</v>
          </cell>
        </row>
        <row r="37">
          <cell r="D37">
            <v>299</v>
          </cell>
        </row>
        <row r="38">
          <cell r="D38">
            <v>1672</v>
          </cell>
        </row>
        <row r="39">
          <cell r="D39">
            <v>506</v>
          </cell>
        </row>
        <row r="40">
          <cell r="D40">
            <v>19</v>
          </cell>
        </row>
        <row r="41">
          <cell r="D41">
            <v>1153</v>
          </cell>
        </row>
        <row r="42">
          <cell r="D42">
            <v>1376</v>
          </cell>
        </row>
        <row r="43">
          <cell r="D43">
            <v>710</v>
          </cell>
        </row>
        <row r="44">
          <cell r="D44">
            <v>1191</v>
          </cell>
        </row>
        <row r="45">
          <cell r="D45">
            <v>153</v>
          </cell>
        </row>
        <row r="46">
          <cell r="D46">
            <v>462</v>
          </cell>
        </row>
        <row r="47">
          <cell r="D47">
            <v>1212</v>
          </cell>
        </row>
        <row r="48">
          <cell r="D48">
            <v>552</v>
          </cell>
        </row>
        <row r="49">
          <cell r="D49">
            <v>1720</v>
          </cell>
        </row>
        <row r="50">
          <cell r="D50">
            <v>741</v>
          </cell>
        </row>
        <row r="51">
          <cell r="D51">
            <v>765</v>
          </cell>
        </row>
        <row r="52">
          <cell r="D52">
            <v>584</v>
          </cell>
        </row>
        <row r="53">
          <cell r="D53">
            <v>495</v>
          </cell>
        </row>
        <row r="54">
          <cell r="D54">
            <v>1279</v>
          </cell>
        </row>
        <row r="55">
          <cell r="D55">
            <v>1046</v>
          </cell>
        </row>
        <row r="56">
          <cell r="D56">
            <v>1338</v>
          </cell>
        </row>
        <row r="57">
          <cell r="D57">
            <v>1549</v>
          </cell>
        </row>
        <row r="58">
          <cell r="D58">
            <v>570</v>
          </cell>
        </row>
        <row r="59">
          <cell r="D59">
            <v>484</v>
          </cell>
        </row>
        <row r="60">
          <cell r="D60">
            <v>1093</v>
          </cell>
        </row>
        <row r="61">
          <cell r="D61">
            <v>80</v>
          </cell>
        </row>
        <row r="62">
          <cell r="D62">
            <v>410</v>
          </cell>
        </row>
        <row r="63">
          <cell r="D63">
            <v>933</v>
          </cell>
        </row>
        <row r="64">
          <cell r="D64">
            <v>1884</v>
          </cell>
        </row>
        <row r="65">
          <cell r="D65">
            <v>935</v>
          </cell>
        </row>
        <row r="66">
          <cell r="D66">
            <v>1376</v>
          </cell>
        </row>
        <row r="67">
          <cell r="D67">
            <v>2018</v>
          </cell>
        </row>
        <row r="68">
          <cell r="D68">
            <v>294</v>
          </cell>
        </row>
        <row r="69">
          <cell r="D69">
            <v>380</v>
          </cell>
        </row>
        <row r="70">
          <cell r="D70">
            <v>147</v>
          </cell>
        </row>
        <row r="71">
          <cell r="D71">
            <v>803</v>
          </cell>
        </row>
        <row r="72">
          <cell r="D72">
            <v>714</v>
          </cell>
        </row>
        <row r="73">
          <cell r="D73">
            <v>406</v>
          </cell>
        </row>
      </sheetData>
      <sheetData sheetId="12">
        <row r="2">
          <cell r="D2">
            <v>791</v>
          </cell>
        </row>
        <row r="3">
          <cell r="D3">
            <v>1497</v>
          </cell>
        </row>
        <row r="4">
          <cell r="D4">
            <v>289</v>
          </cell>
        </row>
        <row r="5">
          <cell r="D5">
            <v>1086</v>
          </cell>
        </row>
        <row r="6">
          <cell r="D6">
            <v>627</v>
          </cell>
        </row>
        <row r="7">
          <cell r="D7">
            <v>2104</v>
          </cell>
        </row>
        <row r="8">
          <cell r="D8">
            <v>1080</v>
          </cell>
        </row>
        <row r="9">
          <cell r="D9">
            <v>1951</v>
          </cell>
        </row>
        <row r="10">
          <cell r="D10">
            <v>1066</v>
          </cell>
        </row>
        <row r="11">
          <cell r="D11">
            <v>2571</v>
          </cell>
        </row>
        <row r="12">
          <cell r="D12">
            <v>643</v>
          </cell>
        </row>
        <row r="13">
          <cell r="D13">
            <v>1547</v>
          </cell>
        </row>
        <row r="14">
          <cell r="D14">
            <v>234</v>
          </cell>
        </row>
        <row r="15">
          <cell r="D15">
            <v>1090</v>
          </cell>
        </row>
        <row r="16">
          <cell r="D16">
            <v>2032</v>
          </cell>
        </row>
        <row r="17">
          <cell r="D17">
            <v>94</v>
          </cell>
        </row>
        <row r="18">
          <cell r="D18">
            <v>1488</v>
          </cell>
        </row>
        <row r="19">
          <cell r="D19">
            <v>410</v>
          </cell>
        </row>
        <row r="20">
          <cell r="D20">
            <v>1399</v>
          </cell>
        </row>
        <row r="21">
          <cell r="D21">
            <v>2020</v>
          </cell>
        </row>
        <row r="22">
          <cell r="D22">
            <v>796</v>
          </cell>
        </row>
        <row r="23">
          <cell r="D23">
            <v>1063</v>
          </cell>
        </row>
        <row r="24">
          <cell r="D24">
            <v>2408</v>
          </cell>
        </row>
        <row r="25">
          <cell r="D25">
            <v>69</v>
          </cell>
        </row>
        <row r="26">
          <cell r="D26">
            <v>108</v>
          </cell>
        </row>
        <row r="27">
          <cell r="D27">
            <v>2318</v>
          </cell>
        </row>
        <row r="28">
          <cell r="D28">
            <v>8015</v>
          </cell>
        </row>
        <row r="29">
          <cell r="D29">
            <v>4043</v>
          </cell>
        </row>
        <row r="30">
          <cell r="D30">
            <v>156</v>
          </cell>
        </row>
        <row r="31">
          <cell r="D31">
            <v>238</v>
          </cell>
        </row>
        <row r="32">
          <cell r="D32">
            <v>1173</v>
          </cell>
        </row>
        <row r="33">
          <cell r="D33">
            <v>843</v>
          </cell>
        </row>
        <row r="34">
          <cell r="D34">
            <v>357</v>
          </cell>
        </row>
        <row r="35">
          <cell r="D35">
            <v>2676</v>
          </cell>
        </row>
        <row r="36">
          <cell r="D36">
            <v>1465</v>
          </cell>
        </row>
        <row r="37">
          <cell r="D37">
            <v>359</v>
          </cell>
        </row>
        <row r="38">
          <cell r="D38">
            <v>2515</v>
          </cell>
        </row>
        <row r="39">
          <cell r="D39">
            <v>406</v>
          </cell>
        </row>
        <row r="40">
          <cell r="D40">
            <v>73</v>
          </cell>
        </row>
        <row r="41">
          <cell r="D41">
            <v>1272</v>
          </cell>
        </row>
        <row r="42">
          <cell r="D42">
            <v>2398</v>
          </cell>
        </row>
        <row r="43">
          <cell r="D43">
            <v>1173</v>
          </cell>
        </row>
        <row r="44">
          <cell r="D44">
            <v>1661</v>
          </cell>
        </row>
        <row r="45">
          <cell r="D45">
            <v>320</v>
          </cell>
        </row>
        <row r="46">
          <cell r="D46">
            <v>1491</v>
          </cell>
        </row>
        <row r="47">
          <cell r="D47">
            <v>3283</v>
          </cell>
        </row>
        <row r="48">
          <cell r="D48">
            <v>1639</v>
          </cell>
        </row>
        <row r="49">
          <cell r="D49">
            <v>3081</v>
          </cell>
        </row>
        <row r="50">
          <cell r="D50">
            <v>831</v>
          </cell>
        </row>
        <row r="51">
          <cell r="D51">
            <v>1741</v>
          </cell>
        </row>
        <row r="52">
          <cell r="D52">
            <v>978</v>
          </cell>
        </row>
        <row r="53">
          <cell r="D53">
            <v>377</v>
          </cell>
        </row>
        <row r="54">
          <cell r="D54">
            <v>884</v>
          </cell>
        </row>
        <row r="55">
          <cell r="D55">
            <v>744</v>
          </cell>
        </row>
        <row r="56">
          <cell r="D56">
            <v>1029</v>
          </cell>
        </row>
        <row r="57">
          <cell r="D57">
            <v>2166</v>
          </cell>
        </row>
        <row r="58">
          <cell r="D58">
            <v>1300</v>
          </cell>
        </row>
        <row r="59">
          <cell r="D59">
            <v>535</v>
          </cell>
        </row>
        <row r="60">
          <cell r="D60">
            <v>1205</v>
          </cell>
        </row>
        <row r="61">
          <cell r="D61">
            <v>118</v>
          </cell>
        </row>
        <row r="62">
          <cell r="D62">
            <v>501</v>
          </cell>
        </row>
        <row r="63">
          <cell r="D63">
            <v>751</v>
          </cell>
        </row>
        <row r="64">
          <cell r="D64">
            <v>1417</v>
          </cell>
        </row>
        <row r="65">
          <cell r="D65">
            <v>1638</v>
          </cell>
        </row>
        <row r="66">
          <cell r="D66">
            <v>3670</v>
          </cell>
        </row>
        <row r="67">
          <cell r="D67">
            <v>2355</v>
          </cell>
        </row>
        <row r="68">
          <cell r="D68">
            <v>1404</v>
          </cell>
        </row>
        <row r="69">
          <cell r="D69">
            <v>643</v>
          </cell>
        </row>
        <row r="70">
          <cell r="D70">
            <v>278</v>
          </cell>
        </row>
        <row r="71">
          <cell r="D71">
            <v>586</v>
          </cell>
        </row>
        <row r="72">
          <cell r="D72">
            <v>1618</v>
          </cell>
        </row>
        <row r="73">
          <cell r="D73">
            <v>941</v>
          </cell>
        </row>
        <row r="74">
          <cell r="D74">
            <v>584</v>
          </cell>
        </row>
        <row r="75">
          <cell r="D75">
            <v>1225</v>
          </cell>
        </row>
        <row r="76">
          <cell r="D76">
            <v>259</v>
          </cell>
        </row>
        <row r="77">
          <cell r="D77">
            <v>870</v>
          </cell>
        </row>
        <row r="78">
          <cell r="D78">
            <v>492</v>
          </cell>
        </row>
        <row r="79">
          <cell r="D79">
            <v>1867</v>
          </cell>
        </row>
        <row r="80">
          <cell r="D80">
            <v>924</v>
          </cell>
        </row>
        <row r="81">
          <cell r="D81">
            <v>1634</v>
          </cell>
        </row>
        <row r="82">
          <cell r="D82">
            <v>880</v>
          </cell>
        </row>
        <row r="83">
          <cell r="D83">
            <v>2184</v>
          </cell>
        </row>
        <row r="84">
          <cell r="D84">
            <v>459</v>
          </cell>
        </row>
        <row r="85">
          <cell r="D85">
            <v>1038</v>
          </cell>
        </row>
        <row r="86">
          <cell r="D86">
            <v>214</v>
          </cell>
        </row>
        <row r="87">
          <cell r="D87">
            <v>931</v>
          </cell>
        </row>
        <row r="88">
          <cell r="D88">
            <v>1501</v>
          </cell>
        </row>
        <row r="89">
          <cell r="D89">
            <v>66</v>
          </cell>
        </row>
        <row r="90">
          <cell r="D90">
            <v>1099</v>
          </cell>
        </row>
        <row r="91">
          <cell r="D91">
            <v>266</v>
          </cell>
        </row>
        <row r="92">
          <cell r="D92">
            <v>1153</v>
          </cell>
        </row>
        <row r="93">
          <cell r="D93">
            <v>1690</v>
          </cell>
        </row>
        <row r="94">
          <cell r="D94">
            <v>691</v>
          </cell>
        </row>
        <row r="95">
          <cell r="D95">
            <v>1042</v>
          </cell>
        </row>
        <row r="96">
          <cell r="D96">
            <v>2144</v>
          </cell>
        </row>
        <row r="97">
          <cell r="D97">
            <v>49</v>
          </cell>
        </row>
        <row r="98">
          <cell r="D98">
            <v>49</v>
          </cell>
        </row>
        <row r="99">
          <cell r="D99">
            <v>1883</v>
          </cell>
        </row>
        <row r="100">
          <cell r="D100">
            <v>5666</v>
          </cell>
        </row>
        <row r="101">
          <cell r="D101">
            <v>3182</v>
          </cell>
        </row>
        <row r="102">
          <cell r="D102">
            <v>93</v>
          </cell>
        </row>
        <row r="103">
          <cell r="D103">
            <v>161</v>
          </cell>
        </row>
        <row r="104">
          <cell r="D104">
            <v>1011</v>
          </cell>
        </row>
        <row r="105">
          <cell r="D105">
            <v>661</v>
          </cell>
        </row>
        <row r="106">
          <cell r="D106">
            <v>280</v>
          </cell>
        </row>
        <row r="107">
          <cell r="D107">
            <v>2057</v>
          </cell>
        </row>
        <row r="108">
          <cell r="D108">
            <v>1252</v>
          </cell>
        </row>
        <row r="109">
          <cell r="D109">
            <v>258</v>
          </cell>
        </row>
        <row r="110">
          <cell r="D110">
            <v>1998</v>
          </cell>
        </row>
        <row r="111">
          <cell r="D111">
            <v>280</v>
          </cell>
        </row>
        <row r="112">
          <cell r="D112">
            <v>45</v>
          </cell>
        </row>
        <row r="113">
          <cell r="D113">
            <v>1061</v>
          </cell>
        </row>
        <row r="114">
          <cell r="D114">
            <v>2075</v>
          </cell>
        </row>
        <row r="115">
          <cell r="D115">
            <v>877</v>
          </cell>
        </row>
        <row r="116">
          <cell r="D116">
            <v>1307</v>
          </cell>
        </row>
        <row r="117">
          <cell r="D117">
            <v>289</v>
          </cell>
        </row>
        <row r="118">
          <cell r="D118">
            <v>802</v>
          </cell>
        </row>
        <row r="119">
          <cell r="D119">
            <v>2741</v>
          </cell>
        </row>
        <row r="120">
          <cell r="D120">
            <v>1312</v>
          </cell>
        </row>
        <row r="121">
          <cell r="D121">
            <v>2468</v>
          </cell>
        </row>
        <row r="122">
          <cell r="D122">
            <v>682</v>
          </cell>
        </row>
        <row r="123">
          <cell r="D123">
            <v>1233</v>
          </cell>
        </row>
        <row r="124">
          <cell r="D124">
            <v>741</v>
          </cell>
        </row>
        <row r="125">
          <cell r="D125">
            <v>335</v>
          </cell>
        </row>
        <row r="126">
          <cell r="D126">
            <v>604</v>
          </cell>
        </row>
        <row r="127">
          <cell r="D127">
            <v>559</v>
          </cell>
        </row>
        <row r="128">
          <cell r="D128">
            <v>793</v>
          </cell>
        </row>
        <row r="129">
          <cell r="D129">
            <v>1657</v>
          </cell>
        </row>
        <row r="130">
          <cell r="D130">
            <v>1219</v>
          </cell>
        </row>
        <row r="131">
          <cell r="D131">
            <v>409</v>
          </cell>
        </row>
        <row r="132">
          <cell r="D132">
            <v>882</v>
          </cell>
        </row>
        <row r="133">
          <cell r="D133">
            <v>110</v>
          </cell>
        </row>
        <row r="134">
          <cell r="D134">
            <v>372</v>
          </cell>
        </row>
        <row r="135">
          <cell r="D135">
            <v>473</v>
          </cell>
        </row>
        <row r="136">
          <cell r="D136">
            <v>1066</v>
          </cell>
        </row>
        <row r="137">
          <cell r="D137">
            <v>1289</v>
          </cell>
        </row>
        <row r="138">
          <cell r="D138">
            <v>2706</v>
          </cell>
        </row>
        <row r="139">
          <cell r="D139">
            <v>1767</v>
          </cell>
        </row>
        <row r="140">
          <cell r="D140">
            <v>1154</v>
          </cell>
        </row>
        <row r="141">
          <cell r="D141">
            <v>592</v>
          </cell>
        </row>
        <row r="142">
          <cell r="D142">
            <v>211</v>
          </cell>
        </row>
        <row r="143">
          <cell r="D143">
            <v>476</v>
          </cell>
        </row>
        <row r="144">
          <cell r="D144">
            <v>1043</v>
          </cell>
        </row>
        <row r="145">
          <cell r="D145">
            <v>795</v>
          </cell>
        </row>
      </sheetData>
      <sheetData sheetId="13">
        <row r="16">
          <cell r="B16">
            <v>2292.5945272720001</v>
          </cell>
          <cell r="C16">
            <v>2303.4342579320005</v>
          </cell>
          <cell r="D16">
            <v>2351.2893276280001</v>
          </cell>
          <cell r="E16">
            <v>2343.5790067640005</v>
          </cell>
          <cell r="F16">
            <v>2623.691454624</v>
          </cell>
          <cell r="G16">
            <v>2296.5255509320004</v>
          </cell>
          <cell r="H16">
            <v>2309.6657152520002</v>
          </cell>
          <cell r="I16">
            <v>2302.7213933640001</v>
          </cell>
          <cell r="J16">
            <v>2325.1276652600004</v>
          </cell>
          <cell r="K16">
            <v>2364.3289120040004</v>
          </cell>
          <cell r="L16">
            <v>3085.2689481640004</v>
          </cell>
        </row>
        <row r="17">
          <cell r="B17">
            <v>1390.1543598360001</v>
          </cell>
        </row>
        <row r="18">
          <cell r="B18">
            <v>2292.5945272720001</v>
          </cell>
        </row>
        <row r="20">
          <cell r="B20">
            <v>1271.6692155511694</v>
          </cell>
        </row>
        <row r="21">
          <cell r="B21">
            <v>2028.8447144000002</v>
          </cell>
        </row>
        <row r="22">
          <cell r="B22">
            <v>5274.9962574400006</v>
          </cell>
        </row>
        <row r="23">
          <cell r="B23">
            <v>6096.6783667720001</v>
          </cell>
        </row>
        <row r="24">
          <cell r="B24">
            <v>930.73251273100004</v>
          </cell>
        </row>
      </sheetData>
      <sheetData sheetId="14">
        <row r="76">
          <cell r="B76">
            <v>0.38310780035247566</v>
          </cell>
          <cell r="C76">
            <v>6.2622922571547706E-3</v>
          </cell>
          <cell r="D76">
            <v>1.3938270404039109E-2</v>
          </cell>
          <cell r="E76">
            <v>8.7439422531901317E-2</v>
          </cell>
          <cell r="F76">
            <v>1.3881155969034111E-2</v>
          </cell>
          <cell r="G76">
            <v>0.21133080096078508</v>
          </cell>
          <cell r="H76">
            <v>5.5219517765119873E-3</v>
          </cell>
          <cell r="I76">
            <v>2.4158965650920863E-2</v>
          </cell>
          <cell r="J76">
            <v>6.6198062966989759E-3</v>
          </cell>
          <cell r="K76">
            <v>0.18502152621576537</v>
          </cell>
          <cell r="L76">
            <v>3.3450778012424342E-4</v>
          </cell>
          <cell r="M76">
            <v>5.5018190902592287E-2</v>
          </cell>
          <cell r="N76">
            <v>0</v>
          </cell>
          <cell r="O76">
            <v>7.3653089019965956E-3</v>
          </cell>
          <cell r="P76">
            <v>8.8677359720081428E-6</v>
          </cell>
        </row>
      </sheetData>
      <sheetData sheetId="15">
        <row r="74">
          <cell r="C74">
            <v>6402387650.6704445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9"/>
  <sheetViews>
    <sheetView tabSelected="1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I15" sqref="I15"/>
    </sheetView>
  </sheetViews>
  <sheetFormatPr baseColWidth="10" defaultColWidth="11.5" defaultRowHeight="15" x14ac:dyDescent="0.2"/>
  <cols>
    <col min="1" max="1" width="19" customWidth="1"/>
    <col min="2" max="2" width="13.1640625" customWidth="1"/>
    <col min="6" max="6" width="15.83203125" customWidth="1"/>
    <col min="7" max="9" width="16.1640625" customWidth="1"/>
    <col min="10" max="10" width="17" customWidth="1"/>
    <col min="11" max="13" width="10.83203125" customWidth="1"/>
    <col min="17" max="17" width="15.5" customWidth="1"/>
    <col min="18" max="20" width="17.33203125" customWidth="1"/>
    <col min="22" max="22" width="14.83203125" customWidth="1"/>
    <col min="28" max="28" width="15" customWidth="1"/>
    <col min="29" max="29" width="14.1640625" customWidth="1"/>
    <col min="30" max="30" width="14.33203125" style="84" customWidth="1"/>
    <col min="31" max="31" width="15" customWidth="1"/>
    <col min="32" max="32" width="11.5" style="90"/>
    <col min="33" max="33" width="21.1640625" style="101" customWidth="1"/>
  </cols>
  <sheetData>
    <row r="1" spans="1:33" ht="16" x14ac:dyDescent="0.2">
      <c r="A1" s="103" t="s">
        <v>65</v>
      </c>
      <c r="B1" s="67"/>
      <c r="C1" s="67"/>
      <c r="AD1"/>
      <c r="AF1"/>
      <c r="AG1"/>
    </row>
    <row r="2" spans="1:33" x14ac:dyDescent="0.2">
      <c r="A2" s="102">
        <v>43153</v>
      </c>
      <c r="AD2"/>
      <c r="AF2"/>
      <c r="AG2"/>
    </row>
    <row r="3" spans="1:33" x14ac:dyDescent="0.2">
      <c r="A3" t="s">
        <v>176</v>
      </c>
      <c r="AD3"/>
      <c r="AF3"/>
      <c r="AG3"/>
    </row>
    <row r="4" spans="1:33" ht="16" thickBot="1" x14ac:dyDescent="0.25">
      <c r="F4" s="97" t="s">
        <v>168</v>
      </c>
      <c r="G4" s="104" t="s">
        <v>174</v>
      </c>
      <c r="H4" s="104" t="s">
        <v>175</v>
      </c>
      <c r="I4" s="104"/>
      <c r="AD4"/>
      <c r="AF4"/>
      <c r="AG4"/>
    </row>
    <row r="5" spans="1:33" ht="16" thickBot="1" x14ac:dyDescent="0.25">
      <c r="A5" s="53"/>
      <c r="B5" s="74" t="s">
        <v>178</v>
      </c>
      <c r="C5" s="74" t="s">
        <v>66</v>
      </c>
      <c r="D5" s="75" t="s">
        <v>67</v>
      </c>
      <c r="F5" s="105" t="s">
        <v>177</v>
      </c>
      <c r="G5" s="110" t="s">
        <v>169</v>
      </c>
      <c r="H5" s="197" t="s">
        <v>171</v>
      </c>
      <c r="AD5"/>
      <c r="AF5"/>
      <c r="AG5"/>
    </row>
    <row r="6" spans="1:33" ht="16" thickBot="1" x14ac:dyDescent="0.25">
      <c r="A6" s="54"/>
      <c r="B6" s="55" t="s">
        <v>68</v>
      </c>
      <c r="C6" s="56">
        <v>2.5100000000000001E-2</v>
      </c>
      <c r="D6" s="57" t="s">
        <v>69</v>
      </c>
      <c r="F6" s="113">
        <v>0.45200000000000001</v>
      </c>
      <c r="G6" s="111">
        <v>0.25069999999999998</v>
      </c>
      <c r="H6" s="112">
        <v>1.04</v>
      </c>
      <c r="AD6"/>
      <c r="AF6"/>
      <c r="AG6"/>
    </row>
    <row r="7" spans="1:33" x14ac:dyDescent="0.2">
      <c r="A7" s="76" t="s">
        <v>0</v>
      </c>
      <c r="B7" s="13">
        <v>5072</v>
      </c>
      <c r="C7" s="13">
        <f>+B7*$C$6</f>
        <v>127.30720000000001</v>
      </c>
      <c r="D7" s="58">
        <f>+C7+B7</f>
        <v>5199.3072000000002</v>
      </c>
      <c r="G7" s="106" t="s">
        <v>170</v>
      </c>
      <c r="H7" s="109" t="s">
        <v>172</v>
      </c>
      <c r="AD7"/>
      <c r="AF7"/>
      <c r="AG7"/>
    </row>
    <row r="8" spans="1:33" ht="16" thickBot="1" x14ac:dyDescent="0.25">
      <c r="A8" s="76" t="s">
        <v>70</v>
      </c>
      <c r="B8" s="13">
        <v>3076</v>
      </c>
      <c r="C8" s="13">
        <f>+B8*$C$6</f>
        <v>77.207599999999999</v>
      </c>
      <c r="D8" s="58">
        <f t="shared" ref="D8:D9" si="0">+C8+B8</f>
        <v>3153.2076000000002</v>
      </c>
      <c r="G8" s="111">
        <v>0.4</v>
      </c>
      <c r="H8" s="108">
        <v>1.202</v>
      </c>
      <c r="AD8"/>
      <c r="AF8"/>
      <c r="AG8"/>
    </row>
    <row r="9" spans="1:33" x14ac:dyDescent="0.2">
      <c r="A9" s="77" t="s">
        <v>2</v>
      </c>
      <c r="B9" s="59">
        <v>5072</v>
      </c>
      <c r="C9" s="59">
        <f>+B9*$C$6</f>
        <v>127.30720000000001</v>
      </c>
      <c r="D9" s="60">
        <f t="shared" si="0"/>
        <v>5199.3072000000002</v>
      </c>
      <c r="G9" s="61"/>
      <c r="H9" s="109" t="s">
        <v>173</v>
      </c>
      <c r="AD9"/>
      <c r="AF9"/>
      <c r="AG9"/>
    </row>
    <row r="10" spans="1:33" ht="16" thickBot="1" x14ac:dyDescent="0.25">
      <c r="G10" s="61"/>
      <c r="H10" s="108">
        <v>0.1835</v>
      </c>
      <c r="AD10"/>
      <c r="AF10"/>
      <c r="AG10"/>
    </row>
    <row r="11" spans="1:33" ht="16" thickBot="1" x14ac:dyDescent="0.25">
      <c r="A11" s="67"/>
      <c r="B11" s="67"/>
      <c r="AD11"/>
      <c r="AF11"/>
      <c r="AG11"/>
    </row>
    <row r="12" spans="1:33" x14ac:dyDescent="0.2">
      <c r="H12" s="79" t="s">
        <v>472</v>
      </c>
      <c r="I12" s="79" t="s">
        <v>221</v>
      </c>
      <c r="J12" s="78" t="s">
        <v>480</v>
      </c>
      <c r="K12" s="67" t="s">
        <v>72</v>
      </c>
      <c r="L12" s="188" t="s">
        <v>474</v>
      </c>
      <c r="M12" s="188" t="s">
        <v>473</v>
      </c>
      <c r="N12" s="79" t="s">
        <v>69</v>
      </c>
      <c r="O12" s="79" t="s">
        <v>73</v>
      </c>
      <c r="P12" s="79" t="s">
        <v>69</v>
      </c>
      <c r="Q12" s="80" t="s">
        <v>167</v>
      </c>
      <c r="R12" s="67" t="s">
        <v>74</v>
      </c>
      <c r="S12" s="67" t="s">
        <v>476</v>
      </c>
      <c r="T12" s="67" t="s">
        <v>475</v>
      </c>
      <c r="U12" s="79" t="s">
        <v>69</v>
      </c>
      <c r="V12" s="79" t="s">
        <v>71</v>
      </c>
      <c r="W12" s="79" t="s">
        <v>69</v>
      </c>
      <c r="X12" s="79" t="s">
        <v>75</v>
      </c>
      <c r="Y12" s="79"/>
      <c r="Z12" s="79"/>
      <c r="AA12" s="79" t="s">
        <v>69</v>
      </c>
      <c r="AB12" s="80" t="s">
        <v>76</v>
      </c>
      <c r="AD12" s="95" t="s">
        <v>78</v>
      </c>
      <c r="AE12" s="79" t="s">
        <v>77</v>
      </c>
      <c r="AF12" s="91"/>
      <c r="AG12" s="99" t="s">
        <v>165</v>
      </c>
    </row>
    <row r="13" spans="1:33" s="69" customFormat="1" ht="16" thickBot="1" x14ac:dyDescent="0.25">
      <c r="A13" s="68" t="s">
        <v>79</v>
      </c>
      <c r="B13" s="125" t="s">
        <v>80</v>
      </c>
      <c r="C13" s="69" t="s">
        <v>81</v>
      </c>
      <c r="D13" s="69" t="s">
        <v>82</v>
      </c>
      <c r="E13" s="70" t="s">
        <v>83</v>
      </c>
      <c r="F13" s="70" t="s">
        <v>88</v>
      </c>
      <c r="G13" s="196" t="s">
        <v>479</v>
      </c>
      <c r="H13" s="196" t="s">
        <v>478</v>
      </c>
      <c r="I13" s="70" t="s">
        <v>183</v>
      </c>
      <c r="J13" s="81">
        <f>$F$6</f>
        <v>0.45200000000000001</v>
      </c>
      <c r="K13" s="70" t="s">
        <v>84</v>
      </c>
      <c r="L13" s="189" t="s">
        <v>462</v>
      </c>
      <c r="M13" s="189" t="s">
        <v>183</v>
      </c>
      <c r="N13" s="71">
        <f>$G$6</f>
        <v>0.25069999999999998</v>
      </c>
      <c r="O13" s="71" t="s">
        <v>208</v>
      </c>
      <c r="P13" s="71">
        <f>$G$8</f>
        <v>0.4</v>
      </c>
      <c r="Q13" s="73" t="s">
        <v>85</v>
      </c>
      <c r="R13" s="69" t="s">
        <v>86</v>
      </c>
      <c r="S13" s="69" t="s">
        <v>474</v>
      </c>
      <c r="T13" s="69" t="s">
        <v>476</v>
      </c>
      <c r="U13" s="82">
        <f>$H$6</f>
        <v>1.04</v>
      </c>
      <c r="V13" s="70" t="s">
        <v>182</v>
      </c>
      <c r="W13" s="71">
        <f>$H$8</f>
        <v>1.202</v>
      </c>
      <c r="X13" s="70" t="s">
        <v>87</v>
      </c>
      <c r="Y13" s="70"/>
      <c r="Z13" s="70"/>
      <c r="AA13" s="72">
        <f>$H$10</f>
        <v>0.1835</v>
      </c>
      <c r="AB13" s="73" t="s">
        <v>85</v>
      </c>
      <c r="AC13" s="70" t="s">
        <v>25</v>
      </c>
      <c r="AD13" s="93" t="s">
        <v>164</v>
      </c>
      <c r="AE13" s="70" t="s">
        <v>161</v>
      </c>
      <c r="AF13" s="92" t="s">
        <v>163</v>
      </c>
      <c r="AG13" s="100" t="s">
        <v>166</v>
      </c>
    </row>
    <row r="14" spans="1:33" x14ac:dyDescent="0.2">
      <c r="A14" s="121" t="s">
        <v>89</v>
      </c>
      <c r="B14" s="183">
        <v>7534.91</v>
      </c>
      <c r="C14" s="184">
        <v>547.44000000000005</v>
      </c>
      <c r="D14" s="184">
        <v>411.48</v>
      </c>
      <c r="E14" s="62">
        <f>SUM(B14:D14)</f>
        <v>8493.83</v>
      </c>
      <c r="F14" s="63">
        <f t="shared" ref="F14:F45" si="1">B14*B$7+C14*B$8+D14*B$9</f>
        <v>41988015.519999996</v>
      </c>
      <c r="G14" s="63">
        <f t="shared" ref="G14:G45" si="2">+F14+AC14</f>
        <v>48071707.519999996</v>
      </c>
      <c r="H14" s="194">
        <v>48071707.520000003</v>
      </c>
      <c r="I14" s="182">
        <f>-'[1]Formula Weights'!$B$16*('[1]16-17 Apportionments Data'!F2)+-'[1]Formula Weights'!$B$17*('[1]16-17 Apportionments Data'!G2)+-'[1]Formula Weights'!$B$18*('[1]16-17 Apportionments Data'!H2)</f>
        <v>0</v>
      </c>
      <c r="J14" s="64">
        <f>IF(G14&gt;H14,G14,H14)*J$13</f>
        <v>21728411.799040001</v>
      </c>
      <c r="K14" s="85">
        <v>9132</v>
      </c>
      <c r="L14" s="85"/>
      <c r="M14" s="85"/>
      <c r="N14" s="65">
        <f t="shared" ref="N14:N45" si="3">+N$13*B$7</f>
        <v>1271.5503999999999</v>
      </c>
      <c r="O14" s="126">
        <v>584</v>
      </c>
      <c r="P14" s="65">
        <f t="shared" ref="P14:P45" si="4">+P$13*B$7</f>
        <v>2028.8000000000002</v>
      </c>
      <c r="Q14" s="66">
        <f>+N14*K14+O14*P14</f>
        <v>12796617.452799998</v>
      </c>
      <c r="R14" s="88">
        <v>2171</v>
      </c>
      <c r="S14" s="88"/>
      <c r="T14" s="88"/>
      <c r="U14" s="65">
        <f t="shared" ref="U14:U45" si="5">+U$13*B$7</f>
        <v>5274.88</v>
      </c>
      <c r="V14" s="120">
        <v>485</v>
      </c>
      <c r="W14" s="65">
        <f t="shared" ref="W14:W45" si="6">+W$13*B$7</f>
        <v>6096.5439999999999</v>
      </c>
      <c r="X14" s="88">
        <v>259</v>
      </c>
      <c r="Y14" s="88"/>
      <c r="Z14" s="88"/>
      <c r="AA14" s="65">
        <f t="shared" ref="AA14:AA45" si="7">+AA$13*B$7</f>
        <v>930.71199999999999</v>
      </c>
      <c r="AB14" s="66">
        <f t="shared" ref="AB14:AB45" si="8">+R14*U14+V14*W14+X14*AA14</f>
        <v>14649642.728</v>
      </c>
      <c r="AC14" s="86">
        <v>6083692</v>
      </c>
      <c r="AD14" s="94">
        <f t="shared" ref="AD14:AD45" si="9">+AB14+Q14+J14</f>
        <v>49174671.979839996</v>
      </c>
      <c r="AE14" s="89">
        <v>58571357</v>
      </c>
      <c r="AF14" s="91">
        <f t="shared" ref="AF14:AF45" si="10">(AD14-G14)/G14</f>
        <v>2.2944149828277201E-2</v>
      </c>
      <c r="AG14" s="98">
        <f t="shared" ref="AG14:AG45" si="11">AD14-AE14</f>
        <v>-9396685.0201600045</v>
      </c>
    </row>
    <row r="15" spans="1:33" x14ac:dyDescent="0.2">
      <c r="A15" s="121" t="s">
        <v>90</v>
      </c>
      <c r="B15" s="183">
        <v>11613</v>
      </c>
      <c r="C15" s="184">
        <v>43.96</v>
      </c>
      <c r="D15" s="184">
        <v>0</v>
      </c>
      <c r="E15" s="62">
        <f t="shared" ref="E15:E78" si="12">SUM(B15:D15)</f>
        <v>11656.96</v>
      </c>
      <c r="F15" s="63">
        <f t="shared" si="1"/>
        <v>59036356.960000001</v>
      </c>
      <c r="G15" s="63">
        <f t="shared" si="2"/>
        <v>65120048.960000001</v>
      </c>
      <c r="H15" s="194">
        <v>65120048.960000001</v>
      </c>
      <c r="I15" s="182">
        <f>-'[1]Formula Weights'!$B$16*('[1]16-17 Apportionments Data'!F3)+-'[1]Formula Weights'!$B$17*('[1]16-17 Apportionments Data'!G3)+-'[1]Formula Weights'!$B$18*('[1]16-17 Apportionments Data'!H3)</f>
        <v>0</v>
      </c>
      <c r="J15" s="64">
        <f t="shared" ref="J15:J78" si="13">IF(G15&gt;H15,G15,H15)*J$13</f>
        <v>29434262.129920002</v>
      </c>
      <c r="K15" s="85">
        <v>14027</v>
      </c>
      <c r="L15" s="85"/>
      <c r="M15" s="85"/>
      <c r="N15" s="65">
        <f t="shared" si="3"/>
        <v>1271.5503999999999</v>
      </c>
      <c r="O15" s="126">
        <v>1225</v>
      </c>
      <c r="P15" s="65">
        <f t="shared" si="4"/>
        <v>2028.8000000000002</v>
      </c>
      <c r="Q15" s="66">
        <f t="shared" ref="Q15:Q16" si="14">+N15*K15+O15*P15</f>
        <v>20321317.4608</v>
      </c>
      <c r="R15" s="88">
        <v>2629</v>
      </c>
      <c r="S15" s="88"/>
      <c r="T15" s="88"/>
      <c r="U15" s="65">
        <f t="shared" si="5"/>
        <v>5274.88</v>
      </c>
      <c r="V15" s="120">
        <v>558</v>
      </c>
      <c r="W15" s="65">
        <f t="shared" si="6"/>
        <v>6096.5439999999999</v>
      </c>
      <c r="X15" s="88">
        <v>430</v>
      </c>
      <c r="Y15" s="88"/>
      <c r="Z15" s="88"/>
      <c r="AA15" s="65">
        <f t="shared" si="7"/>
        <v>930.71199999999999</v>
      </c>
      <c r="AB15" s="66">
        <f t="shared" si="8"/>
        <v>17669737.232000001</v>
      </c>
      <c r="AC15" s="86">
        <v>6083692</v>
      </c>
      <c r="AD15" s="94">
        <f t="shared" si="9"/>
        <v>67425316.822720006</v>
      </c>
      <c r="AE15" s="89">
        <v>68273575</v>
      </c>
      <c r="AF15" s="91">
        <f t="shared" si="10"/>
        <v>3.5400278401756365E-2</v>
      </c>
      <c r="AG15" s="98">
        <f t="shared" si="11"/>
        <v>-848258.17727999389</v>
      </c>
    </row>
    <row r="16" spans="1:33" s="84" customFormat="1" x14ac:dyDescent="0.2">
      <c r="A16" s="121" t="s">
        <v>91</v>
      </c>
      <c r="B16" s="183">
        <v>2464.42</v>
      </c>
      <c r="C16" s="184">
        <v>32.549999999999997</v>
      </c>
      <c r="D16" s="184">
        <v>0</v>
      </c>
      <c r="E16" s="62">
        <f t="shared" si="12"/>
        <v>2496.9700000000003</v>
      </c>
      <c r="F16" s="63">
        <f t="shared" si="1"/>
        <v>12599662.040000001</v>
      </c>
      <c r="G16" s="83">
        <f t="shared" si="2"/>
        <v>17410869.039999999</v>
      </c>
      <c r="H16" s="194">
        <v>17410869.039999999</v>
      </c>
      <c r="I16" s="182">
        <f>-'[1]Formula Weights'!$B$16*('[1]16-17 Apportionments Data'!F4)+-'[1]Formula Weights'!$B$17*('[1]16-17 Apportionments Data'!G4)+-'[1]Formula Weights'!$B$18*('[1]16-17 Apportionments Data'!H4)</f>
        <v>0</v>
      </c>
      <c r="J16" s="64">
        <f t="shared" si="13"/>
        <v>7869712.8060799995</v>
      </c>
      <c r="K16" s="85">
        <v>3639</v>
      </c>
      <c r="L16" s="85"/>
      <c r="M16" s="85"/>
      <c r="N16" s="65">
        <f t="shared" si="3"/>
        <v>1271.5503999999999</v>
      </c>
      <c r="O16" s="126">
        <v>259</v>
      </c>
      <c r="P16" s="65">
        <f t="shared" si="4"/>
        <v>2028.8000000000002</v>
      </c>
      <c r="Q16" s="66">
        <f t="shared" si="14"/>
        <v>5152631.1055999994</v>
      </c>
      <c r="R16" s="88">
        <v>370</v>
      </c>
      <c r="S16" s="88"/>
      <c r="T16" s="88"/>
      <c r="U16" s="65">
        <f t="shared" si="5"/>
        <v>5274.88</v>
      </c>
      <c r="V16" s="120">
        <v>147</v>
      </c>
      <c r="W16" s="65">
        <f t="shared" si="6"/>
        <v>6096.5439999999999</v>
      </c>
      <c r="X16" s="88">
        <v>79</v>
      </c>
      <c r="Y16" s="88"/>
      <c r="Z16" s="88"/>
      <c r="AA16" s="65">
        <f t="shared" si="7"/>
        <v>930.71199999999999</v>
      </c>
      <c r="AB16" s="66">
        <f t="shared" si="8"/>
        <v>2921423.8160000001</v>
      </c>
      <c r="AC16" s="86">
        <v>4811207</v>
      </c>
      <c r="AD16" s="94">
        <f t="shared" si="9"/>
        <v>15943767.727679998</v>
      </c>
      <c r="AE16" s="89">
        <v>18728825</v>
      </c>
      <c r="AF16" s="91">
        <f t="shared" si="10"/>
        <v>-8.4263531530187272E-2</v>
      </c>
      <c r="AG16" s="98">
        <f t="shared" si="11"/>
        <v>-2785057.2723200023</v>
      </c>
    </row>
    <row r="17" spans="1:33" x14ac:dyDescent="0.2">
      <c r="A17" s="121" t="s">
        <v>92</v>
      </c>
      <c r="B17" s="183">
        <v>9656.1</v>
      </c>
      <c r="C17" s="183">
        <v>1177.1099999999999</v>
      </c>
      <c r="D17" s="184">
        <v>32.15</v>
      </c>
      <c r="E17" s="62">
        <f t="shared" si="12"/>
        <v>10865.36</v>
      </c>
      <c r="F17" s="63">
        <f t="shared" si="1"/>
        <v>52759594.359999999</v>
      </c>
      <c r="G17" s="63">
        <f t="shared" si="2"/>
        <v>58843286.359999999</v>
      </c>
      <c r="H17" s="194">
        <v>58843286.359999999</v>
      </c>
      <c r="I17" s="182">
        <f>-'[1]Formula Weights'!$B$16*('[1]16-17 Apportionments Data'!F5)+-'[1]Formula Weights'!$B$17*('[1]16-17 Apportionments Data'!G5)+-'[1]Formula Weights'!$B$18*('[1]16-17 Apportionments Data'!H5)</f>
        <v>2125680.2935453933</v>
      </c>
      <c r="J17" s="64">
        <f t="shared" si="13"/>
        <v>26597165.434720002</v>
      </c>
      <c r="K17" s="85">
        <v>8799</v>
      </c>
      <c r="L17" s="85"/>
      <c r="M17" s="85"/>
      <c r="N17" s="65">
        <f t="shared" si="3"/>
        <v>1271.5503999999999</v>
      </c>
      <c r="O17" s="126">
        <v>870</v>
      </c>
      <c r="P17" s="65">
        <f t="shared" si="4"/>
        <v>2028.8000000000002</v>
      </c>
      <c r="Q17" s="66">
        <f t="shared" ref="Q17:Q78" si="15">+N17*K17+O17*P17</f>
        <v>12953427.969599999</v>
      </c>
      <c r="R17" s="88">
        <v>1985</v>
      </c>
      <c r="S17" s="88"/>
      <c r="T17" s="88"/>
      <c r="U17" s="65">
        <f t="shared" si="5"/>
        <v>5274.88</v>
      </c>
      <c r="V17" s="120">
        <v>618</v>
      </c>
      <c r="W17" s="65">
        <f t="shared" si="6"/>
        <v>6096.5439999999999</v>
      </c>
      <c r="X17" s="88">
        <v>303</v>
      </c>
      <c r="Y17" s="88"/>
      <c r="Z17" s="88"/>
      <c r="AA17" s="65">
        <f t="shared" si="7"/>
        <v>930.71199999999999</v>
      </c>
      <c r="AB17" s="66">
        <f t="shared" si="8"/>
        <v>14520306.728</v>
      </c>
      <c r="AC17" s="86">
        <v>6083692</v>
      </c>
      <c r="AD17" s="94">
        <f t="shared" si="9"/>
        <v>54070900.132320002</v>
      </c>
      <c r="AE17" s="89">
        <v>56806453</v>
      </c>
      <c r="AF17" s="91">
        <f t="shared" si="10"/>
        <v>-8.110332584898132E-2</v>
      </c>
      <c r="AG17" s="98">
        <f t="shared" si="11"/>
        <v>-2735552.8676799983</v>
      </c>
    </row>
    <row r="18" spans="1:33" x14ac:dyDescent="0.2">
      <c r="A18" s="121" t="s">
        <v>93</v>
      </c>
      <c r="B18" s="183">
        <v>9184.82</v>
      </c>
      <c r="C18" s="184">
        <v>182.39</v>
      </c>
      <c r="D18" s="184">
        <v>0</v>
      </c>
      <c r="E18" s="62">
        <f t="shared" si="12"/>
        <v>9367.2099999999991</v>
      </c>
      <c r="F18" s="63">
        <f t="shared" si="1"/>
        <v>47146438.68</v>
      </c>
      <c r="G18" s="63">
        <f t="shared" si="2"/>
        <v>53230130.68</v>
      </c>
      <c r="H18" s="194">
        <v>53230130.68</v>
      </c>
      <c r="I18" s="182">
        <f>-'[1]Formula Weights'!$B$16*('[1]16-17 Apportionments Data'!F6)+-'[1]Formula Weights'!$B$17*('[1]16-17 Apportionments Data'!G6)+-'[1]Formula Weights'!$B$18*('[1]16-17 Apportionments Data'!H6)</f>
        <v>0</v>
      </c>
      <c r="J18" s="64">
        <f t="shared" si="13"/>
        <v>24060019.067359999</v>
      </c>
      <c r="K18" s="85">
        <v>7180</v>
      </c>
      <c r="L18" s="85"/>
      <c r="M18" s="85"/>
      <c r="N18" s="65">
        <f t="shared" si="3"/>
        <v>1271.5503999999999</v>
      </c>
      <c r="O18" s="126">
        <v>492</v>
      </c>
      <c r="P18" s="65">
        <f t="shared" si="4"/>
        <v>2028.8000000000002</v>
      </c>
      <c r="Q18" s="66">
        <f t="shared" si="15"/>
        <v>10127901.471999999</v>
      </c>
      <c r="R18" s="88">
        <v>1438</v>
      </c>
      <c r="S18" s="88"/>
      <c r="T18" s="88"/>
      <c r="U18" s="65">
        <f t="shared" si="5"/>
        <v>5274.88</v>
      </c>
      <c r="V18" s="120">
        <v>476</v>
      </c>
      <c r="W18" s="65">
        <f t="shared" si="6"/>
        <v>6096.5439999999999</v>
      </c>
      <c r="X18" s="88">
        <v>227</v>
      </c>
      <c r="Y18" s="88"/>
      <c r="Z18" s="88"/>
      <c r="AA18" s="65">
        <f t="shared" si="7"/>
        <v>930.71199999999999</v>
      </c>
      <c r="AB18" s="66">
        <f t="shared" si="8"/>
        <v>10698504.007999999</v>
      </c>
      <c r="AC18" s="86">
        <v>6083692</v>
      </c>
      <c r="AD18" s="94">
        <f t="shared" si="9"/>
        <v>44886424.547359996</v>
      </c>
      <c r="AE18" s="89">
        <v>61268071</v>
      </c>
      <c r="AF18" s="91">
        <f t="shared" si="10"/>
        <v>-0.15674780478746711</v>
      </c>
      <c r="AG18" s="98">
        <f t="shared" si="11"/>
        <v>-16381646.452640004</v>
      </c>
    </row>
    <row r="19" spans="1:33" x14ac:dyDescent="0.2">
      <c r="A19" s="121" t="s">
        <v>94</v>
      </c>
      <c r="B19" s="183">
        <v>17324.97</v>
      </c>
      <c r="C19" s="184">
        <v>117.31</v>
      </c>
      <c r="D19" s="184">
        <v>298.48</v>
      </c>
      <c r="E19" s="62">
        <f t="shared" si="12"/>
        <v>17740.760000000002</v>
      </c>
      <c r="F19" s="63">
        <f t="shared" si="1"/>
        <v>89746983.960000008</v>
      </c>
      <c r="G19" s="63">
        <f t="shared" si="2"/>
        <v>94613936.960000008</v>
      </c>
      <c r="H19" s="194">
        <v>94613936.959999993</v>
      </c>
      <c r="I19" s="182">
        <f>-'[1]Formula Weights'!$B$16*('[1]16-17 Apportionments Data'!F7)+-'[1]Formula Weights'!$B$17*('[1]16-17 Apportionments Data'!G7)+-'[1]Formula Weights'!$B$18*('[1]16-17 Apportionments Data'!H7)</f>
        <v>2275056.3436070625</v>
      </c>
      <c r="J19" s="64">
        <f t="shared" si="13"/>
        <v>42765499.50592</v>
      </c>
      <c r="K19" s="85">
        <v>18994</v>
      </c>
      <c r="L19" s="85"/>
      <c r="M19" s="85"/>
      <c r="N19" s="65">
        <f t="shared" si="3"/>
        <v>1271.5503999999999</v>
      </c>
      <c r="O19" s="126">
        <v>1867</v>
      </c>
      <c r="P19" s="65">
        <f t="shared" si="4"/>
        <v>2028.8000000000002</v>
      </c>
      <c r="Q19" s="66">
        <f t="shared" si="15"/>
        <v>27939597.897599999</v>
      </c>
      <c r="R19" s="88">
        <v>3314</v>
      </c>
      <c r="S19" s="88"/>
      <c r="T19" s="88"/>
      <c r="U19" s="65">
        <f t="shared" si="5"/>
        <v>5274.88</v>
      </c>
      <c r="V19" s="120">
        <v>581</v>
      </c>
      <c r="W19" s="65">
        <f t="shared" si="6"/>
        <v>6096.5439999999999</v>
      </c>
      <c r="X19" s="88">
        <v>645</v>
      </c>
      <c r="Y19" s="88"/>
      <c r="Z19" s="88"/>
      <c r="AA19" s="65">
        <f t="shared" si="7"/>
        <v>930.71199999999999</v>
      </c>
      <c r="AB19" s="66">
        <f t="shared" si="8"/>
        <v>21623353.623999998</v>
      </c>
      <c r="AC19" s="86">
        <v>4866953</v>
      </c>
      <c r="AD19" s="94">
        <f t="shared" si="9"/>
        <v>92328451.027520001</v>
      </c>
      <c r="AE19" s="89">
        <v>93855373</v>
      </c>
      <c r="AF19" s="91">
        <f t="shared" si="10"/>
        <v>-2.4155911971470372E-2</v>
      </c>
      <c r="AG19" s="98">
        <f t="shared" si="11"/>
        <v>-1526921.9724799991</v>
      </c>
    </row>
    <row r="20" spans="1:33" x14ac:dyDescent="0.2">
      <c r="A20" s="121" t="s">
        <v>95</v>
      </c>
      <c r="B20" s="183">
        <v>17504.169999999998</v>
      </c>
      <c r="C20" s="184">
        <v>135.85</v>
      </c>
      <c r="D20" s="184">
        <v>0</v>
      </c>
      <c r="E20" s="62">
        <f t="shared" si="12"/>
        <v>17640.019999999997</v>
      </c>
      <c r="F20" s="63">
        <f t="shared" si="1"/>
        <v>89199024.839999989</v>
      </c>
      <c r="G20" s="63">
        <f t="shared" si="2"/>
        <v>97107822.839999989</v>
      </c>
      <c r="H20" s="194">
        <v>97107822.840000004</v>
      </c>
      <c r="I20" s="182">
        <f>-'[1]Formula Weights'!$B$16*('[1]16-17 Apportionments Data'!F8)+-'[1]Formula Weights'!$B$17*('[1]16-17 Apportionments Data'!G8)+-'[1]Formula Weights'!$B$18*('[1]16-17 Apportionments Data'!H8)</f>
        <v>4831465.7106472468</v>
      </c>
      <c r="J20" s="64">
        <f t="shared" si="13"/>
        <v>43892735.92368</v>
      </c>
      <c r="K20" s="85">
        <v>11732</v>
      </c>
      <c r="L20" s="85"/>
      <c r="M20" s="85"/>
      <c r="N20" s="65">
        <f t="shared" si="3"/>
        <v>1271.5503999999999</v>
      </c>
      <c r="O20" s="126">
        <v>924</v>
      </c>
      <c r="P20" s="65">
        <f t="shared" si="4"/>
        <v>2028.8000000000002</v>
      </c>
      <c r="Q20" s="66">
        <f t="shared" si="15"/>
        <v>16792440.492799997</v>
      </c>
      <c r="R20" s="88">
        <v>2161</v>
      </c>
      <c r="S20" s="88"/>
      <c r="T20" s="88"/>
      <c r="U20" s="65">
        <f t="shared" si="5"/>
        <v>5274.88</v>
      </c>
      <c r="V20" s="120">
        <v>991</v>
      </c>
      <c r="W20" s="65">
        <f t="shared" si="6"/>
        <v>6096.5439999999999</v>
      </c>
      <c r="X20" s="88">
        <v>432</v>
      </c>
      <c r="Y20" s="88"/>
      <c r="Z20" s="88"/>
      <c r="AA20" s="65">
        <f t="shared" si="7"/>
        <v>930.71199999999999</v>
      </c>
      <c r="AB20" s="66">
        <f t="shared" si="8"/>
        <v>17842758.368000001</v>
      </c>
      <c r="AC20" s="86">
        <v>7908798</v>
      </c>
      <c r="AD20" s="94">
        <f t="shared" si="9"/>
        <v>78527934.784480006</v>
      </c>
      <c r="AE20" s="89">
        <v>90972790</v>
      </c>
      <c r="AF20" s="91">
        <f t="shared" si="10"/>
        <v>-0.19133255707043495</v>
      </c>
      <c r="AG20" s="98">
        <f t="shared" si="11"/>
        <v>-12444855.215519994</v>
      </c>
    </row>
    <row r="21" spans="1:33" x14ac:dyDescent="0.2">
      <c r="A21" s="121" t="s">
        <v>96</v>
      </c>
      <c r="B21" s="183">
        <v>15489.42</v>
      </c>
      <c r="C21" s="184">
        <v>359.9</v>
      </c>
      <c r="D21" s="184">
        <v>0</v>
      </c>
      <c r="E21" s="62">
        <f t="shared" si="12"/>
        <v>15849.32</v>
      </c>
      <c r="F21" s="63">
        <f t="shared" si="1"/>
        <v>79669390.640000001</v>
      </c>
      <c r="G21" s="63">
        <f t="shared" si="2"/>
        <v>86969821.640000001</v>
      </c>
      <c r="H21" s="194">
        <v>86969821.640000001</v>
      </c>
      <c r="I21" s="182">
        <f>-'[1]Formula Weights'!$B$16*('[1]16-17 Apportionments Data'!F9)+-'[1]Formula Weights'!$B$17*('[1]16-17 Apportionments Data'!G9)+-'[1]Formula Weights'!$B$18*('[1]16-17 Apportionments Data'!H9)</f>
        <v>0</v>
      </c>
      <c r="J21" s="64">
        <f t="shared" si="13"/>
        <v>39310359.381280005</v>
      </c>
      <c r="K21" s="85">
        <v>17885</v>
      </c>
      <c r="L21" s="85"/>
      <c r="M21" s="85"/>
      <c r="N21" s="65">
        <f t="shared" si="3"/>
        <v>1271.5503999999999</v>
      </c>
      <c r="O21" s="126">
        <v>1634</v>
      </c>
      <c r="P21" s="65">
        <f t="shared" si="4"/>
        <v>2028.8000000000002</v>
      </c>
      <c r="Q21" s="66">
        <f t="shared" si="15"/>
        <v>26056738.103999998</v>
      </c>
      <c r="R21" s="88">
        <v>3757</v>
      </c>
      <c r="S21" s="88"/>
      <c r="T21" s="88"/>
      <c r="U21" s="65">
        <f t="shared" si="5"/>
        <v>5274.88</v>
      </c>
      <c r="V21" s="120">
        <v>899</v>
      </c>
      <c r="W21" s="65">
        <f t="shared" si="6"/>
        <v>6096.5439999999999</v>
      </c>
      <c r="X21" s="88">
        <v>726</v>
      </c>
      <c r="Y21" s="88"/>
      <c r="Z21" s="88"/>
      <c r="AA21" s="65">
        <f t="shared" si="7"/>
        <v>930.71199999999999</v>
      </c>
      <c r="AB21" s="66">
        <f t="shared" si="8"/>
        <v>25974214.127999999</v>
      </c>
      <c r="AC21" s="86">
        <v>7300431</v>
      </c>
      <c r="AD21" s="94">
        <f t="shared" si="9"/>
        <v>91341311.613279998</v>
      </c>
      <c r="AE21" s="89">
        <v>94673289</v>
      </c>
      <c r="AF21" s="91">
        <f t="shared" si="10"/>
        <v>5.0264446802882945E-2</v>
      </c>
      <c r="AG21" s="98">
        <f t="shared" si="11"/>
        <v>-3331977.3867200017</v>
      </c>
    </row>
    <row r="22" spans="1:33" x14ac:dyDescent="0.2">
      <c r="A22" s="121" t="s">
        <v>97</v>
      </c>
      <c r="B22" s="183">
        <v>11378.55</v>
      </c>
      <c r="C22" s="184">
        <v>272.26</v>
      </c>
      <c r="D22" s="184">
        <v>132.19</v>
      </c>
      <c r="E22" s="62">
        <f t="shared" si="12"/>
        <v>11783</v>
      </c>
      <c r="F22" s="63">
        <f t="shared" si="1"/>
        <v>59219945.039999992</v>
      </c>
      <c r="G22" s="63">
        <f t="shared" si="2"/>
        <v>64086898.039999992</v>
      </c>
      <c r="H22" s="194">
        <v>64086898.039999999</v>
      </c>
      <c r="I22" s="182">
        <f>-'[1]Formula Weights'!$B$16*('[1]16-17 Apportionments Data'!F10)+-'[1]Formula Weights'!$B$17*('[1]16-17 Apportionments Data'!G10)+-'[1]Formula Weights'!$B$18*('[1]16-17 Apportionments Data'!H10)</f>
        <v>0</v>
      </c>
      <c r="J22" s="64">
        <f t="shared" si="13"/>
        <v>28967277.914080001</v>
      </c>
      <c r="K22" s="85">
        <v>4645</v>
      </c>
      <c r="L22" s="85"/>
      <c r="M22" s="85"/>
      <c r="N22" s="65">
        <f t="shared" si="3"/>
        <v>1271.5503999999999</v>
      </c>
      <c r="O22" s="126">
        <v>880</v>
      </c>
      <c r="P22" s="65">
        <f t="shared" si="4"/>
        <v>2028.8000000000002</v>
      </c>
      <c r="Q22" s="66">
        <f t="shared" si="15"/>
        <v>7691695.6079999991</v>
      </c>
      <c r="R22" s="88">
        <v>4455</v>
      </c>
      <c r="S22" s="88"/>
      <c r="T22" s="88"/>
      <c r="U22" s="65">
        <f t="shared" si="5"/>
        <v>5274.88</v>
      </c>
      <c r="V22" s="120">
        <v>980</v>
      </c>
      <c r="W22" s="65">
        <f t="shared" si="6"/>
        <v>6096.5439999999999</v>
      </c>
      <c r="X22" s="88">
        <v>803</v>
      </c>
      <c r="Y22" s="88"/>
      <c r="Z22" s="88"/>
      <c r="AA22" s="65">
        <f t="shared" si="7"/>
        <v>930.71199999999999</v>
      </c>
      <c r="AB22" s="66">
        <f t="shared" si="8"/>
        <v>30221565.256000005</v>
      </c>
      <c r="AC22" s="86">
        <v>4866953</v>
      </c>
      <c r="AD22" s="94">
        <f t="shared" si="9"/>
        <v>66880538.778080009</v>
      </c>
      <c r="AE22" s="89">
        <v>67630228</v>
      </c>
      <c r="AF22" s="91">
        <f t="shared" si="10"/>
        <v>4.3591448853342221E-2</v>
      </c>
      <c r="AG22" s="98">
        <f t="shared" si="11"/>
        <v>-749689.22191999108</v>
      </c>
    </row>
    <row r="23" spans="1:33" x14ac:dyDescent="0.2">
      <c r="A23" s="121" t="s">
        <v>98</v>
      </c>
      <c r="B23" s="183">
        <v>32335.14</v>
      </c>
      <c r="C23" s="184">
        <v>288.66000000000003</v>
      </c>
      <c r="D23" s="184">
        <v>0</v>
      </c>
      <c r="E23" s="62">
        <f t="shared" si="12"/>
        <v>32623.8</v>
      </c>
      <c r="F23" s="63">
        <f t="shared" si="1"/>
        <v>164891748.23999998</v>
      </c>
      <c r="G23" s="63">
        <f t="shared" si="2"/>
        <v>177059130.23999998</v>
      </c>
      <c r="H23" s="194">
        <v>177059130.24000001</v>
      </c>
      <c r="I23" s="182">
        <f>-'[1]Formula Weights'!$B$16*('[1]16-17 Apportionments Data'!F11)+-'[1]Formula Weights'!$B$17*('[1]16-17 Apportionments Data'!G11)+-'[1]Formula Weights'!$B$18*('[1]16-17 Apportionments Data'!H11)</f>
        <v>5118992.749460781</v>
      </c>
      <c r="J23" s="64">
        <f t="shared" si="13"/>
        <v>80030726.868480012</v>
      </c>
      <c r="K23" s="85">
        <v>31246</v>
      </c>
      <c r="L23" s="85"/>
      <c r="M23" s="85"/>
      <c r="N23" s="65">
        <f t="shared" si="3"/>
        <v>1271.5503999999999</v>
      </c>
      <c r="O23" s="126">
        <v>2184</v>
      </c>
      <c r="P23" s="65">
        <f t="shared" si="4"/>
        <v>2028.8000000000002</v>
      </c>
      <c r="Q23" s="66">
        <f t="shared" si="15"/>
        <v>44161762.998399995</v>
      </c>
      <c r="R23" s="88">
        <v>10153</v>
      </c>
      <c r="S23" s="88"/>
      <c r="T23" s="88"/>
      <c r="U23" s="65">
        <f t="shared" si="5"/>
        <v>5274.88</v>
      </c>
      <c r="V23" s="120">
        <v>2856</v>
      </c>
      <c r="W23" s="65">
        <f t="shared" si="6"/>
        <v>6096.5439999999999</v>
      </c>
      <c r="X23" s="88">
        <v>1573</v>
      </c>
      <c r="Y23" s="88"/>
      <c r="Z23" s="88"/>
      <c r="AA23" s="65">
        <f t="shared" si="7"/>
        <v>930.71199999999999</v>
      </c>
      <c r="AB23" s="66">
        <f t="shared" si="8"/>
        <v>72431596.280000001</v>
      </c>
      <c r="AC23" s="86">
        <v>12167382</v>
      </c>
      <c r="AD23" s="94">
        <f t="shared" si="9"/>
        <v>196624086.14688003</v>
      </c>
      <c r="AE23" s="89">
        <v>173638880</v>
      </c>
      <c r="AF23" s="91">
        <f t="shared" si="10"/>
        <v>0.11049955955595263</v>
      </c>
      <c r="AG23" s="98">
        <f t="shared" si="11"/>
        <v>22985206.146880031</v>
      </c>
    </row>
    <row r="24" spans="1:33" x14ac:dyDescent="0.2">
      <c r="A24" s="121" t="s">
        <v>99</v>
      </c>
      <c r="B24" s="183">
        <v>5982.99</v>
      </c>
      <c r="C24" s="184">
        <v>23.01</v>
      </c>
      <c r="D24" s="184">
        <v>0</v>
      </c>
      <c r="E24" s="62">
        <f t="shared" si="12"/>
        <v>6006</v>
      </c>
      <c r="F24" s="63">
        <f t="shared" si="1"/>
        <v>30416504.039999999</v>
      </c>
      <c r="G24" s="63">
        <f t="shared" si="2"/>
        <v>34066718.039999999</v>
      </c>
      <c r="H24" s="194">
        <v>34066718.039999999</v>
      </c>
      <c r="I24" s="182">
        <f>-'[1]Formula Weights'!$B$16*('[1]16-17 Apportionments Data'!F12)+-'[1]Formula Weights'!$B$17*('[1]16-17 Apportionments Data'!G12)+-'[1]Formula Weights'!$B$18*('[1]16-17 Apportionments Data'!H12)</f>
        <v>2034271.9796056405</v>
      </c>
      <c r="J24" s="64">
        <f t="shared" si="13"/>
        <v>15398156.55408</v>
      </c>
      <c r="K24" s="85">
        <v>5547</v>
      </c>
      <c r="L24" s="85"/>
      <c r="M24" s="85"/>
      <c r="N24" s="65">
        <f t="shared" si="3"/>
        <v>1271.5503999999999</v>
      </c>
      <c r="O24" s="126">
        <v>459</v>
      </c>
      <c r="P24" s="65">
        <f t="shared" si="4"/>
        <v>2028.8000000000002</v>
      </c>
      <c r="Q24" s="66">
        <f t="shared" si="15"/>
        <v>7984509.2687999997</v>
      </c>
      <c r="R24" s="88">
        <v>671</v>
      </c>
      <c r="S24" s="88"/>
      <c r="T24" s="88"/>
      <c r="U24" s="65">
        <f t="shared" si="5"/>
        <v>5274.88</v>
      </c>
      <c r="V24" s="120">
        <v>178</v>
      </c>
      <c r="W24" s="65">
        <f t="shared" si="6"/>
        <v>6096.5439999999999</v>
      </c>
      <c r="X24" s="88">
        <v>0</v>
      </c>
      <c r="Y24" s="88"/>
      <c r="Z24" s="88"/>
      <c r="AA24" s="65">
        <f t="shared" si="7"/>
        <v>930.71199999999999</v>
      </c>
      <c r="AB24" s="66">
        <f t="shared" si="8"/>
        <v>4624629.3119999999</v>
      </c>
      <c r="AC24" s="86">
        <v>3650214</v>
      </c>
      <c r="AD24" s="94">
        <f t="shared" si="9"/>
        <v>28007295.134879999</v>
      </c>
      <c r="AE24" s="89">
        <v>30977082</v>
      </c>
      <c r="AF24" s="91">
        <f t="shared" si="10"/>
        <v>-0.17786928867069698</v>
      </c>
      <c r="AG24" s="98">
        <f t="shared" si="11"/>
        <v>-2969786.8651200011</v>
      </c>
    </row>
    <row r="25" spans="1:33" x14ac:dyDescent="0.2">
      <c r="A25" s="121" t="s">
        <v>100</v>
      </c>
      <c r="B25" s="183">
        <v>29353.11</v>
      </c>
      <c r="C25" s="184">
        <v>135.74</v>
      </c>
      <c r="D25" s="184">
        <v>0</v>
      </c>
      <c r="E25" s="62">
        <f t="shared" si="12"/>
        <v>29488.850000000002</v>
      </c>
      <c r="F25" s="63">
        <f t="shared" si="1"/>
        <v>149296510.16000003</v>
      </c>
      <c r="G25" s="63">
        <f t="shared" si="2"/>
        <v>163289000.16000003</v>
      </c>
      <c r="H25" s="194">
        <v>163289000.16</v>
      </c>
      <c r="I25" s="182">
        <f>-'[1]Formula Weights'!$B$16*('[1]16-17 Apportionments Data'!F13)+-'[1]Formula Weights'!$B$17*('[1]16-17 Apportionments Data'!G13)+-'[1]Formula Weights'!$B$18*('[1]16-17 Apportionments Data'!H13)</f>
        <v>6364425.3832248459</v>
      </c>
      <c r="J25" s="64">
        <f t="shared" si="13"/>
        <v>73806628.072319999</v>
      </c>
      <c r="K25" s="85">
        <v>18706</v>
      </c>
      <c r="L25" s="85"/>
      <c r="M25" s="85"/>
      <c r="N25" s="65">
        <f t="shared" si="3"/>
        <v>1271.5503999999999</v>
      </c>
      <c r="O25" s="126">
        <v>1038</v>
      </c>
      <c r="P25" s="65">
        <f t="shared" si="4"/>
        <v>2028.8000000000002</v>
      </c>
      <c r="Q25" s="66">
        <f t="shared" si="15"/>
        <v>25891516.182399996</v>
      </c>
      <c r="R25" s="88">
        <v>5760</v>
      </c>
      <c r="S25" s="88"/>
      <c r="T25" s="88"/>
      <c r="U25" s="65">
        <f t="shared" si="5"/>
        <v>5274.88</v>
      </c>
      <c r="V25" s="120">
        <v>1854</v>
      </c>
      <c r="W25" s="65">
        <f t="shared" si="6"/>
        <v>6096.5439999999999</v>
      </c>
      <c r="X25" s="88">
        <v>1280</v>
      </c>
      <c r="Y25" s="88"/>
      <c r="Z25" s="88"/>
      <c r="AA25" s="65">
        <f t="shared" si="7"/>
        <v>930.71199999999999</v>
      </c>
      <c r="AB25" s="66">
        <f t="shared" si="8"/>
        <v>42877612.736000001</v>
      </c>
      <c r="AC25" s="86">
        <v>13992490</v>
      </c>
      <c r="AD25" s="94">
        <f t="shared" si="9"/>
        <v>142575756.99071997</v>
      </c>
      <c r="AE25" s="89">
        <v>156330893</v>
      </c>
      <c r="AF25" s="91">
        <f t="shared" si="10"/>
        <v>-0.1268502051515045</v>
      </c>
      <c r="AG25" s="98">
        <f t="shared" si="11"/>
        <v>-13755136.009280026</v>
      </c>
    </row>
    <row r="26" spans="1:33" x14ac:dyDescent="0.2">
      <c r="A26" s="121" t="s">
        <v>101</v>
      </c>
      <c r="B26" s="183">
        <v>1397.72</v>
      </c>
      <c r="C26" s="184">
        <v>82.1</v>
      </c>
      <c r="D26" s="184">
        <v>2.46</v>
      </c>
      <c r="E26" s="62">
        <f t="shared" si="12"/>
        <v>1482.28</v>
      </c>
      <c r="F26" s="63">
        <f t="shared" si="1"/>
        <v>7354252.5599999996</v>
      </c>
      <c r="G26" s="63">
        <f t="shared" si="2"/>
        <v>12165459.559999999</v>
      </c>
      <c r="H26" s="194">
        <v>12165459.560000001</v>
      </c>
      <c r="I26" s="182">
        <f>-'[1]Formula Weights'!$B$16*('[1]16-17 Apportionments Data'!F14)+-'[1]Formula Weights'!$B$17*('[1]16-17 Apportionments Data'!G14)+-'[1]Formula Weights'!$B$18*('[1]16-17 Apportionments Data'!H14)</f>
        <v>30679.906592129719</v>
      </c>
      <c r="J26" s="64">
        <f t="shared" si="13"/>
        <v>5498787.7211200008</v>
      </c>
      <c r="K26" s="85">
        <v>1843</v>
      </c>
      <c r="L26" s="85"/>
      <c r="M26" s="85"/>
      <c r="N26" s="65">
        <f t="shared" si="3"/>
        <v>1271.5503999999999</v>
      </c>
      <c r="O26" s="126">
        <v>214</v>
      </c>
      <c r="P26" s="65">
        <f t="shared" si="4"/>
        <v>2028.8000000000002</v>
      </c>
      <c r="Q26" s="66">
        <f t="shared" si="15"/>
        <v>2777630.5872</v>
      </c>
      <c r="R26" s="88">
        <v>270</v>
      </c>
      <c r="S26" s="88"/>
      <c r="T26" s="88"/>
      <c r="U26" s="65">
        <f t="shared" si="5"/>
        <v>5274.88</v>
      </c>
      <c r="V26" s="120">
        <v>97</v>
      </c>
      <c r="W26" s="65">
        <f t="shared" si="6"/>
        <v>6096.5439999999999</v>
      </c>
      <c r="X26" s="88">
        <v>59</v>
      </c>
      <c r="Y26" s="88"/>
      <c r="Z26" s="88"/>
      <c r="AA26" s="65">
        <f t="shared" si="7"/>
        <v>930.71199999999999</v>
      </c>
      <c r="AB26" s="66">
        <f t="shared" si="8"/>
        <v>2070494.3760000002</v>
      </c>
      <c r="AC26" s="86">
        <v>4811207</v>
      </c>
      <c r="AD26" s="94">
        <f t="shared" si="9"/>
        <v>10346912.684320001</v>
      </c>
      <c r="AE26" s="89">
        <v>12671883</v>
      </c>
      <c r="AF26" s="91">
        <f t="shared" si="10"/>
        <v>-0.14948443720608595</v>
      </c>
      <c r="AG26" s="98">
        <f t="shared" si="11"/>
        <v>-2324970.3156799991</v>
      </c>
    </row>
    <row r="27" spans="1:33" x14ac:dyDescent="0.2">
      <c r="A27" s="121" t="s">
        <v>102</v>
      </c>
      <c r="B27" s="183">
        <v>8435.0300000000007</v>
      </c>
      <c r="C27" s="184">
        <v>24.92</v>
      </c>
      <c r="D27" s="184">
        <v>593.5</v>
      </c>
      <c r="E27" s="62">
        <f t="shared" si="12"/>
        <v>9053.4500000000007</v>
      </c>
      <c r="F27" s="63">
        <f t="shared" si="1"/>
        <v>45869358.080000006</v>
      </c>
      <c r="G27" s="63">
        <f t="shared" si="2"/>
        <v>49519572.080000006</v>
      </c>
      <c r="H27" s="194">
        <v>49519572.079999998</v>
      </c>
      <c r="I27" s="182">
        <f>-'[1]Formula Weights'!$B$16*('[1]16-17 Apportionments Data'!F15)+-'[1]Formula Weights'!$B$17*('[1]16-17 Apportionments Data'!G15)+-'[1]Formula Weights'!$B$18*('[1]16-17 Apportionments Data'!H15)</f>
        <v>23301.433562372051</v>
      </c>
      <c r="J27" s="64">
        <f t="shared" si="13"/>
        <v>22382846.580159999</v>
      </c>
      <c r="K27" s="85">
        <v>9195</v>
      </c>
      <c r="L27" s="85"/>
      <c r="M27" s="85"/>
      <c r="N27" s="65">
        <f t="shared" si="3"/>
        <v>1271.5503999999999</v>
      </c>
      <c r="O27" s="126">
        <v>931</v>
      </c>
      <c r="P27" s="65">
        <f t="shared" si="4"/>
        <v>2028.8000000000002</v>
      </c>
      <c r="Q27" s="66">
        <f t="shared" si="15"/>
        <v>13580718.728</v>
      </c>
      <c r="R27" s="88">
        <v>1232</v>
      </c>
      <c r="S27" s="88"/>
      <c r="T27" s="88"/>
      <c r="U27" s="65">
        <f t="shared" si="5"/>
        <v>5274.88</v>
      </c>
      <c r="V27" s="120">
        <v>312</v>
      </c>
      <c r="W27" s="65">
        <f t="shared" si="6"/>
        <v>6096.5439999999999</v>
      </c>
      <c r="X27" s="88">
        <v>476</v>
      </c>
      <c r="Y27" s="88"/>
      <c r="Z27" s="88"/>
      <c r="AA27" s="65">
        <f t="shared" si="7"/>
        <v>930.71199999999999</v>
      </c>
      <c r="AB27" s="66">
        <f t="shared" si="8"/>
        <v>8843792.8000000007</v>
      </c>
      <c r="AC27" s="86">
        <v>3650214</v>
      </c>
      <c r="AD27" s="94">
        <f t="shared" si="9"/>
        <v>44807358.108160004</v>
      </c>
      <c r="AE27" s="89">
        <v>51823382</v>
      </c>
      <c r="AF27" s="91">
        <f t="shared" si="10"/>
        <v>-9.5158616561292403E-2</v>
      </c>
      <c r="AG27" s="98">
        <f t="shared" si="11"/>
        <v>-7016023.891839996</v>
      </c>
    </row>
    <row r="28" spans="1:33" x14ac:dyDescent="0.2">
      <c r="A28" s="121" t="s">
        <v>103</v>
      </c>
      <c r="B28" s="183">
        <v>19463.240000000002</v>
      </c>
      <c r="C28" s="184">
        <v>22.76</v>
      </c>
      <c r="D28" s="184">
        <v>0</v>
      </c>
      <c r="E28" s="62">
        <f t="shared" si="12"/>
        <v>19486</v>
      </c>
      <c r="F28" s="63">
        <f t="shared" si="1"/>
        <v>98787563.040000007</v>
      </c>
      <c r="G28" s="63">
        <f t="shared" si="2"/>
        <v>107304730.04000001</v>
      </c>
      <c r="H28" s="194">
        <v>107304730.04000001</v>
      </c>
      <c r="I28" s="182">
        <f>-'[1]Formula Weights'!$B$16*('[1]16-17 Apportionments Data'!F16)+-'[1]Formula Weights'!$B$17*('[1]16-17 Apportionments Data'!G16)+-'[1]Formula Weights'!$B$18*('[1]16-17 Apportionments Data'!H16)</f>
        <v>3656138.4830393814</v>
      </c>
      <c r="J28" s="64">
        <f t="shared" si="13"/>
        <v>48501737.978080004</v>
      </c>
      <c r="K28" s="85">
        <v>17631</v>
      </c>
      <c r="L28" s="85"/>
      <c r="M28" s="85"/>
      <c r="N28" s="65">
        <f t="shared" si="3"/>
        <v>1271.5503999999999</v>
      </c>
      <c r="O28" s="126">
        <v>1501</v>
      </c>
      <c r="P28" s="65">
        <f t="shared" si="4"/>
        <v>2028.8000000000002</v>
      </c>
      <c r="Q28" s="66">
        <f t="shared" si="15"/>
        <v>25463933.902399998</v>
      </c>
      <c r="R28" s="88">
        <v>3341</v>
      </c>
      <c r="S28" s="88"/>
      <c r="T28" s="88"/>
      <c r="U28" s="65">
        <f t="shared" si="5"/>
        <v>5274.88</v>
      </c>
      <c r="V28" s="120">
        <v>911</v>
      </c>
      <c r="W28" s="65">
        <f t="shared" si="6"/>
        <v>6096.5439999999999</v>
      </c>
      <c r="X28" s="88">
        <v>349</v>
      </c>
      <c r="Y28" s="88"/>
      <c r="Z28" s="88"/>
      <c r="AA28" s="65">
        <f t="shared" si="7"/>
        <v>930.71199999999999</v>
      </c>
      <c r="AB28" s="66">
        <f t="shared" si="8"/>
        <v>23502144.152000003</v>
      </c>
      <c r="AC28" s="86">
        <v>8517167</v>
      </c>
      <c r="AD28" s="94">
        <f t="shared" si="9"/>
        <v>97467816.032480001</v>
      </c>
      <c r="AE28" s="89">
        <v>105298744</v>
      </c>
      <c r="AF28" s="91">
        <f t="shared" si="10"/>
        <v>-9.167269703631048E-2</v>
      </c>
      <c r="AG28" s="98">
        <f t="shared" si="11"/>
        <v>-7830927.9675199986</v>
      </c>
    </row>
    <row r="29" spans="1:33" x14ac:dyDescent="0.2">
      <c r="A29" s="121" t="s">
        <v>104</v>
      </c>
      <c r="B29" s="183">
        <v>1576.62</v>
      </c>
      <c r="C29" s="184">
        <v>43.26</v>
      </c>
      <c r="D29" s="184">
        <v>0</v>
      </c>
      <c r="E29" s="62">
        <f t="shared" si="12"/>
        <v>1619.8799999999999</v>
      </c>
      <c r="F29" s="63">
        <f t="shared" si="1"/>
        <v>8129684.3999999994</v>
      </c>
      <c r="G29" s="63">
        <f t="shared" si="2"/>
        <v>12940891.399999999</v>
      </c>
      <c r="H29" s="194">
        <v>12940891.4</v>
      </c>
      <c r="I29" s="182">
        <f>-'[1]Formula Weights'!$B$16*('[1]16-17 Apportionments Data'!F17)+-'[1]Formula Weights'!$B$17*('[1]16-17 Apportionments Data'!G17)+-'[1]Formula Weights'!$B$18*('[1]16-17 Apportionments Data'!H17)</f>
        <v>0</v>
      </c>
      <c r="J29" s="64">
        <f t="shared" si="13"/>
        <v>5849282.9128</v>
      </c>
      <c r="K29" s="85">
        <v>1477</v>
      </c>
      <c r="L29" s="85"/>
      <c r="M29" s="85"/>
      <c r="N29" s="65">
        <f t="shared" si="3"/>
        <v>1271.5503999999999</v>
      </c>
      <c r="O29" s="126">
        <v>66</v>
      </c>
      <c r="P29" s="65">
        <f t="shared" si="4"/>
        <v>2028.8000000000002</v>
      </c>
      <c r="Q29" s="66">
        <f t="shared" si="15"/>
        <v>2011980.7407999998</v>
      </c>
      <c r="R29" s="88">
        <v>192</v>
      </c>
      <c r="S29" s="88"/>
      <c r="T29" s="88"/>
      <c r="U29" s="65">
        <f t="shared" si="5"/>
        <v>5274.88</v>
      </c>
      <c r="V29" s="120">
        <v>125</v>
      </c>
      <c r="W29" s="65">
        <f t="shared" si="6"/>
        <v>6096.5439999999999</v>
      </c>
      <c r="X29" s="88">
        <v>26</v>
      </c>
      <c r="Y29" s="88"/>
      <c r="Z29" s="88"/>
      <c r="AA29" s="65">
        <f t="shared" si="7"/>
        <v>930.71199999999999</v>
      </c>
      <c r="AB29" s="66">
        <f t="shared" si="8"/>
        <v>1799043.4720000001</v>
      </c>
      <c r="AC29" s="86">
        <v>4811207</v>
      </c>
      <c r="AD29" s="94">
        <f t="shared" si="9"/>
        <v>9660307.125599999</v>
      </c>
      <c r="AE29" s="89">
        <v>13588396</v>
      </c>
      <c r="AF29" s="91">
        <f t="shared" si="10"/>
        <v>-0.25350527819126895</v>
      </c>
      <c r="AG29" s="98">
        <f t="shared" si="11"/>
        <v>-3928088.874400001</v>
      </c>
    </row>
    <row r="30" spans="1:33" x14ac:dyDescent="0.2">
      <c r="A30" s="122" t="s">
        <v>105</v>
      </c>
      <c r="B30" s="183">
        <v>26756</v>
      </c>
      <c r="C30" s="184">
        <v>215.89</v>
      </c>
      <c r="D30" s="184">
        <v>169.43</v>
      </c>
      <c r="E30" s="62">
        <f t="shared" si="12"/>
        <v>27141.32</v>
      </c>
      <c r="F30" s="63">
        <f t="shared" si="1"/>
        <v>137229858.59999999</v>
      </c>
      <c r="G30" s="63">
        <f t="shared" si="2"/>
        <v>146963765.59999999</v>
      </c>
      <c r="H30" s="194">
        <v>146963780.81999999</v>
      </c>
      <c r="I30" s="182">
        <f>-'[1]Formula Weights'!$B$16*('[1]16-17 Apportionments Data'!F18)+-'[1]Formula Weights'!$B$17*('[1]16-17 Apportionments Data'!G18)+-'[1]Formula Weights'!$B$18*('[1]16-17 Apportionments Data'!H18)</f>
        <v>2713523.6094035716</v>
      </c>
      <c r="J30" s="64">
        <f t="shared" si="13"/>
        <v>66427628.930639997</v>
      </c>
      <c r="K30" s="85">
        <v>15516</v>
      </c>
      <c r="L30" s="85"/>
      <c r="M30" s="85"/>
      <c r="N30" s="65">
        <f t="shared" si="3"/>
        <v>1271.5503999999999</v>
      </c>
      <c r="O30" s="126">
        <v>1099</v>
      </c>
      <c r="P30" s="65">
        <f t="shared" si="4"/>
        <v>2028.8000000000002</v>
      </c>
      <c r="Q30" s="66">
        <f t="shared" si="15"/>
        <v>21959027.206399996</v>
      </c>
      <c r="R30" s="88">
        <v>4386</v>
      </c>
      <c r="S30" s="88"/>
      <c r="T30" s="88"/>
      <c r="U30" s="65">
        <f t="shared" si="5"/>
        <v>5274.88</v>
      </c>
      <c r="V30" s="120">
        <v>2241</v>
      </c>
      <c r="W30" s="65">
        <f t="shared" si="6"/>
        <v>6096.5439999999999</v>
      </c>
      <c r="X30" s="88">
        <v>1070</v>
      </c>
      <c r="Y30" s="88"/>
      <c r="Z30" s="88"/>
      <c r="AA30" s="65">
        <f t="shared" si="7"/>
        <v>930.71199999999999</v>
      </c>
      <c r="AB30" s="66">
        <f t="shared" si="8"/>
        <v>37793840.624000005</v>
      </c>
      <c r="AC30" s="86">
        <v>9733907</v>
      </c>
      <c r="AD30" s="94">
        <f t="shared" si="9"/>
        <v>126180496.76104</v>
      </c>
      <c r="AE30" s="89">
        <v>148336402</v>
      </c>
      <c r="AF30" s="91">
        <f t="shared" si="10"/>
        <v>-0.1414176396073509</v>
      </c>
      <c r="AG30" s="98">
        <f t="shared" si="11"/>
        <v>-22155905.238959998</v>
      </c>
    </row>
    <row r="31" spans="1:33" x14ac:dyDescent="0.2">
      <c r="A31" s="121" t="s">
        <v>106</v>
      </c>
      <c r="B31" s="183">
        <v>4265.08</v>
      </c>
      <c r="C31" s="184">
        <v>438.96</v>
      </c>
      <c r="D31" s="184">
        <v>85.28</v>
      </c>
      <c r="E31" s="62">
        <f t="shared" si="12"/>
        <v>4789.32</v>
      </c>
      <c r="F31" s="63">
        <f t="shared" si="1"/>
        <v>23415266.879999999</v>
      </c>
      <c r="G31" s="63">
        <f t="shared" si="2"/>
        <v>28226473.879999999</v>
      </c>
      <c r="H31" s="194">
        <v>28226448.52</v>
      </c>
      <c r="I31" s="182">
        <f>-'[1]Formula Weights'!$B$16*('[1]16-17 Apportionments Data'!F19)+-'[1]Formula Weights'!$B$17*('[1]16-17 Apportionments Data'!G19)+-'[1]Formula Weights'!$B$18*('[1]16-17 Apportionments Data'!H19)</f>
        <v>0</v>
      </c>
      <c r="J31" s="64">
        <f t="shared" si="13"/>
        <v>12758366.19376</v>
      </c>
      <c r="K31" s="85">
        <v>3414</v>
      </c>
      <c r="L31" s="85"/>
      <c r="M31" s="85"/>
      <c r="N31" s="65">
        <f t="shared" si="3"/>
        <v>1271.5503999999999</v>
      </c>
      <c r="O31" s="126">
        <v>266</v>
      </c>
      <c r="P31" s="65">
        <f t="shared" si="4"/>
        <v>2028.8000000000002</v>
      </c>
      <c r="Q31" s="66">
        <f t="shared" si="15"/>
        <v>4880733.8655999992</v>
      </c>
      <c r="R31" s="88">
        <v>1109</v>
      </c>
      <c r="S31" s="88"/>
      <c r="T31" s="88"/>
      <c r="U31" s="65">
        <f t="shared" si="5"/>
        <v>5274.88</v>
      </c>
      <c r="V31" s="120">
        <v>325</v>
      </c>
      <c r="W31" s="65">
        <f t="shared" si="6"/>
        <v>6096.5439999999999</v>
      </c>
      <c r="X31" s="88">
        <v>157</v>
      </c>
      <c r="Y31" s="88"/>
      <c r="Z31" s="88"/>
      <c r="AA31" s="65">
        <f t="shared" si="7"/>
        <v>930.71199999999999</v>
      </c>
      <c r="AB31" s="66">
        <f t="shared" si="8"/>
        <v>7977340.5039999997</v>
      </c>
      <c r="AC31" s="86">
        <v>4811207</v>
      </c>
      <c r="AD31" s="94">
        <f t="shared" si="9"/>
        <v>25616440.563359998</v>
      </c>
      <c r="AE31" s="89">
        <v>32603488</v>
      </c>
      <c r="AF31" s="91">
        <f t="shared" si="10"/>
        <v>-9.2467565298312099E-2</v>
      </c>
      <c r="AG31" s="98">
        <f t="shared" si="11"/>
        <v>-6987047.4366400018</v>
      </c>
    </row>
    <row r="32" spans="1:33" x14ac:dyDescent="0.2">
      <c r="A32" s="121" t="s">
        <v>107</v>
      </c>
      <c r="B32" s="183">
        <v>11297.33</v>
      </c>
      <c r="C32" s="184">
        <v>257.10000000000002</v>
      </c>
      <c r="D32" s="183">
        <v>2538.98</v>
      </c>
      <c r="E32" s="62">
        <f t="shared" si="12"/>
        <v>14093.41</v>
      </c>
      <c r="F32" s="63">
        <f t="shared" si="1"/>
        <v>70968603.920000002</v>
      </c>
      <c r="G32" s="63">
        <f t="shared" si="2"/>
        <v>77052295.920000002</v>
      </c>
      <c r="H32" s="194">
        <v>77052295.920000002</v>
      </c>
      <c r="I32" s="182">
        <f>-'[1]Formula Weights'!$B$16*('[1]16-17 Apportionments Data'!F20)+-'[1]Formula Weights'!$B$17*('[1]16-17 Apportionments Data'!G20)+-'[1]Formula Weights'!$B$18*('[1]16-17 Apportionments Data'!H20)</f>
        <v>0</v>
      </c>
      <c r="J32" s="64">
        <f t="shared" si="13"/>
        <v>34827637.755840003</v>
      </c>
      <c r="K32" s="85">
        <v>12155</v>
      </c>
      <c r="L32" s="85"/>
      <c r="M32" s="85"/>
      <c r="N32" s="65">
        <f t="shared" si="3"/>
        <v>1271.5503999999999</v>
      </c>
      <c r="O32" s="126">
        <v>1153</v>
      </c>
      <c r="P32" s="65">
        <f t="shared" si="4"/>
        <v>2028.8000000000002</v>
      </c>
      <c r="Q32" s="66">
        <f t="shared" si="15"/>
        <v>17794901.511999998</v>
      </c>
      <c r="R32" s="88">
        <v>1393</v>
      </c>
      <c r="S32" s="88"/>
      <c r="T32" s="88"/>
      <c r="U32" s="65">
        <f t="shared" si="5"/>
        <v>5274.88</v>
      </c>
      <c r="V32" s="120">
        <v>529</v>
      </c>
      <c r="W32" s="65">
        <f t="shared" si="6"/>
        <v>6096.5439999999999</v>
      </c>
      <c r="X32" s="88">
        <v>467</v>
      </c>
      <c r="Y32" s="88"/>
      <c r="Z32" s="88"/>
      <c r="AA32" s="65">
        <f t="shared" si="7"/>
        <v>930.71199999999999</v>
      </c>
      <c r="AB32" s="66">
        <f t="shared" si="8"/>
        <v>11007622.120000001</v>
      </c>
      <c r="AC32" s="86">
        <v>6083692</v>
      </c>
      <c r="AD32" s="94">
        <f t="shared" si="9"/>
        <v>63630161.387840003</v>
      </c>
      <c r="AE32" s="89">
        <v>88625500</v>
      </c>
      <c r="AF32" s="91">
        <f t="shared" si="10"/>
        <v>-0.17419512776226173</v>
      </c>
      <c r="AG32" s="98">
        <f t="shared" si="11"/>
        <v>-24995338.612159997</v>
      </c>
    </row>
    <row r="33" spans="1:33" x14ac:dyDescent="0.2">
      <c r="A33" s="121" t="s">
        <v>108</v>
      </c>
      <c r="B33" s="183">
        <v>18727.580000000002</v>
      </c>
      <c r="C33" s="184">
        <v>21.93</v>
      </c>
      <c r="D33" s="184">
        <v>0</v>
      </c>
      <c r="E33" s="62">
        <f t="shared" si="12"/>
        <v>18749.510000000002</v>
      </c>
      <c r="F33" s="63">
        <f t="shared" si="1"/>
        <v>95053742.440000013</v>
      </c>
      <c r="G33" s="63">
        <f t="shared" si="2"/>
        <v>102962540.44000001</v>
      </c>
      <c r="H33" s="194">
        <v>102962540.44</v>
      </c>
      <c r="I33" s="182">
        <f>-'[1]Formula Weights'!$B$16*('[1]16-17 Apportionments Data'!F21)+-'[1]Formula Weights'!$B$17*('[1]16-17 Apportionments Data'!G21)+-'[1]Formula Weights'!$B$18*('[1]16-17 Apportionments Data'!H21)</f>
        <v>0</v>
      </c>
      <c r="J33" s="64">
        <f t="shared" si="13"/>
        <v>46539068.27888</v>
      </c>
      <c r="K33" s="85">
        <v>19709</v>
      </c>
      <c r="L33" s="85"/>
      <c r="M33" s="85"/>
      <c r="N33" s="65">
        <f t="shared" si="3"/>
        <v>1271.5503999999999</v>
      </c>
      <c r="O33" s="126">
        <v>1690</v>
      </c>
      <c r="P33" s="65">
        <f t="shared" si="4"/>
        <v>2028.8000000000002</v>
      </c>
      <c r="Q33" s="66">
        <f t="shared" si="15"/>
        <v>28489658.833599996</v>
      </c>
      <c r="R33" s="88">
        <v>4610</v>
      </c>
      <c r="S33" s="88"/>
      <c r="T33" s="88"/>
      <c r="U33" s="65">
        <f t="shared" si="5"/>
        <v>5274.88</v>
      </c>
      <c r="V33" s="120">
        <v>1353</v>
      </c>
      <c r="W33" s="65">
        <f t="shared" si="6"/>
        <v>6096.5439999999999</v>
      </c>
      <c r="X33" s="88">
        <v>920</v>
      </c>
      <c r="Y33" s="88"/>
      <c r="Z33" s="88"/>
      <c r="AA33" s="65">
        <f t="shared" si="7"/>
        <v>930.71199999999999</v>
      </c>
      <c r="AB33" s="66">
        <f t="shared" si="8"/>
        <v>33422075.872000001</v>
      </c>
      <c r="AC33" s="86">
        <v>7908798</v>
      </c>
      <c r="AD33" s="94">
        <f t="shared" si="9"/>
        <v>108450802.98447999</v>
      </c>
      <c r="AE33" s="89">
        <v>109896776</v>
      </c>
      <c r="AF33" s="91">
        <f t="shared" si="10"/>
        <v>5.330348805523296E-2</v>
      </c>
      <c r="AG33" s="98">
        <f t="shared" si="11"/>
        <v>-1445973.0155200064</v>
      </c>
    </row>
    <row r="34" spans="1:33" x14ac:dyDescent="0.2">
      <c r="A34" s="121" t="s">
        <v>109</v>
      </c>
      <c r="B34" s="183">
        <v>7276.54</v>
      </c>
      <c r="C34" s="184">
        <v>17.8</v>
      </c>
      <c r="D34" s="184">
        <v>0</v>
      </c>
      <c r="E34" s="62">
        <f t="shared" si="12"/>
        <v>7294.34</v>
      </c>
      <c r="F34" s="63">
        <f t="shared" si="1"/>
        <v>36961363.68</v>
      </c>
      <c r="G34" s="63">
        <f t="shared" si="2"/>
        <v>40915761.68</v>
      </c>
      <c r="H34" s="194">
        <v>40915761.68</v>
      </c>
      <c r="I34" s="182">
        <f>-'[1]Formula Weights'!$B$16*('[1]16-17 Apportionments Data'!F22)+-'[1]Formula Weights'!$B$17*('[1]16-17 Apportionments Data'!G22)+-'[1]Formula Weights'!$B$18*('[1]16-17 Apportionments Data'!H22)</f>
        <v>0</v>
      </c>
      <c r="J34" s="64">
        <f t="shared" si="13"/>
        <v>18493924.27936</v>
      </c>
      <c r="K34" s="85">
        <v>7809</v>
      </c>
      <c r="L34" s="85"/>
      <c r="M34" s="85"/>
      <c r="N34" s="65">
        <f t="shared" si="3"/>
        <v>1271.5503999999999</v>
      </c>
      <c r="O34" s="126">
        <v>691</v>
      </c>
      <c r="P34" s="65">
        <f t="shared" si="4"/>
        <v>2028.8000000000002</v>
      </c>
      <c r="Q34" s="66">
        <f t="shared" si="15"/>
        <v>11331437.873600001</v>
      </c>
      <c r="R34" s="88">
        <v>1651</v>
      </c>
      <c r="S34" s="88"/>
      <c r="T34" s="88"/>
      <c r="U34" s="65">
        <f t="shared" si="5"/>
        <v>5274.88</v>
      </c>
      <c r="V34" s="120">
        <v>516</v>
      </c>
      <c r="W34" s="65">
        <f t="shared" si="6"/>
        <v>6096.5439999999999</v>
      </c>
      <c r="X34" s="88">
        <v>402</v>
      </c>
      <c r="Y34" s="88"/>
      <c r="Z34" s="88"/>
      <c r="AA34" s="65">
        <f t="shared" si="7"/>
        <v>930.71199999999999</v>
      </c>
      <c r="AB34" s="66">
        <f t="shared" si="8"/>
        <v>12228789.808</v>
      </c>
      <c r="AC34" s="86">
        <v>3954398</v>
      </c>
      <c r="AD34" s="94">
        <f t="shared" si="9"/>
        <v>42054151.960960001</v>
      </c>
      <c r="AE34" s="89">
        <v>43236905</v>
      </c>
      <c r="AF34" s="91">
        <f t="shared" si="10"/>
        <v>2.7822781104829258E-2</v>
      </c>
      <c r="AG34" s="98">
        <f t="shared" si="11"/>
        <v>-1182753.0390399992</v>
      </c>
    </row>
    <row r="35" spans="1:33" x14ac:dyDescent="0.2">
      <c r="A35" s="121" t="s">
        <v>110</v>
      </c>
      <c r="B35" s="183">
        <v>6770.48</v>
      </c>
      <c r="C35" s="184">
        <v>24.72</v>
      </c>
      <c r="D35" s="184">
        <v>16.7</v>
      </c>
      <c r="E35" s="62">
        <f t="shared" si="12"/>
        <v>6811.9</v>
      </c>
      <c r="F35" s="63">
        <f t="shared" si="1"/>
        <v>34500615.679999992</v>
      </c>
      <c r="G35" s="63">
        <f t="shared" si="2"/>
        <v>38150829.679999992</v>
      </c>
      <c r="H35" s="194">
        <v>38150829.68</v>
      </c>
      <c r="I35" s="182">
        <f>-'[1]Formula Weights'!$B$16*('[1]16-17 Apportionments Data'!F23)+-'[1]Formula Weights'!$B$17*('[1]16-17 Apportionments Data'!G23)+-'[1]Formula Weights'!$B$18*('[1]16-17 Apportionments Data'!H23)</f>
        <v>99374.058447503034</v>
      </c>
      <c r="J35" s="64">
        <f t="shared" si="13"/>
        <v>17244175.015360001</v>
      </c>
      <c r="K35" s="85">
        <v>7907</v>
      </c>
      <c r="L35" s="85"/>
      <c r="M35" s="85"/>
      <c r="N35" s="65">
        <f t="shared" si="3"/>
        <v>1271.5503999999999</v>
      </c>
      <c r="O35" s="126">
        <v>1042</v>
      </c>
      <c r="P35" s="65">
        <f t="shared" si="4"/>
        <v>2028.8000000000002</v>
      </c>
      <c r="Q35" s="66">
        <f t="shared" si="15"/>
        <v>12168158.612799998</v>
      </c>
      <c r="R35" s="88">
        <v>1942</v>
      </c>
      <c r="S35" s="88"/>
      <c r="T35" s="88"/>
      <c r="U35" s="65">
        <f t="shared" si="5"/>
        <v>5274.88</v>
      </c>
      <c r="V35" s="120">
        <v>406</v>
      </c>
      <c r="W35" s="65">
        <f t="shared" si="6"/>
        <v>6096.5439999999999</v>
      </c>
      <c r="X35" s="88">
        <v>368</v>
      </c>
      <c r="Y35" s="88"/>
      <c r="Z35" s="88"/>
      <c r="AA35" s="65">
        <f t="shared" si="7"/>
        <v>930.71199999999999</v>
      </c>
      <c r="AB35" s="66">
        <f t="shared" si="8"/>
        <v>13061515.840000002</v>
      </c>
      <c r="AC35" s="86">
        <v>3650214</v>
      </c>
      <c r="AD35" s="94">
        <f t="shared" si="9"/>
        <v>42473849.468160003</v>
      </c>
      <c r="AE35" s="89">
        <v>40167934</v>
      </c>
      <c r="AF35" s="91">
        <f t="shared" si="10"/>
        <v>0.11331391281449091</v>
      </c>
      <c r="AG35" s="98">
        <f t="shared" si="11"/>
        <v>2305915.4681600034</v>
      </c>
    </row>
    <row r="36" spans="1:33" x14ac:dyDescent="0.2">
      <c r="A36" s="121" t="s">
        <v>111</v>
      </c>
      <c r="B36" s="183">
        <v>20732.060000000001</v>
      </c>
      <c r="C36" s="184">
        <v>61.47</v>
      </c>
      <c r="D36" s="184">
        <v>0</v>
      </c>
      <c r="E36" s="62">
        <f t="shared" si="12"/>
        <v>20793.530000000002</v>
      </c>
      <c r="F36" s="63">
        <f t="shared" si="1"/>
        <v>105342090.04000001</v>
      </c>
      <c r="G36" s="63">
        <f t="shared" si="2"/>
        <v>120703412.04000001</v>
      </c>
      <c r="H36" s="194">
        <v>120703412.04000001</v>
      </c>
      <c r="I36" s="182">
        <f>-'[1]Formula Weights'!$B$16*('[1]16-17 Apportionments Data'!F24)+-'[1]Formula Weights'!$B$17*('[1]16-17 Apportionments Data'!G24)+-'[1]Formula Weights'!$B$18*('[1]16-17 Apportionments Data'!H24)</f>
        <v>0</v>
      </c>
      <c r="J36" s="64">
        <f t="shared" si="13"/>
        <v>54557942.242080003</v>
      </c>
      <c r="K36" s="85">
        <v>17040</v>
      </c>
      <c r="L36" s="85"/>
      <c r="M36" s="85"/>
      <c r="N36" s="65">
        <f t="shared" si="3"/>
        <v>1271.5503999999999</v>
      </c>
      <c r="O36" s="126">
        <v>2144</v>
      </c>
      <c r="P36" s="65">
        <f t="shared" si="4"/>
        <v>2028.8000000000002</v>
      </c>
      <c r="Q36" s="66">
        <f t="shared" si="15"/>
        <v>26016966.015999995</v>
      </c>
      <c r="R36" s="88">
        <v>2646</v>
      </c>
      <c r="S36" s="88"/>
      <c r="T36" s="88"/>
      <c r="U36" s="65">
        <f t="shared" si="5"/>
        <v>5274.88</v>
      </c>
      <c r="V36" s="120">
        <v>911</v>
      </c>
      <c r="W36" s="65">
        <f t="shared" si="6"/>
        <v>6096.5439999999999</v>
      </c>
      <c r="X36" s="88">
        <v>781</v>
      </c>
      <c r="Y36" s="88"/>
      <c r="Z36" s="88"/>
      <c r="AA36" s="65">
        <f t="shared" si="7"/>
        <v>930.71199999999999</v>
      </c>
      <c r="AB36" s="66">
        <f t="shared" si="8"/>
        <v>20238170.136</v>
      </c>
      <c r="AC36" s="86">
        <v>15361322</v>
      </c>
      <c r="AD36" s="94">
        <f t="shared" si="9"/>
        <v>100813078.39408</v>
      </c>
      <c r="AE36" s="89">
        <v>131406309</v>
      </c>
      <c r="AF36" s="91">
        <f t="shared" si="10"/>
        <v>-0.16478683833169963</v>
      </c>
      <c r="AG36" s="98">
        <f t="shared" si="11"/>
        <v>-30593230.605920002</v>
      </c>
    </row>
    <row r="37" spans="1:33" x14ac:dyDescent="0.2">
      <c r="A37" s="122" t="s">
        <v>112</v>
      </c>
      <c r="B37" s="183">
        <v>1620.22</v>
      </c>
      <c r="C37" s="184">
        <v>36.4</v>
      </c>
      <c r="D37" s="184">
        <v>22.09</v>
      </c>
      <c r="E37" s="62">
        <f t="shared" si="12"/>
        <v>1678.71</v>
      </c>
      <c r="F37" s="63">
        <f t="shared" si="1"/>
        <v>8441762.7200000007</v>
      </c>
      <c r="G37" s="63">
        <f t="shared" si="2"/>
        <v>13252969.720000001</v>
      </c>
      <c r="H37" s="194">
        <v>13252969.720000001</v>
      </c>
      <c r="I37" s="182">
        <f>-'[1]Formula Weights'!$B$16*('[1]16-17 Apportionments Data'!F25)+-'[1]Formula Weights'!$B$17*('[1]16-17 Apportionments Data'!G25)+-'[1]Formula Weights'!$B$18*('[1]16-17 Apportionments Data'!H25)</f>
        <v>0</v>
      </c>
      <c r="J37" s="64">
        <f t="shared" si="13"/>
        <v>5990342.3134400006</v>
      </c>
      <c r="K37" s="85">
        <v>1848</v>
      </c>
      <c r="L37" s="85"/>
      <c r="M37" s="85"/>
      <c r="N37" s="65">
        <f t="shared" si="3"/>
        <v>1271.5503999999999</v>
      </c>
      <c r="O37" s="126">
        <v>49</v>
      </c>
      <c r="P37" s="65">
        <f t="shared" si="4"/>
        <v>2028.8000000000002</v>
      </c>
      <c r="Q37" s="66">
        <f t="shared" si="15"/>
        <v>2449236.3391999998</v>
      </c>
      <c r="R37" s="88">
        <v>178</v>
      </c>
      <c r="S37" s="88"/>
      <c r="T37" s="88"/>
      <c r="U37" s="65">
        <f t="shared" si="5"/>
        <v>5274.88</v>
      </c>
      <c r="V37" s="120">
        <v>63</v>
      </c>
      <c r="W37" s="65">
        <f t="shared" si="6"/>
        <v>6096.5439999999999</v>
      </c>
      <c r="X37" s="88">
        <v>48</v>
      </c>
      <c r="Y37" s="88"/>
      <c r="Z37" s="88"/>
      <c r="AA37" s="65">
        <f t="shared" si="7"/>
        <v>930.71199999999999</v>
      </c>
      <c r="AB37" s="66">
        <f t="shared" si="8"/>
        <v>1367685.088</v>
      </c>
      <c r="AC37" s="86">
        <v>4811207</v>
      </c>
      <c r="AD37" s="94">
        <f t="shared" si="9"/>
        <v>9807263.7406399995</v>
      </c>
      <c r="AE37" s="89">
        <v>14348412</v>
      </c>
      <c r="AF37" s="91">
        <f t="shared" si="10"/>
        <v>-0.25999500882885901</v>
      </c>
      <c r="AG37" s="98">
        <f t="shared" si="11"/>
        <v>-4541148.2593600005</v>
      </c>
    </row>
    <row r="38" spans="1:33" x14ac:dyDescent="0.2">
      <c r="A38" s="122" t="s">
        <v>113</v>
      </c>
      <c r="B38" s="183">
        <v>1302.78</v>
      </c>
      <c r="C38" s="184">
        <v>63.14</v>
      </c>
      <c r="D38" s="184">
        <v>0</v>
      </c>
      <c r="E38" s="62">
        <f t="shared" si="12"/>
        <v>1365.92</v>
      </c>
      <c r="F38" s="63">
        <f t="shared" si="1"/>
        <v>6801918.7999999998</v>
      </c>
      <c r="G38" s="63">
        <f t="shared" si="2"/>
        <v>11613125.800000001</v>
      </c>
      <c r="H38" s="194">
        <v>11613125.800000001</v>
      </c>
      <c r="I38" s="182">
        <f>-'[1]Formula Weights'!$B$16*('[1]16-17 Apportionments Data'!F26)+-'[1]Formula Weights'!$B$17*('[1]16-17 Apportionments Data'!G26)+-'[1]Formula Weights'!$B$18*('[1]16-17 Apportionments Data'!H26)</f>
        <v>0</v>
      </c>
      <c r="J38" s="64">
        <f t="shared" si="13"/>
        <v>5249132.8616000004</v>
      </c>
      <c r="K38" s="85">
        <v>2681</v>
      </c>
      <c r="L38" s="85"/>
      <c r="M38" s="85"/>
      <c r="N38" s="65">
        <f t="shared" si="3"/>
        <v>1271.5503999999999</v>
      </c>
      <c r="O38" s="126">
        <v>49</v>
      </c>
      <c r="P38" s="65">
        <f t="shared" si="4"/>
        <v>2028.8000000000002</v>
      </c>
      <c r="Q38" s="66">
        <f t="shared" si="15"/>
        <v>3508437.8223999999</v>
      </c>
      <c r="R38" s="88">
        <v>236</v>
      </c>
      <c r="S38" s="88"/>
      <c r="T38" s="88"/>
      <c r="U38" s="65">
        <f t="shared" si="5"/>
        <v>5274.88</v>
      </c>
      <c r="V38" s="120">
        <v>96</v>
      </c>
      <c r="W38" s="65">
        <f t="shared" si="6"/>
        <v>6096.5439999999999</v>
      </c>
      <c r="X38" s="88">
        <v>47</v>
      </c>
      <c r="Y38" s="88"/>
      <c r="Z38" s="88"/>
      <c r="AA38" s="65">
        <f t="shared" si="7"/>
        <v>930.71199999999999</v>
      </c>
      <c r="AB38" s="66">
        <f t="shared" si="8"/>
        <v>1873883.3679999998</v>
      </c>
      <c r="AC38" s="86">
        <v>4811207</v>
      </c>
      <c r="AD38" s="94">
        <f t="shared" si="9"/>
        <v>10631454.052000001</v>
      </c>
      <c r="AE38" s="89">
        <v>13730953</v>
      </c>
      <c r="AF38" s="91">
        <f t="shared" si="10"/>
        <v>-8.4531224831819143E-2</v>
      </c>
      <c r="AG38" s="98">
        <f t="shared" si="11"/>
        <v>-3099498.9479999989</v>
      </c>
    </row>
    <row r="39" spans="1:33" x14ac:dyDescent="0.2">
      <c r="A39" s="121" t="s">
        <v>114</v>
      </c>
      <c r="B39" s="183">
        <v>18622.62</v>
      </c>
      <c r="C39" s="184">
        <v>64.72</v>
      </c>
      <c r="D39" s="184">
        <v>389.99</v>
      </c>
      <c r="E39" s="62">
        <f t="shared" si="12"/>
        <v>19077.330000000002</v>
      </c>
      <c r="F39" s="63">
        <f t="shared" si="1"/>
        <v>96631036.640000001</v>
      </c>
      <c r="G39" s="63">
        <f t="shared" si="2"/>
        <v>103931467.64</v>
      </c>
      <c r="H39" s="194">
        <v>103931467.64</v>
      </c>
      <c r="I39" s="182">
        <f>-'[1]Formula Weights'!$B$16*('[1]16-17 Apportionments Data'!F27)+-'[1]Formula Weights'!$B$17*('[1]16-17 Apportionments Data'!G27)+-'[1]Formula Weights'!$B$18*('[1]16-17 Apportionments Data'!H27)</f>
        <v>0</v>
      </c>
      <c r="J39" s="64">
        <f t="shared" si="13"/>
        <v>46977023.373280004</v>
      </c>
      <c r="K39" s="85">
        <v>20348</v>
      </c>
      <c r="L39" s="85"/>
      <c r="M39" s="85"/>
      <c r="N39" s="65">
        <f t="shared" si="3"/>
        <v>1271.5503999999999</v>
      </c>
      <c r="O39" s="126">
        <v>1883</v>
      </c>
      <c r="P39" s="65">
        <f t="shared" si="4"/>
        <v>2028.8000000000002</v>
      </c>
      <c r="Q39" s="66">
        <f t="shared" si="15"/>
        <v>29693737.939199999</v>
      </c>
      <c r="R39" s="88">
        <v>1744</v>
      </c>
      <c r="S39" s="88"/>
      <c r="T39" s="88"/>
      <c r="U39" s="65">
        <f t="shared" si="5"/>
        <v>5274.88</v>
      </c>
      <c r="V39" s="120">
        <v>457</v>
      </c>
      <c r="W39" s="65">
        <f t="shared" si="6"/>
        <v>6096.5439999999999</v>
      </c>
      <c r="X39" s="88">
        <v>782</v>
      </c>
      <c r="Y39" s="88"/>
      <c r="Z39" s="88"/>
      <c r="AA39" s="65">
        <f t="shared" si="7"/>
        <v>930.71199999999999</v>
      </c>
      <c r="AB39" s="66">
        <f t="shared" si="8"/>
        <v>12713328.112000002</v>
      </c>
      <c r="AC39" s="86">
        <v>7300431</v>
      </c>
      <c r="AD39" s="94">
        <f t="shared" si="9"/>
        <v>89384089.424480006</v>
      </c>
      <c r="AE39" s="89">
        <v>119420967</v>
      </c>
      <c r="AF39" s="91">
        <f t="shared" si="10"/>
        <v>-0.13997087259375099</v>
      </c>
      <c r="AG39" s="98">
        <f t="shared" si="11"/>
        <v>-30036877.575519994</v>
      </c>
    </row>
    <row r="40" spans="1:33" x14ac:dyDescent="0.2">
      <c r="A40" s="121" t="s">
        <v>115</v>
      </c>
      <c r="B40" s="183">
        <v>101352.37</v>
      </c>
      <c r="C40" s="183">
        <v>2034.51</v>
      </c>
      <c r="D40" s="183">
        <v>4102.57</v>
      </c>
      <c r="E40" s="62">
        <f t="shared" si="12"/>
        <v>107489.44999999998</v>
      </c>
      <c r="F40" s="63">
        <f t="shared" si="1"/>
        <v>541125608.43999994</v>
      </c>
      <c r="G40" s="63">
        <f t="shared" si="2"/>
        <v>577627753.43999994</v>
      </c>
      <c r="H40" s="194">
        <v>577627753.44000006</v>
      </c>
      <c r="I40" s="182">
        <f>-'[1]Formula Weights'!$B$16*('[1]16-17 Apportionments Data'!F28)+-'[1]Formula Weights'!$B$17*('[1]16-17 Apportionments Data'!G28)+-'[1]Formula Weights'!$B$18*('[1]16-17 Apportionments Data'!H28)</f>
        <v>0</v>
      </c>
      <c r="J40" s="64">
        <f t="shared" si="13"/>
        <v>261087744.55488002</v>
      </c>
      <c r="K40" s="85">
        <v>101881</v>
      </c>
      <c r="L40" s="85"/>
      <c r="M40" s="85"/>
      <c r="N40" s="65">
        <f t="shared" si="3"/>
        <v>1271.5503999999999</v>
      </c>
      <c r="O40" s="126">
        <v>5666</v>
      </c>
      <c r="P40" s="65">
        <f t="shared" si="4"/>
        <v>2028.8000000000002</v>
      </c>
      <c r="Q40" s="66">
        <f t="shared" si="15"/>
        <v>141042007.10239998</v>
      </c>
      <c r="R40" s="88">
        <v>20251</v>
      </c>
      <c r="S40" s="88"/>
      <c r="T40" s="88"/>
      <c r="U40" s="65">
        <f t="shared" si="5"/>
        <v>5274.88</v>
      </c>
      <c r="V40" s="120">
        <v>3274</v>
      </c>
      <c r="W40" s="65">
        <f t="shared" si="6"/>
        <v>6096.5439999999999</v>
      </c>
      <c r="X40" s="88">
        <v>2466</v>
      </c>
      <c r="Y40" s="88"/>
      <c r="Z40" s="88"/>
      <c r="AA40" s="65">
        <f t="shared" si="7"/>
        <v>930.71199999999999</v>
      </c>
      <c r="AB40" s="66">
        <f t="shared" si="8"/>
        <v>129076815.72799999</v>
      </c>
      <c r="AC40" s="86">
        <v>36502145</v>
      </c>
      <c r="AD40" s="94">
        <f t="shared" si="9"/>
        <v>531206567.38528001</v>
      </c>
      <c r="AE40" s="89">
        <v>607417729</v>
      </c>
      <c r="AF40" s="91">
        <f t="shared" si="10"/>
        <v>-8.0365227914108259E-2</v>
      </c>
      <c r="AG40" s="98">
        <f t="shared" si="11"/>
        <v>-76211161.614719987</v>
      </c>
    </row>
    <row r="41" spans="1:33" x14ac:dyDescent="0.2">
      <c r="A41" s="121" t="s">
        <v>116</v>
      </c>
      <c r="B41" s="183">
        <v>47527.49</v>
      </c>
      <c r="C41" s="184">
        <v>251.75</v>
      </c>
      <c r="D41" s="184">
        <v>0</v>
      </c>
      <c r="E41" s="62">
        <f t="shared" si="12"/>
        <v>47779.24</v>
      </c>
      <c r="F41" s="63">
        <f t="shared" si="1"/>
        <v>241833812.28</v>
      </c>
      <c r="G41" s="63">
        <f t="shared" si="2"/>
        <v>266168581.28</v>
      </c>
      <c r="H41" s="194">
        <v>266168581.28</v>
      </c>
      <c r="I41" s="182">
        <f>-'[1]Formula Weights'!$B$16*('[1]16-17 Apportionments Data'!F29)+-'[1]Formula Weights'!$B$17*('[1]16-17 Apportionments Data'!G29)+-'[1]Formula Weights'!$B$18*('[1]16-17 Apportionments Data'!H29)</f>
        <v>0</v>
      </c>
      <c r="J41" s="64">
        <f t="shared" si="13"/>
        <v>120308198.73856001</v>
      </c>
      <c r="K41" s="85">
        <v>55729</v>
      </c>
      <c r="L41" s="85"/>
      <c r="M41" s="85"/>
      <c r="N41" s="65">
        <f t="shared" si="3"/>
        <v>1271.5503999999999</v>
      </c>
      <c r="O41" s="126">
        <v>3182</v>
      </c>
      <c r="P41" s="65">
        <f t="shared" si="4"/>
        <v>2028.8000000000002</v>
      </c>
      <c r="Q41" s="66">
        <f t="shared" si="15"/>
        <v>77317873.841599986</v>
      </c>
      <c r="R41" s="88">
        <v>8604</v>
      </c>
      <c r="S41" s="88"/>
      <c r="T41" s="88"/>
      <c r="U41" s="65">
        <f t="shared" si="5"/>
        <v>5274.88</v>
      </c>
      <c r="V41" s="120">
        <v>2541</v>
      </c>
      <c r="W41" s="65">
        <f t="shared" si="6"/>
        <v>6096.5439999999999</v>
      </c>
      <c r="X41" s="88">
        <v>1601</v>
      </c>
      <c r="Y41" s="88"/>
      <c r="Z41" s="88"/>
      <c r="AA41" s="65">
        <f t="shared" si="7"/>
        <v>930.71199999999999</v>
      </c>
      <c r="AB41" s="66">
        <f t="shared" si="8"/>
        <v>62366455.736000001</v>
      </c>
      <c r="AC41" s="86">
        <v>24334769</v>
      </c>
      <c r="AD41" s="94">
        <f t="shared" si="9"/>
        <v>259992528.31616002</v>
      </c>
      <c r="AE41" s="89">
        <v>304730686</v>
      </c>
      <c r="AF41" s="91">
        <f t="shared" si="10"/>
        <v>-2.3203538652606735E-2</v>
      </c>
      <c r="AG41" s="98">
        <f t="shared" si="11"/>
        <v>-44738157.683839977</v>
      </c>
    </row>
    <row r="42" spans="1:33" x14ac:dyDescent="0.2">
      <c r="A42" s="122" t="s">
        <v>117</v>
      </c>
      <c r="B42" s="183">
        <v>3532.39</v>
      </c>
      <c r="C42" s="184">
        <v>240.72</v>
      </c>
      <c r="D42" s="184">
        <v>0</v>
      </c>
      <c r="E42" s="62">
        <f t="shared" si="12"/>
        <v>3773.1099999999997</v>
      </c>
      <c r="F42" s="63">
        <f t="shared" si="1"/>
        <v>18656736.799999997</v>
      </c>
      <c r="G42" s="63">
        <f t="shared" si="2"/>
        <v>22306950.799999997</v>
      </c>
      <c r="H42" s="194">
        <v>22306950.800000001</v>
      </c>
      <c r="I42" s="182">
        <f>-'[1]Formula Weights'!$B$16*('[1]16-17 Apportionments Data'!F30)+-'[1]Formula Weights'!$B$17*('[1]16-17 Apportionments Data'!G30)+-'[1]Formula Weights'!$B$18*('[1]16-17 Apportionments Data'!H30)</f>
        <v>169992.6446167439</v>
      </c>
      <c r="J42" s="64">
        <f t="shared" si="13"/>
        <v>10082741.761600001</v>
      </c>
      <c r="K42" s="85">
        <v>2401</v>
      </c>
      <c r="L42" s="85"/>
      <c r="M42" s="85"/>
      <c r="N42" s="65">
        <f t="shared" si="3"/>
        <v>1271.5503999999999</v>
      </c>
      <c r="O42" s="126">
        <v>93</v>
      </c>
      <c r="P42" s="65">
        <f t="shared" si="4"/>
        <v>2028.8000000000002</v>
      </c>
      <c r="Q42" s="66">
        <f t="shared" si="15"/>
        <v>3241670.9103999995</v>
      </c>
      <c r="R42" s="88">
        <v>361</v>
      </c>
      <c r="S42" s="88"/>
      <c r="T42" s="88"/>
      <c r="U42" s="65">
        <f t="shared" si="5"/>
        <v>5274.88</v>
      </c>
      <c r="V42" s="120">
        <v>141</v>
      </c>
      <c r="W42" s="65">
        <f t="shared" si="6"/>
        <v>6096.5439999999999</v>
      </c>
      <c r="X42" s="88">
        <v>99</v>
      </c>
      <c r="Y42" s="88"/>
      <c r="Z42" s="88"/>
      <c r="AA42" s="65">
        <f t="shared" si="7"/>
        <v>930.71199999999999</v>
      </c>
      <c r="AB42" s="66">
        <f t="shared" si="8"/>
        <v>2855984.872</v>
      </c>
      <c r="AC42" s="86">
        <v>3650214</v>
      </c>
      <c r="AD42" s="94">
        <f t="shared" si="9"/>
        <v>16180397.544</v>
      </c>
      <c r="AE42" s="89">
        <v>25665204</v>
      </c>
      <c r="AF42" s="91">
        <f t="shared" si="10"/>
        <v>-0.27464772352481265</v>
      </c>
      <c r="AG42" s="98">
        <f t="shared" si="11"/>
        <v>-9484806.4560000002</v>
      </c>
    </row>
    <row r="43" spans="1:33" x14ac:dyDescent="0.2">
      <c r="A43" s="121" t="s">
        <v>118</v>
      </c>
      <c r="B43" s="183">
        <v>2498.7600000000002</v>
      </c>
      <c r="C43" s="184">
        <v>38.53</v>
      </c>
      <c r="D43" s="184">
        <v>43.1</v>
      </c>
      <c r="E43" s="62">
        <f t="shared" si="12"/>
        <v>2580.3900000000003</v>
      </c>
      <c r="F43" s="63">
        <f t="shared" si="1"/>
        <v>13010832.199999999</v>
      </c>
      <c r="G43" s="63">
        <f t="shared" si="2"/>
        <v>18430407.199999999</v>
      </c>
      <c r="H43" s="194">
        <v>18430407.199999999</v>
      </c>
      <c r="I43" s="182">
        <f>-'[1]Formula Weights'!$B$16*('[1]16-17 Apportionments Data'!F31)+-'[1]Formula Weights'!$B$17*('[1]16-17 Apportionments Data'!G31)+-'[1]Formula Weights'!$B$18*('[1]16-17 Apportionments Data'!H31)</f>
        <v>0</v>
      </c>
      <c r="J43" s="64">
        <f t="shared" si="13"/>
        <v>8330544.0543999998</v>
      </c>
      <c r="K43" s="85">
        <v>3128</v>
      </c>
      <c r="L43" s="85"/>
      <c r="M43" s="85"/>
      <c r="N43" s="65">
        <f t="shared" si="3"/>
        <v>1271.5503999999999</v>
      </c>
      <c r="O43" s="126">
        <v>161</v>
      </c>
      <c r="P43" s="65">
        <f t="shared" si="4"/>
        <v>2028.8000000000002</v>
      </c>
      <c r="Q43" s="66">
        <f t="shared" si="15"/>
        <v>4304046.4512</v>
      </c>
      <c r="R43" s="88">
        <v>397</v>
      </c>
      <c r="S43" s="88"/>
      <c r="T43" s="88"/>
      <c r="U43" s="65">
        <f t="shared" si="5"/>
        <v>5274.88</v>
      </c>
      <c r="V43" s="120">
        <v>119</v>
      </c>
      <c r="W43" s="65">
        <f t="shared" si="6"/>
        <v>6096.5439999999999</v>
      </c>
      <c r="X43" s="88">
        <v>93</v>
      </c>
      <c r="Y43" s="88"/>
      <c r="Z43" s="88"/>
      <c r="AA43" s="65">
        <f t="shared" si="7"/>
        <v>930.71199999999999</v>
      </c>
      <c r="AB43" s="66">
        <f t="shared" si="8"/>
        <v>2906172.3119999999</v>
      </c>
      <c r="AC43" s="86">
        <v>5419575</v>
      </c>
      <c r="AD43" s="94">
        <f t="shared" si="9"/>
        <v>15540762.817600001</v>
      </c>
      <c r="AE43" s="89">
        <v>22340591</v>
      </c>
      <c r="AF43" s="91">
        <f t="shared" si="10"/>
        <v>-0.15678678995220457</v>
      </c>
      <c r="AG43" s="98">
        <f t="shared" si="11"/>
        <v>-6799828.1823999994</v>
      </c>
    </row>
    <row r="44" spans="1:33" x14ac:dyDescent="0.2">
      <c r="A44" s="121" t="s">
        <v>119</v>
      </c>
      <c r="B44" s="183">
        <v>8194.74</v>
      </c>
      <c r="C44" s="184">
        <v>318.14</v>
      </c>
      <c r="D44" s="184">
        <v>633.52</v>
      </c>
      <c r="E44" s="62">
        <f t="shared" si="12"/>
        <v>9146.4</v>
      </c>
      <c r="F44" s="63">
        <f t="shared" si="1"/>
        <v>45755533.359999999</v>
      </c>
      <c r="G44" s="63">
        <f t="shared" si="2"/>
        <v>51839225.359999999</v>
      </c>
      <c r="H44" s="194">
        <v>51839225.359999999</v>
      </c>
      <c r="I44" s="182">
        <f>-'[1]Formula Weights'!$B$16*('[1]16-17 Apportionments Data'!F32)+-'[1]Formula Weights'!$B$17*('[1]16-17 Apportionments Data'!G32)+-'[1]Formula Weights'!$B$18*('[1]16-17 Apportionments Data'!H32)</f>
        <v>0</v>
      </c>
      <c r="J44" s="64">
        <f t="shared" si="13"/>
        <v>23431329.862720001</v>
      </c>
      <c r="K44" s="85">
        <v>9191</v>
      </c>
      <c r="L44" s="85"/>
      <c r="M44" s="85"/>
      <c r="N44" s="65">
        <f t="shared" si="3"/>
        <v>1271.5503999999999</v>
      </c>
      <c r="O44" s="126">
        <v>1011</v>
      </c>
      <c r="P44" s="65">
        <f t="shared" si="4"/>
        <v>2028.8000000000002</v>
      </c>
      <c r="Q44" s="66">
        <f t="shared" si="15"/>
        <v>13737936.5264</v>
      </c>
      <c r="R44" s="88">
        <v>1555</v>
      </c>
      <c r="S44" s="88"/>
      <c r="T44" s="88"/>
      <c r="U44" s="65">
        <f t="shared" si="5"/>
        <v>5274.88</v>
      </c>
      <c r="V44" s="120">
        <v>442</v>
      </c>
      <c r="W44" s="65">
        <f t="shared" si="6"/>
        <v>6096.5439999999999</v>
      </c>
      <c r="X44" s="88">
        <v>441</v>
      </c>
      <c r="Y44" s="88"/>
      <c r="Z44" s="88"/>
      <c r="AA44" s="65">
        <f t="shared" si="7"/>
        <v>930.71199999999999</v>
      </c>
      <c r="AB44" s="66">
        <f t="shared" si="8"/>
        <v>11307554.840000002</v>
      </c>
      <c r="AC44" s="86">
        <v>6083692</v>
      </c>
      <c r="AD44" s="94">
        <f t="shared" si="9"/>
        <v>48476821.229120001</v>
      </c>
      <c r="AE44" s="89">
        <v>56639658</v>
      </c>
      <c r="AF44" s="91">
        <f t="shared" si="10"/>
        <v>-6.4862160025147372E-2</v>
      </c>
      <c r="AG44" s="98">
        <f t="shared" si="11"/>
        <v>-8162836.7708799988</v>
      </c>
    </row>
    <row r="45" spans="1:33" x14ac:dyDescent="0.2">
      <c r="A45" s="122" t="s">
        <v>120</v>
      </c>
      <c r="B45" s="183">
        <v>10684.56</v>
      </c>
      <c r="C45" s="184">
        <v>663.74</v>
      </c>
      <c r="D45" s="184">
        <v>0</v>
      </c>
      <c r="E45" s="62">
        <f t="shared" si="12"/>
        <v>11348.3</v>
      </c>
      <c r="F45" s="63">
        <f t="shared" si="1"/>
        <v>56233752.560000002</v>
      </c>
      <c r="G45" s="63">
        <f t="shared" si="2"/>
        <v>62317444.560000002</v>
      </c>
      <c r="H45" s="194">
        <v>62317444.560000002</v>
      </c>
      <c r="I45" s="182">
        <f>-'[1]Formula Weights'!$B$16*('[1]16-17 Apportionments Data'!F33)+-'[1]Formula Weights'!$B$17*('[1]16-17 Apportionments Data'!G33)+-'[1]Formula Weights'!$B$18*('[1]16-17 Apportionments Data'!H33)</f>
        <v>1983399.7132706346</v>
      </c>
      <c r="J45" s="64">
        <f t="shared" si="13"/>
        <v>28167484.941120002</v>
      </c>
      <c r="K45" s="85">
        <v>9733</v>
      </c>
      <c r="L45" s="85"/>
      <c r="M45" s="85"/>
      <c r="N45" s="65">
        <f t="shared" si="3"/>
        <v>1271.5503999999999</v>
      </c>
      <c r="O45" s="126">
        <v>661</v>
      </c>
      <c r="P45" s="65">
        <f t="shared" si="4"/>
        <v>2028.8000000000002</v>
      </c>
      <c r="Q45" s="66">
        <f t="shared" si="15"/>
        <v>13717036.8432</v>
      </c>
      <c r="R45" s="88">
        <v>2187</v>
      </c>
      <c r="S45" s="88"/>
      <c r="T45" s="88"/>
      <c r="U45" s="65">
        <f t="shared" si="5"/>
        <v>5274.88</v>
      </c>
      <c r="V45" s="120">
        <v>943</v>
      </c>
      <c r="W45" s="65">
        <f t="shared" si="6"/>
        <v>6096.5439999999999</v>
      </c>
      <c r="X45" s="88">
        <v>223</v>
      </c>
      <c r="Y45" s="88"/>
      <c r="Z45" s="88"/>
      <c r="AA45" s="65">
        <f t="shared" si="7"/>
        <v>930.71199999999999</v>
      </c>
      <c r="AB45" s="66">
        <f t="shared" si="8"/>
        <v>17492752.328000002</v>
      </c>
      <c r="AC45" s="86">
        <v>6083692</v>
      </c>
      <c r="AD45" s="94">
        <f t="shared" si="9"/>
        <v>59377274.112320006</v>
      </c>
      <c r="AE45" s="89">
        <v>63700948</v>
      </c>
      <c r="AF45" s="91">
        <f t="shared" si="10"/>
        <v>-4.7180536179547032E-2</v>
      </c>
      <c r="AG45" s="98">
        <f t="shared" si="11"/>
        <v>-4323673.8876799941</v>
      </c>
    </row>
    <row r="46" spans="1:33" x14ac:dyDescent="0.2">
      <c r="A46" s="121" t="s">
        <v>121</v>
      </c>
      <c r="B46" s="183">
        <v>5789.88</v>
      </c>
      <c r="C46" s="184">
        <v>355.9</v>
      </c>
      <c r="D46" s="184">
        <v>115.98</v>
      </c>
      <c r="E46" s="62">
        <f t="shared" si="12"/>
        <v>6261.7599999999993</v>
      </c>
      <c r="F46" s="63">
        <f t="shared" ref="F46:F77" si="16">B46*B$7+C46*B$8+D46*B$9</f>
        <v>31049270.319999997</v>
      </c>
      <c r="G46" s="63">
        <f t="shared" ref="G46:G77" si="17">+F46+AC46</f>
        <v>35003668.319999993</v>
      </c>
      <c r="H46" s="194">
        <v>35003668.32</v>
      </c>
      <c r="I46" s="182">
        <f>-'[1]Formula Weights'!$B$16*('[1]16-17 Apportionments Data'!F34)+-'[1]Formula Weights'!$B$17*('[1]16-17 Apportionments Data'!G34)+-'[1]Formula Weights'!$B$18*('[1]16-17 Apportionments Data'!H34)</f>
        <v>0</v>
      </c>
      <c r="J46" s="64">
        <f t="shared" si="13"/>
        <v>15821658.080640001</v>
      </c>
      <c r="K46" s="85">
        <v>3785</v>
      </c>
      <c r="L46" s="85"/>
      <c r="M46" s="85"/>
      <c r="N46" s="65">
        <f t="shared" ref="N46:N77" si="18">+N$13*B$7</f>
        <v>1271.5503999999999</v>
      </c>
      <c r="O46" s="126">
        <v>280</v>
      </c>
      <c r="P46" s="65">
        <f t="shared" ref="P46:P77" si="19">+P$13*B$7</f>
        <v>2028.8000000000002</v>
      </c>
      <c r="Q46" s="66">
        <f t="shared" si="15"/>
        <v>5380882.2639999995</v>
      </c>
      <c r="R46" s="88">
        <v>724</v>
      </c>
      <c r="S46" s="88"/>
      <c r="T46" s="88"/>
      <c r="U46" s="65">
        <f t="shared" ref="U46:U77" si="20">+U$13*B$7</f>
        <v>5274.88</v>
      </c>
      <c r="V46" s="120">
        <v>208</v>
      </c>
      <c r="W46" s="65">
        <f t="shared" ref="W46:W77" si="21">+W$13*B$7</f>
        <v>6096.5439999999999</v>
      </c>
      <c r="X46" s="88">
        <v>254</v>
      </c>
      <c r="Y46" s="88"/>
      <c r="Z46" s="88"/>
      <c r="AA46" s="65">
        <f t="shared" ref="AA46:AA77" si="22">+AA$13*B$7</f>
        <v>930.71199999999999</v>
      </c>
      <c r="AB46" s="66">
        <f t="shared" ref="AB46:AB77" si="23">+R46*U46+V46*W46+X46*AA46</f>
        <v>5323495.12</v>
      </c>
      <c r="AC46" s="86">
        <v>3954398</v>
      </c>
      <c r="AD46" s="94">
        <f t="shared" ref="AD46:AD77" si="24">+AB46+Q46+J46</f>
        <v>26526035.464639999</v>
      </c>
      <c r="AE46" s="89">
        <v>39004164</v>
      </c>
      <c r="AF46" s="91">
        <f t="shared" ref="AF46:AF77" si="25">(AD46-G46)/G46</f>
        <v>-0.24219269757267531</v>
      </c>
      <c r="AG46" s="98">
        <f t="shared" ref="AG46:AG77" si="26">AD46-AE46</f>
        <v>-12478128.535360001</v>
      </c>
    </row>
    <row r="47" spans="1:33" x14ac:dyDescent="0.2">
      <c r="A47" s="121" t="s">
        <v>122</v>
      </c>
      <c r="B47" s="183">
        <v>25096.34</v>
      </c>
      <c r="C47" s="183">
        <v>1644.62</v>
      </c>
      <c r="D47" s="183">
        <v>4643.5600000000004</v>
      </c>
      <c r="E47" s="62">
        <f t="shared" si="12"/>
        <v>31384.52</v>
      </c>
      <c r="F47" s="63">
        <f t="shared" si="16"/>
        <v>155899623.92000002</v>
      </c>
      <c r="G47" s="63">
        <f t="shared" si="17"/>
        <v>161983315.92000002</v>
      </c>
      <c r="H47" s="194">
        <v>161983315.91999999</v>
      </c>
      <c r="I47" s="182">
        <f>-'[1]Formula Weights'!$B$16*('[1]16-17 Apportionments Data'!F35)+-'[1]Formula Weights'!$B$17*('[1]16-17 Apportionments Data'!G35)+-'[1]Formula Weights'!$B$18*('[1]16-17 Apportionments Data'!H35)</f>
        <v>957009.77259349008</v>
      </c>
      <c r="J47" s="64">
        <f t="shared" si="13"/>
        <v>73216458.795839995</v>
      </c>
      <c r="K47" s="85">
        <v>25124</v>
      </c>
      <c r="L47" s="85"/>
      <c r="M47" s="85"/>
      <c r="N47" s="65">
        <f t="shared" si="18"/>
        <v>1271.5503999999999</v>
      </c>
      <c r="O47" s="126">
        <v>2057</v>
      </c>
      <c r="P47" s="65">
        <f t="shared" si="19"/>
        <v>2028.8000000000002</v>
      </c>
      <c r="Q47" s="66">
        <f t="shared" si="15"/>
        <v>36119673.849599995</v>
      </c>
      <c r="R47" s="88">
        <v>4129</v>
      </c>
      <c r="S47" s="88"/>
      <c r="T47" s="88"/>
      <c r="U47" s="65">
        <f t="shared" si="20"/>
        <v>5274.88</v>
      </c>
      <c r="V47" s="120">
        <v>1058</v>
      </c>
      <c r="W47" s="65">
        <f t="shared" si="21"/>
        <v>6096.5439999999999</v>
      </c>
      <c r="X47" s="88">
        <v>524</v>
      </c>
      <c r="Y47" s="88"/>
      <c r="Z47" s="88"/>
      <c r="AA47" s="65">
        <f t="shared" si="22"/>
        <v>930.71199999999999</v>
      </c>
      <c r="AB47" s="66">
        <f t="shared" si="23"/>
        <v>28717816.16</v>
      </c>
      <c r="AC47" s="86">
        <v>6083692</v>
      </c>
      <c r="AD47" s="94">
        <f t="shared" si="24"/>
        <v>138053948.80544001</v>
      </c>
      <c r="AE47" s="89">
        <v>167612895</v>
      </c>
      <c r="AF47" s="91">
        <f t="shared" si="25"/>
        <v>-0.1477273568493819</v>
      </c>
      <c r="AG47" s="98">
        <f t="shared" si="26"/>
        <v>-29558946.194559991</v>
      </c>
    </row>
    <row r="48" spans="1:33" x14ac:dyDescent="0.2">
      <c r="A48" s="121" t="s">
        <v>123</v>
      </c>
      <c r="B48" s="183">
        <v>11249.79</v>
      </c>
      <c r="C48" s="184">
        <v>323.88</v>
      </c>
      <c r="D48" s="184">
        <v>315.98</v>
      </c>
      <c r="E48" s="62">
        <f t="shared" si="12"/>
        <v>11889.65</v>
      </c>
      <c r="F48" s="63">
        <f t="shared" si="16"/>
        <v>59657840.320000008</v>
      </c>
      <c r="G48" s="63">
        <f t="shared" si="17"/>
        <v>65741532.320000008</v>
      </c>
      <c r="H48" s="194">
        <v>65741532.32</v>
      </c>
      <c r="I48" s="182">
        <f>-'[1]Formula Weights'!$B$16*('[1]16-17 Apportionments Data'!F36)+-'[1]Formula Weights'!$B$17*('[1]16-17 Apportionments Data'!G36)+-'[1]Formula Weights'!$B$18*('[1]16-17 Apportionments Data'!H36)</f>
        <v>0</v>
      </c>
      <c r="J48" s="64">
        <f t="shared" si="13"/>
        <v>29715172.60864</v>
      </c>
      <c r="K48" s="85">
        <v>14000</v>
      </c>
      <c r="L48" s="85"/>
      <c r="M48" s="85"/>
      <c r="N48" s="65">
        <f t="shared" si="18"/>
        <v>1271.5503999999999</v>
      </c>
      <c r="O48" s="126">
        <v>1252</v>
      </c>
      <c r="P48" s="65">
        <f t="shared" si="19"/>
        <v>2028.8000000000002</v>
      </c>
      <c r="Q48" s="66">
        <f t="shared" si="15"/>
        <v>20341763.199999999</v>
      </c>
      <c r="R48" s="88">
        <v>2142</v>
      </c>
      <c r="S48" s="88"/>
      <c r="T48" s="88"/>
      <c r="U48" s="65">
        <f t="shared" si="20"/>
        <v>5274.88</v>
      </c>
      <c r="V48" s="120">
        <v>480</v>
      </c>
      <c r="W48" s="65">
        <f t="shared" si="21"/>
        <v>6096.5439999999999</v>
      </c>
      <c r="X48" s="88">
        <v>337</v>
      </c>
      <c r="Y48" s="88"/>
      <c r="Z48" s="88"/>
      <c r="AA48" s="65">
        <f t="shared" si="22"/>
        <v>930.71199999999999</v>
      </c>
      <c r="AB48" s="66">
        <f t="shared" si="23"/>
        <v>14538784.024000002</v>
      </c>
      <c r="AC48" s="86">
        <v>6083692</v>
      </c>
      <c r="AD48" s="94">
        <f t="shared" si="24"/>
        <v>64595719.83264</v>
      </c>
      <c r="AE48" s="89">
        <v>71698769</v>
      </c>
      <c r="AF48" s="91">
        <f t="shared" si="25"/>
        <v>-1.7429050509238389E-2</v>
      </c>
      <c r="AG48" s="98">
        <f t="shared" si="26"/>
        <v>-7103049.1673600003</v>
      </c>
    </row>
    <row r="49" spans="1:33" x14ac:dyDescent="0.2">
      <c r="A49" s="121" t="s">
        <v>124</v>
      </c>
      <c r="B49" s="183">
        <v>5036.74</v>
      </c>
      <c r="C49" s="184">
        <v>539.61</v>
      </c>
      <c r="D49" s="184">
        <v>13.89</v>
      </c>
      <c r="E49" s="62">
        <f t="shared" si="12"/>
        <v>5590.24</v>
      </c>
      <c r="F49" s="63">
        <f t="shared" si="16"/>
        <v>27276635.719999995</v>
      </c>
      <c r="G49" s="63">
        <f t="shared" si="17"/>
        <v>31535218.719999995</v>
      </c>
      <c r="H49" s="194">
        <v>31535218.719999999</v>
      </c>
      <c r="I49" s="182">
        <f>-'[1]Formula Weights'!$B$16*('[1]16-17 Apportionments Data'!F37)+-'[1]Formula Weights'!$B$17*('[1]16-17 Apportionments Data'!G37)+-'[1]Formula Weights'!$B$18*('[1]16-17 Apportionments Data'!H37)</f>
        <v>332184.76039232238</v>
      </c>
      <c r="J49" s="64">
        <f t="shared" si="13"/>
        <v>14253918.861439999</v>
      </c>
      <c r="K49" s="85">
        <v>4145</v>
      </c>
      <c r="L49" s="85"/>
      <c r="M49" s="85"/>
      <c r="N49" s="65">
        <f t="shared" si="18"/>
        <v>1271.5503999999999</v>
      </c>
      <c r="O49" s="126">
        <v>258</v>
      </c>
      <c r="P49" s="65">
        <f t="shared" si="19"/>
        <v>2028.8000000000002</v>
      </c>
      <c r="Q49" s="66">
        <f t="shared" si="15"/>
        <v>5794006.8080000002</v>
      </c>
      <c r="R49" s="88">
        <v>1107</v>
      </c>
      <c r="S49" s="88"/>
      <c r="T49" s="88"/>
      <c r="U49" s="65">
        <f t="shared" si="20"/>
        <v>5274.88</v>
      </c>
      <c r="V49" s="120">
        <v>303</v>
      </c>
      <c r="W49" s="65">
        <f t="shared" si="21"/>
        <v>6096.5439999999999</v>
      </c>
      <c r="X49" s="88">
        <v>218</v>
      </c>
      <c r="Y49" s="88"/>
      <c r="Z49" s="88"/>
      <c r="AA49" s="65">
        <f t="shared" si="22"/>
        <v>930.71199999999999</v>
      </c>
      <c r="AB49" s="66">
        <f t="shared" si="23"/>
        <v>7889440.2080000006</v>
      </c>
      <c r="AC49" s="86">
        <v>4258583</v>
      </c>
      <c r="AD49" s="94">
        <f t="shared" si="24"/>
        <v>27937365.877439998</v>
      </c>
      <c r="AE49" s="89">
        <v>32257877</v>
      </c>
      <c r="AF49" s="91">
        <f t="shared" si="25"/>
        <v>-0.11408999171704484</v>
      </c>
      <c r="AG49" s="98">
        <f t="shared" si="26"/>
        <v>-4320511.1225600019</v>
      </c>
    </row>
    <row r="50" spans="1:33" x14ac:dyDescent="0.2">
      <c r="A50" s="121" t="s">
        <v>125</v>
      </c>
      <c r="B50" s="183">
        <v>30332.14</v>
      </c>
      <c r="C50" s="183">
        <v>2724.79</v>
      </c>
      <c r="D50" s="183">
        <v>2777.81</v>
      </c>
      <c r="E50" s="62">
        <f t="shared" si="12"/>
        <v>35834.74</v>
      </c>
      <c r="F50" s="63">
        <f t="shared" si="16"/>
        <v>176315120.43999997</v>
      </c>
      <c r="G50" s="63">
        <f t="shared" si="17"/>
        <v>186049027.43999997</v>
      </c>
      <c r="H50" s="194">
        <v>186049027.44</v>
      </c>
      <c r="I50" s="182">
        <f>-'[1]Formula Weights'!$B$16*('[1]16-17 Apportionments Data'!F38)+-'[1]Formula Weights'!$B$17*('[1]16-17 Apportionments Data'!G38)+-'[1]Formula Weights'!$B$18*('[1]16-17 Apportionments Data'!H38)</f>
        <v>2325847.6516997865</v>
      </c>
      <c r="J50" s="64">
        <f t="shared" si="13"/>
        <v>84094160.402879998</v>
      </c>
      <c r="K50" s="85">
        <v>26887</v>
      </c>
      <c r="L50" s="85"/>
      <c r="M50" s="85"/>
      <c r="N50" s="65">
        <f t="shared" si="18"/>
        <v>1271.5503999999999</v>
      </c>
      <c r="O50" s="126">
        <v>1998</v>
      </c>
      <c r="P50" s="65">
        <f t="shared" si="19"/>
        <v>2028.8000000000002</v>
      </c>
      <c r="Q50" s="66">
        <f t="shared" si="15"/>
        <v>38241718.004799992</v>
      </c>
      <c r="R50" s="88">
        <v>4701</v>
      </c>
      <c r="S50" s="88"/>
      <c r="T50" s="88"/>
      <c r="U50" s="65">
        <f t="shared" si="20"/>
        <v>5274.88</v>
      </c>
      <c r="V50" s="120">
        <v>1478</v>
      </c>
      <c r="W50" s="65">
        <f t="shared" si="21"/>
        <v>6096.5439999999999</v>
      </c>
      <c r="X50" s="88">
        <v>1279</v>
      </c>
      <c r="Y50" s="88"/>
      <c r="Z50" s="88"/>
      <c r="AA50" s="65">
        <f t="shared" si="22"/>
        <v>930.71199999999999</v>
      </c>
      <c r="AB50" s="66">
        <f t="shared" si="23"/>
        <v>34998283.560000002</v>
      </c>
      <c r="AC50" s="86">
        <v>9733907</v>
      </c>
      <c r="AD50" s="94">
        <f t="shared" si="24"/>
        <v>157334161.96767998</v>
      </c>
      <c r="AE50" s="89">
        <v>202568585</v>
      </c>
      <c r="AF50" s="91">
        <f t="shared" si="25"/>
        <v>-0.15434031484835584</v>
      </c>
      <c r="AG50" s="98">
        <f t="shared" si="26"/>
        <v>-45234423.032320023</v>
      </c>
    </row>
    <row r="51" spans="1:33" x14ac:dyDescent="0.2">
      <c r="A51" s="121" t="s">
        <v>126</v>
      </c>
      <c r="B51" s="183">
        <v>7065.28</v>
      </c>
      <c r="C51" s="184">
        <v>0</v>
      </c>
      <c r="D51" s="184">
        <v>0</v>
      </c>
      <c r="E51" s="62">
        <f t="shared" si="12"/>
        <v>7065.28</v>
      </c>
      <c r="F51" s="63">
        <f t="shared" si="16"/>
        <v>35835100.159999996</v>
      </c>
      <c r="G51" s="63">
        <f t="shared" si="17"/>
        <v>40702053.159999996</v>
      </c>
      <c r="H51" s="194">
        <v>40702053.159999996</v>
      </c>
      <c r="I51" s="182">
        <f>-'[1]Formula Weights'!$B$16*('[1]16-17 Apportionments Data'!F39)+-'[1]Formula Weights'!$B$17*('[1]16-17 Apportionments Data'!G39)+-'[1]Formula Weights'!$B$18*('[1]16-17 Apportionments Data'!H39)</f>
        <v>0</v>
      </c>
      <c r="J51" s="64">
        <f t="shared" si="13"/>
        <v>18397328.02832</v>
      </c>
      <c r="K51" s="85">
        <v>4180</v>
      </c>
      <c r="L51" s="85"/>
      <c r="M51" s="85"/>
      <c r="N51" s="65">
        <f t="shared" si="18"/>
        <v>1271.5503999999999</v>
      </c>
      <c r="O51" s="126">
        <v>280</v>
      </c>
      <c r="P51" s="65">
        <f t="shared" si="19"/>
        <v>2028.8000000000002</v>
      </c>
      <c r="Q51" s="66">
        <f t="shared" si="15"/>
        <v>5883144.6719999993</v>
      </c>
      <c r="R51" s="88">
        <v>1029</v>
      </c>
      <c r="S51" s="88"/>
      <c r="T51" s="88"/>
      <c r="U51" s="65">
        <f t="shared" si="20"/>
        <v>5274.88</v>
      </c>
      <c r="V51" s="120">
        <v>509</v>
      </c>
      <c r="W51" s="65">
        <f t="shared" si="21"/>
        <v>6096.5439999999999</v>
      </c>
      <c r="X51" s="88">
        <v>260</v>
      </c>
      <c r="Y51" s="88"/>
      <c r="Z51" s="88"/>
      <c r="AA51" s="65">
        <f t="shared" si="22"/>
        <v>930.71199999999999</v>
      </c>
      <c r="AB51" s="66">
        <f t="shared" si="23"/>
        <v>8772977.5360000003</v>
      </c>
      <c r="AC51" s="86">
        <v>4866953</v>
      </c>
      <c r="AD51" s="94">
        <f t="shared" si="24"/>
        <v>33053450.23632</v>
      </c>
      <c r="AE51" s="89">
        <v>48888117</v>
      </c>
      <c r="AF51" s="91">
        <f t="shared" si="25"/>
        <v>-0.18791688207013282</v>
      </c>
      <c r="AG51" s="98">
        <f t="shared" si="26"/>
        <v>-15834666.76368</v>
      </c>
    </row>
    <row r="52" spans="1:33" x14ac:dyDescent="0.2">
      <c r="A52" s="121" t="s">
        <v>127</v>
      </c>
      <c r="B52" s="183">
        <v>1945.81</v>
      </c>
      <c r="C52" s="184">
        <v>108.07</v>
      </c>
      <c r="D52" s="184">
        <v>0</v>
      </c>
      <c r="E52" s="62">
        <f t="shared" si="12"/>
        <v>2053.88</v>
      </c>
      <c r="F52" s="63">
        <f t="shared" si="16"/>
        <v>10201571.640000001</v>
      </c>
      <c r="G52" s="63">
        <f t="shared" si="17"/>
        <v>15164871.640000001</v>
      </c>
      <c r="H52" s="194">
        <v>15164871.640000001</v>
      </c>
      <c r="I52" s="182">
        <f>-'[1]Formula Weights'!$B$16*('[1]16-17 Apportionments Data'!F40)+-'[1]Formula Weights'!$B$17*('[1]16-17 Apportionments Data'!G40)+-'[1]Formula Weights'!$B$18*('[1]16-17 Apportionments Data'!H40)</f>
        <v>0</v>
      </c>
      <c r="J52" s="64">
        <f t="shared" si="13"/>
        <v>6854521.9812800009</v>
      </c>
      <c r="K52" s="85">
        <v>3169</v>
      </c>
      <c r="L52" s="85"/>
      <c r="M52" s="85"/>
      <c r="N52" s="65">
        <f t="shared" si="18"/>
        <v>1271.5503999999999</v>
      </c>
      <c r="O52" s="126">
        <v>45</v>
      </c>
      <c r="P52" s="65">
        <f t="shared" si="19"/>
        <v>2028.8000000000002</v>
      </c>
      <c r="Q52" s="66">
        <f t="shared" si="15"/>
        <v>4120839.2175999996</v>
      </c>
      <c r="R52" s="88">
        <v>198</v>
      </c>
      <c r="S52" s="88"/>
      <c r="T52" s="88"/>
      <c r="U52" s="65">
        <f t="shared" si="20"/>
        <v>5274.88</v>
      </c>
      <c r="V52" s="120">
        <v>15</v>
      </c>
      <c r="W52" s="65">
        <f t="shared" si="21"/>
        <v>6096.5439999999999</v>
      </c>
      <c r="X52" s="88">
        <v>14</v>
      </c>
      <c r="Y52" s="88"/>
      <c r="Z52" s="88"/>
      <c r="AA52" s="65">
        <f t="shared" si="22"/>
        <v>930.71199999999999</v>
      </c>
      <c r="AB52" s="66">
        <f t="shared" si="23"/>
        <v>1148904.368</v>
      </c>
      <c r="AC52" s="86">
        <v>4963300</v>
      </c>
      <c r="AD52" s="94">
        <f t="shared" si="24"/>
        <v>12124265.566880001</v>
      </c>
      <c r="AE52" s="89">
        <v>16286525</v>
      </c>
      <c r="AF52" s="91">
        <f t="shared" si="25"/>
        <v>-0.20050325154746906</v>
      </c>
      <c r="AG52" s="98">
        <f t="shared" si="26"/>
        <v>-4162259.4331199992</v>
      </c>
    </row>
    <row r="53" spans="1:33" x14ac:dyDescent="0.2">
      <c r="A53" s="121" t="s">
        <v>128</v>
      </c>
      <c r="B53" s="183">
        <v>15801.89</v>
      </c>
      <c r="C53" s="184">
        <v>280.2</v>
      </c>
      <c r="D53" s="184">
        <v>520.71</v>
      </c>
      <c r="E53" s="62">
        <f t="shared" si="12"/>
        <v>16602.8</v>
      </c>
      <c r="F53" s="63">
        <f t="shared" si="16"/>
        <v>83650122.400000006</v>
      </c>
      <c r="G53" s="63">
        <f t="shared" si="17"/>
        <v>90950553.400000006</v>
      </c>
      <c r="H53" s="194">
        <v>90950553.400000006</v>
      </c>
      <c r="I53" s="182">
        <f>-'[1]Formula Weights'!$B$16*('[1]16-17 Apportionments Data'!F41)+-'[1]Formula Weights'!$B$17*('[1]16-17 Apportionments Data'!G41)+-'[1]Formula Weights'!$B$18*('[1]16-17 Apportionments Data'!H41)</f>
        <v>0</v>
      </c>
      <c r="J53" s="64">
        <f t="shared" si="13"/>
        <v>41109650.136800006</v>
      </c>
      <c r="K53" s="85">
        <v>14241</v>
      </c>
      <c r="L53" s="85"/>
      <c r="M53" s="85"/>
      <c r="N53" s="65">
        <f t="shared" si="18"/>
        <v>1271.5503999999999</v>
      </c>
      <c r="O53" s="126">
        <v>1061</v>
      </c>
      <c r="P53" s="65">
        <f t="shared" si="19"/>
        <v>2028.8000000000002</v>
      </c>
      <c r="Q53" s="66">
        <f t="shared" si="15"/>
        <v>20260706.046399999</v>
      </c>
      <c r="R53" s="88">
        <v>3649</v>
      </c>
      <c r="S53" s="88"/>
      <c r="T53" s="88"/>
      <c r="U53" s="65">
        <f t="shared" si="20"/>
        <v>5274.88</v>
      </c>
      <c r="V53" s="120">
        <v>1199</v>
      </c>
      <c r="W53" s="65">
        <f t="shared" si="21"/>
        <v>6096.5439999999999</v>
      </c>
      <c r="X53" s="88">
        <v>312</v>
      </c>
      <c r="Y53" s="88"/>
      <c r="Z53" s="88"/>
      <c r="AA53" s="65">
        <f t="shared" si="22"/>
        <v>930.71199999999999</v>
      </c>
      <c r="AB53" s="66">
        <f t="shared" si="23"/>
        <v>26848175.520000003</v>
      </c>
      <c r="AC53" s="86">
        <v>7300431</v>
      </c>
      <c r="AD53" s="94">
        <f t="shared" si="24"/>
        <v>88218531.703200012</v>
      </c>
      <c r="AE53" s="89">
        <v>103751124</v>
      </c>
      <c r="AF53" s="91">
        <f t="shared" si="25"/>
        <v>-3.0038538465891218E-2</v>
      </c>
      <c r="AG53" s="98">
        <f t="shared" si="26"/>
        <v>-15532592.296799988</v>
      </c>
    </row>
    <row r="54" spans="1:33" x14ac:dyDescent="0.2">
      <c r="A54" s="121" t="s">
        <v>129</v>
      </c>
      <c r="B54" s="183">
        <v>22282.71</v>
      </c>
      <c r="C54" s="184">
        <v>183.34</v>
      </c>
      <c r="D54" s="183">
        <v>1036.18</v>
      </c>
      <c r="E54" s="62">
        <f t="shared" si="12"/>
        <v>23502.23</v>
      </c>
      <c r="F54" s="63">
        <f t="shared" si="16"/>
        <v>118837363.91999999</v>
      </c>
      <c r="G54" s="63">
        <f t="shared" si="17"/>
        <v>126137794.91999999</v>
      </c>
      <c r="H54" s="194">
        <v>126137794.92</v>
      </c>
      <c r="I54" s="182">
        <f>-'[1]Formula Weights'!$B$16*('[1]16-17 Apportionments Data'!F42)+-'[1]Formula Weights'!$B$17*('[1]16-17 Apportionments Data'!G42)+-'[1]Formula Weights'!$B$18*('[1]16-17 Apportionments Data'!H42)</f>
        <v>0</v>
      </c>
      <c r="J54" s="64">
        <f t="shared" si="13"/>
        <v>57014283.303840004</v>
      </c>
      <c r="K54" s="85">
        <v>21076</v>
      </c>
      <c r="L54" s="85"/>
      <c r="M54" s="85"/>
      <c r="N54" s="65">
        <f t="shared" si="18"/>
        <v>1271.5503999999999</v>
      </c>
      <c r="O54" s="126">
        <v>2075</v>
      </c>
      <c r="P54" s="65">
        <f t="shared" si="19"/>
        <v>2028.8000000000002</v>
      </c>
      <c r="Q54" s="66">
        <f t="shared" si="15"/>
        <v>31008956.230399996</v>
      </c>
      <c r="R54" s="88">
        <v>4786</v>
      </c>
      <c r="S54" s="88"/>
      <c r="T54" s="88"/>
      <c r="U54" s="65">
        <f t="shared" si="20"/>
        <v>5274.88</v>
      </c>
      <c r="V54" s="120">
        <v>1099</v>
      </c>
      <c r="W54" s="65">
        <f t="shared" si="21"/>
        <v>6096.5439999999999</v>
      </c>
      <c r="X54" s="88">
        <v>1040</v>
      </c>
      <c r="Y54" s="88"/>
      <c r="Z54" s="88"/>
      <c r="AA54" s="65">
        <f t="shared" si="22"/>
        <v>930.71199999999999</v>
      </c>
      <c r="AB54" s="66">
        <f t="shared" si="23"/>
        <v>32913618.015999999</v>
      </c>
      <c r="AC54" s="86">
        <v>7300431</v>
      </c>
      <c r="AD54" s="94">
        <f t="shared" si="24"/>
        <v>120936857.55024001</v>
      </c>
      <c r="AE54" s="89">
        <v>134786625</v>
      </c>
      <c r="AF54" s="91">
        <f t="shared" si="25"/>
        <v>-4.1232188758797889E-2</v>
      </c>
      <c r="AG54" s="98">
        <f t="shared" si="26"/>
        <v>-13849767.44975999</v>
      </c>
    </row>
    <row r="55" spans="1:33" x14ac:dyDescent="0.2">
      <c r="A55" s="121" t="s">
        <v>130</v>
      </c>
      <c r="B55" s="183">
        <v>19409.34</v>
      </c>
      <c r="C55" s="184">
        <v>119.13</v>
      </c>
      <c r="D55" s="184">
        <v>0</v>
      </c>
      <c r="E55" s="62">
        <f t="shared" si="12"/>
        <v>19528.47</v>
      </c>
      <c r="F55" s="63">
        <f t="shared" si="16"/>
        <v>98810616.359999999</v>
      </c>
      <c r="G55" s="63">
        <f t="shared" si="17"/>
        <v>113411472.36</v>
      </c>
      <c r="H55" s="194">
        <v>113411472.36</v>
      </c>
      <c r="I55" s="182">
        <f>-'[1]Formula Weights'!$B$16*('[1]16-17 Apportionments Data'!F43)+-'[1]Formula Weights'!$B$17*('[1]16-17 Apportionments Data'!G43)+-'[1]Formula Weights'!$B$18*('[1]16-17 Apportionments Data'!H43)</f>
        <v>4500486.8887901064</v>
      </c>
      <c r="J55" s="64">
        <f t="shared" si="13"/>
        <v>51261985.506719999</v>
      </c>
      <c r="K55" s="85">
        <v>15967</v>
      </c>
      <c r="L55" s="85"/>
      <c r="M55" s="85"/>
      <c r="N55" s="65">
        <f t="shared" si="18"/>
        <v>1271.5503999999999</v>
      </c>
      <c r="O55" s="126">
        <v>877</v>
      </c>
      <c r="P55" s="65">
        <f t="shared" si="19"/>
        <v>2028.8000000000002</v>
      </c>
      <c r="Q55" s="66">
        <f t="shared" si="15"/>
        <v>22082102.836799998</v>
      </c>
      <c r="R55" s="88">
        <v>2989</v>
      </c>
      <c r="S55" s="88"/>
      <c r="T55" s="88"/>
      <c r="U55" s="65">
        <f t="shared" si="20"/>
        <v>5274.88</v>
      </c>
      <c r="V55" s="120">
        <v>991</v>
      </c>
      <c r="W55" s="65">
        <f t="shared" si="21"/>
        <v>6096.5439999999999</v>
      </c>
      <c r="X55" s="88">
        <v>505</v>
      </c>
      <c r="Y55" s="88"/>
      <c r="Z55" s="88"/>
      <c r="AA55" s="65">
        <f t="shared" si="22"/>
        <v>930.71199999999999</v>
      </c>
      <c r="AB55" s="66">
        <f t="shared" si="23"/>
        <v>22278300.984000001</v>
      </c>
      <c r="AC55" s="86">
        <v>14600856</v>
      </c>
      <c r="AD55" s="94">
        <f t="shared" si="24"/>
        <v>95622389.327519998</v>
      </c>
      <c r="AE55" s="89">
        <v>108376473</v>
      </c>
      <c r="AF55" s="91">
        <f t="shared" si="25"/>
        <v>-0.15685435223001457</v>
      </c>
      <c r="AG55" s="98">
        <f t="shared" si="26"/>
        <v>-12754083.672480002</v>
      </c>
    </row>
    <row r="56" spans="1:33" x14ac:dyDescent="0.2">
      <c r="A56" s="121" t="s">
        <v>131</v>
      </c>
      <c r="B56" s="183">
        <v>22274.09</v>
      </c>
      <c r="C56" s="184">
        <v>702.14</v>
      </c>
      <c r="D56" s="183">
        <v>5925.41</v>
      </c>
      <c r="E56" s="62">
        <f t="shared" si="12"/>
        <v>28901.64</v>
      </c>
      <c r="F56" s="63">
        <f t="shared" si="16"/>
        <v>145187646.64000002</v>
      </c>
      <c r="G56" s="63">
        <f t="shared" si="17"/>
        <v>156138291.64000002</v>
      </c>
      <c r="H56" s="194">
        <v>156138291.63999999</v>
      </c>
      <c r="I56" s="182">
        <f>-'[1]Formula Weights'!$B$16*('[1]16-17 Apportionments Data'!F44)+-'[1]Formula Weights'!$B$17*('[1]16-17 Apportionments Data'!G44)+-'[1]Formula Weights'!$B$18*('[1]16-17 Apportionments Data'!H44)</f>
        <v>0</v>
      </c>
      <c r="J56" s="64">
        <f t="shared" si="13"/>
        <v>70574507.821280003</v>
      </c>
      <c r="K56" s="85">
        <v>19303</v>
      </c>
      <c r="L56" s="85"/>
      <c r="M56" s="85"/>
      <c r="N56" s="65">
        <f t="shared" si="18"/>
        <v>1271.5503999999999</v>
      </c>
      <c r="O56" s="126">
        <v>1307</v>
      </c>
      <c r="P56" s="65">
        <f t="shared" si="19"/>
        <v>2028.8000000000002</v>
      </c>
      <c r="Q56" s="66">
        <f t="shared" si="15"/>
        <v>27196378.9712</v>
      </c>
      <c r="R56" s="88">
        <v>9927</v>
      </c>
      <c r="S56" s="88"/>
      <c r="T56" s="88"/>
      <c r="U56" s="65">
        <f t="shared" si="20"/>
        <v>5274.88</v>
      </c>
      <c r="V56" s="120">
        <v>2082</v>
      </c>
      <c r="W56" s="65">
        <f t="shared" si="21"/>
        <v>6096.5439999999999</v>
      </c>
      <c r="X56" s="88">
        <v>1062</v>
      </c>
      <c r="Y56" s="88"/>
      <c r="Z56" s="88"/>
      <c r="AA56" s="65">
        <f t="shared" si="22"/>
        <v>930.71199999999999</v>
      </c>
      <c r="AB56" s="66">
        <f t="shared" si="23"/>
        <v>66045154.512000002</v>
      </c>
      <c r="AC56" s="86">
        <v>10950645</v>
      </c>
      <c r="AD56" s="94">
        <f t="shared" si="24"/>
        <v>163816041.30448002</v>
      </c>
      <c r="AE56" s="89">
        <v>163574983</v>
      </c>
      <c r="AF56" s="91">
        <f t="shared" si="25"/>
        <v>4.9172753101348075E-2</v>
      </c>
      <c r="AG56" s="98">
        <f t="shared" si="26"/>
        <v>241058.30448001623</v>
      </c>
    </row>
    <row r="57" spans="1:33" x14ac:dyDescent="0.2">
      <c r="A57" s="121" t="s">
        <v>132</v>
      </c>
      <c r="B57" s="183">
        <v>3508.35</v>
      </c>
      <c r="C57" s="184">
        <v>54.32</v>
      </c>
      <c r="D57" s="184">
        <v>31.68</v>
      </c>
      <c r="E57" s="62">
        <f t="shared" si="12"/>
        <v>3594.35</v>
      </c>
      <c r="F57" s="63">
        <f t="shared" si="16"/>
        <v>18122120.48</v>
      </c>
      <c r="G57" s="63">
        <f t="shared" si="17"/>
        <v>23845880.48</v>
      </c>
      <c r="H57" s="194">
        <v>23845880.48</v>
      </c>
      <c r="I57" s="182">
        <f>-'[1]Formula Weights'!$B$16*('[1]16-17 Apportionments Data'!F45)+-'[1]Formula Weights'!$B$17*('[1]16-17 Apportionments Data'!G45)+-'[1]Formula Weights'!$B$18*('[1]16-17 Apportionments Data'!H45)</f>
        <v>0</v>
      </c>
      <c r="J57" s="64">
        <f t="shared" si="13"/>
        <v>10778337.97696</v>
      </c>
      <c r="K57" s="85">
        <v>3723</v>
      </c>
      <c r="L57" s="85"/>
      <c r="M57" s="85"/>
      <c r="N57" s="65">
        <f t="shared" si="18"/>
        <v>1271.5503999999999</v>
      </c>
      <c r="O57" s="126">
        <v>289</v>
      </c>
      <c r="P57" s="65">
        <f t="shared" si="19"/>
        <v>2028.8000000000002</v>
      </c>
      <c r="Q57" s="66">
        <f t="shared" si="15"/>
        <v>5320305.3391999993</v>
      </c>
      <c r="R57" s="88">
        <v>663</v>
      </c>
      <c r="S57" s="88"/>
      <c r="T57" s="88"/>
      <c r="U57" s="65">
        <f t="shared" si="20"/>
        <v>5274.88</v>
      </c>
      <c r="V57" s="120">
        <v>177</v>
      </c>
      <c r="W57" s="65">
        <f t="shared" si="21"/>
        <v>6096.5439999999999</v>
      </c>
      <c r="X57" s="88">
        <v>62</v>
      </c>
      <c r="Y57" s="88"/>
      <c r="Z57" s="88"/>
      <c r="AA57" s="65">
        <f t="shared" si="22"/>
        <v>930.71199999999999</v>
      </c>
      <c r="AB57" s="66">
        <f t="shared" si="23"/>
        <v>4634037.8720000004</v>
      </c>
      <c r="AC57" s="86">
        <v>5723760</v>
      </c>
      <c r="AD57" s="94">
        <f t="shared" si="24"/>
        <v>20732681.188159999</v>
      </c>
      <c r="AE57" s="89">
        <v>26965808</v>
      </c>
      <c r="AF57" s="91">
        <f t="shared" si="25"/>
        <v>-0.13055501533906883</v>
      </c>
      <c r="AG57" s="98">
        <f t="shared" si="26"/>
        <v>-6233126.8118400015</v>
      </c>
    </row>
    <row r="58" spans="1:33" x14ac:dyDescent="0.2">
      <c r="A58" s="121" t="s">
        <v>133</v>
      </c>
      <c r="B58" s="183">
        <v>12503.3</v>
      </c>
      <c r="C58" s="184">
        <v>365.21</v>
      </c>
      <c r="D58" s="184">
        <v>37.380000000000003</v>
      </c>
      <c r="E58" s="62">
        <f t="shared" si="12"/>
        <v>12905.889999999998</v>
      </c>
      <c r="F58" s="63">
        <f t="shared" si="16"/>
        <v>64729714.919999994</v>
      </c>
      <c r="G58" s="63">
        <f t="shared" si="17"/>
        <v>69596667.919999987</v>
      </c>
      <c r="H58" s="194">
        <v>69596667.920000002</v>
      </c>
      <c r="I58" s="182">
        <f>-'[1]Formula Weights'!$B$16*('[1]16-17 Apportionments Data'!F46)+-'[1]Formula Weights'!$B$17*('[1]16-17 Apportionments Data'!G46)+-'[1]Formula Weights'!$B$18*('[1]16-17 Apportionments Data'!H46)</f>
        <v>1239822.350554615</v>
      </c>
      <c r="J58" s="64">
        <f t="shared" si="13"/>
        <v>31457693.899840001</v>
      </c>
      <c r="K58" s="85">
        <v>12435</v>
      </c>
      <c r="L58" s="85"/>
      <c r="M58" s="85"/>
      <c r="N58" s="65">
        <f t="shared" si="18"/>
        <v>1271.5503999999999</v>
      </c>
      <c r="O58" s="126">
        <v>802</v>
      </c>
      <c r="P58" s="65">
        <f t="shared" si="19"/>
        <v>2028.8000000000002</v>
      </c>
      <c r="Q58" s="66">
        <f t="shared" si="15"/>
        <v>17438826.823999997</v>
      </c>
      <c r="R58" s="88">
        <v>1739</v>
      </c>
      <c r="S58" s="88"/>
      <c r="T58" s="88"/>
      <c r="U58" s="65">
        <f t="shared" si="20"/>
        <v>5274.88</v>
      </c>
      <c r="V58" s="120">
        <v>494</v>
      </c>
      <c r="W58" s="65">
        <f t="shared" si="21"/>
        <v>6096.5439999999999</v>
      </c>
      <c r="X58" s="88">
        <v>552</v>
      </c>
      <c r="Y58" s="88"/>
      <c r="Z58" s="88"/>
      <c r="AA58" s="65">
        <f t="shared" si="22"/>
        <v>930.71199999999999</v>
      </c>
      <c r="AB58" s="66">
        <f t="shared" si="23"/>
        <v>12698462.08</v>
      </c>
      <c r="AC58" s="86">
        <v>4866953</v>
      </c>
      <c r="AD58" s="94">
        <f t="shared" si="24"/>
        <v>61594982.803839996</v>
      </c>
      <c r="AE58" s="89">
        <v>70038728</v>
      </c>
      <c r="AF58" s="91">
        <f t="shared" si="25"/>
        <v>-0.11497224443787699</v>
      </c>
      <c r="AG58" s="98">
        <f t="shared" si="26"/>
        <v>-8443745.1961600035</v>
      </c>
    </row>
    <row r="59" spans="1:33" x14ac:dyDescent="0.2">
      <c r="A59" s="121" t="s">
        <v>134</v>
      </c>
      <c r="B59" s="183">
        <v>28599.64</v>
      </c>
      <c r="C59" s="184">
        <v>82.8</v>
      </c>
      <c r="D59" s="184">
        <v>0</v>
      </c>
      <c r="E59" s="62">
        <f t="shared" si="12"/>
        <v>28682.44</v>
      </c>
      <c r="F59" s="63">
        <f t="shared" si="16"/>
        <v>145312066.88</v>
      </c>
      <c r="G59" s="63">
        <f t="shared" si="17"/>
        <v>156871078.88</v>
      </c>
      <c r="H59" s="194">
        <v>156871078.88</v>
      </c>
      <c r="I59" s="182">
        <f>-'[1]Formula Weights'!$B$16*('[1]16-17 Apportionments Data'!F47)+-'[1]Formula Weights'!$B$17*('[1]16-17 Apportionments Data'!G47)+-'[1]Formula Weights'!$B$18*('[1]16-17 Apportionments Data'!H47)</f>
        <v>0</v>
      </c>
      <c r="J59" s="64">
        <f t="shared" si="13"/>
        <v>70905727.653760001</v>
      </c>
      <c r="K59" s="85">
        <v>29058</v>
      </c>
      <c r="L59" s="85"/>
      <c r="M59" s="85"/>
      <c r="N59" s="65">
        <f t="shared" si="18"/>
        <v>1271.5503999999999</v>
      </c>
      <c r="O59" s="126">
        <v>2741</v>
      </c>
      <c r="P59" s="65">
        <f t="shared" si="19"/>
        <v>2028.8000000000002</v>
      </c>
      <c r="Q59" s="66">
        <f t="shared" si="15"/>
        <v>42509652.323200002</v>
      </c>
      <c r="R59" s="88">
        <v>4942</v>
      </c>
      <c r="S59" s="88"/>
      <c r="T59" s="88"/>
      <c r="U59" s="65">
        <f t="shared" si="20"/>
        <v>5274.88</v>
      </c>
      <c r="V59" s="120">
        <v>1235</v>
      </c>
      <c r="W59" s="65">
        <f t="shared" si="21"/>
        <v>6096.5439999999999</v>
      </c>
      <c r="X59" s="88">
        <v>593</v>
      </c>
      <c r="Y59" s="88"/>
      <c r="Z59" s="88"/>
      <c r="AA59" s="65">
        <f t="shared" si="22"/>
        <v>930.71199999999999</v>
      </c>
      <c r="AB59" s="66">
        <f t="shared" si="23"/>
        <v>34149601.015999995</v>
      </c>
      <c r="AC59" s="86">
        <v>11559012</v>
      </c>
      <c r="AD59" s="94">
        <f t="shared" si="24"/>
        <v>147564980.99295998</v>
      </c>
      <c r="AE59" s="89">
        <v>169533639</v>
      </c>
      <c r="AF59" s="91">
        <f t="shared" si="25"/>
        <v>-5.9323222314030276E-2</v>
      </c>
      <c r="AG59" s="98">
        <f t="shared" si="26"/>
        <v>-21968658.007040024</v>
      </c>
    </row>
    <row r="60" spans="1:33" x14ac:dyDescent="0.2">
      <c r="A60" s="121" t="s">
        <v>135</v>
      </c>
      <c r="B60" s="183">
        <v>15275.66</v>
      </c>
      <c r="C60" s="184">
        <v>67.08</v>
      </c>
      <c r="D60" s="184">
        <v>0</v>
      </c>
      <c r="E60" s="62">
        <f t="shared" si="12"/>
        <v>15342.74</v>
      </c>
      <c r="F60" s="63">
        <f t="shared" si="16"/>
        <v>77684485.599999994</v>
      </c>
      <c r="G60" s="63">
        <f t="shared" si="17"/>
        <v>85593283.599999994</v>
      </c>
      <c r="H60" s="194">
        <v>85593283.599999994</v>
      </c>
      <c r="I60" s="182">
        <f>-'[1]Formula Weights'!$B$16*('[1]16-17 Apportionments Data'!F48)+-'[1]Formula Weights'!$B$17*('[1]16-17 Apportionments Data'!G48)+-'[1]Formula Weights'!$B$18*('[1]16-17 Apportionments Data'!H48)</f>
        <v>0</v>
      </c>
      <c r="J60" s="64">
        <f t="shared" si="13"/>
        <v>38688164.187199995</v>
      </c>
      <c r="K60" s="85">
        <v>16826</v>
      </c>
      <c r="L60" s="85"/>
      <c r="M60" s="85"/>
      <c r="N60" s="65">
        <f t="shared" si="18"/>
        <v>1271.5503999999999</v>
      </c>
      <c r="O60" s="126">
        <v>1312</v>
      </c>
      <c r="P60" s="65">
        <f t="shared" si="19"/>
        <v>2028.8000000000002</v>
      </c>
      <c r="Q60" s="66">
        <f t="shared" si="15"/>
        <v>24056892.630399998</v>
      </c>
      <c r="R60" s="88">
        <v>2643</v>
      </c>
      <c r="S60" s="88"/>
      <c r="T60" s="88"/>
      <c r="U60" s="65">
        <f t="shared" si="20"/>
        <v>5274.88</v>
      </c>
      <c r="V60" s="120">
        <v>600</v>
      </c>
      <c r="W60" s="65">
        <f t="shared" si="21"/>
        <v>6096.5439999999999</v>
      </c>
      <c r="X60" s="88">
        <v>527</v>
      </c>
      <c r="Y60" s="88"/>
      <c r="Z60" s="88"/>
      <c r="AA60" s="65">
        <f t="shared" si="22"/>
        <v>930.71199999999999</v>
      </c>
      <c r="AB60" s="66">
        <f t="shared" si="23"/>
        <v>18089919.463999998</v>
      </c>
      <c r="AC60" s="86">
        <v>7908798</v>
      </c>
      <c r="AD60" s="94">
        <f t="shared" si="24"/>
        <v>80834976.281599998</v>
      </c>
      <c r="AE60" s="89">
        <v>91893266</v>
      </c>
      <c r="AF60" s="91">
        <f t="shared" si="25"/>
        <v>-5.5592064216589958E-2</v>
      </c>
      <c r="AG60" s="98">
        <f t="shared" si="26"/>
        <v>-11058289.718400002</v>
      </c>
    </row>
    <row r="61" spans="1:33" x14ac:dyDescent="0.2">
      <c r="A61" s="121" t="s">
        <v>136</v>
      </c>
      <c r="B61" s="183">
        <v>34919.01</v>
      </c>
      <c r="C61" s="183">
        <v>2077.7199999999998</v>
      </c>
      <c r="D61" s="183">
        <v>6289.53</v>
      </c>
      <c r="E61" s="62">
        <f t="shared" si="12"/>
        <v>43286.26</v>
      </c>
      <c r="F61" s="63">
        <f t="shared" si="16"/>
        <v>215400781.59999999</v>
      </c>
      <c r="G61" s="63">
        <f t="shared" si="17"/>
        <v>234260228.59999999</v>
      </c>
      <c r="H61" s="194">
        <v>234260228.59999999</v>
      </c>
      <c r="I61" s="182">
        <f>-'[1]Formula Weights'!$B$16*('[1]16-17 Apportionments Data'!F49)+-'[1]Formula Weights'!$B$17*('[1]16-17 Apportionments Data'!G49)+-'[1]Formula Weights'!$B$18*('[1]16-17 Apportionments Data'!H49)</f>
        <v>0</v>
      </c>
      <c r="J61" s="64">
        <f t="shared" si="13"/>
        <v>105885623.3272</v>
      </c>
      <c r="K61" s="85">
        <v>34335</v>
      </c>
      <c r="L61" s="85"/>
      <c r="M61" s="85"/>
      <c r="N61" s="65">
        <f t="shared" si="18"/>
        <v>1271.5503999999999</v>
      </c>
      <c r="O61" s="126">
        <v>2468</v>
      </c>
      <c r="P61" s="65">
        <f t="shared" si="19"/>
        <v>2028.8000000000002</v>
      </c>
      <c r="Q61" s="66">
        <f t="shared" si="15"/>
        <v>48665761.383999996</v>
      </c>
      <c r="R61" s="88">
        <v>14026</v>
      </c>
      <c r="S61" s="88"/>
      <c r="T61" s="88"/>
      <c r="U61" s="65">
        <f t="shared" si="20"/>
        <v>5274.88</v>
      </c>
      <c r="V61" s="120">
        <v>1830</v>
      </c>
      <c r="W61" s="65">
        <f t="shared" si="21"/>
        <v>6096.5439999999999</v>
      </c>
      <c r="X61" s="88">
        <v>1304</v>
      </c>
      <c r="Y61" s="88"/>
      <c r="Z61" s="88"/>
      <c r="AA61" s="65">
        <f t="shared" si="22"/>
        <v>930.71199999999999</v>
      </c>
      <c r="AB61" s="66">
        <f t="shared" si="23"/>
        <v>86355790.84799999</v>
      </c>
      <c r="AC61" s="86">
        <v>18859447</v>
      </c>
      <c r="AD61" s="94">
        <f t="shared" si="24"/>
        <v>240907175.55919999</v>
      </c>
      <c r="AE61" s="89">
        <v>249283957</v>
      </c>
      <c r="AF61" s="91">
        <f t="shared" si="25"/>
        <v>2.8374201625789734E-2</v>
      </c>
      <c r="AG61" s="98">
        <f t="shared" si="26"/>
        <v>-8376781.4408000112</v>
      </c>
    </row>
    <row r="62" spans="1:33" x14ac:dyDescent="0.2">
      <c r="A62" s="122" t="s">
        <v>137</v>
      </c>
      <c r="B62" s="183">
        <v>20598.34</v>
      </c>
      <c r="C62" s="183">
        <v>2394.3200000000002</v>
      </c>
      <c r="D62" s="183">
        <v>6366.52</v>
      </c>
      <c r="E62" s="62">
        <f t="shared" si="12"/>
        <v>29359.18</v>
      </c>
      <c r="F62" s="63">
        <f t="shared" si="16"/>
        <v>144130698.24000001</v>
      </c>
      <c r="G62" s="63">
        <f t="shared" si="17"/>
        <v>157575661.24000001</v>
      </c>
      <c r="H62" s="194">
        <v>84311566.609999999</v>
      </c>
      <c r="I62" s="182">
        <f>-'[1]Formula Weights'!$B$16*('[1]16-17 Apportionments Data'!F50)+-'[1]Formula Weights'!$B$17*('[1]16-17 Apportionments Data'!G50)+-'[1]Formula Weights'!$B$18*('[1]16-17 Apportionments Data'!H50)</f>
        <v>19993431.298837513</v>
      </c>
      <c r="J62" s="64">
        <f t="shared" si="13"/>
        <v>71224198.880480006</v>
      </c>
      <c r="K62" s="85">
        <v>13139</v>
      </c>
      <c r="L62" s="85"/>
      <c r="M62" s="85"/>
      <c r="N62" s="65">
        <f t="shared" si="18"/>
        <v>1271.5503999999999</v>
      </c>
      <c r="O62" s="126">
        <v>682</v>
      </c>
      <c r="P62" s="65">
        <f t="shared" si="19"/>
        <v>2028.8000000000002</v>
      </c>
      <c r="Q62" s="66">
        <f t="shared" si="15"/>
        <v>18090542.305599999</v>
      </c>
      <c r="R62" s="88">
        <v>2340</v>
      </c>
      <c r="S62" s="88"/>
      <c r="T62" s="88"/>
      <c r="U62" s="65">
        <f t="shared" si="20"/>
        <v>5274.88</v>
      </c>
      <c r="V62" s="120">
        <v>814</v>
      </c>
      <c r="W62" s="65">
        <f t="shared" si="21"/>
        <v>6096.5439999999999</v>
      </c>
      <c r="X62" s="88">
        <v>260</v>
      </c>
      <c r="Y62" s="88"/>
      <c r="Z62" s="88"/>
      <c r="AA62" s="65">
        <f t="shared" si="22"/>
        <v>930.71199999999999</v>
      </c>
      <c r="AB62" s="66">
        <f t="shared" si="23"/>
        <v>17547791.136000004</v>
      </c>
      <c r="AC62" s="86">
        <v>13444963</v>
      </c>
      <c r="AD62" s="94">
        <f t="shared" si="24"/>
        <v>106862532.32208002</v>
      </c>
      <c r="AE62" s="89">
        <v>116776320</v>
      </c>
      <c r="AF62" s="91">
        <f t="shared" si="25"/>
        <v>-0.32183351488958656</v>
      </c>
      <c r="AG62" s="98">
        <f t="shared" si="26"/>
        <v>-9913787.6779199839</v>
      </c>
    </row>
    <row r="63" spans="1:33" x14ac:dyDescent="0.2">
      <c r="A63" s="121" t="s">
        <v>138</v>
      </c>
      <c r="B63" s="183">
        <v>16165.28</v>
      </c>
      <c r="C63" s="184">
        <v>171.42</v>
      </c>
      <c r="D63" s="184">
        <v>0</v>
      </c>
      <c r="E63" s="62">
        <f t="shared" si="12"/>
        <v>16336.7</v>
      </c>
      <c r="F63" s="63">
        <f t="shared" si="16"/>
        <v>82517588.079999998</v>
      </c>
      <c r="G63" s="63">
        <f t="shared" si="17"/>
        <v>88601280.079999998</v>
      </c>
      <c r="H63" s="194">
        <v>88601280.079999998</v>
      </c>
      <c r="I63" s="182">
        <f>-'[1]Formula Weights'!$B$16*('[1]16-17 Apportionments Data'!F51)+-'[1]Formula Weights'!$B$17*('[1]16-17 Apportionments Data'!G51)+-'[1]Formula Weights'!$B$18*('[1]16-17 Apportionments Data'!H51)</f>
        <v>6769414.5694682635</v>
      </c>
      <c r="J63" s="64">
        <f t="shared" si="13"/>
        <v>40047778.596160002</v>
      </c>
      <c r="K63" s="85">
        <v>16183</v>
      </c>
      <c r="L63" s="85"/>
      <c r="M63" s="85"/>
      <c r="N63" s="65">
        <f t="shared" si="18"/>
        <v>1271.5503999999999</v>
      </c>
      <c r="O63" s="126">
        <v>1233</v>
      </c>
      <c r="P63" s="65">
        <f t="shared" si="19"/>
        <v>2028.8000000000002</v>
      </c>
      <c r="Q63" s="66">
        <f t="shared" si="15"/>
        <v>23079010.523199998</v>
      </c>
      <c r="R63" s="88">
        <v>3935</v>
      </c>
      <c r="S63" s="88"/>
      <c r="T63" s="88"/>
      <c r="U63" s="65">
        <f t="shared" si="20"/>
        <v>5274.88</v>
      </c>
      <c r="V63" s="120">
        <v>817</v>
      </c>
      <c r="W63" s="65">
        <f t="shared" si="21"/>
        <v>6096.5439999999999</v>
      </c>
      <c r="X63" s="88">
        <v>203</v>
      </c>
      <c r="Y63" s="88"/>
      <c r="Z63" s="88"/>
      <c r="AA63" s="65">
        <f t="shared" si="22"/>
        <v>930.71199999999999</v>
      </c>
      <c r="AB63" s="66">
        <f t="shared" si="23"/>
        <v>25926463.783999998</v>
      </c>
      <c r="AC63" s="86">
        <v>6083692</v>
      </c>
      <c r="AD63" s="94">
        <f t="shared" si="24"/>
        <v>89053252.903360009</v>
      </c>
      <c r="AE63" s="89">
        <v>77814116</v>
      </c>
      <c r="AF63" s="91">
        <f t="shared" si="25"/>
        <v>5.1011996999582284E-3</v>
      </c>
      <c r="AG63" s="98">
        <f t="shared" si="26"/>
        <v>11239136.903360009</v>
      </c>
    </row>
    <row r="64" spans="1:33" x14ac:dyDescent="0.2">
      <c r="A64" s="122" t="s">
        <v>139</v>
      </c>
      <c r="B64" s="183">
        <v>11493.07</v>
      </c>
      <c r="C64" s="184">
        <v>87.43</v>
      </c>
      <c r="D64" s="184">
        <v>0</v>
      </c>
      <c r="E64" s="62">
        <f t="shared" si="12"/>
        <v>11580.5</v>
      </c>
      <c r="F64" s="63">
        <f t="shared" si="16"/>
        <v>58561785.719999999</v>
      </c>
      <c r="G64" s="63">
        <f t="shared" si="17"/>
        <v>65862213.719999999</v>
      </c>
      <c r="H64" s="194">
        <v>65862213.719999999</v>
      </c>
      <c r="I64" s="182">
        <f>-'[1]Formula Weights'!$B$16*('[1]16-17 Apportionments Data'!F52)+-'[1]Formula Weights'!$B$17*('[1]16-17 Apportionments Data'!G52)+-'[1]Formula Weights'!$B$18*('[1]16-17 Apportionments Data'!H52)</f>
        <v>0</v>
      </c>
      <c r="J64" s="64">
        <f t="shared" si="13"/>
        <v>29769720.601440001</v>
      </c>
      <c r="K64" s="85">
        <v>11292</v>
      </c>
      <c r="L64" s="85"/>
      <c r="M64" s="85"/>
      <c r="N64" s="65">
        <f t="shared" si="18"/>
        <v>1271.5503999999999</v>
      </c>
      <c r="O64" s="126">
        <v>741</v>
      </c>
      <c r="P64" s="65">
        <f t="shared" si="19"/>
        <v>2028.8000000000002</v>
      </c>
      <c r="Q64" s="66">
        <f t="shared" si="15"/>
        <v>15861687.9168</v>
      </c>
      <c r="R64" s="88">
        <v>1840</v>
      </c>
      <c r="S64" s="88"/>
      <c r="T64" s="88"/>
      <c r="U64" s="65">
        <f t="shared" si="20"/>
        <v>5274.88</v>
      </c>
      <c r="V64" s="120">
        <v>626</v>
      </c>
      <c r="W64" s="65">
        <f t="shared" si="21"/>
        <v>6096.5439999999999</v>
      </c>
      <c r="X64" s="88">
        <v>454</v>
      </c>
      <c r="Y64" s="88"/>
      <c r="Z64" s="88"/>
      <c r="AA64" s="65">
        <f t="shared" si="22"/>
        <v>930.71199999999999</v>
      </c>
      <c r="AB64" s="66">
        <f t="shared" si="23"/>
        <v>13944758.992000001</v>
      </c>
      <c r="AC64" s="86">
        <v>7300428</v>
      </c>
      <c r="AD64" s="94">
        <f t="shared" si="24"/>
        <v>59576167.510240003</v>
      </c>
      <c r="AE64" s="89">
        <v>71076205</v>
      </c>
      <c r="AF64" s="91">
        <f t="shared" si="25"/>
        <v>-9.5442376663557968E-2</v>
      </c>
      <c r="AG64" s="98">
        <f t="shared" si="26"/>
        <v>-11500037.489759997</v>
      </c>
    </row>
    <row r="65" spans="1:33" x14ac:dyDescent="0.2">
      <c r="A65" s="121" t="s">
        <v>140</v>
      </c>
      <c r="B65" s="183">
        <v>8036.95</v>
      </c>
      <c r="C65" s="184">
        <v>109.19</v>
      </c>
      <c r="D65" s="184">
        <v>173.86</v>
      </c>
      <c r="E65" s="62">
        <f t="shared" si="12"/>
        <v>8320</v>
      </c>
      <c r="F65" s="63">
        <f t="shared" si="16"/>
        <v>41981096.759999998</v>
      </c>
      <c r="G65" s="63">
        <f t="shared" si="17"/>
        <v>46848049.759999998</v>
      </c>
      <c r="H65" s="194">
        <v>46848049.759999998</v>
      </c>
      <c r="I65" s="182">
        <f>-'[1]Formula Weights'!$B$16*('[1]16-17 Apportionments Data'!F53)+-'[1]Formula Weights'!$B$17*('[1]16-17 Apportionments Data'!G53)+-'[1]Formula Weights'!$B$18*('[1]16-17 Apportionments Data'!H53)</f>
        <v>2431393.927855378</v>
      </c>
      <c r="J65" s="64">
        <f t="shared" si="13"/>
        <v>21175318.491519999</v>
      </c>
      <c r="K65" s="85">
        <v>5245</v>
      </c>
      <c r="L65" s="85"/>
      <c r="M65" s="85"/>
      <c r="N65" s="65">
        <f t="shared" si="18"/>
        <v>1271.5503999999999</v>
      </c>
      <c r="O65" s="126">
        <v>335</v>
      </c>
      <c r="P65" s="65">
        <f t="shared" si="19"/>
        <v>2028.8000000000002</v>
      </c>
      <c r="Q65" s="66">
        <f t="shared" si="15"/>
        <v>7348929.8479999993</v>
      </c>
      <c r="R65" s="88">
        <v>1483</v>
      </c>
      <c r="S65" s="88"/>
      <c r="T65" s="88"/>
      <c r="U65" s="65">
        <f t="shared" si="20"/>
        <v>5274.88</v>
      </c>
      <c r="V65" s="120">
        <v>584</v>
      </c>
      <c r="W65" s="65">
        <f t="shared" si="21"/>
        <v>6096.5439999999999</v>
      </c>
      <c r="X65" s="88">
        <v>418</v>
      </c>
      <c r="Y65" s="88"/>
      <c r="Z65" s="88"/>
      <c r="AA65" s="65">
        <f t="shared" si="22"/>
        <v>930.71199999999999</v>
      </c>
      <c r="AB65" s="66">
        <f t="shared" si="23"/>
        <v>11772066.352</v>
      </c>
      <c r="AC65" s="86">
        <v>4866953</v>
      </c>
      <c r="AD65" s="94">
        <f t="shared" si="24"/>
        <v>40296314.691519998</v>
      </c>
      <c r="AE65" s="89">
        <v>43443676</v>
      </c>
      <c r="AF65" s="91">
        <f t="shared" si="25"/>
        <v>-0.1398507537036052</v>
      </c>
      <c r="AG65" s="98">
        <f t="shared" si="26"/>
        <v>-3147361.308480002</v>
      </c>
    </row>
    <row r="66" spans="1:33" x14ac:dyDescent="0.2">
      <c r="A66" s="121" t="s">
        <v>141</v>
      </c>
      <c r="B66" s="183">
        <v>17216.650000000001</v>
      </c>
      <c r="C66" s="184">
        <v>87.46</v>
      </c>
      <c r="D66" s="184">
        <v>0</v>
      </c>
      <c r="E66" s="62">
        <f t="shared" si="12"/>
        <v>17304.11</v>
      </c>
      <c r="F66" s="63">
        <f t="shared" si="16"/>
        <v>87591875.760000005</v>
      </c>
      <c r="G66" s="63">
        <f t="shared" si="17"/>
        <v>98542517.760000005</v>
      </c>
      <c r="H66" s="194">
        <v>98542517.760000005</v>
      </c>
      <c r="I66" s="182">
        <f>-'[1]Formula Weights'!$B$16*('[1]16-17 Apportionments Data'!F54)+-'[1]Formula Weights'!$B$17*('[1]16-17 Apportionments Data'!G54)+-'[1]Formula Weights'!$B$18*('[1]16-17 Apportionments Data'!H54)</f>
        <v>1762227.8092008035</v>
      </c>
      <c r="J66" s="64">
        <f t="shared" si="13"/>
        <v>44541218.027520001</v>
      </c>
      <c r="K66" s="85">
        <v>12225</v>
      </c>
      <c r="L66" s="85"/>
      <c r="M66" s="85"/>
      <c r="N66" s="65">
        <f t="shared" si="18"/>
        <v>1271.5503999999999</v>
      </c>
      <c r="O66" s="126">
        <v>604</v>
      </c>
      <c r="P66" s="65">
        <f t="shared" si="19"/>
        <v>2028.8000000000002</v>
      </c>
      <c r="Q66" s="66">
        <f t="shared" si="15"/>
        <v>16770098.84</v>
      </c>
      <c r="R66" s="88">
        <v>3601</v>
      </c>
      <c r="S66" s="88"/>
      <c r="T66" s="88"/>
      <c r="U66" s="65">
        <f t="shared" si="20"/>
        <v>5274.88</v>
      </c>
      <c r="V66" s="120">
        <v>1471</v>
      </c>
      <c r="W66" s="65">
        <f t="shared" si="21"/>
        <v>6096.5439999999999</v>
      </c>
      <c r="X66" s="88">
        <v>925</v>
      </c>
      <c r="Y66" s="88"/>
      <c r="Z66" s="88"/>
      <c r="AA66" s="65">
        <f t="shared" si="22"/>
        <v>930.71199999999999</v>
      </c>
      <c r="AB66" s="66">
        <f t="shared" si="23"/>
        <v>28823767.704</v>
      </c>
      <c r="AC66" s="86">
        <v>10950642</v>
      </c>
      <c r="AD66" s="94">
        <f t="shared" si="24"/>
        <v>90135084.571520001</v>
      </c>
      <c r="AE66" s="89">
        <v>99161281</v>
      </c>
      <c r="AF66" s="91">
        <f t="shared" si="25"/>
        <v>-8.5317824017408228E-2</v>
      </c>
      <c r="AG66" s="98">
        <f t="shared" si="26"/>
        <v>-9026196.4284799993</v>
      </c>
    </row>
    <row r="67" spans="1:33" x14ac:dyDescent="0.2">
      <c r="A67" s="121" t="s">
        <v>142</v>
      </c>
      <c r="B67" s="183">
        <v>12674.99</v>
      </c>
      <c r="C67" s="184">
        <v>147.59</v>
      </c>
      <c r="D67" s="184">
        <v>387.68</v>
      </c>
      <c r="E67" s="62">
        <f t="shared" si="12"/>
        <v>13210.26</v>
      </c>
      <c r="F67" s="63">
        <f t="shared" si="16"/>
        <v>66707849.080000006</v>
      </c>
      <c r="G67" s="63">
        <f t="shared" si="17"/>
        <v>73704094.080000013</v>
      </c>
      <c r="H67" s="194">
        <v>73704094.079999998</v>
      </c>
      <c r="I67" s="182">
        <f>-'[1]Formula Weights'!$B$16*('[1]16-17 Apportionments Data'!F55)+-'[1]Formula Weights'!$B$17*('[1]16-17 Apportionments Data'!G55)+-'[1]Formula Weights'!$B$18*('[1]16-17 Apportionments Data'!H55)</f>
        <v>2096795.0240410112</v>
      </c>
      <c r="J67" s="64">
        <f t="shared" si="13"/>
        <v>33314250.524160001</v>
      </c>
      <c r="K67" s="85">
        <v>9927</v>
      </c>
      <c r="L67" s="85"/>
      <c r="M67" s="85"/>
      <c r="N67" s="65">
        <f t="shared" si="18"/>
        <v>1271.5503999999999</v>
      </c>
      <c r="O67" s="126">
        <v>559</v>
      </c>
      <c r="P67" s="65">
        <f t="shared" si="19"/>
        <v>2028.8000000000002</v>
      </c>
      <c r="Q67" s="66">
        <f t="shared" si="15"/>
        <v>13756780.020799998</v>
      </c>
      <c r="R67" s="88">
        <v>3747</v>
      </c>
      <c r="S67" s="88"/>
      <c r="T67" s="88"/>
      <c r="U67" s="65">
        <f t="shared" si="20"/>
        <v>5274.88</v>
      </c>
      <c r="V67" s="120">
        <v>1339</v>
      </c>
      <c r="W67" s="65">
        <f t="shared" si="21"/>
        <v>6096.5439999999999</v>
      </c>
      <c r="X67" s="88">
        <v>0</v>
      </c>
      <c r="Y67" s="88"/>
      <c r="Z67" s="88"/>
      <c r="AA67" s="65">
        <f t="shared" si="22"/>
        <v>930.71199999999999</v>
      </c>
      <c r="AB67" s="66">
        <f t="shared" si="23"/>
        <v>27928247.776000001</v>
      </c>
      <c r="AC67" s="86">
        <v>6996245</v>
      </c>
      <c r="AD67" s="94">
        <f t="shared" si="24"/>
        <v>74999278.32096</v>
      </c>
      <c r="AE67" s="89">
        <v>73113293</v>
      </c>
      <c r="AF67" s="91">
        <f t="shared" si="25"/>
        <v>1.7572758435293514E-2</v>
      </c>
      <c r="AG67" s="98">
        <f t="shared" si="26"/>
        <v>1885985.3209600002</v>
      </c>
    </row>
    <row r="68" spans="1:33" x14ac:dyDescent="0.2">
      <c r="A68" s="121" t="s">
        <v>143</v>
      </c>
      <c r="B68" s="183">
        <v>15566.39</v>
      </c>
      <c r="C68" s="184">
        <v>246.74</v>
      </c>
      <c r="D68" s="184">
        <v>181.64</v>
      </c>
      <c r="E68" s="62">
        <f t="shared" si="12"/>
        <v>15994.769999999999</v>
      </c>
      <c r="F68" s="63">
        <f t="shared" si="16"/>
        <v>80632980.399999991</v>
      </c>
      <c r="G68" s="63">
        <f t="shared" si="17"/>
        <v>86716672.399999991</v>
      </c>
      <c r="H68" s="194">
        <v>86716672.400000006</v>
      </c>
      <c r="I68" s="182">
        <f>-'[1]Formula Weights'!$B$16*('[1]16-17 Apportionments Data'!F56)+-'[1]Formula Weights'!$B$17*('[1]16-17 Apportionments Data'!G56)+-'[1]Formula Weights'!$B$18*('[1]16-17 Apportionments Data'!H56)</f>
        <v>0</v>
      </c>
      <c r="J68" s="64">
        <f t="shared" si="13"/>
        <v>39195935.924800001</v>
      </c>
      <c r="K68" s="85">
        <v>11710</v>
      </c>
      <c r="L68" s="85"/>
      <c r="M68" s="85"/>
      <c r="N68" s="65">
        <f t="shared" si="18"/>
        <v>1271.5503999999999</v>
      </c>
      <c r="O68" s="126">
        <v>793</v>
      </c>
      <c r="P68" s="65">
        <f t="shared" si="19"/>
        <v>2028.8000000000002</v>
      </c>
      <c r="Q68" s="66">
        <f t="shared" si="15"/>
        <v>16498693.583999999</v>
      </c>
      <c r="R68" s="88">
        <v>3965</v>
      </c>
      <c r="S68" s="88"/>
      <c r="T68" s="88"/>
      <c r="U68" s="65">
        <f t="shared" si="20"/>
        <v>5274.88</v>
      </c>
      <c r="V68" s="120">
        <v>1358</v>
      </c>
      <c r="W68" s="65">
        <f t="shared" si="21"/>
        <v>6096.5439999999999</v>
      </c>
      <c r="X68" s="88">
        <v>729</v>
      </c>
      <c r="Y68" s="88"/>
      <c r="Z68" s="88"/>
      <c r="AA68" s="65">
        <f t="shared" si="22"/>
        <v>930.71199999999999</v>
      </c>
      <c r="AB68" s="66">
        <f t="shared" si="23"/>
        <v>29872495</v>
      </c>
      <c r="AC68" s="86">
        <v>6083692</v>
      </c>
      <c r="AD68" s="94">
        <f t="shared" si="24"/>
        <v>85567124.5088</v>
      </c>
      <c r="AE68" s="89">
        <v>93291942</v>
      </c>
      <c r="AF68" s="91">
        <f t="shared" si="25"/>
        <v>-1.3256365349185046E-2</v>
      </c>
      <c r="AG68" s="98">
        <f t="shared" si="26"/>
        <v>-7724817.4912</v>
      </c>
    </row>
    <row r="69" spans="1:33" x14ac:dyDescent="0.2">
      <c r="A69" s="122" t="s">
        <v>144</v>
      </c>
      <c r="B69" s="183">
        <v>21263.86</v>
      </c>
      <c r="C69" s="184">
        <v>597.29</v>
      </c>
      <c r="D69" s="184">
        <v>167.26</v>
      </c>
      <c r="E69" s="62">
        <f t="shared" si="12"/>
        <v>22028.41</v>
      </c>
      <c r="F69" s="63">
        <f t="shared" si="16"/>
        <v>110535904.68000001</v>
      </c>
      <c r="G69" s="63">
        <f t="shared" si="17"/>
        <v>117836335.68000001</v>
      </c>
      <c r="H69" s="194">
        <v>117836335.68000001</v>
      </c>
      <c r="I69" s="182">
        <f>-'[1]Formula Weights'!$B$16*('[1]16-17 Apportionments Data'!F57)+-'[1]Formula Weights'!$B$17*('[1]16-17 Apportionments Data'!G57)+-'[1]Formula Weights'!$B$18*('[1]16-17 Apportionments Data'!H57)</f>
        <v>1441263.814315944</v>
      </c>
      <c r="J69" s="64">
        <f t="shared" si="13"/>
        <v>53262023.727360003</v>
      </c>
      <c r="K69" s="85">
        <v>20276</v>
      </c>
      <c r="L69" s="85"/>
      <c r="M69" s="85"/>
      <c r="N69" s="65">
        <f t="shared" si="18"/>
        <v>1271.5503999999999</v>
      </c>
      <c r="O69" s="126">
        <v>1657</v>
      </c>
      <c r="P69" s="65">
        <f t="shared" si="19"/>
        <v>2028.8000000000002</v>
      </c>
      <c r="Q69" s="66">
        <f t="shared" si="15"/>
        <v>29143677.510399997</v>
      </c>
      <c r="R69" s="88">
        <v>4092</v>
      </c>
      <c r="S69" s="88"/>
      <c r="T69" s="88"/>
      <c r="U69" s="65">
        <f t="shared" si="20"/>
        <v>5274.88</v>
      </c>
      <c r="V69" s="120">
        <v>1503</v>
      </c>
      <c r="W69" s="65">
        <f t="shared" si="21"/>
        <v>6096.5439999999999</v>
      </c>
      <c r="X69" s="88">
        <v>572</v>
      </c>
      <c r="Y69" s="88"/>
      <c r="Z69" s="88"/>
      <c r="AA69" s="65">
        <f t="shared" si="22"/>
        <v>930.71199999999999</v>
      </c>
      <c r="AB69" s="66">
        <f t="shared" si="23"/>
        <v>31280281.855999999</v>
      </c>
      <c r="AC69" s="86">
        <v>7300431</v>
      </c>
      <c r="AD69" s="94">
        <f t="shared" si="24"/>
        <v>113685983.09376</v>
      </c>
      <c r="AE69" s="89">
        <v>130244083</v>
      </c>
      <c r="AF69" s="91">
        <f t="shared" si="25"/>
        <v>-3.5221331029087956E-2</v>
      </c>
      <c r="AG69" s="98">
        <f t="shared" si="26"/>
        <v>-16558099.906240001</v>
      </c>
    </row>
    <row r="70" spans="1:33" x14ac:dyDescent="0.2">
      <c r="A70" s="121" t="s">
        <v>145</v>
      </c>
      <c r="B70" s="183">
        <v>8921.49</v>
      </c>
      <c r="C70" s="184">
        <v>339.26</v>
      </c>
      <c r="D70" s="184">
        <v>169.53</v>
      </c>
      <c r="E70" s="62">
        <f t="shared" si="12"/>
        <v>9430.2800000000007</v>
      </c>
      <c r="F70" s="63">
        <f t="shared" si="16"/>
        <v>47153217.199999996</v>
      </c>
      <c r="G70" s="63">
        <f t="shared" si="17"/>
        <v>54453648.199999996</v>
      </c>
      <c r="H70" s="194">
        <v>54453648.200000003</v>
      </c>
      <c r="I70" s="182">
        <f>-'[1]Formula Weights'!$B$16*('[1]16-17 Apportionments Data'!F58)+-'[1]Formula Weights'!$B$17*('[1]16-17 Apportionments Data'!G58)+-'[1]Formula Weights'!$B$18*('[1]16-17 Apportionments Data'!H58)</f>
        <v>0</v>
      </c>
      <c r="J70" s="64">
        <f t="shared" si="13"/>
        <v>24613048.986400001</v>
      </c>
      <c r="K70" s="85">
        <v>10401</v>
      </c>
      <c r="L70" s="85"/>
      <c r="M70" s="85"/>
      <c r="N70" s="65">
        <f t="shared" si="18"/>
        <v>1271.5503999999999</v>
      </c>
      <c r="O70" s="126">
        <v>1219</v>
      </c>
      <c r="P70" s="65">
        <f t="shared" si="19"/>
        <v>2028.8000000000002</v>
      </c>
      <c r="Q70" s="66">
        <f t="shared" si="15"/>
        <v>15698502.910399999</v>
      </c>
      <c r="R70" s="88">
        <v>1438</v>
      </c>
      <c r="S70" s="88"/>
      <c r="T70" s="88"/>
      <c r="U70" s="65">
        <f t="shared" si="20"/>
        <v>5274.88</v>
      </c>
      <c r="V70" s="120">
        <v>667</v>
      </c>
      <c r="W70" s="65">
        <f t="shared" si="21"/>
        <v>6096.5439999999999</v>
      </c>
      <c r="X70" s="88">
        <v>282</v>
      </c>
      <c r="Y70" s="88"/>
      <c r="Z70" s="88"/>
      <c r="AA70" s="65">
        <f t="shared" si="22"/>
        <v>930.71199999999999</v>
      </c>
      <c r="AB70" s="66">
        <f t="shared" si="23"/>
        <v>11914133.072000001</v>
      </c>
      <c r="AC70" s="86">
        <v>7300431</v>
      </c>
      <c r="AD70" s="94">
        <f t="shared" si="24"/>
        <v>52225684.968800001</v>
      </c>
      <c r="AE70" s="89">
        <v>58366550</v>
      </c>
      <c r="AF70" s="91">
        <f t="shared" si="25"/>
        <v>-4.0914857036153454E-2</v>
      </c>
      <c r="AG70" s="98">
        <f t="shared" si="26"/>
        <v>-6140865.0311999992</v>
      </c>
    </row>
    <row r="71" spans="1:33" x14ac:dyDescent="0.2">
      <c r="A71" s="121" t="s">
        <v>146</v>
      </c>
      <c r="B71" s="183">
        <v>5886.12</v>
      </c>
      <c r="C71" s="184">
        <v>177.17</v>
      </c>
      <c r="D71" s="184">
        <v>34.340000000000003</v>
      </c>
      <c r="E71" s="62">
        <f t="shared" si="12"/>
        <v>6097.63</v>
      </c>
      <c r="F71" s="63">
        <f t="shared" si="16"/>
        <v>30573548.040000003</v>
      </c>
      <c r="G71" s="63">
        <f t="shared" si="17"/>
        <v>34223762.040000007</v>
      </c>
      <c r="H71" s="194">
        <v>34223762.039999999</v>
      </c>
      <c r="I71" s="182">
        <f>-'[1]Formula Weights'!$B$16*('[1]16-17 Apportionments Data'!F59)+-'[1]Formula Weights'!$B$17*('[1]16-17 Apportionments Data'!G59)+-'[1]Formula Weights'!$B$18*('[1]16-17 Apportionments Data'!H59)</f>
        <v>0</v>
      </c>
      <c r="J71" s="64">
        <f t="shared" si="13"/>
        <v>15469140.44208</v>
      </c>
      <c r="K71" s="85">
        <v>6362</v>
      </c>
      <c r="L71" s="85"/>
      <c r="M71" s="85"/>
      <c r="N71" s="65">
        <f t="shared" si="18"/>
        <v>1271.5503999999999</v>
      </c>
      <c r="O71" s="126">
        <v>409</v>
      </c>
      <c r="P71" s="65">
        <f t="shared" si="19"/>
        <v>2028.8000000000002</v>
      </c>
      <c r="Q71" s="66">
        <f t="shared" si="15"/>
        <v>8919382.8447999991</v>
      </c>
      <c r="R71" s="88">
        <v>1209</v>
      </c>
      <c r="S71" s="88"/>
      <c r="T71" s="88"/>
      <c r="U71" s="65">
        <f t="shared" si="20"/>
        <v>5274.88</v>
      </c>
      <c r="V71" s="120">
        <v>573</v>
      </c>
      <c r="W71" s="65">
        <f t="shared" si="21"/>
        <v>6096.5439999999999</v>
      </c>
      <c r="X71" s="88">
        <v>176</v>
      </c>
      <c r="Y71" s="88"/>
      <c r="Z71" s="88"/>
      <c r="AA71" s="65">
        <f t="shared" si="22"/>
        <v>930.71199999999999</v>
      </c>
      <c r="AB71" s="66">
        <f t="shared" si="23"/>
        <v>10034454.944</v>
      </c>
      <c r="AC71" s="86">
        <v>3650214</v>
      </c>
      <c r="AD71" s="94">
        <f t="shared" si="24"/>
        <v>34422978.23088</v>
      </c>
      <c r="AE71" s="89">
        <v>41895155</v>
      </c>
      <c r="AF71" s="91">
        <f t="shared" si="25"/>
        <v>5.8209904173349937E-3</v>
      </c>
      <c r="AG71" s="98">
        <f t="shared" si="26"/>
        <v>-7472176.7691200003</v>
      </c>
    </row>
    <row r="72" spans="1:33" x14ac:dyDescent="0.2">
      <c r="A72" s="121" t="s">
        <v>147</v>
      </c>
      <c r="B72" s="183">
        <v>14578.91</v>
      </c>
      <c r="C72" s="184">
        <v>296.83</v>
      </c>
      <c r="D72" s="184">
        <v>0</v>
      </c>
      <c r="E72" s="62">
        <f t="shared" si="12"/>
        <v>14875.74</v>
      </c>
      <c r="F72" s="63">
        <f t="shared" si="16"/>
        <v>74857280.599999994</v>
      </c>
      <c r="G72" s="63">
        <f t="shared" si="17"/>
        <v>81093065.599999994</v>
      </c>
      <c r="H72" s="194">
        <v>81093065.599999994</v>
      </c>
      <c r="I72" s="182">
        <f>-'[1]Formula Weights'!$B$16*('[1]16-17 Apportionments Data'!F60)+-'[1]Formula Weights'!$B$17*('[1]16-17 Apportionments Data'!G60)+-'[1]Formula Weights'!$B$18*('[1]16-17 Apportionments Data'!H60)</f>
        <v>1975755.1996574025</v>
      </c>
      <c r="J72" s="64">
        <f t="shared" si="13"/>
        <v>36654065.651199996</v>
      </c>
      <c r="K72" s="85">
        <v>11954</v>
      </c>
      <c r="L72" s="85"/>
      <c r="M72" s="85"/>
      <c r="N72" s="65">
        <f t="shared" si="18"/>
        <v>1271.5503999999999</v>
      </c>
      <c r="O72" s="126">
        <v>882</v>
      </c>
      <c r="P72" s="65">
        <f t="shared" si="19"/>
        <v>2028.8000000000002</v>
      </c>
      <c r="Q72" s="66">
        <f t="shared" si="15"/>
        <v>16989515.081599999</v>
      </c>
      <c r="R72" s="88">
        <v>2913</v>
      </c>
      <c r="S72" s="88"/>
      <c r="T72" s="88"/>
      <c r="U72" s="65">
        <f t="shared" si="20"/>
        <v>5274.88</v>
      </c>
      <c r="V72" s="120">
        <v>1215</v>
      </c>
      <c r="W72" s="65">
        <f t="shared" si="21"/>
        <v>6096.5439999999999</v>
      </c>
      <c r="X72" s="88">
        <v>724</v>
      </c>
      <c r="Y72" s="88"/>
      <c r="Z72" s="88"/>
      <c r="AA72" s="65">
        <f t="shared" si="22"/>
        <v>930.71199999999999</v>
      </c>
      <c r="AB72" s="66">
        <f t="shared" si="23"/>
        <v>23446861.888</v>
      </c>
      <c r="AC72" s="86">
        <v>6235785</v>
      </c>
      <c r="AD72" s="94">
        <f t="shared" si="24"/>
        <v>77090442.620799989</v>
      </c>
      <c r="AE72" s="89">
        <v>80377810</v>
      </c>
      <c r="AF72" s="91">
        <f t="shared" si="25"/>
        <v>-4.9358387792901567E-2</v>
      </c>
      <c r="AG72" s="98">
        <f t="shared" si="26"/>
        <v>-3287367.3792000115</v>
      </c>
    </row>
    <row r="73" spans="1:33" x14ac:dyDescent="0.2">
      <c r="A73" s="121" t="s">
        <v>148</v>
      </c>
      <c r="B73" s="183">
        <v>2354.38</v>
      </c>
      <c r="C73" s="184">
        <v>63.79</v>
      </c>
      <c r="D73" s="184">
        <v>401.67</v>
      </c>
      <c r="E73" s="62">
        <f t="shared" si="12"/>
        <v>2819.84</v>
      </c>
      <c r="F73" s="63">
        <f t="shared" si="16"/>
        <v>14174903.640000001</v>
      </c>
      <c r="G73" s="63">
        <f t="shared" si="17"/>
        <v>18986110.640000001</v>
      </c>
      <c r="H73" s="194">
        <v>18986110.640000001</v>
      </c>
      <c r="I73" s="182">
        <f>-'[1]Formula Weights'!$B$16*('[1]16-17 Apportionments Data'!F61)+-'[1]Formula Weights'!$B$17*('[1]16-17 Apportionments Data'!G61)+-'[1]Formula Weights'!$B$18*('[1]16-17 Apportionments Data'!H61)</f>
        <v>293938.36280447454</v>
      </c>
      <c r="J73" s="64">
        <f t="shared" si="13"/>
        <v>8581722.0092799999</v>
      </c>
      <c r="K73" s="85">
        <v>1304</v>
      </c>
      <c r="L73" s="85"/>
      <c r="M73" s="85"/>
      <c r="N73" s="65">
        <f t="shared" si="18"/>
        <v>1271.5503999999999</v>
      </c>
      <c r="O73" s="126">
        <v>110</v>
      </c>
      <c r="P73" s="65">
        <f t="shared" si="19"/>
        <v>2028.8000000000002</v>
      </c>
      <c r="Q73" s="66">
        <f t="shared" si="15"/>
        <v>1881269.7215999998</v>
      </c>
      <c r="R73" s="88">
        <v>294</v>
      </c>
      <c r="S73" s="88"/>
      <c r="T73" s="88"/>
      <c r="U73" s="65">
        <f t="shared" si="20"/>
        <v>5274.88</v>
      </c>
      <c r="V73" s="120">
        <v>88</v>
      </c>
      <c r="W73" s="65">
        <f t="shared" si="21"/>
        <v>6096.5439999999999</v>
      </c>
      <c r="X73" s="88">
        <v>14</v>
      </c>
      <c r="Y73" s="88"/>
      <c r="Z73" s="88"/>
      <c r="AA73" s="65">
        <f t="shared" si="22"/>
        <v>930.71199999999999</v>
      </c>
      <c r="AB73" s="66">
        <f t="shared" si="23"/>
        <v>2100340.56</v>
      </c>
      <c r="AC73" s="86">
        <v>4811207</v>
      </c>
      <c r="AD73" s="94">
        <f t="shared" si="24"/>
        <v>12563332.29088</v>
      </c>
      <c r="AE73" s="89">
        <v>19208868</v>
      </c>
      <c r="AF73" s="91">
        <f t="shared" si="25"/>
        <v>-0.3382882608715273</v>
      </c>
      <c r="AG73" s="98">
        <f t="shared" si="26"/>
        <v>-6645535.7091199998</v>
      </c>
    </row>
    <row r="74" spans="1:33" x14ac:dyDescent="0.2">
      <c r="A74" s="121" t="s">
        <v>149</v>
      </c>
      <c r="B74" s="183">
        <v>8230.74</v>
      </c>
      <c r="C74" s="184">
        <v>15.12</v>
      </c>
      <c r="D74" s="184">
        <v>0</v>
      </c>
      <c r="E74" s="62">
        <f t="shared" si="12"/>
        <v>8245.86</v>
      </c>
      <c r="F74" s="63">
        <f t="shared" si="16"/>
        <v>41792822.399999999</v>
      </c>
      <c r="G74" s="63">
        <f t="shared" si="17"/>
        <v>47876514.399999999</v>
      </c>
      <c r="H74" s="194">
        <v>47876514.399999999</v>
      </c>
      <c r="I74" s="182">
        <f>-'[1]Formula Weights'!$B$16*('[1]16-17 Apportionments Data'!F62)+-'[1]Formula Weights'!$B$17*('[1]16-17 Apportionments Data'!G62)+-'[1]Formula Weights'!$B$18*('[1]16-17 Apportionments Data'!H62)</f>
        <v>2354050.6804603771</v>
      </c>
      <c r="J74" s="64">
        <f t="shared" si="13"/>
        <v>21640184.5088</v>
      </c>
      <c r="K74" s="85">
        <v>6575</v>
      </c>
      <c r="L74" s="85"/>
      <c r="M74" s="85"/>
      <c r="N74" s="65">
        <f t="shared" si="18"/>
        <v>1271.5503999999999</v>
      </c>
      <c r="O74" s="126">
        <v>372</v>
      </c>
      <c r="P74" s="65">
        <f t="shared" si="19"/>
        <v>2028.8000000000002</v>
      </c>
      <c r="Q74" s="66">
        <f t="shared" si="15"/>
        <v>9115157.4799999986</v>
      </c>
      <c r="R74" s="88">
        <v>1487</v>
      </c>
      <c r="S74" s="88"/>
      <c r="T74" s="88"/>
      <c r="U74" s="65">
        <f t="shared" si="20"/>
        <v>5274.88</v>
      </c>
      <c r="V74" s="120">
        <v>430</v>
      </c>
      <c r="W74" s="65">
        <f t="shared" si="21"/>
        <v>6096.5439999999999</v>
      </c>
      <c r="X74" s="88">
        <v>188</v>
      </c>
      <c r="Y74" s="88"/>
      <c r="Z74" s="88"/>
      <c r="AA74" s="65">
        <f t="shared" si="22"/>
        <v>930.71199999999999</v>
      </c>
      <c r="AB74" s="66">
        <f t="shared" si="23"/>
        <v>10640234.336000001</v>
      </c>
      <c r="AC74" s="86">
        <v>6083692</v>
      </c>
      <c r="AD74" s="94">
        <f t="shared" si="24"/>
        <v>41395576.3248</v>
      </c>
      <c r="AE74" s="89">
        <v>44704328</v>
      </c>
      <c r="AF74" s="91">
        <f t="shared" si="25"/>
        <v>-0.13536779267289348</v>
      </c>
      <c r="AG74" s="98">
        <f t="shared" si="26"/>
        <v>-3308751.6752000004</v>
      </c>
    </row>
    <row r="75" spans="1:33" x14ac:dyDescent="0.2">
      <c r="A75" s="121" t="s">
        <v>150</v>
      </c>
      <c r="B75" s="183">
        <v>16518.78</v>
      </c>
      <c r="C75" s="183">
        <v>2303.5500000000002</v>
      </c>
      <c r="D75" s="184">
        <v>592.23</v>
      </c>
      <c r="E75" s="62">
        <f t="shared" si="12"/>
        <v>19414.559999999998</v>
      </c>
      <c r="F75" s="63">
        <f t="shared" si="16"/>
        <v>93872762.519999996</v>
      </c>
      <c r="G75" s="63">
        <f t="shared" si="17"/>
        <v>102694116.52</v>
      </c>
      <c r="H75" s="194">
        <v>102694116.52</v>
      </c>
      <c r="I75" s="182">
        <f>-'[1]Formula Weights'!$B$16*('[1]16-17 Apportionments Data'!F63)+-'[1]Formula Weights'!$B$17*('[1]16-17 Apportionments Data'!G63)+-'[1]Formula Weights'!$B$18*('[1]16-17 Apportionments Data'!H63)</f>
        <v>6040075.3832908794</v>
      </c>
      <c r="J75" s="64">
        <f t="shared" si="13"/>
        <v>46417740.667039998</v>
      </c>
      <c r="K75" s="85">
        <v>10437</v>
      </c>
      <c r="L75" s="85"/>
      <c r="M75" s="85"/>
      <c r="N75" s="65">
        <f t="shared" si="18"/>
        <v>1271.5503999999999</v>
      </c>
      <c r="O75" s="126">
        <v>473</v>
      </c>
      <c r="P75" s="65">
        <f t="shared" si="19"/>
        <v>2028.8000000000002</v>
      </c>
      <c r="Q75" s="66">
        <f t="shared" si="15"/>
        <v>14230793.924799999</v>
      </c>
      <c r="R75" s="88">
        <v>2866</v>
      </c>
      <c r="S75" s="88"/>
      <c r="T75" s="88"/>
      <c r="U75" s="65">
        <f t="shared" si="20"/>
        <v>5274.88</v>
      </c>
      <c r="V75" s="120">
        <v>824</v>
      </c>
      <c r="W75" s="65">
        <f t="shared" si="21"/>
        <v>6096.5439999999999</v>
      </c>
      <c r="X75" s="88">
        <v>629</v>
      </c>
      <c r="Y75" s="88"/>
      <c r="Z75" s="88"/>
      <c r="AA75" s="65">
        <f t="shared" si="22"/>
        <v>930.71199999999999</v>
      </c>
      <c r="AB75" s="66">
        <f t="shared" si="23"/>
        <v>20726776.184</v>
      </c>
      <c r="AC75" s="86">
        <v>8821354</v>
      </c>
      <c r="AD75" s="94">
        <f t="shared" si="24"/>
        <v>81375310.775839999</v>
      </c>
      <c r="AE75" s="89">
        <v>93535156</v>
      </c>
      <c r="AF75" s="91">
        <f t="shared" si="25"/>
        <v>-0.20759520084101502</v>
      </c>
      <c r="AG75" s="98">
        <f t="shared" si="26"/>
        <v>-12159845.224160001</v>
      </c>
    </row>
    <row r="76" spans="1:33" x14ac:dyDescent="0.2">
      <c r="A76" s="122" t="s">
        <v>151</v>
      </c>
      <c r="B76" s="183">
        <v>21433.62</v>
      </c>
      <c r="C76" s="183">
        <v>2030.21</v>
      </c>
      <c r="D76" s="184">
        <v>169.1</v>
      </c>
      <c r="E76" s="62">
        <f t="shared" si="12"/>
        <v>23632.929999999997</v>
      </c>
      <c r="F76" s="63">
        <f t="shared" si="16"/>
        <v>115813921.8</v>
      </c>
      <c r="G76" s="63">
        <f t="shared" si="17"/>
        <v>124331089.8</v>
      </c>
      <c r="H76" s="194">
        <v>124331089.8</v>
      </c>
      <c r="I76" s="182">
        <f>-'[1]Formula Weights'!$B$16*('[1]16-17 Apportionments Data'!F64)+-'[1]Formula Weights'!$B$17*('[1]16-17 Apportionments Data'!G64)+-'[1]Formula Weights'!$B$18*('[1]16-17 Apportionments Data'!H64)</f>
        <v>0</v>
      </c>
      <c r="J76" s="64">
        <f t="shared" si="13"/>
        <v>56197652.589599997</v>
      </c>
      <c r="K76" s="85">
        <v>16230</v>
      </c>
      <c r="L76" s="85"/>
      <c r="M76" s="85"/>
      <c r="N76" s="65">
        <f t="shared" si="18"/>
        <v>1271.5503999999999</v>
      </c>
      <c r="O76" s="126">
        <v>1066</v>
      </c>
      <c r="P76" s="65">
        <f t="shared" si="19"/>
        <v>2028.8000000000002</v>
      </c>
      <c r="Q76" s="66">
        <f t="shared" si="15"/>
        <v>22799963.791999999</v>
      </c>
      <c r="R76" s="88">
        <v>6630</v>
      </c>
      <c r="S76" s="88"/>
      <c r="T76" s="88"/>
      <c r="U76" s="65">
        <f t="shared" si="20"/>
        <v>5274.88</v>
      </c>
      <c r="V76" s="120">
        <v>2806</v>
      </c>
      <c r="W76" s="65">
        <f t="shared" si="21"/>
        <v>6096.5439999999999</v>
      </c>
      <c r="X76" s="88">
        <v>1082</v>
      </c>
      <c r="Y76" s="88"/>
      <c r="Z76" s="88"/>
      <c r="AA76" s="65">
        <f t="shared" si="22"/>
        <v>930.71199999999999</v>
      </c>
      <c r="AB76" s="66">
        <f t="shared" si="23"/>
        <v>53086387.247999996</v>
      </c>
      <c r="AC76" s="86">
        <v>8517168</v>
      </c>
      <c r="AD76" s="94">
        <f t="shared" si="24"/>
        <v>132084003.62959999</v>
      </c>
      <c r="AE76" s="89">
        <v>153051796</v>
      </c>
      <c r="AF76" s="91">
        <f t="shared" si="25"/>
        <v>6.2357000506240164E-2</v>
      </c>
      <c r="AG76" s="98">
        <f t="shared" si="26"/>
        <v>-20967792.370400012</v>
      </c>
    </row>
    <row r="77" spans="1:33" x14ac:dyDescent="0.2">
      <c r="A77" s="121" t="s">
        <v>152</v>
      </c>
      <c r="B77" s="183">
        <v>13509.49</v>
      </c>
      <c r="C77" s="184">
        <v>220.62</v>
      </c>
      <c r="D77" s="184">
        <v>37.32</v>
      </c>
      <c r="E77" s="62">
        <f t="shared" si="12"/>
        <v>13767.43</v>
      </c>
      <c r="F77" s="63">
        <f t="shared" si="16"/>
        <v>69388047.440000013</v>
      </c>
      <c r="G77" s="63">
        <f t="shared" si="17"/>
        <v>77905217.440000013</v>
      </c>
      <c r="H77" s="194">
        <v>77905217.439999998</v>
      </c>
      <c r="I77" s="182">
        <f>-'[1]Formula Weights'!$B$16*('[1]16-17 Apportionments Data'!F65)+-'[1]Formula Weights'!$B$17*('[1]16-17 Apportionments Data'!G65)+-'[1]Formula Weights'!$B$18*('[1]16-17 Apportionments Data'!H65)</f>
        <v>0</v>
      </c>
      <c r="J77" s="64">
        <f t="shared" si="13"/>
        <v>35213158.282880001</v>
      </c>
      <c r="K77" s="85">
        <v>16527</v>
      </c>
      <c r="L77" s="85"/>
      <c r="M77" s="85"/>
      <c r="N77" s="65">
        <f t="shared" si="18"/>
        <v>1271.5503999999999</v>
      </c>
      <c r="O77" s="126">
        <v>1289</v>
      </c>
      <c r="P77" s="65">
        <f t="shared" si="19"/>
        <v>2028.8000000000002</v>
      </c>
      <c r="Q77" s="66">
        <f t="shared" si="15"/>
        <v>23630036.660799995</v>
      </c>
      <c r="R77" s="88">
        <v>2348</v>
      </c>
      <c r="S77" s="88"/>
      <c r="T77" s="88"/>
      <c r="U77" s="65">
        <f t="shared" si="20"/>
        <v>5274.88</v>
      </c>
      <c r="V77" s="120">
        <v>793</v>
      </c>
      <c r="W77" s="65">
        <f t="shared" si="21"/>
        <v>6096.5439999999999</v>
      </c>
      <c r="X77" s="88">
        <v>653</v>
      </c>
      <c r="Y77" s="88"/>
      <c r="Z77" s="88"/>
      <c r="AA77" s="65">
        <f t="shared" si="22"/>
        <v>930.71199999999999</v>
      </c>
      <c r="AB77" s="66">
        <f t="shared" si="23"/>
        <v>17827732.568</v>
      </c>
      <c r="AC77" s="86">
        <v>8517170</v>
      </c>
      <c r="AD77" s="94">
        <f t="shared" si="24"/>
        <v>76670927.511680007</v>
      </c>
      <c r="AE77" s="89">
        <v>92847620</v>
      </c>
      <c r="AF77" s="91">
        <f t="shared" si="25"/>
        <v>-1.5843482232375698E-2</v>
      </c>
      <c r="AG77" s="98">
        <f t="shared" si="26"/>
        <v>-16176692.488319993</v>
      </c>
    </row>
    <row r="78" spans="1:33" x14ac:dyDescent="0.2">
      <c r="A78" s="121" t="s">
        <v>153</v>
      </c>
      <c r="B78" s="183">
        <v>28765.43</v>
      </c>
      <c r="C78" s="184">
        <v>270.64</v>
      </c>
      <c r="D78" s="184">
        <v>158.08000000000001</v>
      </c>
      <c r="E78" s="62">
        <f t="shared" si="12"/>
        <v>29194.15</v>
      </c>
      <c r="F78" s="63">
        <f t="shared" ref="F78:F85" si="27">B78*B$7+C78*B$8+D78*B$9</f>
        <v>147532531.35999998</v>
      </c>
      <c r="G78" s="63">
        <f t="shared" ref="G78:G109" si="28">+F78+AC78</f>
        <v>161525021.35999998</v>
      </c>
      <c r="H78" s="194">
        <v>161525021.36000001</v>
      </c>
      <c r="I78" s="182">
        <f>-'[1]Formula Weights'!$B$16*('[1]16-17 Apportionments Data'!F66)+-'[1]Formula Weights'!$B$17*('[1]16-17 Apportionments Data'!G66)+-'[1]Formula Weights'!$B$18*('[1]16-17 Apportionments Data'!H66)</f>
        <v>0</v>
      </c>
      <c r="J78" s="64">
        <f t="shared" si="13"/>
        <v>73009309.654720008</v>
      </c>
      <c r="K78" s="85">
        <v>31703</v>
      </c>
      <c r="L78" s="85"/>
      <c r="M78" s="85"/>
      <c r="N78" s="65">
        <f t="shared" ref="N78:N85" si="29">+N$13*B$7</f>
        <v>1271.5503999999999</v>
      </c>
      <c r="O78" s="126">
        <v>2706</v>
      </c>
      <c r="P78" s="65">
        <f t="shared" ref="P78:P85" si="30">+P$13*B$7</f>
        <v>2028.8000000000002</v>
      </c>
      <c r="Q78" s="66">
        <f t="shared" si="15"/>
        <v>45801895.131200001</v>
      </c>
      <c r="R78" s="88">
        <v>3635</v>
      </c>
      <c r="S78" s="88"/>
      <c r="T78" s="88"/>
      <c r="U78" s="65">
        <f t="shared" ref="U78:U85" si="31">+U$13*B$7</f>
        <v>5274.88</v>
      </c>
      <c r="V78" s="120">
        <v>1528</v>
      </c>
      <c r="W78" s="65">
        <f t="shared" ref="W78:W85" si="32">+W$13*B$7</f>
        <v>6096.5439999999999</v>
      </c>
      <c r="X78" s="88">
        <v>1409</v>
      </c>
      <c r="Y78" s="88"/>
      <c r="Z78" s="88"/>
      <c r="AA78" s="65">
        <f t="shared" ref="AA78:AA85" si="33">+AA$13*B$7</f>
        <v>930.71199999999999</v>
      </c>
      <c r="AB78" s="66">
        <f t="shared" ref="AB78:AB85" si="34">+R78*U78+V78*W78+X78*AA78</f>
        <v>29801081.239999998</v>
      </c>
      <c r="AC78" s="86">
        <v>13992490</v>
      </c>
      <c r="AD78" s="94">
        <f t="shared" ref="AD78:AD85" si="35">+AB78+Q78+J78</f>
        <v>148612286.02592</v>
      </c>
      <c r="AE78" s="89">
        <v>170648596</v>
      </c>
      <c r="AF78" s="91">
        <f t="shared" ref="AF78:AF85" si="36">(AD78-G78)/G78</f>
        <v>-7.9942631954838958E-2</v>
      </c>
      <c r="AG78" s="98">
        <f t="shared" ref="AG78:AG85" si="37">AD78-AE78</f>
        <v>-22036309.974079996</v>
      </c>
    </row>
    <row r="79" spans="1:33" x14ac:dyDescent="0.2">
      <c r="A79" s="121" t="s">
        <v>154</v>
      </c>
      <c r="B79" s="183">
        <v>26405.15</v>
      </c>
      <c r="C79" s="184">
        <v>61.88</v>
      </c>
      <c r="D79" s="184">
        <v>0</v>
      </c>
      <c r="E79" s="62">
        <f t="shared" ref="E79:E85" si="38">SUM(B79:D79)</f>
        <v>26467.030000000002</v>
      </c>
      <c r="F79" s="63">
        <f t="shared" si="27"/>
        <v>134117263.68000001</v>
      </c>
      <c r="G79" s="63">
        <f t="shared" si="28"/>
        <v>146284645.68000001</v>
      </c>
      <c r="H79" s="194">
        <v>146284645.68000001</v>
      </c>
      <c r="I79" s="182">
        <f>-'[1]Formula Weights'!$B$16*('[1]16-17 Apportionments Data'!F67)+-'[1]Formula Weights'!$B$17*('[1]16-17 Apportionments Data'!G67)+-'[1]Formula Weights'!$B$18*('[1]16-17 Apportionments Data'!H67)</f>
        <v>2416384.3573979437</v>
      </c>
      <c r="J79" s="64">
        <f t="shared" ref="J79:J85" si="39">IF(G79&gt;H79,G79,H79)*J$13</f>
        <v>66120659.847360007</v>
      </c>
      <c r="K79" s="85">
        <v>22586</v>
      </c>
      <c r="L79" s="85"/>
      <c r="M79" s="85"/>
      <c r="N79" s="65">
        <f t="shared" si="29"/>
        <v>1271.5503999999999</v>
      </c>
      <c r="O79" s="126">
        <v>1767</v>
      </c>
      <c r="P79" s="65">
        <f t="shared" si="30"/>
        <v>2028.8000000000002</v>
      </c>
      <c r="Q79" s="66">
        <f t="shared" ref="Q79:Q85" si="40">+N79*K79+O79*P79</f>
        <v>32304126.9344</v>
      </c>
      <c r="R79" s="88">
        <v>7672</v>
      </c>
      <c r="S79" s="88"/>
      <c r="T79" s="88"/>
      <c r="U79" s="65">
        <f t="shared" si="31"/>
        <v>5274.88</v>
      </c>
      <c r="V79" s="120">
        <v>2487</v>
      </c>
      <c r="W79" s="65">
        <f t="shared" si="32"/>
        <v>6096.5439999999999</v>
      </c>
      <c r="X79" s="88">
        <v>1871</v>
      </c>
      <c r="Y79" s="88"/>
      <c r="Z79" s="88"/>
      <c r="AA79" s="65">
        <f t="shared" si="33"/>
        <v>930.71199999999999</v>
      </c>
      <c r="AB79" s="66">
        <f t="shared" si="34"/>
        <v>57372346.440000005</v>
      </c>
      <c r="AC79" s="86">
        <v>12167382</v>
      </c>
      <c r="AD79" s="94">
        <f t="shared" si="35"/>
        <v>155797133.22176</v>
      </c>
      <c r="AE79" s="89">
        <v>147667745</v>
      </c>
      <c r="AF79" s="91">
        <f t="shared" si="36"/>
        <v>6.5027245323946825E-2</v>
      </c>
      <c r="AG79" s="98">
        <f t="shared" si="37"/>
        <v>8129388.2217600048</v>
      </c>
    </row>
    <row r="80" spans="1:33" x14ac:dyDescent="0.2">
      <c r="A80" s="121" t="s">
        <v>155</v>
      </c>
      <c r="B80" s="183">
        <v>9141.67</v>
      </c>
      <c r="C80" s="184">
        <v>70.88</v>
      </c>
      <c r="D80" s="184">
        <v>0</v>
      </c>
      <c r="E80" s="62">
        <f t="shared" si="38"/>
        <v>9212.5499999999993</v>
      </c>
      <c r="F80" s="63">
        <f t="shared" si="27"/>
        <v>46584577.120000005</v>
      </c>
      <c r="G80" s="63">
        <f t="shared" si="28"/>
        <v>51451530.120000005</v>
      </c>
      <c r="H80" s="194">
        <v>51451530.119999997</v>
      </c>
      <c r="I80" s="182">
        <f>-'[1]Formula Weights'!$B$16*('[1]16-17 Apportionments Data'!F68)+-'[1]Formula Weights'!$B$17*('[1]16-17 Apportionments Data'!G68)+-'[1]Formula Weights'!$B$18*('[1]16-17 Apportionments Data'!H68)</f>
        <v>0</v>
      </c>
      <c r="J80" s="64">
        <f t="shared" si="39"/>
        <v>23256091.614239998</v>
      </c>
      <c r="K80" s="85">
        <v>12078</v>
      </c>
      <c r="L80" s="85"/>
      <c r="M80" s="85"/>
      <c r="N80" s="65">
        <f t="shared" si="29"/>
        <v>1271.5503999999999</v>
      </c>
      <c r="O80" s="126">
        <v>1154</v>
      </c>
      <c r="P80" s="65">
        <f t="shared" si="30"/>
        <v>2028.8000000000002</v>
      </c>
      <c r="Q80" s="66">
        <f t="shared" si="40"/>
        <v>17699020.931199998</v>
      </c>
      <c r="R80" s="88">
        <v>1284</v>
      </c>
      <c r="S80" s="88"/>
      <c r="T80" s="88"/>
      <c r="U80" s="65">
        <f t="shared" si="31"/>
        <v>5274.88</v>
      </c>
      <c r="V80" s="120">
        <v>268</v>
      </c>
      <c r="W80" s="65">
        <f t="shared" si="32"/>
        <v>6096.5439999999999</v>
      </c>
      <c r="X80" s="88">
        <v>110</v>
      </c>
      <c r="Y80" s="88"/>
      <c r="Z80" s="88"/>
      <c r="AA80" s="65">
        <f t="shared" si="33"/>
        <v>930.71199999999999</v>
      </c>
      <c r="AB80" s="66">
        <f t="shared" si="34"/>
        <v>8509198.0319999997</v>
      </c>
      <c r="AC80" s="86">
        <v>4866953</v>
      </c>
      <c r="AD80" s="94">
        <f t="shared" si="35"/>
        <v>49464310.577439994</v>
      </c>
      <c r="AE80" s="89">
        <v>55436587</v>
      </c>
      <c r="AF80" s="91">
        <f t="shared" si="36"/>
        <v>-3.8623137891627995E-2</v>
      </c>
      <c r="AG80" s="98">
        <f t="shared" si="37"/>
        <v>-5972276.4225600064</v>
      </c>
    </row>
    <row r="81" spans="1:33" x14ac:dyDescent="0.2">
      <c r="A81" s="121" t="s">
        <v>156</v>
      </c>
      <c r="B81" s="183">
        <v>4934.96</v>
      </c>
      <c r="C81" s="184">
        <v>346.65</v>
      </c>
      <c r="D81" s="184">
        <v>0</v>
      </c>
      <c r="E81" s="62">
        <f t="shared" si="38"/>
        <v>5281.61</v>
      </c>
      <c r="F81" s="63">
        <f t="shared" si="27"/>
        <v>26096412.52</v>
      </c>
      <c r="G81" s="63">
        <f t="shared" si="28"/>
        <v>33701024.519999996</v>
      </c>
      <c r="H81" s="194">
        <v>33701024.520000003</v>
      </c>
      <c r="I81" s="182">
        <f>-'[1]Formula Weights'!$B$16*('[1]16-17 Apportionments Data'!F69)+-'[1]Formula Weights'!$B$17*('[1]16-17 Apportionments Data'!G69)+-'[1]Formula Weights'!$B$18*('[1]16-17 Apportionments Data'!H69)</f>
        <v>0</v>
      </c>
      <c r="J81" s="64">
        <f t="shared" si="39"/>
        <v>15232863.083040003</v>
      </c>
      <c r="K81" s="85">
        <v>6156</v>
      </c>
      <c r="L81" s="85"/>
      <c r="M81" s="85"/>
      <c r="N81" s="65">
        <f t="shared" si="29"/>
        <v>1271.5503999999999</v>
      </c>
      <c r="O81" s="126">
        <v>592</v>
      </c>
      <c r="P81" s="65">
        <f t="shared" si="30"/>
        <v>2028.8000000000002</v>
      </c>
      <c r="Q81" s="66">
        <f t="shared" si="40"/>
        <v>9028713.8623999991</v>
      </c>
      <c r="R81" s="88">
        <v>1159</v>
      </c>
      <c r="S81" s="88"/>
      <c r="T81" s="88"/>
      <c r="U81" s="65">
        <f t="shared" si="31"/>
        <v>5274.88</v>
      </c>
      <c r="V81" s="120">
        <v>521</v>
      </c>
      <c r="W81" s="65">
        <f t="shared" si="32"/>
        <v>6096.5439999999999</v>
      </c>
      <c r="X81" s="88">
        <v>120</v>
      </c>
      <c r="Y81" s="88"/>
      <c r="Z81" s="88"/>
      <c r="AA81" s="65">
        <f t="shared" si="33"/>
        <v>930.71199999999999</v>
      </c>
      <c r="AB81" s="66">
        <f t="shared" si="34"/>
        <v>9401570.784</v>
      </c>
      <c r="AC81" s="86">
        <v>7604612</v>
      </c>
      <c r="AD81" s="94">
        <f t="shared" si="35"/>
        <v>33663147.729440004</v>
      </c>
      <c r="AE81" s="89">
        <v>36724676</v>
      </c>
      <c r="AF81" s="91">
        <f t="shared" si="36"/>
        <v>-1.1239062046174315E-3</v>
      </c>
      <c r="AG81" s="98">
        <f t="shared" si="37"/>
        <v>-3061528.2705599964</v>
      </c>
    </row>
    <row r="82" spans="1:33" x14ac:dyDescent="0.2">
      <c r="A82" s="122" t="s">
        <v>157</v>
      </c>
      <c r="B82" s="183">
        <v>2519.69</v>
      </c>
      <c r="C82" s="184">
        <v>44.69</v>
      </c>
      <c r="D82" s="184">
        <v>0</v>
      </c>
      <c r="E82" s="62">
        <f t="shared" si="38"/>
        <v>2564.38</v>
      </c>
      <c r="F82" s="63">
        <f t="shared" si="27"/>
        <v>12917334.119999999</v>
      </c>
      <c r="G82" s="63">
        <f t="shared" si="28"/>
        <v>17728541.119999997</v>
      </c>
      <c r="H82" s="194">
        <v>17728541.120000001</v>
      </c>
      <c r="I82" s="182">
        <f>-'[1]Formula Weights'!$B$16*('[1]16-17 Apportionments Data'!F70)+-'[1]Formula Weights'!$B$17*('[1]16-17 Apportionments Data'!G70)+-'[1]Formula Weights'!$B$18*('[1]16-17 Apportionments Data'!H70)</f>
        <v>0</v>
      </c>
      <c r="J82" s="64">
        <f t="shared" si="39"/>
        <v>8013300.586240001</v>
      </c>
      <c r="K82" s="85">
        <v>3024</v>
      </c>
      <c r="L82" s="85"/>
      <c r="M82" s="85"/>
      <c r="N82" s="65">
        <f t="shared" si="29"/>
        <v>1271.5503999999999</v>
      </c>
      <c r="O82" s="126">
        <v>211</v>
      </c>
      <c r="P82" s="65">
        <f t="shared" si="30"/>
        <v>2028.8000000000002</v>
      </c>
      <c r="Q82" s="66">
        <f t="shared" si="40"/>
        <v>4273245.2095999997</v>
      </c>
      <c r="R82" s="88">
        <v>563</v>
      </c>
      <c r="S82" s="88"/>
      <c r="T82" s="88"/>
      <c r="U82" s="65">
        <f t="shared" si="31"/>
        <v>5274.88</v>
      </c>
      <c r="V82" s="120">
        <v>193</v>
      </c>
      <c r="W82" s="65">
        <f t="shared" si="32"/>
        <v>6096.5439999999999</v>
      </c>
      <c r="X82" s="88">
        <v>105</v>
      </c>
      <c r="Y82" s="88"/>
      <c r="Z82" s="88"/>
      <c r="AA82" s="65">
        <f t="shared" si="33"/>
        <v>930.71199999999999</v>
      </c>
      <c r="AB82" s="66">
        <f t="shared" si="34"/>
        <v>4244115.1919999998</v>
      </c>
      <c r="AC82" s="86">
        <v>4811207</v>
      </c>
      <c r="AD82" s="94">
        <f t="shared" si="35"/>
        <v>16530660.987840001</v>
      </c>
      <c r="AE82" s="89">
        <v>23496194</v>
      </c>
      <c r="AF82" s="91">
        <f t="shared" si="36"/>
        <v>-6.7567890897048441E-2</v>
      </c>
      <c r="AG82" s="98">
        <f t="shared" si="37"/>
        <v>-6965533.0121599995</v>
      </c>
    </row>
    <row r="83" spans="1:33" x14ac:dyDescent="0.2">
      <c r="A83" s="121" t="s">
        <v>158</v>
      </c>
      <c r="B83" s="183">
        <v>12344.34</v>
      </c>
      <c r="C83" s="183">
        <v>1087.3</v>
      </c>
      <c r="D83" s="184">
        <v>0</v>
      </c>
      <c r="E83" s="62">
        <f t="shared" si="38"/>
        <v>13431.64</v>
      </c>
      <c r="F83" s="63">
        <f t="shared" si="27"/>
        <v>65955027.280000001</v>
      </c>
      <c r="G83" s="63">
        <f t="shared" si="28"/>
        <v>73255455.280000001</v>
      </c>
      <c r="H83" s="194">
        <v>73255455.280000001</v>
      </c>
      <c r="I83" s="182">
        <f>-'[1]Formula Weights'!$B$16*('[1]16-17 Apportionments Data'!F71)+-'[1]Formula Weights'!$B$17*('[1]16-17 Apportionments Data'!G71)+-'[1]Formula Weights'!$B$18*('[1]16-17 Apportionments Data'!H71)</f>
        <v>0</v>
      </c>
      <c r="J83" s="64">
        <f t="shared" si="39"/>
        <v>33111465.786560003</v>
      </c>
      <c r="K83" s="85">
        <v>7036</v>
      </c>
      <c r="L83" s="85"/>
      <c r="M83" s="85"/>
      <c r="N83" s="65">
        <f t="shared" si="29"/>
        <v>1271.5503999999999</v>
      </c>
      <c r="O83" s="126">
        <v>476</v>
      </c>
      <c r="P83" s="65">
        <f t="shared" si="30"/>
        <v>2028.8000000000002</v>
      </c>
      <c r="Q83" s="66">
        <f t="shared" si="40"/>
        <v>9912337.4144000001</v>
      </c>
      <c r="R83" s="88">
        <v>1067</v>
      </c>
      <c r="S83" s="88"/>
      <c r="T83" s="88"/>
      <c r="U83" s="65">
        <f t="shared" si="31"/>
        <v>5274.88</v>
      </c>
      <c r="V83" s="120">
        <v>877</v>
      </c>
      <c r="W83" s="65">
        <f t="shared" si="32"/>
        <v>6096.5439999999999</v>
      </c>
      <c r="X83" s="88">
        <v>422</v>
      </c>
      <c r="Y83" s="88"/>
      <c r="Z83" s="88"/>
      <c r="AA83" s="65">
        <f t="shared" si="33"/>
        <v>930.71199999999999</v>
      </c>
      <c r="AB83" s="66">
        <f t="shared" si="34"/>
        <v>11367726.512</v>
      </c>
      <c r="AC83" s="86">
        <v>7300428</v>
      </c>
      <c r="AD83" s="94">
        <f t="shared" si="35"/>
        <v>54391529.712960005</v>
      </c>
      <c r="AE83" s="89">
        <v>77503634</v>
      </c>
      <c r="AF83" s="91">
        <f t="shared" si="36"/>
        <v>-0.25750881616853688</v>
      </c>
      <c r="AG83" s="98">
        <f t="shared" si="37"/>
        <v>-23112104.287039995</v>
      </c>
    </row>
    <row r="84" spans="1:33" x14ac:dyDescent="0.2">
      <c r="A84" s="121" t="s">
        <v>159</v>
      </c>
      <c r="B84" s="183">
        <v>16226.93</v>
      </c>
      <c r="C84" s="184">
        <v>175.66</v>
      </c>
      <c r="D84" s="184">
        <v>168.85</v>
      </c>
      <c r="E84" s="62">
        <f t="shared" si="38"/>
        <v>16571.439999999999</v>
      </c>
      <c r="F84" s="63">
        <f t="shared" si="27"/>
        <v>83699726.320000008</v>
      </c>
      <c r="G84" s="63">
        <f t="shared" si="28"/>
        <v>91608524.320000008</v>
      </c>
      <c r="H84" s="194">
        <v>91608524.319999993</v>
      </c>
      <c r="I84" s="182">
        <f>-'[1]Formula Weights'!$B$16*('[1]16-17 Apportionments Data'!F72)+-'[1]Formula Weights'!$B$17*('[1]16-17 Apportionments Data'!G72)+-'[1]Formula Weights'!$B$18*('[1]16-17 Apportionments Data'!H72)</f>
        <v>360927.911769567</v>
      </c>
      <c r="J84" s="64">
        <f t="shared" si="39"/>
        <v>41407052.992639996</v>
      </c>
      <c r="K84" s="85">
        <v>18081</v>
      </c>
      <c r="L84" s="85"/>
      <c r="M84" s="85"/>
      <c r="N84" s="65">
        <f t="shared" si="29"/>
        <v>1271.5503999999999</v>
      </c>
      <c r="O84" s="126">
        <v>1043</v>
      </c>
      <c r="P84" s="65">
        <f t="shared" si="30"/>
        <v>2028.8000000000002</v>
      </c>
      <c r="Q84" s="66">
        <f t="shared" si="40"/>
        <v>25106941.182399996</v>
      </c>
      <c r="R84" s="88">
        <v>2404</v>
      </c>
      <c r="S84" s="88"/>
      <c r="T84" s="88"/>
      <c r="U84" s="65">
        <f t="shared" si="31"/>
        <v>5274.88</v>
      </c>
      <c r="V84" s="120">
        <v>680</v>
      </c>
      <c r="W84" s="65">
        <f t="shared" si="32"/>
        <v>6096.5439999999999</v>
      </c>
      <c r="X84" s="88">
        <v>470</v>
      </c>
      <c r="Y84" s="88"/>
      <c r="Z84" s="88"/>
      <c r="AA84" s="65">
        <f t="shared" si="33"/>
        <v>930.71199999999999</v>
      </c>
      <c r="AB84" s="66">
        <f t="shared" si="34"/>
        <v>17263896.079999998</v>
      </c>
      <c r="AC84" s="86">
        <v>7908798</v>
      </c>
      <c r="AD84" s="94">
        <f t="shared" si="35"/>
        <v>83777890.25503999</v>
      </c>
      <c r="AE84" s="89">
        <v>95140880</v>
      </c>
      <c r="AF84" s="91">
        <f t="shared" si="36"/>
        <v>-8.5479316723917911E-2</v>
      </c>
      <c r="AG84" s="98">
        <f t="shared" si="37"/>
        <v>-11362989.74496001</v>
      </c>
    </row>
    <row r="85" spans="1:33" ht="16" thickBot="1" x14ac:dyDescent="0.25">
      <c r="A85" s="121" t="s">
        <v>160</v>
      </c>
      <c r="B85" s="183">
        <v>7484.81</v>
      </c>
      <c r="C85" s="184">
        <v>141.61000000000001</v>
      </c>
      <c r="D85" s="184">
        <v>0</v>
      </c>
      <c r="E85" s="62">
        <f t="shared" si="38"/>
        <v>7626.42</v>
      </c>
      <c r="F85" s="63">
        <f t="shared" si="27"/>
        <v>38398548.68</v>
      </c>
      <c r="G85" s="63">
        <f t="shared" si="28"/>
        <v>47524084.68</v>
      </c>
      <c r="H85" s="194">
        <v>47524084.68</v>
      </c>
      <c r="I85" s="182">
        <f>-'[1]Formula Weights'!$B$16*('[1]16-17 Apportionments Data'!F73)+-'[1]Formula Weights'!$B$17*('[1]16-17 Apportionments Data'!G73)+-'[1]Formula Weights'!$B$18*('[1]16-17 Apportionments Data'!H73)</f>
        <v>0</v>
      </c>
      <c r="J85" s="64">
        <f t="shared" si="39"/>
        <v>21480886.275359999</v>
      </c>
      <c r="K85" s="85">
        <v>8196</v>
      </c>
      <c r="L85" s="85"/>
      <c r="M85" s="85"/>
      <c r="N85" s="65">
        <f t="shared" si="29"/>
        <v>1271.5503999999999</v>
      </c>
      <c r="O85" s="126">
        <v>795</v>
      </c>
      <c r="P85" s="65">
        <f t="shared" si="30"/>
        <v>2028.8000000000002</v>
      </c>
      <c r="Q85" s="66">
        <f t="shared" si="40"/>
        <v>12034523.078399999</v>
      </c>
      <c r="R85" s="88">
        <v>1332</v>
      </c>
      <c r="S85" s="88"/>
      <c r="T85" s="88"/>
      <c r="U85" s="65">
        <f t="shared" si="31"/>
        <v>5274.88</v>
      </c>
      <c r="V85" s="120">
        <v>461</v>
      </c>
      <c r="W85" s="65">
        <f t="shared" si="32"/>
        <v>6096.5439999999999</v>
      </c>
      <c r="X85" s="88">
        <v>188</v>
      </c>
      <c r="Y85" s="88"/>
      <c r="Z85" s="88"/>
      <c r="AA85" s="65">
        <f t="shared" si="33"/>
        <v>930.71199999999999</v>
      </c>
      <c r="AB85" s="66">
        <f t="shared" si="34"/>
        <v>10011620.800000001</v>
      </c>
      <c r="AC85" s="86">
        <v>9125536</v>
      </c>
      <c r="AD85" s="96">
        <f t="shared" si="35"/>
        <v>43527030.153760001</v>
      </c>
      <c r="AE85" s="89">
        <v>49810166</v>
      </c>
      <c r="AF85" s="91">
        <f t="shared" si="36"/>
        <v>-8.4105870805379568E-2</v>
      </c>
      <c r="AG85" s="98">
        <f t="shared" si="37"/>
        <v>-6283135.8462399989</v>
      </c>
    </row>
    <row r="86" spans="1:33" ht="16" x14ac:dyDescent="0.2">
      <c r="A86" s="123" t="s">
        <v>78</v>
      </c>
      <c r="B86" s="124">
        <v>1055644.8</v>
      </c>
      <c r="C86" s="124">
        <v>68712.600000000006</v>
      </c>
      <c r="O86" s="126"/>
      <c r="R86" s="87"/>
      <c r="S86" s="87"/>
      <c r="T86" s="87"/>
      <c r="V86" s="87"/>
      <c r="X86" s="87"/>
      <c r="Y86" s="87"/>
      <c r="Z86" s="87"/>
      <c r="AF86" s="84"/>
    </row>
    <row r="87" spans="1:33" x14ac:dyDescent="0.2">
      <c r="O87" s="126"/>
      <c r="AB87" s="67" t="s">
        <v>78</v>
      </c>
      <c r="AD87" s="83">
        <f>SUM(AD14:AD85)</f>
        <v>5873506537.1797562</v>
      </c>
      <c r="AF87" s="115" t="s">
        <v>78</v>
      </c>
      <c r="AG87" s="101">
        <f>SUM(AG14:AG85)</f>
        <v>-745729357.82023978</v>
      </c>
    </row>
    <row r="88" spans="1:33" x14ac:dyDescent="0.2">
      <c r="O88" s="126"/>
      <c r="AF88" s="84"/>
    </row>
    <row r="89" spans="1:33" x14ac:dyDescent="0.2">
      <c r="O89" s="126"/>
      <c r="AB89" s="67" t="s">
        <v>222</v>
      </c>
      <c r="AD89" s="163">
        <v>6474984328</v>
      </c>
      <c r="AF89" s="84"/>
    </row>
    <row r="90" spans="1:33" x14ac:dyDescent="0.2">
      <c r="O90" s="126"/>
      <c r="AF90" s="84"/>
    </row>
    <row r="91" spans="1:33" ht="16" thickBot="1" x14ac:dyDescent="0.25">
      <c r="B91" s="198" t="s">
        <v>184</v>
      </c>
      <c r="C91" s="199"/>
      <c r="AF91" s="84"/>
    </row>
    <row r="92" spans="1:33" ht="30" x14ac:dyDescent="0.2">
      <c r="B92" s="158" t="s">
        <v>185</v>
      </c>
      <c r="C92" s="127">
        <v>5072.1117860000004</v>
      </c>
      <c r="AF92" s="84"/>
    </row>
    <row r="93" spans="1:33" ht="30" x14ac:dyDescent="0.2">
      <c r="B93" s="157" t="s">
        <v>186</v>
      </c>
      <c r="C93" s="128">
        <v>3075.5627430000004</v>
      </c>
      <c r="AF93" s="84"/>
    </row>
    <row r="94" spans="1:33" ht="16" thickBot="1" x14ac:dyDescent="0.25">
      <c r="B94" s="160" t="s">
        <v>187</v>
      </c>
      <c r="C94" s="130">
        <v>5072.1117860000004</v>
      </c>
      <c r="AF94" s="84"/>
    </row>
    <row r="95" spans="1:33" ht="16" thickBot="1" x14ac:dyDescent="0.25">
      <c r="B95" s="106"/>
      <c r="C95" s="128"/>
      <c r="AF95" s="84"/>
    </row>
    <row r="96" spans="1:33" ht="31" thickBot="1" x14ac:dyDescent="0.25">
      <c r="B96" s="161" t="s">
        <v>188</v>
      </c>
      <c r="C96" s="162" t="s">
        <v>189</v>
      </c>
      <c r="AF96" s="84"/>
    </row>
    <row r="97" spans="2:32" ht="16" thickBot="1" x14ac:dyDescent="0.25">
      <c r="B97" s="157"/>
      <c r="C97" s="133"/>
      <c r="AF97" s="84"/>
    </row>
    <row r="98" spans="2:32" ht="31" thickBot="1" x14ac:dyDescent="0.25">
      <c r="B98" s="156" t="s">
        <v>190</v>
      </c>
      <c r="C98" s="134"/>
      <c r="AF98" s="84"/>
    </row>
    <row r="99" spans="2:32" x14ac:dyDescent="0.2">
      <c r="B99" s="157" t="s">
        <v>168</v>
      </c>
      <c r="C99" s="135">
        <v>0.45200000000000001</v>
      </c>
      <c r="AF99" s="84"/>
    </row>
    <row r="100" spans="2:32" ht="30" x14ac:dyDescent="0.2">
      <c r="B100" s="157" t="s">
        <v>191</v>
      </c>
      <c r="C100" s="135">
        <v>0.25071789999999999</v>
      </c>
      <c r="AF100" s="84"/>
    </row>
    <row r="101" spans="2:32" ht="45" x14ac:dyDescent="0.2">
      <c r="B101" s="157" t="s">
        <v>192</v>
      </c>
      <c r="C101" s="135">
        <v>0.4</v>
      </c>
      <c r="AF101" s="84"/>
    </row>
    <row r="102" spans="2:32" ht="30" x14ac:dyDescent="0.2">
      <c r="B102" s="157" t="s">
        <v>193</v>
      </c>
      <c r="C102" s="135">
        <v>1.04</v>
      </c>
      <c r="AF102" s="84"/>
    </row>
    <row r="103" spans="2:32" ht="30" x14ac:dyDescent="0.2">
      <c r="B103" s="157" t="s">
        <v>194</v>
      </c>
      <c r="C103" s="135">
        <v>1.202</v>
      </c>
      <c r="AF103" s="84"/>
    </row>
    <row r="104" spans="2:32" ht="31" thickBot="1" x14ac:dyDescent="0.25">
      <c r="B104" s="159" t="s">
        <v>195</v>
      </c>
      <c r="C104" s="137">
        <v>0.1835</v>
      </c>
      <c r="AF104" s="84"/>
    </row>
    <row r="105" spans="2:32" ht="16" thickBot="1" x14ac:dyDescent="0.25">
      <c r="B105" s="157"/>
      <c r="C105" s="138"/>
      <c r="D105" s="131" t="s">
        <v>196</v>
      </c>
      <c r="E105" s="139" t="s">
        <v>197</v>
      </c>
      <c r="F105" s="139" t="s">
        <v>199</v>
      </c>
      <c r="G105" s="139" t="s">
        <v>200</v>
      </c>
      <c r="H105" s="139"/>
      <c r="I105" s="139"/>
      <c r="J105" s="139" t="s">
        <v>201</v>
      </c>
      <c r="K105" s="139" t="s">
        <v>203</v>
      </c>
      <c r="L105" s="139"/>
      <c r="M105" s="139"/>
      <c r="N105" s="139" t="s">
        <v>204</v>
      </c>
      <c r="O105" s="140" t="s">
        <v>205</v>
      </c>
      <c r="AC105" s="139" t="s">
        <v>198</v>
      </c>
      <c r="AF105" s="84"/>
    </row>
    <row r="106" spans="2:32" ht="30" x14ac:dyDescent="0.2">
      <c r="B106" s="158" t="s">
        <v>206</v>
      </c>
      <c r="C106" s="127">
        <f>$B$9*C92</f>
        <v>25725750.978592001</v>
      </c>
      <c r="D106" s="105">
        <f>(66.3643490000004+5029.729142)*C99</f>
        <v>2303.4342579320005</v>
      </c>
      <c r="E106" s="141">
        <f>(66.3643490000004+5135.60319)*C99</f>
        <v>2351.2893276280001</v>
      </c>
      <c r="F106" s="142">
        <f>(66.3643490000004+5738.262763)*C99</f>
        <v>2623.691454624</v>
      </c>
      <c r="G106" s="142">
        <f>(66.3643490000004+5014.444392)*C99</f>
        <v>2296.5255509320004</v>
      </c>
      <c r="H106" s="142"/>
      <c r="I106" s="142"/>
      <c r="J106" s="142">
        <f>(66.3643490000004+5043.515552)*C99</f>
        <v>2309.6657152520002</v>
      </c>
      <c r="K106" s="142">
        <f>(66.3643490000004+5077.723406)*C99</f>
        <v>2325.1276652600004</v>
      </c>
      <c r="L106" s="142"/>
      <c r="M106" s="142"/>
      <c r="N106" s="142">
        <f>(66.3643490000004+5164.451828)*C99</f>
        <v>2364.3289120040004</v>
      </c>
      <c r="O106" s="134">
        <f>(66.3643490000004+6759.451908)*C99</f>
        <v>3085.2689481640004</v>
      </c>
      <c r="AC106" s="142">
        <f>(66.3643490000004+5118.544958)*C99</f>
        <v>2343.5790067640005</v>
      </c>
      <c r="AF106" s="84"/>
    </row>
    <row r="107" spans="2:32" ht="30" x14ac:dyDescent="0.2">
      <c r="B107" s="157" t="s">
        <v>186</v>
      </c>
      <c r="C107" s="128">
        <f>$B$9*C93</f>
        <v>15599254.232496003</v>
      </c>
      <c r="D107" s="143">
        <f t="shared" ref="D107:O108" si="41">C107</f>
        <v>15599254.232496003</v>
      </c>
      <c r="E107" s="144">
        <f t="shared" si="41"/>
        <v>15599254.232496003</v>
      </c>
      <c r="F107" s="144">
        <f>AC107</f>
        <v>15599254.232496003</v>
      </c>
      <c r="G107" s="144">
        <f t="shared" si="41"/>
        <v>15599254.232496003</v>
      </c>
      <c r="H107" s="144"/>
      <c r="I107" s="144"/>
      <c r="J107" s="144">
        <f>G107</f>
        <v>15599254.232496003</v>
      </c>
      <c r="K107" s="144" t="e">
        <f>#REF!</f>
        <v>#REF!</v>
      </c>
      <c r="L107" s="144"/>
      <c r="M107" s="144"/>
      <c r="N107" s="144" t="e">
        <f>K107</f>
        <v>#REF!</v>
      </c>
      <c r="O107" s="128" t="e">
        <f t="shared" si="41"/>
        <v>#REF!</v>
      </c>
      <c r="AC107" s="144">
        <f>E107</f>
        <v>15599254.232496003</v>
      </c>
      <c r="AF107" s="84"/>
    </row>
    <row r="108" spans="2:32" ht="16" thickBot="1" x14ac:dyDescent="0.25">
      <c r="B108" s="160" t="s">
        <v>187</v>
      </c>
      <c r="C108" s="130">
        <f>$B$9*C94</f>
        <v>25725750.978592001</v>
      </c>
      <c r="D108" s="145">
        <f t="shared" si="41"/>
        <v>25725750.978592001</v>
      </c>
      <c r="E108" s="146">
        <f t="shared" si="41"/>
        <v>25725750.978592001</v>
      </c>
      <c r="F108" s="146">
        <f>AC108</f>
        <v>25725750.978592001</v>
      </c>
      <c r="G108" s="146">
        <f t="shared" si="41"/>
        <v>25725750.978592001</v>
      </c>
      <c r="H108" s="146"/>
      <c r="I108" s="146"/>
      <c r="J108" s="146">
        <f>G108</f>
        <v>25725750.978592001</v>
      </c>
      <c r="K108" s="146" t="e">
        <f>#REF!</f>
        <v>#REF!</v>
      </c>
      <c r="L108" s="146"/>
      <c r="M108" s="146"/>
      <c r="N108" s="146" t="e">
        <f>K108</f>
        <v>#REF!</v>
      </c>
      <c r="O108" s="130" t="e">
        <f t="shared" si="41"/>
        <v>#REF!</v>
      </c>
      <c r="AC108" s="146">
        <f>E108</f>
        <v>25725750.978592001</v>
      </c>
      <c r="AF108" s="84"/>
    </row>
    <row r="109" spans="2:32" ht="16" thickBot="1" x14ac:dyDescent="0.25">
      <c r="B109" s="157"/>
      <c r="C109" s="138"/>
      <c r="AF109" s="84"/>
    </row>
    <row r="110" spans="2:32" ht="30" x14ac:dyDescent="0.2">
      <c r="B110" s="158" t="s">
        <v>191</v>
      </c>
      <c r="C110" s="147">
        <f>C92*C100</f>
        <v>1271.6692155511694</v>
      </c>
      <c r="AF110" s="84"/>
    </row>
    <row r="111" spans="2:32" ht="45" x14ac:dyDescent="0.2">
      <c r="B111" s="157" t="s">
        <v>192</v>
      </c>
      <c r="C111" s="148">
        <f>C92*C101</f>
        <v>2028.8447144000002</v>
      </c>
      <c r="AF111" s="84"/>
    </row>
    <row r="112" spans="2:32" ht="30" x14ac:dyDescent="0.2">
      <c r="B112" s="157" t="s">
        <v>193</v>
      </c>
      <c r="C112" s="148">
        <f>C92*C102</f>
        <v>5274.9962574400006</v>
      </c>
      <c r="AF112" s="84"/>
    </row>
    <row r="113" spans="2:32" ht="30" x14ac:dyDescent="0.2">
      <c r="B113" s="157" t="s">
        <v>194</v>
      </c>
      <c r="C113" s="128">
        <f>C92*C103</f>
        <v>6096.6783667720001</v>
      </c>
      <c r="AF113" s="84"/>
    </row>
    <row r="114" spans="2:32" ht="31" thickBot="1" x14ac:dyDescent="0.25">
      <c r="B114" s="160" t="s">
        <v>207</v>
      </c>
      <c r="C114" s="130">
        <f>C92*C104</f>
        <v>930.73251273100004</v>
      </c>
      <c r="AF114" s="84"/>
    </row>
    <row r="115" spans="2:32" x14ac:dyDescent="0.2">
      <c r="AF115" s="84"/>
    </row>
    <row r="116" spans="2:32" x14ac:dyDescent="0.2">
      <c r="AF116" s="84"/>
    </row>
    <row r="117" spans="2:32" x14ac:dyDescent="0.2">
      <c r="AF117" s="84"/>
    </row>
    <row r="118" spans="2:32" x14ac:dyDescent="0.2">
      <c r="AF118" s="84"/>
    </row>
    <row r="119" spans="2:32" x14ac:dyDescent="0.2">
      <c r="O119" s="126"/>
      <c r="AF119" s="84"/>
    </row>
    <row r="120" spans="2:32" x14ac:dyDescent="0.2">
      <c r="O120" s="126"/>
      <c r="AF120" s="84"/>
    </row>
    <row r="121" spans="2:32" x14ac:dyDescent="0.2">
      <c r="O121" s="126"/>
      <c r="AF121" s="84"/>
    </row>
    <row r="122" spans="2:32" x14ac:dyDescent="0.2">
      <c r="O122" s="126"/>
      <c r="AF122" s="84"/>
    </row>
    <row r="123" spans="2:32" x14ac:dyDescent="0.2">
      <c r="O123" s="126"/>
      <c r="AF123" s="84"/>
    </row>
    <row r="124" spans="2:32" x14ac:dyDescent="0.2">
      <c r="O124" s="126"/>
      <c r="AF124" s="84"/>
    </row>
    <row r="125" spans="2:32" x14ac:dyDescent="0.2">
      <c r="O125" s="126"/>
      <c r="AF125" s="84"/>
    </row>
    <row r="126" spans="2:32" x14ac:dyDescent="0.2">
      <c r="O126" s="126"/>
      <c r="AF126" s="84"/>
    </row>
    <row r="127" spans="2:32" x14ac:dyDescent="0.2">
      <c r="O127" s="126"/>
      <c r="AF127" s="84"/>
    </row>
    <row r="128" spans="2:32" x14ac:dyDescent="0.2">
      <c r="O128" s="126"/>
      <c r="AF128" s="84"/>
    </row>
    <row r="129" spans="15:32" x14ac:dyDescent="0.2">
      <c r="O129" s="126"/>
      <c r="AF129" s="84"/>
    </row>
    <row r="130" spans="15:32" x14ac:dyDescent="0.2">
      <c r="O130" s="126"/>
      <c r="AF130" s="84"/>
    </row>
    <row r="131" spans="15:32" x14ac:dyDescent="0.2">
      <c r="O131" s="126"/>
      <c r="AF131" s="84"/>
    </row>
    <row r="132" spans="15:32" x14ac:dyDescent="0.2">
      <c r="O132" s="126"/>
      <c r="AF132" s="84"/>
    </row>
    <row r="133" spans="15:32" x14ac:dyDescent="0.2">
      <c r="O133" s="126"/>
      <c r="AF133" s="84"/>
    </row>
    <row r="134" spans="15:32" x14ac:dyDescent="0.2">
      <c r="O134" s="126"/>
      <c r="AF134" s="84"/>
    </row>
    <row r="135" spans="15:32" x14ac:dyDescent="0.2">
      <c r="O135" s="126"/>
      <c r="AF135" s="84"/>
    </row>
    <row r="136" spans="15:32" x14ac:dyDescent="0.2">
      <c r="O136" s="126"/>
      <c r="AF136" s="84"/>
    </row>
    <row r="137" spans="15:32" x14ac:dyDescent="0.2">
      <c r="O137" s="126"/>
      <c r="AF137" s="84"/>
    </row>
    <row r="138" spans="15:32" x14ac:dyDescent="0.2">
      <c r="O138" s="126"/>
      <c r="AF138" s="84"/>
    </row>
    <row r="139" spans="15:32" x14ac:dyDescent="0.2">
      <c r="O139" s="126"/>
      <c r="AF139" s="84"/>
    </row>
    <row r="140" spans="15:32" x14ac:dyDescent="0.2">
      <c r="O140" s="126"/>
      <c r="AF140" s="84"/>
    </row>
    <row r="141" spans="15:32" x14ac:dyDescent="0.2">
      <c r="O141" s="126"/>
      <c r="AF141" s="84"/>
    </row>
    <row r="142" spans="15:32" x14ac:dyDescent="0.2">
      <c r="O142" s="126"/>
    </row>
    <row r="143" spans="15:32" x14ac:dyDescent="0.2">
      <c r="O143" s="126"/>
    </row>
    <row r="144" spans="15:32" x14ac:dyDescent="0.2">
      <c r="O144" s="126"/>
    </row>
    <row r="145" spans="15:15" x14ac:dyDescent="0.2">
      <c r="O145" s="126"/>
    </row>
    <row r="146" spans="15:15" x14ac:dyDescent="0.2">
      <c r="O146" s="126"/>
    </row>
    <row r="147" spans="15:15" x14ac:dyDescent="0.2">
      <c r="O147" s="126"/>
    </row>
    <row r="148" spans="15:15" x14ac:dyDescent="0.2">
      <c r="O148" s="126"/>
    </row>
    <row r="149" spans="15:15" x14ac:dyDescent="0.2">
      <c r="O149" s="126"/>
    </row>
    <row r="150" spans="15:15" x14ac:dyDescent="0.2">
      <c r="O150" s="126"/>
    </row>
    <row r="151" spans="15:15" x14ac:dyDescent="0.2">
      <c r="O151" s="126"/>
    </row>
    <row r="152" spans="15:15" x14ac:dyDescent="0.2">
      <c r="O152" s="126"/>
    </row>
    <row r="153" spans="15:15" x14ac:dyDescent="0.2">
      <c r="O153" s="126"/>
    </row>
    <row r="154" spans="15:15" x14ac:dyDescent="0.2">
      <c r="O154" s="126"/>
    </row>
    <row r="155" spans="15:15" x14ac:dyDescent="0.2">
      <c r="O155" s="126"/>
    </row>
    <row r="156" spans="15:15" x14ac:dyDescent="0.2">
      <c r="O156" s="126"/>
    </row>
    <row r="157" spans="15:15" x14ac:dyDescent="0.2">
      <c r="O157" s="126"/>
    </row>
    <row r="158" spans="15:15" x14ac:dyDescent="0.2">
      <c r="O158" s="126"/>
    </row>
    <row r="159" spans="15:15" x14ac:dyDescent="0.2">
      <c r="O159" s="126"/>
    </row>
  </sheetData>
  <autoFilter ref="A13:A85"/>
  <mergeCells count="1">
    <mergeCell ref="B91:C9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4"/>
  <sheetViews>
    <sheetView zoomScale="9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baseColWidth="10" defaultRowHeight="15" x14ac:dyDescent="0.2"/>
  <cols>
    <col min="1" max="1" width="42" customWidth="1"/>
    <col min="2" max="2" width="16.33203125" customWidth="1"/>
    <col min="3" max="3" width="15.5" customWidth="1"/>
    <col min="4" max="4" width="11.1640625" customWidth="1"/>
    <col min="5" max="5" width="16.1640625" customWidth="1"/>
    <col min="7" max="7" width="16.1640625" customWidth="1"/>
    <col min="8" max="8" width="20.83203125" customWidth="1"/>
    <col min="9" max="9" width="14.83203125" customWidth="1"/>
    <col min="10" max="10" width="18.1640625" customWidth="1"/>
    <col min="11" max="11" width="17.5" customWidth="1"/>
    <col min="12" max="12" width="15.6640625" customWidth="1"/>
    <col min="13" max="13" width="14.1640625" customWidth="1"/>
    <col min="14" max="14" width="17.1640625" customWidth="1"/>
    <col min="15" max="15" width="13.33203125" customWidth="1"/>
    <col min="16" max="16" width="21.33203125" customWidth="1"/>
    <col min="17" max="17" width="17.1640625" customWidth="1"/>
  </cols>
  <sheetData>
    <row r="1" spans="1:17" ht="48" x14ac:dyDescent="0.2">
      <c r="A1" s="185" t="s">
        <v>79</v>
      </c>
      <c r="B1" s="185" t="s">
        <v>168</v>
      </c>
      <c r="C1" s="185" t="s">
        <v>209</v>
      </c>
      <c r="D1" s="185" t="s">
        <v>181</v>
      </c>
      <c r="E1" s="186" t="s">
        <v>210</v>
      </c>
      <c r="F1" s="186" t="s">
        <v>211</v>
      </c>
      <c r="G1" s="186" t="s">
        <v>191</v>
      </c>
      <c r="H1" s="186" t="s">
        <v>212</v>
      </c>
      <c r="I1" s="186" t="s">
        <v>213</v>
      </c>
      <c r="J1" s="186" t="s">
        <v>214</v>
      </c>
      <c r="K1" s="186" t="s">
        <v>193</v>
      </c>
      <c r="L1" s="186" t="s">
        <v>215</v>
      </c>
      <c r="M1" s="186" t="s">
        <v>194</v>
      </c>
      <c r="N1" s="187" t="s">
        <v>216</v>
      </c>
      <c r="O1" s="186" t="s">
        <v>217</v>
      </c>
      <c r="P1" s="186" t="s">
        <v>218</v>
      </c>
      <c r="Q1" s="186" t="s">
        <v>219</v>
      </c>
    </row>
    <row r="2" spans="1:17" x14ac:dyDescent="0.2">
      <c r="A2" t="str">
        <f>'[1]15-16 Apportionments Data'!A2</f>
        <v>ALLAN HANCOCK COMMUNITY COLLEGE DISTRICT</v>
      </c>
      <c r="B2" s="62">
        <f>'[1]Formula Weights'!$B$16*('[1]16-17 Apportionments Data'!C2+'[1]16-17 Apportionments Data'!I2+'[1]16-17 Apportionments Data'!F2)</f>
        <v>21116285.782617845</v>
      </c>
      <c r="C2" s="62">
        <f>'[1]Formula Weights'!$B$17*('[1]16-17 Apportionments Data'!D2+'[1]16-17 Apportionments Data'!G2+'[1]16-17 Apportionments Data'!J2)</f>
        <v>675601.11733669776</v>
      </c>
      <c r="D2" s="62">
        <f>'[1]Formula Weights'!$B$18*('[1]16-17 Apportionments Data'!E2+'[1]16-17 Apportionments Data'!H2+'[1]16-17 Apportionments Data'!K2)</f>
        <v>731864.95094104065</v>
      </c>
      <c r="E2" s="62">
        <f>'[1]16-17 Apportionments Data'!T2</f>
        <v>6003494</v>
      </c>
      <c r="F2" s="62">
        <f>-'[1]Formula Weights'!$B$16*('[1]16-17 Apportionments Data'!F2)+-'[1]Formula Weights'!$B$17*('[1]16-17 Apportionments Data'!G2)+-'[1]Formula Weights'!$B$18*('[1]16-17 Apportionments Data'!H2)</f>
        <v>0</v>
      </c>
      <c r="G2" s="62">
        <f>'[1]Formula Weights'!$B$20*('[1]15-16 BOG (datamart)'!B5)</f>
        <v>11974037.333629811</v>
      </c>
      <c r="H2" s="62">
        <f>'[1]Formula Weights'!$B$20*(IF('[1]15-16 BOG (datamart)'!B5&gt;'[1]14-15 BOG (datamart)'!B5,0,'[1]14-15 BOG (datamart)'!B5-'[1]15-16 BOG (datamart)'!B5))</f>
        <v>129710.25998621927</v>
      </c>
      <c r="I2" s="62">
        <f>'[1]Formula Weights'!$B$21*([1]PELL!D74)</f>
        <v>1184845.3132096</v>
      </c>
      <c r="J2" s="62">
        <f>IF(I2&gt;('[1]Formula Weights'!$B$21*[1]PELL!D2),0,'[1]Formula Weights'!$B$21*[1]PELL!D2-I2)</f>
        <v>419970.85588080017</v>
      </c>
      <c r="K2" s="62">
        <f>'[1]Formula Weights'!$B$22*('[1]15-16 Program Awards (Datamart)'!B5)</f>
        <v>9959192.9340467211</v>
      </c>
      <c r="L2" s="62">
        <f>'[1]Formula Weights'!$B$22*(IF('[1]15-16 Program Awards (Datamart)'!B5&gt;'[1]14-15 Program Awards (Datamart)'!B5,0,'[1]14-15 Program Awards (Datamart)'!B5-'[1]15-16 Program Awards (Datamart)'!B5))</f>
        <v>691024.50972464005</v>
      </c>
      <c r="M2" s="62">
        <f>'[1]Formula Weights'!$B$23*[1]COMPLETION_RATE_2_3!D2</f>
        <v>2603281.6626116442</v>
      </c>
      <c r="N2" s="150"/>
      <c r="O2" s="62">
        <f>'[1]Formula Weights'!$B$24*(IF('[1]15-16 ADTS Awarded (datamart)'!B5&gt;'[1]16-17 ADTS Awarded (datamart)'!B5,'[1]15-16 ADTS Awarded (datamart)'!B5,'[1]16-17 ADTS Awarded (datamart)'!B5))</f>
        <v>214068.47792813001</v>
      </c>
      <c r="P2" s="62">
        <f>'[1]Formula Weights'!$B$24*(IF('[1]15-16 ADTS Awarded (datamart)'!B5&gt;'[1]14-15 ADTS Awarded (datamart)'!B5,0,'[1]14-15 ADTS Awarded (datamart)'!B5-'[1]15-16 ADTS Awarded (datamart)'!B5))</f>
        <v>0</v>
      </c>
      <c r="Q2" s="151">
        <f t="shared" ref="Q2:Q65" si="0">SUM(B2:O2)</f>
        <v>55703377.197913148</v>
      </c>
    </row>
    <row r="3" spans="1:17" x14ac:dyDescent="0.2">
      <c r="A3" t="str">
        <f>'[1]15-16 Apportionments Data'!A3</f>
        <v>ANTELOPE VALLEY COMMUNITY COLLEGE DISTRICT</v>
      </c>
      <c r="B3" s="62">
        <f>'[1]Formula Weights'!$B$16*('[1]16-17 Apportionments Data'!C3+'[1]16-17 Apportionments Data'!I3+'[1]16-17 Apportionments Data'!F3)</f>
        <v>26672457.39729736</v>
      </c>
      <c r="C3" s="62">
        <f>'[1]Formula Weights'!$B$17*('[1]16-17 Apportionments Data'!D3+'[1]16-17 Apportionments Data'!G3+'[1]16-17 Apportionments Data'!J3)</f>
        <v>31876.239471039484</v>
      </c>
      <c r="D3" s="62">
        <f>'[1]Formula Weights'!$B$18*('[1]16-17 Apportionments Data'!E3+'[1]16-17 Apportionments Data'!H3+'[1]16-17 Apportionments Data'!K3)</f>
        <v>0</v>
      </c>
      <c r="E3" s="62">
        <f>'[1]16-17 Apportionments Data'!T3</f>
        <v>6003494</v>
      </c>
      <c r="F3" s="62">
        <f>-'[1]Formula Weights'!$B$16*('[1]16-17 Apportionments Data'!F3)+-'[1]Formula Weights'!$B$17*('[1]16-17 Apportionments Data'!G3)+-'[1]Formula Weights'!$B$18*('[1]16-17 Apportionments Data'!H3)</f>
        <v>0</v>
      </c>
      <c r="G3" s="62">
        <f>'[1]Formula Weights'!$B$20*('[1]15-16 BOG (datamart)'!B6)</f>
        <v>18239551.558650423</v>
      </c>
      <c r="H3" s="62">
        <f>'[1]Formula Weights'!$B$20*(IF('[1]15-16 BOG (datamart)'!B6&gt;'[1]14-15 BOG (datamart)'!B6,0,'[1]14-15 BOG (datamart)'!B6-'[1]15-16 BOG (datamart)'!B6))</f>
        <v>366240.7340787368</v>
      </c>
      <c r="I3" s="62">
        <f>'[1]Formula Weights'!$B$21*([1]PELL!D75)</f>
        <v>2485334.77514</v>
      </c>
      <c r="J3" s="62">
        <f>IF(I3&gt;('[1]Formula Weights'!$B$21*[1]PELL!D3),0,'[1]Formula Weights'!$B$21*[1]PELL!D3-I3)</f>
        <v>551845.76231680019</v>
      </c>
      <c r="K3" s="62">
        <f>'[1]Formula Weights'!$B$22*('[1]15-16 Program Awards (Datamart)'!B6)</f>
        <v>13140015.677283041</v>
      </c>
      <c r="L3" s="62">
        <f>'[1]Formula Weights'!$B$22*(IF('[1]15-16 Program Awards (Datamart)'!B6&gt;'[1]14-15 Program Awards (Datamart)'!B6,0,'[1]14-15 Program Awards (Datamart)'!B6-'[1]15-16 Program Awards (Datamart)'!B6))</f>
        <v>0</v>
      </c>
      <c r="M3" s="62">
        <f>'[1]Formula Weights'!$B$23*[1]COMPLETION_RATE_2_3!D3</f>
        <v>2981275.7213515081</v>
      </c>
      <c r="N3" s="150"/>
      <c r="O3" s="62">
        <f>'[1]Formula Weights'!$B$24*(IF('[1]15-16 ADTS Awarded (datamart)'!B6&gt;'[1]16-17 ADTS Awarded (datamart)'!B6,'[1]15-16 ADTS Awarded (datamart)'!B6,'[1]16-17 ADTS Awarded (datamart)'!B6))</f>
        <v>296903.671561189</v>
      </c>
      <c r="P3" s="62">
        <f>'[1]Formula Weights'!$B$24*(IF('[1]15-16 ADTS Awarded (datamart)'!B6&gt;'[1]14-15 ADTS Awarded (datamart)'!B6,0,'[1]14-15 ADTS Awarded (datamart)'!B6-'[1]15-16 ADTS Awarded (datamart)'!B6))</f>
        <v>0</v>
      </c>
      <c r="Q3" s="151">
        <f t="shared" si="0"/>
        <v>70768995.537150085</v>
      </c>
    </row>
    <row r="4" spans="1:17" x14ac:dyDescent="0.2">
      <c r="A4" t="str">
        <f>'[1]15-16 Apportionments Data'!A4</f>
        <v>BARSTOW COMMUNITY COLLEGE DISTRICT</v>
      </c>
      <c r="B4" s="62">
        <f>'[1]Formula Weights'!$B$16*('[1]16-17 Apportionments Data'!C4+'[1]16-17 Apportionments Data'!I4+'[1]16-17 Apportionments Data'!F4)</f>
        <v>5746846.7015127232</v>
      </c>
      <c r="C4" s="62">
        <f>'[1]Formula Weights'!$B$17*('[1]16-17 Apportionments Data'!D4+'[1]16-17 Apportionments Data'!G4+'[1]16-17 Apportionments Data'!J4)</f>
        <v>25592.741764580758</v>
      </c>
      <c r="D4" s="62">
        <f>'[1]Formula Weights'!$B$18*('[1]16-17 Apportionments Data'!E4+'[1]16-17 Apportionments Data'!H4+'[1]16-17 Apportionments Data'!K4)</f>
        <v>0</v>
      </c>
      <c r="E4" s="62">
        <f>'[1]16-17 Apportionments Data'!T4</f>
        <v>4747788</v>
      </c>
      <c r="F4" s="62">
        <f>-'[1]Formula Weights'!$B$16*('[1]16-17 Apportionments Data'!F4)+-'[1]Formula Weights'!$B$17*('[1]16-17 Apportionments Data'!G4)+-'[1]Formula Weights'!$B$18*('[1]16-17 Apportionments Data'!H4)</f>
        <v>0</v>
      </c>
      <c r="G4" s="62">
        <f>'[1]Formula Weights'!$B$20*('[1]15-16 BOG (datamart)'!B7)</f>
        <v>4444483.9083513366</v>
      </c>
      <c r="H4" s="62">
        <f>'[1]Formula Weights'!$B$20*(IF('[1]15-16 BOG (datamart)'!B7&gt;'[1]14-15 BOG (datamart)'!B7,0,'[1]14-15 BOG (datamart)'!B7-'[1]15-16 BOG (datamart)'!B7))</f>
        <v>470517.60975393269</v>
      </c>
      <c r="I4" s="62">
        <f>'[1]Formula Weights'!$B$21*([1]PELL!D76)</f>
        <v>525470.78102960007</v>
      </c>
      <c r="J4" s="62">
        <f>IF(I4&gt;('[1]Formula Weights'!$B$21*[1]PELL!D4),0,'[1]Formula Weights'!$B$21*[1]PELL!D4-I4)</f>
        <v>60865.341431999928</v>
      </c>
      <c r="K4" s="62">
        <f>'[1]Formula Weights'!$B$22*('[1]15-16 Program Awards (Datamart)'!B7)</f>
        <v>1777673.7387572802</v>
      </c>
      <c r="L4" s="62">
        <f>'[1]Formula Weights'!$B$22*(IF('[1]15-16 Program Awards (Datamart)'!B7&gt;'[1]14-15 Program Awards (Datamart)'!B7,0,'[1]14-15 Program Awards (Datamart)'!B7-'[1]15-16 Program Awards (Datamart)'!B7))</f>
        <v>0</v>
      </c>
      <c r="M4" s="62">
        <f>'[1]Formula Weights'!$B$23*[1]COMPLETION_RATE_2_3!D4</f>
        <v>695021.33381200803</v>
      </c>
      <c r="N4" s="150"/>
      <c r="O4" s="62">
        <f>'[1]Formula Weights'!$B$24*(IF('[1]15-16 ADTS Awarded (datamart)'!B7&gt;'[1]16-17 ADTS Awarded (datamart)'!B7,'[1]15-16 ADTS Awarded (datamart)'!B7,'[1]16-17 ADTS Awarded (datamart)'!B7))</f>
        <v>380669.59770697902</v>
      </c>
      <c r="P4" s="62">
        <f>'[1]Formula Weights'!$B$24*(IF('[1]15-16 ADTS Awarded (datamart)'!B7&gt;'[1]14-15 ADTS Awarded (datamart)'!B7,0,'[1]14-15 ADTS Awarded (datamart)'!B7-'[1]15-16 ADTS Awarded (datamart)'!B7))</f>
        <v>0</v>
      </c>
      <c r="Q4" s="151">
        <f t="shared" si="0"/>
        <v>18874929.754120439</v>
      </c>
    </row>
    <row r="5" spans="1:17" x14ac:dyDescent="0.2">
      <c r="A5" t="str">
        <f>'[1]15-16 Apportionments Data'!A5</f>
        <v>BUTTE COMMUNITY COLLEGE DISTRICT</v>
      </c>
      <c r="B5" s="62">
        <f>'[1]Formula Weights'!$B$16*('[1]16-17 Apportionments Data'!C5+'[1]16-17 Apportionments Data'!I5+'[1]16-17 Apportionments Data'!F5)</f>
        <v>19995757.281468384</v>
      </c>
      <c r="C5" s="62">
        <f>'[1]Formula Weights'!$B$17*('[1]16-17 Apportionments Data'!D5+'[1]16-17 Apportionments Data'!G5+'[1]16-17 Apportionments Data'!J5)</f>
        <v>1676498.3548750191</v>
      </c>
      <c r="D5" s="62">
        <f>'[1]Formula Weights'!$B$18*('[1]16-17 Apportionments Data'!E5+'[1]16-17 Apportionments Data'!H5+'[1]16-17 Apportionments Data'!K5)</f>
        <v>49657.597460711513</v>
      </c>
      <c r="E5" s="62">
        <f>'[1]16-17 Apportionments Data'!T5</f>
        <v>6003494</v>
      </c>
      <c r="F5" s="62">
        <f>-'[1]Formula Weights'!$B$16*('[1]16-17 Apportionments Data'!F5)+-'[1]Formula Weights'!$B$17*('[1]16-17 Apportionments Data'!G5)+-'[1]Formula Weights'!$B$18*('[1]16-17 Apportionments Data'!H5)</f>
        <v>2125680.2935453933</v>
      </c>
      <c r="G5" s="62">
        <f>'[1]Formula Weights'!$B$20*('[1]15-16 BOG (datamart)'!B8)</f>
        <v>12143169.339298116</v>
      </c>
      <c r="H5" s="62">
        <f>'[1]Formula Weights'!$B$20*(IF('[1]15-16 BOG (datamart)'!B8&gt;'[1]14-15 BOG (datamart)'!B8,0,'[1]14-15 BOG (datamart)'!B8-'[1]15-16 BOG (datamart)'!B8))</f>
        <v>928318.52735235367</v>
      </c>
      <c r="I5" s="62">
        <f>'[1]Formula Weights'!$B$21*([1]PELL!D77)</f>
        <v>1765094.9015280001</v>
      </c>
      <c r="J5" s="62">
        <f>IF(I5&gt;('[1]Formula Weights'!$B$21*[1]PELL!D5),0,'[1]Formula Weights'!$B$21*[1]PELL!D5-I5)</f>
        <v>438230.4583103999</v>
      </c>
      <c r="K5" s="62">
        <f>'[1]Formula Weights'!$B$22*('[1]15-16 Program Awards (Datamart)'!B8)</f>
        <v>14522064.696732322</v>
      </c>
      <c r="L5" s="62">
        <f>'[1]Formula Weights'!$B$22*(IF('[1]15-16 Program Awards (Datamart)'!B8&gt;'[1]14-15 Program Awards (Datamart)'!B8,0,'[1]14-15 Program Awards (Datamart)'!B8-'[1]15-16 Program Awards (Datamart)'!B8))</f>
        <v>0</v>
      </c>
      <c r="M5" s="62">
        <f>'[1]Formula Weights'!$B$23*[1]COMPLETION_RATE_2_3!D5</f>
        <v>3895777.4763673083</v>
      </c>
      <c r="N5" s="150"/>
      <c r="O5" s="62">
        <f>'[1]Formula Weights'!$B$24*(IF('[1]15-16 ADTS Awarded (datamart)'!B8&gt;'[1]16-17 ADTS Awarded (datamart)'!B8,'[1]15-16 ADTS Awarded (datamart)'!B8,'[1]16-17 ADTS Awarded (datamart)'!B8))</f>
        <v>316449.05432853999</v>
      </c>
      <c r="P5" s="62">
        <f>'[1]Formula Weights'!$B$24*(IF('[1]15-16 ADTS Awarded (datamart)'!B8&gt;'[1]14-15 ADTS Awarded (datamart)'!B8,0,'[1]14-15 ADTS Awarded (datamart)'!B8-'[1]15-16 ADTS Awarded (datamart)'!B8))</f>
        <v>0</v>
      </c>
      <c r="Q5" s="151">
        <f t="shared" si="0"/>
        <v>63860191.981266551</v>
      </c>
    </row>
    <row r="6" spans="1:17" x14ac:dyDescent="0.2">
      <c r="A6" t="str">
        <f>'[1]15-16 Apportionments Data'!A6</f>
        <v>CABRILLO COMMUNITY COLLEGE DISTRICT</v>
      </c>
      <c r="B6" s="62">
        <f>'[1]Formula Weights'!$B$16*('[1]16-17 Apportionments Data'!C6+'[1]16-17 Apportionments Data'!I6+'[1]16-17 Apportionments Data'!F6)</f>
        <v>23422475.39543657</v>
      </c>
      <c r="C6" s="62">
        <f>'[1]Formula Weights'!$B$17*('[1]16-17 Apportionments Data'!D6+'[1]16-17 Apportionments Data'!G6+'[1]16-17 Apportionments Data'!J6)</f>
        <v>249991.45852930789</v>
      </c>
      <c r="D6" s="62">
        <f>'[1]Formula Weights'!$B$18*('[1]16-17 Apportionments Data'!E6+'[1]16-17 Apportionments Data'!H6+'[1]16-17 Apportionments Data'!K6)</f>
        <v>11462.97263636</v>
      </c>
      <c r="E6" s="62">
        <f>'[1]16-17 Apportionments Data'!T6</f>
        <v>6003494</v>
      </c>
      <c r="F6" s="62">
        <f>-'[1]Formula Weights'!$B$16*('[1]16-17 Apportionments Data'!F6)+-'[1]Formula Weights'!$B$17*('[1]16-17 Apportionments Data'!G6)+-'[1]Formula Weights'!$B$18*('[1]16-17 Apportionments Data'!H6)</f>
        <v>0</v>
      </c>
      <c r="G6" s="62">
        <f>'[1]Formula Weights'!$B$20*('[1]15-16 BOG (datamart)'!B9)</f>
        <v>9772777.9215107374</v>
      </c>
      <c r="H6" s="62">
        <f>'[1]Formula Weights'!$B$20*(IF('[1]15-16 BOG (datamart)'!B9&gt;'[1]14-15 BOG (datamart)'!B9,0,'[1]14-15 BOG (datamart)'!B9-'[1]15-16 BOG (datamart)'!B9))</f>
        <v>1232247.469869083</v>
      </c>
      <c r="I6" s="62">
        <f>'[1]Formula Weights'!$B$21*([1]PELL!D78)</f>
        <v>998191.59948480013</v>
      </c>
      <c r="J6" s="62">
        <f>IF(I6&gt;('[1]Formula Weights'!$B$21*[1]PELL!D6),0,'[1]Formula Weights'!$B$21*[1]PELL!D6-I6)</f>
        <v>273894.03644399997</v>
      </c>
      <c r="K6" s="62">
        <f>'[1]Formula Weights'!$B$22*('[1]15-16 Program Awards (Datamart)'!B9)</f>
        <v>9542468.2297089603</v>
      </c>
      <c r="L6" s="62">
        <f>'[1]Formula Weights'!$B$22*(IF('[1]15-16 Program Awards (Datamart)'!B9&gt;'[1]14-15 Program Awards (Datamart)'!B9,0,'[1]14-15 Program Awards (Datamart)'!B9-'[1]15-16 Program Awards (Datamart)'!B9))</f>
        <v>0</v>
      </c>
      <c r="M6" s="62">
        <f>'[1]Formula Weights'!$B$23*[1]COMPLETION_RATE_2_3!D6</f>
        <v>2597184.9842448719</v>
      </c>
      <c r="N6" s="150"/>
      <c r="O6" s="62">
        <f>'[1]Formula Weights'!$B$24*(IF('[1]15-16 ADTS Awarded (datamart)'!B9&gt;'[1]16-17 ADTS Awarded (datamart)'!B9,'[1]15-16 ADTS Awarded (datamart)'!B9,'[1]16-17 ADTS Awarded (datamart)'!B9))</f>
        <v>208484.08285174402</v>
      </c>
      <c r="P6" s="62">
        <f>'[1]Formula Weights'!$B$24*(IF('[1]15-16 ADTS Awarded (datamart)'!B9&gt;'[1]14-15 ADTS Awarded (datamart)'!B9,0,'[1]14-15 ADTS Awarded (datamart)'!B9-'[1]15-16 ADTS Awarded (datamart)'!B9))</f>
        <v>0</v>
      </c>
      <c r="Q6" s="151">
        <f t="shared" si="0"/>
        <v>54312672.150716446</v>
      </c>
    </row>
    <row r="7" spans="1:17" x14ac:dyDescent="0.2">
      <c r="A7" t="str">
        <f>'[1]15-16 Apportionments Data'!A7</f>
        <v>CERRITOS COMMUNITY COLLEGE DISTRICT</v>
      </c>
      <c r="B7" s="62">
        <f>'[1]Formula Weights'!$B$16*('[1]16-17 Apportionments Data'!C7+'[1]16-17 Apportionments Data'!I7+'[1]16-17 Apportionments Data'!F7)</f>
        <v>37789775.556780554</v>
      </c>
      <c r="C7" s="62">
        <f>'[1]Formula Weights'!$B$17*('[1]16-17 Apportionments Data'!D7+'[1]16-17 Apportionments Data'!G7+'[1]16-17 Apportionments Data'!J7)</f>
        <v>160006.76681712363</v>
      </c>
      <c r="D7" s="62">
        <f>'[1]Formula Weights'!$B$18*('[1]16-17 Apportionments Data'!E7+'[1]16-17 Apportionments Data'!H7+'[1]16-17 Apportionments Data'!K7)</f>
        <v>341665.36239934625</v>
      </c>
      <c r="E7" s="62">
        <f>'[1]16-17 Apportionments Data'!T7</f>
        <v>4802795</v>
      </c>
      <c r="F7" s="62">
        <f>-'[1]Formula Weights'!$B$16*('[1]16-17 Apportionments Data'!F7)+-'[1]Formula Weights'!$B$17*('[1]16-17 Apportionments Data'!G7)+-'[1]Formula Weights'!$B$18*('[1]16-17 Apportionments Data'!H7)</f>
        <v>2275056.3436070625</v>
      </c>
      <c r="G7" s="62">
        <f>'[1]Formula Weights'!$B$20*('[1]15-16 BOG (datamart)'!B10)</f>
        <v>25597429.639829487</v>
      </c>
      <c r="H7" s="62">
        <f>'[1]Formula Weights'!$B$20*(IF('[1]15-16 BOG (datamart)'!B10&gt;'[1]14-15 BOG (datamart)'!B10,0,'[1]14-15 BOG (datamart)'!B10-'[1]15-16 BOG (datamart)'!B10))</f>
        <v>750284.83717518998</v>
      </c>
      <c r="I7" s="62">
        <f>'[1]Formula Weights'!$B$21*([1]PELL!D79)</f>
        <v>3787853.0817848002</v>
      </c>
      <c r="J7" s="62">
        <f>IF(I7&gt;('[1]Formula Weights'!$B$21*[1]PELL!D7),0,'[1]Formula Weights'!$B$21*[1]PELL!D7-I7)</f>
        <v>480836.19731279975</v>
      </c>
      <c r="K7" s="62">
        <f>'[1]Formula Weights'!$B$22*('[1]15-16 Program Awards (Datamart)'!B10)</f>
        <v>13166390.658570241</v>
      </c>
      <c r="L7" s="62">
        <f>'[1]Formula Weights'!$B$22*(IF('[1]15-16 Program Awards (Datamart)'!B10&gt;'[1]14-15 Program Awards (Datamart)'!B10,0,'[1]14-15 Program Awards (Datamart)'!B10-'[1]15-16 Program Awards (Datamart)'!B10))</f>
        <v>0</v>
      </c>
      <c r="M7" s="62">
        <f>'[1]Formula Weights'!$B$23*[1]COMPLETION_RATE_2_3!D7</f>
        <v>4060387.7922701519</v>
      </c>
      <c r="N7" s="150"/>
      <c r="O7" s="62">
        <f>'[1]Formula Weights'!$B$24*(IF('[1]15-16 ADTS Awarded (datamart)'!B10&gt;'[1]16-17 ADTS Awarded (datamart)'!B10,'[1]15-16 ADTS Awarded (datamart)'!B10,'[1]16-17 ADTS Awarded (datamart)'!B10))</f>
        <v>508179.95195112604</v>
      </c>
      <c r="P7" s="62">
        <f>'[1]Formula Weights'!$B$24*(IF('[1]15-16 ADTS Awarded (datamart)'!B10&gt;'[1]14-15 ADTS Awarded (datamart)'!B10,0,'[1]14-15 ADTS Awarded (datamart)'!B10-'[1]15-16 ADTS Awarded (datamart)'!B10))</f>
        <v>0</v>
      </c>
      <c r="Q7" s="151">
        <f t="shared" si="0"/>
        <v>93720661.188497886</v>
      </c>
    </row>
    <row r="8" spans="1:17" x14ac:dyDescent="0.2">
      <c r="A8" t="str">
        <f>'[1]15-16 Apportionments Data'!A8</f>
        <v>CHABOT-LAS POSITAS COMMUNITY COLLEGE DISTRICT</v>
      </c>
      <c r="B8" s="62">
        <f>'[1]Formula Weights'!$B$16*('[1]16-17 Apportionments Data'!C8+'[1]16-17 Apportionments Data'!I8+'[1]16-17 Apportionments Data'!F8)</f>
        <v>35268082.058398262</v>
      </c>
      <c r="C8" s="62">
        <f>'[1]Formula Weights'!$B$17*('[1]16-17 Apportionments Data'!D8+'[1]16-17 Apportionments Data'!G8+'[1]16-17 Apportionments Data'!J8)</f>
        <v>219269.04717693228</v>
      </c>
      <c r="D8" s="62">
        <f>'[1]Formula Weights'!$B$18*('[1]16-17 Apportionments Data'!E8+'[1]16-17 Apportionments Data'!H8+'[1]16-17 Apportionments Data'!K8)</f>
        <v>0</v>
      </c>
      <c r="E8" s="62">
        <f>'[1]16-17 Apportionments Data'!T8</f>
        <v>7804542</v>
      </c>
      <c r="F8" s="62">
        <f>-'[1]Formula Weights'!$B$16*('[1]16-17 Apportionments Data'!F8)+-'[1]Formula Weights'!$B$17*('[1]16-17 Apportionments Data'!G8)+-'[1]Formula Weights'!$B$18*('[1]16-17 Apportionments Data'!H8)</f>
        <v>4831465.7106472468</v>
      </c>
      <c r="G8" s="62">
        <f>'[1]Formula Weights'!$B$20*('[1]15-16 BOG (datamart)'!B11)</f>
        <v>15870431.810078593</v>
      </c>
      <c r="H8" s="62">
        <f>'[1]Formula Weights'!$B$20*(IF('[1]15-16 BOG (datamart)'!B11&gt;'[1]14-15 BOG (datamart)'!B11,0,'[1]14-15 BOG (datamart)'!B11-'[1]15-16 BOG (datamart)'!B11))</f>
        <v>176762.02096161255</v>
      </c>
      <c r="I8" s="62">
        <f>'[1]Formula Weights'!$B$21*([1]PELL!D80)</f>
        <v>1874652.5161056002</v>
      </c>
      <c r="J8" s="62">
        <f>IF(I8&gt;('[1]Formula Weights'!$B$21*[1]PELL!D8),0,'[1]Formula Weights'!$B$21*[1]PELL!D8-I8)</f>
        <v>316499.77544640005</v>
      </c>
      <c r="K8" s="62">
        <f>'[1]Formula Weights'!$B$22*('[1]15-16 Program Awards (Datamart)'!B11)</f>
        <v>9916992.9639872015</v>
      </c>
      <c r="L8" s="62">
        <f>'[1]Formula Weights'!$B$22*(IF('[1]15-16 Program Awards (Datamart)'!B11&gt;'[1]14-15 Program Awards (Datamart)'!B11,0,'[1]14-15 Program Awards (Datamart)'!B11-'[1]15-16 Program Awards (Datamart)'!B11))</f>
        <v>0</v>
      </c>
      <c r="M8" s="62">
        <f>'[1]Formula Weights'!$B$23*[1]COMPLETION_RATE_2_3!D8</f>
        <v>6541735.8875463558</v>
      </c>
      <c r="N8" s="150"/>
      <c r="O8" s="62">
        <f>'[1]Formula Weights'!$B$24*(IF('[1]15-16 ADTS Awarded (datamart)'!B11&gt;'[1]16-17 ADTS Awarded (datamart)'!B11,'[1]15-16 ADTS Awarded (datamart)'!B11,'[1]16-17 ADTS Awarded (datamart)'!B11))</f>
        <v>255020.70848829401</v>
      </c>
      <c r="P8" s="62">
        <f>'[1]Formula Weights'!$B$24*(IF('[1]15-16 ADTS Awarded (datamart)'!B11&gt;'[1]14-15 ADTS Awarded (datamart)'!B11,0,'[1]14-15 ADTS Awarded (datamart)'!B11-'[1]15-16 ADTS Awarded (datamart)'!B11))</f>
        <v>0</v>
      </c>
      <c r="Q8" s="151">
        <f t="shared" si="0"/>
        <v>83075454.498836502</v>
      </c>
    </row>
    <row r="9" spans="1:17" x14ac:dyDescent="0.2">
      <c r="A9" t="str">
        <f>'[1]15-16 Apportionments Data'!A9</f>
        <v>CHAFFEY COMMUNITY COLLEGE DISTRICT</v>
      </c>
      <c r="B9" s="62">
        <f>'[1]Formula Weights'!$B$16*('[1]16-17 Apportionments Data'!C9+'[1]16-17 Apportionments Data'!I9+'[1]16-17 Apportionments Data'!F9)</f>
        <v>37002544.4480059</v>
      </c>
      <c r="C9" s="62">
        <f>'[1]Formula Weights'!$B$17*('[1]16-17 Apportionments Data'!D9+'[1]16-17 Apportionments Data'!G9+'[1]16-17 Apportionments Data'!J9)</f>
        <v>545135.13066608913</v>
      </c>
      <c r="D9" s="62">
        <f>'[1]Formula Weights'!$B$18*('[1]16-17 Apportionments Data'!E9+'[1]16-17 Apportionments Data'!H9+'[1]16-17 Apportionments Data'!K9)</f>
        <v>0</v>
      </c>
      <c r="E9" s="62">
        <f>'[1]16-17 Apportionments Data'!T9</f>
        <v>7204193</v>
      </c>
      <c r="F9" s="62">
        <f>-'[1]Formula Weights'!$B$16*('[1]16-17 Apportionments Data'!F9)+-'[1]Formula Weights'!$B$17*('[1]16-17 Apportionments Data'!G9)+-'[1]Formula Weights'!$B$18*('[1]16-17 Apportionments Data'!H9)</f>
        <v>0</v>
      </c>
      <c r="G9" s="62">
        <f>'[1]Formula Weights'!$B$20*('[1]15-16 BOG (datamart)'!B12)</f>
        <v>23396170.227710415</v>
      </c>
      <c r="H9" s="62">
        <f>'[1]Formula Weights'!$B$20*(IF('[1]15-16 BOG (datamart)'!B12&gt;'[1]14-15 BOG (datamart)'!B12,0,'[1]14-15 BOG (datamart)'!B12-'[1]15-16 BOG (datamart)'!B12))</f>
        <v>0</v>
      </c>
      <c r="I9" s="62">
        <f>'[1]Formula Weights'!$B$21*([1]PELL!D81)</f>
        <v>3315132.2633296004</v>
      </c>
      <c r="J9" s="62">
        <f>IF(I9&gt;('[1]Formula Weights'!$B$21*[1]PELL!D9),0,'[1]Formula Weights'!$B$21*[1]PELL!D9-I9)</f>
        <v>643143.77446480002</v>
      </c>
      <c r="K9" s="62">
        <f>'[1]Formula Weights'!$B$22*('[1]15-16 Program Awards (Datamart)'!B12)</f>
        <v>19390886.242349442</v>
      </c>
      <c r="L9" s="62">
        <f>'[1]Formula Weights'!$B$22*(IF('[1]15-16 Program Awards (Datamart)'!B12&gt;'[1]14-15 Program Awards (Datamart)'!B12,0,'[1]14-15 Program Awards (Datamart)'!B12-'[1]15-16 Program Awards (Datamart)'!B12))</f>
        <v>0</v>
      </c>
      <c r="M9" s="62">
        <f>'[1]Formula Weights'!$B$23*[1]COMPLETION_RATE_2_3!D9</f>
        <v>4298158.2485742597</v>
      </c>
      <c r="N9" s="150"/>
      <c r="O9" s="62">
        <f>'[1]Formula Weights'!$B$24*(IF('[1]15-16 ADTS Awarded (datamart)'!B12&gt;'[1]16-17 ADTS Awarded (datamart)'!B12,'[1]15-16 ADTS Awarded (datamart)'!B12,'[1]16-17 ADTS Awarded (datamart)'!B12))</f>
        <v>517487.27707843605</v>
      </c>
      <c r="P9" s="62">
        <f>'[1]Formula Weights'!$B$24*(IF('[1]15-16 ADTS Awarded (datamart)'!B12&gt;'[1]14-15 ADTS Awarded (datamart)'!B12,0,'[1]14-15 ADTS Awarded (datamart)'!B12-'[1]15-16 ADTS Awarded (datamart)'!B12))</f>
        <v>0</v>
      </c>
      <c r="Q9" s="151">
        <f t="shared" si="0"/>
        <v>96312850.612178937</v>
      </c>
    </row>
    <row r="10" spans="1:17" x14ac:dyDescent="0.2">
      <c r="A10" t="str">
        <f>'[1]15-16 Apportionments Data'!A10</f>
        <v>CITRUS COMMUNITY COLLEGE DISTRICT</v>
      </c>
      <c r="B10" s="62">
        <f>'[1]Formula Weights'!$B$16*('[1]16-17 Apportionments Data'!C10+'[1]16-17 Apportionments Data'!I10+'[1]16-17 Apportionments Data'!F10)</f>
        <v>26411491.362257984</v>
      </c>
      <c r="C10" s="62">
        <f>'[1]Formula Weights'!$B$17*('[1]16-17 Apportionments Data'!D10+'[1]16-17 Apportionments Data'!G10+'[1]16-17 Apportionments Data'!J10)</f>
        <v>323864.26121099293</v>
      </c>
      <c r="D10" s="62">
        <f>'[1]Formula Weights'!$B$18*('[1]16-17 Apportionments Data'!E10+'[1]16-17 Apportionments Data'!H10+'[1]16-17 Apportionments Data'!K10)</f>
        <v>243771.57608483176</v>
      </c>
      <c r="E10" s="62">
        <f>'[1]16-17 Apportionments Data'!T10</f>
        <v>4802795</v>
      </c>
      <c r="F10" s="62">
        <f>-'[1]Formula Weights'!$B$16*('[1]16-17 Apportionments Data'!F10)+-'[1]Formula Weights'!$B$17*('[1]16-17 Apportionments Data'!G10)+-'[1]Formula Weights'!$B$18*('[1]16-17 Apportionments Data'!H10)</f>
        <v>0</v>
      </c>
      <c r="G10" s="62">
        <f>'[1]Formula Weights'!$B$20*('[1]15-16 BOG (datamart)'!B13)</f>
        <v>14424543.911996914</v>
      </c>
      <c r="H10" s="62">
        <f>'[1]Formula Weights'!$B$20*(IF('[1]15-16 BOG (datamart)'!B13&gt;'[1]14-15 BOG (datamart)'!B13,0,'[1]14-15 BOG (datamart)'!B13-'[1]15-16 BOG (datamart)'!B13))</f>
        <v>0</v>
      </c>
      <c r="I10" s="62">
        <f>'[1]Formula Weights'!$B$21*([1]PELL!D82)</f>
        <v>1785383.3486720002</v>
      </c>
      <c r="J10" s="62">
        <f>IF(I10&gt;('[1]Formula Weights'!$B$21*[1]PELL!D10),0,'[1]Formula Weights'!$B$21*[1]PELL!D10-I10)</f>
        <v>377365.11687840009</v>
      </c>
      <c r="K10" s="62">
        <f>'[1]Formula Weights'!$B$22*('[1]15-16 Program Awards (Datamart)'!B13)</f>
        <v>22809083.817170564</v>
      </c>
      <c r="L10" s="62">
        <f>'[1]Formula Weights'!$B$22*(IF('[1]15-16 Program Awards (Datamart)'!B13&gt;'[1]14-15 Program Awards (Datamart)'!B13,0,'[1]14-15 Program Awards (Datamart)'!B13-'[1]15-16 Program Awards (Datamart)'!B13))</f>
        <v>0</v>
      </c>
      <c r="M10" s="62">
        <f>'[1]Formula Weights'!$B$23*[1]COMPLETION_RATE_2_3!D10</f>
        <v>4316448.2836745763</v>
      </c>
      <c r="N10" s="150"/>
      <c r="O10" s="62">
        <f>'[1]Formula Weights'!$B$24*(IF('[1]15-16 ADTS Awarded (datamart)'!B13&gt;'[1]16-17 ADTS Awarded (datamart)'!B13,'[1]15-16 ADTS Awarded (datamart)'!B13,'[1]16-17 ADTS Awarded (datamart)'!B13))</f>
        <v>654304.95644989307</v>
      </c>
      <c r="P10" s="62">
        <f>'[1]Formula Weights'!$B$24*(IF('[1]15-16 ADTS Awarded (datamart)'!B13&gt;'[1]14-15 ADTS Awarded (datamart)'!B13,0,'[1]14-15 ADTS Awarded (datamart)'!B13-'[1]15-16 ADTS Awarded (datamart)'!B13))</f>
        <v>0</v>
      </c>
      <c r="Q10" s="151">
        <f t="shared" si="0"/>
        <v>76149051.634396166</v>
      </c>
    </row>
    <row r="11" spans="1:17" x14ac:dyDescent="0.2">
      <c r="A11" t="str">
        <f>'[1]15-16 Apportionments Data'!A11</f>
        <v>COAST COMMUNITY COLLEGE DISTRICT</v>
      </c>
      <c r="B11" s="62">
        <f>'[1]Formula Weights'!$B$16*('[1]16-17 Apportionments Data'!C11+'[1]16-17 Apportionments Data'!I11+'[1]16-17 Apportionments Data'!F11)</f>
        <v>68941251.956063941</v>
      </c>
      <c r="C11" s="62">
        <f>'[1]Formula Weights'!$B$17*('[1]16-17 Apportionments Data'!D11+'[1]16-17 Apportionments Data'!G11+'[1]16-17 Apportionments Data'!J11)</f>
        <v>472402.25455946964</v>
      </c>
      <c r="D11" s="62">
        <f>'[1]Formula Weights'!$B$18*('[1]16-17 Apportionments Data'!E11+'[1]16-17 Apportionments Data'!H11+'[1]16-17 Apportionments Data'!K11)</f>
        <v>0</v>
      </c>
      <c r="E11" s="62">
        <f>'[1]16-17 Apportionments Data'!T11</f>
        <v>12006988</v>
      </c>
      <c r="F11" s="62">
        <f>-'[1]Formula Weights'!$B$16*('[1]16-17 Apportionments Data'!F11)+-'[1]Formula Weights'!$B$17*('[1]16-17 Apportionments Data'!G11)+-'[1]Formula Weights'!$B$18*('[1]16-17 Apportionments Data'!H11)</f>
        <v>5118992.749460781</v>
      </c>
      <c r="G11" s="62">
        <f>'[1]Formula Weights'!$B$20*('[1]15-16 BOG (datamart)'!B14)</f>
        <v>43108314.737969093</v>
      </c>
      <c r="H11" s="62">
        <f>'[1]Formula Weights'!$B$20*(IF('[1]15-16 BOG (datamart)'!B14&gt;'[1]14-15 BOG (datamart)'!B14,0,'[1]14-15 BOG (datamart)'!B14-'[1]15-16 BOG (datamart)'!B14))</f>
        <v>0</v>
      </c>
      <c r="I11" s="62">
        <f>'[1]Formula Weights'!$B$21*([1]PELL!D83)</f>
        <v>4430996.8562496006</v>
      </c>
      <c r="J11" s="62">
        <f>IF(I11&gt;('[1]Formula Weights'!$B$21*[1]PELL!D11),0,'[1]Formula Weights'!$B$21*[1]PELL!D11-I11)</f>
        <v>785162.90447279997</v>
      </c>
      <c r="K11" s="62">
        <f>'[1]Formula Weights'!$B$22*('[1]15-16 Program Awards (Datamart)'!B14)</f>
        <v>50819313.944176964</v>
      </c>
      <c r="L11" s="62">
        <f>'[1]Formula Weights'!$B$22*(IF('[1]15-16 Program Awards (Datamart)'!B14&gt;'[1]14-15 Program Awards (Datamart)'!B14,0,'[1]14-15 Program Awards (Datamart)'!B14-'[1]15-16 Program Awards (Datamart)'!B14))</f>
        <v>0</v>
      </c>
      <c r="M11" s="62">
        <f>'[1]Formula Weights'!$B$23*[1]COMPLETION_RATE_2_3!D11</f>
        <v>11272758.300161429</v>
      </c>
      <c r="N11" s="150"/>
      <c r="O11" s="62">
        <f>'[1]Formula Weights'!$B$24*(IF('[1]15-16 ADTS Awarded (datamart)'!B14&gt;'[1]16-17 ADTS Awarded (datamart)'!B14,'[1]15-16 ADTS Awarded (datamart)'!B14,'[1]16-17 ADTS Awarded (datamart)'!B14))</f>
        <v>1166207.8384519431</v>
      </c>
      <c r="P11" s="62">
        <f>'[1]Formula Weights'!$B$24*(IF('[1]15-16 ADTS Awarded (datamart)'!B14&gt;'[1]14-15 ADTS Awarded (datamart)'!B14,0,'[1]14-15 ADTS Awarded (datamart)'!B14-'[1]15-16 ADTS Awarded (datamart)'!B14))</f>
        <v>0</v>
      </c>
      <c r="Q11" s="151">
        <f t="shared" si="0"/>
        <v>198122389.54156604</v>
      </c>
    </row>
    <row r="12" spans="1:17" x14ac:dyDescent="0.2">
      <c r="A12" t="str">
        <f>'[1]15-16 Apportionments Data'!A12</f>
        <v>COMPTON COMMUNITY COLLEGE DISTRICT</v>
      </c>
      <c r="B12" s="62">
        <f>'[1]Formula Weights'!$B$16*('[1]16-17 Apportionments Data'!C12+'[1]16-17 Apportionments Data'!I12+'[1]16-17 Apportionments Data'!F12)</f>
        <v>11675542.000928659</v>
      </c>
      <c r="C12" s="62">
        <f>'[1]Formula Weights'!$B$17*('[1]16-17 Apportionments Data'!D12+'[1]16-17 Apportionments Data'!G12+'[1]16-17 Apportionments Data'!J12)</f>
        <v>38743.602008629328</v>
      </c>
      <c r="D12" s="62">
        <f>'[1]Formula Weights'!$B$18*('[1]16-17 Apportionments Data'!E12+'[1]16-17 Apportionments Data'!H12+'[1]16-17 Apportionments Data'!K12)</f>
        <v>0</v>
      </c>
      <c r="E12" s="62">
        <f>'[1]16-17 Apportionments Data'!T12</f>
        <v>3602096</v>
      </c>
      <c r="F12" s="62">
        <f>-'[1]Formula Weights'!$B$16*('[1]16-17 Apportionments Data'!F12)+-'[1]Formula Weights'!$B$17*('[1]16-17 Apportionments Data'!G12)+-'[1]Formula Weights'!$B$18*('[1]16-17 Apportionments Data'!H12)</f>
        <v>2034271.9796056405</v>
      </c>
      <c r="G12" s="62">
        <f>'[1]Formula Weights'!$B$20*('[1]15-16 BOG (datamart)'!B15)</f>
        <v>7004354.0392558407</v>
      </c>
      <c r="H12" s="62">
        <f>'[1]Formula Weights'!$B$20*(IF('[1]15-16 BOG (datamart)'!B15&gt;'[1]14-15 BOG (datamart)'!B15,0,'[1]14-15 BOG (datamart)'!B15-'[1]15-16 BOG (datamart)'!B15))</f>
        <v>0</v>
      </c>
      <c r="I12" s="62">
        <f>'[1]Formula Weights'!$B$21*([1]PELL!D84)</f>
        <v>931239.72390960006</v>
      </c>
      <c r="J12" s="62">
        <f>IF(I12&gt;('[1]Formula Weights'!$B$21*[1]PELL!D12),0,'[1]Formula Weights'!$B$21*[1]PELL!D12-I12)</f>
        <v>373307.42744959996</v>
      </c>
      <c r="K12" s="62">
        <f>'[1]Formula Weights'!$B$22*('[1]15-16 Program Awards (Datamart)'!B15)</f>
        <v>2980372.8854536004</v>
      </c>
      <c r="L12" s="62">
        <f>'[1]Formula Weights'!$B$22*(IF('[1]15-16 Program Awards (Datamart)'!B15&gt;'[1]14-15 Program Awards (Datamart)'!B15,0,'[1]14-15 Program Awards (Datamart)'!B15-'[1]15-16 Program Awards (Datamart)'!B15))</f>
        <v>0</v>
      </c>
      <c r="M12" s="62">
        <f>'[1]Formula Weights'!$B$23*[1]COMPLETION_RATE_2_3!D12</f>
        <v>1109595.462752504</v>
      </c>
      <c r="N12" s="150"/>
      <c r="O12" s="62">
        <f>'[1]Formula Weights'!$B$24*(IF('[1]15-16 ADTS Awarded (datamart)'!B15&gt;'[1]16-17 ADTS Awarded (datamart)'!B15,'[1]15-16 ADTS Awarded (datamart)'!B15,'[1]16-17 ADTS Awarded (datamart)'!B15))</f>
        <v>575192.69286775799</v>
      </c>
      <c r="P12" s="62">
        <f>'[1]Formula Weights'!$B$24*(IF('[1]15-16 ADTS Awarded (datamart)'!B15&gt;'[1]14-15 ADTS Awarded (datamart)'!B15,0,'[1]14-15 ADTS Awarded (datamart)'!B15-'[1]15-16 ADTS Awarded (datamart)'!B15))</f>
        <v>0</v>
      </c>
      <c r="Q12" s="151">
        <f t="shared" si="0"/>
        <v>30324715.814231832</v>
      </c>
    </row>
    <row r="13" spans="1:17" x14ac:dyDescent="0.2">
      <c r="A13" t="str">
        <f>'[1]15-16 Apportionments Data'!A13</f>
        <v>CONTRA COSTA COMMUNITY COLLEGE DISTRICT</v>
      </c>
      <c r="B13" s="62">
        <f>'[1]Formula Weights'!$B$16*('[1]16-17 Apportionments Data'!C13+'[1]16-17 Apportionments Data'!I13+'[1]16-17 Apportionments Data'!F13)</f>
        <v>61003670.702125929</v>
      </c>
      <c r="C13" s="62">
        <f>'[1]Formula Weights'!$B$17*('[1]16-17 Apportionments Data'!D13+'[1]16-17 Apportionments Data'!G13+'[1]16-17 Apportionments Data'!J13)</f>
        <v>115382.81186638802</v>
      </c>
      <c r="D13" s="62">
        <f>'[1]Formula Weights'!$B$18*('[1]16-17 Apportionments Data'!E13+'[1]16-17 Apportionments Data'!H13+'[1]16-17 Apportionments Data'!K13)</f>
        <v>0</v>
      </c>
      <c r="E13" s="62">
        <f>'[1]16-17 Apportionments Data'!T13</f>
        <v>13808036</v>
      </c>
      <c r="F13" s="62">
        <f>-'[1]Formula Weights'!$B$16*('[1]16-17 Apportionments Data'!F13)+-'[1]Formula Weights'!$B$17*('[1]16-17 Apportionments Data'!G13)+-'[1]Formula Weights'!$B$18*('[1]16-17 Apportionments Data'!H13)</f>
        <v>6364425.3832248459</v>
      </c>
      <c r="G13" s="62">
        <f>'[1]Formula Weights'!$B$20*('[1]15-16 BOG (datamart)'!B16)</f>
        <v>24845873.133438747</v>
      </c>
      <c r="H13" s="62">
        <f>'[1]Formula Weights'!$B$20*(IF('[1]15-16 BOG (datamart)'!B16&gt;'[1]14-15 BOG (datamart)'!B16,0,'[1]14-15 BOG (datamart)'!B16-'[1]15-16 BOG (datamart)'!B16))</f>
        <v>0</v>
      </c>
      <c r="I13" s="62">
        <f>'[1]Formula Weights'!$B$21*([1]PELL!D85)</f>
        <v>2105940.8135472001</v>
      </c>
      <c r="J13" s="62">
        <f>IF(I13&gt;('[1]Formula Weights'!$B$21*[1]PELL!D13),0,'[1]Formula Weights'!$B$21*[1]PELL!D13-I13)</f>
        <v>1032681.9596296004</v>
      </c>
      <c r="K13" s="62">
        <f>'[1]Formula Weights'!$B$22*('[1]15-16 Program Awards (Datamart)'!B16)</f>
        <v>32119452.211552165</v>
      </c>
      <c r="L13" s="62">
        <f>'[1]Formula Weights'!$B$22*(IF('[1]15-16 Program Awards (Datamart)'!B16&gt;'[1]14-15 Program Awards (Datamart)'!B16,0,'[1]14-15 Program Awards (Datamart)'!B16-'[1]15-16 Program Awards (Datamart)'!B16))</f>
        <v>0</v>
      </c>
      <c r="M13" s="62">
        <f>'[1]Formula Weights'!$B$23*[1]COMPLETION_RATE_2_3!D13</f>
        <v>11662945.715634836</v>
      </c>
      <c r="N13" s="150"/>
      <c r="O13" s="62">
        <f>'[1]Formula Weights'!$B$24*(IF('[1]15-16 ADTS Awarded (datamart)'!B16&gt;'[1]16-17 ADTS Awarded (datamart)'!B16,'[1]15-16 ADTS Awarded (datamart)'!B16,'[1]16-17 ADTS Awarded (datamart)'!B16))</f>
        <v>1063827.262051533</v>
      </c>
      <c r="P13" s="62">
        <f>'[1]Formula Weights'!$B$24*(IF('[1]15-16 ADTS Awarded (datamart)'!B16&gt;'[1]14-15 ADTS Awarded (datamart)'!B16,0,'[1]14-15 ADTS Awarded (datamart)'!B16-'[1]15-16 ADTS Awarded (datamart)'!B16))</f>
        <v>0</v>
      </c>
      <c r="Q13" s="151">
        <f t="shared" si="0"/>
        <v>154122235.9930712</v>
      </c>
    </row>
    <row r="14" spans="1:17" x14ac:dyDescent="0.2">
      <c r="A14" t="str">
        <f>'[1]15-16 Apportionments Data'!A14</f>
        <v>COPPER MT. COMMUNITY COLLEGE DISTRICT</v>
      </c>
      <c r="B14" s="62">
        <f>'[1]Formula Weights'!$B$16*('[1]16-17 Apportionments Data'!C14+'[1]16-17 Apportionments Data'!I14+'[1]16-17 Apportionments Data'!F14)</f>
        <v>3145049.9503475479</v>
      </c>
      <c r="C14" s="62">
        <f>'[1]Formula Weights'!$B$17*('[1]16-17 Apportionments Data'!D14+'[1]16-17 Apportionments Data'!G14+'[1]16-17 Apportionments Data'!J14)</f>
        <v>146842.00502947668</v>
      </c>
      <c r="D14" s="62">
        <f>'[1]Formula Weights'!$B$18*('[1]16-17 Apportionments Data'!E14+'[1]16-17 Apportionments Data'!H14+'[1]16-17 Apportionments Data'!K14)</f>
        <v>1604.8161690903999</v>
      </c>
      <c r="E14" s="62">
        <f>'[1]16-17 Apportionments Data'!T14</f>
        <v>4747788</v>
      </c>
      <c r="F14" s="62">
        <f>-'[1]Formula Weights'!$B$16*('[1]16-17 Apportionments Data'!F14)+-'[1]Formula Weights'!$B$17*('[1]16-17 Apportionments Data'!G14)+-'[1]Formula Weights'!$B$18*('[1]16-17 Apportionments Data'!H14)</f>
        <v>30679.906592129719</v>
      </c>
      <c r="G14" s="62">
        <f>'[1]Formula Weights'!$B$20*('[1]15-16 BOG (datamart)'!B17)</f>
        <v>2442876.5630737962</v>
      </c>
      <c r="H14" s="62">
        <f>'[1]Formula Weights'!$B$20*(IF('[1]15-16 BOG (datamart)'!B17&gt;'[1]14-15 BOG (datamart)'!B17,0,'[1]14-15 BOG (datamart)'!B17-'[1]15-16 BOG (datamart)'!B17))</f>
        <v>0</v>
      </c>
      <c r="I14" s="62">
        <f>'[1]Formula Weights'!$B$21*([1]PELL!D86)</f>
        <v>434172.76888160006</v>
      </c>
      <c r="J14" s="62">
        <f>IF(I14&gt;('[1]Formula Weights'!$B$21*[1]PELL!D14),0,'[1]Formula Weights'!$B$21*[1]PELL!D14-I14)</f>
        <v>40576.894287999952</v>
      </c>
      <c r="K14" s="62">
        <f>'[1]Formula Weights'!$B$22*('[1]15-16 Program Awards (Datamart)'!B17)</f>
        <v>1751298.7574700802</v>
      </c>
      <c r="L14" s="62">
        <f>'[1]Formula Weights'!$B$22*(IF('[1]15-16 Program Awards (Datamart)'!B17&gt;'[1]14-15 Program Awards (Datamart)'!B17,0,'[1]14-15 Program Awards (Datamart)'!B17-'[1]15-16 Program Awards (Datamart)'!B17))</f>
        <v>0</v>
      </c>
      <c r="M14" s="62">
        <f>'[1]Formula Weights'!$B$23*[1]COMPLETION_RATE_2_3!D14</f>
        <v>463347.55587467202</v>
      </c>
      <c r="N14" s="150"/>
      <c r="O14" s="62">
        <f>'[1]Formula Weights'!$B$24*(IF('[1]15-16 ADTS Awarded (datamart)'!B17&gt;'[1]16-17 ADTS Awarded (datamart)'!B17,'[1]15-16 ADTS Awarded (datamart)'!B17,'[1]16-17 ADTS Awarded (datamart)'!B17))</f>
        <v>301557.334124844</v>
      </c>
      <c r="P14" s="62">
        <f>'[1]Formula Weights'!$B$24*(IF('[1]15-16 ADTS Awarded (datamart)'!B17&gt;'[1]14-15 ADTS Awarded (datamart)'!B17,0,'[1]14-15 ADTS Awarded (datamart)'!B17-'[1]15-16 ADTS Awarded (datamart)'!B17))</f>
        <v>0</v>
      </c>
      <c r="Q14" s="151">
        <f t="shared" si="0"/>
        <v>13505794.551851237</v>
      </c>
    </row>
    <row r="15" spans="1:17" x14ac:dyDescent="0.2">
      <c r="A15" t="str">
        <f>'[1]15-16 Apportionments Data'!A15</f>
        <v>DESERT COMMUNITY COLLEGE DISTRICT</v>
      </c>
      <c r="B15" s="62">
        <f>'[1]Formula Weights'!$B$16*('[1]16-17 Apportionments Data'!C15+'[1]16-17 Apportionments Data'!I15+'[1]16-17 Apportionments Data'!F15)</f>
        <v>19025233.240238331</v>
      </c>
      <c r="C15" s="62">
        <f>'[1]Formula Weights'!$B$17*('[1]16-17 Apportionments Data'!D15+'[1]16-17 Apportionments Data'!G15+'[1]16-17 Apportionments Data'!J15)</f>
        <v>351264.20364336052</v>
      </c>
      <c r="D15" s="62">
        <f>'[1]Formula Weights'!$B$18*('[1]16-17 Apportionments Data'!E15+'[1]16-17 Apportionments Data'!H15+'[1]16-17 Apportionments Data'!K15)</f>
        <v>1333602.2365141225</v>
      </c>
      <c r="E15" s="62">
        <f>'[1]16-17 Apportionments Data'!T15</f>
        <v>3602096</v>
      </c>
      <c r="F15" s="62">
        <f>-'[1]Formula Weights'!$B$16*('[1]16-17 Apportionments Data'!F15)+-'[1]Formula Weights'!$B$17*('[1]16-17 Apportionments Data'!G15)+-'[1]Formula Weights'!$B$18*('[1]16-17 Apportionments Data'!H15)</f>
        <v>23301.433562372051</v>
      </c>
      <c r="G15" s="62">
        <f>'[1]Formula Weights'!$B$20*('[1]15-16 BOG (datamart)'!B18)</f>
        <v>11877390.473247921</v>
      </c>
      <c r="H15" s="62">
        <f>'[1]Formula Weights'!$B$20*(IF('[1]15-16 BOG (datamart)'!B18&gt;'[1]14-15 BOG (datamart)'!B18,0,'[1]14-15 BOG (datamart)'!B18-'[1]15-16 BOG (datamart)'!B18))</f>
        <v>0</v>
      </c>
      <c r="I15" s="62">
        <f>'[1]Formula Weights'!$B$21*([1]PELL!D87)</f>
        <v>1888854.4291064001</v>
      </c>
      <c r="J15" s="62">
        <f>IF(I15&gt;('[1]Formula Weights'!$B$21*[1]PELL!D15),0,'[1]Formula Weights'!$B$21*[1]PELL!D15-I15)</f>
        <v>322586.30958959996</v>
      </c>
      <c r="K15" s="62">
        <f>'[1]Formula Weights'!$B$22*('[1]15-16 Program Awards (Datamart)'!B18)</f>
        <v>6103170.6698580803</v>
      </c>
      <c r="L15" s="62">
        <f>'[1]Formula Weights'!$B$22*(IF('[1]15-16 Program Awards (Datamart)'!B18&gt;'[1]14-15 Program Awards (Datamart)'!B18,0,'[1]14-15 Program Awards (Datamart)'!B18-'[1]15-16 Program Awards (Datamart)'!B18))</f>
        <v>269024.80912944005</v>
      </c>
      <c r="M15" s="62">
        <f>'[1]Formula Weights'!$B$23*[1]COMPLETION_RATE_2_3!D15</f>
        <v>2030193.8961350759</v>
      </c>
      <c r="N15" s="150"/>
      <c r="O15" s="62">
        <f>'[1]Formula Weights'!$B$24*(IF('[1]15-16 ADTS Awarded (datamart)'!B18&gt;'[1]16-17 ADTS Awarded (datamart)'!B18,'[1]15-16 ADTS Awarded (datamart)'!B18,'[1]16-17 ADTS Awarded (datamart)'!B18))</f>
        <v>346232.49473593204</v>
      </c>
      <c r="P15" s="62">
        <f>'[1]Formula Weights'!$B$24*(IF('[1]15-16 ADTS Awarded (datamart)'!B18&gt;'[1]14-15 ADTS Awarded (datamart)'!B18,0,'[1]14-15 ADTS Awarded (datamart)'!B18-'[1]15-16 ADTS Awarded (datamart)'!B18))</f>
        <v>0</v>
      </c>
      <c r="Q15" s="151">
        <f t="shared" si="0"/>
        <v>47172950.195760638</v>
      </c>
    </row>
    <row r="16" spans="1:17" x14ac:dyDescent="0.2">
      <c r="A16" t="str">
        <f>'[1]15-16 Apportionments Data'!A16</f>
        <v>EL CAMINO COMMUNITY COLLEGE DISTRICT</v>
      </c>
      <c r="B16" s="62">
        <f>'[1]Formula Weights'!$B$16*('[1]16-17 Apportionments Data'!C16+'[1]16-17 Apportionments Data'!I16+'[1]16-17 Apportionments Data'!F16)</f>
        <v>40957797.304291375</v>
      </c>
      <c r="C16" s="62">
        <f>'[1]Formula Weights'!$B$17*('[1]16-17 Apportionments Data'!D16+'[1]16-17 Apportionments Data'!G16+'[1]16-17 Apportionments Data'!J16)</f>
        <v>39021.632880596524</v>
      </c>
      <c r="D16" s="62">
        <f>'[1]Formula Weights'!$B$18*('[1]16-17 Apportionments Data'!E16+'[1]16-17 Apportionments Data'!H16+'[1]16-17 Apportionments Data'!K16)</f>
        <v>0</v>
      </c>
      <c r="E16" s="62">
        <f>'[1]16-17 Apportionments Data'!T16</f>
        <v>8404891</v>
      </c>
      <c r="F16" s="62">
        <f>-'[1]Formula Weights'!$B$16*('[1]16-17 Apportionments Data'!F16)+-'[1]Formula Weights'!$B$17*('[1]16-17 Apportionments Data'!G16)+-'[1]Formula Weights'!$B$18*('[1]16-17 Apportionments Data'!H16)</f>
        <v>3656138.4830393814</v>
      </c>
      <c r="G16" s="62">
        <f>'[1]Formula Weights'!$B$20*('[1]15-16 BOG (datamart)'!B19)</f>
        <v>22827734.088359043</v>
      </c>
      <c r="H16" s="62">
        <f>'[1]Formula Weights'!$B$20*(IF('[1]15-16 BOG (datamart)'!B19&gt;'[1]14-15 BOG (datamart)'!B19,0,'[1]14-15 BOG (datamart)'!B19-'[1]15-16 BOG (datamart)'!B19))</f>
        <v>0</v>
      </c>
      <c r="I16" s="62">
        <f>'[1]Formula Weights'!$B$21*([1]PELL!D88)</f>
        <v>3045295.9163144003</v>
      </c>
      <c r="J16" s="62">
        <f>IF(I16&gt;('[1]Formula Weights'!$B$21*[1]PELL!D16),0,'[1]Formula Weights'!$B$21*[1]PELL!D16-I16)</f>
        <v>1077316.5433463999</v>
      </c>
      <c r="K16" s="62">
        <f>'[1]Formula Weights'!$B$22*('[1]15-16 Program Awards (Datamart)'!B19)</f>
        <v>15492664.008101283</v>
      </c>
      <c r="L16" s="62">
        <f>'[1]Formula Weights'!$B$22*(IF('[1]15-16 Program Awards (Datamart)'!B19&gt;'[1]14-15 Program Awards (Datamart)'!B19,0,'[1]14-15 Program Awards (Datamart)'!B19-'[1]15-16 Program Awards (Datamart)'!B19))</f>
        <v>0</v>
      </c>
      <c r="M16" s="62">
        <f>'[1]Formula Weights'!$B$23*[1]COMPLETION_RATE_2_3!D16</f>
        <v>6419802.320210916</v>
      </c>
      <c r="N16" s="150"/>
      <c r="O16" s="62">
        <f>'[1]Formula Weights'!$B$24*(IF('[1]15-16 ADTS Awarded (datamart)'!B19&gt;'[1]16-17 ADTS Awarded (datamart)'!B19,'[1]15-16 ADTS Awarded (datamart)'!B19,'[1]16-17 ADTS Awarded (datamart)'!B19))</f>
        <v>594738.07563510898</v>
      </c>
      <c r="P16" s="62">
        <f>'[1]Formula Weights'!$B$24*(IF('[1]15-16 ADTS Awarded (datamart)'!B19&gt;'[1]14-15 ADTS Awarded (datamart)'!B19,0,'[1]14-15 ADTS Awarded (datamart)'!B19-'[1]15-16 ADTS Awarded (datamart)'!B19))</f>
        <v>0</v>
      </c>
      <c r="Q16" s="151">
        <f t="shared" si="0"/>
        <v>102515399.37217851</v>
      </c>
    </row>
    <row r="17" spans="1:17" x14ac:dyDescent="0.2">
      <c r="A17" t="str">
        <f>'[1]15-16 Apportionments Data'!A17</f>
        <v>FEATHER RIVER COMMUNITY COLLEGE DISTRICT</v>
      </c>
      <c r="B17" s="62">
        <f>'[1]Formula Weights'!$B$16*('[1]16-17 Apportionments Data'!C17+'[1]16-17 Apportionments Data'!I17+'[1]16-17 Apportionments Data'!F17)</f>
        <v>3638255.8109995727</v>
      </c>
      <c r="C17" s="62">
        <f>'[1]Formula Weights'!$B$17*('[1]16-17 Apportionments Data'!D17+'[1]16-17 Apportionments Data'!G17+'[1]16-17 Apportionments Data'!J17)</f>
        <v>49823.132256522236</v>
      </c>
      <c r="D17" s="62">
        <f>'[1]Formula Weights'!$B$18*('[1]16-17 Apportionments Data'!E17+'[1]16-17 Apportionments Data'!H17+'[1]16-17 Apportionments Data'!K17)</f>
        <v>0</v>
      </c>
      <c r="E17" s="62">
        <f>'[1]16-17 Apportionments Data'!T17</f>
        <v>4747788</v>
      </c>
      <c r="F17" s="62">
        <f>-'[1]Formula Weights'!$B$16*('[1]16-17 Apportionments Data'!F17)+-'[1]Formula Weights'!$B$17*('[1]16-17 Apportionments Data'!G17)+-'[1]Formula Weights'!$B$18*('[1]16-17 Apportionments Data'!H17)</f>
        <v>0</v>
      </c>
      <c r="G17" s="62">
        <f>'[1]Formula Weights'!$B$20*('[1]15-16 BOG (datamart)'!B20)</f>
        <v>2091895.8595816735</v>
      </c>
      <c r="H17" s="62">
        <f>'[1]Formula Weights'!$B$20*(IF('[1]15-16 BOG (datamart)'!B20&gt;'[1]14-15 BOG (datamart)'!B20,0,'[1]14-15 BOG (datamart)'!B20-'[1]15-16 BOG (datamart)'!B20))</f>
        <v>0</v>
      </c>
      <c r="I17" s="62">
        <f>'[1]Formula Weights'!$B$21*([1]PELL!D89)</f>
        <v>133903.7511504</v>
      </c>
      <c r="J17" s="62">
        <f>IF(I17&gt;('[1]Formula Weights'!$B$21*[1]PELL!D17),0,'[1]Formula Weights'!$B$21*[1]PELL!D17-I17)</f>
        <v>56807.652003200026</v>
      </c>
      <c r="K17" s="62">
        <f>'[1]Formula Weights'!$B$22*('[1]15-16 Program Awards (Datamart)'!B20)</f>
        <v>1155224.1803793602</v>
      </c>
      <c r="L17" s="62">
        <f>'[1]Formula Weights'!$B$22*(IF('[1]15-16 Program Awards (Datamart)'!B20&gt;'[1]14-15 Program Awards (Datamart)'!B20,0,'[1]14-15 Program Awards (Datamart)'!B20-'[1]15-16 Program Awards (Datamart)'!B20))</f>
        <v>0</v>
      </c>
      <c r="M17" s="62">
        <f>'[1]Formula Weights'!$B$23*[1]COMPLETION_RATE_2_3!D17</f>
        <v>560894.40974302404</v>
      </c>
      <c r="N17" s="150"/>
      <c r="O17" s="62">
        <f>'[1]Formula Weights'!$B$24*(IF('[1]15-16 ADTS Awarded (datamart)'!B20&gt;'[1]16-17 ADTS Awarded (datamart)'!B20,'[1]15-16 ADTS Awarded (datamart)'!B20,'[1]16-17 ADTS Awarded (datamart)'!B20))</f>
        <v>598461.00568603305</v>
      </c>
      <c r="P17" s="62">
        <f>'[1]Formula Weights'!$B$24*(IF('[1]15-16 ADTS Awarded (datamart)'!B20&gt;'[1]14-15 ADTS Awarded (datamart)'!B20,0,'[1]14-15 ADTS Awarded (datamart)'!B20-'[1]15-16 ADTS Awarded (datamart)'!B20))</f>
        <v>0</v>
      </c>
      <c r="Q17" s="151">
        <f t="shared" si="0"/>
        <v>13033053.801799787</v>
      </c>
    </row>
    <row r="18" spans="1:17" x14ac:dyDescent="0.2">
      <c r="A18" s="152" t="str">
        <f>'[1]15-16 Apportionments Data'!A18</f>
        <v>FOOTHILL-DEANZA COMMUNITY COLLEGE DISTRICT</v>
      </c>
      <c r="B18" s="62">
        <f>'[1]Formula Weights'!C16*('[1]16-17 Apportionments Data'!C18+'[1]16-17 Apportionments Data'!I18+'[1]16-17 Apportionments Data'!F18)</f>
        <v>58808289.008984528</v>
      </c>
      <c r="C18" s="62">
        <f>'[1]Formula Weights'!$B$17*('[1]16-17 Apportionments Data'!D18+'[1]16-17 Apportionments Data'!G18+'[1]16-17 Apportionments Data'!J18)</f>
        <v>352779.47189558175</v>
      </c>
      <c r="D18" s="62">
        <f>'[1]Formula Weights'!$B$18*('[1]16-17 Apportionments Data'!E18+'[1]16-17 Apportionments Data'!H18+'[1]16-17 Apportionments Data'!K18)</f>
        <v>431374.58625149954</v>
      </c>
      <c r="E18" s="62">
        <f>'[1]16-17 Apportionments Data'!T18</f>
        <v>9605591</v>
      </c>
      <c r="F18" s="62">
        <f>-'[1]Formula Weights'!C16*('[1]16-17 Apportionments Data'!F18)+-'[1]Formula Weights'!$B$17*('[1]16-17 Apportionments Data'!G18)+-'[1]Formula Weights'!$B$18*('[1]16-17 Apportionments Data'!H18)</f>
        <v>2726805.5639004624</v>
      </c>
      <c r="G18" s="62">
        <f>'[1]Formula Weights'!$B$20*('[1]15-16 BOG (datamart)'!B21)</f>
        <v>22068547.566674992</v>
      </c>
      <c r="H18" s="62">
        <f>'[1]Formula Weights'!$B$20*(IF('[1]15-16 BOG (datamart)'!B21&gt;'[1]14-15 BOG (datamart)'!B21,0,'[1]14-15 BOG (datamart)'!B21-'[1]15-16 BOG (datamart)'!B21))</f>
        <v>843116.68991042534</v>
      </c>
      <c r="I18" s="62">
        <f>'[1]Formula Weights'!$B$21*([1]PELL!D90)</f>
        <v>2229700.3411256</v>
      </c>
      <c r="J18" s="62">
        <f>IF(I18&gt;('[1]Formula Weights'!$B$21*[1]PELL!D18),0,'[1]Formula Weights'!$B$21*[1]PELL!D18-I18)</f>
        <v>789220.59390160022</v>
      </c>
      <c r="K18" s="62">
        <f>'[1]Formula Weights'!$B$22*('[1]15-16 Program Awards (Datamart)'!B21)</f>
        <v>21780459.546969764</v>
      </c>
      <c r="L18" s="62">
        <f>'[1]Formula Weights'!$B$22*(IF('[1]15-16 Program Awards (Datamart)'!B21&gt;'[1]14-15 Program Awards (Datamart)'!B21,0,'[1]14-15 Program Awards (Datamart)'!B21-'[1]15-16 Program Awards (Datamart)'!B21))</f>
        <v>0</v>
      </c>
      <c r="M18" s="62">
        <f>'[1]Formula Weights'!$B$23*[1]COMPLETION_RATE_2_3!D18</f>
        <v>13016408.31305822</v>
      </c>
      <c r="N18" s="150"/>
      <c r="O18" s="62">
        <f>'[1]Formula Weights'!$B$24*(IF('[1]15-16 ADTS Awarded (datamart)'!B21&gt;'[1]16-17 ADTS Awarded (datamart)'!B21,'[1]15-16 ADTS Awarded (datamart)'!B21,'[1]16-17 ADTS Awarded (datamart)'!B21))</f>
        <v>714802.56977740803</v>
      </c>
      <c r="P18" s="62">
        <f>'[1]Formula Weights'!$B$24*(IF('[1]15-16 ADTS Awarded (datamart)'!B21&gt;'[1]14-15 ADTS Awarded (datamart)'!B21,0,'[1]14-15 ADTS Awarded (datamart)'!B21-'[1]15-16 ADTS Awarded (datamart)'!B21))</f>
        <v>0</v>
      </c>
      <c r="Q18" s="151">
        <f t="shared" si="0"/>
        <v>133367095.25245009</v>
      </c>
    </row>
    <row r="19" spans="1:17" x14ac:dyDescent="0.2">
      <c r="A19" t="str">
        <f>'[1]15-16 Apportionments Data'!A19</f>
        <v>GAVILAN COMMUNITY COLLEGE DISTRICT</v>
      </c>
      <c r="B19" s="62">
        <f>'[1]Formula Weights'!$B$16*('[1]16-17 Apportionments Data'!C19+'[1]16-17 Apportionments Data'!I19+'[1]16-17 Apportionments Data'!F19)</f>
        <v>11229586.513483711</v>
      </c>
      <c r="C19" s="62">
        <f>'[1]Formula Weights'!$B$17*('[1]16-17 Apportionments Data'!D19+'[1]16-17 Apportionments Data'!G19+'[1]16-17 Apportionments Data'!J19)</f>
        <v>458667.52948428987</v>
      </c>
      <c r="D19" s="62">
        <f>'[1]Formula Weights'!$B$18*('[1]16-17 Apportionments Data'!E19+'[1]16-17 Apportionments Data'!H19+'[1]16-17 Apportionments Data'!K19)</f>
        <v>169697.84690867344</v>
      </c>
      <c r="E19" s="62">
        <f>'[1]16-17 Apportionments Data'!T19</f>
        <v>4747788</v>
      </c>
      <c r="F19" s="62">
        <f>-'[1]Formula Weights'!$B$16*('[1]16-17 Apportionments Data'!F19)+-'[1]Formula Weights'!$B$17*('[1]16-17 Apportionments Data'!G19)+-'[1]Formula Weights'!$B$18*('[1]16-17 Apportionments Data'!H19)</f>
        <v>0</v>
      </c>
      <c r="G19" s="62">
        <f>'[1]Formula Weights'!$B$20*('[1]15-16 BOG (datamart)'!B22)</f>
        <v>4555119.1301042885</v>
      </c>
      <c r="H19" s="62">
        <f>'[1]Formula Weights'!$B$20*(IF('[1]15-16 BOG (datamart)'!B22&gt;'[1]14-15 BOG (datamart)'!B22,0,'[1]14-15 BOG (datamart)'!B22-'[1]15-16 BOG (datamart)'!B22))</f>
        <v>24161.715095472216</v>
      </c>
      <c r="I19" s="62">
        <f>'[1]Formula Weights'!$B$21*([1]PELL!D91)</f>
        <v>539672.69403040002</v>
      </c>
      <c r="J19" s="62">
        <f>IF(I19&gt;('[1]Formula Weights'!$B$21*[1]PELL!D19),0,'[1]Formula Weights'!$B$21*[1]PELL!D19-I19)</f>
        <v>292153.63887360005</v>
      </c>
      <c r="K19" s="62">
        <f>'[1]Formula Weights'!$B$22*('[1]15-16 Program Awards (Datamart)'!B22)</f>
        <v>5127296.3622316802</v>
      </c>
      <c r="L19" s="62">
        <f>'[1]Formula Weights'!$B$22*(IF('[1]15-16 Program Awards (Datamart)'!B22&gt;'[1]14-15 Program Awards (Datamart)'!B22,0,'[1]14-15 Program Awards (Datamart)'!B22-'[1]15-16 Program Awards (Datamart)'!B22))</f>
        <v>0</v>
      </c>
      <c r="M19" s="62">
        <f>'[1]Formula Weights'!$B$23*[1]COMPLETION_RATE_2_3!D19</f>
        <v>1457106.1296585081</v>
      </c>
      <c r="N19" s="150"/>
      <c r="O19" s="62">
        <f>'[1]Formula Weights'!$B$24*(IF('[1]15-16 ADTS Awarded (datamart)'!B22&gt;'[1]16-17 ADTS Awarded (datamart)'!B22,'[1]15-16 ADTS Awarded (datamart)'!B22,'[1]16-17 ADTS Awarded (datamart)'!B22))</f>
        <v>731555.75500656606</v>
      </c>
      <c r="P19" s="62">
        <f>'[1]Formula Weights'!$B$24*(IF('[1]15-16 ADTS Awarded (datamart)'!B22&gt;'[1]14-15 ADTS Awarded (datamart)'!B22,0,'[1]14-15 ADTS Awarded (datamart)'!B22-'[1]15-16 ADTS Awarded (datamart)'!B22))</f>
        <v>0</v>
      </c>
      <c r="Q19" s="151">
        <f t="shared" si="0"/>
        <v>29332805.31487719</v>
      </c>
    </row>
    <row r="20" spans="1:17" x14ac:dyDescent="0.2">
      <c r="A20" t="str">
        <f>'[1]15-16 Apportionments Data'!A20</f>
        <v>GLENDALE COMMUNITY COLLEGE DISTRICT</v>
      </c>
      <c r="B20" s="62">
        <f>'[1]Formula Weights'!$B$16*('[1]16-17 Apportionments Data'!C20+'[1]16-17 Apportionments Data'!I20+'[1]16-17 Apportionments Data'!F20)</f>
        <v>28574049.927943118</v>
      </c>
      <c r="C20" s="62">
        <f>'[1]Formula Weights'!$B$17*('[1]16-17 Apportionments Data'!D20+'[1]16-17 Apportionments Data'!G20+'[1]16-17 Apportionments Data'!J20)</f>
        <v>220603.59536237491</v>
      </c>
      <c r="D20" s="62">
        <f>'[1]Formula Weights'!$B$18*('[1]16-17 Apportionments Data'!E20+'[1]16-17 Apportionments Data'!H20+'[1]16-17 Apportionments Data'!K20)</f>
        <v>6691189.3132413328</v>
      </c>
      <c r="E20" s="62">
        <f>'[1]16-17 Apportionments Data'!T20</f>
        <v>6003494</v>
      </c>
      <c r="F20" s="62">
        <f>-'[1]Formula Weights'!$B$16*('[1]16-17 Apportionments Data'!F20)+-'[1]Formula Weights'!$B$17*('[1]16-17 Apportionments Data'!G20)+-'[1]Formula Weights'!$B$18*('[1]16-17 Apportionments Data'!H20)</f>
        <v>0</v>
      </c>
      <c r="G20" s="62">
        <f>'[1]Formula Weights'!$B$20*('[1]15-16 BOG (datamart)'!B23)</f>
        <v>16531699.802165201</v>
      </c>
      <c r="H20" s="62">
        <f>'[1]Formula Weights'!$B$20*(IF('[1]15-16 BOG (datamart)'!B23&gt;'[1]14-15 BOG (datamart)'!B23,0,'[1]14-15 BOG (datamart)'!B23-'[1]15-16 BOG (datamart)'!B23))</f>
        <v>0</v>
      </c>
      <c r="I20" s="62">
        <f>'[1]Formula Weights'!$B$21*([1]PELL!D92)</f>
        <v>2339257.9557032003</v>
      </c>
      <c r="J20" s="62">
        <f>IF(I20&gt;('[1]Formula Weights'!$B$21*[1]PELL!D20),0,'[1]Formula Weights'!$B$21*[1]PELL!D20-I20)</f>
        <v>499095.79974239971</v>
      </c>
      <c r="K20" s="62">
        <f>'[1]Formula Weights'!$B$22*('[1]15-16 Program Awards (Datamart)'!B23)</f>
        <v>6351095.4939577607</v>
      </c>
      <c r="L20" s="62">
        <f>'[1]Formula Weights'!$B$22*(IF('[1]15-16 Program Awards (Datamart)'!B23&gt;'[1]14-15 Program Awards (Datamart)'!B23,0,'[1]14-15 Program Awards (Datamart)'!B23-'[1]15-16 Program Awards (Datamart)'!B23))</f>
        <v>0</v>
      </c>
      <c r="M20" s="62">
        <f>'[1]Formula Weights'!$B$23*[1]COMPLETION_RATE_2_3!D20</f>
        <v>3408043.207025548</v>
      </c>
      <c r="N20" s="150"/>
      <c r="O20" s="62">
        <f>'[1]Formula Weights'!$B$24*(IF('[1]15-16 ADTS Awarded (datamart)'!B23&gt;'[1]16-17 ADTS Awarded (datamart)'!B23,'[1]15-16 ADTS Awarded (datamart)'!B23,'[1]16-17 ADTS Awarded (datamart)'!B23))</f>
        <v>1162484.9084010189</v>
      </c>
      <c r="P20" s="62">
        <f>'[1]Formula Weights'!$B$24*(IF('[1]15-16 ADTS Awarded (datamart)'!B23&gt;'[1]14-15 ADTS Awarded (datamart)'!B23,0,'[1]14-15 ADTS Awarded (datamart)'!B23-'[1]15-16 ADTS Awarded (datamart)'!B23))</f>
        <v>0</v>
      </c>
      <c r="Q20" s="151">
        <f t="shared" si="0"/>
        <v>71781014.003541946</v>
      </c>
    </row>
    <row r="21" spans="1:17" x14ac:dyDescent="0.2">
      <c r="A21" t="str">
        <f>'[1]15-16 Apportionments Data'!A21</f>
        <v>GROSSMONT-CUYAMACA COMMUNITY COLLEGE DISTRICT</v>
      </c>
      <c r="B21" s="62">
        <f>'[1]Formula Weights'!$B$16*('[1]16-17 Apportionments Data'!C21+'[1]16-17 Apportionments Data'!I21+'[1]16-17 Apportionments Data'!F21)</f>
        <v>43820353.756988473</v>
      </c>
      <c r="C21" s="62">
        <f>'[1]Formula Weights'!$B$17*('[1]16-17 Apportionments Data'!D21+'[1]16-17 Apportionments Data'!G21+'[1]16-17 Apportionments Data'!J21)</f>
        <v>15472.418024974681</v>
      </c>
      <c r="D21" s="62">
        <f>'[1]Formula Weights'!$B$18*('[1]16-17 Apportionments Data'!E21+'[1]16-17 Apportionments Data'!H21+'[1]16-17 Apportionments Data'!K21)</f>
        <v>0</v>
      </c>
      <c r="E21" s="62">
        <f>'[1]16-17 Apportionments Data'!T21</f>
        <v>7804542</v>
      </c>
      <c r="F21" s="62">
        <f>-'[1]Formula Weights'!$B$16*('[1]16-17 Apportionments Data'!F21)+-'[1]Formula Weights'!$B$17*('[1]16-17 Apportionments Data'!G21)+-'[1]Formula Weights'!$B$18*('[1]16-17 Apportionments Data'!H21)</f>
        <v>0</v>
      </c>
      <c r="G21" s="62">
        <f>'[1]Formula Weights'!$B$20*('[1]15-16 BOG (datamart)'!B24)</f>
        <v>25301130.712606065</v>
      </c>
      <c r="H21" s="62">
        <f>'[1]Formula Weights'!$B$20*(IF('[1]15-16 BOG (datamart)'!B24&gt;'[1]14-15 BOG (datamart)'!B24,0,'[1]14-15 BOG (datamart)'!B24-'[1]15-16 BOG (datamart)'!B24))</f>
        <v>129710.25998621927</v>
      </c>
      <c r="I21" s="62">
        <f>'[1]Formula Weights'!$B$21*([1]PELL!D93)</f>
        <v>3428747.567336</v>
      </c>
      <c r="J21" s="62">
        <f>IF(I21&gt;('[1]Formula Weights'!$B$21*[1]PELL!D21),0,'[1]Formula Weights'!$B$21*[1]PELL!D21-I21)</f>
        <v>669518.75575200049</v>
      </c>
      <c r="K21" s="62">
        <f>'[1]Formula Weights'!$B$22*('[1]15-16 Program Awards (Datamart)'!B24)</f>
        <v>21701334.603108164</v>
      </c>
      <c r="L21" s="62">
        <f>'[1]Formula Weights'!$B$22*(IF('[1]15-16 Program Awards (Datamart)'!B24&gt;'[1]14-15 Program Awards (Datamart)'!B24,0,'[1]14-15 Program Awards (Datamart)'!B24-'[1]15-16 Program Awards (Datamart)'!B24))</f>
        <v>0</v>
      </c>
      <c r="M21" s="62">
        <f>'[1]Formula Weights'!$B$23*[1]COMPLETION_RATE_2_3!D21</f>
        <v>7480624.3560292441</v>
      </c>
      <c r="N21" s="150"/>
      <c r="O21" s="62">
        <f>'[1]Formula Weights'!$B$24*(IF('[1]15-16 ADTS Awarded (datamart)'!B24&gt;'[1]16-17 ADTS Awarded (datamart)'!B24,'[1]15-16 ADTS Awarded (datamart)'!B24,'[1]16-17 ADTS Awarded (datamart)'!B24))</f>
        <v>1467765.1725767872</v>
      </c>
      <c r="P21" s="62">
        <f>'[1]Formula Weights'!$B$24*(IF('[1]15-16 ADTS Awarded (datamart)'!B24&gt;'[1]14-15 ADTS Awarded (datamart)'!B24,0,'[1]14-15 ADTS Awarded (datamart)'!B24-'[1]15-16 ADTS Awarded (datamart)'!B24))</f>
        <v>0</v>
      </c>
      <c r="Q21" s="151">
        <f t="shared" si="0"/>
        <v>111819199.60240792</v>
      </c>
    </row>
    <row r="22" spans="1:17" x14ac:dyDescent="0.2">
      <c r="A22" t="str">
        <f>'[1]15-16 Apportionments Data'!A22</f>
        <v>HARTNELL COMMUNITY COLLEGE DISTRICT</v>
      </c>
      <c r="B22" s="62">
        <f>'[1]Formula Weights'!$B$16*('[1]16-17 Apportionments Data'!C22+'[1]16-17 Apportionments Data'!I22+'[1]16-17 Apportionments Data'!F22)</f>
        <v>16858249.967115562</v>
      </c>
      <c r="C22" s="62">
        <f>'[1]Formula Weights'!$B$17*('[1]16-17 Apportionments Data'!D22+'[1]16-17 Apportionments Data'!G22+'[1]16-17 Apportionments Data'!J22)</f>
        <v>7256.6057583439215</v>
      </c>
      <c r="D22" s="62">
        <f>'[1]Formula Weights'!$B$18*('[1]16-17 Apportionments Data'!E22+'[1]16-17 Apportionments Data'!H22+'[1]16-17 Apportionments Data'!K22)</f>
        <v>0</v>
      </c>
      <c r="E22" s="62">
        <f>'[1]16-17 Apportionments Data'!T22</f>
        <v>3902271</v>
      </c>
      <c r="F22" s="62">
        <f>-'[1]Formula Weights'!$B$16*('[1]16-17 Apportionments Data'!F22)+-'[1]Formula Weights'!$B$17*('[1]16-17 Apportionments Data'!G22)+-'[1]Formula Weights'!$B$18*('[1]16-17 Apportionments Data'!H22)</f>
        <v>0</v>
      </c>
      <c r="G22" s="62">
        <f>'[1]Formula Weights'!$B$20*('[1]15-16 BOG (datamart)'!B25)</f>
        <v>9945724.9348256961</v>
      </c>
      <c r="H22" s="62">
        <f>'[1]Formula Weights'!$B$20*(IF('[1]15-16 BOG (datamart)'!B25&gt;'[1]14-15 BOG (datamart)'!B25,0,'[1]14-15 BOG (datamart)'!B25-'[1]15-16 BOG (datamart)'!B25))</f>
        <v>54681.776268700283</v>
      </c>
      <c r="I22" s="62">
        <f>'[1]Formula Weights'!$B$21*([1]PELL!D94)</f>
        <v>1401931.6976504002</v>
      </c>
      <c r="J22" s="62">
        <f>IF(I22&gt;('[1]Formula Weights'!$B$21*[1]PELL!D22),0,'[1]Formula Weights'!$B$21*[1]PELL!D22-I22)</f>
        <v>213028.69501199992</v>
      </c>
      <c r="K22" s="62">
        <f>'[1]Formula Weights'!$B$22*('[1]15-16 Program Awards (Datamart)'!B25)</f>
        <v>8661543.8547164816</v>
      </c>
      <c r="L22" s="62">
        <f>'[1]Formula Weights'!$B$22*(IF('[1]15-16 Program Awards (Datamart)'!B25&gt;'[1]14-15 Program Awards (Datamart)'!B25,0,'[1]14-15 Program Awards (Datamart)'!B25-'[1]15-16 Program Awards (Datamart)'!B25))</f>
        <v>0</v>
      </c>
      <c r="M22" s="62">
        <f>'[1]Formula Weights'!$B$23*[1]COMPLETION_RATE_2_3!D22</f>
        <v>2176514.1769376039</v>
      </c>
      <c r="N22" s="150"/>
      <c r="O22" s="62">
        <f>'[1]Formula Weights'!$B$24*(IF('[1]15-16 ADTS Awarded (datamart)'!B25&gt;'[1]16-17 ADTS Awarded (datamart)'!B25,'[1]15-16 ADTS Awarded (datamart)'!B25,'[1]16-17 ADTS Awarded (datamart)'!B25))</f>
        <v>954000.82554927503</v>
      </c>
      <c r="P22" s="62">
        <f>'[1]Formula Weights'!$B$24*(IF('[1]15-16 ADTS Awarded (datamart)'!B25&gt;'[1]14-15 ADTS Awarded (datamart)'!B25,0,'[1]14-15 ADTS Awarded (datamart)'!B25-'[1]15-16 ADTS Awarded (datamart)'!B25))</f>
        <v>0</v>
      </c>
      <c r="Q22" s="151">
        <f t="shared" si="0"/>
        <v>44175203.533834063</v>
      </c>
    </row>
    <row r="23" spans="1:17" x14ac:dyDescent="0.2">
      <c r="A23" t="str">
        <f>'[1]15-16 Apportionments Data'!A23</f>
        <v>IMPERIAL COMMUNITY COLLEGE DISTRICT</v>
      </c>
      <c r="B23" s="62">
        <f>'[1]Formula Weights'!$B$16*('[1]16-17 Apportionments Data'!C23+'[1]16-17 Apportionments Data'!I23+'[1]16-17 Apportionments Data'!F23)</f>
        <v>15420816.124461289</v>
      </c>
      <c r="C23" s="62">
        <f>'[1]Formula Weights'!$B$17*('[1]16-17 Apportionments Data'!D23+'[1]16-17 Apportionments Data'!G23+'[1]16-17 Apportionments Data'!J23)</f>
        <v>47098.429711243676</v>
      </c>
      <c r="D23" s="62">
        <f>'[1]Formula Weights'!$B$18*('[1]16-17 Apportionments Data'!E23+'[1]16-17 Apportionments Data'!H23+'[1]16-17 Apportionments Data'!K23)</f>
        <v>27327.726765082236</v>
      </c>
      <c r="E23" s="62">
        <f>'[1]16-17 Apportionments Data'!T23</f>
        <v>3602096</v>
      </c>
      <c r="F23" s="62">
        <f>-'[1]Formula Weights'!$B$16*('[1]16-17 Apportionments Data'!F23)+-'[1]Formula Weights'!$B$17*('[1]16-17 Apportionments Data'!G23)+-'[1]Formula Weights'!$B$18*('[1]16-17 Apportionments Data'!H23)</f>
        <v>99374.058447503034</v>
      </c>
      <c r="G23" s="62">
        <f>'[1]Formula Weights'!$B$20*('[1]15-16 BOG (datamart)'!B26)</f>
        <v>10052545.148931993</v>
      </c>
      <c r="H23" s="62">
        <f>'[1]Formula Weights'!$B$20*(IF('[1]15-16 BOG (datamart)'!B26&gt;'[1]14-15 BOG (datamart)'!B26,0,'[1]14-15 BOG (datamart)'!B26-'[1]15-16 BOG (datamart)'!B26))</f>
        <v>0</v>
      </c>
      <c r="I23" s="62">
        <f>'[1]Formula Weights'!$B$21*([1]PELL!D95)</f>
        <v>2114056.1924048001</v>
      </c>
      <c r="J23" s="62">
        <f>IF(I23&gt;('[1]Formula Weights'!$B$21*[1]PELL!D23),0,'[1]Formula Weights'!$B$21*[1]PELL!D23-I23)</f>
        <v>42605.739002400078</v>
      </c>
      <c r="K23" s="62">
        <f>'[1]Formula Weights'!$B$22*('[1]15-16 Program Awards (Datamart)'!B26)</f>
        <v>8962218.6413905602</v>
      </c>
      <c r="L23" s="62">
        <f>'[1]Formula Weights'!$B$22*(IF('[1]15-16 Program Awards (Datamart)'!B26&gt;'[1]14-15 Program Awards (Datamart)'!B26,0,'[1]14-15 Program Awards (Datamart)'!B26-'[1]15-16 Program Awards (Datamart)'!B26))</f>
        <v>0</v>
      </c>
      <c r="M23" s="62">
        <f>'[1]Formula Weights'!$B$23*[1]COMPLETION_RATE_2_3!D23</f>
        <v>2371607.8846743079</v>
      </c>
      <c r="N23" s="150"/>
      <c r="O23" s="62">
        <f>'[1]Formula Weights'!$B$24*(IF('[1]15-16 ADTS Awarded (datamart)'!B26&gt;'[1]16-17 ADTS Awarded (datamart)'!B26,'[1]15-16 ADTS Awarded (datamart)'!B26,'[1]16-17 ADTS Awarded (datamart)'!B26))</f>
        <v>1301164.052797938</v>
      </c>
      <c r="P23" s="62">
        <f>'[1]Formula Weights'!$B$24*(IF('[1]15-16 ADTS Awarded (datamart)'!B26&gt;'[1]14-15 ADTS Awarded (datamart)'!B26,0,'[1]14-15 ADTS Awarded (datamart)'!B26-'[1]15-16 ADTS Awarded (datamart)'!B26))</f>
        <v>0</v>
      </c>
      <c r="Q23" s="151">
        <f t="shared" si="0"/>
        <v>44040909.998587117</v>
      </c>
    </row>
    <row r="24" spans="1:17" x14ac:dyDescent="0.2">
      <c r="A24" t="str">
        <f>'[1]15-16 Apportionments Data'!A24</f>
        <v>KERN COMMUNITY COLLEGE DISTRICT</v>
      </c>
      <c r="B24" s="62">
        <f>'[1]Formula Weights'!$B$16*('[1]16-17 Apportionments Data'!C24+'[1]16-17 Apportionments Data'!I24+'[1]16-17 Apportionments Data'!F24)</f>
        <v>49606976.973549359</v>
      </c>
      <c r="C24" s="62">
        <f>'[1]Formula Weights'!$B$17*('[1]16-17 Apportionments Data'!D24+'[1]16-17 Apportionments Data'!G24+'[1]16-17 Apportionments Data'!J24)</f>
        <v>121485.58950606805</v>
      </c>
      <c r="D24" s="62">
        <f>'[1]Formula Weights'!$B$18*('[1]16-17 Apportionments Data'!E24+'[1]16-17 Apportionments Data'!H24+'[1]16-17 Apportionments Data'!K24)</f>
        <v>0</v>
      </c>
      <c r="E24" s="62">
        <f>'[1]16-17 Apportionments Data'!T24</f>
        <v>15308910</v>
      </c>
      <c r="F24" s="62">
        <f>-'[1]Formula Weights'!$B$16*('[1]16-17 Apportionments Data'!F24)+-'[1]Formula Weights'!$B$17*('[1]16-17 Apportionments Data'!G24)+-'[1]Formula Weights'!$B$18*('[1]16-17 Apportionments Data'!H24)</f>
        <v>0</v>
      </c>
      <c r="G24" s="62">
        <f>'[1]Formula Weights'!$B$20*('[1]15-16 BOG (datamart)'!B27)</f>
        <v>23860329.491386592</v>
      </c>
      <c r="H24" s="62">
        <f>'[1]Formula Weights'!$B$20*(IF('[1]15-16 BOG (datamart)'!B27&gt;'[1]14-15 BOG (datamart)'!B27,0,'[1]14-15 BOG (datamart)'!B27-'[1]15-16 BOG (datamart)'!B27))</f>
        <v>3647147.3102007536</v>
      </c>
      <c r="I24" s="62">
        <f>'[1]Formula Weights'!$B$21*([1]PELL!D96)</f>
        <v>4349843.0676736003</v>
      </c>
      <c r="J24" s="62">
        <f>IF(I24&gt;('[1]Formula Weights'!$B$21*[1]PELL!D24),0,'[1]Formula Weights'!$B$21*[1]PELL!D24-I24)</f>
        <v>535615.00460159965</v>
      </c>
      <c r="K24" s="62">
        <f>'[1]Formula Weights'!$B$22*('[1]15-16 Program Awards (Datamart)'!B27)</f>
        <v>17212312.78802672</v>
      </c>
      <c r="L24" s="62">
        <f>'[1]Formula Weights'!$B$22*(IF('[1]15-16 Program Awards (Datamart)'!B27&gt;'[1]14-15 Program Awards (Datamart)'!B27,0,'[1]14-15 Program Awards (Datamart)'!B27-'[1]15-16 Program Awards (Datamart)'!B27))</f>
        <v>0</v>
      </c>
      <c r="M24" s="62">
        <f>'[1]Formula Weights'!$B$23*[1]COMPLETION_RATE_2_3!D24</f>
        <v>4938309.4770853203</v>
      </c>
      <c r="N24" s="150"/>
      <c r="O24" s="62">
        <f>'[1]Formula Weights'!$B$24*(IF('[1]15-16 ADTS Awarded (datamart)'!B27&gt;'[1]16-17 ADTS Awarded (datamart)'!B27,'[1]15-16 ADTS Awarded (datamart)'!B27,'[1]16-17 ADTS Awarded (datamart)'!B27))</f>
        <v>516556.544565705</v>
      </c>
      <c r="P24" s="62">
        <f>'[1]Formula Weights'!$B$24*(IF('[1]15-16 ADTS Awarded (datamart)'!B27&gt;'[1]14-15 ADTS Awarded (datamart)'!B27,0,'[1]14-15 ADTS Awarded (datamart)'!B27-'[1]15-16 ADTS Awarded (datamart)'!B27))</f>
        <v>0</v>
      </c>
      <c r="Q24" s="151">
        <f t="shared" si="0"/>
        <v>120097486.24659571</v>
      </c>
    </row>
    <row r="25" spans="1:17" x14ac:dyDescent="0.2">
      <c r="A25" s="152" t="str">
        <f>'[1]15-16 Apportionments Data'!A25</f>
        <v>LAKE TAHOE COMMUNITY COLLEGE DISTRICT</v>
      </c>
      <c r="B25" s="62">
        <f>'[1]Formula Weights'!D16*('[1]16-17 Apportionments Data'!C25+'[1]16-17 Apportionments Data'!I25+'[1]16-17 Apportionments Data'!F25)</f>
        <v>3886516.6683161505</v>
      </c>
      <c r="C25" s="62">
        <f>'[1]Formula Weights'!$B$17*('[1]16-17 Apportionments Data'!D25+'[1]16-17 Apportionments Data'!G25+'[1]16-17 Apportionments Data'!J25)</f>
        <v>102245.85316593781</v>
      </c>
      <c r="D25" s="62">
        <f>'[1]Formula Weights'!$B$18*('[1]16-17 Apportionments Data'!E25+'[1]16-17 Apportionments Data'!H25+'[1]16-17 Apportionments Data'!K25)</f>
        <v>32210.953108171601</v>
      </c>
      <c r="E25" s="62">
        <f>'[1]16-17 Apportionments Data'!T25</f>
        <v>4747788</v>
      </c>
      <c r="F25" s="62">
        <f>-'[1]Formula Weights'!$B$16*('[1]16-17 Apportionments Data'!F25)+-'[1]Formula Weights'!$B$17*('[1]16-17 Apportionments Data'!G25)+-'[1]Formula Weights'!$B$18*('[1]16-17 Apportionments Data'!H25)</f>
        <v>0</v>
      </c>
      <c r="G25" s="62">
        <f>'[1]Formula Weights'!$B$20*('[1]15-16 BOG (datamart)'!B28)</f>
        <v>2661603.6681485977</v>
      </c>
      <c r="H25" s="62">
        <f>'[1]Formula Weights'!$B$20*(IF('[1]15-16 BOG (datamart)'!B28&gt;'[1]14-15 BOG (datamart)'!B28,0,'[1]14-15 BOG (datamart)'!B28-'[1]15-16 BOG (datamart)'!B28))</f>
        <v>0</v>
      </c>
      <c r="I25" s="62">
        <f>'[1]Formula Weights'!$B$21*([1]PELL!D97)</f>
        <v>99413.391005600002</v>
      </c>
      <c r="J25" s="62">
        <f>IF(I25&gt;('[1]Formula Weights'!$B$21*[1]PELL!D25),0,'[1]Formula Weights'!$B$21*[1]PELL!D25-I25)</f>
        <v>40576.894287999996</v>
      </c>
      <c r="K25" s="62">
        <f>'[1]Formula Weights'!$B$22*('[1]15-16 Program Awards (Datamart)'!B28)</f>
        <v>1276549.0943004801</v>
      </c>
      <c r="L25" s="62">
        <f>'[1]Formula Weights'!$B$22*(IF('[1]15-16 Program Awards (Datamart)'!B28&gt;'[1]14-15 Program Awards (Datamart)'!B28,0,'[1]14-15 Program Awards (Datamart)'!B28-'[1]15-16 Program Awards (Datamart)'!B28))</f>
        <v>0</v>
      </c>
      <c r="M25" s="62">
        <f>'[1]Formula Weights'!$B$23*[1]COMPLETION_RATE_2_3!D25</f>
        <v>353607.34527277603</v>
      </c>
      <c r="N25" s="150"/>
      <c r="O25" s="62">
        <f>'[1]Formula Weights'!$B$24*(IF('[1]15-16 ADTS Awarded (datamart)'!B28&gt;'[1]16-17 ADTS Awarded (datamart)'!B28,'[1]15-16 ADTS Awarded (datamart)'!B28,'[1]16-17 ADTS Awarded (datamart)'!B28))</f>
        <v>49328.823174743004</v>
      </c>
      <c r="P25" s="62">
        <f>'[1]Formula Weights'!$B$24*(IF('[1]15-16 ADTS Awarded (datamart)'!B28&gt;'[1]14-15 ADTS Awarded (datamart)'!B28,0,'[1]14-15 ADTS Awarded (datamart)'!B28-'[1]15-16 ADTS Awarded (datamart)'!B28))</f>
        <v>0</v>
      </c>
      <c r="Q25" s="151">
        <f t="shared" si="0"/>
        <v>13249840.690780457</v>
      </c>
    </row>
    <row r="26" spans="1:17" x14ac:dyDescent="0.2">
      <c r="A26" s="152" t="str">
        <f>'[1]15-16 Apportionments Data'!A26</f>
        <v>LASSEN COMMUNITY COLLEGE DISTRICT</v>
      </c>
      <c r="B26" s="62">
        <f>'[1]Formula Weights'!E16*('[1]16-17 Apportionments Data'!C26+'[1]16-17 Apportionments Data'!I26+'[1]16-17 Apportionments Data'!F26)</f>
        <v>3617032.967459423</v>
      </c>
      <c r="C26" s="62">
        <f>'[1]Formula Weights'!$B$17*('[1]16-17 Apportionments Data'!D26+'[1]16-17 Apportionments Data'!G26+'[1]16-17 Apportionments Data'!J26)</f>
        <v>217739.87738111269</v>
      </c>
      <c r="D26" s="62">
        <f>'[1]Formula Weights'!$B$18*('[1]16-17 Apportionments Data'!E26+'[1]16-17 Apportionments Data'!H26+'[1]16-17 Apportionments Data'!K26)</f>
        <v>412.66701490895997</v>
      </c>
      <c r="E26" s="62">
        <f>'[1]16-17 Apportionments Data'!T26</f>
        <v>4747788</v>
      </c>
      <c r="F26" s="62">
        <f>-'[1]Formula Weights'!$B$16*('[1]16-17 Apportionments Data'!F26)+-'[1]Formula Weights'!$B$17*('[1]16-17 Apportionments Data'!G26)+-'[1]Formula Weights'!$B$18*('[1]16-17 Apportionments Data'!H26)</f>
        <v>0</v>
      </c>
      <c r="G26" s="62">
        <f>'[1]Formula Weights'!$B$20*('[1]15-16 BOG (datamart)'!B29)</f>
        <v>3319056.6525885519</v>
      </c>
      <c r="H26" s="62">
        <f>'[1]Formula Weights'!$B$20*(IF('[1]15-16 BOG (datamart)'!B29&gt;'[1]14-15 BOG (datamart)'!B29,0,'[1]14-15 BOG (datamart)'!B29-'[1]15-16 BOG (datamart)'!B29))</f>
        <v>478147.62504723971</v>
      </c>
      <c r="I26" s="62">
        <f>'[1]Formula Weights'!$B$21*([1]PELL!D98)</f>
        <v>99413.391005600002</v>
      </c>
      <c r="J26" s="62">
        <f>IF(I26&gt;('[1]Formula Weights'!$B$21*[1]PELL!D26),0,'[1]Formula Weights'!$B$21*[1]PELL!D26-I26)</f>
        <v>119701.83814960001</v>
      </c>
      <c r="K26" s="62">
        <f>'[1]Formula Weights'!$B$22*('[1]15-16 Program Awards (Datamart)'!B29)</f>
        <v>1856798.6826188802</v>
      </c>
      <c r="L26" s="62">
        <f>'[1]Formula Weights'!$B$22*(IF('[1]15-16 Program Awards (Datamart)'!B29&gt;'[1]14-15 Program Awards (Datamart)'!B29,0,'[1]14-15 Program Awards (Datamart)'!B29-'[1]15-16 Program Awards (Datamart)'!B29))</f>
        <v>0</v>
      </c>
      <c r="M26" s="62">
        <f>'[1]Formula Weights'!$B$23*[1]COMPLETION_RATE_2_3!D26</f>
        <v>384090.73710663599</v>
      </c>
      <c r="N26" s="150"/>
      <c r="O26" s="62">
        <f>'[1]Formula Weights'!$B$24*(IF('[1]15-16 ADTS Awarded (datamart)'!B29&gt;'[1]16-17 ADTS Awarded (datamart)'!B29,'[1]15-16 ADTS Awarded (datamart)'!B29,'[1]16-17 ADTS Awarded (datamart)'!B29))</f>
        <v>366708.61001601402</v>
      </c>
      <c r="P26" s="62">
        <f>'[1]Formula Weights'!$B$24*(IF('[1]15-16 ADTS Awarded (datamart)'!B29&gt;'[1]14-15 ADTS Awarded (datamart)'!B29,0,'[1]14-15 ADTS Awarded (datamart)'!B29-'[1]15-16 ADTS Awarded (datamart)'!B29))</f>
        <v>5584.3950763860003</v>
      </c>
      <c r="Q26" s="151">
        <f t="shared" si="0"/>
        <v>15206891.048387969</v>
      </c>
    </row>
    <row r="27" spans="1:17" x14ac:dyDescent="0.2">
      <c r="A27" t="str">
        <f>'[1]15-16 Apportionments Data'!A27</f>
        <v>LONG BEACH COMMUNITY COLLEGE DISTRICT</v>
      </c>
      <c r="B27" s="62">
        <f>'[1]Formula Weights'!$B$16*('[1]16-17 Apportionments Data'!C27+'[1]16-17 Apportionments Data'!I27+'[1]16-17 Apportionments Data'!F27)</f>
        <v>46382832.512010925</v>
      </c>
      <c r="C27" s="62">
        <f>'[1]Formula Weights'!$B$17*('[1]16-17 Apportionments Data'!D27+'[1]16-17 Apportionments Data'!G27+'[1]16-17 Apportionments Data'!J27)</f>
        <v>170363.41679790182</v>
      </c>
      <c r="D27" s="62">
        <f>'[1]Formula Weights'!$B$18*('[1]16-17 Apportionments Data'!E27+'[1]16-17 Apportionments Data'!H27+'[1]16-17 Apportionments Data'!K27)</f>
        <v>964861.33274769399</v>
      </c>
      <c r="E27" s="62">
        <f>'[1]16-17 Apportionments Data'!T27</f>
        <v>7204193</v>
      </c>
      <c r="F27" s="62">
        <f>-'[1]Formula Weights'!$B$16*('[1]16-17 Apportionments Data'!F27)+-'[1]Formula Weights'!$B$17*('[1]16-17 Apportionments Data'!G27)+-'[1]Formula Weights'!$B$18*('[1]16-17 Apportionments Data'!H27)</f>
        <v>0</v>
      </c>
      <c r="G27" s="62">
        <f>'[1]Formula Weights'!$B$20*('[1]15-16 BOG (datamart)'!B30)</f>
        <v>27067479.253006641</v>
      </c>
      <c r="H27" s="62">
        <f>'[1]Formula Weights'!$B$20*(IF('[1]15-16 BOG (datamart)'!B30&gt;'[1]14-15 BOG (datamart)'!B30,0,'[1]14-15 BOG (datamart)'!B30-'[1]15-16 BOG (datamart)'!B30))</f>
        <v>1051670.441260817</v>
      </c>
      <c r="I27" s="62">
        <f>'[1]Formula Weights'!$B$21*([1]PELL!D99)</f>
        <v>3820314.5972152003</v>
      </c>
      <c r="J27" s="62">
        <f>IF(I27&gt;('[1]Formula Weights'!$B$21*[1]PELL!D27),0,'[1]Formula Weights'!$B$21*[1]PELL!D27-I27)</f>
        <v>882547.45076399995</v>
      </c>
      <c r="K27" s="62">
        <f>'[1]Formula Weights'!$B$22*('[1]15-16 Program Awards (Datamart)'!B30)</f>
        <v>9711268.1099470407</v>
      </c>
      <c r="L27" s="62">
        <f>'[1]Formula Weights'!$B$22*(IF('[1]15-16 Program Awards (Datamart)'!B30&gt;'[1]14-15 Program Awards (Datamart)'!B30,0,'[1]14-15 Program Awards (Datamart)'!B30-'[1]15-16 Program Awards (Datamart)'!B30))</f>
        <v>0</v>
      </c>
      <c r="M27" s="62">
        <f>'[1]Formula Weights'!$B$23*[1]COMPLETION_RATE_2_3!D27</f>
        <v>4084774.50573724</v>
      </c>
      <c r="N27" s="150"/>
      <c r="O27" s="62">
        <f>'[1]Formula Weights'!$B$24*(IF('[1]15-16 ADTS Awarded (datamart)'!B30&gt;'[1]16-17 ADTS Awarded (datamart)'!B30,'[1]15-16 ADTS Awarded (datamart)'!B30,'[1]16-17 ADTS Awarded (datamart)'!B30))</f>
        <v>536101.927333056</v>
      </c>
      <c r="P27" s="62">
        <f>'[1]Formula Weights'!$B$24*(IF('[1]15-16 ADTS Awarded (datamart)'!B30&gt;'[1]14-15 ADTS Awarded (datamart)'!B30,0,'[1]14-15 ADTS Awarded (datamart)'!B30-'[1]15-16 ADTS Awarded (datamart)'!B30))</f>
        <v>0</v>
      </c>
      <c r="Q27" s="151">
        <f t="shared" si="0"/>
        <v>101876406.54682052</v>
      </c>
    </row>
    <row r="28" spans="1:17" x14ac:dyDescent="0.2">
      <c r="A28" t="str">
        <f>'[1]15-16 Apportionments Data'!A28</f>
        <v>LOS ANGELES COMMUNITY COLLEGE DISTRICT</v>
      </c>
      <c r="B28" s="62">
        <f>'[1]Formula Weights'!$B$16*('[1]16-17 Apportionments Data'!C28+'[1]16-17 Apportionments Data'!I28+'[1]16-17 Apportionments Data'!F28)</f>
        <v>231451631.6141775</v>
      </c>
      <c r="C28" s="62">
        <f>'[1]Formula Weights'!$B$17*('[1]16-17 Apportionments Data'!D28+'[1]16-17 Apportionments Data'!G28+'[1]16-17 Apportionments Data'!J28)</f>
        <v>2721018.6362249949</v>
      </c>
      <c r="D28" s="62">
        <f>'[1]Formula Weights'!$B$18*('[1]16-17 Apportionments Data'!E28+'[1]16-17 Apportionments Data'!H28+'[1]16-17 Apportionments Data'!K28)</f>
        <v>10747018.291438228</v>
      </c>
      <c r="E28" s="62">
        <f>'[1]16-17 Apportionments Data'!T28</f>
        <v>36020963</v>
      </c>
      <c r="F28" s="62">
        <f>-'[1]Formula Weights'!$B$16*('[1]16-17 Apportionments Data'!F28)+-'[1]Formula Weights'!$B$17*('[1]16-17 Apportionments Data'!G28)+-'[1]Formula Weights'!$B$18*('[1]16-17 Apportionments Data'!H28)</f>
        <v>0</v>
      </c>
      <c r="G28" s="62">
        <f>'[1]Formula Weights'!$B$20*('[1]15-16 BOG (datamart)'!B31)</f>
        <v>139331709.27107942</v>
      </c>
      <c r="H28" s="62">
        <f>'[1]Formula Weights'!$B$20*(IF('[1]15-16 BOG (datamart)'!B31&gt;'[1]14-15 BOG (datamart)'!B31,0,'[1]14-15 BOG (datamart)'!B31-'[1]15-16 BOG (datamart)'!B31))</f>
        <v>3723447.4631338241</v>
      </c>
      <c r="I28" s="62">
        <f>'[1]Formula Weights'!$B$21*([1]PELL!D100)</f>
        <v>11495434.151790401</v>
      </c>
      <c r="J28" s="62">
        <f>IF(I28&gt;('[1]Formula Weights'!$B$21*[1]PELL!D28),0,'[1]Formula Weights'!$B$21*[1]PELL!D28-I28)</f>
        <v>4765756.2341256011</v>
      </c>
      <c r="K28" s="62">
        <f>'[1]Formula Weights'!$B$22*('[1]15-16 Program Awards (Datamart)'!B31)</f>
        <v>106697349.29923889</v>
      </c>
      <c r="L28" s="62">
        <f>'[1]Formula Weights'!$B$22*(IF('[1]15-16 Program Awards (Datamart)'!B31&gt;'[1]14-15 Program Awards (Datamart)'!B31,0,'[1]14-15 Program Awards (Datamart)'!B31-'[1]15-16 Program Awards (Datamart)'!B31))</f>
        <v>0</v>
      </c>
      <c r="M28" s="62">
        <f>'[1]Formula Weights'!$B$23*[1]COMPLETION_RATE_2_3!D28</f>
        <v>19411823.919802047</v>
      </c>
      <c r="N28" s="150"/>
      <c r="O28" s="62">
        <f>'[1]Formula Weights'!$B$24*(IF('[1]15-16 ADTS Awarded (datamart)'!B31&gt;'[1]16-17 ADTS Awarded (datamart)'!B31,'[1]15-16 ADTS Awarded (datamart)'!B31,'[1]16-17 ADTS Awarded (datamart)'!B31))</f>
        <v>1424951.476991161</v>
      </c>
      <c r="P28" s="62">
        <f>'[1]Formula Weights'!$B$24*(IF('[1]15-16 ADTS Awarded (datamart)'!B31&gt;'[1]14-15 ADTS Awarded (datamart)'!B31,0,'[1]14-15 ADTS Awarded (datamart)'!B31-'[1]15-16 ADTS Awarded (datamart)'!B31))</f>
        <v>0</v>
      </c>
      <c r="Q28" s="151">
        <f t="shared" si="0"/>
        <v>567791103.35800207</v>
      </c>
    </row>
    <row r="29" spans="1:17" x14ac:dyDescent="0.2">
      <c r="A29" t="str">
        <f>'[1]15-16 Apportionments Data'!A29</f>
        <v>LOS RIOS COMMUNITY COLLEGE DISTRICT</v>
      </c>
      <c r="B29" s="62">
        <f>'[1]Formula Weights'!$B$16*('[1]16-17 Apportionments Data'!C29+'[1]16-17 Apportionments Data'!I29+'[1]16-17 Apportionments Data'!F29)</f>
        <v>119743702.34585927</v>
      </c>
      <c r="C29" s="62">
        <f>'[1]Formula Weights'!$B$17*('[1]16-17 Apportionments Data'!D29+'[1]16-17 Apportionments Data'!G29+'[1]16-17 Apportionments Data'!J29)</f>
        <v>342534.03426359047</v>
      </c>
      <c r="D29" s="62">
        <f>'[1]Formula Weights'!$B$18*('[1]16-17 Apportionments Data'!E29+'[1]16-17 Apportionments Data'!H29+'[1]16-17 Apportionments Data'!K29)</f>
        <v>0</v>
      </c>
      <c r="E29" s="62">
        <f>'[1]16-17 Apportionments Data'!T29</f>
        <v>22813278</v>
      </c>
      <c r="F29" s="62">
        <f>-'[1]Formula Weights'!$B$16*('[1]16-17 Apportionments Data'!F29)+-'[1]Formula Weights'!$B$17*('[1]16-17 Apportionments Data'!G29)+-'[1]Formula Weights'!$B$18*('[1]16-17 Apportionments Data'!H29)</f>
        <v>0</v>
      </c>
      <c r="G29" s="62">
        <f>'[1]Formula Weights'!$B$20*('[1]15-16 BOG (datamart)'!B32)</f>
        <v>75560041.449619383</v>
      </c>
      <c r="H29" s="62">
        <f>'[1]Formula Weights'!$B$20*(IF('[1]15-16 BOG (datamart)'!B32&gt;'[1]14-15 BOG (datamart)'!B32,0,'[1]14-15 BOG (datamart)'!B32-'[1]15-16 BOG (datamart)'!B32))</f>
        <v>2539523.4234556854</v>
      </c>
      <c r="I29" s="62">
        <f>'[1]Formula Weights'!$B$21*([1]PELL!D101)</f>
        <v>6455783.8812208008</v>
      </c>
      <c r="J29" s="62">
        <f>IF(I29&gt;('[1]Formula Weights'!$B$21*[1]PELL!D29),0,'[1]Formula Weights'!$B$21*[1]PELL!D29-I29)</f>
        <v>1746835.2990983995</v>
      </c>
      <c r="K29" s="62">
        <f>'[1]Formula Weights'!$B$22*('[1]15-16 Program Awards (Datamart)'!B32)</f>
        <v>57439434.247264169</v>
      </c>
      <c r="L29" s="62">
        <f>'[1]Formula Weights'!$B$22*(IF('[1]15-16 Program Awards (Datamart)'!B32&gt;'[1]14-15 Program Awards (Datamart)'!B32,0,'[1]14-15 Program Awards (Datamart)'!B32-'[1]15-16 Program Awards (Datamart)'!B32))</f>
        <v>0</v>
      </c>
      <c r="M29" s="62">
        <f>'[1]Formula Weights'!$B$23*[1]COMPLETION_RATE_2_3!D29</f>
        <v>15613593.297303092</v>
      </c>
      <c r="N29" s="150"/>
      <c r="O29" s="62">
        <f>'[1]Formula Weights'!$B$24*(IF('[1]15-16 ADTS Awarded (datamart)'!B32&gt;'[1]16-17 ADTS Awarded (datamart)'!B32,'[1]15-16 ADTS Awarded (datamart)'!B32,'[1]16-17 ADTS Awarded (datamart)'!B32))</f>
        <v>1235082.044394037</v>
      </c>
      <c r="P29" s="62">
        <f>'[1]Formula Weights'!$B$24*(IF('[1]15-16 ADTS Awarded (datamart)'!B32&gt;'[1]14-15 ADTS Awarded (datamart)'!B32,0,'[1]14-15 ADTS Awarded (datamart)'!B32-'[1]15-16 ADTS Awarded (datamart)'!B32))</f>
        <v>0</v>
      </c>
      <c r="Q29" s="151">
        <f t="shared" si="0"/>
        <v>303489808.0224784</v>
      </c>
    </row>
    <row r="30" spans="1:17" x14ac:dyDescent="0.2">
      <c r="A30" s="152" t="str">
        <f>'[1]15-16 Apportionments Data'!A30</f>
        <v>MARIN COMMUNITY COLLEGE DISTRICT</v>
      </c>
      <c r="B30" s="62">
        <f>'[1]Formula Weights'!F16*('[1]16-17 Apportionments Data'!C30+'[1]16-17 Apportionments Data'!I30+'[1]16-17 Apportionments Data'!F30)</f>
        <v>9044021.8655762058</v>
      </c>
      <c r="C30" s="62">
        <f>'[1]Formula Weights'!$B$17*('[1]16-17 Apportionments Data'!D30+'[1]16-17 Apportionments Data'!G30+'[1]16-17 Apportionments Data'!J30)</f>
        <v>360272.40389509784</v>
      </c>
      <c r="D30" s="62">
        <f>'[1]Formula Weights'!$B$18*('[1]16-17 Apportionments Data'!E30+'[1]16-17 Apportionments Data'!H30+'[1]16-17 Apportionments Data'!K30)</f>
        <v>0</v>
      </c>
      <c r="E30" s="62">
        <f>'[1]16-17 Apportionments Data'!T30</f>
        <v>3602096</v>
      </c>
      <c r="F30" s="62">
        <f>-'[1]Formula Weights'!F16*('[1]16-17 Apportionments Data'!F30)+-'[1]Formula Weights'!$B$17*('[1]16-17 Apportionments Data'!G30)+-'[1]Formula Weights'!$B$18*('[1]16-17 Apportionments Data'!H30)</f>
        <v>198245.14542769006</v>
      </c>
      <c r="G30" s="62">
        <f>'[1]Formula Weights'!$B$20*('[1]15-16 BOG (datamart)'!B33)</f>
        <v>3308883.2988641425</v>
      </c>
      <c r="H30" s="62">
        <f>'[1]Formula Weights'!$B$20*(IF('[1]15-16 BOG (datamart)'!B33&gt;'[1]14-15 BOG (datamart)'!B33,0,'[1]14-15 BOG (datamart)'!B33-'[1]15-16 BOG (datamart)'!B33))</f>
        <v>752828.17560629232</v>
      </c>
      <c r="I30" s="62">
        <f>'[1]Formula Weights'!$B$21*([1]PELL!D102)</f>
        <v>188682.55843920002</v>
      </c>
      <c r="J30" s="62">
        <f>IF(I30&gt;('[1]Formula Weights'!$B$21*[1]PELL!D30),0,'[1]Formula Weights'!$B$21*[1]PELL!D30-I30)</f>
        <v>127817.21700720003</v>
      </c>
      <c r="K30" s="62">
        <f>'[1]Formula Weights'!$B$22*('[1]15-16 Program Awards (Datamart)'!B33)</f>
        <v>2204948.4356099204</v>
      </c>
      <c r="L30" s="62">
        <f>'[1]Formula Weights'!$B$22*(IF('[1]15-16 Program Awards (Datamart)'!B33&gt;'[1]14-15 Program Awards (Datamart)'!B33,0,'[1]14-15 Program Awards (Datamart)'!B33-'[1]15-16 Program Awards (Datamart)'!B33))</f>
        <v>0</v>
      </c>
      <c r="M30" s="62">
        <f>'[1]Formula Weights'!$B$23*[1]COMPLETION_RATE_2_3!D30</f>
        <v>810858.22278067598</v>
      </c>
      <c r="N30" s="150"/>
      <c r="O30" s="62">
        <f>'[1]Formula Weights'!$B$24*(IF('[1]15-16 ADTS Awarded (datamart)'!B33&gt;'[1]16-17 ADTS Awarded (datamart)'!B33,'[1]15-16 ADTS Awarded (datamart)'!B33,'[1]16-17 ADTS Awarded (datamart)'!B33))</f>
        <v>89350.321222176004</v>
      </c>
      <c r="P30" s="62">
        <f>'[1]Formula Weights'!$B$24*(IF('[1]15-16 ADTS Awarded (datamart)'!B33&gt;'[1]14-15 ADTS Awarded (datamart)'!B33,0,'[1]14-15 ADTS Awarded (datamart)'!B33-'[1]15-16 ADTS Awarded (datamart)'!B33))</f>
        <v>0</v>
      </c>
      <c r="Q30" s="151">
        <f t="shared" si="0"/>
        <v>20688003.644428603</v>
      </c>
    </row>
    <row r="31" spans="1:17" x14ac:dyDescent="0.2">
      <c r="A31" t="str">
        <f>'[1]15-16 Apportionments Data'!A31</f>
        <v>MENDOCINO-LAKE COMMUNITY COLLEGE DISTRICT</v>
      </c>
      <c r="B31" s="62">
        <f>'[1]Formula Weights'!$B$16*('[1]16-17 Apportionments Data'!C31+'[1]16-17 Apportionments Data'!I31+'[1]16-17 Apportionments Data'!F31)</f>
        <v>6909283.8306207182</v>
      </c>
      <c r="C31" s="62">
        <f>'[1]Formula Weights'!$B$17*('[1]16-17 Apportionments Data'!D31+'[1]16-17 Apportionments Data'!G31+'[1]16-17 Apportionments Data'!J31)</f>
        <v>59081.560293030008</v>
      </c>
      <c r="D31" s="62">
        <f>'[1]Formula Weights'!$B$18*('[1]16-17 Apportionments Data'!E31+'[1]16-17 Apportionments Data'!H31+'[1]16-17 Apportionments Data'!K31)</f>
        <v>83106.551613610005</v>
      </c>
      <c r="E31" s="62">
        <f>'[1]16-17 Apportionments Data'!T31</f>
        <v>5348138</v>
      </c>
      <c r="F31" s="62">
        <f>-'[1]Formula Weights'!$B$16*('[1]16-17 Apportionments Data'!F31)+-'[1]Formula Weights'!$B$17*('[1]16-17 Apportionments Data'!G31)+-'[1]Formula Weights'!$B$18*('[1]16-17 Apportionments Data'!H31)</f>
        <v>0</v>
      </c>
      <c r="G31" s="62">
        <f>'[1]Formula Weights'!$B$20*('[1]15-16 BOG (datamart)'!B34)</f>
        <v>4284253.58719189</v>
      </c>
      <c r="H31" s="62">
        <f>'[1]Formula Weights'!$B$20*(IF('[1]15-16 BOG (datamart)'!B34&gt;'[1]14-15 BOG (datamart)'!B34,0,'[1]14-15 BOG (datamart)'!B34-'[1]15-16 BOG (datamart)'!B34))</f>
        <v>41965.08411318859</v>
      </c>
      <c r="I31" s="62">
        <f>'[1]Formula Weights'!$B$21*([1]PELL!D103)</f>
        <v>326643.99901840003</v>
      </c>
      <c r="J31" s="62">
        <f>IF(I31&gt;('[1]Formula Weights'!$B$21*[1]PELL!D31),0,'[1]Formula Weights'!$B$21*[1]PELL!D31-I31)</f>
        <v>156221.04300880001</v>
      </c>
      <c r="K31" s="62">
        <f>'[1]Formula Weights'!$B$22*('[1]15-16 Program Awards (Datamart)'!B34)</f>
        <v>2046698.5478867202</v>
      </c>
      <c r="L31" s="62">
        <f>'[1]Formula Weights'!$B$22*(IF('[1]15-16 Program Awards (Datamart)'!B34&gt;'[1]14-15 Program Awards (Datamart)'!B34,0,'[1]14-15 Program Awards (Datamart)'!B34-'[1]15-16 Program Awards (Datamart)'!B34))</f>
        <v>0</v>
      </c>
      <c r="M31" s="62">
        <f>'[1]Formula Weights'!$B$23*[1]COMPLETION_RATE_2_3!D31</f>
        <v>682827.977078464</v>
      </c>
      <c r="N31" s="150"/>
      <c r="O31" s="62">
        <f>'[1]Formula Weights'!$B$24*(IF('[1]15-16 ADTS Awarded (datamart)'!B34&gt;'[1]16-17 ADTS Awarded (datamart)'!B34,'[1]15-16 ADTS Awarded (datamart)'!B34,'[1]16-17 ADTS Awarded (datamart)'!B34))</f>
        <v>72597.135993018004</v>
      </c>
      <c r="P31" s="62">
        <f>'[1]Formula Weights'!$B$24*(IF('[1]15-16 ADTS Awarded (datamart)'!B34&gt;'[1]14-15 ADTS Awarded (datamart)'!B34,0,'[1]14-15 ADTS Awarded (datamart)'!B34-'[1]15-16 ADTS Awarded (datamart)'!B34))</f>
        <v>0</v>
      </c>
      <c r="Q31" s="151">
        <f t="shared" si="0"/>
        <v>20010817.316817842</v>
      </c>
    </row>
    <row r="32" spans="1:17" x14ac:dyDescent="0.2">
      <c r="A32" t="str">
        <f>'[1]15-16 Apportionments Data'!A32</f>
        <v>MERCED COMMUNITY COLLEGE DISTRICT</v>
      </c>
      <c r="B32" s="62">
        <f>'[1]Formula Weights'!$B$16*('[1]16-17 Apportionments Data'!C32+'[1]16-17 Apportionments Data'!I32+'[1]16-17 Apportionments Data'!F32)</f>
        <v>19779657.321327724</v>
      </c>
      <c r="C32" s="62">
        <f>'[1]Formula Weights'!$B$17*('[1]16-17 Apportionments Data'!D32+'[1]16-17 Apportionments Data'!G32+'[1]16-17 Apportionments Data'!J32)</f>
        <v>500886.51739250921</v>
      </c>
      <c r="D32" s="62">
        <f>'[1]Formula Weights'!$B$18*('[1]16-17 Apportionments Data'!E32+'[1]16-17 Apportionments Data'!H32+'[1]16-17 Apportionments Data'!K32)</f>
        <v>1290639.0150730452</v>
      </c>
      <c r="E32" s="62">
        <f>'[1]16-17 Apportionments Data'!T32</f>
        <v>6003494</v>
      </c>
      <c r="F32" s="62">
        <f>-'[1]Formula Weights'!$B$16*('[1]16-17 Apportionments Data'!F32)+-'[1]Formula Weights'!$B$17*('[1]16-17 Apportionments Data'!G32)+-'[1]Formula Weights'!$B$18*('[1]16-17 Apportionments Data'!H32)</f>
        <v>0</v>
      </c>
      <c r="G32" s="62">
        <f>'[1]Formula Weights'!$B$20*('[1]15-16 BOG (datamart)'!B35)</f>
        <v>12154614.362238077</v>
      </c>
      <c r="H32" s="62">
        <f>'[1]Formula Weights'!$B$20*(IF('[1]15-16 BOG (datamart)'!B35&gt;'[1]14-15 BOG (datamart)'!B35,0,'[1]14-15 BOG (datamart)'!B35-'[1]15-16 BOG (datamart)'!B35))</f>
        <v>0</v>
      </c>
      <c r="I32" s="62">
        <f>'[1]Formula Weights'!$B$21*([1]PELL!D104)</f>
        <v>2051162.0062584002</v>
      </c>
      <c r="J32" s="62">
        <f>IF(I32&gt;('[1]Formula Weights'!$B$21*[1]PELL!D32),0,'[1]Formula Weights'!$B$21*[1]PELL!D32-I32)</f>
        <v>328672.84373279987</v>
      </c>
      <c r="K32" s="62">
        <f>'[1]Formula Weights'!$B$22*('[1]15-16 Program Awards (Datamart)'!B35)</f>
        <v>7390269.7566734413</v>
      </c>
      <c r="L32" s="62">
        <f>'[1]Formula Weights'!$B$22*(IF('[1]15-16 Program Awards (Datamart)'!B35&gt;'[1]14-15 Program Awards (Datamart)'!B35,0,'[1]14-15 Program Awards (Datamart)'!B35-'[1]15-16 Program Awards (Datamart)'!B35))</f>
        <v>0</v>
      </c>
      <c r="M32" s="62">
        <f>'[1]Formula Weights'!$B$23*[1]COMPLETION_RATE_2_3!D32</f>
        <v>2383801.2414078522</v>
      </c>
      <c r="N32" s="150"/>
      <c r="O32" s="62">
        <f>'[1]Formula Weights'!$B$24*(IF('[1]15-16 ADTS Awarded (datamart)'!B35&gt;'[1]16-17 ADTS Awarded (datamart)'!B35,'[1]15-16 ADTS Awarded (datamart)'!B35,'[1]16-17 ADTS Awarded (datamart)'!B35))</f>
        <v>843243.65653428598</v>
      </c>
      <c r="P32" s="62">
        <f>'[1]Formula Weights'!$B$24*(IF('[1]15-16 ADTS Awarded (datamart)'!B35&gt;'[1]14-15 ADTS Awarded (datamart)'!B35,0,'[1]14-15 ADTS Awarded (datamart)'!B35-'[1]15-16 ADTS Awarded (datamart)'!B35))</f>
        <v>0</v>
      </c>
      <c r="Q32" s="151">
        <f t="shared" si="0"/>
        <v>52726440.720638126</v>
      </c>
    </row>
    <row r="33" spans="1:17" x14ac:dyDescent="0.2">
      <c r="A33" s="152" t="str">
        <f>'[1]15-16 Apportionments Data'!A33</f>
        <v>MIRACOSTA COMMUNITY COLLEGE DISTRICT</v>
      </c>
      <c r="B33" s="62">
        <f>'[1]Formula Weights'!G16*('[1]16-17 Apportionments Data'!C33+'[1]16-17 Apportionments Data'!I33+'[1]16-17 Apportionments Data'!F33)</f>
        <v>22310699.796793364</v>
      </c>
      <c r="C33" s="62">
        <f>'[1]Formula Weights'!$B$17*('[1]16-17 Apportionments Data'!D33+'[1]16-17 Apportionments Data'!G33+'[1]16-17 Apportionments Data'!J33)</f>
        <v>1162155.1432792977</v>
      </c>
      <c r="D33" s="62">
        <f>'[1]Formula Weights'!$B$18*('[1]16-17 Apportionments Data'!E33+'[1]16-17 Apportionments Data'!H33+'[1]16-17 Apportionments Data'!K33)</f>
        <v>0</v>
      </c>
      <c r="E33" s="62">
        <f>'[1]16-17 Apportionments Data'!T33</f>
        <v>6003494</v>
      </c>
      <c r="F33" s="62">
        <f>-'[1]Formula Weights'!G16*('[1]16-17 Apportionments Data'!F33)+-'[1]Formula Weights'!$B$17*('[1]16-17 Apportionments Data'!G33)+-'[1]Formula Weights'!$B$18*('[1]16-17 Apportionments Data'!H33)</f>
        <v>1987211.1551908979</v>
      </c>
      <c r="G33" s="62">
        <f>'[1]Formula Weights'!$B$20*('[1]15-16 BOG (datamart)'!B36)</f>
        <v>12641663.671794174</v>
      </c>
      <c r="H33" s="62">
        <f>'[1]Formula Weights'!$B$20*(IF('[1]15-16 BOG (datamart)'!B36&gt;'[1]14-15 BOG (datamart)'!B36,0,'[1]14-15 BOG (datamart)'!B36-'[1]15-16 BOG (datamart)'!B36))</f>
        <v>0</v>
      </c>
      <c r="I33" s="62">
        <f>'[1]Formula Weights'!$B$21*([1]PELL!D105)</f>
        <v>1341066.3562184002</v>
      </c>
      <c r="J33" s="62">
        <f>IF(I33&gt;('[1]Formula Weights'!$B$21*[1]PELL!D33),0,'[1]Formula Weights'!$B$21*[1]PELL!D33-I33)</f>
        <v>369249.73802080005</v>
      </c>
      <c r="K33" s="62">
        <f>'[1]Formula Weights'!$B$22*('[1]15-16 Program Awards (Datamart)'!B36)</f>
        <v>17444412.623354081</v>
      </c>
      <c r="L33" s="62">
        <f>'[1]Formula Weights'!$B$22*(IF('[1]15-16 Program Awards (Datamart)'!B36&gt;'[1]14-15 Program Awards (Datamart)'!B36,0,'[1]14-15 Program Awards (Datamart)'!B36-'[1]15-16 Program Awards (Datamart)'!B36))</f>
        <v>0</v>
      </c>
      <c r="M33" s="62">
        <f>'[1]Formula Weights'!$B$23*[1]COMPLETION_RATE_2_3!D33</f>
        <v>4566412.0967122279</v>
      </c>
      <c r="N33" s="150"/>
      <c r="O33" s="62">
        <f>'[1]Formula Weights'!$B$24*(IF('[1]15-16 ADTS Awarded (datamart)'!B36&gt;'[1]16-17 ADTS Awarded (datamart)'!B36,'[1]15-16 ADTS Awarded (datamart)'!B36,'[1]16-17 ADTS Awarded (datamart)'!B36))</f>
        <v>867442.70186529204</v>
      </c>
      <c r="P33" s="62">
        <f>'[1]Formula Weights'!$B$24*(IF('[1]15-16 ADTS Awarded (datamart)'!B36&gt;'[1]14-15 ADTS Awarded (datamart)'!B36,0,'[1]14-15 ADTS Awarded (datamart)'!B36-'[1]15-16 ADTS Awarded (datamart)'!B36))</f>
        <v>0</v>
      </c>
      <c r="Q33" s="151">
        <f t="shared" si="0"/>
        <v>68693807.283228531</v>
      </c>
    </row>
    <row r="34" spans="1:17" x14ac:dyDescent="0.2">
      <c r="A34" t="str">
        <f>'[1]15-16 Apportionments Data'!A34</f>
        <v>MONTEREY PENINSULA COMMUNITY COLLEGE DISTRICT</v>
      </c>
      <c r="B34" s="62">
        <f>'[1]Formula Weights'!$B$16*('[1]16-17 Apportionments Data'!C34+'[1]16-17 Apportionments Data'!I34+'[1]16-17 Apportionments Data'!F34)</f>
        <v>14351137.369926719</v>
      </c>
      <c r="C34" s="62">
        <f>'[1]Formula Weights'!$B$17*('[1]16-17 Apportionments Data'!D34+'[1]16-17 Apportionments Data'!G34+'[1]16-17 Apportionments Data'!J34)</f>
        <v>490585.47358612443</v>
      </c>
      <c r="D34" s="62">
        <f>'[1]Formula Weights'!$B$18*('[1]16-17 Apportionments Data'!E34+'[1]16-17 Apportionments Data'!H34+'[1]16-17 Apportionments Data'!K34)</f>
        <v>201771.24434520875</v>
      </c>
      <c r="E34" s="62">
        <f>'[1]16-17 Apportionments Data'!T34</f>
        <v>3902271</v>
      </c>
      <c r="F34" s="62">
        <f>-'[1]Formula Weights'!$B$16*('[1]16-17 Apportionments Data'!F34)+-'[1]Formula Weights'!$B$17*('[1]16-17 Apportionments Data'!G34)+-'[1]Formula Weights'!$B$18*('[1]16-17 Apportionments Data'!H34)</f>
        <v>0</v>
      </c>
      <c r="G34" s="62">
        <f>'[1]Formula Weights'!$B$20*('[1]15-16 BOG (datamart)'!B37)</f>
        <v>5165520.3535688501</v>
      </c>
      <c r="H34" s="62">
        <f>'[1]Formula Weights'!$B$20*(IF('[1]15-16 BOG (datamart)'!B37&gt;'[1]14-15 BOG (datamart)'!B37,0,'[1]14-15 BOG (datamart)'!B37-'[1]15-16 BOG (datamart)'!B37))</f>
        <v>69941.806855314309</v>
      </c>
      <c r="I34" s="62">
        <f>'[1]Formula Weights'!$B$21*([1]PELL!D106)</f>
        <v>568076.52003200003</v>
      </c>
      <c r="J34" s="62">
        <f>IF(I34&gt;('[1]Formula Weights'!$B$21*[1]PELL!D34),0,'[1]Formula Weights'!$B$21*[1]PELL!D34-I34)</f>
        <v>156221.04300880001</v>
      </c>
      <c r="K34" s="62">
        <f>'[1]Formula Weights'!$B$22*('[1]15-16 Program Awards (Datamart)'!B37)</f>
        <v>2832672.9902452803</v>
      </c>
      <c r="L34" s="62">
        <f>'[1]Formula Weights'!$B$22*(IF('[1]15-16 Program Awards (Datamart)'!B37&gt;'[1]14-15 Program Awards (Datamart)'!B37,0,'[1]14-15 Program Awards (Datamart)'!B37-'[1]15-16 Program Awards (Datamart)'!B37))</f>
        <v>675199.52095232008</v>
      </c>
      <c r="M34" s="62">
        <f>'[1]Formula Weights'!$B$23*[1]COMPLETION_RATE_2_3!D34</f>
        <v>1164465.5680534521</v>
      </c>
      <c r="N34" s="150"/>
      <c r="O34" s="62">
        <f>'[1]Formula Weights'!$B$24*(IF('[1]15-16 ADTS Awarded (datamart)'!B37&gt;'[1]16-17 ADTS Awarded (datamart)'!B37,'[1]15-16 ADTS Awarded (datamart)'!B37,'[1]16-17 ADTS Awarded (datamart)'!B37))</f>
        <v>171254.78234250401</v>
      </c>
      <c r="P34" s="62">
        <f>'[1]Formula Weights'!$B$24*(IF('[1]15-16 ADTS Awarded (datamart)'!B37&gt;'[1]14-15 ADTS Awarded (datamart)'!B37,0,'[1]14-15 ADTS Awarded (datamart)'!B37-'[1]15-16 ADTS Awarded (datamart)'!B37))</f>
        <v>0</v>
      </c>
      <c r="Q34" s="151">
        <f t="shared" si="0"/>
        <v>29749117.672916573</v>
      </c>
    </row>
    <row r="35" spans="1:17" x14ac:dyDescent="0.2">
      <c r="A35" t="str">
        <f>'[1]15-16 Apportionments Data'!A35</f>
        <v>MT. SAN ANTONIO COMMUNITY COLLEGE DISTRICT</v>
      </c>
      <c r="B35" s="62">
        <f>'[1]Formula Weights'!$B$16*('[1]16-17 Apportionments Data'!C35+'[1]16-17 Apportionments Data'!I35+'[1]16-17 Apportionments Data'!F35)</f>
        <v>55625014.681693085</v>
      </c>
      <c r="C35" s="62">
        <f>'[1]Formula Weights'!$B$17*('[1]16-17 Apportionments Data'!D35+'[1]16-17 Apportionments Data'!G35+'[1]16-17 Apportionments Data'!J35)</f>
        <v>2204784.8146998961</v>
      </c>
      <c r="D35" s="62">
        <f>'[1]Formula Weights'!$B$18*('[1]16-17 Apportionments Data'!E35+'[1]16-17 Apportionments Data'!H35+'[1]16-17 Apportionments Data'!K35)</f>
        <v>11680998.375903569</v>
      </c>
      <c r="E35" s="62">
        <f>'[1]16-17 Apportionments Data'!T35</f>
        <v>6003494</v>
      </c>
      <c r="F35" s="62">
        <f>-'[1]Formula Weights'!$B$16*('[1]16-17 Apportionments Data'!F35)+-'[1]Formula Weights'!$B$17*('[1]16-17 Apportionments Data'!G35)+-'[1]Formula Weights'!$B$18*('[1]16-17 Apportionments Data'!H35)</f>
        <v>957009.77259349008</v>
      </c>
      <c r="G35" s="62">
        <f>'[1]Formula Weights'!$B$20*('[1]15-16 BOG (datamart)'!B38)</f>
        <v>32942591.028853044</v>
      </c>
      <c r="H35" s="62">
        <f>'[1]Formula Weights'!$B$20*(IF('[1]15-16 BOG (datamart)'!B38&gt;'[1]14-15 BOG (datamart)'!B38,0,'[1]14-15 BOG (datamart)'!B38-'[1]15-16 BOG (datamart)'!B38))</f>
        <v>367512.40329428797</v>
      </c>
      <c r="I35" s="62">
        <f>'[1]Formula Weights'!$B$21*([1]PELL!D107)</f>
        <v>4173333.5775208003</v>
      </c>
      <c r="J35" s="62">
        <f>IF(I35&gt;('[1]Formula Weights'!$B$21*[1]PELL!D35),0,'[1]Formula Weights'!$B$21*[1]PELL!D35-I35)</f>
        <v>1255854.8782135998</v>
      </c>
      <c r="K35" s="62">
        <f>'[1]Formula Weights'!$B$22*('[1]15-16 Program Awards (Datamart)'!B38)</f>
        <v>25351632.013256643</v>
      </c>
      <c r="L35" s="62">
        <f>'[1]Formula Weights'!$B$22*(IF('[1]15-16 Program Awards (Datamart)'!B38&gt;'[1]14-15 Program Awards (Datamart)'!B38,0,'[1]14-15 Program Awards (Datamart)'!B38-'[1]15-16 Program Awards (Datamart)'!B38))</f>
        <v>0</v>
      </c>
      <c r="M35" s="62">
        <f>'[1]Formula Weights'!$B$23*[1]COMPLETION_RATE_2_3!D35</f>
        <v>8529253.0351140276</v>
      </c>
      <c r="N35" s="150"/>
      <c r="O35" s="62">
        <f>'[1]Formula Weights'!$B$24*(IF('[1]15-16 ADTS Awarded (datamart)'!B38&gt;'[1]16-17 ADTS Awarded (datamart)'!B38,'[1]15-16 ADTS Awarded (datamart)'!B38,'[1]16-17 ADTS Awarded (datamart)'!B38))</f>
        <v>397422.78293613699</v>
      </c>
      <c r="P35" s="62">
        <f>'[1]Formula Weights'!$B$24*(IF('[1]15-16 ADTS Awarded (datamart)'!B38&gt;'[1]14-15 ADTS Awarded (datamart)'!B38,0,'[1]14-15 ADTS Awarded (datamart)'!B38-'[1]15-16 ADTS Awarded (datamart)'!B38))</f>
        <v>0</v>
      </c>
      <c r="Q35" s="151">
        <f t="shared" si="0"/>
        <v>149488901.36407855</v>
      </c>
    </row>
    <row r="36" spans="1:17" x14ac:dyDescent="0.2">
      <c r="A36" t="str">
        <f>'[1]15-16 Apportionments Data'!A36</f>
        <v>MT. SAN JACINTO COMMUNITY COLLEGE DISTRICT</v>
      </c>
      <c r="B36" s="62">
        <f>'[1]Formula Weights'!$B$16*('[1]16-17 Apportionments Data'!C36+'[1]16-17 Apportionments Data'!I36+'[1]16-17 Apportionments Data'!F36)</f>
        <v>26851027.585026577</v>
      </c>
      <c r="C36" s="62">
        <f>'[1]Formula Weights'!$B$17*('[1]16-17 Apportionments Data'!D36+'[1]16-17 Apportionments Data'!G36+'[1]16-17 Apportionments Data'!J36)</f>
        <v>239023.14063020187</v>
      </c>
      <c r="D36" s="62">
        <f>'[1]Formula Weights'!$B$18*('[1]16-17 Apportionments Data'!E36+'[1]16-17 Apportionments Data'!H36+'[1]16-17 Apportionments Data'!K36)</f>
        <v>744542.99867685477</v>
      </c>
      <c r="E36" s="62">
        <f>'[1]16-17 Apportionments Data'!T36</f>
        <v>6003494</v>
      </c>
      <c r="F36" s="62">
        <f>-'[1]Formula Weights'!$B$16*('[1]16-17 Apportionments Data'!F36)+-'[1]Formula Weights'!$B$17*('[1]16-17 Apportionments Data'!G36)+-'[1]Formula Weights'!$B$18*('[1]16-17 Apportionments Data'!H36)</f>
        <v>0</v>
      </c>
      <c r="G36" s="62">
        <f>'[1]Formula Weights'!$B$20*('[1]15-16 BOG (datamart)'!B39)</f>
        <v>18154349.721208494</v>
      </c>
      <c r="H36" s="62">
        <f>'[1]Formula Weights'!$B$20*(IF('[1]15-16 BOG (datamart)'!B39&gt;'[1]14-15 BOG (datamart)'!B39,0,'[1]14-15 BOG (datamart)'!B39-'[1]15-16 BOG (datamart)'!B39))</f>
        <v>0</v>
      </c>
      <c r="I36" s="62">
        <f>'[1]Formula Weights'!$B$21*([1]PELL!D108)</f>
        <v>2540113.5824288004</v>
      </c>
      <c r="J36" s="62">
        <f>IF(I36&gt;('[1]Formula Weights'!$B$21*[1]PELL!D36),0,'[1]Formula Weights'!$B$21*[1]PELL!D36-I36)</f>
        <v>432143.92416719999</v>
      </c>
      <c r="K36" s="62">
        <f>'[1]Formula Weights'!$B$22*('[1]15-16 Program Awards (Datamart)'!B39)</f>
        <v>10782092.35020736</v>
      </c>
      <c r="L36" s="62">
        <f>'[1]Formula Weights'!$B$22*(IF('[1]15-16 Program Awards (Datamart)'!B39&gt;'[1]14-15 Program Awards (Datamart)'!B39,0,'[1]14-15 Program Awards (Datamart)'!B39-'[1]15-16 Program Awards (Datamart)'!B39))</f>
        <v>0</v>
      </c>
      <c r="M36" s="62">
        <f>'[1]Formula Weights'!$B$23*[1]COMPLETION_RATE_2_3!D36</f>
        <v>2780085.3352480321</v>
      </c>
      <c r="N36" s="150"/>
      <c r="O36" s="62">
        <f>'[1]Formula Weights'!$B$24*(IF('[1]15-16 ADTS Awarded (datamart)'!B39&gt;'[1]16-17 ADTS Awarded (datamart)'!B39,'[1]15-16 ADTS Awarded (datamart)'!B39,'[1]16-17 ADTS Awarded (datamart)'!B39))</f>
        <v>421621.82826714299</v>
      </c>
      <c r="P36" s="62">
        <f>'[1]Formula Weights'!$B$24*(IF('[1]15-16 ADTS Awarded (datamart)'!B39&gt;'[1]14-15 ADTS Awarded (datamart)'!B39,0,'[1]14-15 ADTS Awarded (datamart)'!B39-'[1]15-16 ADTS Awarded (datamart)'!B39))</f>
        <v>0</v>
      </c>
      <c r="Q36" s="151">
        <f t="shared" si="0"/>
        <v>68948494.465860665</v>
      </c>
    </row>
    <row r="37" spans="1:17" x14ac:dyDescent="0.2">
      <c r="A37" t="str">
        <f>'[1]15-16 Apportionments Data'!A37</f>
        <v>NAPA VALLEY COMMUNITY COLLEGE DISTRICT</v>
      </c>
      <c r="B37" s="62">
        <f>'[1]Formula Weights'!$B$16*('[1]16-17 Apportionments Data'!C37+'[1]16-17 Apportionments Data'!I37+'[1]16-17 Apportionments Data'!F37)</f>
        <v>11316934.364972774</v>
      </c>
      <c r="C37" s="62">
        <f>'[1]Formula Weights'!$B$17*('[1]16-17 Apportionments Data'!D37+'[1]16-17 Apportionments Data'!G37+'[1]16-17 Apportionments Data'!J37)</f>
        <v>656111.15321179701</v>
      </c>
      <c r="D37" s="62">
        <f>'[1]Formula Weights'!$B$18*('[1]16-17 Apportionments Data'!E37+'[1]16-17 Apportionments Data'!H37+'[1]16-17 Apportionments Data'!K37)</f>
        <v>23957.612809992403</v>
      </c>
      <c r="E37" s="62">
        <f>'[1]16-17 Apportionments Data'!T37</f>
        <v>4202445</v>
      </c>
      <c r="F37" s="62">
        <f>-'[1]Formula Weights'!$B$16*('[1]16-17 Apportionments Data'!F37)+-'[1]Formula Weights'!$B$17*('[1]16-17 Apportionments Data'!G37)+-'[1]Formula Weights'!$B$18*('[1]16-17 Apportionments Data'!H37)</f>
        <v>332184.76039232238</v>
      </c>
      <c r="G37" s="62">
        <f>'[1]Formula Weights'!$B$20*('[1]15-16 BOG (datamart)'!B40)</f>
        <v>5859851.7452597888</v>
      </c>
      <c r="H37" s="62">
        <f>'[1]Formula Weights'!$B$20*(IF('[1]15-16 BOG (datamart)'!B40&gt;'[1]14-15 BOG (datamart)'!B40,0,'[1]14-15 BOG (datamart)'!B40-'[1]15-16 BOG (datamart)'!B40))</f>
        <v>239073.81252361985</v>
      </c>
      <c r="I37" s="62">
        <f>'[1]Formula Weights'!$B$21*([1]PELL!D109)</f>
        <v>523441.93631520006</v>
      </c>
      <c r="J37" s="62">
        <f>IF(I37&gt;('[1]Formula Weights'!$B$21*[1]PELL!D37),0,'[1]Formula Weights'!$B$21*[1]PELL!D37-I37)</f>
        <v>204913.3161544</v>
      </c>
      <c r="K37" s="62">
        <f>'[1]Formula Weights'!$B$22*('[1]15-16 Program Awards (Datamart)'!B40)</f>
        <v>5348846.2050441606</v>
      </c>
      <c r="L37" s="62">
        <f>'[1]Formula Weights'!$B$22*(IF('[1]15-16 Program Awards (Datamart)'!B40&gt;'[1]14-15 Program Awards (Datamart)'!B40,0,'[1]14-15 Program Awards (Datamart)'!B40-'[1]15-16 Program Awards (Datamart)'!B40))</f>
        <v>0</v>
      </c>
      <c r="M37" s="62">
        <f>'[1]Formula Weights'!$B$23*[1]COMPLETION_RATE_2_3!D37</f>
        <v>1822906.8316648281</v>
      </c>
      <c r="N37" s="150"/>
      <c r="O37" s="62">
        <f>'[1]Formula Weights'!$B$24*(IF('[1]15-16 ADTS Awarded (datamart)'!B40&gt;'[1]16-17 ADTS Awarded (datamart)'!B40,'[1]15-16 ADTS Awarded (datamart)'!B40,'[1]16-17 ADTS Awarded (datamart)'!B40))</f>
        <v>380669.59770697902</v>
      </c>
      <c r="P37" s="62">
        <f>'[1]Formula Weights'!$B$24*(IF('[1]15-16 ADTS Awarded (datamart)'!B40&gt;'[1]14-15 ADTS Awarded (datamart)'!B40,0,'[1]14-15 ADTS Awarded (datamart)'!B40-'[1]15-16 ADTS Awarded (datamart)'!B40))</f>
        <v>0</v>
      </c>
      <c r="Q37" s="151">
        <f t="shared" si="0"/>
        <v>30911336.336055864</v>
      </c>
    </row>
    <row r="38" spans="1:17" x14ac:dyDescent="0.2">
      <c r="A38" t="str">
        <f>'[1]15-16 Apportionments Data'!A38</f>
        <v>NORTH ORANGE COUNTY COMMUNITY COLLEGE DISTRICT</v>
      </c>
      <c r="B38" s="62">
        <f>'[1]Formula Weights'!$B$16*('[1]16-17 Apportionments Data'!C38+'[1]16-17 Apportionments Data'!I38+'[1]16-17 Apportionments Data'!F38)</f>
        <v>67715149.476933613</v>
      </c>
      <c r="C38" s="62">
        <f>'[1]Formula Weights'!$B$17*('[1]16-17 Apportionments Data'!D38+'[1]16-17 Apportionments Data'!G38+'[1]16-17 Apportionments Data'!J38)</f>
        <v>3543225.4323499976</v>
      </c>
      <c r="D38" s="62">
        <f>'[1]Formula Weights'!$B$18*('[1]16-17 Apportionments Data'!E38+'[1]16-17 Apportionments Data'!H38+'[1]16-17 Apportionments Data'!K38)</f>
        <v>6111346.3054036982</v>
      </c>
      <c r="E38" s="62">
        <f>'[1]16-17 Apportionments Data'!T38</f>
        <v>9605591</v>
      </c>
      <c r="F38" s="62">
        <f>-'[1]Formula Weights'!$B$16*('[1]16-17 Apportionments Data'!F38)+-'[1]Formula Weights'!$B$17*('[1]16-17 Apportionments Data'!G38)+-'[1]Formula Weights'!$B$18*('[1]16-17 Apportionments Data'!H38)</f>
        <v>2325847.6516997865</v>
      </c>
      <c r="G38" s="62">
        <f>'[1]Formula Weights'!$B$20*('[1]15-16 BOG (datamart)'!B41)</f>
        <v>37504068.505035087</v>
      </c>
      <c r="H38" s="62">
        <f>'[1]Formula Weights'!$B$20*(IF('[1]15-16 BOG (datamart)'!B41&gt;'[1]14-15 BOG (datamart)'!B41,0,'[1]14-15 BOG (datamart)'!B41-'[1]15-16 BOG (datamart)'!B41))</f>
        <v>306472.28094783181</v>
      </c>
      <c r="I38" s="62">
        <f>'[1]Formula Weights'!$B$21*([1]PELL!D110)</f>
        <v>4053631.7393712001</v>
      </c>
      <c r="J38" s="62">
        <f>IF(I38&gt;('[1]Formula Weights'!$B$21*[1]PELL!D38),0,'[1]Formula Weights'!$B$21*[1]PELL!D38-I38)</f>
        <v>1048912.7173448</v>
      </c>
      <c r="K38" s="62">
        <f>'[1]Formula Weights'!$B$22*('[1]15-16 Program Awards (Datamart)'!B41)</f>
        <v>24544557.585868321</v>
      </c>
      <c r="L38" s="62">
        <f>'[1]Formula Weights'!$B$22*(IF('[1]15-16 Program Awards (Datamart)'!B41&gt;'[1]14-15 Program Awards (Datamart)'!B41,0,'[1]14-15 Program Awards (Datamart)'!B41-'[1]15-16 Program Awards (Datamart)'!B41))</f>
        <v>0</v>
      </c>
      <c r="M38" s="62">
        <f>'[1]Formula Weights'!$B$23*[1]COMPLETION_RATE_2_3!D38</f>
        <v>10193646.229242785</v>
      </c>
      <c r="N38" s="150"/>
      <c r="O38" s="62">
        <f>'[1]Formula Weights'!$B$24*(IF('[1]15-16 ADTS Awarded (datamart)'!B41&gt;'[1]16-17 ADTS Awarded (datamart)'!B41,'[1]15-16 ADTS Awarded (datamart)'!B41,'[1]16-17 ADTS Awarded (datamart)'!B41))</f>
        <v>1022875.031491369</v>
      </c>
      <c r="P38" s="62">
        <f>'[1]Formula Weights'!$B$24*(IF('[1]15-16 ADTS Awarded (datamart)'!B41&gt;'[1]14-15 ADTS Awarded (datamart)'!B41,0,'[1]14-15 ADTS Awarded (datamart)'!B41-'[1]15-16 ADTS Awarded (datamart)'!B41))</f>
        <v>0</v>
      </c>
      <c r="Q38" s="151">
        <f t="shared" si="0"/>
        <v>167975323.95568848</v>
      </c>
    </row>
    <row r="39" spans="1:17" x14ac:dyDescent="0.2">
      <c r="A39" t="str">
        <f>'[1]15-16 Apportionments Data'!A39</f>
        <v>OHLONE COMMUNITY COLLEGE DISTRICT</v>
      </c>
      <c r="B39" s="62">
        <f>'[1]Formula Weights'!$B$16*('[1]16-17 Apportionments Data'!C39+'[1]16-17 Apportionments Data'!I39+'[1]16-17 Apportionments Data'!F39)</f>
        <v>18662682.341695536</v>
      </c>
      <c r="C39" s="62">
        <f>'[1]Formula Weights'!$B$17*('[1]16-17 Apportionments Data'!D39+'[1]16-17 Apportionments Data'!G39+'[1]16-17 Apportionments Data'!J39)</f>
        <v>0</v>
      </c>
      <c r="D39" s="62">
        <f>'[1]Formula Weights'!$B$18*('[1]16-17 Apportionments Data'!E39+'[1]16-17 Apportionments Data'!H39+'[1]16-17 Apportionments Data'!K39)</f>
        <v>0</v>
      </c>
      <c r="E39" s="62">
        <f>'[1]16-17 Apportionments Data'!T39</f>
        <v>4802795</v>
      </c>
      <c r="F39" s="62">
        <f>-'[1]Formula Weights'!$B$16*('[1]16-17 Apportionments Data'!F39)+-'[1]Formula Weights'!$B$17*('[1]16-17 Apportionments Data'!G39)+-'[1]Formula Weights'!$B$18*('[1]16-17 Apportionments Data'!H39)</f>
        <v>0</v>
      </c>
      <c r="G39" s="62">
        <f>'[1]Formula Weights'!$B$20*('[1]15-16 BOG (datamart)'!B42)</f>
        <v>5583899.525485185</v>
      </c>
      <c r="H39" s="62">
        <f>'[1]Formula Weights'!$B$20*(IF('[1]15-16 BOG (datamart)'!B42&gt;'[1]14-15 BOG (datamart)'!B42,0,'[1]14-15 BOG (datamart)'!B42-'[1]15-16 BOG (datamart)'!B42))</f>
        <v>312830.62702558766</v>
      </c>
      <c r="I39" s="62">
        <f>'[1]Formula Weights'!$B$21*([1]PELL!D111)</f>
        <v>568076.52003200003</v>
      </c>
      <c r="J39" s="62">
        <f>IF(I39&gt;('[1]Formula Weights'!$B$21*[1]PELL!D39),0,'[1]Formula Weights'!$B$21*[1]PELL!D39-I39)</f>
        <v>255634.4340144</v>
      </c>
      <c r="K39" s="62">
        <f>'[1]Formula Weights'!$B$22*('[1]15-16 Program Awards (Datamart)'!B42)</f>
        <v>7617094.5957433609</v>
      </c>
      <c r="L39" s="62">
        <f>'[1]Formula Weights'!$B$22*(IF('[1]15-16 Program Awards (Datamart)'!B42&gt;'[1]14-15 Program Awards (Datamart)'!B42,0,'[1]14-15 Program Awards (Datamart)'!B42-'[1]15-16 Program Awards (Datamart)'!B42))</f>
        <v>0</v>
      </c>
      <c r="M39" s="62">
        <f>'[1]Formula Weights'!$B$23*[1]COMPLETION_RATE_2_3!D39</f>
        <v>3084919.2535866322</v>
      </c>
      <c r="N39" s="150"/>
      <c r="O39" s="62">
        <f>'[1]Formula Weights'!$B$24*(IF('[1]15-16 ADTS Awarded (datamart)'!B42&gt;'[1]16-17 ADTS Awarded (datamart)'!B42,'[1]15-16 ADTS Awarded (datamart)'!B42,'[1]16-17 ADTS Awarded (datamart)'!B42))</f>
        <v>798568.49592319806</v>
      </c>
      <c r="P39" s="62">
        <f>'[1]Formula Weights'!$B$24*(IF('[1]15-16 ADTS Awarded (datamart)'!B42&gt;'[1]14-15 ADTS Awarded (datamart)'!B42,0,'[1]14-15 ADTS Awarded (datamart)'!B42-'[1]15-16 ADTS Awarded (datamart)'!B42))</f>
        <v>0</v>
      </c>
      <c r="Q39" s="151">
        <f t="shared" si="0"/>
        <v>41686500.7935059</v>
      </c>
    </row>
    <row r="40" spans="1:17" x14ac:dyDescent="0.2">
      <c r="A40" t="str">
        <f>'[1]15-16 Apportionments Data'!A40</f>
        <v>PALO VERDE COMMUNITY COLLEGE DISTRICT</v>
      </c>
      <c r="B40" s="62">
        <f>'[1]Formula Weights'!$B$16*('[1]16-17 Apportionments Data'!C40+'[1]16-17 Apportionments Data'!I40+'[1]16-17 Apportionments Data'!F40)</f>
        <v>4510381.6951191146</v>
      </c>
      <c r="C40" s="62">
        <f>'[1]Formula Weights'!$B$17*('[1]16-17 Apportionments Data'!D40+'[1]16-17 Apportionments Data'!G40+'[1]16-17 Apportionments Data'!J40)</f>
        <v>38646.2912034408</v>
      </c>
      <c r="D40" s="62">
        <f>'[1]Formula Weights'!$B$18*('[1]16-17 Apportionments Data'!E40+'[1]16-17 Apportionments Data'!H40+'[1]16-17 Apportionments Data'!K40)</f>
        <v>183247.08056485097</v>
      </c>
      <c r="E40" s="62">
        <f>'[1]16-17 Apportionments Data'!T40</f>
        <v>4897875</v>
      </c>
      <c r="F40" s="62">
        <f>-'[1]Formula Weights'!$B$16*('[1]16-17 Apportionments Data'!F40)+-'[1]Formula Weights'!$B$17*('[1]16-17 Apportionments Data'!G40)+-'[1]Formula Weights'!$B$18*('[1]16-17 Apportionments Data'!H40)</f>
        <v>0</v>
      </c>
      <c r="G40" s="62">
        <f>'[1]Formula Weights'!$B$20*('[1]15-16 BOG (datamart)'!B43)</f>
        <v>3175358.0312312697</v>
      </c>
      <c r="H40" s="62">
        <f>'[1]Formula Weights'!$B$20*(IF('[1]15-16 BOG (datamart)'!B43&gt;'[1]14-15 BOG (datamart)'!B43,0,'[1]14-15 BOG (datamart)'!B43-'[1]15-16 BOG (datamart)'!B43))</f>
        <v>0</v>
      </c>
      <c r="I40" s="62">
        <f>'[1]Formula Weights'!$B$21*([1]PELL!D112)</f>
        <v>91298.012148000009</v>
      </c>
      <c r="J40" s="62">
        <f>IF(I40&gt;('[1]Formula Weights'!$B$21*[1]PELL!D40),0,'[1]Formula Weights'!$B$21*[1]PELL!D40-I40)</f>
        <v>56807.652003199997</v>
      </c>
      <c r="K40" s="62">
        <f>'[1]Formula Weights'!$B$22*('[1]15-16 Program Awards (Datamart)'!B43)</f>
        <v>2347373.3345608003</v>
      </c>
      <c r="L40" s="62">
        <f>'[1]Formula Weights'!$B$22*(IF('[1]15-16 Program Awards (Datamart)'!B43&gt;'[1]14-15 Program Awards (Datamart)'!B43,0,'[1]14-15 Program Awards (Datamart)'!B43-'[1]15-16 Program Awards (Datamart)'!B43))</f>
        <v>0</v>
      </c>
      <c r="M40" s="62">
        <f>'[1]Formula Weights'!$B$23*[1]COMPLETION_RATE_2_3!D40</f>
        <v>115836.888968668</v>
      </c>
      <c r="N40" s="150"/>
      <c r="O40" s="62">
        <f>'[1]Formula Weights'!$B$24*(IF('[1]15-16 ADTS Awarded (datamart)'!B43&gt;'[1]16-17 ADTS Awarded (datamart)'!B43,'[1]15-16 ADTS Awarded (datamart)'!B43,'[1]16-17 ADTS Awarded (datamart)'!B43))</f>
        <v>297834.40407391998</v>
      </c>
      <c r="P40" s="62">
        <f>'[1]Formula Weights'!$B$24*(IF('[1]15-16 ADTS Awarded (datamart)'!B43&gt;'[1]14-15 ADTS Awarded (datamart)'!B43,0,'[1]14-15 ADTS Awarded (datamart)'!B43-'[1]15-16 ADTS Awarded (datamart)'!B43))</f>
        <v>930.73251273100004</v>
      </c>
      <c r="Q40" s="151">
        <f t="shared" si="0"/>
        <v>15714658.389873266</v>
      </c>
    </row>
    <row r="41" spans="1:17" x14ac:dyDescent="0.2">
      <c r="A41" t="str">
        <f>'[1]15-16 Apportionments Data'!A41</f>
        <v>PALOMAR COMMUNITY COLLEGE DISTRICT</v>
      </c>
      <c r="B41" s="62">
        <f>'[1]Formula Weights'!$B$16*('[1]16-17 Apportionments Data'!C41+'[1]16-17 Apportionments Data'!I41+'[1]16-17 Apportionments Data'!F41)</f>
        <v>39719289.596173964</v>
      </c>
      <c r="C41" s="62">
        <f>'[1]Formula Weights'!$B$17*('[1]16-17 Apportionments Data'!D41+'[1]16-17 Apportionments Data'!G41+'[1]16-17 Apportionments Data'!J41)</f>
        <v>370114.69676273671</v>
      </c>
      <c r="D41" s="62">
        <f>'[1]Formula Weights'!$B$18*('[1]16-17 Apportionments Data'!E41+'[1]16-17 Apportionments Data'!H41+'[1]16-17 Apportionments Data'!K41)</f>
        <v>1192080.3763456219</v>
      </c>
      <c r="E41" s="62">
        <f>'[1]16-17 Apportionments Data'!T41</f>
        <v>7204193</v>
      </c>
      <c r="F41" s="62">
        <f>-'[1]Formula Weights'!$B$16*('[1]16-17 Apportionments Data'!F41)+-'[1]Formula Weights'!$B$17*('[1]16-17 Apportionments Data'!G41)+-'[1]Formula Weights'!$B$18*('[1]16-17 Apportionments Data'!H41)</f>
        <v>0</v>
      </c>
      <c r="G41" s="62">
        <f>'[1]Formula Weights'!$B$20*('[1]15-16 BOG (datamart)'!B44)</f>
        <v>18258626.596883688</v>
      </c>
      <c r="H41" s="62">
        <f>'[1]Formula Weights'!$B$20*(IF('[1]15-16 BOG (datamart)'!B44&gt;'[1]14-15 BOG (datamart)'!B44,0,'[1]14-15 BOG (datamart)'!B44-'[1]15-16 BOG (datamart)'!B44))</f>
        <v>465430.93289172801</v>
      </c>
      <c r="I41" s="62">
        <f>'[1]Formula Weights'!$B$21*([1]PELL!D113)</f>
        <v>2152604.2419784004</v>
      </c>
      <c r="J41" s="62">
        <f>IF(I41&gt;('[1]Formula Weights'!$B$21*[1]PELL!D41),0,'[1]Formula Weights'!$B$21*[1]PELL!D41-I41)</f>
        <v>428086.23473839974</v>
      </c>
      <c r="K41" s="62">
        <f>'[1]Formula Weights'!$B$22*('[1]15-16 Program Awards (Datamart)'!B44)</f>
        <v>22930408.731091682</v>
      </c>
      <c r="L41" s="62">
        <f>'[1]Formula Weights'!$B$22*(IF('[1]15-16 Program Awards (Datamart)'!B44&gt;'[1]14-15 Program Awards (Datamart)'!B44,0,'[1]14-15 Program Awards (Datamart)'!B44-'[1]15-16 Program Awards (Datamart)'!B44))</f>
        <v>0</v>
      </c>
      <c r="M41" s="62">
        <f>'[1]Formula Weights'!$B$23*[1]COMPLETION_RATE_2_3!D41</f>
        <v>7029470.1568881162</v>
      </c>
      <c r="N41" s="150"/>
      <c r="O41" s="62">
        <f>'[1]Formula Weights'!$B$24*(IF('[1]15-16 ADTS Awarded (datamart)'!B44&gt;'[1]16-17 ADTS Awarded (datamart)'!B44,'[1]15-16 ADTS Awarded (datamart)'!B44,'[1]16-17 ADTS Awarded (datamart)'!B44))</f>
        <v>403007.17801252304</v>
      </c>
      <c r="P41" s="62">
        <f>'[1]Formula Weights'!$B$24*(IF('[1]15-16 ADTS Awarded (datamart)'!B44&gt;'[1]14-15 ADTS Awarded (datamart)'!B44,0,'[1]14-15 ADTS Awarded (datamart)'!B44-'[1]15-16 ADTS Awarded (datamart)'!B44))</f>
        <v>0</v>
      </c>
      <c r="Q41" s="151">
        <f t="shared" si="0"/>
        <v>100153311.74176684</v>
      </c>
    </row>
    <row r="42" spans="1:17" x14ac:dyDescent="0.2">
      <c r="A42" t="str">
        <f>'[1]15-16 Apportionments Data'!A42</f>
        <v>PASADENA AREA COMMUNITY COLLEGE DISTRICT</v>
      </c>
      <c r="B42" s="62">
        <f>'[1]Formula Weights'!$B$16*('[1]16-17 Apportionments Data'!C42+'[1]16-17 Apportionments Data'!I42+'[1]16-17 Apportionments Data'!F42)</f>
        <v>52200520.384416349</v>
      </c>
      <c r="C42" s="62">
        <f>'[1]Formula Weights'!$B$17*('[1]16-17 Apportionments Data'!D42+'[1]16-17 Apportionments Data'!G42+'[1]16-17 Apportionments Data'!J42)</f>
        <v>222160.56824539119</v>
      </c>
      <c r="D42" s="62">
        <f>'[1]Formula Weights'!$B$18*('[1]16-17 Apportionments Data'!E42+'[1]16-17 Apportionments Data'!H42+'[1]16-17 Apportionments Data'!K42)</f>
        <v>2427444.9373661396</v>
      </c>
      <c r="E42" s="62">
        <f>'[1]16-17 Apportionments Data'!T42</f>
        <v>7204193</v>
      </c>
      <c r="F42" s="62">
        <f>-'[1]Formula Weights'!$B$16*('[1]16-17 Apportionments Data'!F42)+-'[1]Formula Weights'!$B$17*('[1]16-17 Apportionments Data'!G42)+-'[1]Formula Weights'!$B$18*('[1]16-17 Apportionments Data'!H42)</f>
        <v>0</v>
      </c>
      <c r="G42" s="62">
        <f>'[1]Formula Weights'!$B$20*('[1]15-16 BOG (datamart)'!B45)</f>
        <v>26065403.911152318</v>
      </c>
      <c r="H42" s="62">
        <f>'[1]Formula Weights'!$B$20*(IF('[1]15-16 BOG (datamart)'!B45&gt;'[1]14-15 BOG (datamart)'!B45,0,'[1]14-15 BOG (datamart)'!B45-'[1]15-16 BOG (datamart)'!B45))</f>
        <v>1491667.9898415217</v>
      </c>
      <c r="I42" s="62">
        <f>'[1]Formula Weights'!$B$21*([1]PELL!D114)</f>
        <v>4209852.7823800007</v>
      </c>
      <c r="J42" s="62">
        <f>IF(I42&gt;('[1]Formula Weights'!$B$21*[1]PELL!D42),0,'[1]Formula Weights'!$B$21*[1]PELL!D42-I42)</f>
        <v>655316.84275119938</v>
      </c>
      <c r="K42" s="62">
        <f>'[1]Formula Weights'!$B$22*('[1]15-16 Program Awards (Datamart)'!B45)</f>
        <v>24460157.645749282</v>
      </c>
      <c r="L42" s="62">
        <f>'[1]Formula Weights'!$B$22*(IF('[1]15-16 Program Awards (Datamart)'!B45&gt;'[1]14-15 Program Awards (Datamart)'!B45,0,'[1]14-15 Program Awards (Datamart)'!B45-'[1]15-16 Program Awards (Datamart)'!B45))</f>
        <v>0</v>
      </c>
      <c r="M42" s="62">
        <f>'[1]Formula Weights'!$B$23*[1]COMPLETION_RATE_2_3!D42</f>
        <v>8389029.4326782729</v>
      </c>
      <c r="N42" s="150"/>
      <c r="O42" s="62">
        <f>'[1]Formula Weights'!$B$24*(IF('[1]15-16 ADTS Awarded (datamart)'!B45&gt;'[1]16-17 ADTS Awarded (datamart)'!B45,'[1]15-16 ADTS Awarded (datamart)'!B45,'[1]16-17 ADTS Awarded (datamart)'!B45))</f>
        <v>744586.01018480002</v>
      </c>
      <c r="P42" s="62">
        <f>'[1]Formula Weights'!$B$24*(IF('[1]15-16 ADTS Awarded (datamart)'!B45&gt;'[1]14-15 ADTS Awarded (datamart)'!B45,0,'[1]14-15 ADTS Awarded (datamart)'!B45-'[1]15-16 ADTS Awarded (datamart)'!B45))</f>
        <v>0</v>
      </c>
      <c r="Q42" s="151">
        <f t="shared" si="0"/>
        <v>128070333.50476527</v>
      </c>
    </row>
    <row r="43" spans="1:17" x14ac:dyDescent="0.2">
      <c r="A43" t="str">
        <f>'[1]15-16 Apportionments Data'!A43</f>
        <v>PERALTA COMMUNITY COLLEGE DISTRICT</v>
      </c>
      <c r="B43" s="62">
        <f>'[1]Formula Weights'!$B$16*('[1]16-17 Apportionments Data'!C43+'[1]16-17 Apportionments Data'!I43+'[1]16-17 Apportionments Data'!F43)</f>
        <v>39254514.200254641</v>
      </c>
      <c r="C43" s="62">
        <f>'[1]Formula Weights'!$B$17*('[1]16-17 Apportionments Data'!D43+'[1]16-17 Apportionments Data'!G43+'[1]16-17 Apportionments Data'!J43)</f>
        <v>908354.66180403915</v>
      </c>
      <c r="D43" s="62">
        <f>'[1]Formula Weights'!$B$18*('[1]16-17 Apportionments Data'!E43+'[1]16-17 Apportionments Data'!H43+'[1]16-17 Apportionments Data'!K43)</f>
        <v>0</v>
      </c>
      <c r="E43" s="62">
        <f>'[1]16-17 Apportionments Data'!T43</f>
        <v>14408384</v>
      </c>
      <c r="F43" s="62">
        <f>-'[1]Formula Weights'!$B$16*('[1]16-17 Apportionments Data'!F43)+-'[1]Formula Weights'!$B$17*('[1]16-17 Apportionments Data'!G43)+-'[1]Formula Weights'!$B$18*('[1]16-17 Apportionments Data'!H43)</f>
        <v>4500486.8887901064</v>
      </c>
      <c r="G43" s="62">
        <f>'[1]Formula Weights'!$B$20*('[1]15-16 BOG (datamart)'!B46)</f>
        <v>22760335.619934831</v>
      </c>
      <c r="H43" s="62">
        <f>'[1]Formula Weights'!$B$20*(IF('[1]15-16 BOG (datamart)'!B46&gt;'[1]14-15 BOG (datamart)'!B46,0,'[1]14-15 BOG (datamart)'!B46-'[1]15-16 BOG (datamart)'!B46))</f>
        <v>1381032.7680885699</v>
      </c>
      <c r="I43" s="62">
        <f>'[1]Formula Weights'!$B$21*([1]PELL!D115)</f>
        <v>1779296.8145288001</v>
      </c>
      <c r="J43" s="62">
        <f>IF(I43&gt;('[1]Formula Weights'!$B$21*[1]PELL!D43),0,'[1]Formula Weights'!$B$21*[1]PELL!D43-I43)</f>
        <v>600538.03546239994</v>
      </c>
      <c r="K43" s="62">
        <f>'[1]Formula Weights'!$B$22*('[1]15-16 Program Awards (Datamart)'!B46)</f>
        <v>16389413.371866081</v>
      </c>
      <c r="L43" s="62">
        <f>'[1]Formula Weights'!$B$22*(IF('[1]15-16 Program Awards (Datamart)'!B46&gt;'[1]14-15 Program Awards (Datamart)'!B46,0,'[1]14-15 Program Awards (Datamart)'!B46-'[1]15-16 Program Awards (Datamart)'!B46))</f>
        <v>0</v>
      </c>
      <c r="M43" s="62">
        <f>'[1]Formula Weights'!$B$23*[1]COMPLETION_RATE_2_3!D43</f>
        <v>4328641.6404081201</v>
      </c>
      <c r="N43" s="150"/>
      <c r="O43" s="62">
        <f>'[1]Formula Weights'!$B$24*(IF('[1]15-16 ADTS Awarded (datamart)'!B46&gt;'[1]16-17 ADTS Awarded (datamart)'!B46,'[1]15-16 ADTS Awarded (datamart)'!B46,'[1]16-17 ADTS Awarded (datamart)'!B46))</f>
        <v>332271.50704496703</v>
      </c>
      <c r="P43" s="62">
        <f>'[1]Formula Weights'!$B$24*(IF('[1]15-16 ADTS Awarded (datamart)'!B46&gt;'[1]14-15 ADTS Awarded (datamart)'!B46,0,'[1]14-15 ADTS Awarded (datamart)'!B46-'[1]15-16 ADTS Awarded (datamart)'!B46))</f>
        <v>0</v>
      </c>
      <c r="Q43" s="151">
        <f t="shared" si="0"/>
        <v>106643269.50818254</v>
      </c>
    </row>
    <row r="44" spans="1:17" x14ac:dyDescent="0.2">
      <c r="A44" t="str">
        <f>'[1]15-16 Apportionments Data'!A44</f>
        <v>RANCHO SANTIAGO COMMUNITY COLLEGE DISTRICT</v>
      </c>
      <c r="B44" s="62">
        <f>'[1]Formula Weights'!$B$16*('[1]16-17 Apportionments Data'!C44+'[1]16-17 Apportionments Data'!I44+'[1]16-17 Apportionments Data'!F44)</f>
        <v>52668920.372283295</v>
      </c>
      <c r="C44" s="62">
        <f>'[1]Formula Weights'!$B$17*('[1]16-17 Apportionments Data'!D44+'[1]16-17 Apportionments Data'!G44+'[1]16-17 Apportionments Data'!J44)</f>
        <v>1080900.6209468835</v>
      </c>
      <c r="D44" s="62">
        <f>'[1]Formula Weights'!$B$18*('[1]16-17 Apportionments Data'!E44+'[1]16-17 Apportionments Data'!H44+'[1]16-17 Apportionments Data'!K44)</f>
        <v>11877175.689602233</v>
      </c>
      <c r="E44" s="62">
        <f>'[1]16-17 Apportionments Data'!T44</f>
        <v>10806289</v>
      </c>
      <c r="F44" s="62">
        <f>-'[1]Formula Weights'!$B$16*('[1]16-17 Apportionments Data'!F44)+-'[1]Formula Weights'!$B$17*('[1]16-17 Apportionments Data'!G44)+-'[1]Formula Weights'!$B$18*('[1]16-17 Apportionments Data'!H44)</f>
        <v>0</v>
      </c>
      <c r="G44" s="62">
        <f>'[1]Formula Weights'!$B$20*('[1]15-16 BOG (datamart)'!B47)</f>
        <v>25411765.934359018</v>
      </c>
      <c r="H44" s="62">
        <f>'[1]Formula Weights'!$B$20*(IF('[1]15-16 BOG (datamart)'!B47&gt;'[1]14-15 BOG (datamart)'!B47,0,'[1]14-15 BOG (datamart)'!B47-'[1]15-16 BOG (datamart)'!B47))</f>
        <v>0</v>
      </c>
      <c r="I44" s="62">
        <f>'[1]Formula Weights'!$B$21*([1]PELL!D116)</f>
        <v>2651700.0417208001</v>
      </c>
      <c r="J44" s="62">
        <f>IF(I44&gt;('[1]Formula Weights'!$B$21*[1]PELL!D44),0,'[1]Formula Weights'!$B$21*[1]PELL!D44-I44)</f>
        <v>718211.02889760025</v>
      </c>
      <c r="K44" s="62">
        <f>'[1]Formula Weights'!$B$22*('[1]15-16 Program Awards (Datamart)'!B47)</f>
        <v>46599316.938224964</v>
      </c>
      <c r="L44" s="62">
        <f>'[1]Formula Weights'!$B$22*(IF('[1]15-16 Program Awards (Datamart)'!B47&gt;'[1]14-15 Program Awards (Datamart)'!B47,0,'[1]14-15 Program Awards (Datamart)'!B47-'[1]15-16 Program Awards (Datamart)'!B47))</f>
        <v>0</v>
      </c>
      <c r="M44" s="62">
        <f>'[1]Formula Weights'!$B$23*[1]COMPLETION_RATE_2_3!D44</f>
        <v>7261143.934825452</v>
      </c>
      <c r="N44" s="150"/>
      <c r="O44" s="62">
        <f>'[1]Formula Weights'!$B$24*(IF('[1]15-16 ADTS Awarded (datamart)'!B47&gt;'[1]16-17 ADTS Awarded (datamart)'!B47,'[1]15-16 ADTS Awarded (datamart)'!B47,'[1]16-17 ADTS Awarded (datamart)'!B47))</f>
        <v>920494.45509095909</v>
      </c>
      <c r="P44" s="62">
        <f>'[1]Formula Weights'!$B$24*(IF('[1]15-16 ADTS Awarded (datamart)'!B47&gt;'[1]14-15 ADTS Awarded (datamart)'!B47,0,'[1]14-15 ADTS Awarded (datamart)'!B47-'[1]15-16 ADTS Awarded (datamart)'!B47))</f>
        <v>0</v>
      </c>
      <c r="Q44" s="151">
        <f t="shared" si="0"/>
        <v>159995918.01595122</v>
      </c>
    </row>
    <row r="45" spans="1:17" x14ac:dyDescent="0.2">
      <c r="A45" t="str">
        <f>'[1]15-16 Apportionments Data'!A45</f>
        <v>REDWOODS COMMUNITY COLLEGE DISTRICT</v>
      </c>
      <c r="B45" s="62">
        <f>'[1]Formula Weights'!$B$16*('[1]16-17 Apportionments Data'!C45+'[1]16-17 Apportionments Data'!I45+'[1]16-17 Apportionments Data'!F45)</f>
        <v>8844783.8343248311</v>
      </c>
      <c r="C45" s="62">
        <f>'[1]Formula Weights'!$B$17*('[1]16-17 Apportionments Data'!D45+'[1]16-17 Apportionments Data'!G45+'[1]16-17 Apportionments Data'!J45)</f>
        <v>78084.970391988129</v>
      </c>
      <c r="D45" s="62">
        <f>'[1]Formula Weights'!$B$18*('[1]16-17 Apportionments Data'!E45+'[1]16-17 Apportionments Data'!H45+'[1]16-17 Apportionments Data'!K45)</f>
        <v>126780.47735814159</v>
      </c>
      <c r="E45" s="62">
        <f>'[1]16-17 Apportionments Data'!T45</f>
        <v>5648312</v>
      </c>
      <c r="F45" s="62">
        <f>-'[1]Formula Weights'!$B$16*('[1]16-17 Apportionments Data'!F45)+-'[1]Formula Weights'!$B$17*('[1]16-17 Apportionments Data'!G45)+-'[1]Formula Weights'!$B$18*('[1]16-17 Apportionments Data'!H45)</f>
        <v>0</v>
      </c>
      <c r="G45" s="62">
        <f>'[1]Formula Weights'!$B$20*('[1]15-16 BOG (datamart)'!B48)</f>
        <v>4881938.1185009396</v>
      </c>
      <c r="H45" s="62">
        <f>'[1]Formula Weights'!$B$20*(IF('[1]15-16 BOG (datamart)'!B48&gt;'[1]14-15 BOG (datamart)'!B48,0,'[1]14-15 BOG (datamart)'!B48-'[1]15-16 BOG (datamart)'!B48))</f>
        <v>352252.37270767393</v>
      </c>
      <c r="I45" s="62">
        <f>'[1]Formula Weights'!$B$21*([1]PELL!D117)</f>
        <v>586336.1224616</v>
      </c>
      <c r="J45" s="62">
        <f>IF(I45&gt;('[1]Formula Weights'!$B$21*[1]PELL!D45),0,'[1]Formula Weights'!$B$21*[1]PELL!D45-I45)</f>
        <v>62894.186146400054</v>
      </c>
      <c r="K45" s="62">
        <f>'[1]Formula Weights'!$B$22*('[1]15-16 Program Awards (Datamart)'!B48)</f>
        <v>5085096.3921721606</v>
      </c>
      <c r="L45" s="62">
        <f>'[1]Formula Weights'!$B$22*(IF('[1]15-16 Program Awards (Datamart)'!B48&gt;'[1]14-15 Program Awards (Datamart)'!B48,0,'[1]14-15 Program Awards (Datamart)'!B48-'[1]15-16 Program Awards (Datamart)'!B48))</f>
        <v>0</v>
      </c>
      <c r="M45" s="62">
        <f>'[1]Formula Weights'!$B$23*[1]COMPLETION_RATE_2_3!D45</f>
        <v>932791.79011611606</v>
      </c>
      <c r="N45" s="150"/>
      <c r="O45" s="62">
        <f>'[1]Formula Weights'!$B$24*(IF('[1]15-16 ADTS Awarded (datamart)'!B48&gt;'[1]16-17 ADTS Awarded (datamart)'!B48,'[1]15-16 ADTS Awarded (datamart)'!B48,'[1]16-17 ADTS Awarded (datamart)'!B48))</f>
        <v>794845.56587227399</v>
      </c>
      <c r="P45" s="62">
        <f>'[1]Formula Weights'!$B$24*(IF('[1]15-16 ADTS Awarded (datamart)'!B48&gt;'[1]14-15 ADTS Awarded (datamart)'!B48,0,'[1]14-15 ADTS Awarded (datamart)'!B48-'[1]15-16 ADTS Awarded (datamart)'!B48))</f>
        <v>0</v>
      </c>
      <c r="Q45" s="151">
        <f t="shared" si="0"/>
        <v>27394115.830052126</v>
      </c>
    </row>
    <row r="46" spans="1:17" x14ac:dyDescent="0.2">
      <c r="A46" t="str">
        <f>'[1]15-16 Apportionments Data'!A46</f>
        <v>RIO HONDO COMMUNITY COLLEGE DISTRICT</v>
      </c>
      <c r="B46" s="62">
        <f>'[1]Formula Weights'!$B$16*('[1]16-17 Apportionments Data'!C46+'[1]16-17 Apportionments Data'!I46+'[1]16-17 Apportionments Data'!F46)</f>
        <v>27594240.87887761</v>
      </c>
      <c r="C46" s="62">
        <f>'[1]Formula Weights'!$B$17*('[1]16-17 Apportionments Data'!D46+'[1]16-17 Apportionments Data'!G46+'[1]16-17 Apportionments Data'!J46)</f>
        <v>372241.63293328573</v>
      </c>
      <c r="D46" s="62">
        <f>'[1]Formula Weights'!$B$18*('[1]16-17 Apportionments Data'!E46+'[1]16-17 Apportionments Data'!H46+'[1]16-17 Apportionments Data'!K46)</f>
        <v>52087.747659619847</v>
      </c>
      <c r="E46" s="62">
        <f>'[1]16-17 Apportionments Data'!T46</f>
        <v>4802795</v>
      </c>
      <c r="F46" s="62">
        <f>-'[1]Formula Weights'!$B$16*('[1]16-17 Apportionments Data'!F46)+-'[1]Formula Weights'!$B$17*('[1]16-17 Apportionments Data'!G46)+-'[1]Formula Weights'!$B$18*('[1]16-17 Apportionments Data'!H46)</f>
        <v>1239822.350554615</v>
      </c>
      <c r="G46" s="62">
        <f>'[1]Formula Weights'!$B$20*('[1]15-16 BOG (datamart)'!B49)</f>
        <v>15027315.120168168</v>
      </c>
      <c r="H46" s="62">
        <f>'[1]Formula Weights'!$B$20*(IF('[1]15-16 BOG (datamart)'!B49&gt;'[1]14-15 BOG (datamart)'!B49,0,'[1]14-15 BOG (datamart)'!B49-'[1]15-16 BOG (datamart)'!B49))</f>
        <v>658724.65365550574</v>
      </c>
      <c r="I46" s="62">
        <f>'[1]Formula Weights'!$B$21*([1]PELL!D118)</f>
        <v>1627133.4609488002</v>
      </c>
      <c r="J46" s="62">
        <f>IF(I46&gt;('[1]Formula Weights'!$B$21*[1]PELL!D46),0,'[1]Formula Weights'!$B$21*[1]PELL!D46-I46)</f>
        <v>1397874.0082216002</v>
      </c>
      <c r="K46" s="62">
        <f>'[1]Formula Weights'!$B$22*('[1]15-16 Program Awards (Datamart)'!B49)</f>
        <v>9210143.4654902406</v>
      </c>
      <c r="L46" s="62">
        <f>'[1]Formula Weights'!$B$22*(IF('[1]15-16 Program Awards (Datamart)'!B49&gt;'[1]14-15 Program Awards (Datamart)'!B49,0,'[1]14-15 Program Awards (Datamart)'!B49-'[1]15-16 Program Awards (Datamart)'!B49))</f>
        <v>0</v>
      </c>
      <c r="M46" s="62">
        <f>'[1]Formula Weights'!$B$23*[1]COMPLETION_RATE_2_3!D46</f>
        <v>2816665.405448664</v>
      </c>
      <c r="N46" s="150"/>
      <c r="O46" s="62">
        <f>'[1]Formula Weights'!$B$24*(IF('[1]15-16 ADTS Awarded (datamart)'!B49&gt;'[1]16-17 ADTS Awarded (datamart)'!B49,'[1]15-16 ADTS Awarded (datamart)'!B49,'[1]16-17 ADTS Awarded (datamart)'!B49))</f>
        <v>437444.28098357003</v>
      </c>
      <c r="P46" s="62">
        <f>'[1]Formula Weights'!$B$24*(IF('[1]15-16 ADTS Awarded (datamart)'!B49&gt;'[1]14-15 ADTS Awarded (datamart)'!B49,0,'[1]14-15 ADTS Awarded (datamart)'!B49-'[1]15-16 ADTS Awarded (datamart)'!B49))</f>
        <v>0</v>
      </c>
      <c r="Q46" s="151">
        <f t="shared" si="0"/>
        <v>65236488.004941672</v>
      </c>
    </row>
    <row r="47" spans="1:17" x14ac:dyDescent="0.2">
      <c r="A47" t="str">
        <f>'[1]15-16 Apportionments Data'!A47</f>
        <v>RIVERSIDE COMMUNITY COLLEGE DISTRICT</v>
      </c>
      <c r="B47" s="62">
        <f>'[1]Formula Weights'!$B$16*('[1]16-17 Apportionments Data'!C47+'[1]16-17 Apportionments Data'!I47+'[1]16-17 Apportionments Data'!F47)</f>
        <v>66232253.484803528</v>
      </c>
      <c r="C47" s="62">
        <f>'[1]Formula Weights'!$B$17*('[1]16-17 Apportionments Data'!D47+'[1]16-17 Apportionments Data'!G47+'[1]16-17 Apportionments Data'!J47)</f>
        <v>160590.63164825473</v>
      </c>
      <c r="D47" s="62">
        <f>'[1]Formula Weights'!$B$18*('[1]16-17 Apportionments Data'!E47+'[1]16-17 Apportionments Data'!H47+'[1]16-17 Apportionments Data'!K47)</f>
        <v>0</v>
      </c>
      <c r="E47" s="62">
        <f>'[1]16-17 Apportionments Data'!T47</f>
        <v>11406638</v>
      </c>
      <c r="F47" s="62">
        <f>-'[1]Formula Weights'!$B$16*('[1]16-17 Apportionments Data'!F47)+-'[1]Formula Weights'!$B$17*('[1]16-17 Apportionments Data'!G47)+-'[1]Formula Weights'!$B$18*('[1]16-17 Apportionments Data'!H47)</f>
        <v>0</v>
      </c>
      <c r="G47" s="62">
        <f>'[1]Formula Weights'!$B$20*('[1]15-16 BOG (datamart)'!B50)</f>
        <v>37922447.676951423</v>
      </c>
      <c r="H47" s="62">
        <f>'[1]Formula Weights'!$B$20*(IF('[1]15-16 BOG (datamart)'!B50&gt;'[1]14-15 BOG (datamart)'!B50,0,'[1]14-15 BOG (datamart)'!B50-'[1]15-16 BOG (datamart)'!B50))</f>
        <v>0</v>
      </c>
      <c r="I47" s="62">
        <f>'[1]Formula Weights'!$B$21*([1]PELL!D119)</f>
        <v>5561063.3621704001</v>
      </c>
      <c r="J47" s="62">
        <f>IF(I47&gt;('[1]Formula Weights'!$B$21*[1]PELL!D47),0,'[1]Formula Weights'!$B$21*[1]PELL!D47-I47)</f>
        <v>1099633.8352048006</v>
      </c>
      <c r="K47" s="62">
        <f>'[1]Formula Weights'!$B$22*('[1]15-16 Program Awards (Datamart)'!B50)</f>
        <v>24681707.488561764</v>
      </c>
      <c r="L47" s="62">
        <f>'[1]Formula Weights'!$B$22*(IF('[1]15-16 Program Awards (Datamart)'!B50&gt;'[1]14-15 Program Awards (Datamart)'!B50,0,'[1]14-15 Program Awards (Datamart)'!B50-'[1]15-16 Program Awards (Datamart)'!B50))</f>
        <v>0</v>
      </c>
      <c r="M47" s="62">
        <f>'[1]Formula Weights'!$B$23*[1]COMPLETION_RATE_2_3!D47</f>
        <v>7389174.1805276638</v>
      </c>
      <c r="N47" s="150"/>
      <c r="O47" s="62">
        <f>'[1]Formula Weights'!$B$24*(IF('[1]15-16 ADTS Awarded (datamart)'!B50&gt;'[1]16-17 ADTS Awarded (datamart)'!B50,'[1]15-16 ADTS Awarded (datamart)'!B50,'[1]16-17 ADTS Awarded (datamart)'!B50))</f>
        <v>319241.25186673302</v>
      </c>
      <c r="P47" s="62">
        <f>'[1]Formula Weights'!$B$24*(IF('[1]15-16 ADTS Awarded (datamart)'!B50&gt;'[1]14-15 ADTS Awarded (datamart)'!B50,0,'[1]14-15 ADTS Awarded (datamart)'!B50-'[1]15-16 ADTS Awarded (datamart)'!B50))</f>
        <v>0</v>
      </c>
      <c r="Q47" s="151">
        <f t="shared" si="0"/>
        <v>154772749.91173455</v>
      </c>
    </row>
    <row r="48" spans="1:17" x14ac:dyDescent="0.2">
      <c r="A48" t="str">
        <f>'[1]15-16 Apportionments Data'!A48</f>
        <v>SAN BERNARDINO COMMUNITY COLLEGE DISTRICT</v>
      </c>
      <c r="B48" s="62">
        <f>'[1]Formula Weights'!$B$16*('[1]16-17 Apportionments Data'!C48+'[1]16-17 Apportionments Data'!I48+'[1]16-17 Apportionments Data'!F48)</f>
        <v>35945933.482276782</v>
      </c>
      <c r="C48" s="62">
        <f>'[1]Formula Weights'!$B$17*('[1]16-17 Apportionments Data'!D48+'[1]16-17 Apportionments Data'!G48+'[1]16-17 Apportionments Data'!J48)</f>
        <v>123973.9658101745</v>
      </c>
      <c r="D48" s="62">
        <f>'[1]Formula Weights'!$B$18*('[1]16-17 Apportionments Data'!E48+'[1]16-17 Apportionments Data'!H48+'[1]16-17 Apportionments Data'!K48)</f>
        <v>0</v>
      </c>
      <c r="E48" s="62">
        <f>'[1]16-17 Apportionments Data'!T48</f>
        <v>7804542</v>
      </c>
      <c r="F48" s="62">
        <f>-'[1]Formula Weights'!$B$16*('[1]16-17 Apportionments Data'!F48)+-'[1]Formula Weights'!$B$17*('[1]16-17 Apportionments Data'!G48)+-'[1]Formula Weights'!$B$18*('[1]16-17 Apportionments Data'!H48)</f>
        <v>0</v>
      </c>
      <c r="G48" s="62">
        <f>'[1]Formula Weights'!$B$20*('[1]15-16 BOG (datamart)'!B51)</f>
        <v>21941380.645119876</v>
      </c>
      <c r="H48" s="62">
        <f>'[1]Formula Weights'!$B$20*(IF('[1]15-16 BOG (datamart)'!B51&gt;'[1]14-15 BOG (datamart)'!B51,0,'[1]14-15 BOG (datamart)'!B51-'[1]15-16 BOG (datamart)'!B51))</f>
        <v>96646.860381888866</v>
      </c>
      <c r="I48" s="62">
        <f>'[1]Formula Weights'!$B$21*([1]PELL!D120)</f>
        <v>2661844.2652928</v>
      </c>
      <c r="J48" s="62">
        <f>IF(I48&gt;('[1]Formula Weights'!$B$21*[1]PELL!D48),0,'[1]Formula Weights'!$B$21*[1]PELL!D48-I48)</f>
        <v>663432.22160880035</v>
      </c>
      <c r="K48" s="62">
        <f>'[1]Formula Weights'!$B$22*('[1]15-16 Program Awards (Datamart)'!B51)</f>
        <v>12681091.002885761</v>
      </c>
      <c r="L48" s="62">
        <f>'[1]Formula Weights'!$B$22*(IF('[1]15-16 Program Awards (Datamart)'!B51&gt;'[1]14-15 Program Awards (Datamart)'!B51,0,'[1]14-15 Program Awards (Datamart)'!B51-'[1]15-16 Program Awards (Datamart)'!B51))</f>
        <v>0</v>
      </c>
      <c r="M48" s="62">
        <f>'[1]Formula Weights'!$B$23*[1]COMPLETION_RATE_2_3!D48</f>
        <v>3365366.4584581442</v>
      </c>
      <c r="N48" s="150"/>
      <c r="O48" s="62">
        <f>'[1]Formula Weights'!$B$24*(IF('[1]15-16 ADTS Awarded (datamart)'!B51&gt;'[1]16-17 ADTS Awarded (datamart)'!B51,'[1]15-16 ADTS Awarded (datamart)'!B51,'[1]16-17 ADTS Awarded (datamart)'!B51))</f>
        <v>352747.62232504901</v>
      </c>
      <c r="P48" s="62">
        <f>'[1]Formula Weights'!$B$24*(IF('[1]15-16 ADTS Awarded (datamart)'!B51&gt;'[1]14-15 ADTS Awarded (datamart)'!B51,0,'[1]14-15 ADTS Awarded (datamart)'!B51-'[1]15-16 ADTS Awarded (datamart)'!B51))</f>
        <v>0</v>
      </c>
      <c r="Q48" s="151">
        <f t="shared" si="0"/>
        <v>85636958.524159268</v>
      </c>
    </row>
    <row r="49" spans="1:17" x14ac:dyDescent="0.2">
      <c r="A49" t="str">
        <f>'[1]15-16 Apportionments Data'!A49</f>
        <v>SAN DIEGO COMMUNITY COLLEGE DISTRICT</v>
      </c>
      <c r="B49" s="62">
        <f>'[1]Formula Weights'!$B$16*('[1]16-17 Apportionments Data'!C49+'[1]16-17 Apportionments Data'!I49+'[1]16-17 Apportionments Data'!F49)</f>
        <v>81472160.975117788</v>
      </c>
      <c r="C49" s="62">
        <f>'[1]Formula Weights'!$B$17*('[1]16-17 Apportionments Data'!D49+'[1]16-17 Apportionments Data'!G49+'[1]16-17 Apportionments Data'!J49)</f>
        <v>2890269.9295350276</v>
      </c>
      <c r="D49" s="62">
        <f>'[1]Formula Weights'!$B$18*('[1]16-17 Apportionments Data'!E49+'[1]16-17 Apportionments Data'!H49+'[1]16-17 Apportionments Data'!K49)</f>
        <v>14680537.351605162</v>
      </c>
      <c r="E49" s="62">
        <f>'[1]16-17 Apportionments Data'!T49</f>
        <v>18010483</v>
      </c>
      <c r="F49" s="62">
        <f>-'[1]Formula Weights'!$B$16*('[1]16-17 Apportionments Data'!F49)+-'[1]Formula Weights'!$B$17*('[1]16-17 Apportionments Data'!G49)+-'[1]Formula Weights'!$B$18*('[1]16-17 Apportionments Data'!H49)</f>
        <v>0</v>
      </c>
      <c r="G49" s="62">
        <f>'[1]Formula Weights'!$B$20*('[1]15-16 BOG (datamart)'!B52)</f>
        <v>43662762.515949398</v>
      </c>
      <c r="H49" s="62">
        <f>'[1]Formula Weights'!$B$20*(IF('[1]15-16 BOG (datamart)'!B52&gt;'[1]14-15 BOG (datamart)'!B52,0,'[1]14-15 BOG (datamart)'!B52-'[1]15-16 BOG (datamart)'!B52))</f>
        <v>1363229.3990708536</v>
      </c>
      <c r="I49" s="62">
        <f>'[1]Formula Weights'!$B$21*([1]PELL!D121)</f>
        <v>5007188.7551392</v>
      </c>
      <c r="J49" s="62">
        <f>IF(I49&gt;('[1]Formula Weights'!$B$21*[1]PELL!D49),0,'[1]Formula Weights'!$B$21*[1]PELL!D49-I49)</f>
        <v>1243681.8099272009</v>
      </c>
      <c r="K49" s="62">
        <f>'[1]Formula Weights'!$B$22*('[1]15-16 Program Awards (Datamart)'!B52)</f>
        <v>75638171.335432172</v>
      </c>
      <c r="L49" s="62">
        <f>'[1]Formula Weights'!$B$22*(IF('[1]15-16 Program Awards (Datamart)'!B52&gt;'[1]14-15 Program Awards (Datamart)'!B52,0,'[1]14-15 Program Awards (Datamart)'!B52-'[1]15-16 Program Awards (Datamart)'!B52))</f>
        <v>0</v>
      </c>
      <c r="M49" s="62">
        <f>'[1]Formula Weights'!$B$23*[1]COMPLETION_RATE_2_3!D49</f>
        <v>10486286.79084784</v>
      </c>
      <c r="N49" s="150"/>
      <c r="O49" s="62">
        <f>'[1]Formula Weights'!$B$24*(IF('[1]15-16 ADTS Awarded (datamart)'!B52&gt;'[1]16-17 ADTS Awarded (datamart)'!B52,'[1]15-16 ADTS Awarded (datamart)'!B52,'[1]16-17 ADTS Awarded (datamart)'!B52))</f>
        <v>938178.37283284799</v>
      </c>
      <c r="P49" s="62">
        <f>'[1]Formula Weights'!$B$24*(IF('[1]15-16 ADTS Awarded (datamart)'!B52&gt;'[1]14-15 ADTS Awarded (datamart)'!B52,0,'[1]14-15 ADTS Awarded (datamart)'!B52-'[1]15-16 ADTS Awarded (datamart)'!B52))</f>
        <v>44675.160611088002</v>
      </c>
      <c r="Q49" s="151">
        <f t="shared" si="0"/>
        <v>255392950.23545748</v>
      </c>
    </row>
    <row r="50" spans="1:17" x14ac:dyDescent="0.2">
      <c r="A50" s="152" t="str">
        <f>'[1]15-16 Apportionments Data'!A50</f>
        <v>SAN FRANCISCO COMMUNITY COLLEGE DISTRICT</v>
      </c>
      <c r="B50" s="62">
        <f>'[1]Formula Weights'!H16*('[1]16-17 Apportionments Data'!C50+'[1]16-17 Apportionments Data'!I50+'[1]16-17 Apportionments Data'!F50)</f>
        <v>32708446.509826962</v>
      </c>
      <c r="C50" s="62">
        <f>'[1]Formula Weights'!$B$17*('[1]16-17 Apportionments Data'!D50+'[1]16-17 Apportionments Data'!G50+'[1]16-17 Apportionments Data'!J50)</f>
        <v>2371881.3687521834</v>
      </c>
      <c r="D50" s="62">
        <f>'[1]Formula Weights'!$B$18*('[1]16-17 Apportionments Data'!E50+'[1]16-17 Apportionments Data'!H50+'[1]16-17 Apportionments Data'!K50)</f>
        <v>10315941.742475273</v>
      </c>
      <c r="E50" s="62">
        <f>'[1]16-17 Apportionments Data'!T50</f>
        <v>13507863</v>
      </c>
      <c r="F50" s="62">
        <f>-'[1]Formula Weights'!H16*('[1]16-17 Apportionments Data'!F50)+-'[1]Formula Weights'!$B$17*('[1]16-17 Apportionments Data'!G50)+-'[1]Formula Weights'!$B$18*('[1]16-17 Apportionments Data'!H50)</f>
        <v>20103314.882630542</v>
      </c>
      <c r="G50" s="62">
        <f>'[1]Formula Weights'!$B$20*('[1]15-16 BOG (datamart)'!B53)</f>
        <v>19167870.086002775</v>
      </c>
      <c r="H50" s="62">
        <f>'[1]Formula Weights'!$B$20*(IF('[1]15-16 BOG (datamart)'!B53&gt;'[1]14-15 BOG (datamart)'!B53,0,'[1]14-15 BOG (datamart)'!B53-'[1]15-16 BOG (datamart)'!B53))</f>
        <v>1477679.6284704588</v>
      </c>
      <c r="I50" s="62">
        <f>'[1]Formula Weights'!$B$21*([1]PELL!D122)</f>
        <v>1383672.0952208</v>
      </c>
      <c r="J50" s="62">
        <f>IF(I50&gt;('[1]Formula Weights'!$B$21*[1]PELL!D50),0,'[1]Formula Weights'!$B$21*[1]PELL!D50-I50)</f>
        <v>302297.8624456001</v>
      </c>
      <c r="K50" s="62">
        <f>'[1]Formula Weights'!$B$22*('[1]15-16 Program Awards (Datamart)'!B53)</f>
        <v>18109062.15179152</v>
      </c>
      <c r="L50" s="62">
        <f>'[1]Formula Weights'!$B$22*(IF('[1]15-16 Program Awards (Datamart)'!B53&gt;'[1]14-15 Program Awards (Datamart)'!B53,0,'[1]14-15 Program Awards (Datamart)'!B53-'[1]15-16 Program Awards (Datamart)'!B53))</f>
        <v>0</v>
      </c>
      <c r="M50" s="62">
        <f>'[1]Formula Weights'!$B$23*[1]COMPLETION_RATE_2_3!D50</f>
        <v>4517638.6697780518</v>
      </c>
      <c r="N50" s="150"/>
      <c r="O50" s="62">
        <f>'[1]Formula Weights'!$B$24*(IF('[1]15-16 ADTS Awarded (datamart)'!B53&gt;'[1]16-17 ADTS Awarded (datamart)'!B53,'[1]15-16 ADTS Awarded (datamart)'!B53,'[1]16-17 ADTS Awarded (datamart)'!B53))</f>
        <v>515625.81205297401</v>
      </c>
      <c r="P50" s="62">
        <f>'[1]Formula Weights'!$B$24*(IF('[1]15-16 ADTS Awarded (datamart)'!B53&gt;'[1]14-15 ADTS Awarded (datamart)'!B53,0,'[1]14-15 ADTS Awarded (datamart)'!B53-'[1]15-16 ADTS Awarded (datamart)'!B53))</f>
        <v>0</v>
      </c>
      <c r="Q50" s="151">
        <f t="shared" si="0"/>
        <v>124481293.80944715</v>
      </c>
    </row>
    <row r="51" spans="1:17" x14ac:dyDescent="0.2">
      <c r="A51" t="str">
        <f>'[1]15-16 Apportionments Data'!A51</f>
        <v>SAN JOAQUIN DELTA COMMUNITY COLLEGE DISTRICT</v>
      </c>
      <c r="B51" s="62">
        <f>'[1]Formula Weights'!$B$16*('[1]16-17 Apportionments Data'!C51+'[1]16-17 Apportionments Data'!I51+'[1]16-17 Apportionments Data'!F51)</f>
        <v>30348403.462325286</v>
      </c>
      <c r="C51" s="62">
        <f>'[1]Formula Weights'!$B$17*('[1]16-17 Apportionments Data'!D51+'[1]16-17 Apportionments Data'!G51+'[1]16-17 Apportionments Data'!J51)</f>
        <v>180914.68838905703</v>
      </c>
      <c r="D51" s="62">
        <f>'[1]Formula Weights'!$B$18*('[1]16-17 Apportionments Data'!E51+'[1]16-17 Apportionments Data'!H51+'[1]16-17 Apportionments Data'!K51)</f>
        <v>0</v>
      </c>
      <c r="E51" s="62">
        <f>'[1]16-17 Apportionments Data'!T51</f>
        <v>6003494</v>
      </c>
      <c r="F51" s="62">
        <f>-'[1]Formula Weights'!$B$16*('[1]16-17 Apportionments Data'!F51)+-'[1]Formula Weights'!$B$17*('[1]16-17 Apportionments Data'!G51)+-'[1]Formula Weights'!$B$18*('[1]16-17 Apportionments Data'!H51)</f>
        <v>6769414.5694682635</v>
      </c>
      <c r="G51" s="62">
        <f>'[1]Formula Weights'!$B$20*('[1]15-16 BOG (datamart)'!B54)</f>
        <v>21904502.237868894</v>
      </c>
      <c r="H51" s="62">
        <f>'[1]Formula Weights'!$B$20*(IF('[1]15-16 BOG (datamart)'!B54&gt;'[1]14-15 BOG (datamart)'!B54,0,'[1]14-15 BOG (datamart)'!B54-'[1]15-16 BOG (datamart)'!B54))</f>
        <v>1730741.8023651415</v>
      </c>
      <c r="I51" s="62">
        <f>'[1]Formula Weights'!$B$21*([1]PELL!D123)</f>
        <v>2501565.5328552001</v>
      </c>
      <c r="J51" s="62">
        <f>IF(I51&gt;('[1]Formula Weights'!$B$21*[1]PELL!D51),0,'[1]Formula Weights'!$B$21*[1]PELL!D51-I51)</f>
        <v>1030653.1149152</v>
      </c>
      <c r="K51" s="62">
        <f>'[1]Formula Weights'!$B$22*('[1]15-16 Program Awards (Datamart)'!B54)</f>
        <v>15545413.970675683</v>
      </c>
      <c r="L51" s="62">
        <f>'[1]Formula Weights'!$B$22*(IF('[1]15-16 Program Awards (Datamart)'!B54&gt;'[1]14-15 Program Awards (Datamart)'!B54,0,'[1]14-15 Program Awards (Datamart)'!B54-'[1]15-16 Program Awards (Datamart)'!B54))</f>
        <v>0</v>
      </c>
      <c r="M51" s="62">
        <f>'[1]Formula Weights'!$B$23*[1]COMPLETION_RATE_2_3!D51</f>
        <v>4663958.9505805802</v>
      </c>
      <c r="N51" s="150"/>
      <c r="O51" s="62">
        <f>'[1]Formula Weights'!$B$24*(IF('[1]15-16 ADTS Awarded (datamart)'!B54&gt;'[1]16-17 ADTS Awarded (datamart)'!B54,'[1]15-16 ADTS Awarded (datamart)'!B54,'[1]16-17 ADTS Awarded (datamart)'!B54))</f>
        <v>748308.94023572409</v>
      </c>
      <c r="P51" s="62">
        <f>'[1]Formula Weights'!$B$24*(IF('[1]15-16 ADTS Awarded (datamart)'!B54&gt;'[1]14-15 ADTS Awarded (datamart)'!B54,0,'[1]14-15 ADTS Awarded (datamart)'!B54-'[1]15-16 ADTS Awarded (datamart)'!B54))</f>
        <v>0</v>
      </c>
      <c r="Q51" s="151">
        <f t="shared" si="0"/>
        <v>91427371.26967901</v>
      </c>
    </row>
    <row r="52" spans="1:17" x14ac:dyDescent="0.2">
      <c r="A52" s="152" t="str">
        <f>'[1]15-16 Apportionments Data'!A52</f>
        <v>SAN JOSE-EVERGREEN COMMUNITY COLLEGE DISTRICT</v>
      </c>
      <c r="B52" s="62">
        <f>'[1]Formula Weights'!I16*('[1]16-17 Apportionments Data'!C52+'[1]16-17 Apportionments Data'!I52+'[1]16-17 Apportionments Data'!F52)</f>
        <v>27221989.387075465</v>
      </c>
      <c r="C52" s="62">
        <f>'[1]Formula Weights'!$B$17*('[1]16-17 Apportionments Data'!D52+'[1]16-17 Apportionments Data'!G52+'[1]16-17 Apportionments Data'!J52)</f>
        <v>149372.08596437823</v>
      </c>
      <c r="D52" s="62">
        <f>'[1]Formula Weights'!$B$18*('[1]16-17 Apportionments Data'!E52+'[1]16-17 Apportionments Data'!H52+'[1]16-17 Apportionments Data'!K52)</f>
        <v>0</v>
      </c>
      <c r="E52" s="62">
        <f>'[1]16-17 Apportionments Data'!T52</f>
        <v>7204192</v>
      </c>
      <c r="F52" s="62">
        <f>-'[1]Formula Weights'!$B$16*('[1]16-17 Apportionments Data'!F52)+-'[1]Formula Weights'!$B$17*('[1]16-17 Apportionments Data'!G52)+-'[1]Formula Weights'!$B$18*('[1]16-17 Apportionments Data'!H52)</f>
        <v>0</v>
      </c>
      <c r="G52" s="62">
        <f>'[1]Formula Weights'!$B$20*('[1]15-16 BOG (datamart)'!B55)</f>
        <v>15299452.332296118</v>
      </c>
      <c r="H52" s="62">
        <f>'[1]Formula Weights'!$B$20*(IF('[1]15-16 BOG (datamart)'!B55&gt;'[1]14-15 BOG (datamart)'!B55,0,'[1]14-15 BOG (datamart)'!B55-'[1]15-16 BOG (datamart)'!B55))</f>
        <v>972826.94989664457</v>
      </c>
      <c r="I52" s="62">
        <f>'[1]Formula Weights'!$B$21*([1]PELL!D124)</f>
        <v>1503373.9333704002</v>
      </c>
      <c r="J52" s="62">
        <f>IF(I52&gt;('[1]Formula Weights'!$B$21*[1]PELL!D52),0,'[1]Formula Weights'!$B$21*[1]PELL!D52-I52)</f>
        <v>480836.19731279998</v>
      </c>
      <c r="K52" s="62">
        <f>'[1]Formula Weights'!$B$22*('[1]15-16 Program Awards (Datamart)'!B55)</f>
        <v>8767043.7798652817</v>
      </c>
      <c r="L52" s="62">
        <f>'[1]Formula Weights'!$B$22*(IF('[1]15-16 Program Awards (Datamart)'!B55&gt;'[1]14-15 Program Awards (Datamart)'!B55,0,'[1]14-15 Program Awards (Datamart)'!B55-'[1]15-16 Program Awards (Datamart)'!B55))</f>
        <v>0</v>
      </c>
      <c r="M52" s="62">
        <f>'[1]Formula Weights'!$B$23*[1]COMPLETION_RATE_2_3!D52</f>
        <v>3560460.1661948483</v>
      </c>
      <c r="N52" s="150"/>
      <c r="O52" s="62">
        <f>'[1]Formula Weights'!$B$24*(IF('[1]15-16 ADTS Awarded (datamart)'!B55&gt;'[1]16-17 ADTS Awarded (datamart)'!B55,'[1]15-16 ADTS Awarded (datamart)'!B55,'[1]16-17 ADTS Awarded (datamart)'!B55))</f>
        <v>1765599.5766507071</v>
      </c>
      <c r="P52" s="62">
        <f>'[1]Formula Weights'!$B$24*(IF('[1]15-16 ADTS Awarded (datamart)'!B55&gt;'[1]14-15 ADTS Awarded (datamart)'!B55,0,'[1]14-15 ADTS Awarded (datamart)'!B55-'[1]15-16 ADTS Awarded (datamart)'!B55))</f>
        <v>0</v>
      </c>
      <c r="Q52" s="151">
        <f t="shared" si="0"/>
        <v>66925146.408626638</v>
      </c>
    </row>
    <row r="53" spans="1:17" x14ac:dyDescent="0.2">
      <c r="A53" t="str">
        <f>'[1]15-16 Apportionments Data'!A53</f>
        <v>SAN LUIS OBISPO COMMUNITY COLLEGE DISTRICT</v>
      </c>
      <c r="B53" s="62">
        <f>'[1]Formula Weights'!$B$16*('[1]16-17 Apportionments Data'!C53+'[1]16-17 Apportionments Data'!I53+'[1]16-17 Apportionments Data'!F53)</f>
        <v>15749390.772109915</v>
      </c>
      <c r="C53" s="62">
        <f>'[1]Formula Weights'!$B$17*('[1]16-17 Apportionments Data'!D53+'[1]16-17 Apportionments Data'!G53+'[1]16-17 Apportionments Data'!J53)</f>
        <v>269578.73345939716</v>
      </c>
      <c r="D53" s="62">
        <f>'[1]Formula Weights'!$B$18*('[1]16-17 Apportionments Data'!E53+'[1]16-17 Apportionments Data'!H53+'[1]16-17 Apportionments Data'!K53)</f>
        <v>525485.59159601515</v>
      </c>
      <c r="E53" s="62">
        <f>'[1]16-17 Apportionments Data'!T53</f>
        <v>4802795</v>
      </c>
      <c r="F53" s="62">
        <f>-'[1]Formula Weights'!$B$16*('[1]16-17 Apportionments Data'!F53)+-'[1]Formula Weights'!$B$17*('[1]16-17 Apportionments Data'!G53)+-'[1]Formula Weights'!$B$18*('[1]16-17 Apportionments Data'!H53)</f>
        <v>2431393.927855378</v>
      </c>
      <c r="G53" s="62">
        <f>'[1]Formula Weights'!$B$20*('[1]15-16 BOG (datamart)'!B56)</f>
        <v>7017070.7314113528</v>
      </c>
      <c r="H53" s="62">
        <f>'[1]Formula Weights'!$B$20*(IF('[1]15-16 BOG (datamart)'!B56&gt;'[1]14-15 BOG (datamart)'!B56,0,'[1]14-15 BOG (datamart)'!B56-'[1]15-16 BOG (datamart)'!B56))</f>
        <v>132253.59841732163</v>
      </c>
      <c r="I53" s="62">
        <f>'[1]Formula Weights'!$B$21*([1]PELL!D125)</f>
        <v>679662.97932400007</v>
      </c>
      <c r="J53" s="62">
        <f>IF(I53&gt;('[1]Formula Weights'!$B$21*[1]PELL!D53),0,'[1]Formula Weights'!$B$21*[1]PELL!D53-I53)</f>
        <v>85211.478004800039</v>
      </c>
      <c r="K53" s="62">
        <f>'[1]Formula Weights'!$B$22*('[1]15-16 Program Awards (Datamart)'!B56)</f>
        <v>6936620.078533601</v>
      </c>
      <c r="L53" s="62">
        <f>'[1]Formula Weights'!$B$22*(IF('[1]15-16 Program Awards (Datamart)'!B56&gt;'[1]14-15 Program Awards (Datamart)'!B56,0,'[1]14-15 Program Awards (Datamart)'!B56-'[1]15-16 Program Awards (Datamart)'!B56))</f>
        <v>0</v>
      </c>
      <c r="M53" s="62">
        <f>'[1]Formula Weights'!$B$23*[1]COMPLETION_RATE_2_3!D53</f>
        <v>3017855.7915521399</v>
      </c>
      <c r="N53" s="150"/>
      <c r="O53" s="62">
        <f>'[1]Formula Weights'!$B$24*(IF('[1]15-16 ADTS Awarded (datamart)'!B56&gt;'[1]16-17 ADTS Awarded (datamart)'!B56,'[1]15-16 ADTS Awarded (datamart)'!B56,'[1]16-17 ADTS Awarded (datamart)'!B56))</f>
        <v>1954538.2767351002</v>
      </c>
      <c r="P53" s="62">
        <f>'[1]Formula Weights'!$B$24*(IF('[1]15-16 ADTS Awarded (datamart)'!B56&gt;'[1]14-15 ADTS Awarded (datamart)'!B56,0,'[1]14-15 ADTS Awarded (datamart)'!B56-'[1]15-16 ADTS Awarded (datamart)'!B56))</f>
        <v>0</v>
      </c>
      <c r="Q53" s="151">
        <f t="shared" si="0"/>
        <v>43601856.958999023</v>
      </c>
    </row>
    <row r="54" spans="1:17" x14ac:dyDescent="0.2">
      <c r="A54" t="str">
        <f>'[1]15-16 Apportionments Data'!A54</f>
        <v>SAN MATEO COMMUNITY COLLEGE DISTRICT</v>
      </c>
      <c r="B54" s="62">
        <f>'[1]Formula Weights'!$B$16*('[1]16-17 Apportionments Data'!C54+'[1]16-17 Apportionments Data'!I54+'[1]16-17 Apportionments Data'!F54)</f>
        <v>37759421.605239481</v>
      </c>
      <c r="C54" s="62">
        <f>'[1]Formula Weights'!$B$17*('[1]16-17 Apportionments Data'!D54+'[1]16-17 Apportionments Data'!G54+'[1]16-17 Apportionments Data'!J54)</f>
        <v>70731.053828455682</v>
      </c>
      <c r="D54" s="62">
        <f>'[1]Formula Weights'!$B$18*('[1]16-17 Apportionments Data'!E54+'[1]16-17 Apportionments Data'!H54+'[1]16-17 Apportionments Data'!K54)</f>
        <v>0</v>
      </c>
      <c r="E54" s="62">
        <f>'[1]16-17 Apportionments Data'!T54</f>
        <v>10806288</v>
      </c>
      <c r="F54" s="62">
        <f>-'[1]Formula Weights'!$B$16*('[1]16-17 Apportionments Data'!F54)+-'[1]Formula Weights'!$B$17*('[1]16-17 Apportionments Data'!G54)+-'[1]Formula Weights'!$B$18*('[1]16-17 Apportionments Data'!H54)</f>
        <v>1762227.8092008035</v>
      </c>
      <c r="G54" s="62">
        <f>'[1]Formula Weights'!$B$20*('[1]15-16 BOG (datamart)'!B57)</f>
        <v>16975512.358392559</v>
      </c>
      <c r="H54" s="62">
        <f>'[1]Formula Weights'!$B$20*(IF('[1]15-16 BOG (datamart)'!B57&gt;'[1]14-15 BOG (datamart)'!B57,0,'[1]14-15 BOG (datamart)'!B57-'[1]15-16 BOG (datamart)'!B57))</f>
        <v>2295362.9340698607</v>
      </c>
      <c r="I54" s="62">
        <f>'[1]Formula Weights'!$B$21*([1]PELL!D126)</f>
        <v>1225422.2074976</v>
      </c>
      <c r="J54" s="62">
        <f>IF(I54&gt;('[1]Formula Weights'!$B$21*[1]PELL!D54),0,'[1]Formula Weights'!$B$21*[1]PELL!D54-I54)</f>
        <v>568076.52003200003</v>
      </c>
      <c r="K54" s="62">
        <f>'[1]Formula Weights'!$B$22*('[1]15-16 Program Awards (Datamart)'!B57)</f>
        <v>19892010.886806242</v>
      </c>
      <c r="L54" s="62">
        <f>'[1]Formula Weights'!$B$22*(IF('[1]15-16 Program Awards (Datamart)'!B57&gt;'[1]14-15 Program Awards (Datamart)'!B57,0,'[1]14-15 Program Awards (Datamart)'!B57-'[1]15-16 Program Awards (Datamart)'!B57))</f>
        <v>0</v>
      </c>
      <c r="M54" s="62">
        <f>'[1]Formula Weights'!$B$23*[1]COMPLETION_RATE_2_3!D54</f>
        <v>7797651.6311013885</v>
      </c>
      <c r="N54" s="150"/>
      <c r="O54" s="62">
        <f>'[1]Formula Weights'!$B$24*(IF('[1]15-16 ADTS Awarded (datamart)'!B57&gt;'[1]16-17 ADTS Awarded (datamart)'!B57,'[1]15-16 ADTS Awarded (datamart)'!B57,'[1]16-17 ADTS Awarded (datamart)'!B57))</f>
        <v>1458457.8474494771</v>
      </c>
      <c r="P54" s="62">
        <f>'[1]Formula Weights'!$B$24*(IF('[1]15-16 ADTS Awarded (datamart)'!B57&gt;'[1]14-15 ADTS Awarded (datamart)'!B57,0,'[1]14-15 ADTS Awarded (datamart)'!B57-'[1]15-16 ADTS Awarded (datamart)'!B57))</f>
        <v>0</v>
      </c>
      <c r="Q54" s="151">
        <f t="shared" si="0"/>
        <v>100611162.85361786</v>
      </c>
    </row>
    <row r="55" spans="1:17" x14ac:dyDescent="0.2">
      <c r="A55" t="str">
        <f>'[1]15-16 Apportionments Data'!A55</f>
        <v>SANTA BARBARA COMMUNITY COLLEGE DISTRICT</v>
      </c>
      <c r="B55" s="62">
        <f>'[1]Formula Weights'!$B$16*('[1]16-17 Apportionments Data'!C55+'[1]16-17 Apportionments Data'!I55+'[1]16-17 Apportionments Data'!F55)</f>
        <v>26860931.593384389</v>
      </c>
      <c r="C55" s="62">
        <f>'[1]Formula Weights'!$B$17*('[1]16-17 Apportionments Data'!D55+'[1]16-17 Apportionments Data'!G55+'[1]16-17 Apportionments Data'!J55)</f>
        <v>234254.91117596437</v>
      </c>
      <c r="D55" s="62">
        <f>'[1]Formula Weights'!$B$18*('[1]16-17 Apportionments Data'!E55+'[1]16-17 Apportionments Data'!H55+'[1]16-17 Apportionments Data'!K55)</f>
        <v>960597.10692696797</v>
      </c>
      <c r="E55" s="62">
        <f>'[1]16-17 Apportionments Data'!T55</f>
        <v>6904018</v>
      </c>
      <c r="F55" s="62">
        <f>-'[1]Formula Weights'!$B$16*('[1]16-17 Apportionments Data'!F55)+-'[1]Formula Weights'!$B$17*('[1]16-17 Apportionments Data'!G55)+-'[1]Formula Weights'!$B$18*('[1]16-17 Apportionments Data'!H55)</f>
        <v>2096795.0240410112</v>
      </c>
      <c r="G55" s="62">
        <f>'[1]Formula Weights'!$B$20*('[1]15-16 BOG (datamart)'!B58)</f>
        <v>13941309.610087469</v>
      </c>
      <c r="H55" s="62">
        <f>'[1]Formula Weights'!$B$20*(IF('[1]15-16 BOG (datamart)'!B58&gt;'[1]14-15 BOG (datamart)'!B58,0,'[1]14-15 BOG (datamart)'!B58-'[1]15-16 BOG (datamart)'!B58))</f>
        <v>373870.74937204382</v>
      </c>
      <c r="I55" s="62">
        <f>'[1]Formula Weights'!$B$21*([1]PELL!D127)</f>
        <v>1134124.1953496002</v>
      </c>
      <c r="J55" s="62">
        <f>IF(I55&gt;('[1]Formula Weights'!$B$21*[1]PELL!D55),0,'[1]Formula Weights'!$B$21*[1]PELL!D55-I55)</f>
        <v>375336.27216399997</v>
      </c>
      <c r="K55" s="62">
        <f>'[1]Formula Weights'!$B$22*('[1]15-16 Program Awards (Datamart)'!B58)</f>
        <v>19686286.032766081</v>
      </c>
      <c r="L55" s="62">
        <f>'[1]Formula Weights'!$B$22*(IF('[1]15-16 Program Awards (Datamart)'!B58&gt;'[1]14-15 Program Awards (Datamart)'!B58,0,'[1]14-15 Program Awards (Datamart)'!B58-'[1]15-16 Program Awards (Datamart)'!B58))</f>
        <v>0</v>
      </c>
      <c r="M55" s="62">
        <f>'[1]Formula Weights'!$B$23*[1]COMPLETION_RATE_2_3!D55</f>
        <v>6377125.5716435118</v>
      </c>
      <c r="N55" s="150"/>
      <c r="O55" s="62">
        <f>'[1]Formula Weights'!$B$24*(IF('[1]15-16 ADTS Awarded (datamart)'!B58&gt;'[1]16-17 ADTS Awarded (datamart)'!B58,'[1]15-16 ADTS Awarded (datamart)'!B58,'[1]16-17 ADTS Awarded (datamart)'!B58))</f>
        <v>1266726.9498268911</v>
      </c>
      <c r="P55" s="62">
        <f>'[1]Formula Weights'!$B$24*(IF('[1]15-16 ADTS Awarded (datamart)'!B58&gt;'[1]14-15 ADTS Awarded (datamart)'!B58,0,'[1]14-15 ADTS Awarded (datamart)'!B58-'[1]15-16 ADTS Awarded (datamart)'!B58))</f>
        <v>0</v>
      </c>
      <c r="Q55" s="151">
        <f t="shared" si="0"/>
        <v>80211376.016737923</v>
      </c>
    </row>
    <row r="56" spans="1:17" x14ac:dyDescent="0.2">
      <c r="A56" t="str">
        <f>'[1]15-16 Apportionments Data'!A56</f>
        <v>SANTA CLARITA COMMUNITY COLLEGE DISTRICT</v>
      </c>
      <c r="B56" s="62">
        <f>'[1]Formula Weights'!$B$16*('[1]16-17 Apportionments Data'!C56+'[1]16-17 Apportionments Data'!I56+'[1]16-17 Apportionments Data'!F56)</f>
        <v>36740959.412444167</v>
      </c>
      <c r="C56" s="62">
        <f>'[1]Formula Weights'!$B$17*('[1]16-17 Apportionments Data'!D56+'[1]16-17 Apportionments Data'!G56+'[1]16-17 Apportionments Data'!J56)</f>
        <v>309490.06513028871</v>
      </c>
      <c r="D56" s="62">
        <f>'[1]Formula Weights'!$B$18*('[1]16-17 Apportionments Data'!E56+'[1]16-17 Apportionments Data'!H56+'[1]16-17 Apportionments Data'!K56)</f>
        <v>414959.60943623201</v>
      </c>
      <c r="E56" s="62">
        <f>'[1]16-17 Apportionments Data'!T56</f>
        <v>6003494</v>
      </c>
      <c r="F56" s="62">
        <f>-'[1]Formula Weights'!$B$16*('[1]16-17 Apportionments Data'!F56)+-'[1]Formula Weights'!$B$17*('[1]16-17 Apportionments Data'!G56)+-'[1]Formula Weights'!$B$18*('[1]16-17 Apportionments Data'!H56)</f>
        <v>0</v>
      </c>
      <c r="G56" s="62">
        <f>'[1]Formula Weights'!$B$20*('[1]15-16 BOG (datamart)'!B59)</f>
        <v>14942113.282726239</v>
      </c>
      <c r="H56" s="62">
        <f>'[1]Formula Weights'!$B$20*(IF('[1]15-16 BOG (datamart)'!B59&gt;'[1]14-15 BOG (datamart)'!B59,0,'[1]14-15 BOG (datamart)'!B59-'[1]15-16 BOG (datamart)'!B59))</f>
        <v>0</v>
      </c>
      <c r="I56" s="62">
        <f>'[1]Formula Weights'!$B$21*([1]PELL!D128)</f>
        <v>1608873.8585192002</v>
      </c>
      <c r="J56" s="62">
        <f>IF(I56&gt;('[1]Formula Weights'!$B$21*[1]PELL!D56),0,'[1]Formula Weights'!$B$21*[1]PELL!D56-I56)</f>
        <v>478807.35259839986</v>
      </c>
      <c r="K56" s="62">
        <f>'[1]Formula Weights'!$B$22*('[1]15-16 Program Awards (Datamart)'!B59)</f>
        <v>17396937.65703712</v>
      </c>
      <c r="L56" s="62">
        <f>'[1]Formula Weights'!$B$22*(IF('[1]15-16 Program Awards (Datamart)'!B59&gt;'[1]14-15 Program Awards (Datamart)'!B59,0,'[1]14-15 Program Awards (Datamart)'!B59-'[1]15-16 Program Awards (Datamart)'!B59))</f>
        <v>0</v>
      </c>
      <c r="M56" s="62">
        <f>'[1]Formula Weights'!$B$23*[1]COMPLETION_RATE_2_3!D56</f>
        <v>8157355.6547409361</v>
      </c>
      <c r="N56" s="150"/>
      <c r="O56" s="62">
        <f>'[1]Formula Weights'!$B$24*(IF('[1]15-16 ADTS Awarded (datamart)'!B59&gt;'[1]16-17 ADTS Awarded (datamart)'!B59,'[1]15-16 ADTS Awarded (datamart)'!B59,'[1]16-17 ADTS Awarded (datamart)'!B59))</f>
        <v>473742.848980079</v>
      </c>
      <c r="P56" s="62">
        <f>'[1]Formula Weights'!$B$24*(IF('[1]15-16 ADTS Awarded (datamart)'!B59&gt;'[1]14-15 ADTS Awarded (datamart)'!B59,0,'[1]14-15 ADTS Awarded (datamart)'!B59-'[1]15-16 ADTS Awarded (datamart)'!B59))</f>
        <v>0</v>
      </c>
      <c r="Q56" s="151">
        <f t="shared" si="0"/>
        <v>86526733.741612658</v>
      </c>
    </row>
    <row r="57" spans="1:17" x14ac:dyDescent="0.2">
      <c r="A57" t="str">
        <f>'[1]15-16 Apportionments Data'!A57</f>
        <v>SANTA MONICA COMMUNITY COLLEGE DISTRICT</v>
      </c>
      <c r="B57" s="153">
        <f>'[1]Formula Weights'!J16*('[1]16-17 Apportionments Data'!C57+'[1]16-17 Apportionments Data'!I57+'[1]16-17 Apportionments Data'!F57)</f>
        <v>48124492.610655427</v>
      </c>
      <c r="C57" s="62">
        <f>'[1]Formula Weights'!$B$17*('[1]16-17 Apportionments Data'!D57+'[1]16-17 Apportionments Data'!G57+'[1]16-17 Apportionments Data'!J57)</f>
        <v>1070794.1987508759</v>
      </c>
      <c r="D57" s="62">
        <f>'[1]Formula Weights'!$B$18*('[1]16-17 Apportionments Data'!E57+'[1]16-17 Apportionments Data'!H57+'[1]16-17 Apportionments Data'!K57)</f>
        <v>0</v>
      </c>
      <c r="E57" s="62">
        <f>'[1]16-17 Apportionments Data'!T57</f>
        <v>7204193</v>
      </c>
      <c r="F57" s="62">
        <f>-'[1]Formula Weights'!$B$16*('[1]16-17 Apportionments Data'!F57)+-'[1]Formula Weights'!$B$17*('[1]16-17 Apportionments Data'!G57)+-'[1]Formula Weights'!$B$18*('[1]16-17 Apportionments Data'!H57)</f>
        <v>1441263.814315944</v>
      </c>
      <c r="G57" s="62">
        <f>'[1]Formula Weights'!$B$20*('[1]15-16 BOG (datamart)'!B60)</f>
        <v>27167941.121035181</v>
      </c>
      <c r="H57" s="62">
        <f>'[1]Formula Weights'!$B$20*(IF('[1]15-16 BOG (datamart)'!B60&gt;'[1]14-15 BOG (datamart)'!B60,0,'[1]14-15 BOG (datamart)'!B60-'[1]15-16 BOG (datamart)'!B60))</f>
        <v>643464.6230688917</v>
      </c>
      <c r="I57" s="62">
        <f>'[1]Formula Weights'!$B$21*([1]PELL!D129)</f>
        <v>3361795.6917608003</v>
      </c>
      <c r="J57" s="62">
        <f>IF(I57&gt;('[1]Formula Weights'!$B$21*[1]PELL!D57),0,'[1]Formula Weights'!$B$21*[1]PELL!D57-I57)</f>
        <v>1032681.9596296004</v>
      </c>
      <c r="K57" s="62">
        <f>'[1]Formula Weights'!$B$22*('[1]15-16 Program Awards (Datamart)'!B60)</f>
        <v>25641756.807415843</v>
      </c>
      <c r="L57" s="62">
        <f>'[1]Formula Weights'!$B$22*(IF('[1]15-16 Program Awards (Datamart)'!B60&gt;'[1]14-15 Program Awards (Datamart)'!B60,0,'[1]14-15 Program Awards (Datamart)'!B60-'[1]15-16 Program Awards (Datamart)'!B60))</f>
        <v>0</v>
      </c>
      <c r="M57" s="62">
        <f>'[1]Formula Weights'!$B$23*[1]COMPLETION_RATE_2_3!D57</f>
        <v>9443754.7901298273</v>
      </c>
      <c r="N57" s="150"/>
      <c r="O57" s="62">
        <f>'[1]Formula Weights'!$B$24*(IF('[1]15-16 ADTS Awarded (datamart)'!B60&gt;'[1]16-17 ADTS Awarded (datamart)'!B60,'[1]15-16 ADTS Awarded (datamart)'!B60,'[1]16-17 ADTS Awarded (datamart)'!B60))</f>
        <v>464435.52385276899</v>
      </c>
      <c r="P57" s="62">
        <f>'[1]Formula Weights'!$B$24*(IF('[1]15-16 ADTS Awarded (datamart)'!B60&gt;'[1]14-15 ADTS Awarded (datamart)'!B60,0,'[1]14-15 ADTS Awarded (datamart)'!B60-'[1]15-16 ADTS Awarded (datamart)'!B60))</f>
        <v>0</v>
      </c>
      <c r="Q57" s="151">
        <f t="shared" si="0"/>
        <v>125596574.14061515</v>
      </c>
    </row>
    <row r="58" spans="1:17" x14ac:dyDescent="0.2">
      <c r="A58" t="str">
        <f>'[1]15-16 Apportionments Data'!A58</f>
        <v>SEQUOIAS COMMUNITY COLLEGE DISTRICT</v>
      </c>
      <c r="B58" s="62">
        <f>'[1]Formula Weights'!$B$16*('[1]16-17 Apportionments Data'!C58+'[1]16-17 Apportionments Data'!I58+'[1]16-17 Apportionments Data'!F58)</f>
        <v>20963025.838469714</v>
      </c>
      <c r="C58" s="62">
        <f>'[1]Formula Weights'!$B$17*('[1]16-17 Apportionments Data'!D58+'[1]16-17 Apportionments Data'!G58+'[1]16-17 Apportionments Data'!J58)</f>
        <v>477406.81025487918</v>
      </c>
      <c r="D58" s="62">
        <f>'[1]Formula Weights'!$B$18*('[1]16-17 Apportionments Data'!E58+'[1]16-17 Apportionments Data'!H58+'[1]16-17 Apportionments Data'!K58)</f>
        <v>441966.37296749617</v>
      </c>
      <c r="E58" s="62">
        <f>'[1]16-17 Apportionments Data'!T58</f>
        <v>6003494</v>
      </c>
      <c r="F58" s="62">
        <f>-'[1]Formula Weights'!$B$16*('[1]16-17 Apportionments Data'!F58)+-'[1]Formula Weights'!$B$17*('[1]16-17 Apportionments Data'!G58)+-'[1]Formula Weights'!$B$18*('[1]16-17 Apportionments Data'!H58)</f>
        <v>0</v>
      </c>
      <c r="G58" s="62">
        <f>'[1]Formula Weights'!$B$20*('[1]15-16 BOG (datamart)'!B61)</f>
        <v>13344896.747993972</v>
      </c>
      <c r="H58" s="62">
        <f>'[1]Formula Weights'!$B$20*(IF('[1]15-16 BOG (datamart)'!B61&gt;'[1]14-15 BOG (datamart)'!B61,0,'[1]14-15 BOG (datamart)'!B61-'[1]15-16 BOG (datamart)'!B61))</f>
        <v>0</v>
      </c>
      <c r="I58" s="62">
        <f>'[1]Formula Weights'!$B$21*([1]PELL!D130)</f>
        <v>2473161.7068536002</v>
      </c>
      <c r="J58" s="62">
        <f>IF(I58&gt;('[1]Formula Weights'!$B$21*[1]PELL!D58),0,'[1]Formula Weights'!$B$21*[1]PELL!D58-I58)</f>
        <v>164336.42186640017</v>
      </c>
      <c r="K58" s="62">
        <f>'[1]Formula Weights'!$B$22*('[1]15-16 Program Awards (Datamart)'!B61)</f>
        <v>10987817.204247521</v>
      </c>
      <c r="L58" s="62">
        <f>'[1]Formula Weights'!$B$22*(IF('[1]15-16 Program Awards (Datamart)'!B61&gt;'[1]14-15 Program Awards (Datamart)'!B61,0,'[1]14-15 Program Awards (Datamart)'!B61-'[1]15-16 Program Awards (Datamart)'!B61))</f>
        <v>0</v>
      </c>
      <c r="M58" s="62">
        <f>'[1]Formula Weights'!$B$23*[1]COMPLETION_RATE_2_3!D58</f>
        <v>3475106.6690600403</v>
      </c>
      <c r="N58" s="150"/>
      <c r="O58" s="62">
        <f>'[1]Formula Weights'!$B$24*(IF('[1]15-16 ADTS Awarded (datamart)'!B61&gt;'[1]16-17 ADTS Awarded (datamart)'!B61,'[1]15-16 ADTS Awarded (datamart)'!B61,'[1]16-17 ADTS Awarded (datamart)'!B61))</f>
        <v>149847.93454969101</v>
      </c>
      <c r="P58" s="62">
        <f>'[1]Formula Weights'!$B$24*(IF('[1]15-16 ADTS Awarded (datamart)'!B61&gt;'[1]14-15 ADTS Awarded (datamart)'!B61,0,'[1]14-15 ADTS Awarded (datamart)'!B61-'[1]15-16 ADTS Awarded (datamart)'!B61))</f>
        <v>0</v>
      </c>
      <c r="Q58" s="151">
        <f t="shared" si="0"/>
        <v>58481059.706263304</v>
      </c>
    </row>
    <row r="59" spans="1:17" x14ac:dyDescent="0.2">
      <c r="A59" t="str">
        <f>'[1]15-16 Apportionments Data'!A59</f>
        <v>SHASTA-TEHAMA-TRINITY COMMUNITY COLLEGE DISTRICT</v>
      </c>
      <c r="B59" s="62">
        <f>'[1]Formula Weights'!$B$16*('[1]16-17 Apportionments Data'!C59+'[1]16-17 Apportionments Data'!I59+'[1]16-17 Apportionments Data'!F59)</f>
        <v>16139567.434706334</v>
      </c>
      <c r="C59" s="62">
        <f>'[1]Formula Weights'!$B$17*('[1]16-17 Apportionments Data'!D59+'[1]16-17 Apportionments Data'!G59+'[1]16-17 Apportionments Data'!J59)</f>
        <v>182513.36590286845</v>
      </c>
      <c r="D59" s="62">
        <f>'[1]Formula Weights'!$B$18*('[1]16-17 Apportionments Data'!E59+'[1]16-17 Apportionments Data'!H59+'[1]16-17 Apportionments Data'!K59)</f>
        <v>63825.831639252487</v>
      </c>
      <c r="E59" s="62">
        <f>'[1]16-17 Apportionments Data'!T59</f>
        <v>3602096</v>
      </c>
      <c r="F59" s="62">
        <f>-'[1]Formula Weights'!$B$16*('[1]16-17 Apportionments Data'!F59)+-'[1]Formula Weights'!$B$17*('[1]16-17 Apportionments Data'!G59)+-'[1]Formula Weights'!$B$18*('[1]16-17 Apportionments Data'!H59)</f>
        <v>0</v>
      </c>
      <c r="G59" s="62">
        <f>'[1]Formula Weights'!$B$20*('[1]15-16 BOG (datamart)'!B62)</f>
        <v>7685968.7387912674</v>
      </c>
      <c r="H59" s="62">
        <f>'[1]Formula Weights'!$B$20*(IF('[1]15-16 BOG (datamart)'!B62&gt;'[1]14-15 BOG (datamart)'!B62,0,'[1]14-15 BOG (datamart)'!B62-'[1]15-16 BOG (datamart)'!B62))</f>
        <v>574794.48542912852</v>
      </c>
      <c r="I59" s="62">
        <f>'[1]Formula Weights'!$B$21*([1]PELL!D131)</f>
        <v>829797.48818960006</v>
      </c>
      <c r="J59" s="62">
        <f>IF(I59&gt;('[1]Formula Weights'!$B$21*[1]PELL!D59),0,'[1]Formula Weights'!$B$21*[1]PELL!D59-I59)</f>
        <v>255634.43401440012</v>
      </c>
      <c r="K59" s="62">
        <f>'[1]Formula Weights'!$B$22*('[1]15-16 Program Awards (Datamart)'!B62)</f>
        <v>6440770.4303342411</v>
      </c>
      <c r="L59" s="62">
        <f>'[1]Formula Weights'!$B$22*(IF('[1]15-16 Program Awards (Datamart)'!B62&gt;'[1]14-15 Program Awards (Datamart)'!B62,0,'[1]14-15 Program Awards (Datamart)'!B62-'[1]15-16 Program Awards (Datamart)'!B62))</f>
        <v>0</v>
      </c>
      <c r="M59" s="62">
        <f>'[1]Formula Weights'!$B$23*[1]COMPLETION_RATE_2_3!D59</f>
        <v>2950792.3295176481</v>
      </c>
      <c r="N59" s="150"/>
      <c r="O59" s="62">
        <f>'[1]Formula Weights'!$B$24*(IF('[1]15-16 ADTS Awarded (datamart)'!B62&gt;'[1]16-17 ADTS Awarded (datamart)'!B62,'[1]15-16 ADTS Awarded (datamart)'!B62,'[1]16-17 ADTS Awarded (datamart)'!B62))</f>
        <v>125648.889218685</v>
      </c>
      <c r="P59" s="62">
        <f>'[1]Formula Weights'!$B$24*(IF('[1]15-16 ADTS Awarded (datamart)'!B62&gt;'[1]14-15 ADTS Awarded (datamart)'!B62,0,'[1]14-15 ADTS Awarded (datamart)'!B62-'[1]15-16 ADTS Awarded (datamart)'!B62))</f>
        <v>5584.3950763860003</v>
      </c>
      <c r="Q59" s="151">
        <f t="shared" si="0"/>
        <v>38851409.427743427</v>
      </c>
    </row>
    <row r="60" spans="1:17" x14ac:dyDescent="0.2">
      <c r="A60" t="str">
        <f>'[1]15-16 Apportionments Data'!A60</f>
        <v>SIERRA COMMUNITY COLLEGE DISTRICT</v>
      </c>
      <c r="B60" s="62">
        <f>'[1]Formula Weights'!$B$16*('[1]16-17 Apportionments Data'!C60+'[1]16-17 Apportionments Data'!I60+'[1]16-17 Apportionments Data'!F60)</f>
        <v>31469780.223449834</v>
      </c>
      <c r="C60" s="62">
        <f>'[1]Formula Weights'!$B$17*('[1]16-17 Apportionments Data'!D60+'[1]16-17 Apportionments Data'!G60+'[1]16-17 Apportionments Data'!J60)</f>
        <v>390633.37511391606</v>
      </c>
      <c r="D60" s="62">
        <f>'[1]Formula Weights'!$B$18*('[1]16-17 Apportionments Data'!E60+'[1]16-17 Apportionments Data'!H60+'[1]16-17 Apportionments Data'!K60)</f>
        <v>0</v>
      </c>
      <c r="E60" s="62">
        <f>'[1]16-17 Apportionments Data'!T60</f>
        <v>6153581</v>
      </c>
      <c r="F60" s="62">
        <f>-'[1]Formula Weights'!$B$16*('[1]16-17 Apportionments Data'!F60)+-'[1]Formula Weights'!$B$17*('[1]16-17 Apportionments Data'!G60)+-'[1]Formula Weights'!$B$18*('[1]16-17 Apportionments Data'!H60)</f>
        <v>1975755.1996574025</v>
      </c>
      <c r="G60" s="62">
        <f>'[1]Formula Weights'!$B$20*('[1]15-16 BOG (datamart)'!B63)</f>
        <v>16348579.435125833</v>
      </c>
      <c r="H60" s="62">
        <f>'[1]Formula Weights'!$B$20*(IF('[1]15-16 BOG (datamart)'!B63&gt;'[1]14-15 BOG (datamart)'!B63,0,'[1]14-15 BOG (datamart)'!B63-'[1]15-16 BOG (datamart)'!B63))</f>
        <v>1023693.7185186914</v>
      </c>
      <c r="I60" s="62">
        <f>'[1]Formula Weights'!$B$21*([1]PELL!D132)</f>
        <v>1789441.0381008002</v>
      </c>
      <c r="J60" s="62">
        <f>IF(I60&gt;('[1]Formula Weights'!$B$21*[1]PELL!D60),0,'[1]Formula Weights'!$B$21*[1]PELL!D60-I60)</f>
        <v>655316.84275120008</v>
      </c>
      <c r="K60" s="62">
        <f>'[1]Formula Weights'!$B$22*('[1]15-16 Program Awards (Datamart)'!B63)</f>
        <v>16489638.300757442</v>
      </c>
      <c r="L60" s="62">
        <f>'[1]Formula Weights'!$B$22*(IF('[1]15-16 Program Awards (Datamart)'!B63&gt;'[1]14-15 Program Awards (Datamart)'!B63,0,'[1]14-15 Program Awards (Datamart)'!B63-'[1]15-16 Program Awards (Datamart)'!B63))</f>
        <v>0</v>
      </c>
      <c r="M60" s="62">
        <f>'[1]Formula Weights'!$B$23*[1]COMPLETION_RATE_2_3!D60</f>
        <v>6663669.4548817957</v>
      </c>
      <c r="N60" s="150"/>
      <c r="O60" s="62">
        <f>'[1]Formula Weights'!$B$24*(IF('[1]15-16 ADTS Awarded (datamart)'!B63&gt;'[1]16-17 ADTS Awarded (datamart)'!B63,'[1]15-16 ADTS Awarded (datamart)'!B63,'[1]16-17 ADTS Awarded (datamart)'!B63))</f>
        <v>576123.42538048897</v>
      </c>
      <c r="P60" s="62">
        <f>'[1]Formula Weights'!$B$24*(IF('[1]15-16 ADTS Awarded (datamart)'!B63&gt;'[1]14-15 ADTS Awarded (datamart)'!B63,0,'[1]14-15 ADTS Awarded (datamart)'!B63-'[1]15-16 ADTS Awarded (datamart)'!B63))</f>
        <v>0</v>
      </c>
      <c r="Q60" s="151">
        <f t="shared" si="0"/>
        <v>83536212.013737395</v>
      </c>
    </row>
    <row r="61" spans="1:17" x14ac:dyDescent="0.2">
      <c r="A61" t="str">
        <f>'[1]15-16 Apportionments Data'!A61</f>
        <v>SISKIYOU COMMUNITY COLLEGE DISTRICT</v>
      </c>
      <c r="B61" s="62">
        <f>'[1]Formula Weights'!$B$16*('[1]16-17 Apportionments Data'!C61+'[1]16-17 Apportionments Data'!I61+'[1]16-17 Apportionments Data'!F61)</f>
        <v>4927656.8250278914</v>
      </c>
      <c r="C61" s="62">
        <f>'[1]Formula Weights'!$B$17*('[1]16-17 Apportionments Data'!D61+'[1]16-17 Apportionments Data'!G61+'[1]16-17 Apportionments Data'!J61)</f>
        <v>105248.58658318357</v>
      </c>
      <c r="D61" s="62">
        <f>'[1]Formula Weights'!$B$18*('[1]16-17 Apportionments Data'!E61+'[1]16-17 Apportionments Data'!H61+'[1]16-17 Apportionments Data'!K61)</f>
        <v>1080339.3190863847</v>
      </c>
      <c r="E61" s="62">
        <f>'[1]16-17 Apportionments Data'!T61</f>
        <v>4747788</v>
      </c>
      <c r="F61" s="62">
        <f>-'[1]Formula Weights'!$B$16*('[1]16-17 Apportionments Data'!F61)+-'[1]Formula Weights'!$B$17*('[1]16-17 Apportionments Data'!G61)+-'[1]Formula Weights'!$B$18*('[1]16-17 Apportionments Data'!H61)</f>
        <v>293938.36280447454</v>
      </c>
      <c r="G61" s="62">
        <f>'[1]Formula Weights'!$B$20*('[1]15-16 BOG (datamart)'!B64)</f>
        <v>1807041.9552982117</v>
      </c>
      <c r="H61" s="62">
        <f>'[1]Formula Weights'!$B$20*(IF('[1]15-16 BOG (datamart)'!B64&gt;'[1]14-15 BOG (datamart)'!B64,0,'[1]14-15 BOG (datamart)'!B64-'[1]15-16 BOG (datamart)'!B64))</f>
        <v>78843.4913641725</v>
      </c>
      <c r="I61" s="62">
        <f>'[1]Formula Weights'!$B$21*([1]PELL!D133)</f>
        <v>223172.91858400003</v>
      </c>
      <c r="J61" s="62">
        <f>IF(I61&gt;('[1]Formula Weights'!$B$21*[1]PELL!D61),0,'[1]Formula Weights'!$B$21*[1]PELL!D61-I61)</f>
        <v>16230.757715199987</v>
      </c>
      <c r="K61" s="62">
        <f>'[1]Formula Weights'!$B$22*('[1]15-16 Program Awards (Datamart)'!B64)</f>
        <v>1360949.0344195201</v>
      </c>
      <c r="L61" s="62">
        <f>'[1]Formula Weights'!$B$22*(IF('[1]15-16 Program Awards (Datamart)'!B64&gt;'[1]14-15 Program Awards (Datamart)'!B64,0,'[1]14-15 Program Awards (Datamart)'!B64-'[1]15-16 Program Awards (Datamart)'!B64))</f>
        <v>100224.92889136002</v>
      </c>
      <c r="M61" s="62">
        <f>'[1]Formula Weights'!$B$23*[1]COMPLETION_RATE_2_3!D61</f>
        <v>487734.26934176002</v>
      </c>
      <c r="N61" s="150"/>
      <c r="O61" s="62">
        <f>'[1]Formula Weights'!$B$24*(IF('[1]15-16 ADTS Awarded (datamart)'!B64&gt;'[1]16-17 ADTS Awarded (datamart)'!B64,'[1]15-16 ADTS Awarded (datamart)'!B64,'[1]16-17 ADTS Awarded (datamart)'!B64))</f>
        <v>379738.86519424804</v>
      </c>
      <c r="P61" s="62">
        <f>'[1]Formula Weights'!$B$24*(IF('[1]15-16 ADTS Awarded (datamart)'!B64&gt;'[1]14-15 ADTS Awarded (datamart)'!B64,0,'[1]14-15 ADTS Awarded (datamart)'!B64-'[1]15-16 ADTS Awarded (datamart)'!B64))</f>
        <v>0</v>
      </c>
      <c r="Q61" s="151">
        <f t="shared" si="0"/>
        <v>15608907.314310405</v>
      </c>
    </row>
    <row r="62" spans="1:17" x14ac:dyDescent="0.2">
      <c r="A62" t="str">
        <f>'[1]15-16 Apportionments Data'!A62</f>
        <v>SOLANO COMMUNITY COLLEGE DISTRICT</v>
      </c>
      <c r="B62" s="62">
        <f>'[1]Formula Weights'!$B$16*('[1]16-17 Apportionments Data'!C62+'[1]16-17 Apportionments Data'!I62+'[1]16-17 Apportionments Data'!F62)</f>
        <v>16469059.120165868</v>
      </c>
      <c r="C62" s="62">
        <f>'[1]Formula Weights'!$B$17*('[1]16-17 Apportionments Data'!D62+'[1]16-17 Apportionments Data'!G62+'[1]16-17 Apportionments Data'!J62)</f>
        <v>67658.812693218119</v>
      </c>
      <c r="D62" s="62">
        <f>'[1]Formula Weights'!$B$18*('[1]16-17 Apportionments Data'!E62+'[1]16-17 Apportionments Data'!H62+'[1]16-17 Apportionments Data'!K62)</f>
        <v>0</v>
      </c>
      <c r="E62" s="62">
        <f>'[1]16-17 Apportionments Data'!T62</f>
        <v>6003494</v>
      </c>
      <c r="F62" s="62">
        <f>-'[1]Formula Weights'!$B$16*('[1]16-17 Apportionments Data'!F62)+-'[1]Formula Weights'!$B$17*('[1]16-17 Apportionments Data'!G62)+-'[1]Formula Weights'!$B$18*('[1]16-17 Apportionments Data'!H62)</f>
        <v>2354050.6804603771</v>
      </c>
      <c r="G62" s="62">
        <f>'[1]Formula Weights'!$B$20*('[1]15-16 BOG (datamart)'!B65)</f>
        <v>9072088.1837420426</v>
      </c>
      <c r="H62" s="62">
        <f>'[1]Formula Weights'!$B$20*(IF('[1]15-16 BOG (datamart)'!B65&gt;'[1]14-15 BOG (datamart)'!B65,0,'[1]14-15 BOG (datamart)'!B65-'[1]15-16 BOG (datamart)'!B65))</f>
        <v>108091.8833218494</v>
      </c>
      <c r="I62" s="62">
        <f>'[1]Formula Weights'!$B$21*([1]PELL!D134)</f>
        <v>754730.23375680007</v>
      </c>
      <c r="J62" s="62">
        <f>IF(I62&gt;('[1]Formula Weights'!$B$21*[1]PELL!D62),0,'[1]Formula Weights'!$B$21*[1]PELL!D62-I62)</f>
        <v>261720.96815760003</v>
      </c>
      <c r="K62" s="62">
        <f>'[1]Formula Weights'!$B$22*('[1]15-16 Program Awards (Datamart)'!B65)</f>
        <v>8371419.0605572807</v>
      </c>
      <c r="L62" s="62">
        <f>'[1]Formula Weights'!$B$22*(IF('[1]15-16 Program Awards (Datamart)'!B65&gt;'[1]14-15 Program Awards (Datamart)'!B65,0,'[1]14-15 Program Awards (Datamart)'!B65-'[1]15-16 Program Awards (Datamart)'!B65))</f>
        <v>79124.943861600012</v>
      </c>
      <c r="M62" s="62">
        <f>'[1]Formula Weights'!$B$23*[1]COMPLETION_RATE_2_3!D62</f>
        <v>2499638.1303765201</v>
      </c>
      <c r="N62" s="150"/>
      <c r="O62" s="62">
        <f>'[1]Formula Weights'!$B$24*(IF('[1]15-16 ADTS Awarded (datamart)'!B65&gt;'[1]16-17 ADTS Awarded (datamart)'!B65,'[1]15-16 ADTS Awarded (datamart)'!B65,'[1]16-17 ADTS Awarded (datamart)'!B65))</f>
        <v>278289.02130656899</v>
      </c>
      <c r="P62" s="62">
        <f>'[1]Formula Weights'!$B$24*(IF('[1]15-16 ADTS Awarded (datamart)'!B65&gt;'[1]14-15 ADTS Awarded (datamart)'!B65,0,'[1]14-15 ADTS Awarded (datamart)'!B65-'[1]15-16 ADTS Awarded (datamart)'!B65))</f>
        <v>0</v>
      </c>
      <c r="Q62" s="151">
        <f t="shared" si="0"/>
        <v>46319365.038399719</v>
      </c>
    </row>
    <row r="63" spans="1:17" x14ac:dyDescent="0.2">
      <c r="A63" t="str">
        <f>'[1]15-16 Apportionments Data'!A63</f>
        <v>SONOMA COMMUNITY COLLEGE DISTRICT</v>
      </c>
      <c r="B63" s="62">
        <f>'[1]Formula Weights'!$B$16*('[1]16-17 Apportionments Data'!C63+'[1]16-17 Apportionments Data'!I63+'[1]16-17 Apportionments Data'!F63)</f>
        <v>31567307.194639981</v>
      </c>
      <c r="C63" s="62">
        <f>'[1]Formula Weights'!$B$17*('[1]16-17 Apportionments Data'!D63+'[1]16-17 Apportionments Data'!G63+'[1]16-17 Apportionments Data'!J63)</f>
        <v>3135798.9925692626</v>
      </c>
      <c r="D63" s="62">
        <f>'[1]Formula Weights'!$B$18*('[1]16-17 Apportionments Data'!E63+'[1]16-17 Apportionments Data'!H63+'[1]16-17 Apportionments Data'!K63)</f>
        <v>1687716.3871965557</v>
      </c>
      <c r="E63" s="62">
        <f>'[1]16-17 Apportionments Data'!T63</f>
        <v>8705067</v>
      </c>
      <c r="F63" s="62">
        <f>-'[1]Formula Weights'!$B$16*('[1]16-17 Apportionments Data'!F63)+-'[1]Formula Weights'!$B$17*('[1]16-17 Apportionments Data'!G63)+-'[1]Formula Weights'!$B$18*('[1]16-17 Apportionments Data'!H63)</f>
        <v>6040075.3832908794</v>
      </c>
      <c r="G63" s="62">
        <f>'[1]Formula Weights'!$B$20*('[1]15-16 BOG (datamart)'!B66)</f>
        <v>15345232.42405596</v>
      </c>
      <c r="H63" s="62">
        <f>'[1]Formula Weights'!$B$20*(IF('[1]15-16 BOG (datamart)'!B66&gt;'[1]14-15 BOG (datamart)'!B66,0,'[1]14-15 BOG (datamart)'!B66-'[1]15-16 BOG (datamart)'!B66))</f>
        <v>572251.14699802618</v>
      </c>
      <c r="I63" s="62">
        <f>'[1]Formula Weights'!$B$21*([1]PELL!D135)</f>
        <v>959643.54991120007</v>
      </c>
      <c r="J63" s="62">
        <f>IF(I63&gt;('[1]Formula Weights'!$B$21*[1]PELL!D63),0,'[1]Formula Weights'!$B$21*[1]PELL!D63-I63)</f>
        <v>564018.83060320001</v>
      </c>
      <c r="K63" s="62">
        <f>'[1]Formula Weights'!$B$22*('[1]15-16 Program Awards (Datamart)'!B66)</f>
        <v>28564104.734037604</v>
      </c>
      <c r="L63" s="62">
        <f>'[1]Formula Weights'!$B$22*(IF('[1]15-16 Program Awards (Datamart)'!B66&gt;'[1]14-15 Program Awards (Datamart)'!B66,0,'[1]14-15 Program Awards (Datamart)'!B66-'[1]15-16 Program Awards (Datamart)'!B66))</f>
        <v>0</v>
      </c>
      <c r="M63" s="62">
        <f>'[1]Formula Weights'!$B$23*[1]COMPLETION_RATE_2_3!D63</f>
        <v>5688200.916198276</v>
      </c>
      <c r="N63" s="150"/>
      <c r="O63" s="62">
        <f>'[1]Formula Weights'!$B$24*(IF('[1]15-16 ADTS Awarded (datamart)'!B66&gt;'[1]16-17 ADTS Awarded (datamart)'!B66,'[1]15-16 ADTS Awarded (datamart)'!B66,'[1]16-17 ADTS Awarded (datamart)'!B66))</f>
        <v>571469.76281683403</v>
      </c>
      <c r="P63" s="62">
        <f>'[1]Formula Weights'!$B$24*(IF('[1]15-16 ADTS Awarded (datamart)'!B66&gt;'[1]14-15 ADTS Awarded (datamart)'!B66,0,'[1]14-15 ADTS Awarded (datamart)'!B66-'[1]15-16 ADTS Awarded (datamart)'!B66))</f>
        <v>0</v>
      </c>
      <c r="Q63" s="151">
        <f t="shared" si="0"/>
        <v>103400886.32231776</v>
      </c>
    </row>
    <row r="64" spans="1:17" x14ac:dyDescent="0.2">
      <c r="A64" t="str">
        <f>'[1]15-16 Apportionments Data'!A64</f>
        <v>SOUTH ORANGE COMMUNITY COLLEGE DISTRICT</v>
      </c>
      <c r="B64" s="153">
        <f>'[1]Formula Weights'!K16*('[1]16-17 Apportionments Data'!C64+'[1]16-17 Apportionments Data'!I64+'[1]16-17 Apportionments Data'!F64)</f>
        <v>58469191.981763564</v>
      </c>
      <c r="C64" s="62">
        <f>'[1]Formula Weights'!$B$17*('[1]16-17 Apportionments Data'!D64+'[1]16-17 Apportionments Data'!G64+'[1]16-17 Apportionments Data'!J64)</f>
        <v>3244564.669682831</v>
      </c>
      <c r="D64" s="62">
        <f>'[1]Formula Weights'!$B$18*('[1]16-17 Apportionments Data'!E64+'[1]16-17 Apportionments Data'!H64+'[1]16-17 Apportionments Data'!K64)</f>
        <v>584863.78985235991</v>
      </c>
      <c r="E64" s="62">
        <f>'[1]16-17 Apportionments Data'!T64</f>
        <v>8404892</v>
      </c>
      <c r="F64" s="62">
        <f>-'[1]Formula Weights'!$B$16*('[1]16-17 Apportionments Data'!F64)+-'[1]Formula Weights'!$B$17*('[1]16-17 Apportionments Data'!G64)+-'[1]Formula Weights'!$B$18*('[1]16-17 Apportionments Data'!H64)</f>
        <v>0</v>
      </c>
      <c r="G64" s="62">
        <f>'[1]Formula Weights'!$B$20*('[1]15-16 BOG (datamart)'!B67)</f>
        <v>21128784.016382679</v>
      </c>
      <c r="H64" s="62">
        <f>'[1]Formula Weights'!$B$20*(IF('[1]15-16 BOG (datamart)'!B67&gt;'[1]14-15 BOG (datamart)'!B67,0,'[1]14-15 BOG (datamart)'!B67-'[1]15-16 BOG (datamart)'!B67))</f>
        <v>0</v>
      </c>
      <c r="I64" s="62">
        <f>'[1]Formula Weights'!$B$21*([1]PELL!D136)</f>
        <v>2162748.4655504003</v>
      </c>
      <c r="J64" s="62">
        <f>IF(I64&gt;('[1]Formula Weights'!$B$21*[1]PELL!D64),0,'[1]Formula Weights'!$B$21*[1]PELL!D64-I64)</f>
        <v>712124.4947544001</v>
      </c>
      <c r="K64" s="62">
        <f>'[1]Formula Weights'!$B$22*('[1]15-16 Program Awards (Datamart)'!B67)</f>
        <v>33000376.586544644</v>
      </c>
      <c r="L64" s="62">
        <f>'[1]Formula Weights'!$B$22*(IF('[1]15-16 Program Awards (Datamart)'!B67&gt;'[1]14-15 Program Awards (Datamart)'!B67,0,'[1]14-15 Program Awards (Datamart)'!B67-'[1]15-16 Program Awards (Datamart)'!B67))</f>
        <v>0</v>
      </c>
      <c r="M64" s="62">
        <f>'[1]Formula Weights'!$B$23*[1]COMPLETION_RATE_2_3!D64</f>
        <v>11486142.042998448</v>
      </c>
      <c r="N64" s="150"/>
      <c r="O64" s="62">
        <f>'[1]Formula Weights'!$B$24*(IF('[1]15-16 ADTS Awarded (datamart)'!B67&gt;'[1]16-17 ADTS Awarded (datamart)'!B67,'[1]15-16 ADTS Awarded (datamart)'!B67,'[1]16-17 ADTS Awarded (datamart)'!B67))</f>
        <v>897226.14227268402</v>
      </c>
      <c r="P64" s="62">
        <f>'[1]Formula Weights'!$B$24*(IF('[1]15-16 ADTS Awarded (datamart)'!B67&gt;'[1]14-15 ADTS Awarded (datamart)'!B67,0,'[1]14-15 ADTS Awarded (datamart)'!B67-'[1]15-16 ADTS Awarded (datamart)'!B67))</f>
        <v>0</v>
      </c>
      <c r="Q64" s="151">
        <f t="shared" si="0"/>
        <v>140090914.18980202</v>
      </c>
    </row>
    <row r="65" spans="1:17" x14ac:dyDescent="0.2">
      <c r="A65" t="str">
        <f>'[1]15-16 Apportionments Data'!A65</f>
        <v>SOUTHWESTERN COMMUNITY COLLEGE DISTRICT</v>
      </c>
      <c r="B65" s="62">
        <f>'[1]Formula Weights'!$B$16*('[1]16-17 Apportionments Data'!C65+'[1]16-17 Apportionments Data'!I65+'[1]16-17 Apportionments Data'!F65)</f>
        <v>35187932.953724839</v>
      </c>
      <c r="C65" s="62">
        <f>'[1]Formula Weights'!$B$17*('[1]16-17 Apportionments Data'!D65+'[1]16-17 Apportionments Data'!G65+'[1]16-17 Apportionments Data'!J65)</f>
        <v>317413.94498135394</v>
      </c>
      <c r="D65" s="62">
        <f>'[1]Formula Weights'!$B$18*('[1]16-17 Apportionments Data'!E65+'[1]16-17 Apportionments Data'!H65+'[1]16-17 Apportionments Data'!K65)</f>
        <v>39616.033431260163</v>
      </c>
      <c r="E65" s="62">
        <f>'[1]16-17 Apportionments Data'!T65</f>
        <v>8404892</v>
      </c>
      <c r="F65" s="62">
        <f>-'[1]Formula Weights'!$B$16*('[1]16-17 Apportionments Data'!F65)+-'[1]Formula Weights'!$B$17*('[1]16-17 Apportionments Data'!G65)+-'[1]Formula Weights'!$B$18*('[1]16-17 Apportionments Data'!H65)</f>
        <v>0</v>
      </c>
      <c r="G65" s="62">
        <f>'[1]Formula Weights'!$B$20*('[1]15-16 BOG (datamart)'!B68)</f>
        <v>21589128.272412203</v>
      </c>
      <c r="H65" s="62">
        <f>'[1]Formula Weights'!$B$20*(IF('[1]15-16 BOG (datamart)'!B68&gt;'[1]14-15 BOG (datamart)'!B68,0,'[1]14-15 BOG (datamart)'!B68-'[1]15-16 BOG (datamart)'!B68))</f>
        <v>0</v>
      </c>
      <c r="I65" s="62">
        <f>'[1]Formula Weights'!$B$21*([1]PELL!D137)</f>
        <v>2615180.8368616002</v>
      </c>
      <c r="J65" s="62">
        <f>IF(I65&gt;('[1]Formula Weights'!$B$21*[1]PELL!D65),0,'[1]Formula Weights'!$B$21*[1]PELL!D65-I65)</f>
        <v>708066.80532560032</v>
      </c>
      <c r="K65" s="62">
        <f>'[1]Formula Weights'!$B$22*('[1]15-16 Program Awards (Datamart)'!B68)</f>
        <v>13451240.456472002</v>
      </c>
      <c r="L65" s="62">
        <f>'[1]Formula Weights'!$B$22*(IF('[1]15-16 Program Awards (Datamart)'!B68&gt;'[1]14-15 Program Awards (Datamart)'!B68,0,'[1]14-15 Program Awards (Datamart)'!B68-'[1]15-16 Program Awards (Datamart)'!B68))</f>
        <v>0</v>
      </c>
      <c r="M65" s="62">
        <f>'[1]Formula Weights'!$B$23*[1]COMPLETION_RATE_2_3!D65</f>
        <v>5700394.2729318198</v>
      </c>
      <c r="N65" s="150"/>
      <c r="O65" s="62">
        <f>'[1]Formula Weights'!$B$24*(IF('[1]15-16 ADTS Awarded (datamart)'!B68&gt;'[1]16-17 ADTS Awarded (datamart)'!B68,'[1]15-16 ADTS Awarded (datamart)'!B68,'[1]16-17 ADTS Awarded (datamart)'!B68))</f>
        <v>568677.56527864106</v>
      </c>
      <c r="P65" s="62">
        <f>'[1]Formula Weights'!$B$24*(IF('[1]15-16 ADTS Awarded (datamart)'!B68&gt;'[1]14-15 ADTS Awarded (datamart)'!B68,0,'[1]14-15 ADTS Awarded (datamart)'!B68-'[1]15-16 ADTS Awarded (datamart)'!B68))</f>
        <v>0</v>
      </c>
      <c r="Q65" s="151">
        <f t="shared" si="0"/>
        <v>88582543.141419306</v>
      </c>
    </row>
    <row r="66" spans="1:17" x14ac:dyDescent="0.2">
      <c r="A66" t="str">
        <f>'[1]15-16 Apportionments Data'!A66</f>
        <v>STATE CENTER COMMUNITY COLLEGE DISTRICT</v>
      </c>
      <c r="B66" s="62">
        <f>'[1]Formula Weights'!$B$16*('[1]16-17 Apportionments Data'!C66+'[1]16-17 Apportionments Data'!I66+'[1]16-17 Apportionments Data'!F66)</f>
        <v>66607665.838644333</v>
      </c>
      <c r="C66" s="62">
        <f>'[1]Formula Weights'!$B$17*('[1]16-17 Apportionments Data'!D66+'[1]16-17 Apportionments Data'!G66+'[1]16-17 Apportionments Data'!J66)</f>
        <v>387978.18028662924</v>
      </c>
      <c r="D66" s="62">
        <f>'[1]Formula Weights'!$B$18*('[1]16-17 Apportionments Data'!E66+'[1]16-17 Apportionments Data'!H66+'[1]16-17 Apportionments Data'!K66)</f>
        <v>302416.14409244957</v>
      </c>
      <c r="E66" s="62">
        <f>'[1]16-17 Apportionments Data'!T66</f>
        <v>13808036</v>
      </c>
      <c r="F66" s="62">
        <f>-'[1]Formula Weights'!$B$16*('[1]16-17 Apportionments Data'!F66)+-'[1]Formula Weights'!$B$17*('[1]16-17 Apportionments Data'!G66)+-'[1]Formula Weights'!$B$18*('[1]16-17 Apportionments Data'!H66)</f>
        <v>0</v>
      </c>
      <c r="G66" s="62">
        <f>'[1]Formula Weights'!$B$20*('[1]15-16 BOG (datamart)'!B69)</f>
        <v>41774333.730855912</v>
      </c>
      <c r="H66" s="62">
        <f>'[1]Formula Weights'!$B$20*(IF('[1]15-16 BOG (datamart)'!B69&gt;'[1]14-15 BOG (datamart)'!B69,0,'[1]14-15 BOG (datamart)'!B69-'[1]15-16 BOG (datamart)'!B69))</f>
        <v>0</v>
      </c>
      <c r="I66" s="62">
        <f>'[1]Formula Weights'!$B$21*([1]PELL!D138)</f>
        <v>5490053.7971664006</v>
      </c>
      <c r="J66" s="62">
        <f>IF(I66&gt;('[1]Formula Weights'!$B$21*[1]PELL!D66),0,'[1]Formula Weights'!$B$21*[1]PELL!D66-I66)</f>
        <v>1955806.3046816001</v>
      </c>
      <c r="K66" s="62">
        <f>'[1]Formula Weights'!$B$22*('[1]15-16 Program Awards (Datamart)'!B69)</f>
        <v>18520511.859871842</v>
      </c>
      <c r="L66" s="62">
        <f>'[1]Formula Weights'!$B$22*(IF('[1]15-16 Program Awards (Datamart)'!B69&gt;'[1]14-15 Program Awards (Datamart)'!B69,0,'[1]14-15 Program Awards (Datamart)'!B69-'[1]15-16 Program Awards (Datamart)'!B69))</f>
        <v>0</v>
      </c>
      <c r="M66" s="62">
        <f>'[1]Formula Weights'!$B$23*[1]COMPLETION_RATE_2_3!D66</f>
        <v>8389029.4326782729</v>
      </c>
      <c r="N66" s="150"/>
      <c r="O66" s="62">
        <f>'[1]Formula Weights'!$B$24*(IF('[1]15-16 ADTS Awarded (datamart)'!B69&gt;'[1]16-17 ADTS Awarded (datamart)'!B69,'[1]15-16 ADTS Awarded (datamart)'!B69,'[1]16-17 ADTS Awarded (datamart)'!B69))</f>
        <v>1063827.262051533</v>
      </c>
      <c r="P66" s="62">
        <f>'[1]Formula Weights'!$B$24*(IF('[1]15-16 ADTS Awarded (datamart)'!B69&gt;'[1]14-15 ADTS Awarded (datamart)'!B69,0,'[1]14-15 ADTS Awarded (datamart)'!B69-'[1]15-16 ADTS Awarded (datamart)'!B69))</f>
        <v>0</v>
      </c>
      <c r="Q66" s="151">
        <f t="shared" ref="Q66:Q73" si="1">SUM(B66:O66)</f>
        <v>158299658.55032897</v>
      </c>
    </row>
    <row r="67" spans="1:17" x14ac:dyDescent="0.2">
      <c r="A67" t="str">
        <f>'[1]15-16 Apportionments Data'!A67</f>
        <v>VENTURA COMMUNITY COLLEGE DISTRICT</v>
      </c>
      <c r="B67" s="62">
        <f>'[1]Formula Weights'!$B$16*('[1]16-17 Apportionments Data'!C67+'[1]16-17 Apportionments Data'!I67+'[1]16-17 Apportionments Data'!F67)</f>
        <v>58168281.494577006</v>
      </c>
      <c r="C67" s="62">
        <f>'[1]Formula Weights'!$B$17*('[1]16-17 Apportionments Data'!D67+'[1]16-17 Apportionments Data'!G67+'[1]16-17 Apportionments Data'!J67)</f>
        <v>37659.281607957251</v>
      </c>
      <c r="D67" s="62">
        <f>'[1]Formula Weights'!$B$18*('[1]16-17 Apportionments Data'!E67+'[1]16-17 Apportionments Data'!H67+'[1]16-17 Apportionments Data'!K67)</f>
        <v>0</v>
      </c>
      <c r="E67" s="62">
        <f>'[1]16-17 Apportionments Data'!T67</f>
        <v>12006988</v>
      </c>
      <c r="F67" s="62">
        <f>-'[1]Formula Weights'!$B$16*('[1]16-17 Apportionments Data'!F67)+-'[1]Formula Weights'!$B$17*('[1]16-17 Apportionments Data'!G67)+-'[1]Formula Weights'!$B$18*('[1]16-17 Apportionments Data'!H67)</f>
        <v>2416384.3573979437</v>
      </c>
      <c r="G67" s="62">
        <f>'[1]Formula Weights'!$B$20*('[1]15-16 BOG (datamart)'!B70)</f>
        <v>29549777.561762523</v>
      </c>
      <c r="H67" s="62">
        <f>'[1]Formula Weights'!$B$20*(IF('[1]15-16 BOG (datamart)'!B70&gt;'[1]14-15 BOG (datamart)'!B70,0,'[1]14-15 BOG (datamart)'!B70-'[1]15-16 BOG (datamart)'!B70))</f>
        <v>0</v>
      </c>
      <c r="I67" s="62">
        <f>'[1]Formula Weights'!$B$21*([1]PELL!D139)</f>
        <v>3584968.6103448002</v>
      </c>
      <c r="J67" s="62">
        <f>IF(I67&gt;('[1]Formula Weights'!$B$21*[1]PELL!D67),0,'[1]Formula Weights'!$B$21*[1]PELL!D67-I67)</f>
        <v>1192960.6920672003</v>
      </c>
      <c r="K67" s="62">
        <f>'[1]Formula Weights'!$B$22*('[1]15-16 Program Awards (Datamart)'!B70)</f>
        <v>32995101.590287205</v>
      </c>
      <c r="L67" s="62">
        <f>'[1]Formula Weights'!$B$22*(IF('[1]15-16 Program Awards (Datamart)'!B70&gt;'[1]14-15 Program Awards (Datamart)'!B70,0,'[1]14-15 Program Awards (Datamart)'!B70-'[1]15-16 Program Awards (Datamart)'!B70))</f>
        <v>0</v>
      </c>
      <c r="M67" s="62">
        <f>'[1]Formula Weights'!$B$23*[1]COMPLETION_RATE_2_3!D67</f>
        <v>12303096.944145896</v>
      </c>
      <c r="N67" s="150"/>
      <c r="O67" s="62">
        <f>'[1]Formula Weights'!$B$24*(IF('[1]15-16 ADTS Awarded (datamart)'!B70&gt;'[1]16-17 ADTS Awarded (datamart)'!B70,'[1]15-16 ADTS Awarded (datamart)'!B70,'[1]16-17 ADTS Awarded (datamart)'!B70))</f>
        <v>1409129.0242747341</v>
      </c>
      <c r="P67" s="62">
        <f>'[1]Formula Weights'!$B$24*(IF('[1]15-16 ADTS Awarded (datamart)'!B70&gt;'[1]14-15 ADTS Awarded (datamart)'!B70,0,'[1]14-15 ADTS Awarded (datamart)'!B70-'[1]15-16 ADTS Awarded (datamart)'!B70))</f>
        <v>0</v>
      </c>
      <c r="Q67" s="151">
        <f t="shared" si="1"/>
        <v>153664347.55646527</v>
      </c>
    </row>
    <row r="68" spans="1:17" x14ac:dyDescent="0.2">
      <c r="A68" t="str">
        <f>'[1]15-16 Apportionments Data'!A68</f>
        <v>VICTOR VALLEY COMMUNITY COLLEGE DISTRICT</v>
      </c>
      <c r="B68" s="62">
        <f>'[1]Formula Weights'!$B$16*('[1]16-17 Apportionments Data'!C68+'[1]16-17 Apportionments Data'!I68+'[1]16-17 Apportionments Data'!F68)</f>
        <v>21702295.869733844</v>
      </c>
      <c r="C68" s="62">
        <f>'[1]Formula Weights'!$B$17*('[1]16-17 Apportionments Data'!D68+'[1]16-17 Apportionments Data'!G68+'[1]16-17 Apportionments Data'!J68)</f>
        <v>13845.937423966552</v>
      </c>
      <c r="D68" s="62">
        <f>'[1]Formula Weights'!$B$18*('[1]16-17 Apportionments Data'!E68+'[1]16-17 Apportionments Data'!H68+'[1]16-17 Apportionments Data'!K68)</f>
        <v>0</v>
      </c>
      <c r="E68" s="62">
        <f>'[1]16-17 Apportionments Data'!T68</f>
        <v>4802795</v>
      </c>
      <c r="F68" s="62">
        <f>-'[1]Formula Weights'!$B$16*('[1]16-17 Apportionments Data'!F68)+-'[1]Formula Weights'!$B$17*('[1]16-17 Apportionments Data'!G68)+-'[1]Formula Weights'!$B$18*('[1]16-17 Apportionments Data'!H68)</f>
        <v>0</v>
      </c>
      <c r="G68" s="62">
        <f>'[1]Formula Weights'!$B$20*('[1]15-16 BOG (datamart)'!B71)</f>
        <v>15556329.513837455</v>
      </c>
      <c r="H68" s="62">
        <f>'[1]Formula Weights'!$B$20*(IF('[1]15-16 BOG (datamart)'!B71&gt;'[1]14-15 BOG (datamart)'!B71,0,'[1]14-15 BOG (datamart)'!B71-'[1]15-16 BOG (datamart)'!B71))</f>
        <v>1271.6692155511694</v>
      </c>
      <c r="I68" s="62">
        <f>'[1]Formula Weights'!$B$21*([1]PELL!D140)</f>
        <v>2341286.8004176002</v>
      </c>
      <c r="J68" s="62">
        <f>IF(I68&gt;('[1]Formula Weights'!$B$21*[1]PELL!D68),0,'[1]Formula Weights'!$B$21*[1]PELL!D68-I68)</f>
        <v>507211.17860000022</v>
      </c>
      <c r="K68" s="62">
        <f>'[1]Formula Weights'!$B$22*('[1]15-16 Program Awards (Datamart)'!B71)</f>
        <v>6235045.5762940804</v>
      </c>
      <c r="L68" s="62">
        <f>'[1]Formula Weights'!$B$22*(IF('[1]15-16 Program Awards (Datamart)'!B71&gt;'[1]14-15 Program Awards (Datamart)'!B71,0,'[1]14-15 Program Awards (Datamart)'!B71-'[1]15-16 Program Awards (Datamart)'!B71))</f>
        <v>0</v>
      </c>
      <c r="M68" s="62">
        <f>'[1]Formula Weights'!$B$23*[1]COMPLETION_RATE_2_3!D68</f>
        <v>1792423.4398309679</v>
      </c>
      <c r="N68" s="150"/>
      <c r="O68" s="62">
        <f>'[1]Formula Weights'!$B$24*(IF('[1]15-16 ADTS Awarded (datamart)'!B71&gt;'[1]16-17 ADTS Awarded (datamart)'!B71,'[1]15-16 ADTS Awarded (datamart)'!B71,'[1]16-17 ADTS Awarded (datamart)'!B71))</f>
        <v>377877.400168786</v>
      </c>
      <c r="P68" s="62">
        <f>'[1]Formula Weights'!$B$24*(IF('[1]15-16 ADTS Awarded (datamart)'!B71&gt;'[1]14-15 ADTS Awarded (datamart)'!B71,0,'[1]14-15 ADTS Awarded (datamart)'!B71-'[1]15-16 ADTS Awarded (datamart)'!B71))</f>
        <v>0</v>
      </c>
      <c r="Q68" s="151">
        <f t="shared" si="1"/>
        <v>53330382.385522246</v>
      </c>
    </row>
    <row r="69" spans="1:17" x14ac:dyDescent="0.2">
      <c r="A69" t="str">
        <f>'[1]15-16 Apportionments Data'!A69</f>
        <v>WEST HILLS COMMUNITY COLLEGE DISTRICT</v>
      </c>
      <c r="B69" s="62">
        <f>'[1]Formula Weights'!$B$16*('[1]16-17 Apportionments Data'!C69+'[1]16-17 Apportionments Data'!I69+'[1]16-17 Apportionments Data'!F69)</f>
        <v>12100153.433324708</v>
      </c>
      <c r="C69" s="62">
        <f>'[1]Formula Weights'!$B$17*('[1]16-17 Apportionments Data'!D69+'[1]16-17 Apportionments Data'!G69+'[1]16-17 Apportionments Data'!J69)</f>
        <v>308711.57868878054</v>
      </c>
      <c r="D69" s="62">
        <f>'[1]Formula Weights'!$B$18*('[1]16-17 Apportionments Data'!E69+'[1]16-17 Apportionments Data'!H69+'[1]16-17 Apportionments Data'!K69)</f>
        <v>0</v>
      </c>
      <c r="E69" s="62">
        <f>'[1]16-17 Apportionments Data'!T69</f>
        <v>7504367</v>
      </c>
      <c r="F69" s="62">
        <f>-'[1]Formula Weights'!$B$16*('[1]16-17 Apportionments Data'!F69)+-'[1]Formula Weights'!$B$17*('[1]16-17 Apportionments Data'!G69)+-'[1]Formula Weights'!$B$18*('[1]16-17 Apportionments Data'!H69)</f>
        <v>0</v>
      </c>
      <c r="G69" s="62">
        <f>'[1]Formula Weights'!$B$20*('[1]15-16 BOG (datamart)'!B72)</f>
        <v>7441808.2494054427</v>
      </c>
      <c r="H69" s="62">
        <f>'[1]Formula Weights'!$B$20*(IF('[1]15-16 BOG (datamart)'!B72&gt;'[1]14-15 BOG (datamart)'!B72,0,'[1]14-15 BOG (datamart)'!B72-'[1]15-16 BOG (datamart)'!B72))</f>
        <v>0</v>
      </c>
      <c r="I69" s="62">
        <f>'[1]Formula Weights'!$B$21*([1]PELL!D141)</f>
        <v>1201076.0709248001</v>
      </c>
      <c r="J69" s="62">
        <f>IF(I69&gt;('[1]Formula Weights'!$B$21*[1]PELL!D69),0,'[1]Formula Weights'!$B$21*[1]PELL!D69-I69)</f>
        <v>103471.08043439989</v>
      </c>
      <c r="K69" s="62">
        <f>'[1]Formula Weights'!$B$22*('[1]15-16 Program Awards (Datamart)'!B72)</f>
        <v>7580169.6219412806</v>
      </c>
      <c r="L69" s="62">
        <f>'[1]Formula Weights'!$B$22*(IF('[1]15-16 Program Awards (Datamart)'!B72&gt;'[1]14-15 Program Awards (Datamart)'!B72,0,'[1]14-15 Program Awards (Datamart)'!B72-'[1]15-16 Program Awards (Datamart)'!B72))</f>
        <v>0</v>
      </c>
      <c r="M69" s="62">
        <f>'[1]Formula Weights'!$B$23*[1]COMPLETION_RATE_2_3!D69</f>
        <v>2316737.7793733599</v>
      </c>
      <c r="N69" s="150"/>
      <c r="O69" s="62">
        <f>'[1]Formula Weights'!$B$24*(IF('[1]15-16 ADTS Awarded (datamart)'!B72&gt;'[1]16-17 ADTS Awarded (datamart)'!B72,'[1]15-16 ADTS Awarded (datamart)'!B72,'[1]16-17 ADTS Awarded (datamart)'!B72))</f>
        <v>183354.30500800701</v>
      </c>
      <c r="P69" s="62">
        <f>'[1]Formula Weights'!$B$24*(IF('[1]15-16 ADTS Awarded (datamart)'!B72&gt;'[1]14-15 ADTS Awarded (datamart)'!B72,0,'[1]14-15 ADTS Awarded (datamart)'!B72-'[1]15-16 ADTS Awarded (datamart)'!B72))</f>
        <v>0</v>
      </c>
      <c r="Q69" s="151">
        <f t="shared" si="1"/>
        <v>38739849.119100787</v>
      </c>
    </row>
    <row r="70" spans="1:17" x14ac:dyDescent="0.2">
      <c r="A70" t="str">
        <f>'[1]15-16 Apportionments Data'!A70</f>
        <v>WEST KERN COMMUNITY COLLEGE DISTRICT</v>
      </c>
      <c r="B70" s="153">
        <f>'[1]Formula Weights'!L16*('[1]16-17 Apportionments Data'!C70+'[1]16-17 Apportionments Data'!I70+'[1]16-17 Apportionments Data'!F70)</f>
        <v>8045424.9834377822</v>
      </c>
      <c r="C70" s="62">
        <f>'[1]Formula Weights'!$B$17*('[1]16-17 Apportionments Data'!D70+'[1]16-17 Apportionments Data'!G70+'[1]16-17 Apportionments Data'!J70)</f>
        <v>44915.887366301155</v>
      </c>
      <c r="D70" s="62">
        <f>'[1]Formula Weights'!$B$18*('[1]16-17 Apportionments Data'!E70+'[1]16-17 Apportionments Data'!H70+'[1]16-17 Apportionments Data'!K70)</f>
        <v>0</v>
      </c>
      <c r="E70" s="62">
        <f>'[1]16-17 Apportionments Data'!T70</f>
        <v>4747788</v>
      </c>
      <c r="F70" s="62">
        <f>-'[1]Formula Weights'!$B$16*('[1]16-17 Apportionments Data'!F70)+-'[1]Formula Weights'!$B$17*('[1]16-17 Apportionments Data'!G70)+-'[1]Formula Weights'!$B$18*('[1]16-17 Apportionments Data'!H70)</f>
        <v>0</v>
      </c>
      <c r="G70" s="62">
        <f>'[1]Formula Weights'!$B$20*('[1]15-16 BOG (datamart)'!B73)</f>
        <v>3727262.4707804774</v>
      </c>
      <c r="H70" s="62">
        <f>'[1]Formula Weights'!$B$20*(IF('[1]15-16 BOG (datamart)'!B73&gt;'[1]14-15 BOG (datamart)'!B73,0,'[1]14-15 BOG (datamart)'!B73-'[1]15-16 BOG (datamart)'!B73))</f>
        <v>0</v>
      </c>
      <c r="I70" s="62">
        <f>'[1]Formula Weights'!$B$21*([1]PELL!D142)</f>
        <v>428086.23473840003</v>
      </c>
      <c r="J70" s="62">
        <f>IF(I70&gt;('[1]Formula Weights'!$B$21*[1]PELL!D70),0,'[1]Formula Weights'!$B$21*[1]PELL!D70-I70)</f>
        <v>135932.59586479998</v>
      </c>
      <c r="K70" s="62">
        <f>'[1]Formula Weights'!$B$22*('[1]15-16 Program Awards (Datamart)'!B73)</f>
        <v>2611123.1474328004</v>
      </c>
      <c r="L70" s="62">
        <f>'[1]Formula Weights'!$B$22*(IF('[1]15-16 Program Awards (Datamart)'!B73&gt;'[1]14-15 Program Awards (Datamart)'!B73,0,'[1]14-15 Program Awards (Datamart)'!B73-'[1]15-16 Program Awards (Datamart)'!B73))</f>
        <v>0</v>
      </c>
      <c r="M70" s="62">
        <f>'[1]Formula Weights'!$B$23*[1]COMPLETION_RATE_2_3!D70</f>
        <v>896211.71991548396</v>
      </c>
      <c r="N70" s="150"/>
      <c r="O70" s="62">
        <f>'[1]Formula Weights'!$B$24*(IF('[1]15-16 ADTS Awarded (datamart)'!B73&gt;'[1]16-17 ADTS Awarded (datamart)'!B73,'[1]15-16 ADTS Awarded (datamart)'!B73,'[1]16-17 ADTS Awarded (datamart)'!B73))</f>
        <v>157293.79465153901</v>
      </c>
      <c r="P70" s="62">
        <f>'[1]Formula Weights'!$B$24*(IF('[1]15-16 ADTS Awarded (datamart)'!B73&gt;'[1]14-15 ADTS Awarded (datamart)'!B73,0,'[1]14-15 ADTS Awarded (datamart)'!B73-'[1]15-16 ADTS Awarded (datamart)'!B73))</f>
        <v>0</v>
      </c>
      <c r="Q70" s="151">
        <f t="shared" si="1"/>
        <v>20794038.834187578</v>
      </c>
    </row>
    <row r="71" spans="1:17" x14ac:dyDescent="0.2">
      <c r="A71" t="str">
        <f>'[1]15-16 Apportionments Data'!A71</f>
        <v>WEST VALLEY-MISSION COMMUNITY COLLEGE DISTRICT</v>
      </c>
      <c r="B71" s="62">
        <f>'[1]Formula Weights'!$B$16*('[1]16-17 Apportionments Data'!C71+'[1]16-17 Apportionments Data'!I71+'[1]16-17 Apportionments Data'!F71)</f>
        <v>29230580.222718</v>
      </c>
      <c r="C71" s="62">
        <f>'[1]Formula Weights'!$B$17*('[1]16-17 Apportionments Data'!D71+'[1]16-17 Apportionments Data'!G71+'[1]16-17 Apportionments Data'!J71)</f>
        <v>913067.28508388321</v>
      </c>
      <c r="D71" s="62">
        <f>'[1]Formula Weights'!$B$18*('[1]16-17 Apportionments Data'!E71+'[1]16-17 Apportionments Data'!H71+'[1]16-17 Apportionments Data'!K71)</f>
        <v>0</v>
      </c>
      <c r="E71" s="62">
        <f>'[1]16-17 Apportionments Data'!T71</f>
        <v>7204192</v>
      </c>
      <c r="F71" s="62">
        <f>-'[1]Formula Weights'!$B$16*('[1]16-17 Apportionments Data'!F71)+-'[1]Formula Weights'!$B$17*('[1]16-17 Apportionments Data'!G71)+-'[1]Formula Weights'!$B$18*('[1]16-17 Apportionments Data'!H71)</f>
        <v>0</v>
      </c>
      <c r="G71" s="62">
        <f>'[1]Formula Weights'!$B$20*('[1]15-16 BOG (datamart)'!B74)</f>
        <v>10579016.204170179</v>
      </c>
      <c r="H71" s="62">
        <f>'[1]Formula Weights'!$B$20*(IF('[1]15-16 BOG (datamart)'!B74&gt;'[1]14-15 BOG (datamart)'!B74,0,'[1]14-15 BOG (datamart)'!B74-'[1]15-16 BOG (datamart)'!B74))</f>
        <v>892711.78931692091</v>
      </c>
      <c r="I71" s="62">
        <f>'[1]Formula Weights'!$B$21*([1]PELL!D143)</f>
        <v>965730.0840544001</v>
      </c>
      <c r="J71" s="62">
        <f>IF(I71&gt;('[1]Formula Weights'!$B$21*[1]PELL!D71),0,'[1]Formula Weights'!$B$21*[1]PELL!D71-I71)</f>
        <v>223172.91858399997</v>
      </c>
      <c r="K71" s="62">
        <f>'[1]Formula Weights'!$B$22*('[1]15-16 Program Awards (Datamart)'!B74)</f>
        <v>8439994.0119040012</v>
      </c>
      <c r="L71" s="62">
        <f>'[1]Formula Weights'!$B$22*(IF('[1]15-16 Program Awards (Datamart)'!B74&gt;'[1]14-15 Program Awards (Datamart)'!B74,0,'[1]14-15 Program Awards (Datamart)'!B74-'[1]15-16 Program Awards (Datamart)'!B74))</f>
        <v>327049.76796128001</v>
      </c>
      <c r="M71" s="62">
        <f>'[1]Formula Weights'!$B$23*[1]COMPLETION_RATE_2_3!D71</f>
        <v>4895632.7285179161</v>
      </c>
      <c r="N71" s="150"/>
      <c r="O71" s="62">
        <f>'[1]Formula Weights'!$B$24*(IF('[1]15-16 ADTS Awarded (datamart)'!B74&gt;'[1]16-17 ADTS Awarded (datamart)'!B74,'[1]15-16 ADTS Awarded (datamart)'!B74,'[1]16-17 ADTS Awarded (datamart)'!B74))</f>
        <v>492357.499234699</v>
      </c>
      <c r="P71" s="62">
        <f>'[1]Formula Weights'!$B$24*(IF('[1]15-16 ADTS Awarded (datamart)'!B74&gt;'[1]14-15 ADTS Awarded (datamart)'!B74,0,'[1]14-15 ADTS Awarded (datamart)'!B74-'[1]15-16 ADTS Awarded (datamart)'!B74))</f>
        <v>0</v>
      </c>
      <c r="Q71" s="151">
        <f t="shared" si="1"/>
        <v>64163504.511545278</v>
      </c>
    </row>
    <row r="72" spans="1:17" x14ac:dyDescent="0.2">
      <c r="A72" t="str">
        <f>'[1]15-16 Apportionments Data'!A72</f>
        <v>YOSEMITE COMMUNITY COLLEGE DISTRICT</v>
      </c>
      <c r="B72" s="62">
        <f>'[1]Formula Weights'!$B$16*('[1]16-17 Apportionments Data'!C72+'[1]16-17 Apportionments Data'!I72+'[1]16-17 Apportionments Data'!F72)</f>
        <v>36837340.086370684</v>
      </c>
      <c r="C72" s="62">
        <f>'[1]Formula Weights'!$B$17*('[1]16-17 Apportionments Data'!D72+'[1]16-17 Apportionments Data'!G72+'[1]16-17 Apportionments Data'!J72)</f>
        <v>267757.63124801195</v>
      </c>
      <c r="D72" s="62">
        <f>'[1]Formula Weights'!$B$18*('[1]16-17 Apportionments Data'!E72+'[1]16-17 Apportionments Data'!H72+'[1]16-17 Apportionments Data'!K72)</f>
        <v>367044.38381624722</v>
      </c>
      <c r="E72" s="62">
        <f>'[1]16-17 Apportionments Data'!T72</f>
        <v>7804542</v>
      </c>
      <c r="F72" s="62">
        <f>-'[1]Formula Weights'!$B$16*('[1]16-17 Apportionments Data'!F72)+-'[1]Formula Weights'!$B$17*('[1]16-17 Apportionments Data'!G72)+-'[1]Formula Weights'!$B$18*('[1]16-17 Apportionments Data'!H72)</f>
        <v>360927.911769567</v>
      </c>
      <c r="G72" s="62">
        <f>'[1]Formula Weights'!$B$20*('[1]15-16 BOG (datamart)'!B75)</f>
        <v>23294436.690466322</v>
      </c>
      <c r="H72" s="62">
        <f>'[1]Formula Weights'!$B$20*(IF('[1]15-16 BOG (datamart)'!B75&gt;'[1]14-15 BOG (datamart)'!B75,0,'[1]14-15 BOG (datamart)'!B75-'[1]15-16 BOG (datamart)'!B75))</f>
        <v>0</v>
      </c>
      <c r="I72" s="62">
        <f>'[1]Formula Weights'!$B$21*([1]PELL!D144)</f>
        <v>2116085.0371192</v>
      </c>
      <c r="J72" s="62">
        <f>IF(I72&gt;('[1]Formula Weights'!$B$21*[1]PELL!D72),0,'[1]Formula Weights'!$B$21*[1]PELL!D72-I72)</f>
        <v>1166585.7107800003</v>
      </c>
      <c r="K72" s="62">
        <f>'[1]Formula Weights'!$B$22*('[1]15-16 Program Awards (Datamart)'!B75)</f>
        <v>14026215.048532961</v>
      </c>
      <c r="L72" s="62">
        <f>'[1]Formula Weights'!$B$22*(IF('[1]15-16 Program Awards (Datamart)'!B75&gt;'[1]14-15 Program Awards (Datamart)'!B75,0,'[1]14-15 Program Awards (Datamart)'!B75-'[1]15-16 Program Awards (Datamart)'!B75))</f>
        <v>0</v>
      </c>
      <c r="M72" s="62">
        <f>'[1]Formula Weights'!$B$23*[1]COMPLETION_RATE_2_3!D72</f>
        <v>4353028.3538752077</v>
      </c>
      <c r="N72" s="150"/>
      <c r="O72" s="62">
        <f>'[1]Formula Weights'!$B$24*(IF('[1]15-16 ADTS Awarded (datamart)'!B75&gt;'[1]16-17 ADTS Awarded (datamart)'!B75,'[1]15-16 ADTS Awarded (datamart)'!B75,'[1]16-17 ADTS Awarded (datamart)'!B75))</f>
        <v>885126.61960718106</v>
      </c>
      <c r="P72" s="62">
        <f>'[1]Formula Weights'!$B$24*(IF('[1]15-16 ADTS Awarded (datamart)'!B75&gt;'[1]14-15 ADTS Awarded (datamart)'!B75,0,'[1]14-15 ADTS Awarded (datamart)'!B75-'[1]15-16 ADTS Awarded (datamart)'!B75))</f>
        <v>0</v>
      </c>
      <c r="Q72" s="151">
        <f t="shared" si="1"/>
        <v>91479089.473585367</v>
      </c>
    </row>
    <row r="73" spans="1:17" x14ac:dyDescent="0.2">
      <c r="A73" t="str">
        <f>'[1]15-16 Apportionments Data'!A73</f>
        <v>YUBA COMMUNITY COLLEGE DISTRICT</v>
      </c>
      <c r="B73" s="62">
        <f>'[1]Formula Weights'!$B$16*('[1]16-17 Apportionments Data'!C73+'[1]16-17 Apportionments Data'!I73+'[1]16-17 Apportionments Data'!F73)</f>
        <v>17184188.131057821</v>
      </c>
      <c r="C73" s="62">
        <f>'[1]Formula Weights'!$B$17*('[1]16-17 Apportionments Data'!D73+'[1]16-17 Apportionments Data'!G73+'[1]16-17 Apportionments Data'!J73)</f>
        <v>181387.34087140133</v>
      </c>
      <c r="D73" s="62">
        <f>'[1]Formula Weights'!$B$18*('[1]16-17 Apportionments Data'!E73+'[1]16-17 Apportionments Data'!H73+'[1]16-17 Apportionments Data'!K73)</f>
        <v>0</v>
      </c>
      <c r="E73" s="62">
        <f>'[1]16-17 Apportionments Data'!T73</f>
        <v>9005240</v>
      </c>
      <c r="F73" s="62">
        <f>-'[1]Formula Weights'!$B$16*('[1]16-17 Apportionments Data'!F73)+-'[1]Formula Weights'!$B$17*('[1]16-17 Apportionments Data'!G73)+-'[1]Formula Weights'!$B$18*('[1]16-17 Apportionments Data'!H73)</f>
        <v>0</v>
      </c>
      <c r="G73" s="62">
        <f>'[1]Formula Weights'!$B$20*('[1]15-16 BOG (datamart)'!B76)</f>
        <v>11338202.725854225</v>
      </c>
      <c r="H73" s="62">
        <f>'[1]Formula Weights'!$B$20*(IF('[1]15-16 BOG (datamart)'!B76&gt;'[1]14-15 BOG (datamart)'!B76,0,'[1]14-15 BOG (datamart)'!B76-'[1]15-16 BOG (datamart)'!B76))</f>
        <v>30520.061173228067</v>
      </c>
      <c r="I73" s="62">
        <f>'[1]Formula Weights'!$B$21*([1]PELL!D145)</f>
        <v>1612931.547948</v>
      </c>
      <c r="J73" s="62">
        <f>IF(I73&gt;('[1]Formula Weights'!$B$21*[1]PELL!D73),0,'[1]Formula Weights'!$B$21*[1]PELL!D73-I73)</f>
        <v>296211.32830240019</v>
      </c>
      <c r="K73" s="62">
        <f>'[1]Formula Weights'!$B$22*('[1]15-16 Program Awards (Datamart)'!B76)</f>
        <v>6519895.3741958411</v>
      </c>
      <c r="L73" s="62">
        <f>'[1]Formula Weights'!$B$22*(IF('[1]15-16 Program Awards (Datamart)'!B76&gt;'[1]14-15 Program Awards (Datamart)'!B76,0,'[1]14-15 Program Awards (Datamart)'!B76-'[1]15-16 Program Awards (Datamart)'!B76))</f>
        <v>0</v>
      </c>
      <c r="M73" s="62">
        <f>'[1]Formula Weights'!$B$23*[1]COMPLETION_RATE_2_3!D73</f>
        <v>2475251.416909432</v>
      </c>
      <c r="N73" s="150"/>
      <c r="O73" s="62">
        <f>'[1]Formula Weights'!$B$24*(IF('[1]15-16 ADTS Awarded (datamart)'!B76&gt;'[1]16-17 ADTS Awarded (datamart)'!B76,'[1]15-16 ADTS Awarded (datamart)'!B76,'[1]16-17 ADTS Awarded (datamart)'!B76))</f>
        <v>1328155.295667137</v>
      </c>
      <c r="P73" s="62">
        <f>'[1]Formula Weights'!$B$24*(IF('[1]15-16 ADTS Awarded (datamart)'!B76&gt;'[1]14-15 ADTS Awarded (datamart)'!B76,0,'[1]14-15 ADTS Awarded (datamart)'!B76-'[1]15-16 ADTS Awarded (datamart)'!B76))</f>
        <v>0</v>
      </c>
      <c r="Q73" s="151">
        <f t="shared" si="1"/>
        <v>49971983.221979491</v>
      </c>
    </row>
    <row r="74" spans="1:17" x14ac:dyDescent="0.2">
      <c r="A74" s="149" t="s">
        <v>220</v>
      </c>
      <c r="B74" s="154">
        <f t="shared" ref="B74:K74" si="2">SUM(B2:B73)</f>
        <v>2452804649.8522081</v>
      </c>
      <c r="C74" s="154">
        <f t="shared" si="2"/>
        <v>40093622.612096846</v>
      </c>
      <c r="D74" s="154">
        <f t="shared" si="2"/>
        <v>89238210.306525335</v>
      </c>
      <c r="E74" s="154">
        <f t="shared" si="2"/>
        <v>559821079</v>
      </c>
      <c r="F74" s="154">
        <f>SUM(F2:F73)</f>
        <v>88872541.553174317</v>
      </c>
      <c r="G74" s="154">
        <f t="shared" si="2"/>
        <v>1353021710.2776241</v>
      </c>
      <c r="H74" s="154">
        <f>SUM(H2:H73)</f>
        <v>35353675.861538067</v>
      </c>
      <c r="I74" s="154">
        <f>SUM(I2:I73)</f>
        <v>154675063.33642718</v>
      </c>
      <c r="J74" s="154">
        <f>SUM(J2:J73)</f>
        <v>42382566.08381597</v>
      </c>
      <c r="K74" s="154">
        <f t="shared" si="2"/>
        <v>1184579534.5520141</v>
      </c>
      <c r="L74" s="154">
        <f t="shared" ref="L74:Q74" si="3">SUM(L2:L73)</f>
        <v>2141648.4805206405</v>
      </c>
      <c r="M74" s="154">
        <f t="shared" si="3"/>
        <v>352247785.99698585</v>
      </c>
      <c r="N74" s="155">
        <f t="shared" si="3"/>
        <v>0</v>
      </c>
      <c r="O74" s="154">
        <f t="shared" si="3"/>
        <v>47155562.757516094</v>
      </c>
      <c r="P74" s="154">
        <f t="shared" si="3"/>
        <v>56774.683276591</v>
      </c>
      <c r="Q74" s="154">
        <f t="shared" si="3"/>
        <v>6402387650.6704445</v>
      </c>
    </row>
  </sheetData>
  <autoFilter ref="A1:A74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F26" sqref="F26"/>
    </sheetView>
  </sheetViews>
  <sheetFormatPr baseColWidth="10" defaultColWidth="7.5" defaultRowHeight="15" x14ac:dyDescent="0.2"/>
  <cols>
    <col min="1" max="1" width="29.5" customWidth="1"/>
    <col min="2" max="2" width="15.83203125" customWidth="1"/>
    <col min="3" max="3" width="12.1640625" bestFit="1" customWidth="1"/>
    <col min="4" max="4" width="10.33203125" customWidth="1"/>
    <col min="5" max="5" width="8.6640625" customWidth="1"/>
    <col min="7" max="7" width="10.83203125" customWidth="1"/>
    <col min="8" max="8" width="12.33203125" customWidth="1"/>
    <col min="9" max="9" width="15.83203125" bestFit="1" customWidth="1"/>
    <col min="10" max="11" width="10.6640625" bestFit="1" customWidth="1"/>
    <col min="12" max="12" width="10.33203125" customWidth="1"/>
  </cols>
  <sheetData>
    <row r="1" spans="1:12" ht="16" thickBot="1" x14ac:dyDescent="0.25">
      <c r="A1" s="198" t="s">
        <v>184</v>
      </c>
      <c r="B1" s="199"/>
    </row>
    <row r="2" spans="1:12" x14ac:dyDescent="0.2">
      <c r="A2" s="105" t="s">
        <v>185</v>
      </c>
      <c r="B2" s="127">
        <v>5072.1117860000004</v>
      </c>
    </row>
    <row r="3" spans="1:12" x14ac:dyDescent="0.2">
      <c r="A3" s="106" t="s">
        <v>186</v>
      </c>
      <c r="B3" s="128">
        <v>3075.5627430000004</v>
      </c>
    </row>
    <row r="4" spans="1:12" ht="16" thickBot="1" x14ac:dyDescent="0.25">
      <c r="A4" s="129" t="s">
        <v>187</v>
      </c>
      <c r="B4" s="130">
        <v>5072.1117860000004</v>
      </c>
    </row>
    <row r="5" spans="1:12" ht="16" thickBot="1" x14ac:dyDescent="0.25">
      <c r="A5" s="106"/>
      <c r="B5" s="128"/>
    </row>
    <row r="6" spans="1:12" ht="16" thickBot="1" x14ac:dyDescent="0.25">
      <c r="A6" s="131" t="s">
        <v>188</v>
      </c>
      <c r="B6" s="132" t="s">
        <v>189</v>
      </c>
    </row>
    <row r="7" spans="1:12" ht="16" thickBot="1" x14ac:dyDescent="0.25">
      <c r="A7" s="106"/>
      <c r="B7" s="133"/>
    </row>
    <row r="8" spans="1:12" x14ac:dyDescent="0.2">
      <c r="A8" s="105" t="s">
        <v>190</v>
      </c>
      <c r="B8" s="134"/>
    </row>
    <row r="9" spans="1:12" x14ac:dyDescent="0.2">
      <c r="A9" s="106" t="s">
        <v>168</v>
      </c>
      <c r="B9" s="135">
        <v>0.45200000000000001</v>
      </c>
    </row>
    <row r="10" spans="1:12" x14ac:dyDescent="0.2">
      <c r="A10" s="106" t="s">
        <v>191</v>
      </c>
      <c r="B10" s="135">
        <v>0.25071789999999999</v>
      </c>
    </row>
    <row r="11" spans="1:12" x14ac:dyDescent="0.2">
      <c r="A11" s="106" t="s">
        <v>192</v>
      </c>
      <c r="B11" s="135">
        <v>0.4</v>
      </c>
    </row>
    <row r="12" spans="1:12" x14ac:dyDescent="0.2">
      <c r="A12" s="106" t="s">
        <v>193</v>
      </c>
      <c r="B12" s="135">
        <v>1.04</v>
      </c>
    </row>
    <row r="13" spans="1:12" x14ac:dyDescent="0.2">
      <c r="A13" s="106" t="s">
        <v>194</v>
      </c>
      <c r="B13" s="135">
        <v>1.202</v>
      </c>
    </row>
    <row r="14" spans="1:12" ht="16" thickBot="1" x14ac:dyDescent="0.25">
      <c r="A14" s="136" t="s">
        <v>195</v>
      </c>
      <c r="B14" s="137">
        <v>0.1835</v>
      </c>
    </row>
    <row r="15" spans="1:12" ht="16" thickBot="1" x14ac:dyDescent="0.25">
      <c r="A15" s="106"/>
      <c r="B15" s="138"/>
      <c r="C15" s="131" t="s">
        <v>196</v>
      </c>
      <c r="D15" s="139" t="s">
        <v>197</v>
      </c>
      <c r="E15" s="139" t="s">
        <v>198</v>
      </c>
      <c r="F15" s="139" t="s">
        <v>199</v>
      </c>
      <c r="G15" s="139" t="s">
        <v>200</v>
      </c>
      <c r="H15" s="139" t="s">
        <v>201</v>
      </c>
      <c r="I15" s="139" t="s">
        <v>202</v>
      </c>
      <c r="J15" s="139" t="s">
        <v>203</v>
      </c>
      <c r="K15" s="139" t="s">
        <v>204</v>
      </c>
      <c r="L15" s="140" t="s">
        <v>205</v>
      </c>
    </row>
    <row r="16" spans="1:12" x14ac:dyDescent="0.2">
      <c r="A16" s="105" t="s">
        <v>206</v>
      </c>
      <c r="B16" s="127">
        <f>$B$9*B2</f>
        <v>2292.5945272720001</v>
      </c>
      <c r="C16" s="105">
        <f>(66.3643490000004+5029.729142)*B9</f>
        <v>2303.4342579320005</v>
      </c>
      <c r="D16" s="141">
        <f>(66.3643490000004+5135.60319)*B9</f>
        <v>2351.2893276280001</v>
      </c>
      <c r="E16" s="142">
        <f>(66.3643490000004+5118.544958)*B9</f>
        <v>2343.5790067640005</v>
      </c>
      <c r="F16" s="142">
        <f>(66.3643490000004+5738.262763)*B9</f>
        <v>2623.691454624</v>
      </c>
      <c r="G16" s="142">
        <f>(66.3643490000004+5014.444392)*B9</f>
        <v>2296.5255509320004</v>
      </c>
      <c r="H16" s="142">
        <f>(66.3643490000004+5043.515552)*B9</f>
        <v>2309.6657152520002</v>
      </c>
      <c r="I16" s="142">
        <f>(66.3643490000004+5028.152008)*B9</f>
        <v>2302.7213933640001</v>
      </c>
      <c r="J16" s="142">
        <f>(66.3643490000004+5077.723406)*B9</f>
        <v>2325.1276652600004</v>
      </c>
      <c r="K16" s="142">
        <f>(66.3643490000004+5164.451828)*B9</f>
        <v>2364.3289120040004</v>
      </c>
      <c r="L16" s="134">
        <f>(66.3643490000004+6759.451908)*B9</f>
        <v>3085.2689481640004</v>
      </c>
    </row>
    <row r="17" spans="1:12" x14ac:dyDescent="0.2">
      <c r="A17" s="106" t="s">
        <v>186</v>
      </c>
      <c r="B17" s="128">
        <f>$B$9*B3</f>
        <v>1390.1543598360001</v>
      </c>
      <c r="C17" s="143">
        <f t="shared" ref="C17:L18" si="0">B17</f>
        <v>1390.1543598360001</v>
      </c>
      <c r="D17" s="144">
        <f t="shared" si="0"/>
        <v>1390.1543598360001</v>
      </c>
      <c r="E17" s="144">
        <f t="shared" si="0"/>
        <v>1390.1543598360001</v>
      </c>
      <c r="F17" s="144">
        <f t="shared" si="0"/>
        <v>1390.1543598360001</v>
      </c>
      <c r="G17" s="144">
        <f t="shared" si="0"/>
        <v>1390.1543598360001</v>
      </c>
      <c r="H17" s="144">
        <f t="shared" si="0"/>
        <v>1390.1543598360001</v>
      </c>
      <c r="I17" s="144">
        <f t="shared" si="0"/>
        <v>1390.1543598360001</v>
      </c>
      <c r="J17" s="144">
        <f t="shared" si="0"/>
        <v>1390.1543598360001</v>
      </c>
      <c r="K17" s="144">
        <f t="shared" si="0"/>
        <v>1390.1543598360001</v>
      </c>
      <c r="L17" s="128">
        <f t="shared" si="0"/>
        <v>1390.1543598360001</v>
      </c>
    </row>
    <row r="18" spans="1:12" ht="16" thickBot="1" x14ac:dyDescent="0.25">
      <c r="A18" s="129" t="s">
        <v>187</v>
      </c>
      <c r="B18" s="130">
        <f>$B$9*B4</f>
        <v>2292.5945272720001</v>
      </c>
      <c r="C18" s="145">
        <f t="shared" si="0"/>
        <v>2292.5945272720001</v>
      </c>
      <c r="D18" s="146">
        <f t="shared" si="0"/>
        <v>2292.5945272720001</v>
      </c>
      <c r="E18" s="146">
        <f t="shared" si="0"/>
        <v>2292.5945272720001</v>
      </c>
      <c r="F18" s="146">
        <f t="shared" si="0"/>
        <v>2292.5945272720001</v>
      </c>
      <c r="G18" s="146">
        <f t="shared" si="0"/>
        <v>2292.5945272720001</v>
      </c>
      <c r="H18" s="146">
        <f t="shared" si="0"/>
        <v>2292.5945272720001</v>
      </c>
      <c r="I18" s="146">
        <f t="shared" si="0"/>
        <v>2292.5945272720001</v>
      </c>
      <c r="J18" s="146">
        <f t="shared" si="0"/>
        <v>2292.5945272720001</v>
      </c>
      <c r="K18" s="146">
        <f t="shared" si="0"/>
        <v>2292.5945272720001</v>
      </c>
      <c r="L18" s="130">
        <f t="shared" si="0"/>
        <v>2292.5945272720001</v>
      </c>
    </row>
    <row r="19" spans="1:12" ht="16" thickBot="1" x14ac:dyDescent="0.25">
      <c r="A19" s="106"/>
      <c r="B19" s="138"/>
    </row>
    <row r="20" spans="1:12" x14ac:dyDescent="0.2">
      <c r="A20" s="105" t="s">
        <v>191</v>
      </c>
      <c r="B20" s="147">
        <f>B2*B10</f>
        <v>1271.6692155511694</v>
      </c>
    </row>
    <row r="21" spans="1:12" x14ac:dyDescent="0.2">
      <c r="A21" s="106" t="s">
        <v>192</v>
      </c>
      <c r="B21" s="148">
        <f>B2*B11</f>
        <v>2028.8447144000002</v>
      </c>
    </row>
    <row r="22" spans="1:12" x14ac:dyDescent="0.2">
      <c r="A22" s="106" t="s">
        <v>193</v>
      </c>
      <c r="B22" s="148">
        <f>B2*B12</f>
        <v>5274.9962574400006</v>
      </c>
    </row>
    <row r="23" spans="1:12" x14ac:dyDescent="0.2">
      <c r="A23" s="106" t="s">
        <v>194</v>
      </c>
      <c r="B23" s="128">
        <f>B2*B13</f>
        <v>6096.6783667720001</v>
      </c>
    </row>
    <row r="24" spans="1:12" ht="16" thickBot="1" x14ac:dyDescent="0.25">
      <c r="A24" s="129" t="s">
        <v>207</v>
      </c>
      <c r="B24" s="130">
        <f>B2*B14</f>
        <v>930.73251273100004</v>
      </c>
    </row>
    <row r="30" spans="1:12" x14ac:dyDescent="0.2">
      <c r="A30" t="s">
        <v>465</v>
      </c>
    </row>
    <row r="31" spans="1:12" x14ac:dyDescent="0.2">
      <c r="A31" t="s">
        <v>466</v>
      </c>
      <c r="B31" s="181">
        <f>[1]Runs!B76+[1]Runs!C76+[1]Runs!D76+[1]Runs!E76+[1]Runs!F76</f>
        <v>0.50462894151460502</v>
      </c>
    </row>
    <row r="32" spans="1:12" x14ac:dyDescent="0.2">
      <c r="A32" t="s">
        <v>467</v>
      </c>
      <c r="B32" s="181">
        <f>[1]Runs!G76+[1]Runs!I76+[1]Runs!H76+[1]Runs!J76</f>
        <v>0.24763152468491692</v>
      </c>
    </row>
    <row r="33" spans="1:2" x14ac:dyDescent="0.2">
      <c r="A33" t="s">
        <v>468</v>
      </c>
      <c r="B33" s="181">
        <f>[1]Runs!K76+[1]Runs!M76+[1]Runs!O76+[1]Runs!L76+[1]Runs!N76+[1]Runs!P76</f>
        <v>0.2477484015364505</v>
      </c>
    </row>
    <row r="35" spans="1:2" x14ac:dyDescent="0.2">
      <c r="A35" s="163" t="s">
        <v>469</v>
      </c>
      <c r="B35" s="163">
        <f>'[1]Comparisons-Hold Harmless'!C74</f>
        <v>6402387650.6704445</v>
      </c>
    </row>
    <row r="36" spans="1:2" x14ac:dyDescent="0.2">
      <c r="A36" t="s">
        <v>470</v>
      </c>
      <c r="B36" s="163">
        <v>6474984328</v>
      </c>
    </row>
    <row r="39" spans="1:2" x14ac:dyDescent="0.2">
      <c r="A39" t="s">
        <v>471</v>
      </c>
    </row>
    <row r="40" spans="1:2" x14ac:dyDescent="0.2">
      <c r="B40" s="163"/>
    </row>
    <row r="41" spans="1:2" x14ac:dyDescent="0.2">
      <c r="B41" s="163"/>
    </row>
  </sheetData>
  <mergeCells count="1">
    <mergeCell ref="A1:B1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workbookViewId="0">
      <selection activeCell="C2" sqref="C2"/>
    </sheetView>
  </sheetViews>
  <sheetFormatPr baseColWidth="10" defaultRowHeight="15" x14ac:dyDescent="0.2"/>
  <cols>
    <col min="3" max="3" width="17.5" customWidth="1"/>
    <col min="4" max="4" width="14.6640625" customWidth="1"/>
    <col min="5" max="5" width="18.33203125" customWidth="1"/>
    <col min="6" max="6" width="14" customWidth="1"/>
    <col min="7" max="7" width="16.1640625" customWidth="1"/>
    <col min="9" max="9" width="14.6640625" customWidth="1"/>
    <col min="12" max="12" width="21.1640625" customWidth="1"/>
    <col min="13" max="13" width="21.83203125" customWidth="1"/>
    <col min="14" max="14" width="19.6640625" customWidth="1"/>
    <col min="15" max="15" width="18" customWidth="1"/>
    <col min="17" max="17" width="28.33203125" customWidth="1"/>
    <col min="18" max="18" width="23.6640625" customWidth="1"/>
  </cols>
  <sheetData>
    <row r="1" spans="1:18" x14ac:dyDescent="0.2">
      <c r="A1" s="164" t="s">
        <v>223</v>
      </c>
      <c r="B1" s="164" t="s">
        <v>224</v>
      </c>
      <c r="C1" s="164" t="s">
        <v>225</v>
      </c>
      <c r="D1" s="164" t="s">
        <v>226</v>
      </c>
      <c r="E1" s="164" t="s">
        <v>227</v>
      </c>
      <c r="F1" s="164" t="s">
        <v>228</v>
      </c>
      <c r="G1" s="164" t="s">
        <v>229</v>
      </c>
      <c r="H1" s="164" t="s">
        <v>230</v>
      </c>
      <c r="I1" s="164" t="s">
        <v>231</v>
      </c>
      <c r="J1" s="164" t="s">
        <v>232</v>
      </c>
      <c r="K1" s="164" t="s">
        <v>233</v>
      </c>
      <c r="L1" s="164" t="s">
        <v>234</v>
      </c>
      <c r="M1" s="164" t="s">
        <v>234</v>
      </c>
      <c r="N1" s="164" t="s">
        <v>235</v>
      </c>
      <c r="O1" s="164" t="s">
        <v>236</v>
      </c>
      <c r="P1" s="164" t="s">
        <v>237</v>
      </c>
      <c r="Q1" s="164" t="s">
        <v>238</v>
      </c>
      <c r="R1" s="164" t="s">
        <v>239</v>
      </c>
    </row>
    <row r="2" spans="1:18" x14ac:dyDescent="0.2">
      <c r="A2" s="165" t="s">
        <v>240</v>
      </c>
      <c r="B2" s="165"/>
      <c r="C2" s="166">
        <v>7534.91</v>
      </c>
      <c r="D2" s="167">
        <v>547.44000000000005</v>
      </c>
      <c r="E2" s="167">
        <v>411.48</v>
      </c>
      <c r="F2" s="165">
        <v>0</v>
      </c>
      <c r="G2" s="165">
        <v>0</v>
      </c>
      <c r="H2" s="165">
        <v>0</v>
      </c>
      <c r="I2" s="165">
        <f>978.928+696.812</f>
        <v>1675.74</v>
      </c>
      <c r="J2" s="165">
        <v>-61.45</v>
      </c>
      <c r="K2" s="165">
        <v>-92.25</v>
      </c>
      <c r="L2" s="168">
        <f>27553607</f>
        <v>27553607</v>
      </c>
      <c r="M2" s="168">
        <v>552144</v>
      </c>
      <c r="N2" s="168">
        <v>8084699</v>
      </c>
      <c r="O2" s="168">
        <v>17118425</v>
      </c>
      <c r="P2" s="168">
        <v>0</v>
      </c>
      <c r="Q2" s="168">
        <v>2680006</v>
      </c>
      <c r="R2" s="168">
        <f t="shared" ref="R2:R73" si="0">SUM(L2:Q2)</f>
        <v>55988881</v>
      </c>
    </row>
    <row r="3" spans="1:18" x14ac:dyDescent="0.2">
      <c r="A3" s="165" t="s">
        <v>241</v>
      </c>
      <c r="B3" s="165"/>
      <c r="C3" s="166">
        <v>11613</v>
      </c>
      <c r="D3" s="166">
        <v>43.96</v>
      </c>
      <c r="E3" s="166">
        <v>0</v>
      </c>
      <c r="F3" s="165">
        <v>0</v>
      </c>
      <c r="G3" s="165">
        <v>0</v>
      </c>
      <c r="H3" s="165">
        <v>0</v>
      </c>
      <c r="I3" s="165">
        <v>21.18</v>
      </c>
      <c r="J3" s="165">
        <v>-21.03</v>
      </c>
      <c r="K3" s="165">
        <v>0</v>
      </c>
      <c r="L3" s="168">
        <v>46097775</v>
      </c>
      <c r="M3" s="168">
        <v>654783</v>
      </c>
      <c r="N3" s="168">
        <v>9515471</v>
      </c>
      <c r="O3" s="168">
        <v>6475066</v>
      </c>
      <c r="P3" s="168">
        <v>0</v>
      </c>
      <c r="Q3" s="168">
        <v>2421822</v>
      </c>
      <c r="R3" s="168">
        <f t="shared" si="0"/>
        <v>65164917</v>
      </c>
    </row>
    <row r="4" spans="1:18" x14ac:dyDescent="0.2">
      <c r="A4" s="165" t="s">
        <v>242</v>
      </c>
      <c r="B4" s="165"/>
      <c r="C4" s="166">
        <v>2464.42</v>
      </c>
      <c r="D4" s="166">
        <v>32.549999999999997</v>
      </c>
      <c r="E4" s="166">
        <v>0</v>
      </c>
      <c r="F4" s="165">
        <v>0</v>
      </c>
      <c r="G4" s="165">
        <v>0</v>
      </c>
      <c r="H4" s="165">
        <v>0</v>
      </c>
      <c r="I4" s="165">
        <v>42.28</v>
      </c>
      <c r="J4" s="165">
        <v>-14.14</v>
      </c>
      <c r="K4" s="165">
        <v>0</v>
      </c>
      <c r="L4" s="168">
        <v>11202561</v>
      </c>
      <c r="M4" s="168">
        <v>141535</v>
      </c>
      <c r="N4" s="168">
        <v>2591701</v>
      </c>
      <c r="O4" s="168">
        <v>3153357</v>
      </c>
      <c r="P4" s="168">
        <v>0</v>
      </c>
      <c r="Q4" s="168">
        <v>494199</v>
      </c>
      <c r="R4" s="168">
        <f t="shared" si="0"/>
        <v>17583353</v>
      </c>
    </row>
    <row r="5" spans="1:18" x14ac:dyDescent="0.2">
      <c r="A5" s="165" t="s">
        <v>243</v>
      </c>
      <c r="B5" s="165"/>
      <c r="C5" s="166">
        <v>9656.1</v>
      </c>
      <c r="D5" s="166">
        <v>1177.1099999999999</v>
      </c>
      <c r="E5" s="166">
        <v>32.15</v>
      </c>
      <c r="F5" s="165">
        <v>-934.21</v>
      </c>
      <c r="G5" s="165">
        <v>28.87</v>
      </c>
      <c r="H5" s="165">
        <v>-10.49</v>
      </c>
      <c r="I5" s="165">
        <v>0</v>
      </c>
      <c r="J5" s="165">
        <v>0</v>
      </c>
      <c r="K5" s="165">
        <v>0</v>
      </c>
      <c r="L5" s="168">
        <v>31310828</v>
      </c>
      <c r="M5" s="168">
        <v>532279</v>
      </c>
      <c r="N5" s="168">
        <v>8394539</v>
      </c>
      <c r="O5" s="168">
        <v>15114256</v>
      </c>
      <c r="P5" s="168">
        <v>0</v>
      </c>
      <c r="Q5" s="168">
        <v>3411205</v>
      </c>
      <c r="R5" s="168">
        <f t="shared" si="0"/>
        <v>58763107</v>
      </c>
    </row>
    <row r="6" spans="1:18" x14ac:dyDescent="0.2">
      <c r="A6" s="165" t="s">
        <v>244</v>
      </c>
      <c r="B6" s="165"/>
      <c r="C6" s="166">
        <v>9184.82</v>
      </c>
      <c r="D6" s="166">
        <v>182.39</v>
      </c>
      <c r="E6" s="166">
        <v>0</v>
      </c>
      <c r="F6" s="165">
        <v>0</v>
      </c>
      <c r="G6" s="165">
        <v>0</v>
      </c>
      <c r="H6" s="165">
        <v>0</v>
      </c>
      <c r="I6" s="165">
        <v>1031.76</v>
      </c>
      <c r="J6" s="165">
        <f>0-2.56</f>
        <v>-2.56</v>
      </c>
      <c r="K6" s="165">
        <f>3.461+1.539</f>
        <v>5</v>
      </c>
      <c r="L6" s="168">
        <v>17681748</v>
      </c>
      <c r="M6" s="168">
        <v>580679</v>
      </c>
      <c r="N6" s="168">
        <v>8198942</v>
      </c>
      <c r="O6" s="168">
        <v>27600804</v>
      </c>
      <c r="P6" s="168">
        <v>0</v>
      </c>
      <c r="Q6" s="168">
        <v>4473070</v>
      </c>
      <c r="R6" s="168">
        <f t="shared" si="0"/>
        <v>58535243</v>
      </c>
    </row>
    <row r="7" spans="1:18" x14ac:dyDescent="0.2">
      <c r="A7" s="165" t="s">
        <v>245</v>
      </c>
      <c r="B7" s="165"/>
      <c r="C7" s="166">
        <v>17324.97</v>
      </c>
      <c r="D7" s="166">
        <v>117.31</v>
      </c>
      <c r="E7" s="166">
        <v>298.48</v>
      </c>
      <c r="F7" s="165">
        <v>-841.56</v>
      </c>
      <c r="G7" s="165">
        <v>-2.21</v>
      </c>
      <c r="H7" s="165">
        <v>-149.44999999999999</v>
      </c>
      <c r="I7" s="165">
        <v>0</v>
      </c>
      <c r="J7" s="165">
        <v>0</v>
      </c>
      <c r="K7" s="165">
        <v>0</v>
      </c>
      <c r="L7" s="168">
        <v>51366347</v>
      </c>
      <c r="M7" s="168">
        <v>938873</v>
      </c>
      <c r="N7" s="168">
        <v>13691124</v>
      </c>
      <c r="O7" s="168">
        <v>24280161</v>
      </c>
      <c r="P7" s="168">
        <v>0</v>
      </c>
      <c r="Q7" s="168">
        <v>4283183</v>
      </c>
      <c r="R7" s="168">
        <f t="shared" si="0"/>
        <v>94559688</v>
      </c>
    </row>
    <row r="8" spans="1:18" x14ac:dyDescent="0.2">
      <c r="A8" s="165" t="s">
        <v>246</v>
      </c>
      <c r="B8" s="165"/>
      <c r="C8" s="166">
        <v>17504.169999999998</v>
      </c>
      <c r="D8" s="166">
        <v>135.85</v>
      </c>
      <c r="E8" s="166">
        <v>0</v>
      </c>
      <c r="F8" s="169">
        <v>-2120.69</v>
      </c>
      <c r="G8" s="165">
        <v>21.88</v>
      </c>
      <c r="H8" s="165">
        <v>0</v>
      </c>
      <c r="I8" s="165">
        <v>0</v>
      </c>
      <c r="J8" s="165">
        <v>0</v>
      </c>
      <c r="K8" s="165">
        <v>0</v>
      </c>
      <c r="L8" s="168">
        <v>32510048</v>
      </c>
      <c r="M8" s="168">
        <v>870105</v>
      </c>
      <c r="N8" s="168">
        <v>13222843</v>
      </c>
      <c r="O8" s="168">
        <v>40585766</v>
      </c>
      <c r="P8" s="168">
        <v>0</v>
      </c>
      <c r="Q8" s="168">
        <v>9802132</v>
      </c>
      <c r="R8" s="168">
        <f t="shared" si="0"/>
        <v>96990894</v>
      </c>
    </row>
    <row r="9" spans="1:18" x14ac:dyDescent="0.2">
      <c r="A9" s="165" t="s">
        <v>247</v>
      </c>
      <c r="B9" s="165"/>
      <c r="C9" s="166">
        <v>15489.42</v>
      </c>
      <c r="D9" s="166">
        <v>359.9</v>
      </c>
      <c r="E9" s="166">
        <v>0</v>
      </c>
      <c r="F9" s="169">
        <v>0</v>
      </c>
      <c r="G9" s="165">
        <v>0</v>
      </c>
      <c r="H9" s="165">
        <v>0</v>
      </c>
      <c r="I9" s="165">
        <v>650.61</v>
      </c>
      <c r="J9" s="165">
        <v>32.24</v>
      </c>
      <c r="K9" s="165">
        <v>0</v>
      </c>
      <c r="L9" s="168">
        <v>40187312</v>
      </c>
      <c r="M9" s="168">
        <v>920558</v>
      </c>
      <c r="N9" s="168">
        <v>12798639</v>
      </c>
      <c r="O9" s="168">
        <v>30485134</v>
      </c>
      <c r="P9" s="168">
        <v>0</v>
      </c>
      <c r="Q9" s="168">
        <v>6007400</v>
      </c>
      <c r="R9" s="168">
        <f t="shared" si="0"/>
        <v>90399043</v>
      </c>
    </row>
    <row r="10" spans="1:18" x14ac:dyDescent="0.2">
      <c r="A10" s="165" t="s">
        <v>248</v>
      </c>
      <c r="B10" s="165"/>
      <c r="C10" s="166">
        <v>11378.55</v>
      </c>
      <c r="D10" s="166">
        <v>272.26</v>
      </c>
      <c r="E10" s="166">
        <v>132.19</v>
      </c>
      <c r="F10" s="169">
        <v>0</v>
      </c>
      <c r="G10" s="165">
        <v>0</v>
      </c>
      <c r="H10" s="165">
        <v>0</v>
      </c>
      <c r="I10" s="165">
        <v>141.80000000000001</v>
      </c>
      <c r="J10" s="165">
        <v>-39.29</v>
      </c>
      <c r="K10" s="165">
        <v>-25.86</v>
      </c>
      <c r="L10" s="168">
        <v>44037652</v>
      </c>
      <c r="M10" s="168">
        <v>661462</v>
      </c>
      <c r="N10" s="168">
        <v>9045162</v>
      </c>
      <c r="O10" s="168">
        <v>5897695</v>
      </c>
      <c r="P10" s="168">
        <v>0</v>
      </c>
      <c r="Q10" s="168">
        <v>4913562</v>
      </c>
      <c r="R10" s="168">
        <f t="shared" si="0"/>
        <v>64555533</v>
      </c>
    </row>
    <row r="11" spans="1:18" x14ac:dyDescent="0.2">
      <c r="A11" s="165" t="s">
        <v>249</v>
      </c>
      <c r="B11" s="165"/>
      <c r="C11" s="166">
        <v>32335.14</v>
      </c>
      <c r="D11" s="166">
        <v>288.66000000000003</v>
      </c>
      <c r="E11" s="166">
        <v>0</v>
      </c>
      <c r="F11" s="169">
        <v>-2263.86</v>
      </c>
      <c r="G11" s="165">
        <v>51.16</v>
      </c>
      <c r="H11" s="165">
        <v>0</v>
      </c>
      <c r="I11" s="165">
        <v>0</v>
      </c>
      <c r="J11" s="165">
        <v>0</v>
      </c>
      <c r="K11" s="165">
        <v>0</v>
      </c>
      <c r="L11" s="168">
        <v>12831337</v>
      </c>
      <c r="M11" s="168">
        <v>1701925</v>
      </c>
      <c r="N11" s="168">
        <v>24319640</v>
      </c>
      <c r="O11" s="168">
        <v>121505898</v>
      </c>
      <c r="P11" s="168">
        <v>0</v>
      </c>
      <c r="Q11" s="168">
        <v>16575694</v>
      </c>
      <c r="R11" s="168">
        <f t="shared" si="0"/>
        <v>176934494</v>
      </c>
    </row>
    <row r="12" spans="1:18" x14ac:dyDescent="0.2">
      <c r="A12" s="165" t="s">
        <v>250</v>
      </c>
      <c r="B12" s="165"/>
      <c r="C12" s="166">
        <v>5982.99</v>
      </c>
      <c r="D12" s="166">
        <v>23.01</v>
      </c>
      <c r="E12" s="166">
        <v>0</v>
      </c>
      <c r="F12" s="169">
        <v>-890.27</v>
      </c>
      <c r="G12" s="165">
        <v>4.8600000000000003</v>
      </c>
      <c r="H12" s="165">
        <v>0</v>
      </c>
      <c r="I12" s="165">
        <v>0</v>
      </c>
      <c r="J12" s="165">
        <v>0</v>
      </c>
      <c r="K12" s="165">
        <v>0</v>
      </c>
      <c r="L12" s="168">
        <v>23124031</v>
      </c>
      <c r="M12" s="168">
        <v>287226</v>
      </c>
      <c r="N12" s="168">
        <v>5021423</v>
      </c>
      <c r="O12" s="168">
        <v>4677572</v>
      </c>
      <c r="P12" s="168">
        <v>0</v>
      </c>
      <c r="Q12" s="168">
        <v>907747</v>
      </c>
      <c r="R12" s="168">
        <f t="shared" si="0"/>
        <v>34017999</v>
      </c>
    </row>
    <row r="13" spans="1:18" x14ac:dyDescent="0.2">
      <c r="A13" s="165" t="s">
        <v>251</v>
      </c>
      <c r="B13" s="165"/>
      <c r="C13" s="166">
        <v>29353.11</v>
      </c>
      <c r="D13" s="166">
        <v>135.74</v>
      </c>
      <c r="E13" s="166">
        <v>0</v>
      </c>
      <c r="F13" s="169">
        <v>-2744.1</v>
      </c>
      <c r="G13" s="165">
        <v>-52.74</v>
      </c>
      <c r="H13" s="165">
        <v>0</v>
      </c>
      <c r="I13" s="165">
        <v>0</v>
      </c>
      <c r="J13" s="165">
        <v>0</v>
      </c>
      <c r="K13" s="165">
        <v>0</v>
      </c>
      <c r="L13" s="168">
        <v>24761641</v>
      </c>
      <c r="M13" s="168">
        <v>1498615</v>
      </c>
      <c r="N13" s="168">
        <v>22209702</v>
      </c>
      <c r="O13" s="168">
        <v>97976339</v>
      </c>
      <c r="P13" s="168">
        <v>0</v>
      </c>
      <c r="Q13" s="168">
        <v>16691007</v>
      </c>
      <c r="R13" s="168">
        <f t="shared" si="0"/>
        <v>163137304</v>
      </c>
    </row>
    <row r="14" spans="1:18" x14ac:dyDescent="0.2">
      <c r="A14" s="165" t="s">
        <v>252</v>
      </c>
      <c r="B14" s="165"/>
      <c r="C14" s="166">
        <v>1397.72</v>
      </c>
      <c r="D14" s="166">
        <v>82.1</v>
      </c>
      <c r="E14" s="166">
        <v>2.46</v>
      </c>
      <c r="F14" s="169">
        <v>-25.89</v>
      </c>
      <c r="G14" s="165">
        <v>23.53</v>
      </c>
      <c r="H14" s="165">
        <v>-1.76</v>
      </c>
      <c r="I14" s="165">
        <v>0</v>
      </c>
      <c r="J14" s="165">
        <v>0</v>
      </c>
      <c r="K14" s="165">
        <v>0</v>
      </c>
      <c r="L14" s="168">
        <v>8565016</v>
      </c>
      <c r="M14" s="168">
        <v>80726</v>
      </c>
      <c r="N14" s="168">
        <v>1815534</v>
      </c>
      <c r="O14" s="168">
        <v>1509985</v>
      </c>
      <c r="P14" s="168">
        <v>0</v>
      </c>
      <c r="Q14" s="168">
        <v>191190</v>
      </c>
      <c r="R14" s="168">
        <f t="shared" si="0"/>
        <v>12162451</v>
      </c>
    </row>
    <row r="15" spans="1:18" x14ac:dyDescent="0.2">
      <c r="A15" s="165" t="s">
        <v>253</v>
      </c>
      <c r="B15" s="165"/>
      <c r="C15" s="166">
        <v>8435.0300000000007</v>
      </c>
      <c r="D15" s="166">
        <v>24.92</v>
      </c>
      <c r="E15" s="166">
        <v>593.5</v>
      </c>
      <c r="F15" s="169">
        <v>-136.47</v>
      </c>
      <c r="G15" s="165">
        <v>227.76</v>
      </c>
      <c r="H15" s="165">
        <v>-11.8</v>
      </c>
      <c r="I15" s="165">
        <v>0</v>
      </c>
      <c r="J15" s="165">
        <v>0</v>
      </c>
      <c r="K15" s="165">
        <v>0</v>
      </c>
      <c r="L15" s="168">
        <v>6791819</v>
      </c>
      <c r="M15" s="168">
        <v>507739</v>
      </c>
      <c r="N15" s="168">
        <v>6981223</v>
      </c>
      <c r="O15" s="168">
        <v>31751996</v>
      </c>
      <c r="P15" s="168">
        <v>0</v>
      </c>
      <c r="Q15" s="168">
        <v>2336532</v>
      </c>
      <c r="R15" s="168">
        <f t="shared" si="0"/>
        <v>48369309</v>
      </c>
    </row>
    <row r="16" spans="1:18" x14ac:dyDescent="0.2">
      <c r="A16" s="165" t="s">
        <v>254</v>
      </c>
      <c r="B16" s="165"/>
      <c r="C16" s="166">
        <v>19463.240000000002</v>
      </c>
      <c r="D16" s="166">
        <v>22.76</v>
      </c>
      <c r="E16" s="166">
        <v>0</v>
      </c>
      <c r="F16" s="169">
        <v>-1597.98</v>
      </c>
      <c r="G16" s="165">
        <v>5.31</v>
      </c>
      <c r="H16" s="165">
        <v>0</v>
      </c>
      <c r="I16" s="165">
        <v>0</v>
      </c>
      <c r="J16" s="165">
        <v>0</v>
      </c>
      <c r="K16" s="165">
        <v>0</v>
      </c>
      <c r="L16" s="168">
        <v>53672438</v>
      </c>
      <c r="M16" s="168">
        <v>1005234</v>
      </c>
      <c r="N16" s="168">
        <v>15183882</v>
      </c>
      <c r="O16" s="168">
        <v>30257901</v>
      </c>
      <c r="P16" s="168">
        <v>0</v>
      </c>
      <c r="Q16" s="168">
        <v>8300576</v>
      </c>
      <c r="R16" s="168">
        <f t="shared" si="0"/>
        <v>108420031</v>
      </c>
    </row>
    <row r="17" spans="1:18" x14ac:dyDescent="0.2">
      <c r="A17" s="165" t="s">
        <v>255</v>
      </c>
      <c r="B17" s="165"/>
      <c r="C17" s="166">
        <v>1576.62</v>
      </c>
      <c r="D17" s="166">
        <v>43.26</v>
      </c>
      <c r="E17" s="166">
        <v>0</v>
      </c>
      <c r="F17" s="169">
        <v>0</v>
      </c>
      <c r="G17" s="165">
        <v>0</v>
      </c>
      <c r="H17" s="165">
        <v>0</v>
      </c>
      <c r="I17" s="165">
        <v>10.34</v>
      </c>
      <c r="J17" s="165">
        <v>-7.42</v>
      </c>
      <c r="K17" s="165">
        <v>0</v>
      </c>
      <c r="L17" s="168">
        <v>4422113</v>
      </c>
      <c r="M17" s="168">
        <v>90421</v>
      </c>
      <c r="N17" s="168">
        <v>1880757</v>
      </c>
      <c r="O17" s="168">
        <v>6008045</v>
      </c>
      <c r="P17" s="168">
        <v>0</v>
      </c>
      <c r="Q17" s="168">
        <v>568487</v>
      </c>
      <c r="R17" s="168">
        <f t="shared" si="0"/>
        <v>12969823</v>
      </c>
    </row>
    <row r="18" spans="1:18" x14ac:dyDescent="0.2">
      <c r="A18" s="165" t="s">
        <v>256</v>
      </c>
      <c r="B18" s="165"/>
      <c r="C18" s="166">
        <v>26756.003000000001</v>
      </c>
      <c r="D18" s="166">
        <v>215.89</v>
      </c>
      <c r="E18" s="166">
        <v>169.43</v>
      </c>
      <c r="F18" s="169">
        <v>-1225.3030000000001</v>
      </c>
      <c r="G18" s="165">
        <v>37.880000000000003</v>
      </c>
      <c r="H18" s="165">
        <v>18.73</v>
      </c>
      <c r="I18" s="165">
        <v>0</v>
      </c>
      <c r="J18" s="165">
        <v>0</v>
      </c>
      <c r="K18" s="165">
        <v>0</v>
      </c>
      <c r="L18" s="168">
        <v>0</v>
      </c>
      <c r="M18" s="168">
        <v>1454348</v>
      </c>
      <c r="N18" s="168">
        <v>7126981</v>
      </c>
      <c r="O18" s="168">
        <v>118280396</v>
      </c>
      <c r="P18" s="168">
        <v>0</v>
      </c>
      <c r="Q18" s="168">
        <v>20678000</v>
      </c>
      <c r="R18" s="168">
        <f t="shared" si="0"/>
        <v>147539725</v>
      </c>
    </row>
    <row r="19" spans="1:18" x14ac:dyDescent="0.2">
      <c r="A19" s="165" t="s">
        <v>257</v>
      </c>
      <c r="B19" s="165"/>
      <c r="C19" s="166">
        <v>4265.0749999999998</v>
      </c>
      <c r="D19" s="166">
        <v>438.96</v>
      </c>
      <c r="E19" s="166">
        <v>85.28</v>
      </c>
      <c r="F19" s="169">
        <v>0</v>
      </c>
      <c r="G19" s="165">
        <v>0</v>
      </c>
      <c r="H19" s="165">
        <v>0</v>
      </c>
      <c r="I19" s="165">
        <f>200.854+432.271</f>
        <v>633.125</v>
      </c>
      <c r="J19" s="165">
        <v>-109.02</v>
      </c>
      <c r="K19" s="165">
        <v>-11.26</v>
      </c>
      <c r="L19" s="168">
        <v>3448356</v>
      </c>
      <c r="M19" s="168">
        <v>290663</v>
      </c>
      <c r="N19" s="168">
        <v>4378046</v>
      </c>
      <c r="O19" s="168">
        <v>20750881</v>
      </c>
      <c r="P19" s="168">
        <v>0</v>
      </c>
      <c r="Q19" s="168">
        <v>2198634</v>
      </c>
      <c r="R19" s="168">
        <f t="shared" si="0"/>
        <v>31066580</v>
      </c>
    </row>
    <row r="20" spans="1:18" x14ac:dyDescent="0.2">
      <c r="A20" s="165" t="s">
        <v>258</v>
      </c>
      <c r="B20" s="165"/>
      <c r="C20" s="166">
        <v>11297.33</v>
      </c>
      <c r="D20" s="166">
        <v>257.10000000000002</v>
      </c>
      <c r="E20" s="166">
        <v>2538.98</v>
      </c>
      <c r="F20" s="169">
        <v>0</v>
      </c>
      <c r="G20" s="165">
        <v>0</v>
      </c>
      <c r="H20" s="165">
        <v>0</v>
      </c>
      <c r="I20" s="165">
        <v>1166.3</v>
      </c>
      <c r="J20" s="165">
        <v>-98.41</v>
      </c>
      <c r="K20" s="165">
        <f>196.463+183.167</f>
        <v>379.63</v>
      </c>
      <c r="L20" s="168">
        <v>44509280</v>
      </c>
      <c r="M20" s="168">
        <v>870067</v>
      </c>
      <c r="N20" s="168">
        <v>12140601</v>
      </c>
      <c r="O20" s="168">
        <v>22532728</v>
      </c>
      <c r="P20" s="168">
        <v>0</v>
      </c>
      <c r="Q20" s="168">
        <v>4619213</v>
      </c>
      <c r="R20" s="168">
        <f t="shared" si="0"/>
        <v>84671889</v>
      </c>
    </row>
    <row r="21" spans="1:18" x14ac:dyDescent="0.2">
      <c r="A21" s="165" t="s">
        <v>259</v>
      </c>
      <c r="B21" s="165"/>
      <c r="C21" s="166">
        <v>18727.580000000002</v>
      </c>
      <c r="D21" s="166">
        <v>21.93</v>
      </c>
      <c r="E21" s="166">
        <v>0</v>
      </c>
      <c r="F21" s="169">
        <v>0</v>
      </c>
      <c r="G21" s="165">
        <v>0</v>
      </c>
      <c r="H21" s="165">
        <v>0</v>
      </c>
      <c r="I21" s="165">
        <v>386.29</v>
      </c>
      <c r="J21" s="165">
        <v>-10.8</v>
      </c>
      <c r="K21" s="165">
        <v>0</v>
      </c>
      <c r="L21" s="168">
        <v>41924496</v>
      </c>
      <c r="M21" s="168">
        <v>1074851</v>
      </c>
      <c r="N21" s="168">
        <v>14821448</v>
      </c>
      <c r="O21" s="168">
        <v>39908838</v>
      </c>
      <c r="P21" s="168">
        <v>0</v>
      </c>
      <c r="Q21" s="168">
        <v>7183591</v>
      </c>
      <c r="R21" s="168">
        <f t="shared" si="0"/>
        <v>104913224</v>
      </c>
    </row>
    <row r="22" spans="1:18" x14ac:dyDescent="0.2">
      <c r="A22" s="165" t="s">
        <v>260</v>
      </c>
      <c r="B22" s="165"/>
      <c r="C22" s="166">
        <v>7276.54</v>
      </c>
      <c r="D22" s="166">
        <v>17.8</v>
      </c>
      <c r="E22" s="166">
        <v>0</v>
      </c>
      <c r="F22" s="169">
        <v>0</v>
      </c>
      <c r="G22" s="165">
        <v>0</v>
      </c>
      <c r="H22" s="165">
        <v>0</v>
      </c>
      <c r="I22" s="165">
        <v>76.81</v>
      </c>
      <c r="J22" s="165">
        <v>-12.58</v>
      </c>
      <c r="K22" s="165">
        <v>0</v>
      </c>
      <c r="L22" s="168">
        <v>10313893</v>
      </c>
      <c r="M22" s="168">
        <v>413541</v>
      </c>
      <c r="N22" s="168">
        <v>5940563</v>
      </c>
      <c r="O22" s="168">
        <v>22502881</v>
      </c>
      <c r="P22" s="168">
        <v>0</v>
      </c>
      <c r="Q22" s="168">
        <v>2100880</v>
      </c>
      <c r="R22" s="168">
        <f t="shared" si="0"/>
        <v>41271758</v>
      </c>
    </row>
    <row r="23" spans="1:18" x14ac:dyDescent="0.2">
      <c r="A23" s="165" t="s">
        <v>261</v>
      </c>
      <c r="B23" s="165"/>
      <c r="C23" s="166">
        <v>6770.48</v>
      </c>
      <c r="D23" s="166">
        <v>24.72</v>
      </c>
      <c r="E23" s="166">
        <v>16.7</v>
      </c>
      <c r="F23" s="169">
        <v>-44.12</v>
      </c>
      <c r="G23" s="165">
        <v>9.16</v>
      </c>
      <c r="H23" s="165">
        <v>-4.78</v>
      </c>
      <c r="I23" s="165">
        <v>0</v>
      </c>
      <c r="J23" s="165">
        <v>0</v>
      </c>
      <c r="K23" s="165">
        <v>0</v>
      </c>
      <c r="L23" s="168">
        <v>24428032</v>
      </c>
      <c r="M23" s="168">
        <v>379933</v>
      </c>
      <c r="N23" s="168">
        <v>5604413</v>
      </c>
      <c r="O23" s="168">
        <v>6541990</v>
      </c>
      <c r="P23" s="168">
        <v>0</v>
      </c>
      <c r="Q23" s="168">
        <v>1194719</v>
      </c>
      <c r="R23" s="168">
        <f t="shared" si="0"/>
        <v>38149087</v>
      </c>
    </row>
    <row r="24" spans="1:18" x14ac:dyDescent="0.2">
      <c r="A24" s="165" t="s">
        <v>262</v>
      </c>
      <c r="B24" s="165"/>
      <c r="C24" s="166">
        <v>20732.060000000001</v>
      </c>
      <c r="D24" s="166">
        <v>61.47</v>
      </c>
      <c r="E24" s="166">
        <v>0</v>
      </c>
      <c r="F24" s="169">
        <v>0</v>
      </c>
      <c r="G24" s="165">
        <v>0</v>
      </c>
      <c r="H24" s="165">
        <v>0</v>
      </c>
      <c r="I24" s="165">
        <v>905.86</v>
      </c>
      <c r="J24" s="165">
        <v>25.92</v>
      </c>
      <c r="K24" s="165">
        <v>0</v>
      </c>
      <c r="L24" s="168">
        <v>48860386</v>
      </c>
      <c r="M24" s="168">
        <v>1219317</v>
      </c>
      <c r="N24" s="168">
        <v>18100441</v>
      </c>
      <c r="O24" s="168">
        <v>51170512</v>
      </c>
      <c r="P24" s="168">
        <v>0</v>
      </c>
      <c r="Q24" s="168">
        <v>6231606</v>
      </c>
      <c r="R24" s="168">
        <f t="shared" si="0"/>
        <v>125582262</v>
      </c>
    </row>
    <row r="25" spans="1:18" x14ac:dyDescent="0.2">
      <c r="A25" s="165" t="s">
        <v>263</v>
      </c>
      <c r="B25" s="165"/>
      <c r="C25" s="166">
        <v>1620.22</v>
      </c>
      <c r="D25" s="166">
        <v>36.4</v>
      </c>
      <c r="E25" s="166">
        <v>22.09</v>
      </c>
      <c r="F25" s="169">
        <v>0</v>
      </c>
      <c r="G25" s="165">
        <v>0</v>
      </c>
      <c r="H25" s="165">
        <v>0</v>
      </c>
      <c r="I25" s="165">
        <v>32.71</v>
      </c>
      <c r="J25" s="165">
        <f>13.37+23.78</f>
        <v>37.15</v>
      </c>
      <c r="K25" s="165">
        <v>-8.0399999999999991</v>
      </c>
      <c r="L25" s="168">
        <v>6709481</v>
      </c>
      <c r="M25" s="168">
        <v>96195</v>
      </c>
      <c r="N25" s="168">
        <v>1957922</v>
      </c>
      <c r="O25" s="168">
        <v>4146543</v>
      </c>
      <c r="P25" s="168">
        <v>0</v>
      </c>
      <c r="Q25" s="168">
        <v>793255</v>
      </c>
      <c r="R25" s="168">
        <f t="shared" si="0"/>
        <v>13703396</v>
      </c>
    </row>
    <row r="26" spans="1:18" x14ac:dyDescent="0.2">
      <c r="A26" s="165" t="s">
        <v>264</v>
      </c>
      <c r="B26" s="165"/>
      <c r="C26" s="166">
        <v>1302.78</v>
      </c>
      <c r="D26" s="166">
        <v>63.14</v>
      </c>
      <c r="E26" s="166">
        <v>0</v>
      </c>
      <c r="F26" s="169">
        <v>0</v>
      </c>
      <c r="G26" s="165">
        <v>0</v>
      </c>
      <c r="H26" s="165">
        <v>0</v>
      </c>
      <c r="I26" s="165">
        <v>240.6</v>
      </c>
      <c r="J26" s="165">
        <v>93.49</v>
      </c>
      <c r="K26" s="165">
        <v>0.18</v>
      </c>
      <c r="L26" s="168">
        <v>8934895</v>
      </c>
      <c r="M26" s="168">
        <v>92065</v>
      </c>
      <c r="N26" s="168">
        <v>1921694</v>
      </c>
      <c r="O26" s="168">
        <v>1722610</v>
      </c>
      <c r="P26" s="168">
        <v>0</v>
      </c>
      <c r="Q26" s="168">
        <v>447860</v>
      </c>
      <c r="R26" s="168">
        <f t="shared" si="0"/>
        <v>13119124</v>
      </c>
    </row>
    <row r="27" spans="1:18" x14ac:dyDescent="0.2">
      <c r="A27" s="165" t="s">
        <v>265</v>
      </c>
      <c r="B27" s="165"/>
      <c r="C27" s="166">
        <v>18622.62</v>
      </c>
      <c r="D27" s="166">
        <v>64.72</v>
      </c>
      <c r="E27" s="166">
        <v>389.99</v>
      </c>
      <c r="F27" s="169">
        <v>0</v>
      </c>
      <c r="G27" s="165">
        <v>0</v>
      </c>
      <c r="H27" s="165">
        <v>0</v>
      </c>
      <c r="I27" s="165">
        <v>1608.97</v>
      </c>
      <c r="J27" s="165">
        <v>57.83</v>
      </c>
      <c r="K27" s="165">
        <f>17.756+13.114</f>
        <v>30.87</v>
      </c>
      <c r="L27" s="168">
        <v>58744701</v>
      </c>
      <c r="M27" s="168">
        <v>1165107</v>
      </c>
      <c r="N27" s="168">
        <v>16097220</v>
      </c>
      <c r="O27" s="168">
        <v>30134794</v>
      </c>
      <c r="P27" s="168">
        <v>0</v>
      </c>
      <c r="Q27" s="168">
        <v>6378649</v>
      </c>
      <c r="R27" s="168">
        <f t="shared" si="0"/>
        <v>112520471</v>
      </c>
    </row>
    <row r="28" spans="1:18" x14ac:dyDescent="0.2">
      <c r="A28" s="165" t="s">
        <v>266</v>
      </c>
      <c r="B28" s="165"/>
      <c r="C28" s="166">
        <v>101352.37</v>
      </c>
      <c r="D28" s="166">
        <v>2034.51</v>
      </c>
      <c r="E28" s="166">
        <v>4102.57</v>
      </c>
      <c r="F28" s="169">
        <v>0</v>
      </c>
      <c r="G28" s="165">
        <v>0</v>
      </c>
      <c r="H28" s="165">
        <v>0</v>
      </c>
      <c r="I28" s="165">
        <v>-396.17</v>
      </c>
      <c r="J28" s="165">
        <v>-77.16</v>
      </c>
      <c r="K28" s="165">
        <v>585.14</v>
      </c>
      <c r="L28" s="168">
        <v>256530505</v>
      </c>
      <c r="M28" s="168">
        <v>6004873</v>
      </c>
      <c r="N28" s="168">
        <v>82795554</v>
      </c>
      <c r="O28" s="168">
        <v>200606249</v>
      </c>
      <c r="P28" s="168">
        <v>0</v>
      </c>
      <c r="Q28" s="168">
        <v>32384988</v>
      </c>
      <c r="R28" s="168">
        <f t="shared" si="0"/>
        <v>578322169</v>
      </c>
    </row>
    <row r="29" spans="1:18" x14ac:dyDescent="0.2">
      <c r="A29" s="165" t="s">
        <v>267</v>
      </c>
      <c r="B29" s="165"/>
      <c r="C29" s="166">
        <v>47527.49</v>
      </c>
      <c r="D29" s="166">
        <v>251.75</v>
      </c>
      <c r="E29" s="166">
        <v>0</v>
      </c>
      <c r="F29" s="169">
        <v>0</v>
      </c>
      <c r="G29" s="165">
        <v>0</v>
      </c>
      <c r="H29" s="165">
        <v>0</v>
      </c>
      <c r="I29" s="165">
        <f>311.589+4391.571</f>
        <v>4703.16</v>
      </c>
      <c r="J29" s="165">
        <v>-5.35</v>
      </c>
      <c r="K29" s="165">
        <v>0</v>
      </c>
      <c r="L29" s="168">
        <v>152295640</v>
      </c>
      <c r="M29" s="168">
        <v>2944444</v>
      </c>
      <c r="N29" s="168">
        <v>41490318</v>
      </c>
      <c r="O29" s="168">
        <v>76848384</v>
      </c>
      <c r="P29" s="168">
        <v>0</v>
      </c>
      <c r="Q29" s="168">
        <v>16691909</v>
      </c>
      <c r="R29" s="168">
        <f t="shared" si="0"/>
        <v>290270695</v>
      </c>
    </row>
    <row r="30" spans="1:18" x14ac:dyDescent="0.2">
      <c r="A30" s="165" t="s">
        <v>268</v>
      </c>
      <c r="B30" s="165"/>
      <c r="C30" s="166">
        <v>3532.39</v>
      </c>
      <c r="D30" s="166">
        <v>240.72</v>
      </c>
      <c r="E30" s="166">
        <v>0</v>
      </c>
      <c r="F30" s="169">
        <v>-85.33</v>
      </c>
      <c r="G30" s="165">
        <v>18.440000000000001</v>
      </c>
      <c r="H30" s="165">
        <v>0</v>
      </c>
      <c r="I30" s="165">
        <v>0</v>
      </c>
      <c r="J30" s="165">
        <v>0</v>
      </c>
      <c r="K30" s="165">
        <v>0</v>
      </c>
      <c r="L30" s="168">
        <v>0</v>
      </c>
      <c r="M30" s="168">
        <v>202535</v>
      </c>
      <c r="N30" s="168">
        <v>370622</v>
      </c>
      <c r="O30" s="168">
        <v>51192070</v>
      </c>
      <c r="P30" s="168">
        <v>-28937199</v>
      </c>
      <c r="Q30" s="168">
        <v>2054739</v>
      </c>
      <c r="R30" s="168">
        <f t="shared" si="0"/>
        <v>24882767</v>
      </c>
    </row>
    <row r="31" spans="1:18" x14ac:dyDescent="0.2">
      <c r="A31" s="165" t="s">
        <v>269</v>
      </c>
      <c r="B31" s="165"/>
      <c r="C31" s="166">
        <v>2498.7600000000002</v>
      </c>
      <c r="D31" s="166">
        <v>38.53</v>
      </c>
      <c r="E31" s="166">
        <v>43.1</v>
      </c>
      <c r="F31" s="169">
        <v>0</v>
      </c>
      <c r="G31" s="165">
        <v>0</v>
      </c>
      <c r="H31" s="165">
        <v>0</v>
      </c>
      <c r="I31" s="165">
        <f>17.075+497.905</f>
        <v>514.98</v>
      </c>
      <c r="J31" s="165">
        <v>3.97</v>
      </c>
      <c r="K31" s="165">
        <v>-6.85</v>
      </c>
      <c r="L31" s="168">
        <v>9516682</v>
      </c>
      <c r="M31" s="168">
        <v>172890</v>
      </c>
      <c r="N31" s="168">
        <v>3080471</v>
      </c>
      <c r="O31" s="168">
        <v>7541964</v>
      </c>
      <c r="P31" s="168">
        <v>0</v>
      </c>
      <c r="Q31" s="168">
        <v>735000</v>
      </c>
      <c r="R31" s="168">
        <f t="shared" si="0"/>
        <v>21047007</v>
      </c>
    </row>
    <row r="32" spans="1:18" x14ac:dyDescent="0.2">
      <c r="A32" s="165" t="s">
        <v>270</v>
      </c>
      <c r="B32" s="165"/>
      <c r="C32" s="166">
        <v>8194.74</v>
      </c>
      <c r="D32" s="166">
        <v>318.14</v>
      </c>
      <c r="E32" s="166">
        <v>633.52</v>
      </c>
      <c r="F32" s="169">
        <v>0</v>
      </c>
      <c r="G32" s="165">
        <v>0</v>
      </c>
      <c r="H32" s="165">
        <v>0</v>
      </c>
      <c r="I32" s="165">
        <f>45.202+387.688</f>
        <v>432.89</v>
      </c>
      <c r="J32" s="165">
        <v>42.17</v>
      </c>
      <c r="K32" s="165">
        <v>-70.56</v>
      </c>
      <c r="L32" s="168">
        <v>29525294</v>
      </c>
      <c r="M32" s="168">
        <v>528823</v>
      </c>
      <c r="N32" s="168">
        <v>7515333</v>
      </c>
      <c r="O32" s="168">
        <v>11985142</v>
      </c>
      <c r="P32" s="168">
        <v>0</v>
      </c>
      <c r="Q32" s="168">
        <v>4265857</v>
      </c>
      <c r="R32" s="168">
        <f t="shared" si="0"/>
        <v>53820449</v>
      </c>
    </row>
    <row r="33" spans="1:18" x14ac:dyDescent="0.2">
      <c r="A33" s="165" t="s">
        <v>271</v>
      </c>
      <c r="B33" s="165"/>
      <c r="C33" s="166">
        <v>10684.56</v>
      </c>
      <c r="D33" s="166">
        <v>663.74</v>
      </c>
      <c r="E33" s="166">
        <v>0</v>
      </c>
      <c r="F33" s="169">
        <v>-969.58</v>
      </c>
      <c r="G33" s="165">
        <v>172.25</v>
      </c>
      <c r="H33" s="165">
        <v>0</v>
      </c>
      <c r="I33" s="165">
        <v>0</v>
      </c>
      <c r="J33" s="165">
        <v>0</v>
      </c>
      <c r="K33" s="165">
        <v>0</v>
      </c>
      <c r="L33" s="168">
        <v>0</v>
      </c>
      <c r="M33" s="168">
        <v>574381</v>
      </c>
      <c r="N33" s="168">
        <v>1055097</v>
      </c>
      <c r="O33" s="168">
        <v>94790216</v>
      </c>
      <c r="P33" s="168">
        <v>-42598552</v>
      </c>
      <c r="Q33" s="168">
        <v>8526000</v>
      </c>
      <c r="R33" s="168">
        <f t="shared" si="0"/>
        <v>62347142</v>
      </c>
    </row>
    <row r="34" spans="1:18" x14ac:dyDescent="0.2">
      <c r="A34" s="165" t="s">
        <v>272</v>
      </c>
      <c r="B34" s="165"/>
      <c r="C34" s="166">
        <v>5789.88</v>
      </c>
      <c r="D34" s="166">
        <v>355.9</v>
      </c>
      <c r="E34" s="166">
        <v>115.98</v>
      </c>
      <c r="F34" s="169">
        <v>0</v>
      </c>
      <c r="G34" s="165">
        <v>0</v>
      </c>
      <c r="H34" s="165">
        <v>0</v>
      </c>
      <c r="I34" s="165">
        <f>29.774+440.126</f>
        <v>469.9</v>
      </c>
      <c r="J34" s="165">
        <v>-3</v>
      </c>
      <c r="K34" s="165">
        <v>-27.97</v>
      </c>
      <c r="L34" s="168">
        <v>10574087</v>
      </c>
      <c r="M34" s="168">
        <v>368766</v>
      </c>
      <c r="N34" s="168">
        <v>5237137</v>
      </c>
      <c r="O34" s="168">
        <v>18352639</v>
      </c>
      <c r="P34" s="168">
        <v>0</v>
      </c>
      <c r="Q34" s="168">
        <v>2719661</v>
      </c>
      <c r="R34" s="168">
        <f t="shared" si="0"/>
        <v>37252290</v>
      </c>
    </row>
    <row r="35" spans="1:18" x14ac:dyDescent="0.2">
      <c r="A35" s="165" t="s">
        <v>273</v>
      </c>
      <c r="B35" s="165"/>
      <c r="C35" s="166">
        <v>25096.34</v>
      </c>
      <c r="D35" s="166">
        <v>1644.62</v>
      </c>
      <c r="E35" s="166">
        <v>4643.5600000000004</v>
      </c>
      <c r="F35" s="169">
        <v>-833.43</v>
      </c>
      <c r="G35" s="165">
        <v>-58.62</v>
      </c>
      <c r="H35" s="165">
        <v>451.54</v>
      </c>
      <c r="I35" s="165">
        <v>0</v>
      </c>
      <c r="J35" s="165">
        <v>0</v>
      </c>
      <c r="K35" s="165">
        <v>0</v>
      </c>
      <c r="L35" s="168">
        <v>83024132</v>
      </c>
      <c r="M35" s="168">
        <v>1703955</v>
      </c>
      <c r="N35" s="168">
        <v>23165312</v>
      </c>
      <c r="O35" s="168">
        <v>44853994</v>
      </c>
      <c r="P35" s="168">
        <v>0</v>
      </c>
      <c r="Q35" s="168">
        <v>9176861</v>
      </c>
      <c r="R35" s="168">
        <f t="shared" si="0"/>
        <v>161924254</v>
      </c>
    </row>
    <row r="36" spans="1:18" x14ac:dyDescent="0.2">
      <c r="A36" s="165" t="s">
        <v>274</v>
      </c>
      <c r="B36" s="165"/>
      <c r="C36" s="166">
        <v>11249.79</v>
      </c>
      <c r="D36" s="166">
        <v>323.88</v>
      </c>
      <c r="E36" s="166">
        <v>315.98</v>
      </c>
      <c r="F36" s="169">
        <v>0</v>
      </c>
      <c r="G36" s="165">
        <v>0</v>
      </c>
      <c r="H36" s="165">
        <v>0</v>
      </c>
      <c r="I36" s="165">
        <v>462.28</v>
      </c>
      <c r="J36" s="165">
        <v>-151.94</v>
      </c>
      <c r="K36" s="165">
        <v>8.7799999999999994</v>
      </c>
      <c r="L36" s="168">
        <v>26381679</v>
      </c>
      <c r="M36" s="168">
        <v>682455</v>
      </c>
      <c r="N36" s="168">
        <v>9705823</v>
      </c>
      <c r="O36" s="168">
        <v>27228282</v>
      </c>
      <c r="P36" s="168">
        <v>0</v>
      </c>
      <c r="Q36" s="168">
        <v>3684051</v>
      </c>
      <c r="R36" s="168">
        <f t="shared" si="0"/>
        <v>67682290</v>
      </c>
    </row>
    <row r="37" spans="1:18" x14ac:dyDescent="0.2">
      <c r="A37" s="165" t="s">
        <v>275</v>
      </c>
      <c r="B37" s="165"/>
      <c r="C37" s="166">
        <v>5036.74</v>
      </c>
      <c r="D37" s="166">
        <v>539.61</v>
      </c>
      <c r="E37" s="166">
        <v>13.89</v>
      </c>
      <c r="F37" s="169">
        <v>-100.44</v>
      </c>
      <c r="G37" s="165">
        <v>-67.64</v>
      </c>
      <c r="H37" s="165">
        <v>-3.44</v>
      </c>
      <c r="I37" s="165">
        <v>0</v>
      </c>
      <c r="J37" s="165">
        <v>0</v>
      </c>
      <c r="K37" s="165">
        <v>0</v>
      </c>
      <c r="L37" s="168">
        <v>0</v>
      </c>
      <c r="M37" s="168">
        <v>294033</v>
      </c>
      <c r="N37" s="168">
        <v>541872</v>
      </c>
      <c r="O37" s="168">
        <v>28819357</v>
      </c>
      <c r="P37" s="168">
        <v>-144225</v>
      </c>
      <c r="Q37" s="168">
        <v>2002995</v>
      </c>
      <c r="R37" s="168">
        <f t="shared" si="0"/>
        <v>31514032</v>
      </c>
    </row>
    <row r="38" spans="1:18" x14ac:dyDescent="0.2">
      <c r="A38" s="165" t="s">
        <v>276</v>
      </c>
      <c r="B38" s="165"/>
      <c r="C38" s="166">
        <v>30332.14</v>
      </c>
      <c r="D38" s="166">
        <v>2724.79</v>
      </c>
      <c r="E38" s="166">
        <v>2777.81</v>
      </c>
      <c r="F38" s="169">
        <v>-795.67</v>
      </c>
      <c r="G38" s="165">
        <v>-175.99</v>
      </c>
      <c r="H38" s="165">
        <v>-112.12</v>
      </c>
      <c r="I38" s="165">
        <v>0</v>
      </c>
      <c r="J38" s="165">
        <v>0</v>
      </c>
      <c r="K38" s="165">
        <v>0</v>
      </c>
      <c r="L38" s="168">
        <v>55878314</v>
      </c>
      <c r="M38" s="168">
        <v>1896383</v>
      </c>
      <c r="N38" s="168">
        <v>26214903</v>
      </c>
      <c r="O38" s="168">
        <v>88866183</v>
      </c>
      <c r="P38" s="168">
        <v>0</v>
      </c>
      <c r="Q38" s="168">
        <v>13073561</v>
      </c>
      <c r="R38" s="168">
        <f t="shared" si="0"/>
        <v>185929344</v>
      </c>
    </row>
    <row r="39" spans="1:18" x14ac:dyDescent="0.2">
      <c r="A39" s="165" t="s">
        <v>277</v>
      </c>
      <c r="B39" s="165"/>
      <c r="C39" s="166">
        <v>7065.28</v>
      </c>
      <c r="D39" s="166">
        <v>0</v>
      </c>
      <c r="E39" s="166">
        <v>0</v>
      </c>
      <c r="F39" s="169">
        <v>0</v>
      </c>
      <c r="G39" s="165">
        <v>0</v>
      </c>
      <c r="H39" s="165">
        <v>0</v>
      </c>
      <c r="I39" s="165">
        <f>1067.48+7.66</f>
        <v>1075.1400000000001</v>
      </c>
      <c r="J39" s="165">
        <v>0</v>
      </c>
      <c r="K39" s="165">
        <v>0</v>
      </c>
      <c r="L39" s="168">
        <v>9443571</v>
      </c>
      <c r="M39" s="168">
        <v>457608</v>
      </c>
      <c r="N39" s="168">
        <v>6303827</v>
      </c>
      <c r="O39" s="168">
        <v>25361156</v>
      </c>
      <c r="P39" s="168">
        <v>0</v>
      </c>
      <c r="Q39" s="168">
        <v>4650019</v>
      </c>
      <c r="R39" s="168">
        <f t="shared" si="0"/>
        <v>46216181</v>
      </c>
    </row>
    <row r="40" spans="1:18" x14ac:dyDescent="0.2">
      <c r="A40" s="165" t="s">
        <v>278</v>
      </c>
      <c r="B40" s="165"/>
      <c r="C40" s="166">
        <v>1945.81</v>
      </c>
      <c r="D40" s="166">
        <v>108.07</v>
      </c>
      <c r="E40" s="166">
        <v>0</v>
      </c>
      <c r="F40" s="169">
        <v>0</v>
      </c>
      <c r="G40" s="165">
        <v>0</v>
      </c>
      <c r="H40" s="165">
        <v>0</v>
      </c>
      <c r="I40" s="165">
        <v>21.56</v>
      </c>
      <c r="J40" s="165">
        <v>-80.27</v>
      </c>
      <c r="K40" s="165">
        <v>79.930000000000007</v>
      </c>
      <c r="L40" s="168">
        <v>11085506</v>
      </c>
      <c r="M40" s="168">
        <v>116027</v>
      </c>
      <c r="N40" s="168">
        <v>2260824</v>
      </c>
      <c r="O40" s="168">
        <v>1445059</v>
      </c>
      <c r="P40" s="168">
        <v>0</v>
      </c>
      <c r="Q40" s="168">
        <v>527381</v>
      </c>
      <c r="R40" s="168">
        <f t="shared" si="0"/>
        <v>15434797</v>
      </c>
    </row>
    <row r="41" spans="1:18" x14ac:dyDescent="0.2">
      <c r="A41" s="165" t="s">
        <v>279</v>
      </c>
      <c r="B41" s="165"/>
      <c r="C41" s="166">
        <v>15801.89</v>
      </c>
      <c r="D41" s="166">
        <v>280.2</v>
      </c>
      <c r="E41" s="166">
        <v>520.71</v>
      </c>
      <c r="F41" s="169">
        <v>0</v>
      </c>
      <c r="G41" s="165">
        <v>0</v>
      </c>
      <c r="H41" s="165">
        <v>0</v>
      </c>
      <c r="I41" s="165">
        <f>9.134+1514.015</f>
        <v>1523.1490000000001</v>
      </c>
      <c r="J41" s="165">
        <v>-13.96</v>
      </c>
      <c r="K41" s="165">
        <v>-0.74</v>
      </c>
      <c r="L41" s="168">
        <v>2759104</v>
      </c>
      <c r="M41" s="168">
        <v>1012146</v>
      </c>
      <c r="N41" s="168">
        <v>13608318</v>
      </c>
      <c r="O41" s="168">
        <v>72350933</v>
      </c>
      <c r="P41" s="168">
        <v>0</v>
      </c>
      <c r="Q41" s="168">
        <v>8979325</v>
      </c>
      <c r="R41" s="168">
        <f t="shared" si="0"/>
        <v>98709826</v>
      </c>
    </row>
    <row r="42" spans="1:18" x14ac:dyDescent="0.2">
      <c r="A42" s="165" t="s">
        <v>280</v>
      </c>
      <c r="B42" s="165"/>
      <c r="C42" s="166">
        <v>22282.71</v>
      </c>
      <c r="D42" s="166">
        <v>183.34</v>
      </c>
      <c r="E42" s="166">
        <v>1036.18</v>
      </c>
      <c r="F42" s="169">
        <v>0</v>
      </c>
      <c r="G42" s="165">
        <v>0</v>
      </c>
      <c r="H42" s="165">
        <v>0</v>
      </c>
      <c r="I42" s="165">
        <v>486.48</v>
      </c>
      <c r="J42" s="165">
        <v>-23.53</v>
      </c>
      <c r="K42" s="165">
        <v>22.64</v>
      </c>
      <c r="L42" s="168">
        <v>64601889</v>
      </c>
      <c r="M42" s="168">
        <v>1344880</v>
      </c>
      <c r="N42" s="168">
        <v>18022370</v>
      </c>
      <c r="O42" s="168">
        <v>34866734</v>
      </c>
      <c r="P42" s="168">
        <v>0</v>
      </c>
      <c r="Q42" s="168">
        <v>9840180</v>
      </c>
      <c r="R42" s="168">
        <f t="shared" si="0"/>
        <v>128676053</v>
      </c>
    </row>
    <row r="43" spans="1:18" x14ac:dyDescent="0.2">
      <c r="A43" s="165" t="s">
        <v>281</v>
      </c>
      <c r="B43" s="165"/>
      <c r="C43" s="166">
        <v>19409.34</v>
      </c>
      <c r="D43" s="166">
        <v>119.13</v>
      </c>
      <c r="E43" s="166">
        <v>0</v>
      </c>
      <c r="F43" s="169">
        <v>-2287.0300000000002</v>
      </c>
      <c r="G43" s="165">
        <v>534.29</v>
      </c>
      <c r="H43" s="165">
        <v>0</v>
      </c>
      <c r="I43" s="165">
        <v>0</v>
      </c>
      <c r="J43" s="165">
        <v>0</v>
      </c>
      <c r="K43" s="165">
        <v>0</v>
      </c>
      <c r="L43" s="168">
        <v>41927617</v>
      </c>
      <c r="M43" s="168">
        <v>984608</v>
      </c>
      <c r="N43" s="168">
        <v>16144991</v>
      </c>
      <c r="O43" s="168">
        <v>47399594</v>
      </c>
      <c r="P43" s="168">
        <v>0</v>
      </c>
      <c r="Q43" s="168">
        <v>6845836</v>
      </c>
      <c r="R43" s="168">
        <f t="shared" si="0"/>
        <v>113302646</v>
      </c>
    </row>
    <row r="44" spans="1:18" x14ac:dyDescent="0.2">
      <c r="A44" s="165" t="s">
        <v>282</v>
      </c>
      <c r="B44" s="165"/>
      <c r="C44" s="166">
        <v>22274.09</v>
      </c>
      <c r="D44" s="166">
        <v>702.14</v>
      </c>
      <c r="E44" s="166">
        <v>5925.41</v>
      </c>
      <c r="F44" s="169">
        <v>0</v>
      </c>
      <c r="G44" s="165">
        <v>0</v>
      </c>
      <c r="H44" s="165">
        <v>0</v>
      </c>
      <c r="I44" s="165">
        <v>699.41</v>
      </c>
      <c r="J44" s="165">
        <v>75.400000000000006</v>
      </c>
      <c r="K44" s="165">
        <v>-744.74</v>
      </c>
      <c r="L44" s="168">
        <v>51937674</v>
      </c>
      <c r="M44" s="168">
        <v>1608953</v>
      </c>
      <c r="N44" s="168">
        <v>22403357</v>
      </c>
      <c r="O44" s="168">
        <v>71773234</v>
      </c>
      <c r="P44" s="168">
        <v>0</v>
      </c>
      <c r="Q44" s="168">
        <v>8402768</v>
      </c>
      <c r="R44" s="168">
        <f t="shared" si="0"/>
        <v>156125986</v>
      </c>
    </row>
    <row r="45" spans="1:18" x14ac:dyDescent="0.2">
      <c r="A45" s="165" t="s">
        <v>283</v>
      </c>
      <c r="B45" s="165"/>
      <c r="C45" s="166">
        <v>3508.35</v>
      </c>
      <c r="D45" s="166">
        <v>54.32</v>
      </c>
      <c r="E45" s="166">
        <v>31.68</v>
      </c>
      <c r="F45" s="169">
        <v>0</v>
      </c>
      <c r="G45" s="165">
        <v>0</v>
      </c>
      <c r="H45" s="165">
        <v>0</v>
      </c>
      <c r="I45" s="165">
        <v>349.63</v>
      </c>
      <c r="J45" s="165">
        <v>1.85</v>
      </c>
      <c r="K45" s="165">
        <v>23.62</v>
      </c>
      <c r="L45" s="168">
        <v>9701665</v>
      </c>
      <c r="M45" s="168">
        <v>221881</v>
      </c>
      <c r="N45" s="168">
        <v>3698113</v>
      </c>
      <c r="O45" s="168">
        <v>10762950</v>
      </c>
      <c r="P45" s="168">
        <v>0</v>
      </c>
      <c r="Q45" s="168">
        <v>1377445</v>
      </c>
      <c r="R45" s="168">
        <f t="shared" si="0"/>
        <v>25762054</v>
      </c>
    </row>
    <row r="46" spans="1:18" x14ac:dyDescent="0.2">
      <c r="A46" s="165" t="s">
        <v>284</v>
      </c>
      <c r="B46" s="165"/>
      <c r="C46" s="166">
        <v>12503.3</v>
      </c>
      <c r="D46" s="166">
        <v>365.21</v>
      </c>
      <c r="E46" s="166">
        <v>37.380000000000003</v>
      </c>
      <c r="F46" s="169">
        <v>-467.05</v>
      </c>
      <c r="G46" s="165">
        <v>-97.44</v>
      </c>
      <c r="H46" s="165">
        <v>-14.66</v>
      </c>
      <c r="I46" s="165">
        <v>0</v>
      </c>
      <c r="J46" s="165">
        <v>0</v>
      </c>
      <c r="K46" s="165">
        <v>0</v>
      </c>
      <c r="L46" s="168">
        <v>49308995</v>
      </c>
      <c r="M46" s="168">
        <v>686939</v>
      </c>
      <c r="N46" s="168">
        <v>10095975</v>
      </c>
      <c r="O46" s="168">
        <v>6478915</v>
      </c>
      <c r="P46" s="168">
        <v>0</v>
      </c>
      <c r="Q46" s="168">
        <v>2989000</v>
      </c>
      <c r="R46" s="168">
        <f t="shared" si="0"/>
        <v>69559824</v>
      </c>
    </row>
    <row r="47" spans="1:18" x14ac:dyDescent="0.2">
      <c r="A47" s="165" t="s">
        <v>285</v>
      </c>
      <c r="B47" s="165"/>
      <c r="C47" s="166">
        <v>28599.64</v>
      </c>
      <c r="D47" s="166">
        <v>82.8</v>
      </c>
      <c r="E47" s="166">
        <v>0</v>
      </c>
      <c r="F47" s="169">
        <v>0</v>
      </c>
      <c r="G47" s="165">
        <v>0</v>
      </c>
      <c r="H47" s="165">
        <v>0</v>
      </c>
      <c r="I47" s="165">
        <v>290.01</v>
      </c>
      <c r="J47" s="165">
        <v>32.72</v>
      </c>
      <c r="K47" s="165">
        <v>0</v>
      </c>
      <c r="L47" s="168">
        <v>86422711</v>
      </c>
      <c r="M47" s="168">
        <v>1627919</v>
      </c>
      <c r="N47" s="168">
        <v>22685519</v>
      </c>
      <c r="O47" s="168">
        <v>38847581</v>
      </c>
      <c r="P47" s="168">
        <v>0</v>
      </c>
      <c r="Q47" s="168">
        <v>8879021</v>
      </c>
      <c r="R47" s="168">
        <f t="shared" si="0"/>
        <v>158462751</v>
      </c>
    </row>
    <row r="48" spans="1:18" x14ac:dyDescent="0.2">
      <c r="A48" s="165" t="s">
        <v>286</v>
      </c>
      <c r="B48" s="165"/>
      <c r="C48" s="166">
        <v>15275.66</v>
      </c>
      <c r="D48" s="166">
        <v>67.08</v>
      </c>
      <c r="E48" s="166">
        <v>0</v>
      </c>
      <c r="F48" s="169">
        <v>0</v>
      </c>
      <c r="G48" s="165">
        <v>0</v>
      </c>
      <c r="H48" s="165">
        <v>0</v>
      </c>
      <c r="I48" s="165">
        <v>403.49</v>
      </c>
      <c r="J48" s="165">
        <v>22.1</v>
      </c>
      <c r="K48" s="165">
        <v>0</v>
      </c>
      <c r="L48" s="168">
        <v>45638834</v>
      </c>
      <c r="M48" s="168">
        <v>884409</v>
      </c>
      <c r="N48" s="168">
        <v>12537563</v>
      </c>
      <c r="O48" s="168">
        <v>23609358</v>
      </c>
      <c r="P48" s="168">
        <v>0</v>
      </c>
      <c r="Q48" s="168">
        <v>5061422</v>
      </c>
      <c r="R48" s="168">
        <f t="shared" si="0"/>
        <v>87731586</v>
      </c>
    </row>
    <row r="49" spans="1:18" x14ac:dyDescent="0.2">
      <c r="A49" s="165" t="s">
        <v>287</v>
      </c>
      <c r="B49" s="165"/>
      <c r="C49" s="166">
        <v>34919.01</v>
      </c>
      <c r="D49" s="166">
        <v>2077.7199999999998</v>
      </c>
      <c r="E49" s="166">
        <v>6289.53</v>
      </c>
      <c r="F49" s="169">
        <v>0</v>
      </c>
      <c r="G49" s="165">
        <v>0</v>
      </c>
      <c r="H49" s="165">
        <v>0</v>
      </c>
      <c r="I49" s="165">
        <v>618.09</v>
      </c>
      <c r="J49" s="165">
        <v>1.38</v>
      </c>
      <c r="K49" s="165">
        <v>113.93</v>
      </c>
      <c r="L49" s="168">
        <v>83927531</v>
      </c>
      <c r="M49" s="168">
        <v>2427944</v>
      </c>
      <c r="N49" s="168">
        <v>33928272</v>
      </c>
      <c r="O49" s="168">
        <v>103432435</v>
      </c>
      <c r="P49" s="168">
        <v>0</v>
      </c>
      <c r="Q49" s="168">
        <v>13647894</v>
      </c>
      <c r="R49" s="168">
        <f t="shared" si="0"/>
        <v>237364076</v>
      </c>
    </row>
    <row r="50" spans="1:18" x14ac:dyDescent="0.2">
      <c r="A50" s="170" t="s">
        <v>288</v>
      </c>
      <c r="B50" s="170"/>
      <c r="C50" s="166">
        <v>20598.335999999999</v>
      </c>
      <c r="D50" s="166">
        <v>2394.3150000000001</v>
      </c>
      <c r="E50" s="166">
        <v>6366.5190000000002</v>
      </c>
      <c r="F50" s="169">
        <v>-6436.7860000000001</v>
      </c>
      <c r="G50" s="165">
        <v>-688.11500000000001</v>
      </c>
      <c r="H50" s="165">
        <v>-1866.8389999999999</v>
      </c>
      <c r="I50" s="165">
        <v>0</v>
      </c>
      <c r="J50" s="165">
        <v>0</v>
      </c>
      <c r="K50" s="165">
        <v>0</v>
      </c>
      <c r="L50" s="168">
        <v>48958759</v>
      </c>
      <c r="M50" s="168">
        <v>1106705</v>
      </c>
      <c r="N50" s="168">
        <v>22224591</v>
      </c>
      <c r="O50" s="168">
        <v>74254415</v>
      </c>
      <c r="P50" s="168">
        <v>0</v>
      </c>
      <c r="Q50" s="168">
        <v>9434091</v>
      </c>
      <c r="R50" s="168">
        <f t="shared" si="0"/>
        <v>155978561</v>
      </c>
    </row>
    <row r="51" spans="1:18" x14ac:dyDescent="0.2">
      <c r="A51" s="165" t="s">
        <v>289</v>
      </c>
      <c r="B51" s="165"/>
      <c r="C51" s="166">
        <v>16165.28</v>
      </c>
      <c r="D51" s="166">
        <v>171.42</v>
      </c>
      <c r="E51" s="166">
        <v>0</v>
      </c>
      <c r="F51" s="169">
        <v>-2927.7</v>
      </c>
      <c r="G51" s="165">
        <v>-41.28</v>
      </c>
      <c r="H51" s="165">
        <v>0</v>
      </c>
      <c r="I51" s="165">
        <v>0</v>
      </c>
      <c r="J51" s="165">
        <v>0</v>
      </c>
      <c r="K51" s="165">
        <v>0</v>
      </c>
      <c r="L51" s="168">
        <v>39458361</v>
      </c>
      <c r="M51" s="168">
        <v>748542</v>
      </c>
      <c r="N51" s="168">
        <v>12605262</v>
      </c>
      <c r="O51" s="168">
        <v>30304393</v>
      </c>
      <c r="P51" s="168">
        <v>0</v>
      </c>
      <c r="Q51" s="168">
        <v>5319844</v>
      </c>
      <c r="R51" s="168">
        <f t="shared" si="0"/>
        <v>88436402</v>
      </c>
    </row>
    <row r="52" spans="1:18" x14ac:dyDescent="0.2">
      <c r="A52" s="165" t="s">
        <v>290</v>
      </c>
      <c r="B52" s="165"/>
      <c r="C52" s="166">
        <v>11493.07</v>
      </c>
      <c r="D52" s="166">
        <v>87.43</v>
      </c>
      <c r="E52" s="166">
        <v>0</v>
      </c>
      <c r="F52" s="169">
        <v>0</v>
      </c>
      <c r="G52" s="165">
        <v>0</v>
      </c>
      <c r="H52" s="165">
        <v>0</v>
      </c>
      <c r="I52" s="165">
        <v>328.59</v>
      </c>
      <c r="J52" s="165">
        <v>20.02</v>
      </c>
      <c r="K52" s="165">
        <v>0</v>
      </c>
      <c r="L52" s="168">
        <v>0</v>
      </c>
      <c r="M52" s="168">
        <v>668180</v>
      </c>
      <c r="N52" s="168">
        <v>1192911</v>
      </c>
      <c r="O52" s="168">
        <v>89602046</v>
      </c>
      <c r="P52" s="168">
        <v>-29152541</v>
      </c>
      <c r="Q52" s="168">
        <v>5555553</v>
      </c>
      <c r="R52" s="168">
        <f t="shared" si="0"/>
        <v>67866149</v>
      </c>
    </row>
    <row r="53" spans="1:18" x14ac:dyDescent="0.2">
      <c r="A53" s="165" t="s">
        <v>291</v>
      </c>
      <c r="B53" s="165"/>
      <c r="C53" s="166">
        <v>8036.95</v>
      </c>
      <c r="D53" s="166">
        <v>109.19</v>
      </c>
      <c r="E53" s="166">
        <v>173.86</v>
      </c>
      <c r="F53" s="169">
        <v>-1167.27</v>
      </c>
      <c r="G53" s="165">
        <v>84.73</v>
      </c>
      <c r="H53" s="165">
        <v>55.35</v>
      </c>
      <c r="I53" s="165">
        <v>0</v>
      </c>
      <c r="J53" s="165">
        <v>0</v>
      </c>
      <c r="K53" s="165">
        <v>0</v>
      </c>
      <c r="L53" s="168">
        <v>0</v>
      </c>
      <c r="M53" s="168">
        <v>405615</v>
      </c>
      <c r="N53" s="168">
        <v>4107392</v>
      </c>
      <c r="O53" s="168">
        <v>38391084</v>
      </c>
      <c r="P53" s="168">
        <v>0</v>
      </c>
      <c r="Q53" s="168">
        <v>3883800</v>
      </c>
      <c r="R53" s="168">
        <f t="shared" si="0"/>
        <v>46787891</v>
      </c>
    </row>
    <row r="54" spans="1:18" x14ac:dyDescent="0.2">
      <c r="A54" s="165" t="s">
        <v>292</v>
      </c>
      <c r="B54" s="165"/>
      <c r="C54" s="166">
        <v>17216.650000000001</v>
      </c>
      <c r="D54" s="166">
        <v>87.46</v>
      </c>
      <c r="E54" s="166">
        <v>0</v>
      </c>
      <c r="F54" s="169">
        <v>-746.48</v>
      </c>
      <c r="G54" s="165">
        <v>-36.58</v>
      </c>
      <c r="H54" s="165">
        <v>0</v>
      </c>
      <c r="I54" s="165">
        <v>0</v>
      </c>
      <c r="J54" s="165">
        <v>0</v>
      </c>
      <c r="K54" s="165">
        <v>0</v>
      </c>
      <c r="L54" s="168">
        <v>0</v>
      </c>
      <c r="M54" s="168">
        <v>927581</v>
      </c>
      <c r="N54" s="168">
        <v>1652105</v>
      </c>
      <c r="O54" s="168">
        <v>133694250</v>
      </c>
      <c r="P54" s="168">
        <v>-48514090</v>
      </c>
      <c r="Q54" s="168">
        <v>10740914</v>
      </c>
      <c r="R54" s="168">
        <f t="shared" si="0"/>
        <v>98500760</v>
      </c>
    </row>
    <row r="55" spans="1:18" x14ac:dyDescent="0.2">
      <c r="A55" s="165" t="s">
        <v>293</v>
      </c>
      <c r="B55" s="165"/>
      <c r="C55" s="166">
        <v>12674.99</v>
      </c>
      <c r="D55" s="166">
        <v>147.59</v>
      </c>
      <c r="E55" s="166">
        <v>387.68</v>
      </c>
      <c r="F55" s="169">
        <v>-958.6</v>
      </c>
      <c r="G55" s="165">
        <v>20.92</v>
      </c>
      <c r="H55" s="165">
        <v>31.32</v>
      </c>
      <c r="I55" s="165">
        <v>0</v>
      </c>
      <c r="J55" s="165">
        <v>0</v>
      </c>
      <c r="K55" s="165">
        <v>0</v>
      </c>
      <c r="L55" s="168">
        <v>26157581</v>
      </c>
      <c r="M55" s="168">
        <v>687879</v>
      </c>
      <c r="N55" s="168">
        <v>10027940</v>
      </c>
      <c r="O55" s="168">
        <v>29248818</v>
      </c>
      <c r="P55" s="168">
        <v>0</v>
      </c>
      <c r="Q55" s="168">
        <v>7529817</v>
      </c>
      <c r="R55" s="168">
        <f t="shared" si="0"/>
        <v>73652035</v>
      </c>
    </row>
    <row r="56" spans="1:18" x14ac:dyDescent="0.2">
      <c r="A56" s="165" t="s">
        <v>294</v>
      </c>
      <c r="B56" s="165"/>
      <c r="C56" s="166">
        <v>15566.39</v>
      </c>
      <c r="D56" s="166">
        <v>246.74</v>
      </c>
      <c r="E56" s="166">
        <v>181.64</v>
      </c>
      <c r="F56" s="169">
        <v>0</v>
      </c>
      <c r="G56" s="165">
        <v>0</v>
      </c>
      <c r="H56" s="165">
        <v>0</v>
      </c>
      <c r="I56" s="165">
        <v>459.54</v>
      </c>
      <c r="J56" s="165">
        <v>-24.11</v>
      </c>
      <c r="K56" s="165">
        <v>-0.64</v>
      </c>
      <c r="L56" s="168">
        <v>43992444</v>
      </c>
      <c r="M56" s="168">
        <v>918588</v>
      </c>
      <c r="N56" s="168">
        <v>12292498</v>
      </c>
      <c r="O56" s="168">
        <v>23850723</v>
      </c>
      <c r="P56" s="168">
        <v>0</v>
      </c>
      <c r="Q56" s="168">
        <v>7938000</v>
      </c>
      <c r="R56" s="168">
        <f t="shared" si="0"/>
        <v>88992253</v>
      </c>
    </row>
    <row r="57" spans="1:18" x14ac:dyDescent="0.2">
      <c r="A57" s="165" t="s">
        <v>295</v>
      </c>
      <c r="B57" s="165"/>
      <c r="C57" s="166">
        <v>21263.86</v>
      </c>
      <c r="D57" s="166">
        <v>597.29</v>
      </c>
      <c r="E57" s="166">
        <v>167.26</v>
      </c>
      <c r="F57" s="169">
        <v>-566.29</v>
      </c>
      <c r="G57" s="165">
        <v>172.98</v>
      </c>
      <c r="H57" s="165">
        <v>-167.26</v>
      </c>
      <c r="I57" s="165">
        <v>0</v>
      </c>
      <c r="J57" s="165">
        <v>0</v>
      </c>
      <c r="K57" s="165">
        <v>0</v>
      </c>
      <c r="L57" s="168">
        <v>56861412</v>
      </c>
      <c r="M57" s="168">
        <v>1189539</v>
      </c>
      <c r="N57" s="168">
        <v>15951192</v>
      </c>
      <c r="O57" s="168">
        <v>31176799</v>
      </c>
      <c r="P57" s="168">
        <v>0</v>
      </c>
      <c r="Q57" s="168">
        <v>14142014</v>
      </c>
      <c r="R57" s="168">
        <f t="shared" si="0"/>
        <v>119320956</v>
      </c>
    </row>
    <row r="58" spans="1:18" x14ac:dyDescent="0.2">
      <c r="A58" s="165" t="s">
        <v>296</v>
      </c>
      <c r="B58" s="165"/>
      <c r="C58" s="166">
        <v>8921.49</v>
      </c>
      <c r="D58" s="166">
        <v>339.26</v>
      </c>
      <c r="E58" s="166">
        <v>169.53</v>
      </c>
      <c r="F58" s="169">
        <v>0</v>
      </c>
      <c r="G58" s="165">
        <v>0</v>
      </c>
      <c r="H58" s="165">
        <v>0</v>
      </c>
      <c r="I58" s="165">
        <v>222.31</v>
      </c>
      <c r="J58" s="165">
        <v>4.16</v>
      </c>
      <c r="K58" s="165">
        <v>23.25</v>
      </c>
      <c r="L58" s="168">
        <v>30920209</v>
      </c>
      <c r="M58" s="168">
        <v>536459</v>
      </c>
      <c r="N58" s="168">
        <v>8050003</v>
      </c>
      <c r="O58" s="168">
        <v>13573423</v>
      </c>
      <c r="P58" s="168">
        <v>0</v>
      </c>
      <c r="Q58" s="168">
        <v>2638225</v>
      </c>
      <c r="R58" s="168">
        <f t="shared" si="0"/>
        <v>55718319</v>
      </c>
    </row>
    <row r="59" spans="1:18" x14ac:dyDescent="0.2">
      <c r="A59" s="165" t="s">
        <v>297</v>
      </c>
      <c r="B59" s="165"/>
      <c r="C59" s="166">
        <v>5886.12</v>
      </c>
      <c r="D59" s="166">
        <v>177.17</v>
      </c>
      <c r="E59" s="166">
        <v>34.340000000000003</v>
      </c>
      <c r="F59" s="169">
        <v>0</v>
      </c>
      <c r="G59" s="165">
        <v>0</v>
      </c>
      <c r="H59" s="165">
        <v>0</v>
      </c>
      <c r="I59" s="165">
        <f>34.089+1119.661</f>
        <v>1153.75</v>
      </c>
      <c r="J59" s="165">
        <v>-45.88</v>
      </c>
      <c r="K59" s="165">
        <v>-6.5</v>
      </c>
      <c r="L59" s="168">
        <v>14855231</v>
      </c>
      <c r="M59" s="168">
        <v>401746</v>
      </c>
      <c r="N59" s="168">
        <v>5758081</v>
      </c>
      <c r="O59" s="168">
        <v>16952565</v>
      </c>
      <c r="P59" s="168">
        <v>0</v>
      </c>
      <c r="Q59" s="168">
        <v>1992609</v>
      </c>
      <c r="R59" s="168">
        <f t="shared" si="0"/>
        <v>39960232</v>
      </c>
    </row>
    <row r="60" spans="1:18" x14ac:dyDescent="0.2">
      <c r="A60" s="165" t="s">
        <v>298</v>
      </c>
      <c r="B60" s="165"/>
      <c r="C60" s="166">
        <v>14578.91</v>
      </c>
      <c r="D60" s="166">
        <v>296.83</v>
      </c>
      <c r="E60" s="166">
        <v>0</v>
      </c>
      <c r="F60" s="169">
        <v>-852.2</v>
      </c>
      <c r="G60" s="165">
        <v>-15.83</v>
      </c>
      <c r="H60" s="165">
        <v>0</v>
      </c>
      <c r="I60" s="165">
        <v>0</v>
      </c>
      <c r="J60" s="165">
        <v>0</v>
      </c>
      <c r="K60" s="165">
        <v>0</v>
      </c>
      <c r="L60" s="168">
        <v>0</v>
      </c>
      <c r="M60" s="168">
        <v>781138</v>
      </c>
      <c r="N60" s="168">
        <v>1400771</v>
      </c>
      <c r="O60" s="168">
        <v>72140231</v>
      </c>
      <c r="P60" s="168">
        <v>-504312</v>
      </c>
      <c r="Q60" s="168">
        <v>7222697</v>
      </c>
      <c r="R60" s="168">
        <f t="shared" si="0"/>
        <v>81040525</v>
      </c>
    </row>
    <row r="61" spans="1:18" x14ac:dyDescent="0.2">
      <c r="A61" s="165" t="s">
        <v>299</v>
      </c>
      <c r="B61" s="165"/>
      <c r="C61" s="166">
        <v>2354.38</v>
      </c>
      <c r="D61" s="166">
        <v>63.79</v>
      </c>
      <c r="E61" s="166">
        <v>401.67</v>
      </c>
      <c r="F61" s="169">
        <v>-205</v>
      </c>
      <c r="G61" s="165">
        <v>11.92</v>
      </c>
      <c r="H61" s="165">
        <v>69.56</v>
      </c>
      <c r="I61" s="165">
        <v>0</v>
      </c>
      <c r="J61" s="165">
        <v>0</v>
      </c>
      <c r="K61" s="165">
        <v>0</v>
      </c>
      <c r="L61" s="168">
        <v>10834924</v>
      </c>
      <c r="M61" s="168">
        <v>149875</v>
      </c>
      <c r="N61" s="168">
        <v>2688181</v>
      </c>
      <c r="O61" s="168">
        <v>4052348</v>
      </c>
      <c r="P61" s="168">
        <v>0</v>
      </c>
      <c r="Q61" s="168">
        <v>1252216</v>
      </c>
      <c r="R61" s="168">
        <f t="shared" si="0"/>
        <v>18977544</v>
      </c>
    </row>
    <row r="62" spans="1:18" x14ac:dyDescent="0.2">
      <c r="A62" s="165" t="s">
        <v>300</v>
      </c>
      <c r="B62" s="165"/>
      <c r="C62" s="166">
        <v>8230.74</v>
      </c>
      <c r="D62" s="166">
        <v>15.12</v>
      </c>
      <c r="E62" s="166">
        <v>0</v>
      </c>
      <c r="F62" s="169">
        <v>-1047.1500000000001</v>
      </c>
      <c r="G62" s="165">
        <v>33.549999999999997</v>
      </c>
      <c r="H62" s="165">
        <v>0</v>
      </c>
      <c r="I62" s="165">
        <v>0</v>
      </c>
      <c r="J62" s="165">
        <v>0</v>
      </c>
      <c r="K62" s="165">
        <v>0</v>
      </c>
      <c r="L62" s="168">
        <v>20321666</v>
      </c>
      <c r="M62" s="168">
        <v>405466</v>
      </c>
      <c r="N62" s="168">
        <v>6701266</v>
      </c>
      <c r="O62" s="168">
        <v>16758398</v>
      </c>
      <c r="P62" s="168">
        <v>0</v>
      </c>
      <c r="Q62" s="168">
        <v>3631443</v>
      </c>
      <c r="R62" s="168">
        <f t="shared" si="0"/>
        <v>47818239</v>
      </c>
    </row>
    <row r="63" spans="1:18" x14ac:dyDescent="0.2">
      <c r="A63" s="165" t="s">
        <v>301</v>
      </c>
      <c r="B63" s="165"/>
      <c r="C63" s="166">
        <v>16518.78</v>
      </c>
      <c r="D63" s="166">
        <v>2303.5500000000002</v>
      </c>
      <c r="E63" s="166">
        <v>592.23</v>
      </c>
      <c r="F63" s="169">
        <v>-2749.53</v>
      </c>
      <c r="G63" s="165">
        <v>-47.83</v>
      </c>
      <c r="H63" s="165">
        <v>143.93</v>
      </c>
      <c r="I63" s="165">
        <v>0</v>
      </c>
      <c r="J63" s="165">
        <v>0</v>
      </c>
      <c r="K63" s="165">
        <v>0</v>
      </c>
      <c r="L63" s="168">
        <v>24306098</v>
      </c>
      <c r="M63" s="168">
        <v>891664</v>
      </c>
      <c r="N63" s="168">
        <v>14224163</v>
      </c>
      <c r="O63" s="168">
        <v>54369337</v>
      </c>
      <c r="P63" s="168">
        <v>0</v>
      </c>
      <c r="Q63" s="168">
        <v>8700331</v>
      </c>
      <c r="R63" s="168">
        <f t="shared" si="0"/>
        <v>102491593</v>
      </c>
    </row>
    <row r="64" spans="1:18" x14ac:dyDescent="0.2">
      <c r="A64" s="165" t="s">
        <v>302</v>
      </c>
      <c r="B64" s="165"/>
      <c r="C64" s="166">
        <v>21433.62</v>
      </c>
      <c r="D64" s="166">
        <v>2030.21</v>
      </c>
      <c r="E64" s="166">
        <v>169.1</v>
      </c>
      <c r="F64" s="169">
        <v>0</v>
      </c>
      <c r="G64" s="165">
        <v>0</v>
      </c>
      <c r="H64" s="165">
        <v>0</v>
      </c>
      <c r="I64" s="165">
        <v>3296.1</v>
      </c>
      <c r="J64" s="165">
        <v>303.75</v>
      </c>
      <c r="K64" s="165">
        <v>86.01</v>
      </c>
      <c r="L64" s="168">
        <v>0</v>
      </c>
      <c r="M64" s="168">
        <v>1483403</v>
      </c>
      <c r="N64" s="168">
        <v>2731879</v>
      </c>
      <c r="O64" s="168">
        <v>202027369</v>
      </c>
      <c r="P64" s="168">
        <v>-78257473</v>
      </c>
      <c r="Q64" s="168">
        <v>17978016</v>
      </c>
      <c r="R64" s="168">
        <f t="shared" si="0"/>
        <v>145963194</v>
      </c>
    </row>
    <row r="65" spans="1:18" x14ac:dyDescent="0.2">
      <c r="A65" s="165" t="s">
        <v>303</v>
      </c>
      <c r="B65" s="165"/>
      <c r="C65" s="166">
        <v>13509.49</v>
      </c>
      <c r="D65" s="166">
        <v>220.62</v>
      </c>
      <c r="E65" s="166">
        <v>37.32</v>
      </c>
      <c r="F65" s="169">
        <v>0</v>
      </c>
      <c r="G65" s="165">
        <v>0</v>
      </c>
      <c r="H65" s="165">
        <v>0</v>
      </c>
      <c r="I65" s="165">
        <f>195.952+1643.078</f>
        <v>1839.03</v>
      </c>
      <c r="J65" s="165">
        <v>7.71</v>
      </c>
      <c r="K65" s="165">
        <v>-20.04</v>
      </c>
      <c r="L65" s="168">
        <v>43369360</v>
      </c>
      <c r="M65" s="168">
        <v>871498</v>
      </c>
      <c r="N65" s="168">
        <v>12570988</v>
      </c>
      <c r="O65" s="168">
        <v>26078717</v>
      </c>
      <c r="P65" s="168">
        <v>0</v>
      </c>
      <c r="Q65" s="168">
        <v>4362226</v>
      </c>
      <c r="R65" s="168">
        <f t="shared" si="0"/>
        <v>87252789</v>
      </c>
    </row>
    <row r="66" spans="1:18" x14ac:dyDescent="0.2">
      <c r="A66" s="165" t="s">
        <v>304</v>
      </c>
      <c r="B66" s="165"/>
      <c r="C66" s="166">
        <v>28765.43</v>
      </c>
      <c r="D66" s="166">
        <v>270.64</v>
      </c>
      <c r="E66" s="166">
        <v>158.08000000000001</v>
      </c>
      <c r="F66" s="169">
        <v>0</v>
      </c>
      <c r="G66" s="165">
        <v>0</v>
      </c>
      <c r="H66" s="165">
        <v>0</v>
      </c>
      <c r="I66" s="165">
        <v>287.97000000000003</v>
      </c>
      <c r="J66" s="165">
        <v>8.4499999999999993</v>
      </c>
      <c r="K66" s="165">
        <v>-26.17</v>
      </c>
      <c r="L66" s="168">
        <v>86360287</v>
      </c>
      <c r="M66" s="168">
        <v>1650069</v>
      </c>
      <c r="N66" s="168">
        <v>23447471</v>
      </c>
      <c r="O66" s="168">
        <v>43150062</v>
      </c>
      <c r="P66" s="168">
        <v>0</v>
      </c>
      <c r="Q66" s="168">
        <v>8284293</v>
      </c>
      <c r="R66" s="168">
        <f t="shared" si="0"/>
        <v>162892182</v>
      </c>
    </row>
    <row r="67" spans="1:18" x14ac:dyDescent="0.2">
      <c r="A67" s="165" t="s">
        <v>305</v>
      </c>
      <c r="B67" s="165"/>
      <c r="C67" s="166">
        <v>26405.15</v>
      </c>
      <c r="D67" s="166">
        <v>61.88</v>
      </c>
      <c r="E67" s="166">
        <v>0</v>
      </c>
      <c r="F67" s="169">
        <v>-1032.9000000000001</v>
      </c>
      <c r="G67" s="165">
        <v>-34.79</v>
      </c>
      <c r="H67" s="165">
        <v>0</v>
      </c>
      <c r="I67" s="165">
        <v>0</v>
      </c>
      <c r="J67" s="165">
        <v>0</v>
      </c>
      <c r="K67" s="165">
        <v>0</v>
      </c>
      <c r="L67" s="168">
        <v>45140173</v>
      </c>
      <c r="M67" s="168">
        <v>1427202</v>
      </c>
      <c r="N67" s="168">
        <v>19992349</v>
      </c>
      <c r="O67" s="168">
        <v>65265798</v>
      </c>
      <c r="P67" s="168">
        <v>0</v>
      </c>
      <c r="Q67" s="168">
        <v>14404334</v>
      </c>
      <c r="R67" s="168">
        <f t="shared" si="0"/>
        <v>146229856</v>
      </c>
    </row>
    <row r="68" spans="1:18" x14ac:dyDescent="0.2">
      <c r="A68" s="165" t="s">
        <v>306</v>
      </c>
      <c r="B68" s="165"/>
      <c r="C68" s="166">
        <v>9141.67</v>
      </c>
      <c r="D68" s="166">
        <v>70.88</v>
      </c>
      <c r="E68" s="166">
        <v>0</v>
      </c>
      <c r="F68" s="169">
        <v>0</v>
      </c>
      <c r="G68" s="165">
        <v>0</v>
      </c>
      <c r="H68" s="165">
        <v>0</v>
      </c>
      <c r="I68" s="165">
        <f>312.153+12.437</f>
        <v>324.59000000000003</v>
      </c>
      <c r="J68" s="165">
        <v>-60.92</v>
      </c>
      <c r="K68" s="165">
        <v>0</v>
      </c>
      <c r="L68" s="168">
        <v>31936371</v>
      </c>
      <c r="M68" s="168">
        <v>532477</v>
      </c>
      <c r="N68" s="168">
        <v>7710894</v>
      </c>
      <c r="O68" s="168">
        <v>10664335</v>
      </c>
      <c r="P68" s="168">
        <v>0</v>
      </c>
      <c r="Q68" s="168">
        <v>2083905</v>
      </c>
      <c r="R68" s="168">
        <f t="shared" si="0"/>
        <v>52927982</v>
      </c>
    </row>
    <row r="69" spans="1:18" x14ac:dyDescent="0.2">
      <c r="A69" s="165" t="s">
        <v>307</v>
      </c>
      <c r="B69" s="165"/>
      <c r="C69" s="166">
        <v>4934.96</v>
      </c>
      <c r="D69" s="166">
        <v>346.65</v>
      </c>
      <c r="E69" s="166">
        <v>0</v>
      </c>
      <c r="F69" s="169">
        <v>0</v>
      </c>
      <c r="G69" s="165">
        <v>0</v>
      </c>
      <c r="H69" s="165">
        <v>0</v>
      </c>
      <c r="I69" s="165">
        <v>342.97</v>
      </c>
      <c r="J69" s="165">
        <v>-124.58</v>
      </c>
      <c r="K69" s="165">
        <v>0</v>
      </c>
      <c r="L69" s="168">
        <v>22908698</v>
      </c>
      <c r="M69" s="168">
        <v>304202</v>
      </c>
      <c r="N69" s="168">
        <v>5165041</v>
      </c>
      <c r="O69" s="168">
        <v>5679293</v>
      </c>
      <c r="P69" s="168">
        <v>0</v>
      </c>
      <c r="Q69" s="168">
        <v>1009747</v>
      </c>
      <c r="R69" s="168">
        <f t="shared" si="0"/>
        <v>35066981</v>
      </c>
    </row>
    <row r="70" spans="1:18" x14ac:dyDescent="0.2">
      <c r="A70" s="165" t="s">
        <v>308</v>
      </c>
      <c r="B70" s="165"/>
      <c r="C70" s="166">
        <v>2519.69</v>
      </c>
      <c r="D70" s="166">
        <v>44.69</v>
      </c>
      <c r="E70" s="166">
        <v>0</v>
      </c>
      <c r="F70" s="169">
        <v>0</v>
      </c>
      <c r="G70" s="165">
        <v>0</v>
      </c>
      <c r="H70" s="165">
        <v>0</v>
      </c>
      <c r="I70" s="165">
        <v>88</v>
      </c>
      <c r="J70" s="165">
        <v>-12.38</v>
      </c>
      <c r="K70" s="165">
        <v>0</v>
      </c>
      <c r="L70" s="168">
        <v>13698981</v>
      </c>
      <c r="M70" s="168">
        <v>147682</v>
      </c>
      <c r="N70" s="168">
        <v>3303752</v>
      </c>
      <c r="O70" s="168">
        <v>4633855</v>
      </c>
      <c r="P70" s="168">
        <v>0</v>
      </c>
      <c r="Q70" s="168">
        <v>775105</v>
      </c>
      <c r="R70" s="168">
        <f t="shared" si="0"/>
        <v>22559375</v>
      </c>
    </row>
    <row r="71" spans="1:18" x14ac:dyDescent="0.2">
      <c r="A71" s="165" t="s">
        <v>309</v>
      </c>
      <c r="B71" s="165"/>
      <c r="C71" s="166">
        <v>12344.34</v>
      </c>
      <c r="D71" s="166">
        <v>1087.3</v>
      </c>
      <c r="E71" s="166">
        <v>0</v>
      </c>
      <c r="F71" s="169">
        <v>0</v>
      </c>
      <c r="G71" s="165">
        <v>0</v>
      </c>
      <c r="H71" s="165">
        <v>0</v>
      </c>
      <c r="I71" s="165">
        <f>258.866+146.794</f>
        <v>405.65999999999997</v>
      </c>
      <c r="J71" s="165">
        <v>-430.49</v>
      </c>
      <c r="K71" s="165">
        <v>0</v>
      </c>
      <c r="L71" s="168">
        <v>0</v>
      </c>
      <c r="M71" s="168">
        <v>738935</v>
      </c>
      <c r="N71" s="168">
        <v>1340681</v>
      </c>
      <c r="O71" s="168">
        <v>112935735</v>
      </c>
      <c r="P71" s="168">
        <v>-48719677</v>
      </c>
      <c r="Q71" s="168">
        <v>7686610</v>
      </c>
      <c r="R71" s="168">
        <f t="shared" si="0"/>
        <v>73982284</v>
      </c>
    </row>
    <row r="72" spans="1:18" x14ac:dyDescent="0.2">
      <c r="A72" s="165" t="s">
        <v>310</v>
      </c>
      <c r="B72" s="165"/>
      <c r="C72" s="166">
        <v>16226.93</v>
      </c>
      <c r="D72" s="166">
        <v>175.66</v>
      </c>
      <c r="E72" s="166">
        <v>168.85</v>
      </c>
      <c r="F72" s="169">
        <v>-158.96</v>
      </c>
      <c r="G72" s="165">
        <v>16.95</v>
      </c>
      <c r="H72" s="165">
        <v>-8.75</v>
      </c>
      <c r="I72" s="165">
        <v>0</v>
      </c>
      <c r="J72" s="165">
        <v>0</v>
      </c>
      <c r="K72" s="165">
        <v>0</v>
      </c>
      <c r="L72" s="168">
        <v>26769133</v>
      </c>
      <c r="M72" s="168">
        <v>918762</v>
      </c>
      <c r="N72" s="168">
        <v>13148488</v>
      </c>
      <c r="O72" s="168">
        <v>45862092</v>
      </c>
      <c r="P72" s="168">
        <v>0</v>
      </c>
      <c r="Q72" s="168">
        <v>4900000</v>
      </c>
      <c r="R72" s="168">
        <f t="shared" si="0"/>
        <v>91598475</v>
      </c>
    </row>
    <row r="73" spans="1:18" x14ac:dyDescent="0.2">
      <c r="A73" s="165" t="s">
        <v>311</v>
      </c>
      <c r="B73" s="165"/>
      <c r="C73" s="166">
        <v>7484.81</v>
      </c>
      <c r="D73" s="166">
        <v>141.61000000000001</v>
      </c>
      <c r="E73" s="166">
        <v>0</v>
      </c>
      <c r="F73" s="169">
        <v>0</v>
      </c>
      <c r="G73" s="165">
        <v>0</v>
      </c>
      <c r="H73" s="165">
        <v>0</v>
      </c>
      <c r="I73" s="165">
        <f>6.693+4.017</f>
        <v>10.71</v>
      </c>
      <c r="J73" s="165">
        <v>-11.13</v>
      </c>
      <c r="K73" s="165">
        <v>0</v>
      </c>
      <c r="L73" s="168">
        <v>10036855</v>
      </c>
      <c r="M73" s="168">
        <v>425767</v>
      </c>
      <c r="N73" s="168">
        <v>6956880</v>
      </c>
      <c r="O73" s="168">
        <v>28452759</v>
      </c>
      <c r="P73" s="168">
        <v>0</v>
      </c>
      <c r="Q73" s="168">
        <v>1669685</v>
      </c>
      <c r="R73" s="168">
        <f t="shared" si="0"/>
        <v>47541946</v>
      </c>
    </row>
    <row r="74" spans="1:18" x14ac:dyDescent="0.2">
      <c r="A74" s="171" t="s">
        <v>312</v>
      </c>
      <c r="B74" s="171"/>
      <c r="C74" s="172">
        <f t="shared" ref="C74:Q74" si="1">SUM(C2:C73)</f>
        <v>1075217.2140000002</v>
      </c>
      <c r="D74" s="164">
        <f t="shared" si="1"/>
        <v>29354.844999999994</v>
      </c>
      <c r="E74" s="164">
        <f t="shared" si="1"/>
        <v>40188.108999999997</v>
      </c>
      <c r="F74" s="164">
        <f t="shared" si="1"/>
        <v>-37211.849000000002</v>
      </c>
      <c r="G74" s="164">
        <f t="shared" si="1"/>
        <v>157.37499999999997</v>
      </c>
      <c r="H74" s="164">
        <f t="shared" si="1"/>
        <v>-1580.9190000000001</v>
      </c>
      <c r="I74" s="164">
        <f t="shared" si="1"/>
        <v>29037.594000000001</v>
      </c>
      <c r="J74" s="164">
        <f t="shared" si="1"/>
        <v>-671.08999999999992</v>
      </c>
      <c r="K74" s="164">
        <f t="shared" si="1"/>
        <v>317.35999999999996</v>
      </c>
      <c r="L74" s="171">
        <f t="shared" si="1"/>
        <v>2361357766</v>
      </c>
      <c r="M74" s="171">
        <f t="shared" si="1"/>
        <v>63146217</v>
      </c>
      <c r="N74" s="171">
        <f t="shared" si="1"/>
        <v>829150960</v>
      </c>
      <c r="O74" s="171">
        <f t="shared" si="1"/>
        <v>3042621847</v>
      </c>
      <c r="P74" s="171">
        <f t="shared" si="1"/>
        <v>-276828069</v>
      </c>
      <c r="Q74" s="171">
        <f t="shared" si="1"/>
        <v>455535607</v>
      </c>
      <c r="R74" s="171">
        <f>SUM(R2:R73)</f>
        <v>6474984328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4"/>
  <sheetViews>
    <sheetView workbookViewId="0">
      <selection activeCell="D2" sqref="D2"/>
    </sheetView>
  </sheetViews>
  <sheetFormatPr baseColWidth="10" defaultRowHeight="15" x14ac:dyDescent="0.2"/>
  <cols>
    <col min="3" max="3" width="17.83203125" customWidth="1"/>
    <col min="4" max="4" width="16.6640625" customWidth="1"/>
    <col min="5" max="5" width="24.6640625" customWidth="1"/>
    <col min="6" max="6" width="16.6640625" customWidth="1"/>
    <col min="7" max="7" width="15.5" customWidth="1"/>
    <col min="8" max="8" width="16.83203125" customWidth="1"/>
    <col min="9" max="9" width="25.5" customWidth="1"/>
    <col min="10" max="10" width="16.83203125" customWidth="1"/>
    <col min="11" max="11" width="15.33203125" customWidth="1"/>
    <col min="12" max="12" width="28.83203125" customWidth="1"/>
    <col min="13" max="15" width="24.1640625" customWidth="1"/>
    <col min="16" max="16" width="23" style="101" customWidth="1"/>
    <col min="17" max="18" width="21.6640625" customWidth="1"/>
    <col min="19" max="19" width="15.1640625" customWidth="1"/>
    <col min="20" max="20" width="26.6640625" customWidth="1"/>
    <col min="21" max="21" width="31" customWidth="1"/>
    <col min="22" max="22" width="10.83203125" customWidth="1"/>
  </cols>
  <sheetData>
    <row r="1" spans="1:22" s="191" customFormat="1" ht="56" x14ac:dyDescent="0.2">
      <c r="A1" s="190" t="s">
        <v>223</v>
      </c>
      <c r="B1" s="190" t="s">
        <v>224</v>
      </c>
      <c r="C1" s="190" t="s">
        <v>225</v>
      </c>
      <c r="D1" s="190" t="s">
        <v>228</v>
      </c>
      <c r="E1" s="190" t="s">
        <v>231</v>
      </c>
      <c r="F1" s="190" t="s">
        <v>78</v>
      </c>
      <c r="G1" s="190" t="s">
        <v>226</v>
      </c>
      <c r="H1" s="190" t="s">
        <v>229</v>
      </c>
      <c r="I1" s="190" t="s">
        <v>232</v>
      </c>
      <c r="J1" s="190" t="s">
        <v>78</v>
      </c>
      <c r="K1" s="190" t="s">
        <v>227</v>
      </c>
      <c r="L1" s="190" t="s">
        <v>230</v>
      </c>
      <c r="M1" s="190" t="s">
        <v>233</v>
      </c>
      <c r="N1" s="190" t="s">
        <v>25</v>
      </c>
      <c r="O1" s="190" t="s">
        <v>78</v>
      </c>
      <c r="P1" s="195" t="s">
        <v>477</v>
      </c>
      <c r="Q1" s="190" t="s">
        <v>234</v>
      </c>
      <c r="R1" s="190" t="s">
        <v>235</v>
      </c>
      <c r="S1" s="190" t="s">
        <v>236</v>
      </c>
      <c r="T1" s="190" t="s">
        <v>237</v>
      </c>
      <c r="U1" s="190" t="s">
        <v>238</v>
      </c>
      <c r="V1" s="190" t="s">
        <v>239</v>
      </c>
    </row>
    <row r="2" spans="1:22" x14ac:dyDescent="0.2">
      <c r="A2" s="165" t="s">
        <v>240</v>
      </c>
      <c r="B2" s="165"/>
      <c r="C2" s="169">
        <v>8548.66</v>
      </c>
      <c r="D2" s="169">
        <v>-1013.75</v>
      </c>
      <c r="E2" s="165">
        <v>0</v>
      </c>
      <c r="F2" s="192">
        <f>SUM(C2:E2)*5072</f>
        <v>38217063.519999996</v>
      </c>
      <c r="G2" s="165">
        <v>553.44000000000005</v>
      </c>
      <c r="H2" s="165">
        <v>-6</v>
      </c>
      <c r="I2" s="165">
        <v>0</v>
      </c>
      <c r="J2" s="192">
        <f>SUM(G2:I2)*3076</f>
        <v>1683925.4400000002</v>
      </c>
      <c r="K2" s="165">
        <v>373.05</v>
      </c>
      <c r="L2" s="165">
        <v>38.43</v>
      </c>
      <c r="M2" s="165">
        <v>0</v>
      </c>
      <c r="N2" s="86">
        <v>6083692</v>
      </c>
      <c r="O2" s="192">
        <f>SUM(K2:M2)*5072</f>
        <v>2087026.56</v>
      </c>
      <c r="P2" s="192">
        <f>SUM(F2,J2,N2,O2)</f>
        <v>48071707.519999996</v>
      </c>
      <c r="Q2" s="168">
        <f>25379582+458129</f>
        <v>25837711</v>
      </c>
      <c r="R2" s="168">
        <v>8031682</v>
      </c>
      <c r="S2" s="168">
        <v>15810740</v>
      </c>
      <c r="T2" s="168">
        <v>0</v>
      </c>
      <c r="U2" s="168">
        <v>2649096</v>
      </c>
      <c r="V2" s="168">
        <f t="shared" ref="V2:V73" si="0">SUM(Q2:U2)</f>
        <v>52329229</v>
      </c>
    </row>
    <row r="3" spans="1:22" x14ac:dyDescent="0.2">
      <c r="A3" s="165" t="s">
        <v>241</v>
      </c>
      <c r="B3" s="165"/>
      <c r="C3" s="169">
        <v>11293.43</v>
      </c>
      <c r="D3" s="165">
        <v>0</v>
      </c>
      <c r="E3" s="165">
        <v>319.57</v>
      </c>
      <c r="F3" s="192">
        <f t="shared" ref="F3:F66" si="1">SUM(C3:E3)*5072</f>
        <v>58901136</v>
      </c>
      <c r="G3" s="165">
        <v>0</v>
      </c>
      <c r="H3" s="165">
        <v>0</v>
      </c>
      <c r="I3" s="165">
        <v>43.96</v>
      </c>
      <c r="J3" s="192">
        <f t="shared" ref="J3:J66" si="2">SUM(G3:I3)*3076</f>
        <v>135220.96</v>
      </c>
      <c r="K3" s="165">
        <v>0</v>
      </c>
      <c r="L3" s="165">
        <v>0</v>
      </c>
      <c r="M3" s="165">
        <v>0</v>
      </c>
      <c r="N3" s="86">
        <v>6083692</v>
      </c>
      <c r="O3" s="192">
        <f t="shared" ref="O3:O66" si="3">SUM(K3:M3)*5072</f>
        <v>0</v>
      </c>
      <c r="P3" s="192">
        <f t="shared" ref="P3:P66" si="4">SUM(F3,J3,N3,O3)</f>
        <v>65120048.960000001</v>
      </c>
      <c r="Q3" s="168">
        <f>44992310+644349</f>
        <v>45636659</v>
      </c>
      <c r="R3" s="168">
        <v>10018380</v>
      </c>
      <c r="S3" s="168">
        <v>6313850</v>
      </c>
      <c r="T3" s="168">
        <v>0</v>
      </c>
      <c r="U3" s="168">
        <v>2298674</v>
      </c>
      <c r="V3" s="168">
        <f t="shared" si="0"/>
        <v>64267563</v>
      </c>
    </row>
    <row r="4" spans="1:22" x14ac:dyDescent="0.2">
      <c r="A4" s="165" t="s">
        <v>242</v>
      </c>
      <c r="B4" s="165"/>
      <c r="C4" s="169">
        <v>2350.018</v>
      </c>
      <c r="D4" s="165">
        <v>0</v>
      </c>
      <c r="E4" s="165">
        <v>114.402</v>
      </c>
      <c r="F4" s="192">
        <f t="shared" si="1"/>
        <v>12499538.24</v>
      </c>
      <c r="G4" s="165">
        <v>34.6</v>
      </c>
      <c r="H4" s="165">
        <v>0</v>
      </c>
      <c r="I4" s="165">
        <v>-2.0499999999999998</v>
      </c>
      <c r="J4" s="192">
        <f t="shared" si="2"/>
        <v>100123.80000000002</v>
      </c>
      <c r="K4" s="165">
        <v>0</v>
      </c>
      <c r="L4" s="165">
        <v>0</v>
      </c>
      <c r="M4" s="165">
        <v>0</v>
      </c>
      <c r="N4" s="86">
        <v>4811207</v>
      </c>
      <c r="O4" s="192">
        <f t="shared" si="3"/>
        <v>0</v>
      </c>
      <c r="P4" s="192">
        <f t="shared" si="4"/>
        <v>17410869.039999999</v>
      </c>
      <c r="Q4" s="168">
        <f>10341868+137512</f>
        <v>10479380</v>
      </c>
      <c r="R4" s="168">
        <v>2693734</v>
      </c>
      <c r="S4" s="168">
        <v>3489027</v>
      </c>
      <c r="T4" s="168">
        <v>0</v>
      </c>
      <c r="U4" s="168">
        <v>519892</v>
      </c>
      <c r="V4" s="168">
        <f t="shared" si="0"/>
        <v>17182033</v>
      </c>
    </row>
    <row r="5" spans="1:22" x14ac:dyDescent="0.2">
      <c r="A5" s="165" t="s">
        <v>243</v>
      </c>
      <c r="B5" s="165"/>
      <c r="C5" s="169">
        <v>9501.25</v>
      </c>
      <c r="D5" s="165">
        <v>0</v>
      </c>
      <c r="E5" s="165">
        <v>154.85</v>
      </c>
      <c r="F5" s="192">
        <f t="shared" si="1"/>
        <v>48975739.200000003</v>
      </c>
      <c r="G5" s="169">
        <v>1070.54</v>
      </c>
      <c r="H5" s="165">
        <v>0</v>
      </c>
      <c r="I5" s="165">
        <v>106.57</v>
      </c>
      <c r="J5" s="192">
        <f t="shared" si="2"/>
        <v>3620790.36</v>
      </c>
      <c r="K5" s="165">
        <v>24.4</v>
      </c>
      <c r="L5" s="165">
        <v>0</v>
      </c>
      <c r="M5" s="165">
        <v>7.75</v>
      </c>
      <c r="N5" s="86">
        <v>6083692</v>
      </c>
      <c r="O5" s="192">
        <f t="shared" si="3"/>
        <v>163064.79999999999</v>
      </c>
      <c r="P5" s="192">
        <f t="shared" si="4"/>
        <v>58843286.359999999</v>
      </c>
      <c r="Q5" s="168">
        <f>31141851+575518</f>
        <v>31717369</v>
      </c>
      <c r="R5" s="168">
        <v>8847884</v>
      </c>
      <c r="S5" s="168">
        <v>14163508</v>
      </c>
      <c r="T5" s="168">
        <v>0</v>
      </c>
      <c r="U5" s="168">
        <v>3314881</v>
      </c>
      <c r="V5" s="168">
        <f t="shared" si="0"/>
        <v>58043642</v>
      </c>
    </row>
    <row r="6" spans="1:22" x14ac:dyDescent="0.2">
      <c r="A6" s="165" t="s">
        <v>244</v>
      </c>
      <c r="B6" s="165"/>
      <c r="C6" s="169">
        <v>10715.29</v>
      </c>
      <c r="D6" s="169">
        <v>-1530.47</v>
      </c>
      <c r="E6" s="165">
        <v>0</v>
      </c>
      <c r="F6" s="192">
        <f t="shared" si="1"/>
        <v>46585407.040000007</v>
      </c>
      <c r="G6" s="165">
        <v>180.86</v>
      </c>
      <c r="H6" s="165">
        <v>1.53</v>
      </c>
      <c r="I6" s="165">
        <v>0</v>
      </c>
      <c r="J6" s="192">
        <f t="shared" si="2"/>
        <v>561031.64</v>
      </c>
      <c r="K6" s="165">
        <v>0</v>
      </c>
      <c r="L6" s="165">
        <v>0</v>
      </c>
      <c r="M6" s="165">
        <v>0</v>
      </c>
      <c r="N6" s="86">
        <v>6083692</v>
      </c>
      <c r="O6" s="192">
        <f t="shared" si="3"/>
        <v>0</v>
      </c>
      <c r="P6" s="192">
        <f t="shared" si="4"/>
        <v>53230130.680000007</v>
      </c>
      <c r="Q6" s="168">
        <f>21756965+514535</f>
        <v>22271500</v>
      </c>
      <c r="R6" s="168">
        <v>9023539</v>
      </c>
      <c r="S6" s="168">
        <v>24520237</v>
      </c>
      <c r="T6" s="168">
        <v>0</v>
      </c>
      <c r="U6" s="168">
        <v>4370659</v>
      </c>
      <c r="V6" s="168">
        <f t="shared" si="0"/>
        <v>60185935</v>
      </c>
    </row>
    <row r="7" spans="1:22" x14ac:dyDescent="0.2">
      <c r="A7" s="165" t="s">
        <v>245</v>
      </c>
      <c r="B7" s="165"/>
      <c r="C7" s="169">
        <v>16769.14</v>
      </c>
      <c r="D7" s="165">
        <v>0</v>
      </c>
      <c r="E7" s="165">
        <v>555.83000000000004</v>
      </c>
      <c r="F7" s="192">
        <f t="shared" si="1"/>
        <v>87872247.840000004</v>
      </c>
      <c r="G7" s="165">
        <v>346.23</v>
      </c>
      <c r="H7" s="165">
        <v>0</v>
      </c>
      <c r="I7" s="165">
        <v>-228.92</v>
      </c>
      <c r="J7" s="192">
        <f t="shared" si="2"/>
        <v>360845.56000000011</v>
      </c>
      <c r="K7" s="165">
        <v>125.51</v>
      </c>
      <c r="L7" s="165">
        <v>0</v>
      </c>
      <c r="M7" s="165">
        <v>172.97</v>
      </c>
      <c r="N7" s="86">
        <v>4866953</v>
      </c>
      <c r="O7" s="192">
        <f t="shared" si="3"/>
        <v>1513890.56</v>
      </c>
      <c r="P7" s="192">
        <f t="shared" si="4"/>
        <v>94613936.960000008</v>
      </c>
      <c r="Q7" s="168">
        <f>52348524+979523</f>
        <v>53328047</v>
      </c>
      <c r="R7" s="168">
        <v>14387909</v>
      </c>
      <c r="S7" s="168">
        <v>21280741</v>
      </c>
      <c r="T7" s="168">
        <v>0</v>
      </c>
      <c r="U7" s="168">
        <v>4377751</v>
      </c>
      <c r="V7" s="168">
        <f t="shared" si="0"/>
        <v>93374448</v>
      </c>
    </row>
    <row r="8" spans="1:22" x14ac:dyDescent="0.2">
      <c r="A8" s="165" t="s">
        <v>246</v>
      </c>
      <c r="B8" s="165"/>
      <c r="C8" s="169">
        <v>17074.78</v>
      </c>
      <c r="D8" s="165">
        <v>0</v>
      </c>
      <c r="E8" s="165">
        <v>429.39</v>
      </c>
      <c r="F8" s="192">
        <f t="shared" si="1"/>
        <v>88781150.239999995</v>
      </c>
      <c r="G8" s="165">
        <v>121.76</v>
      </c>
      <c r="H8" s="165">
        <v>0</v>
      </c>
      <c r="I8" s="165">
        <v>14.09</v>
      </c>
      <c r="J8" s="192">
        <f t="shared" si="2"/>
        <v>417874.6</v>
      </c>
      <c r="K8" s="165">
        <v>0</v>
      </c>
      <c r="L8" s="165">
        <v>0</v>
      </c>
      <c r="M8" s="165">
        <v>0</v>
      </c>
      <c r="N8" s="86">
        <v>7908798</v>
      </c>
      <c r="O8" s="192">
        <f t="shared" si="3"/>
        <v>0</v>
      </c>
      <c r="P8" s="192">
        <f t="shared" si="4"/>
        <v>97107822.839999989</v>
      </c>
      <c r="Q8" s="168">
        <f>30368530+973537</f>
        <v>31342067</v>
      </c>
      <c r="R8" s="168">
        <v>14031427</v>
      </c>
      <c r="S8" s="168">
        <v>41418175</v>
      </c>
      <c r="T8" s="168">
        <v>0</v>
      </c>
      <c r="U8" s="168">
        <v>9043249</v>
      </c>
      <c r="V8" s="168">
        <f t="shared" si="0"/>
        <v>95834918</v>
      </c>
    </row>
    <row r="9" spans="1:22" x14ac:dyDescent="0.2">
      <c r="A9" s="165" t="s">
        <v>247</v>
      </c>
      <c r="B9" s="165"/>
      <c r="C9" s="169">
        <v>14337.388000000001</v>
      </c>
      <c r="D9" s="165">
        <v>0</v>
      </c>
      <c r="E9" s="169">
        <v>1152.0319999999999</v>
      </c>
      <c r="F9" s="192">
        <f t="shared" si="1"/>
        <v>78562338.239999995</v>
      </c>
      <c r="G9" s="165">
        <v>340.73</v>
      </c>
      <c r="H9" s="165">
        <v>0</v>
      </c>
      <c r="I9" s="165">
        <v>19.170000000000002</v>
      </c>
      <c r="J9" s="192">
        <f t="shared" si="2"/>
        <v>1107052.4000000001</v>
      </c>
      <c r="K9" s="165">
        <v>0</v>
      </c>
      <c r="L9" s="165">
        <v>0</v>
      </c>
      <c r="M9" s="165">
        <v>0</v>
      </c>
      <c r="N9" s="86">
        <v>7300431</v>
      </c>
      <c r="O9" s="192">
        <f t="shared" si="3"/>
        <v>0</v>
      </c>
      <c r="P9" s="192">
        <f t="shared" si="4"/>
        <v>86969821.640000001</v>
      </c>
      <c r="Q9" s="168">
        <f>31559149+869461</f>
        <v>32428610</v>
      </c>
      <c r="R9" s="168">
        <v>13030010</v>
      </c>
      <c r="S9" s="168">
        <v>35138762</v>
      </c>
      <c r="T9" s="168">
        <v>0</v>
      </c>
      <c r="U9" s="168">
        <v>5226267</v>
      </c>
      <c r="V9" s="168">
        <f t="shared" si="0"/>
        <v>85823649</v>
      </c>
    </row>
    <row r="10" spans="1:22" x14ac:dyDescent="0.2">
      <c r="A10" s="165" t="s">
        <v>248</v>
      </c>
      <c r="B10" s="165"/>
      <c r="C10" s="169">
        <v>11116.74</v>
      </c>
      <c r="D10" s="165">
        <v>0</v>
      </c>
      <c r="E10" s="165">
        <v>261.81</v>
      </c>
      <c r="F10" s="192">
        <f t="shared" si="1"/>
        <v>57712005.599999994</v>
      </c>
      <c r="G10" s="165">
        <v>215.39</v>
      </c>
      <c r="H10" s="165">
        <v>0</v>
      </c>
      <c r="I10" s="165">
        <v>56.87</v>
      </c>
      <c r="J10" s="192">
        <f t="shared" si="2"/>
        <v>837471.76</v>
      </c>
      <c r="K10" s="165">
        <v>114.42</v>
      </c>
      <c r="L10" s="165">
        <v>0</v>
      </c>
      <c r="M10" s="165">
        <v>17.77</v>
      </c>
      <c r="N10" s="86">
        <v>4866953</v>
      </c>
      <c r="O10" s="192">
        <f t="shared" si="3"/>
        <v>670467.67999999993</v>
      </c>
      <c r="P10" s="192">
        <f t="shared" si="4"/>
        <v>64086898.039999992</v>
      </c>
      <c r="Q10" s="168">
        <f>43163125+646287</f>
        <v>43809412</v>
      </c>
      <c r="R10" s="168">
        <v>9457184</v>
      </c>
      <c r="S10" s="168">
        <v>5231003</v>
      </c>
      <c r="T10" s="168">
        <v>0</v>
      </c>
      <c r="U10" s="168">
        <v>4744580</v>
      </c>
      <c r="V10" s="168">
        <f t="shared" si="0"/>
        <v>63242179</v>
      </c>
    </row>
    <row r="11" spans="1:22" x14ac:dyDescent="0.2">
      <c r="A11" s="165" t="s">
        <v>249</v>
      </c>
      <c r="B11" s="165"/>
      <c r="C11" s="169">
        <v>30678.87</v>
      </c>
      <c r="D11" s="165">
        <v>0</v>
      </c>
      <c r="E11" s="169">
        <v>1656.27</v>
      </c>
      <c r="F11" s="192">
        <f t="shared" si="1"/>
        <v>164003830.07999998</v>
      </c>
      <c r="G11" s="165">
        <v>245.2</v>
      </c>
      <c r="H11" s="165">
        <v>0</v>
      </c>
      <c r="I11" s="165">
        <v>43.46</v>
      </c>
      <c r="J11" s="192">
        <f t="shared" si="2"/>
        <v>887918.15999999992</v>
      </c>
      <c r="K11" s="165">
        <v>0</v>
      </c>
      <c r="L11" s="165">
        <v>0</v>
      </c>
      <c r="M11" s="165">
        <v>0</v>
      </c>
      <c r="N11" s="86">
        <v>12167382</v>
      </c>
      <c r="O11" s="192">
        <f t="shared" si="3"/>
        <v>0</v>
      </c>
      <c r="P11" s="192">
        <f t="shared" si="4"/>
        <v>177059130.23999998</v>
      </c>
      <c r="Q11" s="168">
        <f>16920892+1799653</f>
        <v>18720545</v>
      </c>
      <c r="R11" s="168">
        <v>25853128</v>
      </c>
      <c r="S11" s="168">
        <v>115341361</v>
      </c>
      <c r="T11" s="168">
        <v>0</v>
      </c>
      <c r="U11" s="168">
        <v>14822392</v>
      </c>
      <c r="V11" s="168">
        <f t="shared" si="0"/>
        <v>174737426</v>
      </c>
    </row>
    <row r="12" spans="1:22" x14ac:dyDescent="0.2">
      <c r="A12" s="165" t="s">
        <v>250</v>
      </c>
      <c r="B12" s="165"/>
      <c r="C12" s="169">
        <v>5193.76</v>
      </c>
      <c r="D12" s="165">
        <v>0</v>
      </c>
      <c r="E12" s="165">
        <v>789.23</v>
      </c>
      <c r="F12" s="192">
        <f t="shared" si="1"/>
        <v>30345725.279999997</v>
      </c>
      <c r="G12" s="165">
        <v>22.84</v>
      </c>
      <c r="H12" s="165">
        <v>0</v>
      </c>
      <c r="I12" s="165">
        <v>0.17</v>
      </c>
      <c r="J12" s="192">
        <f t="shared" si="2"/>
        <v>70778.760000000009</v>
      </c>
      <c r="K12" s="165">
        <v>0</v>
      </c>
      <c r="L12" s="165">
        <v>0</v>
      </c>
      <c r="M12" s="165">
        <v>0</v>
      </c>
      <c r="N12" s="86">
        <v>3650214</v>
      </c>
      <c r="O12" s="192">
        <f t="shared" si="3"/>
        <v>0</v>
      </c>
      <c r="P12" s="192">
        <f t="shared" si="4"/>
        <v>34066718.039999999</v>
      </c>
      <c r="Q12" s="168">
        <f>22180642+331979</f>
        <v>22512621</v>
      </c>
      <c r="R12" s="168">
        <v>5271927</v>
      </c>
      <c r="S12" s="168">
        <v>4825058</v>
      </c>
      <c r="T12" s="168">
        <v>0</v>
      </c>
      <c r="U12" s="168">
        <v>1011090</v>
      </c>
      <c r="V12" s="168">
        <f t="shared" si="0"/>
        <v>33620696</v>
      </c>
    </row>
    <row r="13" spans="1:22" x14ac:dyDescent="0.2">
      <c r="A13" s="165" t="s">
        <v>251</v>
      </c>
      <c r="B13" s="165"/>
      <c r="C13" s="169">
        <v>24271.62</v>
      </c>
      <c r="D13" s="165">
        <v>0</v>
      </c>
      <c r="E13" s="165">
        <f>667.893+4413.597</f>
        <v>5081.49</v>
      </c>
      <c r="F13" s="192">
        <f t="shared" si="1"/>
        <v>148878973.92000002</v>
      </c>
      <c r="G13" s="165">
        <v>105.94</v>
      </c>
      <c r="H13" s="165">
        <v>0</v>
      </c>
      <c r="I13" s="165">
        <v>29.8</v>
      </c>
      <c r="J13" s="192">
        <f t="shared" si="2"/>
        <v>417536.24000000005</v>
      </c>
      <c r="K13" s="165">
        <v>0</v>
      </c>
      <c r="L13" s="165">
        <v>0</v>
      </c>
      <c r="M13" s="165">
        <v>0</v>
      </c>
      <c r="N13" s="86">
        <v>13992490</v>
      </c>
      <c r="O13" s="192">
        <f t="shared" si="3"/>
        <v>0</v>
      </c>
      <c r="P13" s="192">
        <f t="shared" si="4"/>
        <v>163289000.16000003</v>
      </c>
      <c r="Q13" s="168">
        <f>28596935+1629480</f>
        <v>30226415</v>
      </c>
      <c r="R13" s="168">
        <v>23371971</v>
      </c>
      <c r="S13" s="168">
        <v>90969402</v>
      </c>
      <c r="T13" s="168">
        <v>0</v>
      </c>
      <c r="U13" s="168">
        <v>16583093</v>
      </c>
      <c r="V13" s="168">
        <f t="shared" si="0"/>
        <v>161150881</v>
      </c>
    </row>
    <row r="14" spans="1:22" x14ac:dyDescent="0.2">
      <c r="A14" s="165" t="s">
        <v>252</v>
      </c>
      <c r="B14" s="165"/>
      <c r="C14" s="169">
        <v>1350.95</v>
      </c>
      <c r="D14" s="165">
        <v>0</v>
      </c>
      <c r="E14" s="165">
        <v>46.77</v>
      </c>
      <c r="F14" s="192">
        <f t="shared" si="1"/>
        <v>7089235.8399999999</v>
      </c>
      <c r="G14" s="165">
        <v>68.14</v>
      </c>
      <c r="H14" s="165">
        <v>0</v>
      </c>
      <c r="I14" s="165">
        <f>10.301+3.659</f>
        <v>13.96</v>
      </c>
      <c r="J14" s="192">
        <f t="shared" si="2"/>
        <v>252539.59999999998</v>
      </c>
      <c r="K14" s="165">
        <v>4.66</v>
      </c>
      <c r="L14" s="165">
        <v>0</v>
      </c>
      <c r="M14" s="165">
        <v>-2.2000000000000002</v>
      </c>
      <c r="N14" s="86">
        <v>4811207</v>
      </c>
      <c r="O14" s="192">
        <f t="shared" si="3"/>
        <v>12477.119999999999</v>
      </c>
      <c r="P14" s="192">
        <f t="shared" si="4"/>
        <v>12165459.559999999</v>
      </c>
      <c r="Q14" s="168">
        <f>8420881+80246</f>
        <v>8501127</v>
      </c>
      <c r="R14" s="168">
        <v>1908190</v>
      </c>
      <c r="S14" s="168">
        <v>1393834</v>
      </c>
      <c r="T14" s="168">
        <v>0</v>
      </c>
      <c r="U14" s="168">
        <v>200714</v>
      </c>
      <c r="V14" s="168">
        <f t="shared" si="0"/>
        <v>12003865</v>
      </c>
    </row>
    <row r="15" spans="1:22" x14ac:dyDescent="0.2">
      <c r="A15" s="165" t="s">
        <v>253</v>
      </c>
      <c r="B15" s="165"/>
      <c r="C15" s="169">
        <v>7341.4549999999999</v>
      </c>
      <c r="D15" s="165">
        <v>0</v>
      </c>
      <c r="E15" s="169">
        <v>1093.575</v>
      </c>
      <c r="F15" s="192">
        <f t="shared" si="1"/>
        <v>42782472.160000004</v>
      </c>
      <c r="G15" s="165">
        <v>37.409999999999997</v>
      </c>
      <c r="H15" s="165">
        <v>0</v>
      </c>
      <c r="I15" s="165">
        <v>-12.49</v>
      </c>
      <c r="J15" s="192">
        <f t="shared" si="2"/>
        <v>76653.919999999984</v>
      </c>
      <c r="K15" s="165">
        <v>521.4</v>
      </c>
      <c r="L15" s="165">
        <v>0</v>
      </c>
      <c r="M15" s="165">
        <v>72.099999999999994</v>
      </c>
      <c r="N15" s="86">
        <v>3650214</v>
      </c>
      <c r="O15" s="192">
        <f t="shared" si="3"/>
        <v>3010232</v>
      </c>
      <c r="P15" s="192">
        <f t="shared" si="4"/>
        <v>49519572.080000006</v>
      </c>
      <c r="Q15" s="168">
        <f>2691895+500641</f>
        <v>3192536</v>
      </c>
      <c r="R15" s="168">
        <v>7371773</v>
      </c>
      <c r="S15" s="168">
        <v>35033938</v>
      </c>
      <c r="T15" s="168">
        <v>0</v>
      </c>
      <c r="U15" s="168">
        <v>2122557</v>
      </c>
      <c r="V15" s="168">
        <f t="shared" si="0"/>
        <v>47720804</v>
      </c>
    </row>
    <row r="16" spans="1:22" x14ac:dyDescent="0.2">
      <c r="A16" s="165" t="s">
        <v>254</v>
      </c>
      <c r="B16" s="165"/>
      <c r="C16" s="169">
        <v>19137.25</v>
      </c>
      <c r="D16" s="165">
        <v>0</v>
      </c>
      <c r="E16" s="165">
        <v>325.99</v>
      </c>
      <c r="F16" s="192">
        <f t="shared" si="1"/>
        <v>98717553.280000001</v>
      </c>
      <c r="G16" s="165">
        <v>25.75</v>
      </c>
      <c r="H16" s="165">
        <v>0</v>
      </c>
      <c r="I16" s="165">
        <v>-2.99</v>
      </c>
      <c r="J16" s="192">
        <f t="shared" si="2"/>
        <v>70009.759999999995</v>
      </c>
      <c r="K16" s="165">
        <v>0</v>
      </c>
      <c r="L16" s="165">
        <v>0</v>
      </c>
      <c r="M16" s="165">
        <v>0</v>
      </c>
      <c r="N16" s="86">
        <v>8517167</v>
      </c>
      <c r="O16" s="192">
        <f t="shared" si="3"/>
        <v>0</v>
      </c>
      <c r="P16" s="192">
        <f t="shared" si="4"/>
        <v>107304730.04000001</v>
      </c>
      <c r="Q16" s="168">
        <f>51822095+1078225</f>
        <v>52900320</v>
      </c>
      <c r="R16" s="168">
        <v>16130345</v>
      </c>
      <c r="S16" s="168">
        <v>30743902</v>
      </c>
      <c r="T16" s="168">
        <v>0</v>
      </c>
      <c r="U16" s="168">
        <v>7272589</v>
      </c>
      <c r="V16" s="168">
        <f t="shared" si="0"/>
        <v>107047156</v>
      </c>
    </row>
    <row r="17" spans="1:22" x14ac:dyDescent="0.2">
      <c r="A17" s="165" t="s">
        <v>255</v>
      </c>
      <c r="B17" s="165"/>
      <c r="C17" s="169">
        <v>1510.96</v>
      </c>
      <c r="D17" s="165">
        <v>0</v>
      </c>
      <c r="E17" s="165">
        <f>57.579+8.081</f>
        <v>65.66</v>
      </c>
      <c r="F17" s="192">
        <f t="shared" si="1"/>
        <v>7996616.6400000006</v>
      </c>
      <c r="G17" s="165">
        <v>40.630000000000003</v>
      </c>
      <c r="H17" s="165">
        <v>0</v>
      </c>
      <c r="I17" s="165">
        <v>2.63</v>
      </c>
      <c r="J17" s="192">
        <f t="shared" si="2"/>
        <v>133067.76</v>
      </c>
      <c r="K17" s="165">
        <v>59.16</v>
      </c>
      <c r="L17" s="165">
        <v>0</v>
      </c>
      <c r="M17" s="165">
        <v>-59.16</v>
      </c>
      <c r="N17" s="86">
        <v>4811207</v>
      </c>
      <c r="O17" s="192">
        <f t="shared" si="3"/>
        <v>0</v>
      </c>
      <c r="P17" s="192">
        <f t="shared" si="4"/>
        <v>12940891.4</v>
      </c>
      <c r="Q17" s="168">
        <f>3282874+88720</f>
        <v>3371594</v>
      </c>
      <c r="R17" s="168">
        <v>1958816</v>
      </c>
      <c r="S17" s="168">
        <v>6785885</v>
      </c>
      <c r="T17" s="168">
        <v>0</v>
      </c>
      <c r="U17" s="168">
        <v>653869</v>
      </c>
      <c r="V17" s="168">
        <f t="shared" si="0"/>
        <v>12770164</v>
      </c>
    </row>
    <row r="18" spans="1:22" x14ac:dyDescent="0.2">
      <c r="A18" s="165" t="s">
        <v>256</v>
      </c>
      <c r="B18" s="165"/>
      <c r="C18" s="169">
        <v>26998.62</v>
      </c>
      <c r="D18" s="165">
        <v>-242.61699999999999</v>
      </c>
      <c r="E18" s="165">
        <v>0</v>
      </c>
      <c r="F18" s="192">
        <f t="shared" si="1"/>
        <v>135706447.21599999</v>
      </c>
      <c r="G18" s="165">
        <v>199.35</v>
      </c>
      <c r="H18" s="165">
        <v>16.54</v>
      </c>
      <c r="I18" s="165">
        <v>0</v>
      </c>
      <c r="J18" s="192">
        <f t="shared" si="2"/>
        <v>664077.64</v>
      </c>
      <c r="K18" s="165">
        <v>154.99</v>
      </c>
      <c r="L18" s="165">
        <v>14.44</v>
      </c>
      <c r="M18" s="165">
        <v>0</v>
      </c>
      <c r="N18" s="86">
        <v>9733907</v>
      </c>
      <c r="O18" s="192">
        <f t="shared" si="3"/>
        <v>859348.96000000008</v>
      </c>
      <c r="P18" s="192">
        <f t="shared" si="4"/>
        <v>146963780.81599998</v>
      </c>
      <c r="Q18" s="168">
        <f>9775536+1497755</f>
        <v>11273291</v>
      </c>
      <c r="R18" s="168">
        <v>20148085</v>
      </c>
      <c r="S18" s="168">
        <v>93205004</v>
      </c>
      <c r="T18" s="168">
        <v>0</v>
      </c>
      <c r="U18" s="168">
        <v>22145042</v>
      </c>
      <c r="V18" s="168">
        <f t="shared" si="0"/>
        <v>146771422</v>
      </c>
    </row>
    <row r="19" spans="1:22" x14ac:dyDescent="0.2">
      <c r="A19" s="165" t="s">
        <v>257</v>
      </c>
      <c r="B19" s="165"/>
      <c r="C19" s="169">
        <v>4713.58</v>
      </c>
      <c r="D19" s="165">
        <v>-448.505</v>
      </c>
      <c r="E19" s="165">
        <v>0</v>
      </c>
      <c r="F19" s="192">
        <f t="shared" si="1"/>
        <v>21632460.399999999</v>
      </c>
      <c r="G19" s="165">
        <v>518.71</v>
      </c>
      <c r="H19" s="165">
        <v>-79.75</v>
      </c>
      <c r="I19" s="165">
        <v>0</v>
      </c>
      <c r="J19" s="192">
        <f t="shared" si="2"/>
        <v>1350240.9600000002</v>
      </c>
      <c r="K19" s="165">
        <v>21.09</v>
      </c>
      <c r="L19" s="165">
        <v>64.19</v>
      </c>
      <c r="M19" s="165">
        <v>0</v>
      </c>
      <c r="N19" s="86">
        <v>4811207</v>
      </c>
      <c r="O19" s="192">
        <f t="shared" si="3"/>
        <v>432540.16000000003</v>
      </c>
      <c r="P19" s="192">
        <f t="shared" si="4"/>
        <v>28226448.52</v>
      </c>
      <c r="Q19" s="168">
        <f>6579989+255444</f>
        <v>6835433</v>
      </c>
      <c r="R19" s="168">
        <v>4571599</v>
      </c>
      <c r="S19" s="168">
        <v>16870682</v>
      </c>
      <c r="T19" s="168">
        <v>0</v>
      </c>
      <c r="U19" s="168">
        <v>1732003</v>
      </c>
      <c r="V19" s="168">
        <f t="shared" si="0"/>
        <v>30009717</v>
      </c>
    </row>
    <row r="20" spans="1:22" x14ac:dyDescent="0.2">
      <c r="A20" s="165" t="s">
        <v>258</v>
      </c>
      <c r="B20" s="165"/>
      <c r="C20" s="169">
        <v>12541.47</v>
      </c>
      <c r="D20" s="169">
        <v>-1244.1400000000001</v>
      </c>
      <c r="E20" s="165">
        <v>0</v>
      </c>
      <c r="F20" s="192">
        <f t="shared" si="1"/>
        <v>57300057.759999998</v>
      </c>
      <c r="G20" s="165">
        <v>271.39</v>
      </c>
      <c r="H20" s="165">
        <v>-14.29</v>
      </c>
      <c r="I20" s="165">
        <v>0</v>
      </c>
      <c r="J20" s="192">
        <f t="shared" si="2"/>
        <v>790839.59999999986</v>
      </c>
      <c r="K20" s="169">
        <v>2649.01</v>
      </c>
      <c r="L20" s="165">
        <v>-110.03</v>
      </c>
      <c r="M20" s="165">
        <v>0</v>
      </c>
      <c r="N20" s="86">
        <v>6083692</v>
      </c>
      <c r="O20" s="192">
        <f t="shared" si="3"/>
        <v>12877706.560000001</v>
      </c>
      <c r="P20" s="192">
        <f t="shared" si="4"/>
        <v>77052295.920000002</v>
      </c>
      <c r="Q20" s="168">
        <f>48174797+774524</f>
        <v>48949321</v>
      </c>
      <c r="R20" s="168">
        <v>12689113</v>
      </c>
      <c r="S20" s="168">
        <v>16850328</v>
      </c>
      <c r="T20" s="168">
        <v>0</v>
      </c>
      <c r="U20" s="168">
        <v>4371348</v>
      </c>
      <c r="V20" s="168">
        <f t="shared" si="0"/>
        <v>82860110</v>
      </c>
    </row>
    <row r="21" spans="1:22" x14ac:dyDescent="0.2">
      <c r="A21" s="165" t="s">
        <v>259</v>
      </c>
      <c r="B21" s="165"/>
      <c r="C21" s="169">
        <v>18134.93</v>
      </c>
      <c r="D21" s="165">
        <v>0</v>
      </c>
      <c r="E21" s="165">
        <v>592.65</v>
      </c>
      <c r="F21" s="192">
        <f t="shared" si="1"/>
        <v>94986285.760000005</v>
      </c>
      <c r="G21" s="165">
        <v>62.26</v>
      </c>
      <c r="H21" s="165">
        <v>0</v>
      </c>
      <c r="I21" s="165">
        <v>-40.33</v>
      </c>
      <c r="J21" s="192">
        <f t="shared" si="2"/>
        <v>67456.679999999993</v>
      </c>
      <c r="K21" s="165">
        <v>0</v>
      </c>
      <c r="L21" s="165">
        <v>0</v>
      </c>
      <c r="M21" s="165">
        <v>0</v>
      </c>
      <c r="N21" s="86">
        <v>7908798</v>
      </c>
      <c r="O21" s="192">
        <f t="shared" si="3"/>
        <v>0</v>
      </c>
      <c r="P21" s="192">
        <f t="shared" si="4"/>
        <v>102962540.44000001</v>
      </c>
      <c r="Q21" s="168">
        <f>40956592+1037472</f>
        <v>41994064</v>
      </c>
      <c r="R21" s="168">
        <v>15283791</v>
      </c>
      <c r="S21" s="168">
        <v>37260334</v>
      </c>
      <c r="T21" s="168">
        <v>0</v>
      </c>
      <c r="U21" s="168">
        <v>7077901</v>
      </c>
      <c r="V21" s="168">
        <f t="shared" si="0"/>
        <v>101616090</v>
      </c>
    </row>
    <row r="22" spans="1:22" x14ac:dyDescent="0.2">
      <c r="A22" s="165" t="s">
        <v>260</v>
      </c>
      <c r="B22" s="165"/>
      <c r="C22" s="169">
        <v>7026.2340000000004</v>
      </c>
      <c r="D22" s="165">
        <v>0</v>
      </c>
      <c r="E22" s="165">
        <v>250.30600000000001</v>
      </c>
      <c r="F22" s="192">
        <f t="shared" si="1"/>
        <v>36906610.880000003</v>
      </c>
      <c r="G22" s="165">
        <v>14.74</v>
      </c>
      <c r="H22" s="165">
        <v>0</v>
      </c>
      <c r="I22" s="165">
        <v>3.06</v>
      </c>
      <c r="J22" s="192">
        <f t="shared" si="2"/>
        <v>54752.800000000003</v>
      </c>
      <c r="K22" s="165">
        <v>0</v>
      </c>
      <c r="L22" s="165">
        <v>0</v>
      </c>
      <c r="M22" s="165">
        <v>0</v>
      </c>
      <c r="N22" s="86">
        <v>3954398</v>
      </c>
      <c r="O22" s="192">
        <f t="shared" si="3"/>
        <v>0</v>
      </c>
      <c r="P22" s="192">
        <f t="shared" si="4"/>
        <v>40915761.68</v>
      </c>
      <c r="Q22" s="168">
        <f>9478689+403415</f>
        <v>9882104</v>
      </c>
      <c r="R22" s="168">
        <v>6215927</v>
      </c>
      <c r="S22" s="168">
        <v>22350706</v>
      </c>
      <c r="T22" s="168">
        <v>0</v>
      </c>
      <c r="U22" s="168">
        <v>1931636</v>
      </c>
      <c r="V22" s="168">
        <f t="shared" si="0"/>
        <v>40380373</v>
      </c>
    </row>
    <row r="23" spans="1:22" x14ac:dyDescent="0.2">
      <c r="A23" s="165" t="s">
        <v>261</v>
      </c>
      <c r="B23" s="165"/>
      <c r="C23" s="169">
        <v>6814.39</v>
      </c>
      <c r="D23" s="165">
        <v>-43.91</v>
      </c>
      <c r="E23" s="165">
        <v>0</v>
      </c>
      <c r="F23" s="192">
        <f t="shared" si="1"/>
        <v>34339874.560000002</v>
      </c>
      <c r="G23" s="165">
        <v>35.53</v>
      </c>
      <c r="H23" s="165">
        <v>-10.81</v>
      </c>
      <c r="I23" s="165">
        <v>0</v>
      </c>
      <c r="J23" s="192">
        <f t="shared" si="2"/>
        <v>76038.720000000001</v>
      </c>
      <c r="K23" s="165">
        <v>14.71</v>
      </c>
      <c r="L23" s="165">
        <v>1.99</v>
      </c>
      <c r="M23" s="165">
        <v>0</v>
      </c>
      <c r="N23" s="86">
        <v>3650214</v>
      </c>
      <c r="O23" s="192">
        <f t="shared" si="3"/>
        <v>84702.399999999994</v>
      </c>
      <c r="P23" s="192">
        <f t="shared" si="4"/>
        <v>38150829.68</v>
      </c>
      <c r="Q23" s="168">
        <f>23729199+376555</f>
        <v>24105754</v>
      </c>
      <c r="R23" s="168">
        <v>5943033</v>
      </c>
      <c r="S23" s="168">
        <v>6711966</v>
      </c>
      <c r="T23" s="168">
        <v>0</v>
      </c>
      <c r="U23" s="168">
        <v>1133042</v>
      </c>
      <c r="V23" s="168">
        <f t="shared" si="0"/>
        <v>37893795</v>
      </c>
    </row>
    <row r="24" spans="1:22" x14ac:dyDescent="0.2">
      <c r="A24" s="165" t="s">
        <v>262</v>
      </c>
      <c r="B24" s="165"/>
      <c r="C24" s="169">
        <v>19795.067999999999</v>
      </c>
      <c r="D24" s="165">
        <v>0</v>
      </c>
      <c r="E24" s="165">
        <v>936.99199999999996</v>
      </c>
      <c r="F24" s="192">
        <f t="shared" si="1"/>
        <v>105153008.31999999</v>
      </c>
      <c r="G24" s="165">
        <v>53.11</v>
      </c>
      <c r="H24" s="165">
        <v>0</v>
      </c>
      <c r="I24" s="165">
        <v>8.36</v>
      </c>
      <c r="J24" s="192">
        <f t="shared" si="2"/>
        <v>189081.72</v>
      </c>
      <c r="K24" s="165">
        <v>0</v>
      </c>
      <c r="L24" s="165">
        <v>0</v>
      </c>
      <c r="M24" s="165">
        <v>0</v>
      </c>
      <c r="N24" s="86">
        <v>15361322</v>
      </c>
      <c r="O24" s="192">
        <f t="shared" si="3"/>
        <v>0</v>
      </c>
      <c r="P24" s="192">
        <f t="shared" si="4"/>
        <v>120703412.03999999</v>
      </c>
      <c r="Q24" s="168">
        <f>38195965+1149754</f>
        <v>39345719</v>
      </c>
      <c r="R24" s="168">
        <v>18324713</v>
      </c>
      <c r="S24" s="168">
        <v>55677442</v>
      </c>
      <c r="T24" s="168">
        <v>0</v>
      </c>
      <c r="U24" s="168">
        <v>5925521</v>
      </c>
      <c r="V24" s="168">
        <f t="shared" si="0"/>
        <v>119273395</v>
      </c>
    </row>
    <row r="25" spans="1:22" x14ac:dyDescent="0.2">
      <c r="A25" s="165" t="s">
        <v>263</v>
      </c>
      <c r="B25" s="165"/>
      <c r="C25" s="169">
        <v>1677.82</v>
      </c>
      <c r="D25" s="165">
        <v>-57.6</v>
      </c>
      <c r="E25" s="165">
        <v>0</v>
      </c>
      <c r="F25" s="192">
        <f t="shared" si="1"/>
        <v>8217755.8399999999</v>
      </c>
      <c r="G25" s="165">
        <v>59.98</v>
      </c>
      <c r="H25" s="165">
        <v>-23.58</v>
      </c>
      <c r="I25" s="165">
        <v>0</v>
      </c>
      <c r="J25" s="192">
        <f t="shared" si="2"/>
        <v>111966.39999999999</v>
      </c>
      <c r="K25" s="165">
        <v>23.52</v>
      </c>
      <c r="L25" s="165">
        <v>-1.43</v>
      </c>
      <c r="M25" s="165">
        <v>0</v>
      </c>
      <c r="N25" s="86">
        <v>4811207</v>
      </c>
      <c r="O25" s="192">
        <f t="shared" si="3"/>
        <v>112040.48</v>
      </c>
      <c r="P25" s="192">
        <f t="shared" si="4"/>
        <v>13252969.720000001</v>
      </c>
      <c r="Q25" s="168">
        <f>6803170+92129</f>
        <v>6895299</v>
      </c>
      <c r="R25" s="168">
        <v>2083040</v>
      </c>
      <c r="S25" s="168">
        <v>3906348</v>
      </c>
      <c r="T25" s="168">
        <v>0</v>
      </c>
      <c r="U25" s="168">
        <v>770520</v>
      </c>
      <c r="V25" s="168">
        <f t="shared" si="0"/>
        <v>13655207</v>
      </c>
    </row>
    <row r="26" spans="1:22" x14ac:dyDescent="0.2">
      <c r="A26" s="165" t="s">
        <v>264</v>
      </c>
      <c r="B26" s="165"/>
      <c r="C26" s="169">
        <v>1713.77</v>
      </c>
      <c r="D26" s="165">
        <v>-410.99</v>
      </c>
      <c r="E26" s="165">
        <v>0</v>
      </c>
      <c r="F26" s="192">
        <f t="shared" si="1"/>
        <v>6607700.1600000001</v>
      </c>
      <c r="G26" s="165">
        <v>47.15</v>
      </c>
      <c r="H26" s="165">
        <v>15.99</v>
      </c>
      <c r="I26" s="165">
        <v>0</v>
      </c>
      <c r="J26" s="192">
        <f t="shared" si="2"/>
        <v>194218.64</v>
      </c>
      <c r="K26" s="165">
        <v>0</v>
      </c>
      <c r="L26" s="165">
        <v>0</v>
      </c>
      <c r="M26" s="165">
        <v>0</v>
      </c>
      <c r="N26" s="86">
        <v>4811207</v>
      </c>
      <c r="O26" s="192">
        <f t="shared" si="3"/>
        <v>0</v>
      </c>
      <c r="P26" s="192">
        <f t="shared" si="4"/>
        <v>11613125.800000001</v>
      </c>
      <c r="Q26" s="168">
        <f>9187323+74223</f>
        <v>9261546</v>
      </c>
      <c r="R26" s="168">
        <v>2096953</v>
      </c>
      <c r="S26" s="168">
        <v>1612245</v>
      </c>
      <c r="T26" s="168">
        <v>0</v>
      </c>
      <c r="U26" s="168">
        <v>482573</v>
      </c>
      <c r="V26" s="168">
        <f t="shared" si="0"/>
        <v>13453317</v>
      </c>
    </row>
    <row r="27" spans="1:22" x14ac:dyDescent="0.2">
      <c r="A27" s="165" t="s">
        <v>265</v>
      </c>
      <c r="B27" s="165"/>
      <c r="C27" s="169">
        <v>20347.349999999999</v>
      </c>
      <c r="D27" s="169">
        <v>-1724.73</v>
      </c>
      <c r="E27" s="165">
        <v>0</v>
      </c>
      <c r="F27" s="192">
        <f t="shared" si="1"/>
        <v>94453928.640000001</v>
      </c>
      <c r="G27" s="165">
        <v>155.37</v>
      </c>
      <c r="H27" s="165">
        <v>-90.65</v>
      </c>
      <c r="I27" s="165">
        <v>0</v>
      </c>
      <c r="J27" s="192">
        <f t="shared" si="2"/>
        <v>199078.72</v>
      </c>
      <c r="K27" s="165">
        <v>272.25</v>
      </c>
      <c r="L27" s="165">
        <v>117.74</v>
      </c>
      <c r="M27" s="165">
        <v>0</v>
      </c>
      <c r="N27" s="86">
        <v>7300431</v>
      </c>
      <c r="O27" s="192">
        <f t="shared" si="3"/>
        <v>1978029.28</v>
      </c>
      <c r="P27" s="192">
        <f t="shared" si="4"/>
        <v>103931467.64</v>
      </c>
      <c r="Q27" s="168">
        <f>60763264+1054675</f>
        <v>61817939</v>
      </c>
      <c r="R27" s="168">
        <v>17053556</v>
      </c>
      <c r="S27" s="168">
        <v>26613613</v>
      </c>
      <c r="T27" s="168">
        <v>0</v>
      </c>
      <c r="U27" s="168">
        <v>5403274</v>
      </c>
      <c r="V27" s="168">
        <f t="shared" si="0"/>
        <v>110888382</v>
      </c>
    </row>
    <row r="28" spans="1:22" x14ac:dyDescent="0.2">
      <c r="A28" s="165" t="s">
        <v>266</v>
      </c>
      <c r="B28" s="165"/>
      <c r="C28" s="169">
        <v>98943.994000000006</v>
      </c>
      <c r="D28" s="169">
        <v>0</v>
      </c>
      <c r="E28" s="169">
        <v>2408.3760000000002</v>
      </c>
      <c r="F28" s="192">
        <f t="shared" si="1"/>
        <v>514059220.64000005</v>
      </c>
      <c r="G28" s="169">
        <v>2149.63</v>
      </c>
      <c r="H28" s="169">
        <v>0</v>
      </c>
      <c r="I28" s="165">
        <v>-115.12</v>
      </c>
      <c r="J28" s="192">
        <f t="shared" si="2"/>
        <v>6258152.7600000007</v>
      </c>
      <c r="K28" s="169">
        <v>3175.83</v>
      </c>
      <c r="L28" s="169">
        <v>0</v>
      </c>
      <c r="M28" s="165">
        <v>926.74</v>
      </c>
      <c r="N28" s="86">
        <v>36502145</v>
      </c>
      <c r="O28" s="192">
        <f t="shared" si="3"/>
        <v>20808235.039999999</v>
      </c>
      <c r="P28" s="192">
        <f t="shared" si="4"/>
        <v>577627753.44000006</v>
      </c>
      <c r="Q28" s="168">
        <f>243734664+5905617</f>
        <v>249640281</v>
      </c>
      <c r="R28" s="168">
        <v>87703412</v>
      </c>
      <c r="S28" s="168">
        <v>205147495</v>
      </c>
      <c r="T28" s="168">
        <v>0</v>
      </c>
      <c r="U28" s="168">
        <v>27534643</v>
      </c>
      <c r="V28" s="168">
        <f t="shared" si="0"/>
        <v>570025831</v>
      </c>
    </row>
    <row r="29" spans="1:22" x14ac:dyDescent="0.2">
      <c r="A29" s="165" t="s">
        <v>267</v>
      </c>
      <c r="B29" s="165"/>
      <c r="C29" s="169">
        <v>51919.44</v>
      </c>
      <c r="D29" s="169">
        <v>-4391.95</v>
      </c>
      <c r="E29" s="165">
        <v>0</v>
      </c>
      <c r="F29" s="192">
        <f t="shared" si="1"/>
        <v>241059429.28000003</v>
      </c>
      <c r="G29" s="165">
        <v>251.12</v>
      </c>
      <c r="H29" s="165">
        <v>0.63</v>
      </c>
      <c r="I29" s="165">
        <v>0</v>
      </c>
      <c r="J29" s="192">
        <f t="shared" si="2"/>
        <v>774383</v>
      </c>
      <c r="K29" s="165">
        <v>0</v>
      </c>
      <c r="L29" s="165">
        <v>0</v>
      </c>
      <c r="M29" s="165">
        <v>0</v>
      </c>
      <c r="N29" s="86">
        <v>24334769</v>
      </c>
      <c r="O29" s="192">
        <f t="shared" si="3"/>
        <v>0</v>
      </c>
      <c r="P29" s="192">
        <f t="shared" si="4"/>
        <v>266168581.28000003</v>
      </c>
      <c r="Q29" s="168">
        <f>154332803+2639460</f>
        <v>156972263</v>
      </c>
      <c r="R29" s="168">
        <v>43220950</v>
      </c>
      <c r="S29" s="168">
        <v>67150832</v>
      </c>
      <c r="T29" s="168">
        <v>0</v>
      </c>
      <c r="U29" s="168">
        <v>16120729</v>
      </c>
      <c r="V29" s="168">
        <f t="shared" si="0"/>
        <v>283464774</v>
      </c>
    </row>
    <row r="30" spans="1:22" x14ac:dyDescent="0.2">
      <c r="A30" s="165" t="s">
        <v>268</v>
      </c>
      <c r="B30" s="165"/>
      <c r="C30" s="169">
        <v>3583.24</v>
      </c>
      <c r="D30" s="169">
        <v>-50.85</v>
      </c>
      <c r="E30" s="165">
        <v>0</v>
      </c>
      <c r="F30" s="192">
        <f t="shared" si="1"/>
        <v>17916282.079999998</v>
      </c>
      <c r="G30" s="165">
        <v>225.22</v>
      </c>
      <c r="H30" s="165">
        <v>15.5</v>
      </c>
      <c r="I30" s="165">
        <v>0</v>
      </c>
      <c r="J30" s="192">
        <f t="shared" si="2"/>
        <v>740454.72</v>
      </c>
      <c r="K30" s="165">
        <v>0</v>
      </c>
      <c r="L30" s="165">
        <v>0</v>
      </c>
      <c r="M30" s="165">
        <v>0</v>
      </c>
      <c r="N30" s="86">
        <v>3650214</v>
      </c>
      <c r="O30" s="192">
        <f t="shared" si="3"/>
        <v>0</v>
      </c>
      <c r="P30" s="192">
        <f t="shared" si="4"/>
        <v>22306950.799999997</v>
      </c>
      <c r="Q30" s="168">
        <v>203563</v>
      </c>
      <c r="R30" s="168">
        <v>377311</v>
      </c>
      <c r="S30" s="168">
        <v>48865188</v>
      </c>
      <c r="T30" s="168">
        <v>-26602831</v>
      </c>
      <c r="U30" s="168">
        <v>1961124</v>
      </c>
      <c r="V30" s="168">
        <f t="shared" si="0"/>
        <v>24804355</v>
      </c>
    </row>
    <row r="31" spans="1:22" x14ac:dyDescent="0.2">
      <c r="A31" s="165" t="s">
        <v>269</v>
      </c>
      <c r="B31" s="165"/>
      <c r="C31" s="169">
        <v>2952.1</v>
      </c>
      <c r="D31" s="165">
        <v>-453.34</v>
      </c>
      <c r="E31" s="165">
        <v>0</v>
      </c>
      <c r="F31" s="192">
        <f t="shared" si="1"/>
        <v>12673710.719999999</v>
      </c>
      <c r="G31" s="165">
        <v>43.08</v>
      </c>
      <c r="H31" s="165">
        <v>-4.55</v>
      </c>
      <c r="I31" s="165">
        <v>0</v>
      </c>
      <c r="J31" s="192">
        <f t="shared" si="2"/>
        <v>118518.28</v>
      </c>
      <c r="K31" s="165">
        <v>50.7</v>
      </c>
      <c r="L31" s="165">
        <v>-7.6</v>
      </c>
      <c r="M31" s="165">
        <v>0</v>
      </c>
      <c r="N31" s="86">
        <v>5419575</v>
      </c>
      <c r="O31" s="192">
        <f t="shared" si="3"/>
        <v>218603.2</v>
      </c>
      <c r="P31" s="192">
        <f t="shared" si="4"/>
        <v>18430407.199999999</v>
      </c>
      <c r="Q31" s="168">
        <f>9869784+141998</f>
        <v>10011782</v>
      </c>
      <c r="R31" s="168">
        <v>3205692</v>
      </c>
      <c r="S31" s="168">
        <v>6611395</v>
      </c>
      <c r="T31" s="168">
        <v>0</v>
      </c>
      <c r="U31" s="168">
        <v>680201</v>
      </c>
      <c r="V31" s="168">
        <f t="shared" si="0"/>
        <v>20509070</v>
      </c>
    </row>
    <row r="32" spans="1:22" x14ac:dyDescent="0.2">
      <c r="A32" s="165" t="s">
        <v>270</v>
      </c>
      <c r="B32" s="165"/>
      <c r="C32" s="169">
        <v>8835.5300000000007</v>
      </c>
      <c r="D32" s="165">
        <v>-640.79</v>
      </c>
      <c r="E32" s="165">
        <v>0</v>
      </c>
      <c r="F32" s="192">
        <f t="shared" si="1"/>
        <v>41563721.280000009</v>
      </c>
      <c r="G32" s="165">
        <v>298.83999999999997</v>
      </c>
      <c r="H32" s="165">
        <v>19.3</v>
      </c>
      <c r="I32" s="165">
        <v>0</v>
      </c>
      <c r="J32" s="192">
        <f t="shared" si="2"/>
        <v>978598.64</v>
      </c>
      <c r="K32" s="165">
        <v>619.61</v>
      </c>
      <c r="L32" s="165">
        <v>13.91</v>
      </c>
      <c r="M32" s="165">
        <v>0</v>
      </c>
      <c r="N32" s="86">
        <v>6083692</v>
      </c>
      <c r="O32" s="192">
        <f t="shared" si="3"/>
        <v>3213213.44</v>
      </c>
      <c r="P32" s="192">
        <f t="shared" si="4"/>
        <v>51839225.360000007</v>
      </c>
      <c r="Q32" s="168">
        <f>32270926+499315</f>
        <v>32770241</v>
      </c>
      <c r="R32" s="168">
        <v>8432205</v>
      </c>
      <c r="S32" s="168">
        <v>10955123</v>
      </c>
      <c r="T32" s="168">
        <v>0</v>
      </c>
      <c r="U32" s="168">
        <v>2075504</v>
      </c>
      <c r="V32" s="168">
        <f t="shared" si="0"/>
        <v>54233073</v>
      </c>
    </row>
    <row r="33" spans="1:22" x14ac:dyDescent="0.2">
      <c r="A33" s="165" t="s">
        <v>271</v>
      </c>
      <c r="B33" s="165"/>
      <c r="C33" s="169">
        <v>9909.7199999999993</v>
      </c>
      <c r="D33" s="169">
        <v>0</v>
      </c>
      <c r="E33" s="165">
        <v>774.84</v>
      </c>
      <c r="F33" s="192">
        <f t="shared" si="1"/>
        <v>54192088.32</v>
      </c>
      <c r="G33" s="165">
        <v>736.46</v>
      </c>
      <c r="H33" s="165">
        <v>0</v>
      </c>
      <c r="I33" s="165">
        <v>-72.72</v>
      </c>
      <c r="J33" s="192">
        <f t="shared" si="2"/>
        <v>2041664.24</v>
      </c>
      <c r="K33" s="165">
        <v>0</v>
      </c>
      <c r="L33" s="165">
        <v>0</v>
      </c>
      <c r="M33" s="165">
        <v>0</v>
      </c>
      <c r="N33" s="86">
        <v>6083692</v>
      </c>
      <c r="O33" s="192">
        <f t="shared" si="3"/>
        <v>0</v>
      </c>
      <c r="P33" s="192">
        <f t="shared" si="4"/>
        <v>62317444.560000002</v>
      </c>
      <c r="Q33" s="168">
        <v>613583</v>
      </c>
      <c r="R33" s="168">
        <v>1134830</v>
      </c>
      <c r="S33" s="168">
        <v>89077162</v>
      </c>
      <c r="T33" s="168">
        <v>-35236501</v>
      </c>
      <c r="U33" s="168">
        <v>5989474</v>
      </c>
      <c r="V33" s="168">
        <f t="shared" si="0"/>
        <v>61578548</v>
      </c>
    </row>
    <row r="34" spans="1:22" x14ac:dyDescent="0.2">
      <c r="A34" s="165" t="s">
        <v>272</v>
      </c>
      <c r="B34" s="165"/>
      <c r="C34" s="169">
        <v>5983.87</v>
      </c>
      <c r="D34" s="165">
        <v>-193.99</v>
      </c>
      <c r="E34" s="165">
        <v>0</v>
      </c>
      <c r="F34" s="192">
        <f t="shared" si="1"/>
        <v>29366271.359999999</v>
      </c>
      <c r="G34" s="165">
        <v>396.78</v>
      </c>
      <c r="H34" s="165">
        <v>-40.880000000000003</v>
      </c>
      <c r="I34" s="165">
        <v>0</v>
      </c>
      <c r="J34" s="192">
        <f t="shared" si="2"/>
        <v>1094748.3999999999</v>
      </c>
      <c r="K34" s="165">
        <v>128.13999999999999</v>
      </c>
      <c r="L34" s="165">
        <v>-12.16</v>
      </c>
      <c r="M34" s="165">
        <v>0</v>
      </c>
      <c r="N34" s="86">
        <v>3954398</v>
      </c>
      <c r="O34" s="192">
        <f t="shared" si="3"/>
        <v>588250.55999999994</v>
      </c>
      <c r="P34" s="192">
        <f t="shared" si="4"/>
        <v>35003668.32</v>
      </c>
      <c r="Q34" s="168">
        <f>8116262+338791</f>
        <v>8455053</v>
      </c>
      <c r="R34" s="168">
        <v>5291392</v>
      </c>
      <c r="S34" s="168">
        <v>18983563</v>
      </c>
      <c r="T34" s="168">
        <v>0</v>
      </c>
      <c r="U34" s="168">
        <v>2961788</v>
      </c>
      <c r="V34" s="168">
        <f t="shared" si="0"/>
        <v>35691796</v>
      </c>
    </row>
    <row r="35" spans="1:22" x14ac:dyDescent="0.2">
      <c r="A35" s="165" t="s">
        <v>273</v>
      </c>
      <c r="B35" s="165"/>
      <c r="C35" s="169">
        <v>24281.38</v>
      </c>
      <c r="D35" s="169">
        <v>0</v>
      </c>
      <c r="E35" s="165">
        <v>814.96</v>
      </c>
      <c r="F35" s="192">
        <f t="shared" si="1"/>
        <v>127288636.48</v>
      </c>
      <c r="G35" s="169">
        <v>1802.04</v>
      </c>
      <c r="H35" s="169">
        <v>0</v>
      </c>
      <c r="I35" s="165">
        <v>-157.41999999999999</v>
      </c>
      <c r="J35" s="192">
        <f t="shared" si="2"/>
        <v>5058851.12</v>
      </c>
      <c r="K35" s="169">
        <v>4185.75</v>
      </c>
      <c r="L35" s="169">
        <v>0</v>
      </c>
      <c r="M35" s="165">
        <v>457.81</v>
      </c>
      <c r="N35" s="86">
        <v>6083692</v>
      </c>
      <c r="O35" s="192">
        <f t="shared" si="3"/>
        <v>23552136.32</v>
      </c>
      <c r="P35" s="192">
        <f t="shared" si="4"/>
        <v>161983315.92000002</v>
      </c>
      <c r="Q35" s="168">
        <f>87055334+1701122</f>
        <v>88756456</v>
      </c>
      <c r="R35" s="168">
        <v>24511366</v>
      </c>
      <c r="S35" s="168">
        <v>38347717</v>
      </c>
      <c r="T35" s="168">
        <v>0</v>
      </c>
      <c r="U35" s="168">
        <v>8208849</v>
      </c>
      <c r="V35" s="168">
        <f t="shared" si="0"/>
        <v>159824388</v>
      </c>
    </row>
    <row r="36" spans="1:22" x14ac:dyDescent="0.2">
      <c r="A36" s="165" t="s">
        <v>274</v>
      </c>
      <c r="B36" s="165"/>
      <c r="C36" s="169">
        <v>9990.73</v>
      </c>
      <c r="D36" s="169">
        <v>0</v>
      </c>
      <c r="E36" s="169">
        <v>1259.06</v>
      </c>
      <c r="F36" s="192">
        <f t="shared" si="1"/>
        <v>57058934.879999995</v>
      </c>
      <c r="G36" s="169">
        <v>509.32</v>
      </c>
      <c r="H36" s="169">
        <v>0</v>
      </c>
      <c r="I36" s="165">
        <v>-185.44</v>
      </c>
      <c r="J36" s="192">
        <f t="shared" si="2"/>
        <v>996254.88</v>
      </c>
      <c r="K36" s="169">
        <v>141.97</v>
      </c>
      <c r="L36" s="169">
        <v>0</v>
      </c>
      <c r="M36" s="165">
        <v>174.01</v>
      </c>
      <c r="N36" s="86">
        <v>6083692</v>
      </c>
      <c r="O36" s="192">
        <f t="shared" si="3"/>
        <v>1602650.56</v>
      </c>
      <c r="P36" s="192">
        <f t="shared" si="4"/>
        <v>65741532.32</v>
      </c>
      <c r="Q36" s="168">
        <f>24407554+651052</f>
        <v>25058606</v>
      </c>
      <c r="R36" s="168">
        <v>9962553</v>
      </c>
      <c r="S36" s="168">
        <v>26602414</v>
      </c>
      <c r="T36" s="168">
        <v>0</v>
      </c>
      <c r="U36" s="168">
        <v>3250154</v>
      </c>
      <c r="V36" s="168">
        <f t="shared" si="0"/>
        <v>64873727</v>
      </c>
    </row>
    <row r="37" spans="1:22" x14ac:dyDescent="0.2">
      <c r="A37" s="165" t="s">
        <v>275</v>
      </c>
      <c r="B37" s="165"/>
      <c r="C37" s="169">
        <v>5157.9799999999996</v>
      </c>
      <c r="D37" s="165">
        <v>-121.24</v>
      </c>
      <c r="E37" s="165">
        <v>0</v>
      </c>
      <c r="F37" s="192">
        <f t="shared" si="1"/>
        <v>25546345.279999997</v>
      </c>
      <c r="G37" s="165">
        <v>474.64</v>
      </c>
      <c r="H37" s="165">
        <v>64.97</v>
      </c>
      <c r="I37" s="165">
        <v>0</v>
      </c>
      <c r="J37" s="192">
        <f t="shared" si="2"/>
        <v>1659840.36</v>
      </c>
      <c r="K37" s="165">
        <v>18.940000000000001</v>
      </c>
      <c r="L37" s="165">
        <v>-5.05</v>
      </c>
      <c r="M37" s="165">
        <v>0</v>
      </c>
      <c r="N37" s="86">
        <v>4258583</v>
      </c>
      <c r="O37" s="192">
        <f t="shared" si="3"/>
        <v>70450.080000000002</v>
      </c>
      <c r="P37" s="192">
        <f t="shared" si="4"/>
        <v>31535218.719999995</v>
      </c>
      <c r="Q37" s="168">
        <v>297561</v>
      </c>
      <c r="R37" s="168">
        <v>2988172</v>
      </c>
      <c r="S37" s="168">
        <v>26211325</v>
      </c>
      <c r="T37" s="168">
        <v>0</v>
      </c>
      <c r="U37" s="168">
        <v>2048454</v>
      </c>
      <c r="V37" s="168">
        <f t="shared" si="0"/>
        <v>31545512</v>
      </c>
    </row>
    <row r="38" spans="1:22" x14ac:dyDescent="0.2">
      <c r="A38" s="165" t="s">
        <v>276</v>
      </c>
      <c r="B38" s="165"/>
      <c r="C38" s="169">
        <v>28686.710999999999</v>
      </c>
      <c r="D38" s="169">
        <v>0</v>
      </c>
      <c r="E38" s="169">
        <v>1645.4290000000001</v>
      </c>
      <c r="F38" s="192">
        <f t="shared" si="1"/>
        <v>153844614.07999998</v>
      </c>
      <c r="G38" s="169">
        <v>2748.64</v>
      </c>
      <c r="H38" s="169">
        <v>0</v>
      </c>
      <c r="I38" s="165">
        <v>-23.85</v>
      </c>
      <c r="J38" s="192">
        <f t="shared" si="2"/>
        <v>8381454.04</v>
      </c>
      <c r="K38" s="169">
        <v>3223.45</v>
      </c>
      <c r="L38" s="169">
        <v>0</v>
      </c>
      <c r="M38" s="165">
        <v>-445.64</v>
      </c>
      <c r="N38" s="86">
        <v>9733907</v>
      </c>
      <c r="O38" s="192">
        <f t="shared" si="3"/>
        <v>14089052.32</v>
      </c>
      <c r="P38" s="192">
        <f t="shared" si="4"/>
        <v>186049027.43999997</v>
      </c>
      <c r="Q38" s="168">
        <f>54889357+1923643</f>
        <v>56813000</v>
      </c>
      <c r="R38" s="168">
        <v>27582132</v>
      </c>
      <c r="S38" s="168">
        <v>86214688</v>
      </c>
      <c r="T38" s="168">
        <v>0</v>
      </c>
      <c r="U38" s="168">
        <v>12146923</v>
      </c>
      <c r="V38" s="168">
        <f t="shared" si="0"/>
        <v>182756743</v>
      </c>
    </row>
    <row r="39" spans="1:22" x14ac:dyDescent="0.2">
      <c r="A39" s="165" t="s">
        <v>277</v>
      </c>
      <c r="B39" s="165"/>
      <c r="C39" s="169">
        <v>8132.76</v>
      </c>
      <c r="D39" s="169">
        <v>-1067.48</v>
      </c>
      <c r="E39" s="165">
        <v>0</v>
      </c>
      <c r="F39" s="192">
        <f t="shared" si="1"/>
        <v>35835100.160000004</v>
      </c>
      <c r="G39" s="165">
        <v>0</v>
      </c>
      <c r="H39" s="165">
        <v>0</v>
      </c>
      <c r="I39" s="165">
        <v>0</v>
      </c>
      <c r="J39" s="192">
        <f t="shared" si="2"/>
        <v>0</v>
      </c>
      <c r="K39" s="165">
        <v>0</v>
      </c>
      <c r="L39" s="165">
        <v>0</v>
      </c>
      <c r="M39" s="165">
        <v>0</v>
      </c>
      <c r="N39" s="86">
        <v>4866953</v>
      </c>
      <c r="O39" s="192">
        <f t="shared" si="3"/>
        <v>0</v>
      </c>
      <c r="P39" s="192">
        <f t="shared" si="4"/>
        <v>40702053.160000004</v>
      </c>
      <c r="Q39" s="168">
        <f>12468489+391128</f>
        <v>12859617</v>
      </c>
      <c r="R39" s="168">
        <v>6655669</v>
      </c>
      <c r="S39" s="168">
        <v>21653487</v>
      </c>
      <c r="T39" s="168">
        <v>0</v>
      </c>
      <c r="U39" s="168">
        <v>4344565</v>
      </c>
      <c r="V39" s="168">
        <f t="shared" si="0"/>
        <v>45513338</v>
      </c>
    </row>
    <row r="40" spans="1:22" x14ac:dyDescent="0.2">
      <c r="A40" s="165" t="s">
        <v>278</v>
      </c>
      <c r="B40" s="165"/>
      <c r="C40" s="169">
        <v>1741.8589999999999</v>
      </c>
      <c r="D40" s="169">
        <v>0</v>
      </c>
      <c r="E40" s="165">
        <v>203.95099999999999</v>
      </c>
      <c r="F40" s="192">
        <f t="shared" si="1"/>
        <v>9869148.3200000003</v>
      </c>
      <c r="G40" s="165">
        <v>39.72</v>
      </c>
      <c r="H40" s="169">
        <v>0</v>
      </c>
      <c r="I40" s="165">
        <v>68.349999999999994</v>
      </c>
      <c r="J40" s="192">
        <f t="shared" si="2"/>
        <v>332423.32</v>
      </c>
      <c r="K40" s="169">
        <v>0</v>
      </c>
      <c r="L40" s="169">
        <v>0</v>
      </c>
      <c r="M40" s="169">
        <v>0</v>
      </c>
      <c r="N40" s="86">
        <v>4963300</v>
      </c>
      <c r="O40" s="192">
        <f t="shared" si="3"/>
        <v>0</v>
      </c>
      <c r="P40" s="192">
        <f t="shared" si="4"/>
        <v>15164871.640000001</v>
      </c>
      <c r="Q40" s="168">
        <f>10490407+111316</f>
        <v>10601723</v>
      </c>
      <c r="R40" s="168">
        <v>2313395</v>
      </c>
      <c r="S40" s="168">
        <v>1394430</v>
      </c>
      <c r="T40" s="168">
        <v>0</v>
      </c>
      <c r="U40" s="168">
        <v>653862</v>
      </c>
      <c r="V40" s="168">
        <f t="shared" si="0"/>
        <v>14963410</v>
      </c>
    </row>
    <row r="41" spans="1:22" x14ac:dyDescent="0.2">
      <c r="A41" s="165" t="s">
        <v>279</v>
      </c>
      <c r="B41" s="165"/>
      <c r="C41" s="169">
        <v>18855.39</v>
      </c>
      <c r="D41" s="169">
        <v>-3053.5</v>
      </c>
      <c r="E41" s="165">
        <v>0</v>
      </c>
      <c r="F41" s="192">
        <f t="shared" si="1"/>
        <v>80147186.079999998</v>
      </c>
      <c r="G41" s="165">
        <v>278.77999999999997</v>
      </c>
      <c r="H41" s="165">
        <v>1.42</v>
      </c>
      <c r="I41" s="165">
        <v>0</v>
      </c>
      <c r="J41" s="192">
        <f t="shared" si="2"/>
        <v>861895.2</v>
      </c>
      <c r="K41" s="165">
        <v>495.39</v>
      </c>
      <c r="L41" s="165">
        <v>25.32</v>
      </c>
      <c r="M41" s="165">
        <v>0</v>
      </c>
      <c r="N41" s="86">
        <v>7300431</v>
      </c>
      <c r="O41" s="192">
        <f t="shared" si="3"/>
        <v>2641041.12</v>
      </c>
      <c r="P41" s="192">
        <f t="shared" si="4"/>
        <v>90950553.400000006</v>
      </c>
      <c r="Q41" s="168">
        <f>12737560+912932</f>
        <v>13650492</v>
      </c>
      <c r="R41" s="168">
        <v>15547820</v>
      </c>
      <c r="S41" s="168">
        <v>66973040</v>
      </c>
      <c r="T41" s="168">
        <v>0</v>
      </c>
      <c r="U41" s="168">
        <v>8737113</v>
      </c>
      <c r="V41" s="168">
        <f t="shared" si="0"/>
        <v>104908465</v>
      </c>
    </row>
    <row r="42" spans="1:22" x14ac:dyDescent="0.2">
      <c r="A42" s="165" t="s">
        <v>280</v>
      </c>
      <c r="B42" s="165"/>
      <c r="C42" s="169">
        <v>21094.763999999999</v>
      </c>
      <c r="D42" s="169">
        <v>0</v>
      </c>
      <c r="E42" s="169">
        <v>1187.9459999999999</v>
      </c>
      <c r="F42" s="192">
        <f t="shared" si="1"/>
        <v>113017905.11999999</v>
      </c>
      <c r="G42" s="165">
        <v>479.27</v>
      </c>
      <c r="H42" s="165">
        <v>0</v>
      </c>
      <c r="I42" s="165">
        <v>-295.93</v>
      </c>
      <c r="J42" s="192">
        <f t="shared" si="2"/>
        <v>563953.84</v>
      </c>
      <c r="K42" s="165">
        <v>886.65</v>
      </c>
      <c r="L42" s="165">
        <v>0</v>
      </c>
      <c r="M42" s="165">
        <v>149.53</v>
      </c>
      <c r="N42" s="86">
        <v>7300431</v>
      </c>
      <c r="O42" s="192">
        <f t="shared" si="3"/>
        <v>5255504.96</v>
      </c>
      <c r="P42" s="192">
        <f t="shared" si="4"/>
        <v>126137794.91999999</v>
      </c>
      <c r="Q42" s="168">
        <f>67671538+1297016</f>
        <v>68968554</v>
      </c>
      <c r="R42" s="168">
        <v>18672382</v>
      </c>
      <c r="S42" s="168">
        <v>27857451</v>
      </c>
      <c r="T42" s="168">
        <v>0</v>
      </c>
      <c r="U42" s="168">
        <v>8986149</v>
      </c>
      <c r="V42" s="168">
        <f t="shared" si="0"/>
        <v>124484536</v>
      </c>
    </row>
    <row r="43" spans="1:22" x14ac:dyDescent="0.2">
      <c r="A43" s="165" t="s">
        <v>281</v>
      </c>
      <c r="B43" s="165"/>
      <c r="C43" s="169">
        <v>19472.785</v>
      </c>
      <c r="D43" s="165">
        <v>-63.445</v>
      </c>
      <c r="E43" s="165">
        <v>0</v>
      </c>
      <c r="F43" s="192">
        <f t="shared" si="1"/>
        <v>98444172.480000004</v>
      </c>
      <c r="G43" s="165">
        <v>29.63</v>
      </c>
      <c r="H43" s="165">
        <v>89.5</v>
      </c>
      <c r="I43" s="165">
        <v>0</v>
      </c>
      <c r="J43" s="192">
        <f t="shared" si="2"/>
        <v>366443.88</v>
      </c>
      <c r="K43" s="165">
        <v>0</v>
      </c>
      <c r="L43" s="165">
        <v>0</v>
      </c>
      <c r="M43" s="165">
        <v>0</v>
      </c>
      <c r="N43" s="86">
        <v>14600856</v>
      </c>
      <c r="O43" s="192">
        <f t="shared" si="3"/>
        <v>0</v>
      </c>
      <c r="P43" s="192">
        <f t="shared" si="4"/>
        <v>113411472.36</v>
      </c>
      <c r="Q43" s="168">
        <f>51256080+1078449</f>
        <v>52334529</v>
      </c>
      <c r="R43" s="168">
        <v>17108887</v>
      </c>
      <c r="S43" s="168">
        <v>36383942</v>
      </c>
      <c r="T43" s="168">
        <v>0</v>
      </c>
      <c r="U43" s="168">
        <v>6146059</v>
      </c>
      <c r="V43" s="168">
        <f t="shared" si="0"/>
        <v>111973417</v>
      </c>
    </row>
    <row r="44" spans="1:22" x14ac:dyDescent="0.2">
      <c r="A44" s="165" t="s">
        <v>282</v>
      </c>
      <c r="B44" s="165"/>
      <c r="C44" s="169">
        <v>22365.78</v>
      </c>
      <c r="D44" s="169">
        <v>0</v>
      </c>
      <c r="E44" s="165">
        <v>-91.69</v>
      </c>
      <c r="F44" s="192">
        <f t="shared" si="1"/>
        <v>112974184.48</v>
      </c>
      <c r="G44" s="165">
        <v>749.07</v>
      </c>
      <c r="H44" s="169">
        <v>0</v>
      </c>
      <c r="I44" s="165">
        <v>-46.93</v>
      </c>
      <c r="J44" s="192">
        <f t="shared" si="2"/>
        <v>2159782.64</v>
      </c>
      <c r="K44" s="169">
        <v>5793.23</v>
      </c>
      <c r="L44" s="169">
        <v>0</v>
      </c>
      <c r="M44" s="165">
        <v>132.18</v>
      </c>
      <c r="N44" s="86">
        <v>10950645</v>
      </c>
      <c r="O44" s="192">
        <f t="shared" si="3"/>
        <v>30053679.52</v>
      </c>
      <c r="P44" s="192">
        <f t="shared" si="4"/>
        <v>156138291.64000002</v>
      </c>
      <c r="Q44" s="168">
        <f>56906229+1584472</f>
        <v>58490701</v>
      </c>
      <c r="R44" s="168">
        <v>23516545</v>
      </c>
      <c r="S44" s="168">
        <v>63454808</v>
      </c>
      <c r="T44" s="168">
        <v>0</v>
      </c>
      <c r="U44" s="168">
        <v>8617318</v>
      </c>
      <c r="V44" s="168">
        <f t="shared" si="0"/>
        <v>154079372</v>
      </c>
    </row>
    <row r="45" spans="1:22" x14ac:dyDescent="0.2">
      <c r="A45" s="165" t="s">
        <v>283</v>
      </c>
      <c r="B45" s="165"/>
      <c r="C45" s="169">
        <v>3889.96</v>
      </c>
      <c r="D45" s="165">
        <v>-381.61</v>
      </c>
      <c r="E45" s="165">
        <v>0</v>
      </c>
      <c r="F45" s="192">
        <f t="shared" si="1"/>
        <v>17794351.199999999</v>
      </c>
      <c r="G45" s="165">
        <v>70.069999999999993</v>
      </c>
      <c r="H45" s="165">
        <v>-15.75</v>
      </c>
      <c r="I45" s="165">
        <v>0</v>
      </c>
      <c r="J45" s="192">
        <f t="shared" si="2"/>
        <v>167088.31999999998</v>
      </c>
      <c r="K45" s="165">
        <v>0</v>
      </c>
      <c r="L45" s="165">
        <v>31.68</v>
      </c>
      <c r="M45" s="165">
        <v>0</v>
      </c>
      <c r="N45" s="86">
        <v>5723760</v>
      </c>
      <c r="O45" s="192">
        <f t="shared" si="3"/>
        <v>160680.95999999999</v>
      </c>
      <c r="P45" s="192">
        <f t="shared" si="4"/>
        <v>23845880.48</v>
      </c>
      <c r="Q45" s="168">
        <f>9478447+197781</f>
        <v>9676228</v>
      </c>
      <c r="R45" s="168">
        <v>3899164</v>
      </c>
      <c r="S45" s="168">
        <v>10542964</v>
      </c>
      <c r="T45" s="168">
        <v>0</v>
      </c>
      <c r="U45" s="168">
        <v>1213032</v>
      </c>
      <c r="V45" s="168">
        <f t="shared" si="0"/>
        <v>25331388</v>
      </c>
    </row>
    <row r="46" spans="1:22" x14ac:dyDescent="0.2">
      <c r="A46" s="165" t="s">
        <v>284</v>
      </c>
      <c r="B46" s="165"/>
      <c r="C46" s="169">
        <v>12391.4</v>
      </c>
      <c r="D46" s="165">
        <v>0</v>
      </c>
      <c r="E46" s="165">
        <v>111.9</v>
      </c>
      <c r="F46" s="192">
        <f t="shared" si="1"/>
        <v>63416737.599999994</v>
      </c>
      <c r="G46" s="165">
        <v>238.05</v>
      </c>
      <c r="H46" s="165">
        <v>0</v>
      </c>
      <c r="I46" s="165">
        <v>127.16</v>
      </c>
      <c r="J46" s="192">
        <f t="shared" si="2"/>
        <v>1123385.9600000002</v>
      </c>
      <c r="K46" s="165">
        <v>46.99</v>
      </c>
      <c r="L46" s="165">
        <v>0</v>
      </c>
      <c r="M46" s="165">
        <v>-9.61</v>
      </c>
      <c r="N46" s="86">
        <v>4866953</v>
      </c>
      <c r="O46" s="192">
        <f t="shared" si="3"/>
        <v>189591.36000000002</v>
      </c>
      <c r="P46" s="192">
        <f t="shared" si="4"/>
        <v>69596667.920000002</v>
      </c>
      <c r="Q46" s="168">
        <f>48068489+706398</f>
        <v>48774887</v>
      </c>
      <c r="R46" s="168">
        <v>10622506</v>
      </c>
      <c r="S46" s="168">
        <v>6308322</v>
      </c>
      <c r="T46" s="168">
        <v>0</v>
      </c>
      <c r="U46" s="168">
        <v>2971875</v>
      </c>
      <c r="V46" s="168">
        <f t="shared" si="0"/>
        <v>68677590</v>
      </c>
    </row>
    <row r="47" spans="1:22" x14ac:dyDescent="0.2">
      <c r="A47" s="165" t="s">
        <v>285</v>
      </c>
      <c r="B47" s="165"/>
      <c r="C47" s="169">
        <v>26882.826000000001</v>
      </c>
      <c r="D47" s="165">
        <v>0</v>
      </c>
      <c r="E47" s="169">
        <v>1716.8140000000001</v>
      </c>
      <c r="F47" s="192">
        <f t="shared" si="1"/>
        <v>145057374.07999998</v>
      </c>
      <c r="G47" s="165">
        <v>156.86000000000001</v>
      </c>
      <c r="H47" s="165">
        <v>0</v>
      </c>
      <c r="I47" s="165">
        <v>-74.06</v>
      </c>
      <c r="J47" s="192">
        <f t="shared" si="2"/>
        <v>254692.80000000005</v>
      </c>
      <c r="K47" s="165">
        <v>0</v>
      </c>
      <c r="L47" s="165">
        <v>0</v>
      </c>
      <c r="M47" s="165">
        <v>0</v>
      </c>
      <c r="N47" s="86">
        <v>11559012</v>
      </c>
      <c r="O47" s="192">
        <f t="shared" si="3"/>
        <v>0</v>
      </c>
      <c r="P47" s="192">
        <f t="shared" si="4"/>
        <v>156871078.88</v>
      </c>
      <c r="Q47" s="168">
        <f>82402145+1586007</f>
        <v>83988152</v>
      </c>
      <c r="R47" s="168">
        <v>23666517</v>
      </c>
      <c r="S47" s="168">
        <v>38735039</v>
      </c>
      <c r="T47" s="168">
        <v>0</v>
      </c>
      <c r="U47" s="168">
        <v>8428741</v>
      </c>
      <c r="V47" s="168">
        <f t="shared" si="0"/>
        <v>154818449</v>
      </c>
    </row>
    <row r="48" spans="1:22" x14ac:dyDescent="0.2">
      <c r="A48" s="165" t="s">
        <v>286</v>
      </c>
      <c r="B48" s="165"/>
      <c r="C48" s="169">
        <v>14188.538</v>
      </c>
      <c r="D48" s="165">
        <v>0</v>
      </c>
      <c r="E48" s="169">
        <v>1087.1220000000001</v>
      </c>
      <c r="F48" s="192">
        <f t="shared" si="1"/>
        <v>77478147.519999996</v>
      </c>
      <c r="G48" s="165">
        <v>56.59</v>
      </c>
      <c r="H48" s="165">
        <v>0</v>
      </c>
      <c r="I48" s="165">
        <v>10.49</v>
      </c>
      <c r="J48" s="192">
        <f t="shared" si="2"/>
        <v>206338.08</v>
      </c>
      <c r="K48" s="165">
        <v>0</v>
      </c>
      <c r="L48" s="165">
        <v>0</v>
      </c>
      <c r="M48" s="165">
        <v>0</v>
      </c>
      <c r="N48" s="86">
        <v>7908798</v>
      </c>
      <c r="O48" s="192">
        <f t="shared" si="3"/>
        <v>0</v>
      </c>
      <c r="P48" s="192">
        <f t="shared" si="4"/>
        <v>85593283.599999994</v>
      </c>
      <c r="Q48" s="168">
        <f>44493719+847880</f>
        <v>45341599</v>
      </c>
      <c r="R48" s="168">
        <v>12968900</v>
      </c>
      <c r="S48" s="168">
        <v>21908892</v>
      </c>
      <c r="T48" s="168">
        <v>0</v>
      </c>
      <c r="U48" s="168">
        <v>4253164</v>
      </c>
      <c r="V48" s="168">
        <f t="shared" si="0"/>
        <v>84472555</v>
      </c>
    </row>
    <row r="49" spans="1:22" x14ac:dyDescent="0.2">
      <c r="A49" s="165" t="s">
        <v>287</v>
      </c>
      <c r="B49" s="165"/>
      <c r="C49" s="169">
        <v>33411.271000000001</v>
      </c>
      <c r="D49" s="169">
        <v>0</v>
      </c>
      <c r="E49" s="169">
        <v>1507.739</v>
      </c>
      <c r="F49" s="192">
        <f t="shared" si="1"/>
        <v>177109218.72</v>
      </c>
      <c r="G49" s="169">
        <v>2131.25</v>
      </c>
      <c r="H49" s="169">
        <v>0</v>
      </c>
      <c r="I49" s="165">
        <v>-53.53</v>
      </c>
      <c r="J49" s="192">
        <f t="shared" si="2"/>
        <v>6391066.7199999997</v>
      </c>
      <c r="K49" s="169">
        <v>6425.56</v>
      </c>
      <c r="L49" s="169">
        <v>0</v>
      </c>
      <c r="M49" s="165">
        <v>-136.03</v>
      </c>
      <c r="N49" s="86">
        <v>18859447</v>
      </c>
      <c r="O49" s="192">
        <f t="shared" si="3"/>
        <v>31900496.160000004</v>
      </c>
      <c r="P49" s="192">
        <f t="shared" si="4"/>
        <v>234260228.59999999</v>
      </c>
      <c r="Q49" s="168">
        <f>87028400+2350433</f>
        <v>89378833</v>
      </c>
      <c r="R49" s="168">
        <v>35181957</v>
      </c>
      <c r="S49" s="168">
        <v>93057896</v>
      </c>
      <c r="T49" s="168">
        <v>0</v>
      </c>
      <c r="U49" s="168">
        <v>12925477</v>
      </c>
      <c r="V49" s="168">
        <f t="shared" si="0"/>
        <v>230544163</v>
      </c>
    </row>
    <row r="50" spans="1:22" x14ac:dyDescent="0.2">
      <c r="A50" s="170" t="s">
        <v>288</v>
      </c>
      <c r="B50" s="170"/>
      <c r="C50" s="180">
        <f>21742.688-(21742.688*0.2376)</f>
        <v>16576.625331199997</v>
      </c>
      <c r="D50" s="169">
        <v>-6730.4480000000003</v>
      </c>
      <c r="E50" s="169">
        <v>0</v>
      </c>
      <c r="F50" s="192">
        <f t="shared" si="1"/>
        <v>49939811.423846386</v>
      </c>
      <c r="G50" s="180">
        <f>2527.333-(2527.333*0.2376)</f>
        <v>1926.8386792000001</v>
      </c>
      <c r="H50" s="165">
        <v>-416.60300000000001</v>
      </c>
      <c r="I50" s="169">
        <v>0</v>
      </c>
      <c r="J50" s="192">
        <f t="shared" si="2"/>
        <v>4645484.9492191998</v>
      </c>
      <c r="K50" s="180">
        <f>6720.215-(6720.215*0.2376)</f>
        <v>5123.4919159999999</v>
      </c>
      <c r="L50" s="169">
        <v>-1913.4549999999999</v>
      </c>
      <c r="M50" s="169">
        <v>0</v>
      </c>
      <c r="N50" s="86">
        <v>13444963</v>
      </c>
      <c r="O50" s="192">
        <f t="shared" si="3"/>
        <v>16281307.237952</v>
      </c>
      <c r="P50" s="192">
        <f t="shared" si="4"/>
        <v>84311566.611017585</v>
      </c>
      <c r="Q50" s="168">
        <f>58067210+1167426</f>
        <v>59234636</v>
      </c>
      <c r="R50" s="168">
        <v>25159902</v>
      </c>
      <c r="S50" s="168">
        <v>71232537</v>
      </c>
      <c r="T50" s="168">
        <v>0</v>
      </c>
      <c r="U50" s="168">
        <v>8820739</v>
      </c>
      <c r="V50" s="168">
        <f t="shared" si="0"/>
        <v>164447814</v>
      </c>
    </row>
    <row r="51" spans="1:22" x14ac:dyDescent="0.2">
      <c r="A51" s="165" t="s">
        <v>289</v>
      </c>
      <c r="B51" s="165"/>
      <c r="C51" s="169">
        <v>15688.37</v>
      </c>
      <c r="D51" s="165">
        <v>0</v>
      </c>
      <c r="E51" s="165">
        <v>476.91</v>
      </c>
      <c r="F51" s="192">
        <f t="shared" si="1"/>
        <v>81990300.159999996</v>
      </c>
      <c r="G51" s="165">
        <v>171.97</v>
      </c>
      <c r="H51" s="165">
        <v>0</v>
      </c>
      <c r="I51" s="165">
        <v>-0.55000000000000004</v>
      </c>
      <c r="J51" s="192">
        <f t="shared" si="2"/>
        <v>527287.91999999993</v>
      </c>
      <c r="K51" s="165">
        <v>0</v>
      </c>
      <c r="L51" s="165">
        <v>0</v>
      </c>
      <c r="M51" s="165">
        <v>0</v>
      </c>
      <c r="N51" s="86">
        <v>6083692</v>
      </c>
      <c r="O51" s="192">
        <f t="shared" si="3"/>
        <v>0</v>
      </c>
      <c r="P51" s="192">
        <f t="shared" si="4"/>
        <v>88601280.079999998</v>
      </c>
      <c r="Q51" s="168">
        <f>37332978+900602</f>
        <v>38233580</v>
      </c>
      <c r="R51" s="168">
        <v>13392004</v>
      </c>
      <c r="S51" s="168">
        <v>31210924</v>
      </c>
      <c r="T51" s="168">
        <v>0</v>
      </c>
      <c r="U51" s="168">
        <v>4602286</v>
      </c>
      <c r="V51" s="168">
        <f t="shared" si="0"/>
        <v>87438794</v>
      </c>
    </row>
    <row r="52" spans="1:22" x14ac:dyDescent="0.2">
      <c r="A52" s="165" t="s">
        <v>290</v>
      </c>
      <c r="B52" s="165"/>
      <c r="C52" s="169">
        <v>12259.43</v>
      </c>
      <c r="D52" s="165">
        <v>-766.36</v>
      </c>
      <c r="E52" s="169">
        <v>0</v>
      </c>
      <c r="F52" s="192">
        <f t="shared" si="1"/>
        <v>58292851.039999999</v>
      </c>
      <c r="G52" s="165">
        <v>111.81</v>
      </c>
      <c r="H52" s="165">
        <v>-24.38</v>
      </c>
      <c r="I52" s="165">
        <v>0</v>
      </c>
      <c r="J52" s="192">
        <f t="shared" si="2"/>
        <v>268934.68</v>
      </c>
      <c r="K52" s="165">
        <v>0</v>
      </c>
      <c r="L52" s="165">
        <v>0</v>
      </c>
      <c r="M52" s="165">
        <v>0</v>
      </c>
      <c r="N52" s="86">
        <v>7300428</v>
      </c>
      <c r="O52" s="192">
        <f t="shared" si="3"/>
        <v>0</v>
      </c>
      <c r="P52" s="192">
        <f t="shared" si="4"/>
        <v>65862213.719999999</v>
      </c>
      <c r="Q52" s="168">
        <v>639156</v>
      </c>
      <c r="R52" s="168">
        <v>1158050</v>
      </c>
      <c r="S52" s="168">
        <v>84095234</v>
      </c>
      <c r="T52" s="168">
        <v>-21715150</v>
      </c>
      <c r="U52" s="168">
        <v>4988569</v>
      </c>
      <c r="V52" s="168">
        <f t="shared" si="0"/>
        <v>69165859</v>
      </c>
    </row>
    <row r="53" spans="1:22" x14ac:dyDescent="0.2">
      <c r="A53" s="165" t="s">
        <v>291</v>
      </c>
      <c r="B53" s="165"/>
      <c r="C53" s="169">
        <v>6833.01</v>
      </c>
      <c r="D53" s="165">
        <v>0</v>
      </c>
      <c r="E53" s="169">
        <v>1203.94</v>
      </c>
      <c r="F53" s="192">
        <f t="shared" si="1"/>
        <v>40763410.400000006</v>
      </c>
      <c r="G53" s="165">
        <v>77.650000000000006</v>
      </c>
      <c r="H53" s="165">
        <v>0</v>
      </c>
      <c r="I53" s="165">
        <v>31.54</v>
      </c>
      <c r="J53" s="192">
        <f t="shared" si="2"/>
        <v>335868.44</v>
      </c>
      <c r="K53" s="165">
        <v>165.6</v>
      </c>
      <c r="L53" s="165">
        <v>0</v>
      </c>
      <c r="M53" s="165">
        <v>8.26</v>
      </c>
      <c r="N53" s="86">
        <v>4866953</v>
      </c>
      <c r="O53" s="192">
        <f t="shared" si="3"/>
        <v>881817.91999999993</v>
      </c>
      <c r="P53" s="192">
        <f t="shared" si="4"/>
        <v>46848049.760000005</v>
      </c>
      <c r="Q53" s="168">
        <v>458178</v>
      </c>
      <c r="R53" s="168">
        <v>6546769</v>
      </c>
      <c r="S53" s="168">
        <v>35391872</v>
      </c>
      <c r="T53" s="168">
        <v>0</v>
      </c>
      <c r="U53" s="168">
        <v>3835890</v>
      </c>
      <c r="V53" s="168">
        <f t="shared" si="0"/>
        <v>46232709</v>
      </c>
    </row>
    <row r="54" spans="1:22" x14ac:dyDescent="0.2">
      <c r="A54" s="165" t="s">
        <v>292</v>
      </c>
      <c r="B54" s="165"/>
      <c r="C54" s="169">
        <v>17848.88</v>
      </c>
      <c r="D54" s="165">
        <v>-632.23</v>
      </c>
      <c r="E54" s="169">
        <v>0</v>
      </c>
      <c r="F54" s="192">
        <f t="shared" si="1"/>
        <v>87322848.800000012</v>
      </c>
      <c r="G54" s="165">
        <v>125.99</v>
      </c>
      <c r="H54" s="165">
        <v>-38.53</v>
      </c>
      <c r="I54" s="165">
        <v>0</v>
      </c>
      <c r="J54" s="192">
        <f t="shared" si="2"/>
        <v>269026.95999999996</v>
      </c>
      <c r="K54" s="165">
        <v>0</v>
      </c>
      <c r="L54" s="165">
        <v>0</v>
      </c>
      <c r="M54" s="165">
        <v>0</v>
      </c>
      <c r="N54" s="86">
        <v>10950642</v>
      </c>
      <c r="O54" s="192">
        <f t="shared" si="3"/>
        <v>0</v>
      </c>
      <c r="P54" s="192">
        <f t="shared" si="4"/>
        <v>98542517.760000005</v>
      </c>
      <c r="Q54" s="168">
        <v>956010</v>
      </c>
      <c r="R54" s="168">
        <v>1730411</v>
      </c>
      <c r="S54" s="168">
        <v>125997601</v>
      </c>
      <c r="T54" s="168">
        <v>-38185710</v>
      </c>
      <c r="U54" s="168">
        <v>10034204</v>
      </c>
      <c r="V54" s="168">
        <f t="shared" si="0"/>
        <v>100532516</v>
      </c>
    </row>
    <row r="55" spans="1:22" x14ac:dyDescent="0.2">
      <c r="A55" s="165" t="s">
        <v>293</v>
      </c>
      <c r="B55" s="165"/>
      <c r="C55" s="169">
        <v>13573.34</v>
      </c>
      <c r="D55" s="165">
        <v>-898.35</v>
      </c>
      <c r="E55" s="169">
        <v>0</v>
      </c>
      <c r="F55" s="192">
        <f t="shared" si="1"/>
        <v>64287549.280000001</v>
      </c>
      <c r="G55" s="165">
        <v>327.7</v>
      </c>
      <c r="H55" s="165">
        <v>-180.11</v>
      </c>
      <c r="I55" s="165">
        <v>0</v>
      </c>
      <c r="J55" s="192">
        <f t="shared" si="2"/>
        <v>453986.83999999991</v>
      </c>
      <c r="K55" s="165">
        <v>444.79</v>
      </c>
      <c r="L55" s="165">
        <v>-57.11</v>
      </c>
      <c r="M55" s="165">
        <v>0</v>
      </c>
      <c r="N55" s="86">
        <v>6996245</v>
      </c>
      <c r="O55" s="192">
        <f t="shared" si="3"/>
        <v>1966312.96</v>
      </c>
      <c r="P55" s="192">
        <f t="shared" si="4"/>
        <v>73704094.079999998</v>
      </c>
      <c r="Q55" s="168">
        <f>30478422+728051</f>
        <v>31206473</v>
      </c>
      <c r="R55" s="168">
        <v>11269372</v>
      </c>
      <c r="S55" s="168">
        <v>27231080</v>
      </c>
      <c r="T55" s="168">
        <v>0</v>
      </c>
      <c r="U55" s="168">
        <v>8354718</v>
      </c>
      <c r="V55" s="168">
        <f t="shared" si="0"/>
        <v>78061643</v>
      </c>
    </row>
    <row r="56" spans="1:22" x14ac:dyDescent="0.2">
      <c r="A56" s="165" t="s">
        <v>294</v>
      </c>
      <c r="B56" s="165"/>
      <c r="C56" s="169">
        <v>14836.954</v>
      </c>
      <c r="D56" s="165">
        <v>0</v>
      </c>
      <c r="E56" s="165">
        <v>729.43600000000004</v>
      </c>
      <c r="F56" s="192">
        <f t="shared" si="1"/>
        <v>78952730.079999998</v>
      </c>
      <c r="G56" s="165">
        <v>227.21</v>
      </c>
      <c r="H56" s="165">
        <v>0</v>
      </c>
      <c r="I56" s="165">
        <v>19.53</v>
      </c>
      <c r="J56" s="192">
        <f t="shared" si="2"/>
        <v>758972.24</v>
      </c>
      <c r="K56" s="165">
        <v>61.74</v>
      </c>
      <c r="L56" s="165">
        <v>0</v>
      </c>
      <c r="M56" s="165">
        <v>119.9</v>
      </c>
      <c r="N56" s="86">
        <v>6083692</v>
      </c>
      <c r="O56" s="192">
        <f t="shared" si="3"/>
        <v>921278.08000000007</v>
      </c>
      <c r="P56" s="192">
        <f t="shared" si="4"/>
        <v>86716672.399999991</v>
      </c>
      <c r="Q56" s="168">
        <f>45670378+880011</f>
        <v>46550389</v>
      </c>
      <c r="R56" s="168">
        <v>12558872</v>
      </c>
      <c r="S56" s="168">
        <v>18573893</v>
      </c>
      <c r="T56" s="168">
        <v>0</v>
      </c>
      <c r="U56" s="168">
        <v>7893711</v>
      </c>
      <c r="V56" s="168">
        <f t="shared" si="0"/>
        <v>85576865</v>
      </c>
    </row>
    <row r="57" spans="1:22" x14ac:dyDescent="0.2">
      <c r="A57" s="165" t="s">
        <v>295</v>
      </c>
      <c r="B57" s="165"/>
      <c r="C57" s="169">
        <v>20903.23</v>
      </c>
      <c r="D57" s="165">
        <v>0</v>
      </c>
      <c r="E57" s="165">
        <v>360.63</v>
      </c>
      <c r="F57" s="192">
        <f t="shared" si="1"/>
        <v>107850297.92</v>
      </c>
      <c r="G57" s="165">
        <v>612.09</v>
      </c>
      <c r="H57" s="165">
        <v>0</v>
      </c>
      <c r="I57" s="165">
        <v>-14.8</v>
      </c>
      <c r="J57" s="192">
        <f t="shared" si="2"/>
        <v>1837264.0400000003</v>
      </c>
      <c r="K57" s="165">
        <v>171.17</v>
      </c>
      <c r="L57" s="165">
        <v>0</v>
      </c>
      <c r="M57" s="165">
        <v>-3.91</v>
      </c>
      <c r="N57" s="86">
        <v>7300431</v>
      </c>
      <c r="O57" s="192">
        <f t="shared" si="3"/>
        <v>848342.72</v>
      </c>
      <c r="P57" s="192">
        <f t="shared" si="4"/>
        <v>117836335.68000001</v>
      </c>
      <c r="Q57" s="168">
        <f>57908954+1206291</f>
        <v>59115245</v>
      </c>
      <c r="R57" s="168">
        <v>16828482</v>
      </c>
      <c r="S57" s="168">
        <v>28149182</v>
      </c>
      <c r="T57" s="168">
        <v>0</v>
      </c>
      <c r="U57" s="168">
        <v>13718446</v>
      </c>
      <c r="V57" s="168">
        <f t="shared" si="0"/>
        <v>117811355</v>
      </c>
    </row>
    <row r="58" spans="1:22" x14ac:dyDescent="0.2">
      <c r="A58" s="165" t="s">
        <v>296</v>
      </c>
      <c r="B58" s="165"/>
      <c r="C58" s="169">
        <v>8457.51</v>
      </c>
      <c r="D58" s="165">
        <v>0</v>
      </c>
      <c r="E58" s="165">
        <v>463.98</v>
      </c>
      <c r="F58" s="192">
        <f t="shared" si="1"/>
        <v>45249797.280000001</v>
      </c>
      <c r="G58" s="165">
        <v>320.45999999999998</v>
      </c>
      <c r="H58" s="165">
        <v>0</v>
      </c>
      <c r="I58" s="165">
        <v>18.8</v>
      </c>
      <c r="J58" s="192">
        <f t="shared" si="2"/>
        <v>1043563.76</v>
      </c>
      <c r="K58" s="165">
        <v>90.93</v>
      </c>
      <c r="L58" s="165">
        <v>0</v>
      </c>
      <c r="M58" s="165">
        <v>78.599999999999994</v>
      </c>
      <c r="N58" s="86">
        <v>7300431</v>
      </c>
      <c r="O58" s="192">
        <f t="shared" si="3"/>
        <v>859856.16</v>
      </c>
      <c r="P58" s="192">
        <f t="shared" si="4"/>
        <v>54453648.199999996</v>
      </c>
      <c r="Q58" s="168">
        <f>28067687+514564</f>
        <v>28582251</v>
      </c>
      <c r="R58" s="168">
        <v>8127248</v>
      </c>
      <c r="S58" s="168">
        <v>13561752</v>
      </c>
      <c r="T58" s="168">
        <v>0</v>
      </c>
      <c r="U58" s="168">
        <v>2260798</v>
      </c>
      <c r="V58" s="168">
        <f t="shared" si="0"/>
        <v>52532049</v>
      </c>
    </row>
    <row r="59" spans="1:22" x14ac:dyDescent="0.2">
      <c r="A59" s="165" t="s">
        <v>297</v>
      </c>
      <c r="B59" s="165"/>
      <c r="C59" s="169">
        <v>6770.18</v>
      </c>
      <c r="D59" s="165">
        <v>-884.06</v>
      </c>
      <c r="E59" s="165">
        <v>0</v>
      </c>
      <c r="F59" s="192">
        <f t="shared" si="1"/>
        <v>29854400.640000004</v>
      </c>
      <c r="G59" s="165">
        <v>150</v>
      </c>
      <c r="H59" s="165">
        <v>27.17</v>
      </c>
      <c r="I59" s="165">
        <v>0</v>
      </c>
      <c r="J59" s="192">
        <f t="shared" si="2"/>
        <v>544974.92000000004</v>
      </c>
      <c r="K59" s="165">
        <v>43.22</v>
      </c>
      <c r="L59" s="165">
        <v>-8.8800000000000008</v>
      </c>
      <c r="M59" s="165">
        <v>0</v>
      </c>
      <c r="N59" s="86">
        <v>3650214</v>
      </c>
      <c r="O59" s="192">
        <f t="shared" si="3"/>
        <v>174172.47999999998</v>
      </c>
      <c r="P59" s="192">
        <f t="shared" si="4"/>
        <v>34223762.039999999</v>
      </c>
      <c r="Q59" s="168">
        <f>15469273+333649</f>
        <v>15802922</v>
      </c>
      <c r="R59" s="168">
        <v>5855076</v>
      </c>
      <c r="S59" s="168">
        <v>14558694</v>
      </c>
      <c r="T59" s="168">
        <v>0</v>
      </c>
      <c r="U59" s="168">
        <v>1943078</v>
      </c>
      <c r="V59" s="168">
        <f t="shared" si="0"/>
        <v>38159770</v>
      </c>
    </row>
    <row r="60" spans="1:22" x14ac:dyDescent="0.2">
      <c r="A60" s="165" t="s">
        <v>298</v>
      </c>
      <c r="B60" s="165"/>
      <c r="C60" s="169">
        <v>14401.62</v>
      </c>
      <c r="D60" s="165">
        <v>0</v>
      </c>
      <c r="E60" s="165">
        <v>177.29</v>
      </c>
      <c r="F60" s="192">
        <f t="shared" si="1"/>
        <v>73944231.520000011</v>
      </c>
      <c r="G60" s="165">
        <v>302.89</v>
      </c>
      <c r="H60" s="165">
        <v>0</v>
      </c>
      <c r="I60" s="165">
        <v>-6.06</v>
      </c>
      <c r="J60" s="192">
        <f t="shared" si="2"/>
        <v>913049.08</v>
      </c>
      <c r="K60" s="165">
        <v>0</v>
      </c>
      <c r="L60" s="165">
        <v>0</v>
      </c>
      <c r="M60" s="165">
        <v>0</v>
      </c>
      <c r="N60" s="86">
        <v>6235785</v>
      </c>
      <c r="O60" s="192">
        <f t="shared" si="3"/>
        <v>0</v>
      </c>
      <c r="P60" s="192">
        <f t="shared" si="4"/>
        <v>81093065.600000009</v>
      </c>
      <c r="Q60" s="168">
        <v>816957</v>
      </c>
      <c r="R60" s="168">
        <v>1487574</v>
      </c>
      <c r="S60" s="168">
        <v>70795666</v>
      </c>
      <c r="T60" s="168">
        <v>0</v>
      </c>
      <c r="U60" s="168">
        <v>6925212</v>
      </c>
      <c r="V60" s="168">
        <f t="shared" si="0"/>
        <v>80025409</v>
      </c>
    </row>
    <row r="61" spans="1:22" x14ac:dyDescent="0.2">
      <c r="A61" s="165" t="s">
        <v>299</v>
      </c>
      <c r="B61" s="165"/>
      <c r="C61" s="169">
        <v>2157.27</v>
      </c>
      <c r="D61" s="165">
        <v>0</v>
      </c>
      <c r="E61" s="165">
        <f>195.941+1.169</f>
        <v>197.11</v>
      </c>
      <c r="F61" s="192">
        <f t="shared" si="1"/>
        <v>11941415.360000001</v>
      </c>
      <c r="G61" s="165">
        <v>75.77</v>
      </c>
      <c r="H61" s="165">
        <v>0</v>
      </c>
      <c r="I61" s="165">
        <v>-11.98</v>
      </c>
      <c r="J61" s="192">
        <f t="shared" si="2"/>
        <v>196218.03999999998</v>
      </c>
      <c r="K61" s="165">
        <v>307.91000000000003</v>
      </c>
      <c r="L61" s="165">
        <v>0</v>
      </c>
      <c r="M61" s="165">
        <v>93.76</v>
      </c>
      <c r="N61" s="86">
        <v>4811207</v>
      </c>
      <c r="O61" s="192">
        <f t="shared" si="3"/>
        <v>2037270.24</v>
      </c>
      <c r="P61" s="192">
        <f t="shared" si="4"/>
        <v>18986110.639999997</v>
      </c>
      <c r="Q61" s="168">
        <f>10650688+154696</f>
        <v>10805384</v>
      </c>
      <c r="R61" s="168">
        <v>2785791</v>
      </c>
      <c r="S61" s="168">
        <v>3640393</v>
      </c>
      <c r="T61" s="168">
        <v>0</v>
      </c>
      <c r="U61" s="168">
        <v>1504323</v>
      </c>
      <c r="V61" s="168">
        <f t="shared" si="0"/>
        <v>18735891</v>
      </c>
    </row>
    <row r="62" spans="1:22" x14ac:dyDescent="0.2">
      <c r="A62" s="165" t="s">
        <v>300</v>
      </c>
      <c r="B62" s="165"/>
      <c r="C62" s="169">
        <v>6915.29</v>
      </c>
      <c r="D62" s="165">
        <v>0</v>
      </c>
      <c r="E62" s="169">
        <v>1315.45</v>
      </c>
      <c r="F62" s="192">
        <f t="shared" si="1"/>
        <v>41746313.280000001</v>
      </c>
      <c r="G62" s="165">
        <v>0.89</v>
      </c>
      <c r="H62" s="165">
        <v>0</v>
      </c>
      <c r="I62" s="165">
        <v>14.23</v>
      </c>
      <c r="J62" s="192">
        <f t="shared" si="2"/>
        <v>46509.120000000003</v>
      </c>
      <c r="K62" s="165">
        <v>0</v>
      </c>
      <c r="L62" s="165">
        <v>0</v>
      </c>
      <c r="M62" s="165">
        <v>0</v>
      </c>
      <c r="N62" s="86">
        <v>6083692</v>
      </c>
      <c r="O62" s="192">
        <f t="shared" si="3"/>
        <v>0</v>
      </c>
      <c r="P62" s="192">
        <f t="shared" si="4"/>
        <v>47876514.399999999</v>
      </c>
      <c r="Q62" s="168">
        <f>20986945+456150</f>
        <v>21443095</v>
      </c>
      <c r="R62" s="168">
        <v>7084221</v>
      </c>
      <c r="S62" s="168">
        <v>15292274</v>
      </c>
      <c r="T62" s="168">
        <v>0</v>
      </c>
      <c r="U62" s="168">
        <v>3430421</v>
      </c>
      <c r="V62" s="168">
        <f t="shared" si="0"/>
        <v>47250011</v>
      </c>
    </row>
    <row r="63" spans="1:22" x14ac:dyDescent="0.2">
      <c r="A63" s="165" t="s">
        <v>301</v>
      </c>
      <c r="B63" s="165"/>
      <c r="C63" s="169">
        <v>14627.69</v>
      </c>
      <c r="D63" s="165">
        <v>0</v>
      </c>
      <c r="E63" s="169">
        <v>1891.09</v>
      </c>
      <c r="F63" s="192">
        <f t="shared" si="1"/>
        <v>83783252.159999996</v>
      </c>
      <c r="G63" s="169">
        <v>2102.0700000000002</v>
      </c>
      <c r="H63" s="165">
        <v>0</v>
      </c>
      <c r="I63" s="165">
        <v>201.48</v>
      </c>
      <c r="J63" s="192">
        <f t="shared" si="2"/>
        <v>7085719.8000000007</v>
      </c>
      <c r="K63" s="165">
        <v>579</v>
      </c>
      <c r="L63" s="165">
        <v>0</v>
      </c>
      <c r="M63" s="165">
        <v>13.23</v>
      </c>
      <c r="N63" s="86">
        <v>8821354</v>
      </c>
      <c r="O63" s="192">
        <f t="shared" si="3"/>
        <v>3003790.56</v>
      </c>
      <c r="P63" s="192">
        <f t="shared" si="4"/>
        <v>102694116.52</v>
      </c>
      <c r="Q63" s="168">
        <f>24798637+1023933</f>
        <v>25822570</v>
      </c>
      <c r="R63" s="168">
        <v>14978340</v>
      </c>
      <c r="S63" s="168">
        <v>51847909</v>
      </c>
      <c r="T63" s="168">
        <v>0</v>
      </c>
      <c r="U63" s="168">
        <v>8643550</v>
      </c>
      <c r="V63" s="168">
        <f t="shared" si="0"/>
        <v>101292369</v>
      </c>
    </row>
    <row r="64" spans="1:22" x14ac:dyDescent="0.2">
      <c r="A64" s="165" t="s">
        <v>302</v>
      </c>
      <c r="B64" s="165"/>
      <c r="C64" s="169">
        <v>25869.53</v>
      </c>
      <c r="D64" s="169">
        <v>-4435.91</v>
      </c>
      <c r="E64" s="165">
        <v>0</v>
      </c>
      <c r="F64" s="192">
        <f t="shared" si="1"/>
        <v>108711320.64</v>
      </c>
      <c r="G64" s="169">
        <v>1766.63</v>
      </c>
      <c r="H64" s="165">
        <v>263.58</v>
      </c>
      <c r="I64" s="165">
        <v>0</v>
      </c>
      <c r="J64" s="192">
        <f t="shared" si="2"/>
        <v>6244925.96</v>
      </c>
      <c r="K64" s="165">
        <v>162.66999999999999</v>
      </c>
      <c r="L64" s="165">
        <v>6.43</v>
      </c>
      <c r="M64" s="165">
        <v>0</v>
      </c>
      <c r="N64" s="86">
        <v>8517168</v>
      </c>
      <c r="O64" s="192">
        <f t="shared" si="3"/>
        <v>857675.2</v>
      </c>
      <c r="P64" s="192">
        <f t="shared" si="4"/>
        <v>124331089.8</v>
      </c>
      <c r="Q64" s="168">
        <v>1263491</v>
      </c>
      <c r="R64" s="168">
        <v>2363293</v>
      </c>
      <c r="S64" s="168">
        <v>186357372</v>
      </c>
      <c r="T64" s="168">
        <v>-59318011</v>
      </c>
      <c r="U64" s="168">
        <v>16768702</v>
      </c>
      <c r="V64" s="168">
        <f t="shared" si="0"/>
        <v>147434847</v>
      </c>
    </row>
    <row r="65" spans="1:22" x14ac:dyDescent="0.2">
      <c r="A65" s="165" t="s">
        <v>303</v>
      </c>
      <c r="B65" s="165"/>
      <c r="C65" s="169">
        <v>15153.63</v>
      </c>
      <c r="D65" s="169">
        <v>-1644.14</v>
      </c>
      <c r="E65" s="165">
        <v>0</v>
      </c>
      <c r="F65" s="192">
        <f t="shared" si="1"/>
        <v>68520133.280000001</v>
      </c>
      <c r="G65" s="165">
        <v>219.07</v>
      </c>
      <c r="H65" s="165">
        <v>1.55</v>
      </c>
      <c r="I65" s="165">
        <v>0</v>
      </c>
      <c r="J65" s="192">
        <f t="shared" si="2"/>
        <v>678627.12</v>
      </c>
      <c r="K65" s="165">
        <v>37.19</v>
      </c>
      <c r="L65" s="165">
        <v>0.13</v>
      </c>
      <c r="M65" s="165">
        <v>0</v>
      </c>
      <c r="N65" s="86">
        <v>8517170</v>
      </c>
      <c r="O65" s="192">
        <f t="shared" si="3"/>
        <v>189287.04000000001</v>
      </c>
      <c r="P65" s="192">
        <f t="shared" si="4"/>
        <v>77905217.440000013</v>
      </c>
      <c r="Q65" s="168">
        <f>43598801+757283</f>
        <v>44356084</v>
      </c>
      <c r="R65" s="168">
        <v>13104808</v>
      </c>
      <c r="S65" s="168">
        <v>23599154</v>
      </c>
      <c r="T65" s="168">
        <v>0</v>
      </c>
      <c r="U65" s="168">
        <v>4045673</v>
      </c>
      <c r="V65" s="168">
        <f t="shared" si="0"/>
        <v>85105719</v>
      </c>
    </row>
    <row r="66" spans="1:22" x14ac:dyDescent="0.2">
      <c r="A66" s="165" t="s">
        <v>304</v>
      </c>
      <c r="B66" s="165"/>
      <c r="C66" s="169">
        <v>27007.546999999999</v>
      </c>
      <c r="D66" s="165">
        <v>0</v>
      </c>
      <c r="E66" s="169">
        <v>1757.883</v>
      </c>
      <c r="F66" s="192">
        <f t="shared" si="1"/>
        <v>145898260.96000001</v>
      </c>
      <c r="G66" s="165">
        <v>304.89</v>
      </c>
      <c r="H66" s="165">
        <v>0</v>
      </c>
      <c r="I66" s="165">
        <v>-34.25</v>
      </c>
      <c r="J66" s="192">
        <f t="shared" si="2"/>
        <v>832488.64</v>
      </c>
      <c r="K66" s="165">
        <v>171.6</v>
      </c>
      <c r="L66" s="165">
        <v>0</v>
      </c>
      <c r="M66" s="165">
        <v>-13.52</v>
      </c>
      <c r="N66" s="86">
        <v>13992490</v>
      </c>
      <c r="O66" s="192">
        <f t="shared" si="3"/>
        <v>801781.75999999989</v>
      </c>
      <c r="P66" s="192">
        <f t="shared" si="4"/>
        <v>161525021.35999998</v>
      </c>
      <c r="Q66" s="168">
        <f>85093957+1610189</f>
        <v>86704146</v>
      </c>
      <c r="R66" s="168">
        <v>24610138</v>
      </c>
      <c r="S66" s="168">
        <v>40912212</v>
      </c>
      <c r="T66" s="168">
        <v>0</v>
      </c>
      <c r="U66" s="168">
        <v>7179978</v>
      </c>
      <c r="V66" s="168">
        <f t="shared" si="0"/>
        <v>159406474</v>
      </c>
    </row>
    <row r="67" spans="1:22" x14ac:dyDescent="0.2">
      <c r="A67" s="165" t="s">
        <v>305</v>
      </c>
      <c r="B67" s="165"/>
      <c r="C67" s="169">
        <v>25843.16</v>
      </c>
      <c r="D67" s="165">
        <v>0</v>
      </c>
      <c r="E67" s="165">
        <v>561.99</v>
      </c>
      <c r="F67" s="192">
        <f t="shared" ref="F67:F73" si="5">SUM(C67:E67)*5072</f>
        <v>133926920.80000001</v>
      </c>
      <c r="G67" s="165">
        <v>181.37</v>
      </c>
      <c r="H67" s="165">
        <v>0</v>
      </c>
      <c r="I67" s="165">
        <v>-119.49</v>
      </c>
      <c r="J67" s="192">
        <f t="shared" ref="J67:J73" si="6">SUM(G67:I67)*3076</f>
        <v>190342.88000000003</v>
      </c>
      <c r="K67" s="165">
        <v>0</v>
      </c>
      <c r="L67" s="165">
        <v>0</v>
      </c>
      <c r="M67" s="165">
        <v>0</v>
      </c>
      <c r="N67" s="86">
        <v>12167382</v>
      </c>
      <c r="O67" s="192">
        <f t="shared" ref="O67:O73" si="7">SUM(K67:M67)*5072</f>
        <v>0</v>
      </c>
      <c r="P67" s="192">
        <f t="shared" ref="P67:P73" si="8">SUM(F67,J67,N67,O67)</f>
        <v>146284645.68000001</v>
      </c>
      <c r="Q67" s="168">
        <f>47567738+1463825</f>
        <v>49031563</v>
      </c>
      <c r="R67" s="168">
        <v>21591831</v>
      </c>
      <c r="S67" s="168">
        <v>62933301</v>
      </c>
      <c r="T67" s="168">
        <v>0</v>
      </c>
      <c r="U67" s="168">
        <v>10814069</v>
      </c>
      <c r="V67" s="168">
        <f t="shared" si="0"/>
        <v>144370764</v>
      </c>
    </row>
    <row r="68" spans="1:22" x14ac:dyDescent="0.2">
      <c r="A68" s="165" t="s">
        <v>306</v>
      </c>
      <c r="B68" s="165"/>
      <c r="C68" s="169">
        <v>8723.14</v>
      </c>
      <c r="D68" s="165">
        <v>0</v>
      </c>
      <c r="E68" s="165">
        <f>414.706+3.824</f>
        <v>418.53000000000003</v>
      </c>
      <c r="F68" s="192">
        <f t="shared" si="5"/>
        <v>46366550.240000002</v>
      </c>
      <c r="G68" s="165">
        <v>77.239999999999995</v>
      </c>
      <c r="H68" s="165">
        <v>0</v>
      </c>
      <c r="I68" s="165">
        <v>-6.36</v>
      </c>
      <c r="J68" s="192">
        <f t="shared" si="6"/>
        <v>218026.87999999998</v>
      </c>
      <c r="K68" s="165">
        <v>0</v>
      </c>
      <c r="L68" s="165">
        <v>0</v>
      </c>
      <c r="M68" s="165">
        <v>0</v>
      </c>
      <c r="N68" s="86">
        <v>4866953</v>
      </c>
      <c r="O68" s="192">
        <f t="shared" si="7"/>
        <v>0</v>
      </c>
      <c r="P68" s="192">
        <f t="shared" si="8"/>
        <v>51451530.120000005</v>
      </c>
      <c r="Q68" s="168">
        <f>30546440+508434</f>
        <v>31054874</v>
      </c>
      <c r="R68" s="168">
        <v>7915492</v>
      </c>
      <c r="S68" s="168">
        <v>9991065</v>
      </c>
      <c r="T68" s="168">
        <v>0</v>
      </c>
      <c r="U68" s="168">
        <v>1815611</v>
      </c>
      <c r="V68" s="168">
        <f t="shared" si="0"/>
        <v>50777042</v>
      </c>
    </row>
    <row r="69" spans="1:22" x14ac:dyDescent="0.2">
      <c r="A69" s="165" t="s">
        <v>307</v>
      </c>
      <c r="B69" s="165"/>
      <c r="C69" s="169">
        <v>4724.97</v>
      </c>
      <c r="D69" s="165">
        <v>0</v>
      </c>
      <c r="E69" s="165">
        <v>209.99</v>
      </c>
      <c r="F69" s="192">
        <f t="shared" si="5"/>
        <v>25030117.120000001</v>
      </c>
      <c r="G69" s="165">
        <v>367.38</v>
      </c>
      <c r="H69" s="165">
        <v>0</v>
      </c>
      <c r="I69" s="165">
        <v>-20.73</v>
      </c>
      <c r="J69" s="192">
        <f t="shared" si="6"/>
        <v>1066295.3999999999</v>
      </c>
      <c r="K69" s="165">
        <v>0</v>
      </c>
      <c r="L69" s="165">
        <v>0</v>
      </c>
      <c r="M69" s="165">
        <v>0</v>
      </c>
      <c r="N69" s="86">
        <v>7604612</v>
      </c>
      <c r="O69" s="192">
        <f t="shared" si="7"/>
        <v>0</v>
      </c>
      <c r="P69" s="192">
        <f t="shared" si="8"/>
        <v>33701024.519999996</v>
      </c>
      <c r="Q69" s="168">
        <f>21338678+284735</f>
        <v>21623413</v>
      </c>
      <c r="R69" s="168">
        <v>5232061</v>
      </c>
      <c r="S69" s="168">
        <v>5507547</v>
      </c>
      <c r="T69" s="168">
        <v>0</v>
      </c>
      <c r="U69" s="168">
        <v>887960</v>
      </c>
      <c r="V69" s="168">
        <f t="shared" si="0"/>
        <v>33250981</v>
      </c>
    </row>
    <row r="70" spans="1:22" x14ac:dyDescent="0.2">
      <c r="A70" s="165" t="s">
        <v>308</v>
      </c>
      <c r="B70" s="165"/>
      <c r="C70" s="169">
        <v>2469.23</v>
      </c>
      <c r="D70" s="165">
        <v>0</v>
      </c>
      <c r="E70" s="165">
        <v>50.46</v>
      </c>
      <c r="F70" s="192">
        <f t="shared" si="5"/>
        <v>12779867.68</v>
      </c>
      <c r="G70" s="165">
        <v>61.34</v>
      </c>
      <c r="H70" s="165">
        <v>0</v>
      </c>
      <c r="I70" s="165">
        <v>-16.649999999999999</v>
      </c>
      <c r="J70" s="192">
        <f t="shared" si="6"/>
        <v>137466.44</v>
      </c>
      <c r="K70" s="165">
        <v>0</v>
      </c>
      <c r="L70" s="165">
        <v>0</v>
      </c>
      <c r="M70" s="165">
        <v>0</v>
      </c>
      <c r="N70" s="86">
        <v>4811207</v>
      </c>
      <c r="O70" s="192">
        <f t="shared" si="7"/>
        <v>0</v>
      </c>
      <c r="P70" s="192">
        <f t="shared" si="8"/>
        <v>17728541.119999997</v>
      </c>
      <c r="Q70" s="168">
        <f>6372915+140975</f>
        <v>6513890</v>
      </c>
      <c r="R70" s="168">
        <v>3409729</v>
      </c>
      <c r="S70" s="168">
        <v>11167331</v>
      </c>
      <c r="T70" s="168">
        <v>0</v>
      </c>
      <c r="U70" s="168">
        <v>823082</v>
      </c>
      <c r="V70" s="168">
        <f t="shared" si="0"/>
        <v>21914032</v>
      </c>
    </row>
    <row r="71" spans="1:22" x14ac:dyDescent="0.2">
      <c r="A71" s="165" t="s">
        <v>309</v>
      </c>
      <c r="B71" s="165"/>
      <c r="C71" s="169">
        <v>12690.14</v>
      </c>
      <c r="D71" s="165">
        <v>-345.8</v>
      </c>
      <c r="E71" s="165">
        <v>0</v>
      </c>
      <c r="F71" s="192">
        <f t="shared" si="5"/>
        <v>62610492.480000004</v>
      </c>
      <c r="G71" s="165">
        <v>798.94</v>
      </c>
      <c r="H71" s="165">
        <v>288.36</v>
      </c>
      <c r="I71" s="165">
        <v>0</v>
      </c>
      <c r="J71" s="192">
        <f t="shared" si="6"/>
        <v>3344534.8000000007</v>
      </c>
      <c r="K71" s="165">
        <v>0</v>
      </c>
      <c r="L71" s="165">
        <v>0</v>
      </c>
      <c r="M71" s="165">
        <v>0</v>
      </c>
      <c r="N71" s="86">
        <v>7300428</v>
      </c>
      <c r="O71" s="192">
        <f t="shared" si="7"/>
        <v>0</v>
      </c>
      <c r="P71" s="192">
        <f t="shared" si="8"/>
        <v>73255455.280000001</v>
      </c>
      <c r="Q71" s="168">
        <v>719567</v>
      </c>
      <c r="R71" s="168">
        <v>1343164</v>
      </c>
      <c r="S71" s="168">
        <v>96729345</v>
      </c>
      <c r="T71" s="168">
        <v>-33129665</v>
      </c>
      <c r="U71" s="168">
        <v>7470305</v>
      </c>
      <c r="V71" s="168">
        <f t="shared" si="0"/>
        <v>73132716</v>
      </c>
    </row>
    <row r="72" spans="1:22" x14ac:dyDescent="0.2">
      <c r="A72" s="165" t="s">
        <v>310</v>
      </c>
      <c r="B72" s="165"/>
      <c r="C72" s="169">
        <v>16227.64</v>
      </c>
      <c r="D72" s="165">
        <v>-0.71</v>
      </c>
      <c r="E72" s="165">
        <v>0</v>
      </c>
      <c r="F72" s="192">
        <f t="shared" si="5"/>
        <v>82302988.960000008</v>
      </c>
      <c r="G72" s="165">
        <v>180.81</v>
      </c>
      <c r="H72" s="165">
        <v>-5.15</v>
      </c>
      <c r="I72" s="165">
        <v>0</v>
      </c>
      <c r="J72" s="192">
        <f t="shared" si="6"/>
        <v>540330.16</v>
      </c>
      <c r="K72" s="165">
        <v>166</v>
      </c>
      <c r="L72" s="165">
        <v>2.85</v>
      </c>
      <c r="M72" s="165">
        <v>0</v>
      </c>
      <c r="N72" s="86">
        <v>7908798</v>
      </c>
      <c r="O72" s="192">
        <f t="shared" si="7"/>
        <v>856407.2</v>
      </c>
      <c r="P72" s="192">
        <f t="shared" si="8"/>
        <v>91608524.320000008</v>
      </c>
      <c r="Q72" s="168">
        <f>32890908+913503</f>
        <v>33804411</v>
      </c>
      <c r="R72" s="168">
        <v>13895785</v>
      </c>
      <c r="S72" s="168">
        <v>38252456</v>
      </c>
      <c r="T72" s="168">
        <v>0</v>
      </c>
      <c r="U72" s="168">
        <v>4458567</v>
      </c>
      <c r="V72" s="168">
        <f t="shared" si="0"/>
        <v>90411219</v>
      </c>
    </row>
    <row r="73" spans="1:22" x14ac:dyDescent="0.2">
      <c r="A73" s="165" t="s">
        <v>311</v>
      </c>
      <c r="B73" s="165"/>
      <c r="C73" s="169">
        <v>7505.33</v>
      </c>
      <c r="D73" s="165">
        <v>-20.52</v>
      </c>
      <c r="E73" s="165">
        <v>0</v>
      </c>
      <c r="F73" s="192">
        <f t="shared" si="5"/>
        <v>37962956.32</v>
      </c>
      <c r="G73" s="165">
        <v>120.67</v>
      </c>
      <c r="H73" s="165">
        <v>20.94</v>
      </c>
      <c r="I73" s="165">
        <v>0</v>
      </c>
      <c r="J73" s="192">
        <f t="shared" si="6"/>
        <v>435592.36000000004</v>
      </c>
      <c r="K73" s="165">
        <v>0</v>
      </c>
      <c r="L73" s="165">
        <v>0</v>
      </c>
      <c r="M73" s="165">
        <v>0</v>
      </c>
      <c r="N73" s="86">
        <v>9125536</v>
      </c>
      <c r="O73" s="192">
        <f t="shared" si="7"/>
        <v>0</v>
      </c>
      <c r="P73" s="192">
        <f t="shared" si="8"/>
        <v>47524084.68</v>
      </c>
      <c r="Q73" s="168">
        <f>13791491+419066</f>
        <v>14210557</v>
      </c>
      <c r="R73" s="168">
        <v>7332211</v>
      </c>
      <c r="S73" s="168">
        <v>23810768</v>
      </c>
      <c r="T73" s="168">
        <v>0</v>
      </c>
      <c r="U73" s="168">
        <v>1584720</v>
      </c>
      <c r="V73" s="168">
        <f t="shared" si="0"/>
        <v>46938256</v>
      </c>
    </row>
    <row r="74" spans="1:22" x14ac:dyDescent="0.2">
      <c r="A74" s="171" t="s">
        <v>312</v>
      </c>
      <c r="B74" s="171"/>
      <c r="C74" s="172">
        <f t="shared" ref="C74:M74" si="9">SUM(C2:C73)</f>
        <v>1061690.5373312002</v>
      </c>
      <c r="D74" s="164">
        <f>SUM(D2:D73)</f>
        <v>-33493.434999999998</v>
      </c>
      <c r="E74" s="164">
        <f>SUM(E2:E73)</f>
        <v>36267.953000000001</v>
      </c>
      <c r="F74" s="164"/>
      <c r="G74" s="164">
        <f t="shared" si="9"/>
        <v>29303.788679199999</v>
      </c>
      <c r="H74" s="164">
        <f>SUM(H2:H73)</f>
        <v>-124.05300000000008</v>
      </c>
      <c r="I74" s="164">
        <f>SUM(I2:I73)</f>
        <v>-708.9699999999998</v>
      </c>
      <c r="J74" s="164"/>
      <c r="K74" s="164">
        <f t="shared" si="9"/>
        <v>37075.691916000003</v>
      </c>
      <c r="L74" s="164">
        <f t="shared" si="9"/>
        <v>-1798.6049999999998</v>
      </c>
      <c r="M74" s="164">
        <f t="shared" si="9"/>
        <v>1754.5400000000002</v>
      </c>
      <c r="N74" s="164"/>
      <c r="O74" s="164"/>
      <c r="P74" s="193">
        <f t="shared" ref="P74:U74" si="10">SUM(Q2:Q73)</f>
        <v>2449242929</v>
      </c>
      <c r="Q74" s="171">
        <f t="shared" si="10"/>
        <v>890122090</v>
      </c>
      <c r="R74" s="171">
        <f t="shared" si="10"/>
        <v>2836794826</v>
      </c>
      <c r="S74" s="171">
        <f t="shared" si="10"/>
        <v>-214187868</v>
      </c>
      <c r="T74" s="171">
        <f t="shared" si="10"/>
        <v>423244023</v>
      </c>
      <c r="U74" s="171">
        <f t="shared" si="10"/>
        <v>6385216000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selection activeCell="G15" sqref="G15"/>
    </sheetView>
  </sheetViews>
  <sheetFormatPr baseColWidth="10" defaultColWidth="7.6640625" defaultRowHeight="13" x14ac:dyDescent="0.15"/>
  <cols>
    <col min="1" max="1" width="17.1640625" style="176" customWidth="1"/>
    <col min="2" max="2" width="12.33203125" style="176" customWidth="1"/>
    <col min="3" max="3" width="18.1640625" style="176" customWidth="1"/>
    <col min="4" max="16384" width="7.6640625" style="176"/>
  </cols>
  <sheetData>
    <row r="1" spans="1:3" ht="15" customHeight="1" x14ac:dyDescent="0.15">
      <c r="A1" s="200" t="s">
        <v>396</v>
      </c>
      <c r="B1" s="200"/>
      <c r="C1" s="200"/>
    </row>
    <row r="2" spans="1:3" ht="15" customHeight="1" x14ac:dyDescent="0.15">
      <c r="A2" s="200" t="s">
        <v>464</v>
      </c>
      <c r="B2" s="200"/>
      <c r="C2" s="200"/>
    </row>
    <row r="3" spans="1:3" ht="15" customHeight="1" x14ac:dyDescent="0.15">
      <c r="A3" s="200"/>
      <c r="B3" s="200"/>
      <c r="C3" s="200"/>
    </row>
    <row r="4" spans="1:3" ht="15" customHeight="1" x14ac:dyDescent="0.15">
      <c r="B4" s="177" t="s">
        <v>461</v>
      </c>
    </row>
    <row r="5" spans="1:3" ht="15" customHeight="1" x14ac:dyDescent="0.15">
      <c r="A5" s="177" t="s">
        <v>38</v>
      </c>
      <c r="B5" s="178">
        <v>2019</v>
      </c>
    </row>
    <row r="6" spans="1:3" ht="15" customHeight="1" x14ac:dyDescent="0.15">
      <c r="A6" s="177" t="s">
        <v>399</v>
      </c>
      <c r="B6" s="178">
        <v>2199</v>
      </c>
    </row>
    <row r="7" spans="1:3" ht="15" customHeight="1" x14ac:dyDescent="0.15">
      <c r="A7" s="177" t="s">
        <v>400</v>
      </c>
      <c r="B7" s="178">
        <v>303</v>
      </c>
    </row>
    <row r="8" spans="1:3" ht="15" customHeight="1" x14ac:dyDescent="0.15">
      <c r="A8" s="177" t="s">
        <v>401</v>
      </c>
      <c r="B8" s="178">
        <v>1953</v>
      </c>
    </row>
    <row r="9" spans="1:3" ht="15" customHeight="1" x14ac:dyDescent="0.15">
      <c r="A9" s="177" t="s">
        <v>402</v>
      </c>
      <c r="B9" s="178">
        <v>1531</v>
      </c>
    </row>
    <row r="10" spans="1:3" ht="15" customHeight="1" x14ac:dyDescent="0.15">
      <c r="A10" s="177" t="s">
        <v>403</v>
      </c>
      <c r="B10" s="178">
        <v>2129</v>
      </c>
    </row>
    <row r="11" spans="1:3" ht="15" customHeight="1" x14ac:dyDescent="0.15">
      <c r="A11" s="177" t="s">
        <v>404</v>
      </c>
      <c r="B11" s="178">
        <v>1866</v>
      </c>
    </row>
    <row r="12" spans="1:3" ht="15" customHeight="1" x14ac:dyDescent="0.15">
      <c r="A12" s="177" t="s">
        <v>405</v>
      </c>
      <c r="B12" s="178">
        <v>3025</v>
      </c>
    </row>
    <row r="13" spans="1:3" ht="15" customHeight="1" x14ac:dyDescent="0.15">
      <c r="A13" s="177" t="s">
        <v>406</v>
      </c>
      <c r="B13" s="178">
        <v>3605</v>
      </c>
    </row>
    <row r="14" spans="1:3" ht="15" customHeight="1" x14ac:dyDescent="0.15">
      <c r="A14" s="177" t="s">
        <v>407</v>
      </c>
      <c r="B14" s="178">
        <v>8751</v>
      </c>
    </row>
    <row r="15" spans="1:3" ht="15" customHeight="1" x14ac:dyDescent="0.15">
      <c r="A15" s="177" t="s">
        <v>408</v>
      </c>
      <c r="B15" s="178">
        <v>420</v>
      </c>
    </row>
    <row r="16" spans="1:3" ht="15" customHeight="1" x14ac:dyDescent="0.15">
      <c r="A16" s="177" t="s">
        <v>409</v>
      </c>
      <c r="B16" s="178">
        <v>4866</v>
      </c>
    </row>
    <row r="17" spans="1:2" x14ac:dyDescent="0.15">
      <c r="A17" s="177" t="s">
        <v>410</v>
      </c>
      <c r="B17" s="178">
        <v>257</v>
      </c>
    </row>
    <row r="18" spans="1:2" x14ac:dyDescent="0.15">
      <c r="A18" s="177" t="s">
        <v>411</v>
      </c>
      <c r="B18" s="178">
        <v>1208</v>
      </c>
    </row>
    <row r="19" spans="1:2" x14ac:dyDescent="0.15">
      <c r="A19" s="177" t="s">
        <v>412</v>
      </c>
      <c r="B19" s="178">
        <v>2387</v>
      </c>
    </row>
    <row r="20" spans="1:2" x14ac:dyDescent="0.15">
      <c r="A20" s="177" t="s">
        <v>413</v>
      </c>
      <c r="B20" s="178">
        <v>178</v>
      </c>
    </row>
    <row r="21" spans="1:2" x14ac:dyDescent="0.15">
      <c r="A21" s="177" t="s">
        <v>414</v>
      </c>
      <c r="B21" s="178">
        <v>3825</v>
      </c>
    </row>
    <row r="22" spans="1:2" x14ac:dyDescent="0.15">
      <c r="A22" s="177" t="s">
        <v>415</v>
      </c>
      <c r="B22" s="178">
        <v>845</v>
      </c>
    </row>
    <row r="23" spans="1:2" x14ac:dyDescent="0.15">
      <c r="A23" s="177" t="s">
        <v>416</v>
      </c>
      <c r="B23" s="178">
        <v>1089</v>
      </c>
    </row>
    <row r="24" spans="1:2" x14ac:dyDescent="0.15">
      <c r="A24" s="177" t="s">
        <v>417</v>
      </c>
      <c r="B24" s="178">
        <v>3991</v>
      </c>
    </row>
    <row r="25" spans="1:2" x14ac:dyDescent="0.15">
      <c r="A25" s="177" t="s">
        <v>418</v>
      </c>
      <c r="B25" s="178">
        <v>1305</v>
      </c>
    </row>
    <row r="26" spans="1:2" x14ac:dyDescent="0.15">
      <c r="A26" s="177" t="s">
        <v>419</v>
      </c>
      <c r="B26" s="178">
        <v>1629</v>
      </c>
    </row>
    <row r="27" spans="1:2" x14ac:dyDescent="0.15">
      <c r="A27" s="177" t="s">
        <v>420</v>
      </c>
      <c r="B27" s="178">
        <v>2263</v>
      </c>
    </row>
    <row r="28" spans="1:2" x14ac:dyDescent="0.15">
      <c r="A28" s="177" t="s">
        <v>421</v>
      </c>
      <c r="B28" s="178">
        <v>206</v>
      </c>
    </row>
    <row r="29" spans="1:2" x14ac:dyDescent="0.15">
      <c r="A29" s="177" t="s">
        <v>422</v>
      </c>
      <c r="B29" s="178">
        <v>332</v>
      </c>
    </row>
    <row r="30" spans="1:2" x14ac:dyDescent="0.15">
      <c r="A30" s="177" t="s">
        <v>48</v>
      </c>
      <c r="B30" s="178">
        <v>1325</v>
      </c>
    </row>
    <row r="31" spans="1:2" x14ac:dyDescent="0.15">
      <c r="A31" s="177" t="s">
        <v>33</v>
      </c>
      <c r="B31" s="178">
        <v>13337</v>
      </c>
    </row>
    <row r="32" spans="1:2" x14ac:dyDescent="0.15">
      <c r="A32" s="177" t="s">
        <v>29</v>
      </c>
      <c r="B32" s="178">
        <v>7876</v>
      </c>
    </row>
    <row r="33" spans="1:2" x14ac:dyDescent="0.15">
      <c r="A33" s="177" t="s">
        <v>423</v>
      </c>
      <c r="B33" s="178">
        <v>363</v>
      </c>
    </row>
    <row r="34" spans="1:2" x14ac:dyDescent="0.15">
      <c r="A34" s="177" t="s">
        <v>424</v>
      </c>
      <c r="B34" s="178">
        <v>382</v>
      </c>
    </row>
    <row r="35" spans="1:2" x14ac:dyDescent="0.15">
      <c r="A35" s="177" t="s">
        <v>425</v>
      </c>
      <c r="B35" s="178">
        <v>1062</v>
      </c>
    </row>
    <row r="36" spans="1:2" x14ac:dyDescent="0.15">
      <c r="A36" s="177" t="s">
        <v>426</v>
      </c>
      <c r="B36" s="178">
        <v>2324</v>
      </c>
    </row>
    <row r="37" spans="1:2" x14ac:dyDescent="0.15">
      <c r="A37" s="177" t="s">
        <v>427</v>
      </c>
      <c r="B37" s="178">
        <v>665</v>
      </c>
    </row>
    <row r="38" spans="1:2" x14ac:dyDescent="0.15">
      <c r="A38" s="177" t="s">
        <v>428</v>
      </c>
      <c r="B38" s="178">
        <v>4106</v>
      </c>
    </row>
    <row r="39" spans="1:2" x14ac:dyDescent="0.15">
      <c r="A39" s="177" t="s">
        <v>429</v>
      </c>
      <c r="B39" s="178">
        <v>1867</v>
      </c>
    </row>
    <row r="40" spans="1:2" x14ac:dyDescent="0.15">
      <c r="A40" s="177" t="s">
        <v>430</v>
      </c>
      <c r="B40" s="178">
        <v>872</v>
      </c>
    </row>
    <row r="41" spans="1:2" x14ac:dyDescent="0.15">
      <c r="A41" s="177" t="s">
        <v>39</v>
      </c>
      <c r="B41" s="178">
        <v>4046</v>
      </c>
    </row>
    <row r="42" spans="1:2" x14ac:dyDescent="0.15">
      <c r="A42" s="177" t="s">
        <v>431</v>
      </c>
      <c r="B42" s="178">
        <v>1009</v>
      </c>
    </row>
    <row r="43" spans="1:2" x14ac:dyDescent="0.15">
      <c r="A43" s="177" t="s">
        <v>432</v>
      </c>
      <c r="B43" s="178">
        <v>195</v>
      </c>
    </row>
    <row r="44" spans="1:2" x14ac:dyDescent="0.15">
      <c r="A44" s="177" t="s">
        <v>433</v>
      </c>
      <c r="B44" s="178">
        <v>3728</v>
      </c>
    </row>
    <row r="45" spans="1:2" x14ac:dyDescent="0.15">
      <c r="A45" s="177" t="s">
        <v>434</v>
      </c>
      <c r="B45" s="178">
        <v>3914</v>
      </c>
    </row>
    <row r="46" spans="1:2" x14ac:dyDescent="0.15">
      <c r="A46" s="177" t="s">
        <v>435</v>
      </c>
      <c r="B46" s="178">
        <v>2338</v>
      </c>
    </row>
    <row r="47" spans="1:2" x14ac:dyDescent="0.15">
      <c r="A47" s="177" t="s">
        <v>436</v>
      </c>
      <c r="B47" s="178">
        <v>8730</v>
      </c>
    </row>
    <row r="48" spans="1:2" x14ac:dyDescent="0.15">
      <c r="A48" s="177" t="s">
        <v>437</v>
      </c>
      <c r="B48" s="178">
        <v>615</v>
      </c>
    </row>
    <row r="49" spans="1:2" x14ac:dyDescent="0.15">
      <c r="A49" s="177" t="s">
        <v>438</v>
      </c>
      <c r="B49" s="178">
        <v>1388</v>
      </c>
    </row>
    <row r="50" spans="1:2" x14ac:dyDescent="0.15">
      <c r="A50" s="177" t="s">
        <v>439</v>
      </c>
      <c r="B50" s="178">
        <v>3825</v>
      </c>
    </row>
    <row r="51" spans="1:2" x14ac:dyDescent="0.15">
      <c r="A51" s="177" t="s">
        <v>440</v>
      </c>
      <c r="B51" s="178">
        <v>1957</v>
      </c>
    </row>
    <row r="52" spans="1:2" x14ac:dyDescent="0.15">
      <c r="A52" s="177" t="s">
        <v>52</v>
      </c>
      <c r="B52" s="178">
        <v>11552</v>
      </c>
    </row>
    <row r="53" spans="1:2" x14ac:dyDescent="0.15">
      <c r="A53" s="177" t="s">
        <v>441</v>
      </c>
      <c r="B53" s="178">
        <v>3090</v>
      </c>
    </row>
    <row r="54" spans="1:2" x14ac:dyDescent="0.15">
      <c r="A54" s="177" t="s">
        <v>442</v>
      </c>
      <c r="B54" s="178">
        <v>2817</v>
      </c>
    </row>
    <row r="55" spans="1:2" x14ac:dyDescent="0.15">
      <c r="A55" s="177" t="s">
        <v>443</v>
      </c>
      <c r="B55" s="178">
        <v>1580</v>
      </c>
    </row>
    <row r="56" spans="1:2" x14ac:dyDescent="0.15">
      <c r="A56" s="177" t="s">
        <v>444</v>
      </c>
      <c r="B56" s="178">
        <v>1157</v>
      </c>
    </row>
    <row r="57" spans="1:2" x14ac:dyDescent="0.15">
      <c r="A57" s="177" t="s">
        <v>35</v>
      </c>
      <c r="B57" s="178">
        <v>3445</v>
      </c>
    </row>
    <row r="58" spans="1:2" x14ac:dyDescent="0.15">
      <c r="A58" s="177" t="s">
        <v>445</v>
      </c>
      <c r="B58" s="178">
        <v>3082</v>
      </c>
    </row>
    <row r="59" spans="1:2" x14ac:dyDescent="0.15">
      <c r="A59" s="177" t="s">
        <v>446</v>
      </c>
      <c r="B59" s="178">
        <v>2016</v>
      </c>
    </row>
    <row r="60" spans="1:2" x14ac:dyDescent="0.15">
      <c r="A60" s="177" t="s">
        <v>447</v>
      </c>
      <c r="B60" s="178">
        <v>3737</v>
      </c>
    </row>
    <row r="61" spans="1:2" x14ac:dyDescent="0.15">
      <c r="A61" s="177" t="s">
        <v>448</v>
      </c>
      <c r="B61" s="178">
        <v>1415</v>
      </c>
    </row>
    <row r="62" spans="1:2" x14ac:dyDescent="0.15">
      <c r="A62" s="177" t="s">
        <v>449</v>
      </c>
      <c r="B62" s="178">
        <v>1068</v>
      </c>
    </row>
    <row r="63" spans="1:2" x14ac:dyDescent="0.15">
      <c r="A63" s="177" t="s">
        <v>46</v>
      </c>
      <c r="B63" s="178">
        <v>2767</v>
      </c>
    </row>
    <row r="64" spans="1:2" x14ac:dyDescent="0.15">
      <c r="A64" s="177" t="s">
        <v>450</v>
      </c>
      <c r="B64" s="178">
        <v>277</v>
      </c>
    </row>
    <row r="65" spans="1:3" ht="15" customHeight="1" x14ac:dyDescent="0.15">
      <c r="A65" s="177" t="s">
        <v>451</v>
      </c>
      <c r="B65" s="178">
        <v>1602</v>
      </c>
    </row>
    <row r="66" spans="1:3" ht="15" customHeight="1" x14ac:dyDescent="0.15">
      <c r="A66" s="177" t="s">
        <v>452</v>
      </c>
      <c r="B66" s="178">
        <v>2640</v>
      </c>
    </row>
    <row r="67" spans="1:3" ht="15" customHeight="1" x14ac:dyDescent="0.15">
      <c r="A67" s="177" t="s">
        <v>49</v>
      </c>
      <c r="B67" s="178">
        <v>5494</v>
      </c>
    </row>
    <row r="68" spans="1:3" ht="15" customHeight="1" x14ac:dyDescent="0.15">
      <c r="A68" s="177" t="s">
        <v>453</v>
      </c>
      <c r="B68" s="178">
        <v>1683</v>
      </c>
    </row>
    <row r="69" spans="1:3" ht="15" customHeight="1" x14ac:dyDescent="0.15">
      <c r="A69" s="177" t="s">
        <v>37</v>
      </c>
      <c r="B69" s="178">
        <v>3446</v>
      </c>
    </row>
    <row r="70" spans="1:3" ht="15" customHeight="1" x14ac:dyDescent="0.15">
      <c r="A70" s="177" t="s">
        <v>454</v>
      </c>
      <c r="B70" s="178">
        <v>4664</v>
      </c>
    </row>
    <row r="71" spans="1:3" ht="15" customHeight="1" x14ac:dyDescent="0.15">
      <c r="A71" s="177" t="s">
        <v>455</v>
      </c>
      <c r="B71" s="178">
        <v>1055</v>
      </c>
    </row>
    <row r="72" spans="1:3" ht="15" customHeight="1" x14ac:dyDescent="0.15">
      <c r="A72" s="177" t="s">
        <v>456</v>
      </c>
      <c r="B72" s="178">
        <v>1085</v>
      </c>
    </row>
    <row r="73" spans="1:3" ht="15" customHeight="1" x14ac:dyDescent="0.15">
      <c r="A73" s="177" t="s">
        <v>457</v>
      </c>
      <c r="B73" s="178">
        <v>409</v>
      </c>
    </row>
    <row r="74" spans="1:3" ht="15" customHeight="1" x14ac:dyDescent="0.15">
      <c r="A74" s="177" t="s">
        <v>458</v>
      </c>
      <c r="B74" s="178">
        <v>1662</v>
      </c>
    </row>
    <row r="75" spans="1:3" ht="15" customHeight="1" x14ac:dyDescent="0.15">
      <c r="A75" s="177" t="s">
        <v>459</v>
      </c>
      <c r="B75" s="178">
        <v>2239</v>
      </c>
    </row>
    <row r="76" spans="1:3" ht="15" customHeight="1" x14ac:dyDescent="0.15">
      <c r="A76" s="177" t="s">
        <v>460</v>
      </c>
      <c r="B76" s="178">
        <v>1076</v>
      </c>
    </row>
    <row r="77" spans="1:3" ht="15" customHeight="1" x14ac:dyDescent="0.15">
      <c r="A77" s="200"/>
      <c r="B77" s="200"/>
      <c r="C77" s="200"/>
    </row>
    <row r="78" spans="1:3" ht="15" customHeight="1" x14ac:dyDescent="0.15">
      <c r="A78" s="200" t="s">
        <v>463</v>
      </c>
      <c r="B78" s="200"/>
      <c r="C78" s="200"/>
    </row>
  </sheetData>
  <mergeCells count="5">
    <mergeCell ref="A1:C1"/>
    <mergeCell ref="A2:C2"/>
    <mergeCell ref="A3:C3"/>
    <mergeCell ref="A77:C77"/>
    <mergeCell ref="A78:C78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selection activeCell="F19" sqref="F19"/>
    </sheetView>
  </sheetViews>
  <sheetFormatPr baseColWidth="10" defaultColWidth="7.6640625" defaultRowHeight="13" x14ac:dyDescent="0.15"/>
  <cols>
    <col min="1" max="1" width="17.1640625" style="176" customWidth="1"/>
    <col min="2" max="2" width="12.33203125" style="176" customWidth="1"/>
    <col min="3" max="3" width="18.1640625" style="176" customWidth="1"/>
    <col min="4" max="16384" width="7.6640625" style="176"/>
  </cols>
  <sheetData>
    <row r="1" spans="1:3" ht="15" customHeight="1" x14ac:dyDescent="0.15">
      <c r="A1" s="200" t="s">
        <v>396</v>
      </c>
      <c r="B1" s="200"/>
      <c r="C1" s="200"/>
    </row>
    <row r="2" spans="1:3" ht="15" customHeight="1" x14ac:dyDescent="0.15">
      <c r="A2" s="200" t="s">
        <v>464</v>
      </c>
      <c r="B2" s="200"/>
      <c r="C2" s="200"/>
    </row>
    <row r="3" spans="1:3" ht="15" customHeight="1" x14ac:dyDescent="0.15">
      <c r="A3" s="200"/>
      <c r="B3" s="200"/>
      <c r="C3" s="200"/>
    </row>
    <row r="4" spans="1:3" ht="15" customHeight="1" x14ac:dyDescent="0.15">
      <c r="B4" s="177" t="s">
        <v>398</v>
      </c>
    </row>
    <row r="5" spans="1:3" ht="15" customHeight="1" x14ac:dyDescent="0.15">
      <c r="A5" s="177" t="s">
        <v>38</v>
      </c>
      <c r="B5" s="178">
        <v>1888</v>
      </c>
    </row>
    <row r="6" spans="1:3" ht="15" customHeight="1" x14ac:dyDescent="0.15">
      <c r="A6" s="177" t="s">
        <v>399</v>
      </c>
      <c r="B6" s="178">
        <v>2491</v>
      </c>
    </row>
    <row r="7" spans="1:3" ht="15" customHeight="1" x14ac:dyDescent="0.15">
      <c r="A7" s="177" t="s">
        <v>400</v>
      </c>
      <c r="B7" s="178">
        <v>337</v>
      </c>
    </row>
    <row r="8" spans="1:3" ht="15" customHeight="1" x14ac:dyDescent="0.15">
      <c r="A8" s="177" t="s">
        <v>401</v>
      </c>
      <c r="B8" s="178">
        <v>2753</v>
      </c>
    </row>
    <row r="9" spans="1:3" ht="15" customHeight="1" x14ac:dyDescent="0.15">
      <c r="A9" s="177" t="s">
        <v>402</v>
      </c>
      <c r="B9" s="178">
        <v>1809</v>
      </c>
    </row>
    <row r="10" spans="1:3" ht="15" customHeight="1" x14ac:dyDescent="0.15">
      <c r="A10" s="177" t="s">
        <v>403</v>
      </c>
      <c r="B10" s="178">
        <v>2496</v>
      </c>
    </row>
    <row r="11" spans="1:3" ht="15" customHeight="1" x14ac:dyDescent="0.15">
      <c r="A11" s="177" t="s">
        <v>404</v>
      </c>
      <c r="B11" s="178">
        <v>1880</v>
      </c>
    </row>
    <row r="12" spans="1:3" ht="15" customHeight="1" x14ac:dyDescent="0.15">
      <c r="A12" s="177" t="s">
        <v>405</v>
      </c>
      <c r="B12" s="178">
        <v>3676</v>
      </c>
    </row>
    <row r="13" spans="1:3" ht="15" customHeight="1" x14ac:dyDescent="0.15">
      <c r="A13" s="177" t="s">
        <v>406</v>
      </c>
      <c r="B13" s="178">
        <v>4324</v>
      </c>
    </row>
    <row r="14" spans="1:3" ht="15" customHeight="1" x14ac:dyDescent="0.15">
      <c r="A14" s="177" t="s">
        <v>407</v>
      </c>
      <c r="B14" s="178">
        <v>9634</v>
      </c>
    </row>
    <row r="15" spans="1:3" ht="15" customHeight="1" x14ac:dyDescent="0.15">
      <c r="A15" s="177" t="s">
        <v>408</v>
      </c>
      <c r="B15" s="178">
        <v>565</v>
      </c>
    </row>
    <row r="16" spans="1:3" ht="15" customHeight="1" x14ac:dyDescent="0.15">
      <c r="A16" s="177" t="s">
        <v>409</v>
      </c>
      <c r="B16" s="178">
        <v>6089</v>
      </c>
    </row>
    <row r="17" spans="1:2" x14ac:dyDescent="0.15">
      <c r="A17" s="177" t="s">
        <v>410</v>
      </c>
      <c r="B17" s="178">
        <v>332</v>
      </c>
    </row>
    <row r="18" spans="1:2" x14ac:dyDescent="0.15">
      <c r="A18" s="177" t="s">
        <v>411</v>
      </c>
      <c r="B18" s="178">
        <v>1157</v>
      </c>
    </row>
    <row r="19" spans="1:2" x14ac:dyDescent="0.15">
      <c r="A19" s="177" t="s">
        <v>412</v>
      </c>
      <c r="B19" s="178">
        <v>2937</v>
      </c>
    </row>
    <row r="20" spans="1:2" x14ac:dyDescent="0.15">
      <c r="A20" s="177" t="s">
        <v>413</v>
      </c>
      <c r="B20" s="178">
        <v>219</v>
      </c>
    </row>
    <row r="21" spans="1:2" x14ac:dyDescent="0.15">
      <c r="A21" s="177" t="s">
        <v>414</v>
      </c>
      <c r="B21" s="178">
        <v>4129</v>
      </c>
    </row>
    <row r="22" spans="1:2" x14ac:dyDescent="0.15">
      <c r="A22" s="177" t="s">
        <v>415</v>
      </c>
      <c r="B22" s="178">
        <v>972</v>
      </c>
    </row>
    <row r="23" spans="1:2" x14ac:dyDescent="0.15">
      <c r="A23" s="177" t="s">
        <v>416</v>
      </c>
      <c r="B23" s="178">
        <v>1204</v>
      </c>
    </row>
    <row r="24" spans="1:2" x14ac:dyDescent="0.15">
      <c r="A24" s="177" t="s">
        <v>417</v>
      </c>
      <c r="B24" s="178">
        <v>4114</v>
      </c>
    </row>
    <row r="25" spans="1:2" x14ac:dyDescent="0.15">
      <c r="A25" s="177" t="s">
        <v>418</v>
      </c>
      <c r="B25" s="178">
        <v>1642</v>
      </c>
    </row>
    <row r="26" spans="1:2" x14ac:dyDescent="0.15">
      <c r="A26" s="177" t="s">
        <v>419</v>
      </c>
      <c r="B26" s="178">
        <v>1699</v>
      </c>
    </row>
    <row r="27" spans="1:2" x14ac:dyDescent="0.15">
      <c r="A27" s="177" t="s">
        <v>420</v>
      </c>
      <c r="B27" s="178">
        <v>3263</v>
      </c>
    </row>
    <row r="28" spans="1:2" x14ac:dyDescent="0.15">
      <c r="A28" s="177" t="s">
        <v>421</v>
      </c>
      <c r="B28" s="178">
        <v>242</v>
      </c>
    </row>
    <row r="29" spans="1:2" x14ac:dyDescent="0.15">
      <c r="A29" s="177" t="s">
        <v>422</v>
      </c>
      <c r="B29" s="178">
        <v>352</v>
      </c>
    </row>
    <row r="30" spans="1:2" x14ac:dyDescent="0.15">
      <c r="A30" s="177" t="s">
        <v>48</v>
      </c>
      <c r="B30" s="178">
        <v>1841</v>
      </c>
    </row>
    <row r="31" spans="1:2" x14ac:dyDescent="0.15">
      <c r="A31" s="177" t="s">
        <v>33</v>
      </c>
      <c r="B31" s="178">
        <v>20227</v>
      </c>
    </row>
    <row r="32" spans="1:2" x14ac:dyDescent="0.15">
      <c r="A32" s="177" t="s">
        <v>29</v>
      </c>
      <c r="B32" s="178">
        <v>10889</v>
      </c>
    </row>
    <row r="33" spans="1:2" x14ac:dyDescent="0.15">
      <c r="A33" s="177" t="s">
        <v>423</v>
      </c>
      <c r="B33" s="178">
        <v>418</v>
      </c>
    </row>
    <row r="34" spans="1:2" x14ac:dyDescent="0.15">
      <c r="A34" s="177" t="s">
        <v>424</v>
      </c>
      <c r="B34" s="178">
        <v>388</v>
      </c>
    </row>
    <row r="35" spans="1:2" x14ac:dyDescent="0.15">
      <c r="A35" s="177" t="s">
        <v>425</v>
      </c>
      <c r="B35" s="178">
        <v>1401</v>
      </c>
    </row>
    <row r="36" spans="1:2" x14ac:dyDescent="0.15">
      <c r="A36" s="177" t="s">
        <v>426</v>
      </c>
      <c r="B36" s="178">
        <v>3307</v>
      </c>
    </row>
    <row r="37" spans="1:2" x14ac:dyDescent="0.15">
      <c r="A37" s="177" t="s">
        <v>427</v>
      </c>
      <c r="B37" s="178">
        <v>537</v>
      </c>
    </row>
    <row r="38" spans="1:2" x14ac:dyDescent="0.15">
      <c r="A38" s="177" t="s">
        <v>428</v>
      </c>
      <c r="B38" s="178">
        <v>4806</v>
      </c>
    </row>
    <row r="39" spans="1:2" x14ac:dyDescent="0.15">
      <c r="A39" s="177" t="s">
        <v>429</v>
      </c>
      <c r="B39" s="178">
        <v>2044</v>
      </c>
    </row>
    <row r="40" spans="1:2" x14ac:dyDescent="0.15">
      <c r="A40" s="177" t="s">
        <v>430</v>
      </c>
      <c r="B40" s="178">
        <v>1014</v>
      </c>
    </row>
    <row r="41" spans="1:2" x14ac:dyDescent="0.15">
      <c r="A41" s="177" t="s">
        <v>39</v>
      </c>
      <c r="B41" s="178">
        <v>4653</v>
      </c>
    </row>
    <row r="42" spans="1:2" x14ac:dyDescent="0.15">
      <c r="A42" s="177" t="s">
        <v>431</v>
      </c>
      <c r="B42" s="178">
        <v>1444</v>
      </c>
    </row>
    <row r="43" spans="1:2" x14ac:dyDescent="0.15">
      <c r="A43" s="177" t="s">
        <v>432</v>
      </c>
      <c r="B43" s="178">
        <v>445</v>
      </c>
    </row>
    <row r="44" spans="1:2" x14ac:dyDescent="0.15">
      <c r="A44" s="177" t="s">
        <v>433</v>
      </c>
      <c r="B44" s="178">
        <v>4347</v>
      </c>
    </row>
    <row r="45" spans="1:2" x14ac:dyDescent="0.15">
      <c r="A45" s="177" t="s">
        <v>434</v>
      </c>
      <c r="B45" s="178">
        <v>4637</v>
      </c>
    </row>
    <row r="46" spans="1:2" x14ac:dyDescent="0.15">
      <c r="A46" s="177" t="s">
        <v>435</v>
      </c>
      <c r="B46" s="178">
        <v>3107</v>
      </c>
    </row>
    <row r="47" spans="1:2" x14ac:dyDescent="0.15">
      <c r="A47" s="177" t="s">
        <v>436</v>
      </c>
      <c r="B47" s="178">
        <v>8834</v>
      </c>
    </row>
    <row r="48" spans="1:2" x14ac:dyDescent="0.15">
      <c r="A48" s="177" t="s">
        <v>437</v>
      </c>
      <c r="B48" s="178">
        <v>964</v>
      </c>
    </row>
    <row r="49" spans="1:2" x14ac:dyDescent="0.15">
      <c r="A49" s="177" t="s">
        <v>438</v>
      </c>
      <c r="B49" s="178">
        <v>1746</v>
      </c>
    </row>
    <row r="50" spans="1:2" x14ac:dyDescent="0.15">
      <c r="A50" s="177" t="s">
        <v>439</v>
      </c>
      <c r="B50" s="178">
        <v>4679</v>
      </c>
    </row>
    <row r="51" spans="1:2" x14ac:dyDescent="0.15">
      <c r="A51" s="177" t="s">
        <v>440</v>
      </c>
      <c r="B51" s="178">
        <v>2404</v>
      </c>
    </row>
    <row r="52" spans="1:2" x14ac:dyDescent="0.15">
      <c r="A52" s="177" t="s">
        <v>52</v>
      </c>
      <c r="B52" s="178">
        <v>14339</v>
      </c>
    </row>
    <row r="53" spans="1:2" x14ac:dyDescent="0.15">
      <c r="A53" s="177" t="s">
        <v>441</v>
      </c>
      <c r="B53" s="178">
        <v>3433</v>
      </c>
    </row>
    <row r="54" spans="1:2" x14ac:dyDescent="0.15">
      <c r="A54" s="177" t="s">
        <v>442</v>
      </c>
      <c r="B54" s="178">
        <v>2947</v>
      </c>
    </row>
    <row r="55" spans="1:2" x14ac:dyDescent="0.15">
      <c r="A55" s="177" t="s">
        <v>443</v>
      </c>
      <c r="B55" s="178">
        <v>1662</v>
      </c>
    </row>
    <row r="56" spans="1:2" x14ac:dyDescent="0.15">
      <c r="A56" s="177" t="s">
        <v>444</v>
      </c>
      <c r="B56" s="178">
        <v>1315</v>
      </c>
    </row>
    <row r="57" spans="1:2" x14ac:dyDescent="0.15">
      <c r="A57" s="177" t="s">
        <v>35</v>
      </c>
      <c r="B57" s="178">
        <v>3771</v>
      </c>
    </row>
    <row r="58" spans="1:2" x14ac:dyDescent="0.15">
      <c r="A58" s="177" t="s">
        <v>445</v>
      </c>
      <c r="B58" s="178">
        <v>3732</v>
      </c>
    </row>
    <row r="59" spans="1:2" x14ac:dyDescent="0.15">
      <c r="A59" s="177" t="s">
        <v>446</v>
      </c>
      <c r="B59" s="178">
        <v>3298</v>
      </c>
    </row>
    <row r="60" spans="1:2" x14ac:dyDescent="0.15">
      <c r="A60" s="177" t="s">
        <v>447</v>
      </c>
      <c r="B60" s="178">
        <v>4861</v>
      </c>
    </row>
    <row r="61" spans="1:2" x14ac:dyDescent="0.15">
      <c r="A61" s="177" t="s">
        <v>448</v>
      </c>
      <c r="B61" s="178">
        <v>2083</v>
      </c>
    </row>
    <row r="62" spans="1:2" x14ac:dyDescent="0.15">
      <c r="A62" s="177" t="s">
        <v>449</v>
      </c>
      <c r="B62" s="178">
        <v>1221</v>
      </c>
    </row>
    <row r="63" spans="1:2" x14ac:dyDescent="0.15">
      <c r="A63" s="177" t="s">
        <v>46</v>
      </c>
      <c r="B63" s="178">
        <v>3126</v>
      </c>
    </row>
    <row r="64" spans="1:2" x14ac:dyDescent="0.15">
      <c r="A64" s="177" t="s">
        <v>450</v>
      </c>
      <c r="B64" s="178">
        <v>258</v>
      </c>
    </row>
    <row r="65" spans="1:3" ht="15" customHeight="1" x14ac:dyDescent="0.15">
      <c r="A65" s="177" t="s">
        <v>451</v>
      </c>
      <c r="B65" s="178">
        <v>1587</v>
      </c>
    </row>
    <row r="66" spans="1:3" ht="15" customHeight="1" x14ac:dyDescent="0.15">
      <c r="A66" s="177" t="s">
        <v>452</v>
      </c>
      <c r="B66" s="178">
        <v>5415</v>
      </c>
    </row>
    <row r="67" spans="1:3" ht="15" customHeight="1" x14ac:dyDescent="0.15">
      <c r="A67" s="177" t="s">
        <v>49</v>
      </c>
      <c r="B67" s="178">
        <v>6256</v>
      </c>
    </row>
    <row r="68" spans="1:3" ht="15" customHeight="1" x14ac:dyDescent="0.15">
      <c r="A68" s="177" t="s">
        <v>453</v>
      </c>
      <c r="B68" s="178">
        <v>2550</v>
      </c>
    </row>
    <row r="69" spans="1:3" ht="15" customHeight="1" x14ac:dyDescent="0.15">
      <c r="A69" s="177" t="s">
        <v>37</v>
      </c>
      <c r="B69" s="178">
        <v>3511</v>
      </c>
    </row>
    <row r="70" spans="1:3" ht="15" customHeight="1" x14ac:dyDescent="0.15">
      <c r="A70" s="177" t="s">
        <v>454</v>
      </c>
      <c r="B70" s="178">
        <v>6255</v>
      </c>
    </row>
    <row r="71" spans="1:3" ht="15" customHeight="1" x14ac:dyDescent="0.15">
      <c r="A71" s="177" t="s">
        <v>455</v>
      </c>
      <c r="B71" s="178">
        <v>1182</v>
      </c>
    </row>
    <row r="72" spans="1:3" ht="15" customHeight="1" x14ac:dyDescent="0.15">
      <c r="A72" s="177" t="s">
        <v>456</v>
      </c>
      <c r="B72" s="178">
        <v>1437</v>
      </c>
    </row>
    <row r="73" spans="1:3" ht="15" customHeight="1" x14ac:dyDescent="0.15">
      <c r="A73" s="177" t="s">
        <v>457</v>
      </c>
      <c r="B73" s="178">
        <v>495</v>
      </c>
    </row>
    <row r="74" spans="1:3" ht="15" customHeight="1" x14ac:dyDescent="0.15">
      <c r="A74" s="177" t="s">
        <v>458</v>
      </c>
      <c r="B74" s="178">
        <v>1600</v>
      </c>
    </row>
    <row r="75" spans="1:3" ht="15" customHeight="1" x14ac:dyDescent="0.15">
      <c r="A75" s="177" t="s">
        <v>459</v>
      </c>
      <c r="B75" s="178">
        <v>2659</v>
      </c>
    </row>
    <row r="76" spans="1:3" ht="15" customHeight="1" x14ac:dyDescent="0.15">
      <c r="A76" s="177" t="s">
        <v>460</v>
      </c>
      <c r="B76" s="178">
        <v>1236</v>
      </c>
    </row>
    <row r="77" spans="1:3" ht="15" customHeight="1" x14ac:dyDescent="0.15">
      <c r="A77" s="200"/>
      <c r="B77" s="200"/>
      <c r="C77" s="200"/>
    </row>
    <row r="78" spans="1:3" ht="15" customHeight="1" x14ac:dyDescent="0.15">
      <c r="A78" s="200" t="s">
        <v>463</v>
      </c>
      <c r="B78" s="200"/>
      <c r="C78" s="200"/>
    </row>
  </sheetData>
  <mergeCells count="5">
    <mergeCell ref="A1:C1"/>
    <mergeCell ref="A2:C2"/>
    <mergeCell ref="A3:C3"/>
    <mergeCell ref="A77:C77"/>
    <mergeCell ref="A78:C78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selection activeCell="F11" sqref="F11"/>
    </sheetView>
  </sheetViews>
  <sheetFormatPr baseColWidth="10" defaultColWidth="7.6640625" defaultRowHeight="13" x14ac:dyDescent="0.15"/>
  <cols>
    <col min="1" max="1" width="17.1640625" style="176" customWidth="1"/>
    <col min="2" max="2" width="12.33203125" style="176" customWidth="1"/>
    <col min="3" max="3" width="18.1640625" style="176" customWidth="1"/>
    <col min="4" max="16384" width="7.6640625" style="176"/>
  </cols>
  <sheetData>
    <row r="1" spans="1:3" ht="15" customHeight="1" x14ac:dyDescent="0.15">
      <c r="A1" s="200" t="s">
        <v>396</v>
      </c>
      <c r="B1" s="200"/>
      <c r="C1" s="200"/>
    </row>
    <row r="2" spans="1:3" ht="15" customHeight="1" x14ac:dyDescent="0.15">
      <c r="A2" s="200" t="s">
        <v>462</v>
      </c>
      <c r="B2" s="200"/>
      <c r="C2" s="200"/>
    </row>
    <row r="3" spans="1:3" ht="15" customHeight="1" x14ac:dyDescent="0.15">
      <c r="A3" s="200"/>
      <c r="B3" s="200"/>
      <c r="C3" s="200"/>
    </row>
    <row r="4" spans="1:3" ht="15" customHeight="1" x14ac:dyDescent="0.15">
      <c r="B4" s="177" t="s">
        <v>461</v>
      </c>
    </row>
    <row r="5" spans="1:3" ht="15" customHeight="1" x14ac:dyDescent="0.15">
      <c r="A5" s="177" t="s">
        <v>38</v>
      </c>
      <c r="B5" s="178">
        <v>9518</v>
      </c>
    </row>
    <row r="6" spans="1:3" ht="15" customHeight="1" x14ac:dyDescent="0.15">
      <c r="A6" s="177" t="s">
        <v>399</v>
      </c>
      <c r="B6" s="178">
        <v>14631</v>
      </c>
    </row>
    <row r="7" spans="1:3" ht="15" customHeight="1" x14ac:dyDescent="0.15">
      <c r="A7" s="177" t="s">
        <v>400</v>
      </c>
      <c r="B7" s="178">
        <v>3865</v>
      </c>
    </row>
    <row r="8" spans="1:3" ht="15" customHeight="1" x14ac:dyDescent="0.15">
      <c r="A8" s="177" t="s">
        <v>401</v>
      </c>
      <c r="B8" s="178">
        <v>10279</v>
      </c>
    </row>
    <row r="9" spans="1:3" ht="15" customHeight="1" x14ac:dyDescent="0.15">
      <c r="A9" s="177" t="s">
        <v>402</v>
      </c>
      <c r="B9" s="178">
        <v>8654</v>
      </c>
    </row>
    <row r="10" spans="1:3" ht="15" customHeight="1" x14ac:dyDescent="0.15">
      <c r="A10" s="177" t="s">
        <v>403</v>
      </c>
      <c r="B10" s="178">
        <v>20719</v>
      </c>
    </row>
    <row r="11" spans="1:3" ht="15" customHeight="1" x14ac:dyDescent="0.15">
      <c r="A11" s="177" t="s">
        <v>404</v>
      </c>
      <c r="B11" s="178">
        <v>12619</v>
      </c>
    </row>
    <row r="12" spans="1:3" ht="15" customHeight="1" x14ac:dyDescent="0.15">
      <c r="A12" s="177" t="s">
        <v>405</v>
      </c>
      <c r="B12" s="178">
        <v>17401</v>
      </c>
    </row>
    <row r="13" spans="1:3" ht="15" customHeight="1" x14ac:dyDescent="0.15">
      <c r="A13" s="177" t="s">
        <v>406</v>
      </c>
      <c r="B13" s="178">
        <v>11063</v>
      </c>
    </row>
    <row r="14" spans="1:3" ht="15" customHeight="1" x14ac:dyDescent="0.15">
      <c r="A14" s="177" t="s">
        <v>407</v>
      </c>
      <c r="B14" s="178">
        <v>33554</v>
      </c>
    </row>
    <row r="15" spans="1:3" ht="15" customHeight="1" x14ac:dyDescent="0.15">
      <c r="A15" s="177" t="s">
        <v>408</v>
      </c>
      <c r="B15" s="178">
        <v>5305</v>
      </c>
    </row>
    <row r="16" spans="1:3" ht="15" customHeight="1" x14ac:dyDescent="0.15">
      <c r="A16" s="177" t="s">
        <v>409</v>
      </c>
      <c r="B16" s="178">
        <v>19264</v>
      </c>
    </row>
    <row r="17" spans="1:2" x14ac:dyDescent="0.15">
      <c r="A17" s="177" t="s">
        <v>410</v>
      </c>
      <c r="B17" s="178">
        <v>1837</v>
      </c>
    </row>
    <row r="18" spans="1:2" x14ac:dyDescent="0.15">
      <c r="A18" s="177" t="s">
        <v>411</v>
      </c>
      <c r="B18" s="178">
        <v>8881</v>
      </c>
    </row>
    <row r="19" spans="1:2" x14ac:dyDescent="0.15">
      <c r="A19" s="177" t="s">
        <v>412</v>
      </c>
      <c r="B19" s="178">
        <v>17737</v>
      </c>
    </row>
    <row r="20" spans="1:2" x14ac:dyDescent="0.15">
      <c r="A20" s="177" t="s">
        <v>413</v>
      </c>
      <c r="B20" s="178">
        <v>1511</v>
      </c>
    </row>
    <row r="21" spans="1:2" x14ac:dyDescent="0.15">
      <c r="A21" s="177" t="s">
        <v>414</v>
      </c>
      <c r="B21" s="178">
        <v>18017</v>
      </c>
    </row>
    <row r="22" spans="1:2" x14ac:dyDescent="0.15">
      <c r="A22" s="177" t="s">
        <v>415</v>
      </c>
      <c r="B22" s="178">
        <v>3601</v>
      </c>
    </row>
    <row r="23" spans="1:2" x14ac:dyDescent="0.15">
      <c r="A23" s="177" t="s">
        <v>416</v>
      </c>
      <c r="B23" s="178">
        <v>12244</v>
      </c>
    </row>
    <row r="24" spans="1:2" x14ac:dyDescent="0.15">
      <c r="A24" s="177" t="s">
        <v>417</v>
      </c>
      <c r="B24" s="178">
        <v>19998</v>
      </c>
    </row>
    <row r="25" spans="1:2" x14ac:dyDescent="0.15">
      <c r="A25" s="177" t="s">
        <v>418</v>
      </c>
      <c r="B25" s="178">
        <v>7864</v>
      </c>
    </row>
    <row r="26" spans="1:2" x14ac:dyDescent="0.15">
      <c r="A26" s="177" t="s">
        <v>419</v>
      </c>
      <c r="B26" s="178">
        <v>7809</v>
      </c>
    </row>
    <row r="27" spans="1:2" x14ac:dyDescent="0.15">
      <c r="A27" s="177" t="s">
        <v>420</v>
      </c>
      <c r="B27" s="178">
        <v>21631</v>
      </c>
    </row>
    <row r="28" spans="1:2" x14ac:dyDescent="0.15">
      <c r="A28" s="177" t="s">
        <v>421</v>
      </c>
      <c r="B28" s="178">
        <v>1997</v>
      </c>
    </row>
    <row r="29" spans="1:2" x14ac:dyDescent="0.15">
      <c r="A29" s="177" t="s">
        <v>422</v>
      </c>
      <c r="B29" s="178">
        <v>2986</v>
      </c>
    </row>
    <row r="30" spans="1:2" x14ac:dyDescent="0.15">
      <c r="A30" s="177" t="s">
        <v>48</v>
      </c>
      <c r="B30" s="178">
        <v>22112</v>
      </c>
    </row>
    <row r="31" spans="1:2" x14ac:dyDescent="0.15">
      <c r="A31" s="177" t="s">
        <v>33</v>
      </c>
      <c r="B31" s="178">
        <v>112494</v>
      </c>
    </row>
    <row r="32" spans="1:2" x14ac:dyDescent="0.15">
      <c r="A32" s="177" t="s">
        <v>29</v>
      </c>
      <c r="B32" s="178">
        <v>61415</v>
      </c>
    </row>
    <row r="33" spans="1:2" x14ac:dyDescent="0.15">
      <c r="A33" s="177" t="s">
        <v>423</v>
      </c>
      <c r="B33" s="178">
        <v>3194</v>
      </c>
    </row>
    <row r="34" spans="1:2" x14ac:dyDescent="0.15">
      <c r="A34" s="177" t="s">
        <v>424</v>
      </c>
      <c r="B34" s="178">
        <v>3402</v>
      </c>
    </row>
    <row r="35" spans="1:2" x14ac:dyDescent="0.15">
      <c r="A35" s="177" t="s">
        <v>425</v>
      </c>
      <c r="B35" s="178">
        <v>9490</v>
      </c>
    </row>
    <row r="36" spans="1:2" x14ac:dyDescent="0.15">
      <c r="A36" s="177" t="s">
        <v>426</v>
      </c>
      <c r="B36" s="178">
        <v>9754</v>
      </c>
    </row>
    <row r="37" spans="1:2" x14ac:dyDescent="0.15">
      <c r="A37" s="177" t="s">
        <v>427</v>
      </c>
      <c r="B37" s="178">
        <v>4117</v>
      </c>
    </row>
    <row r="38" spans="1:2" x14ac:dyDescent="0.15">
      <c r="A38" s="177" t="s">
        <v>428</v>
      </c>
      <c r="B38" s="178">
        <v>26194</v>
      </c>
    </row>
    <row r="39" spans="1:2" x14ac:dyDescent="0.15">
      <c r="A39" s="177" t="s">
        <v>429</v>
      </c>
      <c r="B39" s="178">
        <v>13918</v>
      </c>
    </row>
    <row r="40" spans="1:2" x14ac:dyDescent="0.15">
      <c r="A40" s="177" t="s">
        <v>430</v>
      </c>
      <c r="B40" s="178">
        <v>4796</v>
      </c>
    </row>
    <row r="41" spans="1:2" x14ac:dyDescent="0.15">
      <c r="A41" s="177" t="s">
        <v>39</v>
      </c>
      <c r="B41" s="178">
        <v>29733</v>
      </c>
    </row>
    <row r="42" spans="1:2" x14ac:dyDescent="0.15">
      <c r="A42" s="177" t="s">
        <v>431</v>
      </c>
      <c r="B42" s="178">
        <v>4637</v>
      </c>
    </row>
    <row r="43" spans="1:2" x14ac:dyDescent="0.15">
      <c r="A43" s="177" t="s">
        <v>432</v>
      </c>
      <c r="B43" s="178">
        <v>2264</v>
      </c>
    </row>
    <row r="44" spans="1:2" x14ac:dyDescent="0.15">
      <c r="A44" s="177" t="s">
        <v>433</v>
      </c>
      <c r="B44" s="178">
        <v>14724</v>
      </c>
    </row>
    <row r="45" spans="1:2" x14ac:dyDescent="0.15">
      <c r="A45" s="177" t="s">
        <v>434</v>
      </c>
      <c r="B45" s="178">
        <v>21670</v>
      </c>
    </row>
    <row r="46" spans="1:2" x14ac:dyDescent="0.15">
      <c r="A46" s="177" t="s">
        <v>435</v>
      </c>
      <c r="B46" s="178">
        <v>18984</v>
      </c>
    </row>
    <row r="47" spans="1:2" x14ac:dyDescent="0.15">
      <c r="A47" s="177" t="s">
        <v>436</v>
      </c>
      <c r="B47" s="178">
        <v>19771</v>
      </c>
    </row>
    <row r="48" spans="1:2" x14ac:dyDescent="0.15">
      <c r="A48" s="177" t="s">
        <v>437</v>
      </c>
      <c r="B48" s="178">
        <v>4116</v>
      </c>
    </row>
    <row r="49" spans="1:2" x14ac:dyDescent="0.15">
      <c r="A49" s="177" t="s">
        <v>438</v>
      </c>
      <c r="B49" s="178">
        <v>12335</v>
      </c>
    </row>
    <row r="50" spans="1:2" x14ac:dyDescent="0.15">
      <c r="A50" s="177" t="s">
        <v>439</v>
      </c>
      <c r="B50" s="178">
        <v>29524</v>
      </c>
    </row>
    <row r="51" spans="1:2" x14ac:dyDescent="0.15">
      <c r="A51" s="177" t="s">
        <v>440</v>
      </c>
      <c r="B51" s="178">
        <v>17330</v>
      </c>
    </row>
    <row r="52" spans="1:2" x14ac:dyDescent="0.15">
      <c r="A52" s="177" t="s">
        <v>52</v>
      </c>
      <c r="B52" s="178">
        <v>35407</v>
      </c>
    </row>
    <row r="53" spans="1:2" x14ac:dyDescent="0.15">
      <c r="A53" s="177" t="s">
        <v>441</v>
      </c>
      <c r="B53" s="178">
        <v>16235</v>
      </c>
    </row>
    <row r="54" spans="1:2" x14ac:dyDescent="0.15">
      <c r="A54" s="177" t="s">
        <v>442</v>
      </c>
      <c r="B54" s="178">
        <v>18586</v>
      </c>
    </row>
    <row r="55" spans="1:2" x14ac:dyDescent="0.15">
      <c r="A55" s="177" t="s">
        <v>443</v>
      </c>
      <c r="B55" s="178">
        <v>12796</v>
      </c>
    </row>
    <row r="56" spans="1:2" x14ac:dyDescent="0.15">
      <c r="A56" s="177" t="s">
        <v>444</v>
      </c>
      <c r="B56" s="178">
        <v>5622</v>
      </c>
    </row>
    <row r="57" spans="1:2" x14ac:dyDescent="0.15">
      <c r="A57" s="177" t="s">
        <v>35</v>
      </c>
      <c r="B57" s="178">
        <v>15154</v>
      </c>
    </row>
    <row r="58" spans="1:2" x14ac:dyDescent="0.15">
      <c r="A58" s="177" t="s">
        <v>445</v>
      </c>
      <c r="B58" s="178">
        <v>11257</v>
      </c>
    </row>
    <row r="59" spans="1:2" x14ac:dyDescent="0.15">
      <c r="A59" s="177" t="s">
        <v>446</v>
      </c>
      <c r="B59" s="178">
        <v>10052</v>
      </c>
    </row>
    <row r="60" spans="1:2" x14ac:dyDescent="0.15">
      <c r="A60" s="177" t="s">
        <v>447</v>
      </c>
      <c r="B60" s="178">
        <v>21870</v>
      </c>
    </row>
    <row r="61" spans="1:2" x14ac:dyDescent="0.15">
      <c r="A61" s="177" t="s">
        <v>448</v>
      </c>
      <c r="B61" s="178">
        <v>10276</v>
      </c>
    </row>
    <row r="62" spans="1:2" x14ac:dyDescent="0.15">
      <c r="A62" s="177" t="s">
        <v>449</v>
      </c>
      <c r="B62" s="178">
        <v>6496</v>
      </c>
    </row>
    <row r="63" spans="1:2" x14ac:dyDescent="0.15">
      <c r="A63" s="177" t="s">
        <v>46</v>
      </c>
      <c r="B63" s="178">
        <v>13661</v>
      </c>
    </row>
    <row r="64" spans="1:2" x14ac:dyDescent="0.15">
      <c r="A64" s="177" t="s">
        <v>450</v>
      </c>
      <c r="B64" s="178">
        <v>1483</v>
      </c>
    </row>
    <row r="65" spans="1:3" ht="15" customHeight="1" x14ac:dyDescent="0.15">
      <c r="A65" s="177" t="s">
        <v>451</v>
      </c>
      <c r="B65" s="178">
        <v>7219</v>
      </c>
    </row>
    <row r="66" spans="1:3" ht="15" customHeight="1" x14ac:dyDescent="0.15">
      <c r="A66" s="177" t="s">
        <v>452</v>
      </c>
      <c r="B66" s="178">
        <v>12517</v>
      </c>
    </row>
    <row r="67" spans="1:3" ht="15" customHeight="1" x14ac:dyDescent="0.15">
      <c r="A67" s="177" t="s">
        <v>49</v>
      </c>
      <c r="B67" s="178">
        <v>16459</v>
      </c>
    </row>
    <row r="68" spans="1:3" ht="15" customHeight="1" x14ac:dyDescent="0.15">
      <c r="A68" s="177" t="s">
        <v>453</v>
      </c>
      <c r="B68" s="178">
        <v>16827</v>
      </c>
    </row>
    <row r="69" spans="1:3" ht="15" customHeight="1" x14ac:dyDescent="0.15">
      <c r="A69" s="177" t="s">
        <v>37</v>
      </c>
      <c r="B69" s="178">
        <v>32348</v>
      </c>
    </row>
    <row r="70" spans="1:3" ht="15" customHeight="1" x14ac:dyDescent="0.15">
      <c r="A70" s="177" t="s">
        <v>454</v>
      </c>
      <c r="B70" s="178">
        <v>22899</v>
      </c>
    </row>
    <row r="71" spans="1:3" ht="15" customHeight="1" x14ac:dyDescent="0.15">
      <c r="A71" s="177" t="s">
        <v>455</v>
      </c>
      <c r="B71" s="178">
        <v>12234</v>
      </c>
    </row>
    <row r="72" spans="1:3" ht="15" customHeight="1" x14ac:dyDescent="0.15">
      <c r="A72" s="177" t="s">
        <v>456</v>
      </c>
      <c r="B72" s="178">
        <v>5714</v>
      </c>
    </row>
    <row r="73" spans="1:3" ht="15" customHeight="1" x14ac:dyDescent="0.15">
      <c r="A73" s="177" t="s">
        <v>457</v>
      </c>
      <c r="B73" s="178">
        <v>2741</v>
      </c>
    </row>
    <row r="74" spans="1:3" ht="15" customHeight="1" x14ac:dyDescent="0.15">
      <c r="A74" s="177" t="s">
        <v>458</v>
      </c>
      <c r="B74" s="178">
        <v>9021</v>
      </c>
    </row>
    <row r="75" spans="1:3" ht="15" customHeight="1" x14ac:dyDescent="0.15">
      <c r="A75" s="177" t="s">
        <v>459</v>
      </c>
      <c r="B75" s="178">
        <v>18318</v>
      </c>
    </row>
    <row r="76" spans="1:3" ht="15" customHeight="1" x14ac:dyDescent="0.15">
      <c r="A76" s="177" t="s">
        <v>460</v>
      </c>
      <c r="B76" s="178">
        <v>8940</v>
      </c>
    </row>
    <row r="77" spans="1:3" ht="15" customHeight="1" x14ac:dyDescent="0.15">
      <c r="A77" s="200"/>
      <c r="B77" s="200"/>
      <c r="C77" s="200"/>
    </row>
    <row r="78" spans="1:3" ht="15" customHeight="1" x14ac:dyDescent="0.15">
      <c r="A78" s="200" t="s">
        <v>463</v>
      </c>
      <c r="B78" s="200"/>
      <c r="C78" s="200"/>
    </row>
  </sheetData>
  <mergeCells count="5">
    <mergeCell ref="A1:C1"/>
    <mergeCell ref="A2:C2"/>
    <mergeCell ref="A3:C3"/>
    <mergeCell ref="A77:C77"/>
    <mergeCell ref="A78:C78"/>
  </mergeCell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selection activeCell="D10" sqref="D10"/>
    </sheetView>
  </sheetViews>
  <sheetFormatPr baseColWidth="10" defaultColWidth="7.6640625" defaultRowHeight="13" x14ac:dyDescent="0.15"/>
  <cols>
    <col min="1" max="1" width="17.1640625" style="176" customWidth="1"/>
    <col min="2" max="2" width="12.33203125" style="176" customWidth="1"/>
    <col min="3" max="3" width="18.1640625" style="176" customWidth="1"/>
    <col min="4" max="16384" width="7.6640625" style="176"/>
  </cols>
  <sheetData>
    <row r="1" spans="1:3" ht="15" customHeight="1" x14ac:dyDescent="0.15">
      <c r="A1" s="200" t="s">
        <v>396</v>
      </c>
      <c r="B1" s="200"/>
      <c r="C1" s="200"/>
    </row>
    <row r="2" spans="1:3" ht="15" customHeight="1" x14ac:dyDescent="0.15">
      <c r="A2" s="200" t="s">
        <v>462</v>
      </c>
      <c r="B2" s="200"/>
      <c r="C2" s="200"/>
    </row>
    <row r="3" spans="1:3" ht="15" customHeight="1" x14ac:dyDescent="0.15">
      <c r="A3" s="200"/>
      <c r="B3" s="200"/>
      <c r="C3" s="200"/>
    </row>
    <row r="4" spans="1:3" ht="15" customHeight="1" x14ac:dyDescent="0.15">
      <c r="B4" s="177" t="s">
        <v>398</v>
      </c>
    </row>
    <row r="5" spans="1:3" ht="15" customHeight="1" x14ac:dyDescent="0.15">
      <c r="A5" s="177" t="s">
        <v>38</v>
      </c>
      <c r="B5" s="178">
        <v>9416</v>
      </c>
    </row>
    <row r="6" spans="1:3" ht="15" customHeight="1" x14ac:dyDescent="0.15">
      <c r="A6" s="177" t="s">
        <v>399</v>
      </c>
      <c r="B6" s="178">
        <v>14343</v>
      </c>
    </row>
    <row r="7" spans="1:3" ht="15" customHeight="1" x14ac:dyDescent="0.15">
      <c r="A7" s="177" t="s">
        <v>400</v>
      </c>
      <c r="B7" s="178">
        <v>3495</v>
      </c>
    </row>
    <row r="8" spans="1:3" ht="15" customHeight="1" x14ac:dyDescent="0.15">
      <c r="A8" s="177" t="s">
        <v>401</v>
      </c>
      <c r="B8" s="178">
        <v>9549</v>
      </c>
    </row>
    <row r="9" spans="1:3" ht="15" customHeight="1" x14ac:dyDescent="0.15">
      <c r="A9" s="177" t="s">
        <v>402</v>
      </c>
      <c r="B9" s="178">
        <v>7685</v>
      </c>
    </row>
    <row r="10" spans="1:3" ht="15" customHeight="1" x14ac:dyDescent="0.15">
      <c r="A10" s="177" t="s">
        <v>403</v>
      </c>
      <c r="B10" s="178">
        <v>20129</v>
      </c>
    </row>
    <row r="11" spans="1:3" ht="15" customHeight="1" x14ac:dyDescent="0.15">
      <c r="A11" s="177" t="s">
        <v>404</v>
      </c>
      <c r="B11" s="178">
        <v>12480</v>
      </c>
    </row>
    <row r="12" spans="1:3" ht="15" customHeight="1" x14ac:dyDescent="0.15">
      <c r="A12" s="177" t="s">
        <v>405</v>
      </c>
      <c r="B12" s="178">
        <v>18398</v>
      </c>
    </row>
    <row r="13" spans="1:3" ht="15" customHeight="1" x14ac:dyDescent="0.15">
      <c r="A13" s="177" t="s">
        <v>406</v>
      </c>
      <c r="B13" s="178">
        <v>11343</v>
      </c>
    </row>
    <row r="14" spans="1:3" ht="15" customHeight="1" x14ac:dyDescent="0.15">
      <c r="A14" s="177" t="s">
        <v>407</v>
      </c>
      <c r="B14" s="178">
        <v>33899</v>
      </c>
    </row>
    <row r="15" spans="1:3" ht="15" customHeight="1" x14ac:dyDescent="0.15">
      <c r="A15" s="177" t="s">
        <v>408</v>
      </c>
      <c r="B15" s="178">
        <v>5508</v>
      </c>
    </row>
    <row r="16" spans="1:3" ht="15" customHeight="1" x14ac:dyDescent="0.15">
      <c r="A16" s="177" t="s">
        <v>409</v>
      </c>
      <c r="B16" s="178">
        <v>19538</v>
      </c>
    </row>
    <row r="17" spans="1:2" x14ac:dyDescent="0.15">
      <c r="A17" s="177" t="s">
        <v>410</v>
      </c>
      <c r="B17" s="178">
        <v>1921</v>
      </c>
    </row>
    <row r="18" spans="1:2" x14ac:dyDescent="0.15">
      <c r="A18" s="177" t="s">
        <v>411</v>
      </c>
      <c r="B18" s="178">
        <v>9340</v>
      </c>
    </row>
    <row r="19" spans="1:2" x14ac:dyDescent="0.15">
      <c r="A19" s="177" t="s">
        <v>412</v>
      </c>
      <c r="B19" s="178">
        <v>17951</v>
      </c>
    </row>
    <row r="20" spans="1:2" x14ac:dyDescent="0.15">
      <c r="A20" s="177" t="s">
        <v>413</v>
      </c>
      <c r="B20" s="178">
        <v>1645</v>
      </c>
    </row>
    <row r="21" spans="1:2" x14ac:dyDescent="0.15">
      <c r="A21" s="177" t="s">
        <v>414</v>
      </c>
      <c r="B21" s="178">
        <v>17354</v>
      </c>
    </row>
    <row r="22" spans="1:2" x14ac:dyDescent="0.15">
      <c r="A22" s="177" t="s">
        <v>415</v>
      </c>
      <c r="B22" s="178">
        <v>3582</v>
      </c>
    </row>
    <row r="23" spans="1:2" x14ac:dyDescent="0.15">
      <c r="A23" s="177" t="s">
        <v>416</v>
      </c>
      <c r="B23" s="178">
        <v>13000</v>
      </c>
    </row>
    <row r="24" spans="1:2" x14ac:dyDescent="0.15">
      <c r="A24" s="177" t="s">
        <v>417</v>
      </c>
      <c r="B24" s="178">
        <v>19896</v>
      </c>
    </row>
    <row r="25" spans="1:2" x14ac:dyDescent="0.15">
      <c r="A25" s="177" t="s">
        <v>418</v>
      </c>
      <c r="B25" s="178">
        <v>7821</v>
      </c>
    </row>
    <row r="26" spans="1:2" x14ac:dyDescent="0.15">
      <c r="A26" s="177" t="s">
        <v>419</v>
      </c>
      <c r="B26" s="178">
        <v>7905</v>
      </c>
    </row>
    <row r="27" spans="1:2" x14ac:dyDescent="0.15">
      <c r="A27" s="177" t="s">
        <v>420</v>
      </c>
      <c r="B27" s="178">
        <v>18763</v>
      </c>
    </row>
    <row r="28" spans="1:2" x14ac:dyDescent="0.15">
      <c r="A28" s="177" t="s">
        <v>421</v>
      </c>
      <c r="B28" s="178">
        <v>2093</v>
      </c>
    </row>
    <row r="29" spans="1:2" x14ac:dyDescent="0.15">
      <c r="A29" s="177" t="s">
        <v>422</v>
      </c>
      <c r="B29" s="178">
        <v>2610</v>
      </c>
    </row>
    <row r="30" spans="1:2" x14ac:dyDescent="0.15">
      <c r="A30" s="177" t="s">
        <v>48</v>
      </c>
      <c r="B30" s="178">
        <v>21285</v>
      </c>
    </row>
    <row r="31" spans="1:2" x14ac:dyDescent="0.15">
      <c r="A31" s="177" t="s">
        <v>33</v>
      </c>
      <c r="B31" s="178">
        <v>109566</v>
      </c>
    </row>
    <row r="32" spans="1:2" x14ac:dyDescent="0.15">
      <c r="A32" s="177" t="s">
        <v>29</v>
      </c>
      <c r="B32" s="178">
        <v>59418</v>
      </c>
    </row>
    <row r="33" spans="1:2" x14ac:dyDescent="0.15">
      <c r="A33" s="177" t="s">
        <v>423</v>
      </c>
      <c r="B33" s="178">
        <v>2602</v>
      </c>
    </row>
    <row r="34" spans="1:2" x14ac:dyDescent="0.15">
      <c r="A34" s="177" t="s">
        <v>424</v>
      </c>
      <c r="B34" s="178">
        <v>3369</v>
      </c>
    </row>
    <row r="35" spans="1:2" x14ac:dyDescent="0.15">
      <c r="A35" s="177" t="s">
        <v>425</v>
      </c>
      <c r="B35" s="178">
        <v>9558</v>
      </c>
    </row>
    <row r="36" spans="1:2" x14ac:dyDescent="0.15">
      <c r="A36" s="177" t="s">
        <v>426</v>
      </c>
      <c r="B36" s="178">
        <v>9941</v>
      </c>
    </row>
    <row r="37" spans="1:2" x14ac:dyDescent="0.15">
      <c r="A37" s="177" t="s">
        <v>427</v>
      </c>
      <c r="B37" s="178">
        <v>4062</v>
      </c>
    </row>
    <row r="38" spans="1:2" x14ac:dyDescent="0.15">
      <c r="A38" s="177" t="s">
        <v>428</v>
      </c>
      <c r="B38" s="178">
        <v>25905</v>
      </c>
    </row>
    <row r="39" spans="1:2" x14ac:dyDescent="0.15">
      <c r="A39" s="177" t="s">
        <v>429</v>
      </c>
      <c r="B39" s="178">
        <v>14276</v>
      </c>
    </row>
    <row r="40" spans="1:2" x14ac:dyDescent="0.15">
      <c r="A40" s="177" t="s">
        <v>430</v>
      </c>
      <c r="B40" s="178">
        <v>4608</v>
      </c>
    </row>
    <row r="41" spans="1:2" x14ac:dyDescent="0.15">
      <c r="A41" s="177" t="s">
        <v>39</v>
      </c>
      <c r="B41" s="178">
        <v>29492</v>
      </c>
    </row>
    <row r="42" spans="1:2" x14ac:dyDescent="0.15">
      <c r="A42" s="177" t="s">
        <v>431</v>
      </c>
      <c r="B42" s="178">
        <v>4391</v>
      </c>
    </row>
    <row r="43" spans="1:2" x14ac:dyDescent="0.15">
      <c r="A43" s="177" t="s">
        <v>432</v>
      </c>
      <c r="B43" s="178">
        <v>2497</v>
      </c>
    </row>
    <row r="44" spans="1:2" x14ac:dyDescent="0.15">
      <c r="A44" s="177" t="s">
        <v>433</v>
      </c>
      <c r="B44" s="178">
        <v>14358</v>
      </c>
    </row>
    <row r="45" spans="1:2" x14ac:dyDescent="0.15">
      <c r="A45" s="177" t="s">
        <v>434</v>
      </c>
      <c r="B45" s="178">
        <v>20497</v>
      </c>
    </row>
    <row r="46" spans="1:2" x14ac:dyDescent="0.15">
      <c r="A46" s="177" t="s">
        <v>435</v>
      </c>
      <c r="B46" s="178">
        <v>17898</v>
      </c>
    </row>
    <row r="47" spans="1:2" x14ac:dyDescent="0.15">
      <c r="A47" s="177" t="s">
        <v>436</v>
      </c>
      <c r="B47" s="178">
        <v>19983</v>
      </c>
    </row>
    <row r="48" spans="1:2" x14ac:dyDescent="0.15">
      <c r="A48" s="177" t="s">
        <v>437</v>
      </c>
      <c r="B48" s="178">
        <v>3839</v>
      </c>
    </row>
    <row r="49" spans="1:2" x14ac:dyDescent="0.15">
      <c r="A49" s="177" t="s">
        <v>438</v>
      </c>
      <c r="B49" s="178">
        <v>11817</v>
      </c>
    </row>
    <row r="50" spans="1:2" x14ac:dyDescent="0.15">
      <c r="A50" s="177" t="s">
        <v>439</v>
      </c>
      <c r="B50" s="178">
        <v>29821</v>
      </c>
    </row>
    <row r="51" spans="1:2" x14ac:dyDescent="0.15">
      <c r="A51" s="177" t="s">
        <v>440</v>
      </c>
      <c r="B51" s="178">
        <v>17254</v>
      </c>
    </row>
    <row r="52" spans="1:2" x14ac:dyDescent="0.15">
      <c r="A52" s="177" t="s">
        <v>52</v>
      </c>
      <c r="B52" s="178">
        <v>34335</v>
      </c>
    </row>
    <row r="53" spans="1:2" x14ac:dyDescent="0.15">
      <c r="A53" s="177" t="s">
        <v>441</v>
      </c>
      <c r="B53" s="178">
        <v>15073</v>
      </c>
    </row>
    <row r="54" spans="1:2" x14ac:dyDescent="0.15">
      <c r="A54" s="177" t="s">
        <v>442</v>
      </c>
      <c r="B54" s="178">
        <v>17225</v>
      </c>
    </row>
    <row r="55" spans="1:2" x14ac:dyDescent="0.15">
      <c r="A55" s="177" t="s">
        <v>443</v>
      </c>
      <c r="B55" s="178">
        <v>12031</v>
      </c>
    </row>
    <row r="56" spans="1:2" x14ac:dyDescent="0.15">
      <c r="A56" s="177" t="s">
        <v>444</v>
      </c>
      <c r="B56" s="178">
        <v>5518</v>
      </c>
    </row>
    <row r="57" spans="1:2" x14ac:dyDescent="0.15">
      <c r="A57" s="177" t="s">
        <v>35</v>
      </c>
      <c r="B57" s="178">
        <v>13349</v>
      </c>
    </row>
    <row r="58" spans="1:2" x14ac:dyDescent="0.15">
      <c r="A58" s="177" t="s">
        <v>445</v>
      </c>
      <c r="B58" s="178">
        <v>10963</v>
      </c>
    </row>
    <row r="59" spans="1:2" x14ac:dyDescent="0.15">
      <c r="A59" s="177" t="s">
        <v>446</v>
      </c>
      <c r="B59" s="178">
        <v>11750</v>
      </c>
    </row>
    <row r="60" spans="1:2" x14ac:dyDescent="0.15">
      <c r="A60" s="177" t="s">
        <v>447</v>
      </c>
      <c r="B60" s="178">
        <v>21364</v>
      </c>
    </row>
    <row r="61" spans="1:2" x14ac:dyDescent="0.15">
      <c r="A61" s="177" t="s">
        <v>448</v>
      </c>
      <c r="B61" s="178">
        <v>10494</v>
      </c>
    </row>
    <row r="62" spans="1:2" x14ac:dyDescent="0.15">
      <c r="A62" s="177" t="s">
        <v>449</v>
      </c>
      <c r="B62" s="178">
        <v>6044</v>
      </c>
    </row>
    <row r="63" spans="1:2" x14ac:dyDescent="0.15">
      <c r="A63" s="177" t="s">
        <v>46</v>
      </c>
      <c r="B63" s="178">
        <v>12856</v>
      </c>
    </row>
    <row r="64" spans="1:2" x14ac:dyDescent="0.15">
      <c r="A64" s="177" t="s">
        <v>450</v>
      </c>
      <c r="B64" s="178">
        <v>1421</v>
      </c>
    </row>
    <row r="65" spans="1:3" ht="15" customHeight="1" x14ac:dyDescent="0.15">
      <c r="A65" s="177" t="s">
        <v>451</v>
      </c>
      <c r="B65" s="178">
        <v>7134</v>
      </c>
    </row>
    <row r="66" spans="1:3" ht="15" customHeight="1" x14ac:dyDescent="0.15">
      <c r="A66" s="177" t="s">
        <v>452</v>
      </c>
      <c r="B66" s="178">
        <v>12067</v>
      </c>
    </row>
    <row r="67" spans="1:3" ht="15" customHeight="1" x14ac:dyDescent="0.15">
      <c r="A67" s="177" t="s">
        <v>49</v>
      </c>
      <c r="B67" s="178">
        <v>16615</v>
      </c>
    </row>
    <row r="68" spans="1:3" ht="15" customHeight="1" x14ac:dyDescent="0.15">
      <c r="A68" s="177" t="s">
        <v>453</v>
      </c>
      <c r="B68" s="178">
        <v>16977</v>
      </c>
    </row>
    <row r="69" spans="1:3" ht="15" customHeight="1" x14ac:dyDescent="0.15">
      <c r="A69" s="177" t="s">
        <v>37</v>
      </c>
      <c r="B69" s="178">
        <v>32850</v>
      </c>
    </row>
    <row r="70" spans="1:3" ht="15" customHeight="1" x14ac:dyDescent="0.15">
      <c r="A70" s="177" t="s">
        <v>454</v>
      </c>
      <c r="B70" s="178">
        <v>23237</v>
      </c>
    </row>
    <row r="71" spans="1:3" ht="15" customHeight="1" x14ac:dyDescent="0.15">
      <c r="A71" s="177" t="s">
        <v>455</v>
      </c>
      <c r="B71" s="178">
        <v>12233</v>
      </c>
    </row>
    <row r="72" spans="1:3" ht="15" customHeight="1" x14ac:dyDescent="0.15">
      <c r="A72" s="177" t="s">
        <v>456</v>
      </c>
      <c r="B72" s="178">
        <v>5852</v>
      </c>
    </row>
    <row r="73" spans="1:3" ht="15" customHeight="1" x14ac:dyDescent="0.15">
      <c r="A73" s="177" t="s">
        <v>457</v>
      </c>
      <c r="B73" s="178">
        <v>2931</v>
      </c>
    </row>
    <row r="74" spans="1:3" ht="15" customHeight="1" x14ac:dyDescent="0.15">
      <c r="A74" s="177" t="s">
        <v>458</v>
      </c>
      <c r="B74" s="178">
        <v>8319</v>
      </c>
    </row>
    <row r="75" spans="1:3" ht="15" customHeight="1" x14ac:dyDescent="0.15">
      <c r="A75" s="177" t="s">
        <v>459</v>
      </c>
      <c r="B75" s="178">
        <v>18318</v>
      </c>
    </row>
    <row r="76" spans="1:3" ht="15" customHeight="1" x14ac:dyDescent="0.15">
      <c r="A76" s="177" t="s">
        <v>460</v>
      </c>
      <c r="B76" s="178">
        <v>8916</v>
      </c>
    </row>
    <row r="77" spans="1:3" ht="15" customHeight="1" x14ac:dyDescent="0.15">
      <c r="A77" s="200"/>
      <c r="B77" s="200"/>
      <c r="C77" s="200"/>
    </row>
    <row r="78" spans="1:3" ht="15" customHeight="1" x14ac:dyDescent="0.15">
      <c r="A78" s="200" t="s">
        <v>463</v>
      </c>
      <c r="B78" s="200"/>
      <c r="C78" s="200"/>
    </row>
  </sheetData>
  <mergeCells count="5">
    <mergeCell ref="A1:C1"/>
    <mergeCell ref="A2:C2"/>
    <mergeCell ref="A3:C3"/>
    <mergeCell ref="A77:C77"/>
    <mergeCell ref="A78:C78"/>
  </mergeCell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selection activeCell="G17" sqref="G17"/>
    </sheetView>
  </sheetViews>
  <sheetFormatPr baseColWidth="10" defaultColWidth="7.5" defaultRowHeight="15" x14ac:dyDescent="0.2"/>
  <cols>
    <col min="1" max="1" width="17.1640625" customWidth="1"/>
    <col min="2" max="2" width="12.33203125" customWidth="1"/>
    <col min="3" max="3" width="18.1640625" customWidth="1"/>
  </cols>
  <sheetData>
    <row r="1" spans="1:3" x14ac:dyDescent="0.2">
      <c r="A1" s="200" t="s">
        <v>396</v>
      </c>
      <c r="B1" s="200"/>
      <c r="C1" s="200"/>
    </row>
    <row r="2" spans="1:3" x14ac:dyDescent="0.2">
      <c r="A2" s="200" t="s">
        <v>397</v>
      </c>
      <c r="B2" s="200"/>
      <c r="C2" s="200"/>
    </row>
    <row r="3" spans="1:3" x14ac:dyDescent="0.2">
      <c r="A3" s="200"/>
      <c r="B3" s="200"/>
      <c r="C3" s="200"/>
    </row>
    <row r="4" spans="1:3" x14ac:dyDescent="0.2">
      <c r="A4" s="176"/>
      <c r="B4" s="177" t="s">
        <v>461</v>
      </c>
      <c r="C4" s="176"/>
    </row>
    <row r="5" spans="1:3" x14ac:dyDescent="0.2">
      <c r="A5" s="177" t="s">
        <v>38</v>
      </c>
      <c r="B5" s="178">
        <v>140</v>
      </c>
      <c r="C5" s="176"/>
    </row>
    <row r="6" spans="1:3" x14ac:dyDescent="0.2">
      <c r="A6" s="177" t="s">
        <v>399</v>
      </c>
      <c r="B6" s="178">
        <v>107</v>
      </c>
      <c r="C6" s="176"/>
    </row>
    <row r="7" spans="1:3" x14ac:dyDescent="0.2">
      <c r="A7" s="177" t="s">
        <v>400</v>
      </c>
      <c r="B7" s="178">
        <v>10</v>
      </c>
      <c r="C7" s="176"/>
    </row>
    <row r="8" spans="1:3" x14ac:dyDescent="0.2">
      <c r="A8" s="177" t="s">
        <v>401</v>
      </c>
      <c r="B8" s="178">
        <v>179</v>
      </c>
      <c r="C8" s="176"/>
    </row>
    <row r="9" spans="1:3" x14ac:dyDescent="0.2">
      <c r="A9" s="177" t="s">
        <v>402</v>
      </c>
      <c r="B9" s="178">
        <v>167</v>
      </c>
      <c r="C9" s="176"/>
    </row>
    <row r="10" spans="1:3" x14ac:dyDescent="0.2">
      <c r="A10" s="177" t="s">
        <v>403</v>
      </c>
      <c r="B10" s="178">
        <v>347</v>
      </c>
      <c r="C10" s="176"/>
    </row>
    <row r="11" spans="1:3" x14ac:dyDescent="0.2">
      <c r="A11" s="177" t="s">
        <v>404</v>
      </c>
      <c r="B11" s="178">
        <v>185</v>
      </c>
      <c r="C11" s="176"/>
    </row>
    <row r="12" spans="1:3" x14ac:dyDescent="0.2">
      <c r="A12" s="177" t="s">
        <v>405</v>
      </c>
      <c r="B12" s="178">
        <v>402</v>
      </c>
      <c r="C12" s="176"/>
    </row>
    <row r="13" spans="1:3" x14ac:dyDescent="0.2">
      <c r="A13" s="177" t="s">
        <v>406</v>
      </c>
      <c r="B13" s="178">
        <v>500</v>
      </c>
      <c r="C13" s="176"/>
    </row>
    <row r="14" spans="1:3" x14ac:dyDescent="0.2">
      <c r="A14" s="177" t="s">
        <v>407</v>
      </c>
      <c r="B14" s="178">
        <v>984</v>
      </c>
      <c r="C14" s="176"/>
    </row>
    <row r="15" spans="1:3" x14ac:dyDescent="0.2">
      <c r="A15" s="177" t="s">
        <v>408</v>
      </c>
      <c r="B15" s="179">
        <v>0</v>
      </c>
      <c r="C15" s="176"/>
    </row>
    <row r="16" spans="1:3" x14ac:dyDescent="0.2">
      <c r="A16" s="177" t="s">
        <v>409</v>
      </c>
      <c r="B16" s="178">
        <v>798</v>
      </c>
      <c r="C16" s="176"/>
    </row>
    <row r="17" spans="1:3" x14ac:dyDescent="0.2">
      <c r="A17" s="177" t="s">
        <v>410</v>
      </c>
      <c r="B17" s="178">
        <v>27</v>
      </c>
      <c r="C17" s="176"/>
    </row>
    <row r="18" spans="1:3" x14ac:dyDescent="0.2">
      <c r="A18" s="177" t="s">
        <v>411</v>
      </c>
      <c r="B18" s="178">
        <v>304</v>
      </c>
      <c r="C18" s="176"/>
    </row>
    <row r="19" spans="1:3" x14ac:dyDescent="0.2">
      <c r="A19" s="177" t="s">
        <v>412</v>
      </c>
      <c r="B19" s="178">
        <v>177</v>
      </c>
      <c r="C19" s="176"/>
    </row>
    <row r="20" spans="1:3" x14ac:dyDescent="0.2">
      <c r="A20" s="177" t="s">
        <v>413</v>
      </c>
      <c r="B20" s="178">
        <v>12</v>
      </c>
      <c r="C20" s="176"/>
    </row>
    <row r="21" spans="1:3" x14ac:dyDescent="0.2">
      <c r="A21" s="177" t="s">
        <v>414</v>
      </c>
      <c r="B21" s="178">
        <v>397</v>
      </c>
      <c r="C21" s="176"/>
    </row>
    <row r="22" spans="1:3" x14ac:dyDescent="0.2">
      <c r="A22" s="177" t="s">
        <v>415</v>
      </c>
      <c r="B22" s="178">
        <v>58</v>
      </c>
      <c r="C22" s="176"/>
    </row>
    <row r="23" spans="1:3" x14ac:dyDescent="0.2">
      <c r="A23" s="177" t="s">
        <v>416</v>
      </c>
      <c r="B23" s="178">
        <v>212</v>
      </c>
      <c r="C23" s="176"/>
    </row>
    <row r="24" spans="1:3" x14ac:dyDescent="0.2">
      <c r="A24" s="177" t="s">
        <v>417</v>
      </c>
      <c r="B24" s="178">
        <v>590</v>
      </c>
      <c r="C24" s="176"/>
    </row>
    <row r="25" spans="1:3" x14ac:dyDescent="0.2">
      <c r="A25" s="177" t="s">
        <v>418</v>
      </c>
      <c r="B25" s="178">
        <v>193</v>
      </c>
      <c r="C25" s="176"/>
    </row>
    <row r="26" spans="1:3" x14ac:dyDescent="0.2">
      <c r="A26" s="177" t="s">
        <v>419</v>
      </c>
      <c r="B26" s="178">
        <v>249</v>
      </c>
      <c r="C26" s="176"/>
    </row>
    <row r="27" spans="1:3" x14ac:dyDescent="0.2">
      <c r="A27" s="177" t="s">
        <v>420</v>
      </c>
      <c r="B27" s="178">
        <v>296</v>
      </c>
      <c r="C27" s="176"/>
    </row>
    <row r="28" spans="1:3" x14ac:dyDescent="0.2">
      <c r="A28" s="177" t="s">
        <v>421</v>
      </c>
      <c r="B28" s="178">
        <v>38</v>
      </c>
      <c r="C28" s="176"/>
    </row>
    <row r="29" spans="1:3" x14ac:dyDescent="0.2">
      <c r="A29" s="177" t="s">
        <v>422</v>
      </c>
      <c r="B29" s="178">
        <v>28</v>
      </c>
      <c r="C29" s="176"/>
    </row>
    <row r="30" spans="1:3" x14ac:dyDescent="0.2">
      <c r="A30" s="177" t="s">
        <v>48</v>
      </c>
      <c r="B30" s="178">
        <v>463</v>
      </c>
      <c r="C30" s="176"/>
    </row>
    <row r="31" spans="1:3" x14ac:dyDescent="0.2">
      <c r="A31" s="177" t="s">
        <v>33</v>
      </c>
      <c r="B31" s="178">
        <v>645</v>
      </c>
      <c r="C31" s="176"/>
    </row>
    <row r="32" spans="1:3" x14ac:dyDescent="0.2">
      <c r="A32" s="177" t="s">
        <v>29</v>
      </c>
      <c r="B32" s="178">
        <v>861</v>
      </c>
      <c r="C32" s="176"/>
    </row>
    <row r="33" spans="1:3" x14ac:dyDescent="0.2">
      <c r="A33" s="177" t="s">
        <v>423</v>
      </c>
      <c r="B33" s="178">
        <v>62</v>
      </c>
      <c r="C33" s="176"/>
    </row>
    <row r="34" spans="1:3" x14ac:dyDescent="0.2">
      <c r="A34" s="177" t="s">
        <v>424</v>
      </c>
      <c r="B34" s="178">
        <v>74</v>
      </c>
      <c r="C34" s="176"/>
    </row>
    <row r="35" spans="1:3" x14ac:dyDescent="0.2">
      <c r="A35" s="177" t="s">
        <v>425</v>
      </c>
      <c r="B35" s="178">
        <v>252</v>
      </c>
      <c r="C35" s="176"/>
    </row>
    <row r="36" spans="1:3" x14ac:dyDescent="0.2">
      <c r="A36" s="177" t="s">
        <v>426</v>
      </c>
      <c r="B36" s="178">
        <v>152</v>
      </c>
      <c r="C36" s="176"/>
    </row>
    <row r="37" spans="1:3" x14ac:dyDescent="0.2">
      <c r="A37" s="177" t="s">
        <v>427</v>
      </c>
      <c r="B37" s="178">
        <v>175</v>
      </c>
      <c r="C37" s="176"/>
    </row>
    <row r="38" spans="1:3" x14ac:dyDescent="0.2">
      <c r="A38" s="177" t="s">
        <v>428</v>
      </c>
      <c r="B38" s="178">
        <v>330</v>
      </c>
      <c r="C38" s="176"/>
    </row>
    <row r="39" spans="1:3" x14ac:dyDescent="0.2">
      <c r="A39" s="177" t="s">
        <v>429</v>
      </c>
      <c r="B39" s="178">
        <v>183</v>
      </c>
      <c r="C39" s="176"/>
    </row>
    <row r="40" spans="1:3" x14ac:dyDescent="0.2">
      <c r="A40" s="177" t="s">
        <v>430</v>
      </c>
      <c r="B40" s="178">
        <v>75</v>
      </c>
      <c r="C40" s="176"/>
    </row>
    <row r="41" spans="1:3" x14ac:dyDescent="0.2">
      <c r="A41" s="177" t="s">
        <v>39</v>
      </c>
      <c r="B41" s="178">
        <v>869</v>
      </c>
      <c r="C41" s="176"/>
    </row>
    <row r="42" spans="1:3" x14ac:dyDescent="0.2">
      <c r="A42" s="177" t="s">
        <v>431</v>
      </c>
      <c r="B42" s="178">
        <v>153</v>
      </c>
      <c r="C42" s="176"/>
    </row>
    <row r="43" spans="1:3" x14ac:dyDescent="0.2">
      <c r="A43" s="177" t="s">
        <v>432</v>
      </c>
      <c r="B43" s="179">
        <v>1</v>
      </c>
      <c r="C43" s="176"/>
    </row>
    <row r="44" spans="1:3" x14ac:dyDescent="0.2">
      <c r="A44" s="177" t="s">
        <v>433</v>
      </c>
      <c r="B44" s="178">
        <v>165</v>
      </c>
      <c r="C44" s="176"/>
    </row>
    <row r="45" spans="1:3" x14ac:dyDescent="0.2">
      <c r="A45" s="177" t="s">
        <v>434</v>
      </c>
      <c r="B45" s="178">
        <v>557</v>
      </c>
      <c r="C45" s="176"/>
    </row>
    <row r="46" spans="1:3" x14ac:dyDescent="0.2">
      <c r="A46" s="177" t="s">
        <v>435</v>
      </c>
      <c r="B46" s="178">
        <v>202</v>
      </c>
      <c r="C46" s="176"/>
    </row>
    <row r="47" spans="1:3" x14ac:dyDescent="0.2">
      <c r="A47" s="177" t="s">
        <v>436</v>
      </c>
      <c r="B47" s="178">
        <v>605</v>
      </c>
      <c r="C47" s="176"/>
    </row>
    <row r="48" spans="1:3" x14ac:dyDescent="0.2">
      <c r="A48" s="177" t="s">
        <v>437</v>
      </c>
      <c r="B48" s="179">
        <v>0</v>
      </c>
      <c r="C48" s="176"/>
    </row>
    <row r="49" spans="1:3" x14ac:dyDescent="0.2">
      <c r="A49" s="177" t="s">
        <v>438</v>
      </c>
      <c r="B49" s="178">
        <v>298</v>
      </c>
      <c r="C49" s="176"/>
    </row>
    <row r="50" spans="1:3" x14ac:dyDescent="0.2">
      <c r="A50" s="177" t="s">
        <v>439</v>
      </c>
      <c r="B50" s="178">
        <v>183</v>
      </c>
      <c r="C50" s="176"/>
    </row>
    <row r="51" spans="1:3" x14ac:dyDescent="0.2">
      <c r="A51" s="177" t="s">
        <v>440</v>
      </c>
      <c r="B51" s="178">
        <v>305</v>
      </c>
      <c r="C51" s="176"/>
    </row>
    <row r="52" spans="1:3" x14ac:dyDescent="0.2">
      <c r="A52" s="177" t="s">
        <v>52</v>
      </c>
      <c r="B52" s="178">
        <v>1056</v>
      </c>
      <c r="C52" s="176"/>
    </row>
    <row r="53" spans="1:3" x14ac:dyDescent="0.2">
      <c r="A53" s="177" t="s">
        <v>441</v>
      </c>
      <c r="B53" s="178">
        <v>199</v>
      </c>
      <c r="C53" s="176"/>
    </row>
    <row r="54" spans="1:3" x14ac:dyDescent="0.2">
      <c r="A54" s="177" t="s">
        <v>442</v>
      </c>
      <c r="B54" s="178">
        <v>86</v>
      </c>
      <c r="C54" s="176"/>
    </row>
    <row r="55" spans="1:3" x14ac:dyDescent="0.2">
      <c r="A55" s="177" t="s">
        <v>443</v>
      </c>
      <c r="B55" s="178">
        <v>177</v>
      </c>
      <c r="C55" s="176"/>
    </row>
    <row r="56" spans="1:3" x14ac:dyDescent="0.2">
      <c r="A56" s="177" t="s">
        <v>444</v>
      </c>
      <c r="B56" s="178">
        <v>321</v>
      </c>
      <c r="C56" s="176"/>
    </row>
    <row r="57" spans="1:3" x14ac:dyDescent="0.2">
      <c r="A57" s="177" t="s">
        <v>35</v>
      </c>
      <c r="B57" s="178">
        <v>485</v>
      </c>
      <c r="C57" s="176"/>
    </row>
    <row r="58" spans="1:3" x14ac:dyDescent="0.2">
      <c r="A58" s="177" t="s">
        <v>445</v>
      </c>
      <c r="B58" s="179">
        <v>0</v>
      </c>
      <c r="C58" s="176"/>
    </row>
    <row r="59" spans="1:3" x14ac:dyDescent="0.2">
      <c r="A59" s="177" t="s">
        <v>446</v>
      </c>
      <c r="B59" s="178">
        <v>291</v>
      </c>
      <c r="C59" s="176"/>
    </row>
    <row r="60" spans="1:3" x14ac:dyDescent="0.2">
      <c r="A60" s="177" t="s">
        <v>447</v>
      </c>
      <c r="B60" s="178">
        <v>287</v>
      </c>
      <c r="C60" s="176"/>
    </row>
    <row r="61" spans="1:3" x14ac:dyDescent="0.2">
      <c r="A61" s="177" t="s">
        <v>448</v>
      </c>
      <c r="B61" s="178">
        <v>99</v>
      </c>
      <c r="C61" s="176"/>
    </row>
    <row r="62" spans="1:3" x14ac:dyDescent="0.2">
      <c r="A62" s="177" t="s">
        <v>449</v>
      </c>
      <c r="B62" s="178">
        <v>141</v>
      </c>
      <c r="C62" s="176"/>
    </row>
    <row r="63" spans="1:3" x14ac:dyDescent="0.2">
      <c r="A63" s="177" t="s">
        <v>46</v>
      </c>
      <c r="B63" s="178">
        <v>498</v>
      </c>
      <c r="C63" s="176"/>
    </row>
    <row r="64" spans="1:3" x14ac:dyDescent="0.2">
      <c r="A64" s="177" t="s">
        <v>450</v>
      </c>
      <c r="B64" s="178">
        <v>9</v>
      </c>
      <c r="C64" s="176"/>
    </row>
    <row r="65" spans="1:3" x14ac:dyDescent="0.2">
      <c r="A65" s="177" t="s">
        <v>451</v>
      </c>
      <c r="B65" s="178">
        <v>39</v>
      </c>
      <c r="C65" s="176"/>
    </row>
    <row r="66" spans="1:3" x14ac:dyDescent="0.2">
      <c r="A66" s="177" t="s">
        <v>452</v>
      </c>
      <c r="B66" s="178">
        <v>430</v>
      </c>
      <c r="C66" s="176"/>
    </row>
    <row r="67" spans="1:3" x14ac:dyDescent="0.2">
      <c r="A67" s="177" t="s">
        <v>49</v>
      </c>
      <c r="B67" s="178">
        <v>699</v>
      </c>
      <c r="C67" s="176"/>
    </row>
    <row r="68" spans="1:3" x14ac:dyDescent="0.2">
      <c r="A68" s="177" t="s">
        <v>453</v>
      </c>
      <c r="B68" s="178">
        <v>407</v>
      </c>
      <c r="C68" s="176"/>
    </row>
    <row r="69" spans="1:3" x14ac:dyDescent="0.2">
      <c r="A69" s="177" t="s">
        <v>37</v>
      </c>
      <c r="B69" s="178">
        <v>569</v>
      </c>
      <c r="C69" s="176"/>
    </row>
    <row r="70" spans="1:3" x14ac:dyDescent="0.2">
      <c r="A70" s="177" t="s">
        <v>454</v>
      </c>
      <c r="B70" s="178">
        <v>1093</v>
      </c>
      <c r="C70" s="176"/>
    </row>
    <row r="71" spans="1:3" x14ac:dyDescent="0.2">
      <c r="A71" s="177" t="s">
        <v>455</v>
      </c>
      <c r="B71" s="178">
        <v>43</v>
      </c>
      <c r="C71" s="176"/>
    </row>
    <row r="72" spans="1:3" x14ac:dyDescent="0.2">
      <c r="A72" s="177" t="s">
        <v>456</v>
      </c>
      <c r="B72" s="178">
        <v>26</v>
      </c>
      <c r="C72" s="176"/>
    </row>
    <row r="73" spans="1:3" x14ac:dyDescent="0.2">
      <c r="A73" s="177" t="s">
        <v>457</v>
      </c>
      <c r="B73" s="178">
        <v>28</v>
      </c>
      <c r="C73" s="176"/>
    </row>
    <row r="74" spans="1:3" x14ac:dyDescent="0.2">
      <c r="A74" s="177" t="s">
        <v>458</v>
      </c>
      <c r="B74" s="178">
        <v>423</v>
      </c>
      <c r="C74" s="176"/>
    </row>
    <row r="75" spans="1:3" x14ac:dyDescent="0.2">
      <c r="A75" s="177" t="s">
        <v>459</v>
      </c>
      <c r="B75" s="178">
        <v>270</v>
      </c>
      <c r="C75" s="176"/>
    </row>
    <row r="76" spans="1:3" x14ac:dyDescent="0.2">
      <c r="A76" s="177" t="s">
        <v>460</v>
      </c>
      <c r="B76" s="178">
        <v>61</v>
      </c>
      <c r="C76" s="176"/>
    </row>
    <row r="78" spans="1:3" x14ac:dyDescent="0.2">
      <c r="B78" s="85">
        <f>SUM(B5:B77)</f>
        <v>20747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selection activeCell="F12" sqref="F12"/>
    </sheetView>
  </sheetViews>
  <sheetFormatPr baseColWidth="10" defaultColWidth="7.5" defaultRowHeight="15" x14ac:dyDescent="0.2"/>
  <cols>
    <col min="1" max="1" width="17.1640625" customWidth="1"/>
    <col min="2" max="2" width="12.33203125" customWidth="1"/>
    <col min="3" max="3" width="18.1640625" customWidth="1"/>
  </cols>
  <sheetData>
    <row r="1" spans="1:3" x14ac:dyDescent="0.2">
      <c r="A1" s="200" t="s">
        <v>396</v>
      </c>
      <c r="B1" s="200"/>
      <c r="C1" s="200"/>
    </row>
    <row r="2" spans="1:3" x14ac:dyDescent="0.2">
      <c r="A2" s="200" t="s">
        <v>397</v>
      </c>
      <c r="B2" s="200"/>
      <c r="C2" s="200"/>
    </row>
    <row r="3" spans="1:3" x14ac:dyDescent="0.2">
      <c r="A3" s="200"/>
      <c r="B3" s="200"/>
      <c r="C3" s="200"/>
    </row>
    <row r="4" spans="1:3" x14ac:dyDescent="0.2">
      <c r="A4" s="176"/>
      <c r="B4" s="177" t="s">
        <v>398</v>
      </c>
      <c r="C4" s="176"/>
    </row>
    <row r="5" spans="1:3" x14ac:dyDescent="0.2">
      <c r="A5" s="177" t="s">
        <v>38</v>
      </c>
      <c r="B5" s="178">
        <v>194</v>
      </c>
      <c r="C5" s="176"/>
    </row>
    <row r="6" spans="1:3" x14ac:dyDescent="0.2">
      <c r="A6" s="177" t="s">
        <v>399</v>
      </c>
      <c r="B6" s="178">
        <v>319</v>
      </c>
      <c r="C6" s="176"/>
    </row>
    <row r="7" spans="1:3" x14ac:dyDescent="0.2">
      <c r="A7" s="177" t="s">
        <v>400</v>
      </c>
      <c r="B7" s="178">
        <v>20</v>
      </c>
      <c r="C7" s="176"/>
    </row>
    <row r="8" spans="1:3" x14ac:dyDescent="0.2">
      <c r="A8" s="177" t="s">
        <v>401</v>
      </c>
      <c r="B8" s="178">
        <v>263</v>
      </c>
      <c r="C8" s="176"/>
    </row>
    <row r="9" spans="1:3" x14ac:dyDescent="0.2">
      <c r="A9" s="177" t="s">
        <v>402</v>
      </c>
      <c r="B9" s="178">
        <v>224</v>
      </c>
      <c r="C9" s="176"/>
    </row>
    <row r="10" spans="1:3" x14ac:dyDescent="0.2">
      <c r="A10" s="177" t="s">
        <v>403</v>
      </c>
      <c r="B10" s="178">
        <v>546</v>
      </c>
      <c r="C10" s="176"/>
    </row>
    <row r="11" spans="1:3" x14ac:dyDescent="0.2">
      <c r="A11" s="177" t="s">
        <v>404</v>
      </c>
      <c r="B11" s="178">
        <v>264</v>
      </c>
      <c r="C11" s="176"/>
    </row>
    <row r="12" spans="1:3" x14ac:dyDescent="0.2">
      <c r="A12" s="177" t="s">
        <v>405</v>
      </c>
      <c r="B12" s="178">
        <v>556</v>
      </c>
      <c r="C12" s="176"/>
    </row>
    <row r="13" spans="1:3" x14ac:dyDescent="0.2">
      <c r="A13" s="177" t="s">
        <v>406</v>
      </c>
      <c r="B13" s="178">
        <v>703</v>
      </c>
      <c r="C13" s="176"/>
    </row>
    <row r="14" spans="1:3" x14ac:dyDescent="0.2">
      <c r="A14" s="177" t="s">
        <v>407</v>
      </c>
      <c r="B14" s="178">
        <v>1253</v>
      </c>
      <c r="C14" s="176"/>
    </row>
    <row r="15" spans="1:3" x14ac:dyDescent="0.2">
      <c r="A15" s="177" t="s">
        <v>408</v>
      </c>
      <c r="B15" s="179">
        <v>0</v>
      </c>
      <c r="C15" s="176"/>
    </row>
    <row r="16" spans="1:3" x14ac:dyDescent="0.2">
      <c r="A16" s="177" t="s">
        <v>409</v>
      </c>
      <c r="B16" s="178">
        <v>1143</v>
      </c>
      <c r="C16" s="176"/>
    </row>
    <row r="17" spans="1:3" x14ac:dyDescent="0.2">
      <c r="A17" s="177" t="s">
        <v>410</v>
      </c>
      <c r="B17" s="178">
        <v>63</v>
      </c>
      <c r="C17" s="176"/>
    </row>
    <row r="18" spans="1:3" x14ac:dyDescent="0.2">
      <c r="A18" s="177" t="s">
        <v>411</v>
      </c>
      <c r="B18" s="178">
        <v>353</v>
      </c>
      <c r="C18" s="176"/>
    </row>
    <row r="19" spans="1:3" x14ac:dyDescent="0.2">
      <c r="A19" s="177" t="s">
        <v>412</v>
      </c>
      <c r="B19" s="178">
        <v>301</v>
      </c>
      <c r="C19" s="176"/>
    </row>
    <row r="20" spans="1:3" x14ac:dyDescent="0.2">
      <c r="A20" s="177" t="s">
        <v>413</v>
      </c>
      <c r="B20" s="178">
        <v>26</v>
      </c>
      <c r="C20" s="176"/>
    </row>
    <row r="21" spans="1:3" x14ac:dyDescent="0.2">
      <c r="A21" s="177" t="s">
        <v>414</v>
      </c>
      <c r="B21" s="178">
        <v>768</v>
      </c>
      <c r="C21" s="176"/>
    </row>
    <row r="22" spans="1:3" x14ac:dyDescent="0.2">
      <c r="A22" s="177" t="s">
        <v>415</v>
      </c>
      <c r="B22" s="178">
        <v>149</v>
      </c>
      <c r="C22" s="176"/>
    </row>
    <row r="23" spans="1:3" x14ac:dyDescent="0.2">
      <c r="A23" s="177" t="s">
        <v>416</v>
      </c>
      <c r="B23" s="178">
        <v>395</v>
      </c>
      <c r="C23" s="176"/>
    </row>
    <row r="24" spans="1:3" x14ac:dyDescent="0.2">
      <c r="A24" s="177" t="s">
        <v>417</v>
      </c>
      <c r="B24" s="178">
        <v>729</v>
      </c>
      <c r="C24" s="176"/>
    </row>
    <row r="25" spans="1:3" x14ac:dyDescent="0.2">
      <c r="A25" s="177" t="s">
        <v>418</v>
      </c>
      <c r="B25" s="178">
        <v>351</v>
      </c>
      <c r="C25" s="176"/>
    </row>
    <row r="26" spans="1:3" x14ac:dyDescent="0.2">
      <c r="A26" s="177" t="s">
        <v>419</v>
      </c>
      <c r="B26" s="178">
        <v>325</v>
      </c>
      <c r="C26" s="176"/>
    </row>
    <row r="27" spans="1:3" x14ac:dyDescent="0.2">
      <c r="A27" s="177" t="s">
        <v>420</v>
      </c>
      <c r="B27" s="178">
        <v>555</v>
      </c>
      <c r="C27" s="176"/>
    </row>
    <row r="28" spans="1:3" x14ac:dyDescent="0.2">
      <c r="A28" s="177" t="s">
        <v>421</v>
      </c>
      <c r="B28" s="178">
        <v>53</v>
      </c>
      <c r="C28" s="176"/>
    </row>
    <row r="29" spans="1:3" x14ac:dyDescent="0.2">
      <c r="A29" s="177" t="s">
        <v>422</v>
      </c>
      <c r="B29" s="178">
        <v>22</v>
      </c>
      <c r="C29" s="176"/>
    </row>
    <row r="30" spans="1:3" x14ac:dyDescent="0.2">
      <c r="A30" s="177" t="s">
        <v>48</v>
      </c>
      <c r="B30" s="178">
        <v>576</v>
      </c>
      <c r="C30" s="176"/>
    </row>
    <row r="31" spans="1:3" x14ac:dyDescent="0.2">
      <c r="A31" s="177" t="s">
        <v>33</v>
      </c>
      <c r="B31" s="178">
        <v>1531</v>
      </c>
      <c r="C31" s="176"/>
    </row>
    <row r="32" spans="1:3" x14ac:dyDescent="0.2">
      <c r="A32" s="177" t="s">
        <v>29</v>
      </c>
      <c r="B32" s="178">
        <v>1327</v>
      </c>
      <c r="C32" s="176"/>
    </row>
    <row r="33" spans="1:3" x14ac:dyDescent="0.2">
      <c r="A33" s="177" t="s">
        <v>423</v>
      </c>
      <c r="B33" s="178">
        <v>96</v>
      </c>
      <c r="C33" s="176"/>
    </row>
    <row r="34" spans="1:3" x14ac:dyDescent="0.2">
      <c r="A34" s="177" t="s">
        <v>424</v>
      </c>
      <c r="B34" s="178">
        <v>78</v>
      </c>
      <c r="C34" s="176"/>
    </row>
    <row r="35" spans="1:3" x14ac:dyDescent="0.2">
      <c r="A35" s="177" t="s">
        <v>425</v>
      </c>
      <c r="B35" s="178">
        <v>390</v>
      </c>
      <c r="C35" s="176"/>
    </row>
    <row r="36" spans="1:3" x14ac:dyDescent="0.2">
      <c r="A36" s="177" t="s">
        <v>426</v>
      </c>
      <c r="B36" s="178">
        <v>243</v>
      </c>
      <c r="C36" s="176"/>
    </row>
    <row r="37" spans="1:3" x14ac:dyDescent="0.2">
      <c r="A37" s="177" t="s">
        <v>427</v>
      </c>
      <c r="B37" s="178">
        <v>184</v>
      </c>
      <c r="C37" s="176"/>
    </row>
    <row r="38" spans="1:3" x14ac:dyDescent="0.2">
      <c r="A38" s="177" t="s">
        <v>428</v>
      </c>
      <c r="B38" s="178">
        <v>427</v>
      </c>
      <c r="C38" s="176"/>
    </row>
    <row r="39" spans="1:3" x14ac:dyDescent="0.2">
      <c r="A39" s="177" t="s">
        <v>429</v>
      </c>
      <c r="B39" s="178">
        <v>266</v>
      </c>
      <c r="C39" s="176"/>
    </row>
    <row r="40" spans="1:3" x14ac:dyDescent="0.2">
      <c r="A40" s="177" t="s">
        <v>430</v>
      </c>
      <c r="B40" s="178">
        <v>149</v>
      </c>
      <c r="C40" s="176"/>
    </row>
    <row r="41" spans="1:3" x14ac:dyDescent="0.2">
      <c r="A41" s="177" t="s">
        <v>39</v>
      </c>
      <c r="B41" s="178">
        <v>1099</v>
      </c>
      <c r="C41" s="176"/>
    </row>
    <row r="42" spans="1:3" x14ac:dyDescent="0.2">
      <c r="A42" s="177" t="s">
        <v>431</v>
      </c>
      <c r="B42" s="178">
        <v>206</v>
      </c>
      <c r="C42" s="176"/>
    </row>
    <row r="43" spans="1:3" x14ac:dyDescent="0.2">
      <c r="A43" s="177" t="s">
        <v>432</v>
      </c>
      <c r="B43" s="179">
        <v>0</v>
      </c>
      <c r="C43" s="176"/>
    </row>
    <row r="44" spans="1:3" x14ac:dyDescent="0.2">
      <c r="A44" s="177" t="s">
        <v>433</v>
      </c>
      <c r="B44" s="178">
        <v>211</v>
      </c>
      <c r="C44" s="176"/>
    </row>
    <row r="45" spans="1:3" x14ac:dyDescent="0.2">
      <c r="A45" s="177" t="s">
        <v>434</v>
      </c>
      <c r="B45" s="178">
        <v>800</v>
      </c>
      <c r="C45" s="176"/>
    </row>
    <row r="46" spans="1:3" x14ac:dyDescent="0.2">
      <c r="A46" s="177" t="s">
        <v>435</v>
      </c>
      <c r="B46" s="178">
        <v>337</v>
      </c>
      <c r="C46" s="176"/>
    </row>
    <row r="47" spans="1:3" x14ac:dyDescent="0.2">
      <c r="A47" s="177" t="s">
        <v>436</v>
      </c>
      <c r="B47" s="178">
        <v>989</v>
      </c>
      <c r="C47" s="176"/>
    </row>
    <row r="48" spans="1:3" x14ac:dyDescent="0.2">
      <c r="A48" s="177" t="s">
        <v>437</v>
      </c>
      <c r="B48" s="179">
        <v>0</v>
      </c>
      <c r="C48" s="176"/>
    </row>
    <row r="49" spans="1:3" x14ac:dyDescent="0.2">
      <c r="A49" s="177" t="s">
        <v>438</v>
      </c>
      <c r="B49" s="178">
        <v>470</v>
      </c>
      <c r="C49" s="176"/>
    </row>
    <row r="50" spans="1:3" x14ac:dyDescent="0.2">
      <c r="A50" s="177" t="s">
        <v>439</v>
      </c>
      <c r="B50" s="178">
        <v>343</v>
      </c>
      <c r="C50" s="176"/>
    </row>
    <row r="51" spans="1:3" x14ac:dyDescent="0.2">
      <c r="A51" s="177" t="s">
        <v>440</v>
      </c>
      <c r="B51" s="178">
        <v>379</v>
      </c>
      <c r="C51" s="176"/>
    </row>
    <row r="52" spans="1:3" x14ac:dyDescent="0.2">
      <c r="A52" s="177" t="s">
        <v>52</v>
      </c>
      <c r="B52" s="178">
        <v>1008</v>
      </c>
      <c r="C52" s="176"/>
    </row>
    <row r="53" spans="1:3" x14ac:dyDescent="0.2">
      <c r="A53" s="177" t="s">
        <v>441</v>
      </c>
      <c r="B53" s="178">
        <v>264</v>
      </c>
      <c r="C53" s="176"/>
    </row>
    <row r="54" spans="1:3" x14ac:dyDescent="0.2">
      <c r="A54" s="177" t="s">
        <v>442</v>
      </c>
      <c r="B54" s="178">
        <v>174</v>
      </c>
      <c r="C54" s="176"/>
    </row>
    <row r="55" spans="1:3" x14ac:dyDescent="0.2">
      <c r="A55" s="177" t="s">
        <v>443</v>
      </c>
      <c r="B55" s="178">
        <v>342</v>
      </c>
      <c r="C55" s="176"/>
    </row>
    <row r="56" spans="1:3" x14ac:dyDescent="0.2">
      <c r="A56" s="177" t="s">
        <v>444</v>
      </c>
      <c r="B56" s="178">
        <v>442</v>
      </c>
      <c r="C56" s="176"/>
    </row>
    <row r="57" spans="1:3" x14ac:dyDescent="0.2">
      <c r="A57" s="177" t="s">
        <v>35</v>
      </c>
      <c r="B57" s="178">
        <v>669</v>
      </c>
      <c r="C57" s="176"/>
    </row>
    <row r="58" spans="1:3" x14ac:dyDescent="0.2">
      <c r="A58" s="177" t="s">
        <v>445</v>
      </c>
      <c r="B58" s="179">
        <v>0</v>
      </c>
      <c r="C58" s="176"/>
    </row>
    <row r="59" spans="1:3" x14ac:dyDescent="0.2">
      <c r="A59" s="177" t="s">
        <v>446</v>
      </c>
      <c r="B59" s="178">
        <v>509</v>
      </c>
      <c r="C59" s="176"/>
    </row>
    <row r="60" spans="1:3" x14ac:dyDescent="0.2">
      <c r="A60" s="177" t="s">
        <v>447</v>
      </c>
      <c r="B60" s="178">
        <v>499</v>
      </c>
      <c r="C60" s="176"/>
    </row>
    <row r="61" spans="1:3" x14ac:dyDescent="0.2">
      <c r="A61" s="177" t="s">
        <v>448</v>
      </c>
      <c r="B61" s="178">
        <v>161</v>
      </c>
      <c r="C61" s="176"/>
    </row>
    <row r="62" spans="1:3" x14ac:dyDescent="0.2">
      <c r="A62" s="177" t="s">
        <v>449</v>
      </c>
      <c r="B62" s="178">
        <v>135</v>
      </c>
      <c r="C62" s="176"/>
    </row>
    <row r="63" spans="1:3" x14ac:dyDescent="0.2">
      <c r="A63" s="177" t="s">
        <v>46</v>
      </c>
      <c r="B63" s="178">
        <v>619</v>
      </c>
      <c r="C63" s="176"/>
    </row>
    <row r="64" spans="1:3" x14ac:dyDescent="0.2">
      <c r="A64" s="177" t="s">
        <v>450</v>
      </c>
      <c r="B64" s="178">
        <v>11</v>
      </c>
      <c r="C64" s="176"/>
    </row>
    <row r="65" spans="1:3" x14ac:dyDescent="0.2">
      <c r="A65" s="177" t="s">
        <v>451</v>
      </c>
      <c r="B65" s="178">
        <v>157</v>
      </c>
      <c r="C65" s="176"/>
    </row>
    <row r="66" spans="1:3" x14ac:dyDescent="0.2">
      <c r="A66" s="177" t="s">
        <v>452</v>
      </c>
      <c r="B66" s="178">
        <v>614</v>
      </c>
      <c r="C66" s="176"/>
    </row>
    <row r="67" spans="1:3" x14ac:dyDescent="0.2">
      <c r="A67" s="177" t="s">
        <v>49</v>
      </c>
      <c r="B67" s="178">
        <v>964</v>
      </c>
      <c r="C67" s="176"/>
    </row>
    <row r="68" spans="1:3" x14ac:dyDescent="0.2">
      <c r="A68" s="177" t="s">
        <v>453</v>
      </c>
      <c r="B68" s="178">
        <v>611</v>
      </c>
      <c r="C68" s="176"/>
    </row>
    <row r="69" spans="1:3" x14ac:dyDescent="0.2">
      <c r="A69" s="177" t="s">
        <v>37</v>
      </c>
      <c r="B69" s="178">
        <v>1143</v>
      </c>
      <c r="C69" s="176"/>
    </row>
    <row r="70" spans="1:3" x14ac:dyDescent="0.2">
      <c r="A70" s="177" t="s">
        <v>454</v>
      </c>
      <c r="B70" s="178">
        <v>1514</v>
      </c>
      <c r="C70" s="176"/>
    </row>
    <row r="71" spans="1:3" x14ac:dyDescent="0.2">
      <c r="A71" s="177" t="s">
        <v>455</v>
      </c>
      <c r="B71" s="178">
        <v>94</v>
      </c>
      <c r="C71" s="176"/>
    </row>
    <row r="72" spans="1:3" x14ac:dyDescent="0.2">
      <c r="A72" s="177" t="s">
        <v>456</v>
      </c>
      <c r="B72" s="178">
        <v>119</v>
      </c>
      <c r="C72" s="176"/>
    </row>
    <row r="73" spans="1:3" x14ac:dyDescent="0.2">
      <c r="A73" s="177" t="s">
        <v>457</v>
      </c>
      <c r="B73" s="178">
        <v>62</v>
      </c>
      <c r="C73" s="176"/>
    </row>
    <row r="74" spans="1:3" x14ac:dyDescent="0.2">
      <c r="A74" s="177" t="s">
        <v>458</v>
      </c>
      <c r="B74" s="178">
        <v>529</v>
      </c>
      <c r="C74" s="176"/>
    </row>
    <row r="75" spans="1:3" x14ac:dyDescent="0.2">
      <c r="A75" s="177" t="s">
        <v>459</v>
      </c>
      <c r="B75" s="178">
        <v>447</v>
      </c>
      <c r="C75" s="176"/>
    </row>
    <row r="76" spans="1:3" x14ac:dyDescent="0.2">
      <c r="A76" s="177" t="s">
        <v>460</v>
      </c>
      <c r="B76" s="178">
        <v>108</v>
      </c>
      <c r="C76" s="176"/>
    </row>
    <row r="78" spans="1:3" x14ac:dyDescent="0.2">
      <c r="B78" s="85">
        <f>SUM(B5:B77)</f>
        <v>30871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activeCell="K16" sqref="K16"/>
    </sheetView>
  </sheetViews>
  <sheetFormatPr baseColWidth="10" defaultColWidth="7.6640625" defaultRowHeight="14" x14ac:dyDescent="0.2"/>
  <cols>
    <col min="1" max="1" width="10.1640625" style="175" bestFit="1" customWidth="1"/>
    <col min="2" max="2" width="7.6640625" style="175"/>
    <col min="3" max="3" width="17" style="175" bestFit="1" customWidth="1"/>
    <col min="4" max="16384" width="7.6640625" style="175"/>
  </cols>
  <sheetData>
    <row r="1" spans="1:8" x14ac:dyDescent="0.2">
      <c r="A1" s="173" t="s">
        <v>313</v>
      </c>
      <c r="B1" s="173" t="s">
        <v>314</v>
      </c>
      <c r="C1" s="173" t="s">
        <v>315</v>
      </c>
      <c r="D1" s="173" t="s">
        <v>391</v>
      </c>
      <c r="E1" s="173" t="s">
        <v>392</v>
      </c>
      <c r="F1" s="173" t="s">
        <v>69</v>
      </c>
    </row>
    <row r="2" spans="1:8" x14ac:dyDescent="0.2">
      <c r="A2" s="175" t="s">
        <v>393</v>
      </c>
      <c r="B2" s="175" t="s">
        <v>317</v>
      </c>
      <c r="C2" s="175" t="s">
        <v>89</v>
      </c>
      <c r="D2" s="175">
        <v>427</v>
      </c>
      <c r="E2" s="175">
        <v>1640</v>
      </c>
      <c r="F2" s="175">
        <v>26</v>
      </c>
      <c r="H2" s="175" t="s">
        <v>394</v>
      </c>
    </row>
    <row r="3" spans="1:8" x14ac:dyDescent="0.2">
      <c r="A3" s="175" t="s">
        <v>393</v>
      </c>
      <c r="B3" s="175" t="s">
        <v>319</v>
      </c>
      <c r="C3" s="175" t="s">
        <v>90</v>
      </c>
      <c r="D3" s="175">
        <v>489</v>
      </c>
      <c r="E3" s="175">
        <v>2359</v>
      </c>
      <c r="F3" s="175">
        <v>20.7</v>
      </c>
      <c r="H3" s="175" t="s">
        <v>395</v>
      </c>
    </row>
    <row r="4" spans="1:8" x14ac:dyDescent="0.2">
      <c r="A4" s="175" t="s">
        <v>393</v>
      </c>
      <c r="B4" s="175" t="s">
        <v>320</v>
      </c>
      <c r="C4" s="175" t="s">
        <v>91</v>
      </c>
      <c r="D4" s="175">
        <v>114</v>
      </c>
      <c r="E4" s="175">
        <v>481</v>
      </c>
      <c r="F4" s="175">
        <v>23.7</v>
      </c>
    </row>
    <row r="5" spans="1:8" x14ac:dyDescent="0.2">
      <c r="A5" s="175" t="s">
        <v>393</v>
      </c>
      <c r="B5" s="175" t="s">
        <v>321</v>
      </c>
      <c r="C5" s="175" t="s">
        <v>92</v>
      </c>
      <c r="D5" s="175">
        <v>639</v>
      </c>
      <c r="E5" s="175">
        <v>1853</v>
      </c>
      <c r="F5" s="175">
        <v>34.5</v>
      </c>
    </row>
    <row r="6" spans="1:8" x14ac:dyDescent="0.2">
      <c r="A6" s="175" t="s">
        <v>393</v>
      </c>
      <c r="B6" s="175" t="s">
        <v>322</v>
      </c>
      <c r="C6" s="175" t="s">
        <v>93</v>
      </c>
      <c r="D6" s="175">
        <v>426</v>
      </c>
      <c r="E6" s="175">
        <v>1586</v>
      </c>
      <c r="F6" s="175">
        <v>26.9</v>
      </c>
    </row>
    <row r="7" spans="1:8" x14ac:dyDescent="0.2">
      <c r="A7" s="175" t="s">
        <v>393</v>
      </c>
      <c r="B7" s="175" t="s">
        <v>323</v>
      </c>
      <c r="C7" s="175" t="s">
        <v>94</v>
      </c>
      <c r="D7" s="175">
        <v>666</v>
      </c>
      <c r="E7" s="175">
        <v>3321</v>
      </c>
      <c r="F7" s="175">
        <v>20.100000000000001</v>
      </c>
    </row>
    <row r="8" spans="1:8" x14ac:dyDescent="0.2">
      <c r="A8" s="175" t="s">
        <v>393</v>
      </c>
      <c r="B8" s="175" t="s">
        <v>324</v>
      </c>
      <c r="C8" s="175" t="s">
        <v>95</v>
      </c>
      <c r="D8" s="175">
        <v>1073</v>
      </c>
      <c r="E8" s="175">
        <v>2869</v>
      </c>
      <c r="F8" s="175">
        <v>37.4</v>
      </c>
    </row>
    <row r="9" spans="1:8" x14ac:dyDescent="0.2">
      <c r="A9" s="175" t="s">
        <v>393</v>
      </c>
      <c r="B9" s="175" t="s">
        <v>325</v>
      </c>
      <c r="C9" s="175" t="s">
        <v>96</v>
      </c>
      <c r="D9" s="175">
        <v>705</v>
      </c>
      <c r="E9" s="175">
        <v>3626</v>
      </c>
      <c r="F9" s="175">
        <v>19.399999999999999</v>
      </c>
    </row>
    <row r="10" spans="1:8" x14ac:dyDescent="0.2">
      <c r="A10" s="175" t="s">
        <v>393</v>
      </c>
      <c r="B10" s="175" t="s">
        <v>326</v>
      </c>
      <c r="C10" s="175" t="s">
        <v>97</v>
      </c>
      <c r="D10" s="175">
        <v>708</v>
      </c>
      <c r="E10" s="175">
        <v>2252</v>
      </c>
      <c r="F10" s="175">
        <v>31.4</v>
      </c>
    </row>
    <row r="11" spans="1:8" x14ac:dyDescent="0.2">
      <c r="A11" s="175" t="s">
        <v>393</v>
      </c>
      <c r="B11" s="175" t="s">
        <v>327</v>
      </c>
      <c r="C11" s="175" t="s">
        <v>98</v>
      </c>
      <c r="D11" s="175">
        <v>1849</v>
      </c>
      <c r="E11" s="175">
        <v>5256</v>
      </c>
      <c r="F11" s="175">
        <v>35.200000000000003</v>
      </c>
    </row>
    <row r="12" spans="1:8" x14ac:dyDescent="0.2">
      <c r="A12" s="175" t="s">
        <v>393</v>
      </c>
      <c r="B12" s="175" t="s">
        <v>328</v>
      </c>
      <c r="C12" s="175" t="s">
        <v>99</v>
      </c>
      <c r="D12" s="175">
        <v>182</v>
      </c>
      <c r="E12" s="175">
        <v>953</v>
      </c>
      <c r="F12" s="175">
        <v>19.100000000000001</v>
      </c>
    </row>
    <row r="13" spans="1:8" x14ac:dyDescent="0.2">
      <c r="A13" s="175" t="s">
        <v>393</v>
      </c>
      <c r="B13" s="175" t="s">
        <v>329</v>
      </c>
      <c r="C13" s="175" t="s">
        <v>100</v>
      </c>
      <c r="D13" s="175">
        <v>1913</v>
      </c>
      <c r="E13" s="175">
        <v>5245</v>
      </c>
      <c r="F13" s="175">
        <v>36.5</v>
      </c>
    </row>
    <row r="14" spans="1:8" x14ac:dyDescent="0.2">
      <c r="A14" s="175" t="s">
        <v>393</v>
      </c>
      <c r="B14" s="175" t="s">
        <v>330</v>
      </c>
      <c r="C14" s="175" t="s">
        <v>101</v>
      </c>
      <c r="D14" s="175">
        <v>76</v>
      </c>
      <c r="E14" s="175">
        <v>324</v>
      </c>
      <c r="F14" s="175">
        <v>23.5</v>
      </c>
    </row>
    <row r="15" spans="1:8" x14ac:dyDescent="0.2">
      <c r="A15" s="175" t="s">
        <v>393</v>
      </c>
      <c r="B15" s="175" t="s">
        <v>331</v>
      </c>
      <c r="C15" s="175" t="s">
        <v>102</v>
      </c>
      <c r="D15" s="175">
        <v>333</v>
      </c>
      <c r="E15" s="175">
        <v>1563</v>
      </c>
      <c r="F15" s="175">
        <v>21.3</v>
      </c>
    </row>
    <row r="16" spans="1:8" x14ac:dyDescent="0.2">
      <c r="A16" s="175" t="s">
        <v>393</v>
      </c>
      <c r="B16" s="175" t="s">
        <v>332</v>
      </c>
      <c r="C16" s="175" t="s">
        <v>103</v>
      </c>
      <c r="D16" s="175">
        <v>1053</v>
      </c>
      <c r="E16" s="175">
        <v>3519</v>
      </c>
      <c r="F16" s="175">
        <v>29.9</v>
      </c>
    </row>
    <row r="17" spans="1:6" x14ac:dyDescent="0.2">
      <c r="A17" s="175" t="s">
        <v>393</v>
      </c>
      <c r="B17" s="175" t="s">
        <v>333</v>
      </c>
      <c r="C17" s="175" t="s">
        <v>104</v>
      </c>
      <c r="D17" s="175">
        <v>92</v>
      </c>
      <c r="E17" s="175">
        <v>301</v>
      </c>
      <c r="F17" s="175">
        <v>30.6</v>
      </c>
    </row>
    <row r="18" spans="1:6" x14ac:dyDescent="0.2">
      <c r="A18" s="175" t="s">
        <v>393</v>
      </c>
      <c r="B18" s="175" t="s">
        <v>334</v>
      </c>
      <c r="C18" s="175" t="s">
        <v>105</v>
      </c>
      <c r="D18" s="175">
        <v>2135</v>
      </c>
      <c r="E18" s="175">
        <v>4628</v>
      </c>
      <c r="F18" s="175">
        <v>46.1</v>
      </c>
    </row>
    <row r="19" spans="1:6" x14ac:dyDescent="0.2">
      <c r="A19" s="175" t="s">
        <v>393</v>
      </c>
      <c r="B19" s="175" t="s">
        <v>335</v>
      </c>
      <c r="C19" s="175" t="s">
        <v>106</v>
      </c>
      <c r="D19" s="175">
        <v>239</v>
      </c>
      <c r="E19" s="175">
        <v>798</v>
      </c>
      <c r="F19" s="175">
        <v>29.9</v>
      </c>
    </row>
    <row r="20" spans="1:6" x14ac:dyDescent="0.2">
      <c r="A20" s="175" t="s">
        <v>393</v>
      </c>
      <c r="B20" s="175" t="s">
        <v>336</v>
      </c>
      <c r="C20" s="175" t="s">
        <v>107</v>
      </c>
      <c r="D20" s="175">
        <v>559</v>
      </c>
      <c r="E20" s="175">
        <v>2041</v>
      </c>
      <c r="F20" s="175">
        <v>27.4</v>
      </c>
    </row>
    <row r="21" spans="1:6" x14ac:dyDescent="0.2">
      <c r="A21" s="175" t="s">
        <v>393</v>
      </c>
      <c r="B21" s="175" t="s">
        <v>337</v>
      </c>
      <c r="C21" s="175" t="s">
        <v>108</v>
      </c>
      <c r="D21" s="175">
        <v>1227</v>
      </c>
      <c r="E21" s="175">
        <v>4002</v>
      </c>
      <c r="F21" s="175">
        <v>30.7</v>
      </c>
    </row>
    <row r="22" spans="1:6" x14ac:dyDescent="0.2">
      <c r="A22" s="175" t="s">
        <v>393</v>
      </c>
      <c r="B22" s="175" t="s">
        <v>338</v>
      </c>
      <c r="C22" s="175" t="s">
        <v>109</v>
      </c>
      <c r="D22" s="175">
        <v>357</v>
      </c>
      <c r="E22" s="175">
        <v>1395</v>
      </c>
      <c r="F22" s="175">
        <v>25.6</v>
      </c>
    </row>
    <row r="23" spans="1:6" x14ac:dyDescent="0.2">
      <c r="A23" s="175" t="s">
        <v>393</v>
      </c>
      <c r="B23" s="175" t="s">
        <v>339</v>
      </c>
      <c r="C23" s="175" t="s">
        <v>110</v>
      </c>
      <c r="D23" s="175">
        <v>389</v>
      </c>
      <c r="E23" s="175">
        <v>1384</v>
      </c>
      <c r="F23" s="175">
        <v>28.1</v>
      </c>
    </row>
    <row r="24" spans="1:6" x14ac:dyDescent="0.2">
      <c r="A24" s="175" t="s">
        <v>393</v>
      </c>
      <c r="B24" s="175" t="s">
        <v>340</v>
      </c>
      <c r="C24" s="175" t="s">
        <v>111</v>
      </c>
      <c r="D24" s="175">
        <v>810</v>
      </c>
      <c r="E24" s="175">
        <v>3678</v>
      </c>
      <c r="F24" s="175">
        <v>22</v>
      </c>
    </row>
    <row r="25" spans="1:6" x14ac:dyDescent="0.2">
      <c r="A25" s="175" t="s">
        <v>393</v>
      </c>
      <c r="B25" s="175" t="s">
        <v>341</v>
      </c>
      <c r="C25" s="175" t="s">
        <v>112</v>
      </c>
      <c r="D25" s="175">
        <v>58</v>
      </c>
      <c r="E25" s="175">
        <v>198</v>
      </c>
      <c r="F25" s="175">
        <v>29.3</v>
      </c>
    </row>
    <row r="26" spans="1:6" x14ac:dyDescent="0.2">
      <c r="A26" s="175" t="s">
        <v>393</v>
      </c>
      <c r="B26" s="175" t="s">
        <v>342</v>
      </c>
      <c r="C26" s="175" t="s">
        <v>113</v>
      </c>
      <c r="D26" s="175">
        <v>63</v>
      </c>
      <c r="E26" s="175">
        <v>277</v>
      </c>
      <c r="F26" s="175">
        <v>22.7</v>
      </c>
    </row>
    <row r="27" spans="1:6" x14ac:dyDescent="0.2">
      <c r="A27" s="175" t="s">
        <v>393</v>
      </c>
      <c r="B27" s="175" t="s">
        <v>343</v>
      </c>
      <c r="C27" s="175" t="s">
        <v>114</v>
      </c>
      <c r="D27" s="175">
        <v>670</v>
      </c>
      <c r="E27" s="175">
        <v>3251</v>
      </c>
      <c r="F27" s="175">
        <v>20.6</v>
      </c>
    </row>
    <row r="28" spans="1:6" x14ac:dyDescent="0.2">
      <c r="A28" s="175" t="s">
        <v>393</v>
      </c>
      <c r="B28" s="175" t="s">
        <v>344</v>
      </c>
      <c r="C28" s="175" t="s">
        <v>115</v>
      </c>
      <c r="D28" s="175">
        <v>3184</v>
      </c>
      <c r="E28" s="175">
        <v>13650</v>
      </c>
      <c r="F28" s="175">
        <v>23.3</v>
      </c>
    </row>
    <row r="29" spans="1:6" x14ac:dyDescent="0.2">
      <c r="A29" s="175" t="s">
        <v>393</v>
      </c>
      <c r="B29" s="175" t="s">
        <v>345</v>
      </c>
      <c r="C29" s="175" t="s">
        <v>116</v>
      </c>
      <c r="D29" s="175">
        <v>2561</v>
      </c>
      <c r="E29" s="175">
        <v>8518</v>
      </c>
      <c r="F29" s="175">
        <v>30.1</v>
      </c>
    </row>
    <row r="30" spans="1:6" x14ac:dyDescent="0.2">
      <c r="A30" s="175" t="s">
        <v>393</v>
      </c>
      <c r="B30" s="175" t="s">
        <v>346</v>
      </c>
      <c r="C30" s="175" t="s">
        <v>117</v>
      </c>
      <c r="D30" s="175">
        <v>133</v>
      </c>
      <c r="E30" s="175">
        <v>506</v>
      </c>
      <c r="F30" s="175">
        <v>26.3</v>
      </c>
    </row>
    <row r="31" spans="1:6" x14ac:dyDescent="0.2">
      <c r="A31" s="175" t="s">
        <v>393</v>
      </c>
      <c r="B31" s="175" t="s">
        <v>347</v>
      </c>
      <c r="C31" s="175" t="s">
        <v>118</v>
      </c>
      <c r="D31" s="175">
        <v>112</v>
      </c>
      <c r="E31" s="175">
        <v>529</v>
      </c>
      <c r="F31" s="175">
        <v>21.2</v>
      </c>
    </row>
    <row r="32" spans="1:6" x14ac:dyDescent="0.2">
      <c r="A32" s="175" t="s">
        <v>393</v>
      </c>
      <c r="B32" s="175" t="s">
        <v>348</v>
      </c>
      <c r="C32" s="175" t="s">
        <v>119</v>
      </c>
      <c r="D32" s="175">
        <v>391</v>
      </c>
      <c r="E32" s="175">
        <v>1823</v>
      </c>
      <c r="F32" s="175">
        <v>21.4</v>
      </c>
    </row>
    <row r="33" spans="1:6" x14ac:dyDescent="0.2">
      <c r="A33" s="175" t="s">
        <v>393</v>
      </c>
      <c r="B33" s="175" t="s">
        <v>349</v>
      </c>
      <c r="C33" s="175" t="s">
        <v>120</v>
      </c>
      <c r="D33" s="175">
        <v>749</v>
      </c>
      <c r="E33" s="175">
        <v>1941</v>
      </c>
      <c r="F33" s="175">
        <v>38.6</v>
      </c>
    </row>
    <row r="34" spans="1:6" x14ac:dyDescent="0.2">
      <c r="A34" s="175" t="s">
        <v>393</v>
      </c>
      <c r="B34" s="175" t="s">
        <v>350</v>
      </c>
      <c r="C34" s="175" t="s">
        <v>121</v>
      </c>
      <c r="D34" s="175">
        <v>191</v>
      </c>
      <c r="E34" s="175">
        <v>671</v>
      </c>
      <c r="F34" s="175">
        <v>28.5</v>
      </c>
    </row>
    <row r="35" spans="1:6" x14ac:dyDescent="0.2">
      <c r="A35" s="175" t="s">
        <v>393</v>
      </c>
      <c r="B35" s="175" t="s">
        <v>351</v>
      </c>
      <c r="C35" s="175" t="s">
        <v>122</v>
      </c>
      <c r="D35" s="175">
        <v>1399</v>
      </c>
      <c r="E35" s="175">
        <v>4765</v>
      </c>
      <c r="F35" s="175">
        <v>29.4</v>
      </c>
    </row>
    <row r="36" spans="1:6" x14ac:dyDescent="0.2">
      <c r="A36" s="175" t="s">
        <v>393</v>
      </c>
      <c r="B36" s="175" t="s">
        <v>352</v>
      </c>
      <c r="C36" s="175" t="s">
        <v>123</v>
      </c>
      <c r="D36" s="175">
        <v>456</v>
      </c>
      <c r="E36" s="175">
        <v>2377</v>
      </c>
      <c r="F36" s="175">
        <v>19.2</v>
      </c>
    </row>
    <row r="37" spans="1:6" x14ac:dyDescent="0.2">
      <c r="A37" s="175" t="s">
        <v>393</v>
      </c>
      <c r="B37" s="175" t="s">
        <v>353</v>
      </c>
      <c r="C37" s="175" t="s">
        <v>124</v>
      </c>
      <c r="D37" s="175">
        <v>299</v>
      </c>
      <c r="E37" s="175">
        <v>920</v>
      </c>
      <c r="F37" s="175">
        <v>32.5</v>
      </c>
    </row>
    <row r="38" spans="1:6" x14ac:dyDescent="0.2">
      <c r="A38" s="175" t="s">
        <v>393</v>
      </c>
      <c r="B38" s="175" t="s">
        <v>354</v>
      </c>
      <c r="C38" s="175" t="s">
        <v>125</v>
      </c>
      <c r="D38" s="175">
        <v>1672</v>
      </c>
      <c r="E38" s="175">
        <v>5323</v>
      </c>
      <c r="F38" s="175">
        <v>31.4</v>
      </c>
    </row>
    <row r="39" spans="1:6" x14ac:dyDescent="0.2">
      <c r="A39" s="175" t="s">
        <v>393</v>
      </c>
      <c r="B39" s="175" t="s">
        <v>355</v>
      </c>
      <c r="C39" s="175" t="s">
        <v>126</v>
      </c>
      <c r="D39" s="175">
        <v>506</v>
      </c>
      <c r="E39" s="175">
        <v>1438</v>
      </c>
      <c r="F39" s="175">
        <v>35.200000000000003</v>
      </c>
    </row>
    <row r="40" spans="1:6" x14ac:dyDescent="0.2">
      <c r="A40" s="175" t="s">
        <v>393</v>
      </c>
      <c r="B40" s="175" t="s">
        <v>356</v>
      </c>
      <c r="C40" s="175" t="s">
        <v>127</v>
      </c>
      <c r="D40" s="175">
        <v>19</v>
      </c>
      <c r="E40" s="175">
        <v>156</v>
      </c>
      <c r="F40" s="175">
        <v>12.2</v>
      </c>
    </row>
    <row r="41" spans="1:6" x14ac:dyDescent="0.2">
      <c r="A41" s="175" t="s">
        <v>393</v>
      </c>
      <c r="B41" s="175" t="s">
        <v>357</v>
      </c>
      <c r="C41" s="175" t="s">
        <v>128</v>
      </c>
      <c r="D41" s="175">
        <v>1153</v>
      </c>
      <c r="E41" s="175">
        <v>3545</v>
      </c>
      <c r="F41" s="175">
        <v>32.5</v>
      </c>
    </row>
    <row r="42" spans="1:6" x14ac:dyDescent="0.2">
      <c r="A42" s="175" t="s">
        <v>393</v>
      </c>
      <c r="B42" s="175" t="s">
        <v>358</v>
      </c>
      <c r="C42" s="175" t="s">
        <v>129</v>
      </c>
      <c r="D42" s="175">
        <v>1376</v>
      </c>
      <c r="E42" s="175">
        <v>3857</v>
      </c>
      <c r="F42" s="175">
        <v>35.700000000000003</v>
      </c>
    </row>
    <row r="43" spans="1:6" x14ac:dyDescent="0.2">
      <c r="A43" s="175" t="s">
        <v>393</v>
      </c>
      <c r="B43" s="175" t="s">
        <v>359</v>
      </c>
      <c r="C43" s="175" t="s">
        <v>130</v>
      </c>
      <c r="D43" s="175">
        <v>710</v>
      </c>
      <c r="E43" s="175">
        <v>2441</v>
      </c>
      <c r="F43" s="175">
        <v>29.1</v>
      </c>
    </row>
    <row r="44" spans="1:6" x14ac:dyDescent="0.2">
      <c r="A44" s="175" t="s">
        <v>393</v>
      </c>
      <c r="B44" s="175" t="s">
        <v>360</v>
      </c>
      <c r="C44" s="175" t="s">
        <v>131</v>
      </c>
      <c r="D44" s="175">
        <v>1191</v>
      </c>
      <c r="E44" s="175">
        <v>3910</v>
      </c>
      <c r="F44" s="175">
        <v>30.5</v>
      </c>
    </row>
    <row r="45" spans="1:6" x14ac:dyDescent="0.2">
      <c r="A45" s="175" t="s">
        <v>393</v>
      </c>
      <c r="B45" s="175" t="s">
        <v>361</v>
      </c>
      <c r="C45" s="175" t="s">
        <v>132</v>
      </c>
      <c r="D45" s="175">
        <v>153</v>
      </c>
      <c r="E45" s="175">
        <v>685</v>
      </c>
      <c r="F45" s="175">
        <v>22.3</v>
      </c>
    </row>
    <row r="46" spans="1:6" x14ac:dyDescent="0.2">
      <c r="A46" s="175" t="s">
        <v>393</v>
      </c>
      <c r="B46" s="175" t="s">
        <v>362</v>
      </c>
      <c r="C46" s="175" t="s">
        <v>133</v>
      </c>
      <c r="D46" s="175">
        <v>462</v>
      </c>
      <c r="E46" s="175">
        <v>2233</v>
      </c>
      <c r="F46" s="175">
        <v>20.7</v>
      </c>
    </row>
    <row r="47" spans="1:6" x14ac:dyDescent="0.2">
      <c r="A47" s="175" t="s">
        <v>393</v>
      </c>
      <c r="B47" s="175" t="s">
        <v>363</v>
      </c>
      <c r="C47" s="175" t="s">
        <v>134</v>
      </c>
      <c r="D47" s="175">
        <v>1212</v>
      </c>
      <c r="E47" s="175">
        <v>5830</v>
      </c>
      <c r="F47" s="175">
        <v>20.8</v>
      </c>
    </row>
    <row r="48" spans="1:6" x14ac:dyDescent="0.2">
      <c r="A48" s="175" t="s">
        <v>393</v>
      </c>
      <c r="B48" s="175" t="s">
        <v>364</v>
      </c>
      <c r="C48" s="175" t="s">
        <v>135</v>
      </c>
      <c r="D48" s="175">
        <v>552</v>
      </c>
      <c r="E48" s="175">
        <v>2899</v>
      </c>
      <c r="F48" s="175">
        <v>19</v>
      </c>
    </row>
    <row r="49" spans="1:6" x14ac:dyDescent="0.2">
      <c r="A49" s="175" t="s">
        <v>393</v>
      </c>
      <c r="B49" s="175" t="s">
        <v>365</v>
      </c>
      <c r="C49" s="175" t="s">
        <v>136</v>
      </c>
      <c r="D49" s="175">
        <v>1720</v>
      </c>
      <c r="E49" s="175">
        <v>5313</v>
      </c>
      <c r="F49" s="175">
        <v>32.4</v>
      </c>
    </row>
    <row r="50" spans="1:6" x14ac:dyDescent="0.2">
      <c r="A50" s="175" t="s">
        <v>393</v>
      </c>
      <c r="B50" s="175" t="s">
        <v>366</v>
      </c>
      <c r="C50" s="175" t="s">
        <v>137</v>
      </c>
      <c r="D50" s="175">
        <v>741</v>
      </c>
      <c r="E50" s="175">
        <v>2084</v>
      </c>
      <c r="F50" s="175">
        <v>35.6</v>
      </c>
    </row>
    <row r="51" spans="1:6" x14ac:dyDescent="0.2">
      <c r="A51" s="175" t="s">
        <v>393</v>
      </c>
      <c r="B51" s="175" t="s">
        <v>367</v>
      </c>
      <c r="C51" s="175" t="s">
        <v>138</v>
      </c>
      <c r="D51" s="175">
        <v>765</v>
      </c>
      <c r="E51" s="175">
        <v>2961</v>
      </c>
      <c r="F51" s="175">
        <v>25.8</v>
      </c>
    </row>
    <row r="52" spans="1:6" x14ac:dyDescent="0.2">
      <c r="A52" s="175" t="s">
        <v>393</v>
      </c>
      <c r="B52" s="175" t="s">
        <v>368</v>
      </c>
      <c r="C52" s="175" t="s">
        <v>139</v>
      </c>
      <c r="D52" s="175">
        <v>584</v>
      </c>
      <c r="E52" s="175">
        <v>2241</v>
      </c>
      <c r="F52" s="175">
        <v>26.1</v>
      </c>
    </row>
    <row r="53" spans="1:6" x14ac:dyDescent="0.2">
      <c r="A53" s="175" t="s">
        <v>393</v>
      </c>
      <c r="B53" s="175" t="s">
        <v>369</v>
      </c>
      <c r="C53" s="175" t="s">
        <v>140</v>
      </c>
      <c r="D53" s="175">
        <v>495</v>
      </c>
      <c r="E53" s="175">
        <v>1411</v>
      </c>
      <c r="F53" s="175">
        <v>35.1</v>
      </c>
    </row>
    <row r="54" spans="1:6" x14ac:dyDescent="0.2">
      <c r="A54" s="175" t="s">
        <v>393</v>
      </c>
      <c r="B54" s="175" t="s">
        <v>370</v>
      </c>
      <c r="C54" s="175" t="s">
        <v>141</v>
      </c>
      <c r="D54" s="175">
        <v>1279</v>
      </c>
      <c r="E54" s="175">
        <v>3258</v>
      </c>
      <c r="F54" s="175">
        <v>39.299999999999997</v>
      </c>
    </row>
    <row r="55" spans="1:6" x14ac:dyDescent="0.2">
      <c r="A55" s="175" t="s">
        <v>393</v>
      </c>
      <c r="B55" s="175" t="s">
        <v>371</v>
      </c>
      <c r="C55" s="175" t="s">
        <v>142</v>
      </c>
      <c r="D55" s="175">
        <v>1046</v>
      </c>
      <c r="E55" s="175">
        <v>2581</v>
      </c>
      <c r="F55" s="175">
        <v>40.5</v>
      </c>
    </row>
    <row r="56" spans="1:6" x14ac:dyDescent="0.2">
      <c r="A56" s="175" t="s">
        <v>393</v>
      </c>
      <c r="B56" s="175" t="s">
        <v>372</v>
      </c>
      <c r="C56" s="175" t="s">
        <v>143</v>
      </c>
      <c r="D56" s="175">
        <v>1338</v>
      </c>
      <c r="E56" s="175">
        <v>3230</v>
      </c>
      <c r="F56" s="175">
        <v>41.4</v>
      </c>
    </row>
    <row r="57" spans="1:6" x14ac:dyDescent="0.2">
      <c r="A57" s="175" t="s">
        <v>393</v>
      </c>
      <c r="B57" s="175" t="s">
        <v>373</v>
      </c>
      <c r="C57" s="175" t="s">
        <v>144</v>
      </c>
      <c r="D57" s="175">
        <v>1549</v>
      </c>
      <c r="E57" s="175">
        <v>4443</v>
      </c>
      <c r="F57" s="175">
        <v>34.9</v>
      </c>
    </row>
    <row r="58" spans="1:6" x14ac:dyDescent="0.2">
      <c r="A58" s="175" t="s">
        <v>393</v>
      </c>
      <c r="B58" s="175" t="s">
        <v>374</v>
      </c>
      <c r="C58" s="175" t="s">
        <v>145</v>
      </c>
      <c r="D58" s="175">
        <v>570</v>
      </c>
      <c r="E58" s="175">
        <v>1999</v>
      </c>
      <c r="F58" s="175">
        <v>28.5</v>
      </c>
    </row>
    <row r="59" spans="1:6" x14ac:dyDescent="0.2">
      <c r="A59" s="175" t="s">
        <v>393</v>
      </c>
      <c r="B59" s="175" t="s">
        <v>375</v>
      </c>
      <c r="C59" s="175" t="s">
        <v>146</v>
      </c>
      <c r="D59" s="175">
        <v>484</v>
      </c>
      <c r="E59" s="175">
        <v>1681</v>
      </c>
      <c r="F59" s="175">
        <v>28.8</v>
      </c>
    </row>
    <row r="60" spans="1:6" x14ac:dyDescent="0.2">
      <c r="A60" s="175" t="s">
        <v>393</v>
      </c>
      <c r="B60" s="175" t="s">
        <v>376</v>
      </c>
      <c r="C60" s="175" t="s">
        <v>147</v>
      </c>
      <c r="D60" s="175">
        <v>1093</v>
      </c>
      <c r="E60" s="175">
        <v>3380</v>
      </c>
      <c r="F60" s="175">
        <v>32.299999999999997</v>
      </c>
    </row>
    <row r="61" spans="1:6" x14ac:dyDescent="0.2">
      <c r="A61" s="175" t="s">
        <v>393</v>
      </c>
      <c r="B61" s="175" t="s">
        <v>377</v>
      </c>
      <c r="C61" s="175" t="s">
        <v>148</v>
      </c>
      <c r="D61" s="175">
        <v>80</v>
      </c>
      <c r="E61" s="175">
        <v>267</v>
      </c>
      <c r="F61" s="175">
        <v>30</v>
      </c>
    </row>
    <row r="62" spans="1:6" x14ac:dyDescent="0.2">
      <c r="A62" s="175" t="s">
        <v>393</v>
      </c>
      <c r="B62" s="175" t="s">
        <v>378</v>
      </c>
      <c r="C62" s="175" t="s">
        <v>149</v>
      </c>
      <c r="D62" s="175">
        <v>410</v>
      </c>
      <c r="E62" s="175">
        <v>1549</v>
      </c>
      <c r="F62" s="175">
        <v>26.5</v>
      </c>
    </row>
    <row r="63" spans="1:6" x14ac:dyDescent="0.2">
      <c r="A63" s="175" t="s">
        <v>393</v>
      </c>
      <c r="B63" s="175" t="s">
        <v>379</v>
      </c>
      <c r="C63" s="175" t="s">
        <v>150</v>
      </c>
      <c r="D63" s="175">
        <v>933</v>
      </c>
      <c r="E63" s="175">
        <v>2713</v>
      </c>
      <c r="F63" s="175">
        <v>34.4</v>
      </c>
    </row>
    <row r="64" spans="1:6" x14ac:dyDescent="0.2">
      <c r="A64" s="175" t="s">
        <v>393</v>
      </c>
      <c r="B64" s="175" t="s">
        <v>380</v>
      </c>
      <c r="C64" s="175" t="s">
        <v>151</v>
      </c>
      <c r="D64" s="175">
        <v>1884</v>
      </c>
      <c r="E64" s="175">
        <v>4599</v>
      </c>
      <c r="F64" s="175">
        <v>41</v>
      </c>
    </row>
    <row r="65" spans="1:6" x14ac:dyDescent="0.2">
      <c r="A65" s="175" t="s">
        <v>393</v>
      </c>
      <c r="B65" s="175" t="s">
        <v>381</v>
      </c>
      <c r="C65" s="175" t="s">
        <v>152</v>
      </c>
      <c r="D65" s="175">
        <v>935</v>
      </c>
      <c r="E65" s="175">
        <v>3301</v>
      </c>
      <c r="F65" s="175">
        <v>28.3</v>
      </c>
    </row>
    <row r="66" spans="1:6" x14ac:dyDescent="0.2">
      <c r="A66" s="175" t="s">
        <v>393</v>
      </c>
      <c r="B66" s="175" t="s">
        <v>382</v>
      </c>
      <c r="C66" s="175" t="s">
        <v>153</v>
      </c>
      <c r="D66" s="175">
        <v>1376</v>
      </c>
      <c r="E66" s="175">
        <v>5670</v>
      </c>
      <c r="F66" s="175">
        <v>24.3</v>
      </c>
    </row>
    <row r="67" spans="1:6" x14ac:dyDescent="0.2">
      <c r="A67" s="175" t="s">
        <v>393</v>
      </c>
      <c r="B67" s="175" t="s">
        <v>383</v>
      </c>
      <c r="C67" s="175" t="s">
        <v>154</v>
      </c>
      <c r="D67" s="175">
        <v>2018</v>
      </c>
      <c r="E67" s="175">
        <v>5432</v>
      </c>
      <c r="F67" s="175">
        <v>37.200000000000003</v>
      </c>
    </row>
    <row r="68" spans="1:6" x14ac:dyDescent="0.2">
      <c r="A68" s="175" t="s">
        <v>393</v>
      </c>
      <c r="B68" s="175" t="s">
        <v>384</v>
      </c>
      <c r="C68" s="175" t="s">
        <v>155</v>
      </c>
      <c r="D68" s="175">
        <v>294</v>
      </c>
      <c r="E68" s="175">
        <v>1944</v>
      </c>
      <c r="F68" s="175">
        <v>15.1</v>
      </c>
    </row>
    <row r="69" spans="1:6" x14ac:dyDescent="0.2">
      <c r="A69" s="175" t="s">
        <v>393</v>
      </c>
      <c r="B69" s="175" t="s">
        <v>385</v>
      </c>
      <c r="C69" s="175" t="s">
        <v>156</v>
      </c>
      <c r="D69" s="175">
        <v>380</v>
      </c>
      <c r="E69" s="175">
        <v>1213</v>
      </c>
      <c r="F69" s="175">
        <v>31.3</v>
      </c>
    </row>
    <row r="70" spans="1:6" x14ac:dyDescent="0.2">
      <c r="A70" s="175" t="s">
        <v>393</v>
      </c>
      <c r="B70" s="175" t="s">
        <v>386</v>
      </c>
      <c r="C70" s="175" t="s">
        <v>157</v>
      </c>
      <c r="D70" s="175">
        <v>147</v>
      </c>
      <c r="E70" s="175">
        <v>517</v>
      </c>
      <c r="F70" s="175">
        <v>28.4</v>
      </c>
    </row>
    <row r="71" spans="1:6" x14ac:dyDescent="0.2">
      <c r="A71" s="175" t="s">
        <v>393</v>
      </c>
      <c r="B71" s="175" t="s">
        <v>387</v>
      </c>
      <c r="C71" s="175" t="s">
        <v>158</v>
      </c>
      <c r="D71" s="175">
        <v>803</v>
      </c>
      <c r="E71" s="175">
        <v>2205</v>
      </c>
      <c r="F71" s="175">
        <v>36.4</v>
      </c>
    </row>
    <row r="72" spans="1:6" x14ac:dyDescent="0.2">
      <c r="A72" s="175" t="s">
        <v>393</v>
      </c>
      <c r="B72" s="175" t="s">
        <v>388</v>
      </c>
      <c r="C72" s="175" t="s">
        <v>159</v>
      </c>
      <c r="D72" s="175">
        <v>714</v>
      </c>
      <c r="E72" s="175">
        <v>3082</v>
      </c>
      <c r="F72" s="175">
        <v>23.2</v>
      </c>
    </row>
    <row r="73" spans="1:6" x14ac:dyDescent="0.2">
      <c r="A73" s="175" t="s">
        <v>393</v>
      </c>
      <c r="B73" s="175" t="s">
        <v>389</v>
      </c>
      <c r="C73" s="175" t="s">
        <v>160</v>
      </c>
      <c r="D73" s="175">
        <v>406</v>
      </c>
      <c r="E73" s="175">
        <v>1601</v>
      </c>
      <c r="F73" s="175">
        <v>25.4</v>
      </c>
    </row>
    <row r="74" spans="1:6" x14ac:dyDescent="0.2">
      <c r="A74" s="175" t="s">
        <v>316</v>
      </c>
      <c r="B74" s="175" t="s">
        <v>317</v>
      </c>
      <c r="C74" s="175" t="s">
        <v>89</v>
      </c>
      <c r="D74" s="175">
        <v>170</v>
      </c>
      <c r="E74" s="175">
        <v>1628</v>
      </c>
      <c r="F74" s="175">
        <v>10.4</v>
      </c>
    </row>
    <row r="75" spans="1:6" x14ac:dyDescent="0.2">
      <c r="A75" s="175" t="s">
        <v>316</v>
      </c>
      <c r="B75" s="175" t="s">
        <v>319</v>
      </c>
      <c r="C75" s="175" t="s">
        <v>90</v>
      </c>
      <c r="D75" s="175">
        <v>187</v>
      </c>
      <c r="E75" s="175">
        <v>2302</v>
      </c>
      <c r="F75" s="175">
        <v>8.1</v>
      </c>
    </row>
    <row r="76" spans="1:6" x14ac:dyDescent="0.2">
      <c r="A76" s="175" t="s">
        <v>316</v>
      </c>
      <c r="B76" s="175" t="s">
        <v>320</v>
      </c>
      <c r="C76" s="175" t="s">
        <v>91</v>
      </c>
      <c r="D76" s="175">
        <v>53</v>
      </c>
      <c r="E76" s="175">
        <v>444</v>
      </c>
      <c r="F76" s="175">
        <v>11.9</v>
      </c>
    </row>
    <row r="77" spans="1:6" x14ac:dyDescent="0.2">
      <c r="A77" s="175" t="s">
        <v>316</v>
      </c>
      <c r="B77" s="175" t="s">
        <v>321</v>
      </c>
      <c r="C77" s="175" t="s">
        <v>92</v>
      </c>
      <c r="D77" s="175">
        <v>320</v>
      </c>
      <c r="E77" s="175">
        <v>1782</v>
      </c>
      <c r="F77" s="175">
        <v>18</v>
      </c>
    </row>
    <row r="78" spans="1:6" x14ac:dyDescent="0.2">
      <c r="A78" s="175" t="s">
        <v>316</v>
      </c>
      <c r="B78" s="175" t="s">
        <v>322</v>
      </c>
      <c r="C78" s="175" t="s">
        <v>93</v>
      </c>
      <c r="D78" s="175">
        <v>176</v>
      </c>
      <c r="E78" s="175">
        <v>1558</v>
      </c>
      <c r="F78" s="175">
        <v>11.3</v>
      </c>
    </row>
    <row r="79" spans="1:6" x14ac:dyDescent="0.2">
      <c r="A79" s="175" t="s">
        <v>316</v>
      </c>
      <c r="B79" s="175" t="s">
        <v>323</v>
      </c>
      <c r="C79" s="175" t="s">
        <v>94</v>
      </c>
      <c r="D79" s="175">
        <v>191</v>
      </c>
      <c r="E79" s="175">
        <v>3100</v>
      </c>
      <c r="F79" s="175">
        <v>6.2</v>
      </c>
    </row>
    <row r="80" spans="1:6" x14ac:dyDescent="0.2">
      <c r="A80" s="175" t="s">
        <v>316</v>
      </c>
      <c r="B80" s="175" t="s">
        <v>324</v>
      </c>
      <c r="C80" s="175" t="s">
        <v>95</v>
      </c>
      <c r="D80" s="175">
        <v>584</v>
      </c>
      <c r="E80" s="175">
        <v>2806</v>
      </c>
      <c r="F80" s="175">
        <v>20.8</v>
      </c>
    </row>
    <row r="81" spans="1:6" x14ac:dyDescent="0.2">
      <c r="A81" s="175" t="s">
        <v>316</v>
      </c>
      <c r="B81" s="175" t="s">
        <v>325</v>
      </c>
      <c r="C81" s="175" t="s">
        <v>96</v>
      </c>
      <c r="D81" s="175">
        <v>245</v>
      </c>
      <c r="E81" s="175">
        <v>3436</v>
      </c>
      <c r="F81" s="175">
        <v>7.1</v>
      </c>
    </row>
    <row r="82" spans="1:6" x14ac:dyDescent="0.2">
      <c r="A82" s="175" t="s">
        <v>316</v>
      </c>
      <c r="B82" s="175" t="s">
        <v>326</v>
      </c>
      <c r="C82" s="175" t="s">
        <v>97</v>
      </c>
      <c r="D82" s="175">
        <v>303</v>
      </c>
      <c r="E82" s="175">
        <v>2145</v>
      </c>
      <c r="F82" s="175">
        <v>14.1</v>
      </c>
    </row>
    <row r="83" spans="1:6" x14ac:dyDescent="0.2">
      <c r="A83" s="175" t="s">
        <v>316</v>
      </c>
      <c r="B83" s="175" t="s">
        <v>327</v>
      </c>
      <c r="C83" s="175" t="s">
        <v>98</v>
      </c>
      <c r="D83" s="175">
        <v>792</v>
      </c>
      <c r="E83" s="175">
        <v>5362</v>
      </c>
      <c r="F83" s="175">
        <v>14.8</v>
      </c>
    </row>
    <row r="84" spans="1:6" x14ac:dyDescent="0.2">
      <c r="A84" s="175" t="s">
        <v>316</v>
      </c>
      <c r="B84" s="175" t="s">
        <v>328</v>
      </c>
      <c r="C84" s="175" t="s">
        <v>99</v>
      </c>
      <c r="D84" s="175">
        <v>77</v>
      </c>
      <c r="E84" s="175">
        <v>931</v>
      </c>
      <c r="F84" s="175">
        <v>8.3000000000000007</v>
      </c>
    </row>
    <row r="85" spans="1:6" x14ac:dyDescent="0.2">
      <c r="A85" s="175" t="s">
        <v>316</v>
      </c>
      <c r="B85" s="175" t="s">
        <v>329</v>
      </c>
      <c r="C85" s="175" t="s">
        <v>100</v>
      </c>
      <c r="D85" s="175">
        <v>912</v>
      </c>
      <c r="E85" s="175">
        <v>5031</v>
      </c>
      <c r="F85" s="175">
        <v>18.100000000000001</v>
      </c>
    </row>
    <row r="86" spans="1:6" x14ac:dyDescent="0.2">
      <c r="A86" s="175" t="s">
        <v>316</v>
      </c>
      <c r="B86" s="175" t="s">
        <v>330</v>
      </c>
      <c r="C86" s="175" t="s">
        <v>101</v>
      </c>
      <c r="D86" s="175">
        <v>30</v>
      </c>
      <c r="E86" s="175">
        <v>316</v>
      </c>
      <c r="F86" s="175">
        <v>9.5</v>
      </c>
    </row>
    <row r="87" spans="1:6" x14ac:dyDescent="0.2">
      <c r="A87" s="175" t="s">
        <v>316</v>
      </c>
      <c r="B87" s="175" t="s">
        <v>331</v>
      </c>
      <c r="C87" s="175" t="s">
        <v>102</v>
      </c>
      <c r="D87" s="175">
        <v>126</v>
      </c>
      <c r="E87" s="175">
        <v>1661</v>
      </c>
      <c r="F87" s="175">
        <v>7.6</v>
      </c>
    </row>
    <row r="88" spans="1:6" x14ac:dyDescent="0.2">
      <c r="A88" s="175" t="s">
        <v>316</v>
      </c>
      <c r="B88" s="175" t="s">
        <v>332</v>
      </c>
      <c r="C88" s="175" t="s">
        <v>103</v>
      </c>
      <c r="D88" s="175">
        <v>577</v>
      </c>
      <c r="E88" s="175">
        <v>3594</v>
      </c>
      <c r="F88" s="175">
        <v>16.100000000000001</v>
      </c>
    </row>
    <row r="89" spans="1:6" x14ac:dyDescent="0.2">
      <c r="A89" s="175" t="s">
        <v>316</v>
      </c>
      <c r="B89" s="175" t="s">
        <v>333</v>
      </c>
      <c r="C89" s="175" t="s">
        <v>104</v>
      </c>
      <c r="D89" s="175">
        <v>73</v>
      </c>
      <c r="E89" s="175">
        <v>303</v>
      </c>
      <c r="F89" s="175">
        <v>24.1</v>
      </c>
    </row>
    <row r="90" spans="1:6" x14ac:dyDescent="0.2">
      <c r="A90" s="175" t="s">
        <v>316</v>
      </c>
      <c r="B90" s="175" t="s">
        <v>334</v>
      </c>
      <c r="C90" s="175" t="s">
        <v>105</v>
      </c>
      <c r="D90" s="175">
        <v>1037</v>
      </c>
      <c r="E90" s="175">
        <v>4496</v>
      </c>
      <c r="F90" s="175">
        <v>23.1</v>
      </c>
    </row>
    <row r="91" spans="1:6" x14ac:dyDescent="0.2">
      <c r="A91" s="175" t="s">
        <v>316</v>
      </c>
      <c r="B91" s="175" t="s">
        <v>335</v>
      </c>
      <c r="C91" s="175" t="s">
        <v>106</v>
      </c>
      <c r="D91" s="175">
        <v>96</v>
      </c>
      <c r="E91" s="175">
        <v>885</v>
      </c>
      <c r="F91" s="175">
        <v>10.8</v>
      </c>
    </row>
    <row r="92" spans="1:6" x14ac:dyDescent="0.2">
      <c r="A92" s="175" t="s">
        <v>316</v>
      </c>
      <c r="B92" s="175" t="s">
        <v>336</v>
      </c>
      <c r="C92" s="175" t="s">
        <v>107</v>
      </c>
      <c r="D92" s="175">
        <v>261</v>
      </c>
      <c r="E92" s="175">
        <v>2300</v>
      </c>
      <c r="F92" s="175">
        <v>11.3</v>
      </c>
    </row>
    <row r="93" spans="1:6" x14ac:dyDescent="0.2">
      <c r="A93" s="175" t="s">
        <v>316</v>
      </c>
      <c r="B93" s="175" t="s">
        <v>337</v>
      </c>
      <c r="C93" s="175" t="s">
        <v>108</v>
      </c>
      <c r="D93" s="175">
        <v>592</v>
      </c>
      <c r="E93" s="175">
        <v>3786</v>
      </c>
      <c r="F93" s="175">
        <v>15.6</v>
      </c>
    </row>
    <row r="94" spans="1:6" x14ac:dyDescent="0.2">
      <c r="A94" s="175" t="s">
        <v>316</v>
      </c>
      <c r="B94" s="175" t="s">
        <v>338</v>
      </c>
      <c r="C94" s="175" t="s">
        <v>109</v>
      </c>
      <c r="D94" s="175">
        <v>167</v>
      </c>
      <c r="E94" s="175">
        <v>1505</v>
      </c>
      <c r="F94" s="175">
        <v>11.1</v>
      </c>
    </row>
    <row r="95" spans="1:6" x14ac:dyDescent="0.2">
      <c r="A95" s="175" t="s">
        <v>316</v>
      </c>
      <c r="B95" s="175" t="s">
        <v>339</v>
      </c>
      <c r="C95" s="175" t="s">
        <v>110</v>
      </c>
      <c r="D95" s="175">
        <v>142</v>
      </c>
      <c r="E95" s="175">
        <v>1355</v>
      </c>
      <c r="F95" s="175">
        <v>10.5</v>
      </c>
    </row>
    <row r="96" spans="1:6" x14ac:dyDescent="0.2">
      <c r="A96" s="175" t="s">
        <v>316</v>
      </c>
      <c r="B96" s="175" t="s">
        <v>340</v>
      </c>
      <c r="C96" s="175" t="s">
        <v>111</v>
      </c>
      <c r="D96" s="175">
        <v>344</v>
      </c>
      <c r="E96" s="175">
        <v>3832</v>
      </c>
      <c r="F96" s="175">
        <v>9</v>
      </c>
    </row>
    <row r="97" spans="1:6" x14ac:dyDescent="0.2">
      <c r="A97" s="175" t="s">
        <v>316</v>
      </c>
      <c r="B97" s="175" t="s">
        <v>341</v>
      </c>
      <c r="C97" s="175" t="s">
        <v>112</v>
      </c>
      <c r="D97" s="175">
        <v>17</v>
      </c>
      <c r="E97" s="175">
        <v>181</v>
      </c>
      <c r="F97" s="175">
        <v>9.4</v>
      </c>
    </row>
    <row r="98" spans="1:6" x14ac:dyDescent="0.2">
      <c r="A98" s="175" t="s">
        <v>316</v>
      </c>
      <c r="B98" s="175" t="s">
        <v>342</v>
      </c>
      <c r="C98" s="175" t="s">
        <v>113</v>
      </c>
      <c r="D98" s="175">
        <v>40</v>
      </c>
      <c r="E98" s="175">
        <v>297</v>
      </c>
      <c r="F98" s="175">
        <v>13.5</v>
      </c>
    </row>
    <row r="99" spans="1:6" x14ac:dyDescent="0.2">
      <c r="A99" s="175" t="s">
        <v>316</v>
      </c>
      <c r="B99" s="175" t="s">
        <v>343</v>
      </c>
      <c r="C99" s="175" t="s">
        <v>114</v>
      </c>
      <c r="D99" s="175">
        <v>349</v>
      </c>
      <c r="E99" s="175">
        <v>3506</v>
      </c>
      <c r="F99" s="175">
        <v>10</v>
      </c>
    </row>
    <row r="100" spans="1:6" x14ac:dyDescent="0.2">
      <c r="A100" s="175" t="s">
        <v>316</v>
      </c>
      <c r="B100" s="175" t="s">
        <v>344</v>
      </c>
      <c r="C100" s="175" t="s">
        <v>115</v>
      </c>
      <c r="D100" s="175">
        <v>1558</v>
      </c>
      <c r="E100" s="175">
        <v>13440</v>
      </c>
      <c r="F100" s="175">
        <v>11.6</v>
      </c>
    </row>
    <row r="101" spans="1:6" x14ac:dyDescent="0.2">
      <c r="A101" s="175" t="s">
        <v>316</v>
      </c>
      <c r="B101" s="175" t="s">
        <v>345</v>
      </c>
      <c r="C101" s="175" t="s">
        <v>116</v>
      </c>
      <c r="D101" s="175">
        <v>1507</v>
      </c>
      <c r="E101" s="175">
        <v>8307</v>
      </c>
      <c r="F101" s="175">
        <v>18.100000000000001</v>
      </c>
    </row>
    <row r="102" spans="1:6" x14ac:dyDescent="0.2">
      <c r="A102" s="175" t="s">
        <v>316</v>
      </c>
      <c r="B102" s="175" t="s">
        <v>346</v>
      </c>
      <c r="C102" s="175" t="s">
        <v>117</v>
      </c>
      <c r="D102" s="175">
        <v>62</v>
      </c>
      <c r="E102" s="175">
        <v>469</v>
      </c>
      <c r="F102" s="175">
        <v>13.2</v>
      </c>
    </row>
    <row r="103" spans="1:6" x14ac:dyDescent="0.2">
      <c r="A103" s="175" t="s">
        <v>316</v>
      </c>
      <c r="B103" s="175" t="s">
        <v>347</v>
      </c>
      <c r="C103" s="175" t="s">
        <v>118</v>
      </c>
      <c r="D103" s="175">
        <v>57</v>
      </c>
      <c r="E103" s="175">
        <v>517</v>
      </c>
      <c r="F103" s="175">
        <v>11</v>
      </c>
    </row>
    <row r="104" spans="1:6" x14ac:dyDescent="0.2">
      <c r="A104" s="175" t="s">
        <v>316</v>
      </c>
      <c r="B104" s="175" t="s">
        <v>348</v>
      </c>
      <c r="C104" s="175" t="s">
        <v>119</v>
      </c>
      <c r="D104" s="175">
        <v>161</v>
      </c>
      <c r="E104" s="175">
        <v>1751</v>
      </c>
      <c r="F104" s="175">
        <v>9.1999999999999993</v>
      </c>
    </row>
    <row r="105" spans="1:6" x14ac:dyDescent="0.2">
      <c r="A105" s="175" t="s">
        <v>316</v>
      </c>
      <c r="B105" s="175" t="s">
        <v>349</v>
      </c>
      <c r="C105" s="175" t="s">
        <v>120</v>
      </c>
      <c r="D105" s="175">
        <v>427</v>
      </c>
      <c r="E105" s="175">
        <v>2067</v>
      </c>
      <c r="F105" s="175">
        <v>20.7</v>
      </c>
    </row>
    <row r="106" spans="1:6" x14ac:dyDescent="0.2">
      <c r="A106" s="175" t="s">
        <v>316</v>
      </c>
      <c r="B106" s="175" t="s">
        <v>350</v>
      </c>
      <c r="C106" s="175" t="s">
        <v>121</v>
      </c>
      <c r="D106" s="175">
        <v>132</v>
      </c>
      <c r="E106" s="175">
        <v>827</v>
      </c>
      <c r="F106" s="175">
        <v>16</v>
      </c>
    </row>
    <row r="107" spans="1:6" x14ac:dyDescent="0.2">
      <c r="A107" s="175" t="s">
        <v>316</v>
      </c>
      <c r="B107" s="175" t="s">
        <v>351</v>
      </c>
      <c r="C107" s="175" t="s">
        <v>122</v>
      </c>
      <c r="D107" s="175">
        <v>737</v>
      </c>
      <c r="E107" s="175">
        <v>4676</v>
      </c>
      <c r="F107" s="175">
        <v>15.8</v>
      </c>
    </row>
    <row r="108" spans="1:6" x14ac:dyDescent="0.2">
      <c r="A108" s="175" t="s">
        <v>316</v>
      </c>
      <c r="B108" s="175" t="s">
        <v>352</v>
      </c>
      <c r="C108" s="175" t="s">
        <v>123</v>
      </c>
      <c r="D108" s="175">
        <v>181</v>
      </c>
      <c r="E108" s="175">
        <v>2525</v>
      </c>
      <c r="F108" s="175">
        <v>7.2</v>
      </c>
    </row>
    <row r="109" spans="1:6" x14ac:dyDescent="0.2">
      <c r="A109" s="175" t="s">
        <v>316</v>
      </c>
      <c r="B109" s="175" t="s">
        <v>353</v>
      </c>
      <c r="C109" s="175" t="s">
        <v>124</v>
      </c>
      <c r="D109" s="175">
        <v>140</v>
      </c>
      <c r="E109" s="175">
        <v>874</v>
      </c>
      <c r="F109" s="175">
        <v>16</v>
      </c>
    </row>
    <row r="110" spans="1:6" x14ac:dyDescent="0.2">
      <c r="A110" s="175" t="s">
        <v>316</v>
      </c>
      <c r="B110" s="175" t="s">
        <v>354</v>
      </c>
      <c r="C110" s="175" t="s">
        <v>125</v>
      </c>
      <c r="D110" s="175">
        <v>784</v>
      </c>
      <c r="E110" s="175">
        <v>5264</v>
      </c>
      <c r="F110" s="175">
        <v>14.9</v>
      </c>
    </row>
    <row r="111" spans="1:6" x14ac:dyDescent="0.2">
      <c r="A111" s="175" t="s">
        <v>316</v>
      </c>
      <c r="B111" s="175" t="s">
        <v>355</v>
      </c>
      <c r="C111" s="175" t="s">
        <v>126</v>
      </c>
      <c r="D111" s="175">
        <v>223</v>
      </c>
      <c r="E111" s="175">
        <v>1389</v>
      </c>
      <c r="F111" s="175">
        <v>16.100000000000001</v>
      </c>
    </row>
    <row r="112" spans="1:6" x14ac:dyDescent="0.2">
      <c r="A112" s="175" t="s">
        <v>316</v>
      </c>
      <c r="B112" s="175" t="s">
        <v>356</v>
      </c>
      <c r="C112" s="175" t="s">
        <v>127</v>
      </c>
      <c r="D112" s="175">
        <v>12</v>
      </c>
      <c r="E112" s="175">
        <v>213</v>
      </c>
      <c r="F112" s="175">
        <v>5.6</v>
      </c>
    </row>
    <row r="113" spans="1:6" x14ac:dyDescent="0.2">
      <c r="A113" s="175" t="s">
        <v>316</v>
      </c>
      <c r="B113" s="175" t="s">
        <v>357</v>
      </c>
      <c r="C113" s="175" t="s">
        <v>128</v>
      </c>
      <c r="D113" s="175">
        <v>584</v>
      </c>
      <c r="E113" s="175">
        <v>3572</v>
      </c>
      <c r="F113" s="175">
        <v>16.3</v>
      </c>
    </row>
    <row r="114" spans="1:6" x14ac:dyDescent="0.2">
      <c r="A114" s="175" t="s">
        <v>316</v>
      </c>
      <c r="B114" s="175" t="s">
        <v>358</v>
      </c>
      <c r="C114" s="175" t="s">
        <v>129</v>
      </c>
      <c r="D114" s="175">
        <v>892</v>
      </c>
      <c r="E114" s="175">
        <v>4178</v>
      </c>
      <c r="F114" s="175">
        <v>21.3</v>
      </c>
    </row>
    <row r="115" spans="1:6" x14ac:dyDescent="0.2">
      <c r="A115" s="175" t="s">
        <v>316</v>
      </c>
      <c r="B115" s="175" t="s">
        <v>359</v>
      </c>
      <c r="C115" s="175" t="s">
        <v>130</v>
      </c>
      <c r="D115" s="175">
        <v>337</v>
      </c>
      <c r="E115" s="175">
        <v>2324</v>
      </c>
      <c r="F115" s="175">
        <v>14.5</v>
      </c>
    </row>
    <row r="116" spans="1:6" x14ac:dyDescent="0.2">
      <c r="A116" s="175" t="s">
        <v>316</v>
      </c>
      <c r="B116" s="175" t="s">
        <v>360</v>
      </c>
      <c r="C116" s="175" t="s">
        <v>131</v>
      </c>
      <c r="D116" s="175">
        <v>485</v>
      </c>
      <c r="E116" s="175">
        <v>3713</v>
      </c>
      <c r="F116" s="175">
        <v>13.1</v>
      </c>
    </row>
    <row r="117" spans="1:6" x14ac:dyDescent="0.2">
      <c r="A117" s="175" t="s">
        <v>316</v>
      </c>
      <c r="B117" s="175" t="s">
        <v>361</v>
      </c>
      <c r="C117" s="175" t="s">
        <v>132</v>
      </c>
      <c r="D117" s="175">
        <v>59</v>
      </c>
      <c r="E117" s="175">
        <v>595</v>
      </c>
      <c r="F117" s="175">
        <v>9.9</v>
      </c>
    </row>
    <row r="118" spans="1:6" x14ac:dyDescent="0.2">
      <c r="A118" s="175" t="s">
        <v>316</v>
      </c>
      <c r="B118" s="175" t="s">
        <v>362</v>
      </c>
      <c r="C118" s="175" t="s">
        <v>133</v>
      </c>
      <c r="D118" s="175">
        <v>120</v>
      </c>
      <c r="E118" s="175">
        <v>2421</v>
      </c>
      <c r="F118" s="175">
        <v>5</v>
      </c>
    </row>
    <row r="119" spans="1:6" x14ac:dyDescent="0.2">
      <c r="A119" s="175" t="s">
        <v>316</v>
      </c>
      <c r="B119" s="175" t="s">
        <v>363</v>
      </c>
      <c r="C119" s="175" t="s">
        <v>134</v>
      </c>
      <c r="D119" s="175">
        <v>460</v>
      </c>
      <c r="E119" s="175">
        <v>5825</v>
      </c>
      <c r="F119" s="175">
        <v>7.9</v>
      </c>
    </row>
    <row r="120" spans="1:6" x14ac:dyDescent="0.2">
      <c r="A120" s="175" t="s">
        <v>316</v>
      </c>
      <c r="B120" s="175" t="s">
        <v>364</v>
      </c>
      <c r="C120" s="175" t="s">
        <v>135</v>
      </c>
      <c r="D120" s="175">
        <v>211</v>
      </c>
      <c r="E120" s="175">
        <v>3072</v>
      </c>
      <c r="F120" s="175">
        <v>6.9</v>
      </c>
    </row>
    <row r="121" spans="1:6" x14ac:dyDescent="0.2">
      <c r="A121" s="175" t="s">
        <v>316</v>
      </c>
      <c r="B121" s="175" t="s">
        <v>365</v>
      </c>
      <c r="C121" s="175" t="s">
        <v>136</v>
      </c>
      <c r="D121" s="175">
        <v>1040</v>
      </c>
      <c r="E121" s="175">
        <v>5750</v>
      </c>
      <c r="F121" s="175">
        <v>18.100000000000001</v>
      </c>
    </row>
    <row r="122" spans="1:6" x14ac:dyDescent="0.2">
      <c r="A122" s="175" t="s">
        <v>316</v>
      </c>
      <c r="B122" s="175" t="s">
        <v>366</v>
      </c>
      <c r="C122" s="175" t="s">
        <v>137</v>
      </c>
      <c r="D122" s="175">
        <v>256</v>
      </c>
      <c r="E122" s="175">
        <v>1614</v>
      </c>
      <c r="F122" s="175">
        <v>15.9</v>
      </c>
    </row>
    <row r="123" spans="1:6" x14ac:dyDescent="0.2">
      <c r="A123" s="175" t="s">
        <v>316</v>
      </c>
      <c r="B123" s="175" t="s">
        <v>367</v>
      </c>
      <c r="C123" s="175" t="s">
        <v>138</v>
      </c>
      <c r="D123" s="175">
        <v>336</v>
      </c>
      <c r="E123" s="175">
        <v>3458</v>
      </c>
      <c r="F123" s="175">
        <v>9.6999999999999993</v>
      </c>
    </row>
    <row r="124" spans="1:6" x14ac:dyDescent="0.2">
      <c r="A124" s="175" t="s">
        <v>316</v>
      </c>
      <c r="B124" s="175" t="s">
        <v>368</v>
      </c>
      <c r="C124" s="175" t="s">
        <v>139</v>
      </c>
      <c r="D124" s="175">
        <v>270</v>
      </c>
      <c r="E124" s="175">
        <v>2087</v>
      </c>
      <c r="F124" s="175">
        <v>12.9</v>
      </c>
    </row>
    <row r="125" spans="1:6" x14ac:dyDescent="0.2">
      <c r="A125" s="175" t="s">
        <v>316</v>
      </c>
      <c r="B125" s="175" t="s">
        <v>369</v>
      </c>
      <c r="C125" s="175" t="s">
        <v>140</v>
      </c>
      <c r="D125" s="175">
        <v>178</v>
      </c>
      <c r="E125" s="175">
        <v>1340</v>
      </c>
      <c r="F125" s="175">
        <v>13.3</v>
      </c>
    </row>
    <row r="126" spans="1:6" x14ac:dyDescent="0.2">
      <c r="A126" s="175" t="s">
        <v>316</v>
      </c>
      <c r="B126" s="175" t="s">
        <v>370</v>
      </c>
      <c r="C126" s="175" t="s">
        <v>141</v>
      </c>
      <c r="D126" s="175">
        <v>659</v>
      </c>
      <c r="E126" s="175">
        <v>3008</v>
      </c>
      <c r="F126" s="175">
        <v>21.9</v>
      </c>
    </row>
    <row r="127" spans="1:6" x14ac:dyDescent="0.2">
      <c r="A127" s="175" t="s">
        <v>316</v>
      </c>
      <c r="B127" s="175" t="s">
        <v>371</v>
      </c>
      <c r="C127" s="175" t="s">
        <v>142</v>
      </c>
      <c r="D127" s="175">
        <v>433</v>
      </c>
      <c r="E127" s="175">
        <v>2156</v>
      </c>
      <c r="F127" s="175">
        <v>20.100000000000001</v>
      </c>
    </row>
    <row r="128" spans="1:6" x14ac:dyDescent="0.2">
      <c r="A128" s="175" t="s">
        <v>316</v>
      </c>
      <c r="B128" s="175" t="s">
        <v>372</v>
      </c>
      <c r="C128" s="175" t="s">
        <v>143</v>
      </c>
      <c r="D128" s="175">
        <v>644</v>
      </c>
      <c r="E128" s="175">
        <v>2992</v>
      </c>
      <c r="F128" s="175">
        <v>21.5</v>
      </c>
    </row>
    <row r="129" spans="1:6" x14ac:dyDescent="0.2">
      <c r="A129" s="175" t="s">
        <v>316</v>
      </c>
      <c r="B129" s="175" t="s">
        <v>373</v>
      </c>
      <c r="C129" s="175" t="s">
        <v>144</v>
      </c>
      <c r="D129" s="175">
        <v>880</v>
      </c>
      <c r="E129" s="175">
        <v>4395</v>
      </c>
      <c r="F129" s="175">
        <v>20</v>
      </c>
    </row>
    <row r="130" spans="1:6" x14ac:dyDescent="0.2">
      <c r="A130" s="175" t="s">
        <v>316</v>
      </c>
      <c r="B130" s="175" t="s">
        <v>374</v>
      </c>
      <c r="C130" s="175" t="s">
        <v>145</v>
      </c>
      <c r="D130" s="175">
        <v>267</v>
      </c>
      <c r="E130" s="175">
        <v>2026</v>
      </c>
      <c r="F130" s="175">
        <v>13.2</v>
      </c>
    </row>
    <row r="131" spans="1:6" x14ac:dyDescent="0.2">
      <c r="A131" s="175" t="s">
        <v>316</v>
      </c>
      <c r="B131" s="175" t="s">
        <v>375</v>
      </c>
      <c r="C131" s="175" t="s">
        <v>146</v>
      </c>
      <c r="D131" s="175">
        <v>178</v>
      </c>
      <c r="E131" s="175">
        <v>1368</v>
      </c>
      <c r="F131" s="175">
        <v>13</v>
      </c>
    </row>
    <row r="132" spans="1:6" x14ac:dyDescent="0.2">
      <c r="A132" s="175" t="s">
        <v>316</v>
      </c>
      <c r="B132" s="175" t="s">
        <v>376</v>
      </c>
      <c r="C132" s="175" t="s">
        <v>147</v>
      </c>
      <c r="D132" s="175">
        <v>454</v>
      </c>
      <c r="E132" s="175">
        <v>3260</v>
      </c>
      <c r="F132" s="175">
        <v>13.9</v>
      </c>
    </row>
    <row r="133" spans="1:6" x14ac:dyDescent="0.2">
      <c r="A133" s="175" t="s">
        <v>316</v>
      </c>
      <c r="B133" s="175" t="s">
        <v>377</v>
      </c>
      <c r="C133" s="175" t="s">
        <v>148</v>
      </c>
      <c r="D133" s="175">
        <v>48</v>
      </c>
      <c r="E133" s="175">
        <v>235</v>
      </c>
      <c r="F133" s="175">
        <v>20.399999999999999</v>
      </c>
    </row>
    <row r="134" spans="1:6" x14ac:dyDescent="0.2">
      <c r="A134" s="175" t="s">
        <v>316</v>
      </c>
      <c r="B134" s="175" t="s">
        <v>378</v>
      </c>
      <c r="C134" s="175" t="s">
        <v>149</v>
      </c>
      <c r="D134" s="175">
        <v>171</v>
      </c>
      <c r="E134" s="175">
        <v>1445</v>
      </c>
      <c r="F134" s="175">
        <v>11.8</v>
      </c>
    </row>
    <row r="135" spans="1:6" x14ac:dyDescent="0.2">
      <c r="A135" s="175" t="s">
        <v>316</v>
      </c>
      <c r="B135" s="175" t="s">
        <v>379</v>
      </c>
      <c r="C135" s="175" t="s">
        <v>150</v>
      </c>
      <c r="D135" s="175">
        <v>465</v>
      </c>
      <c r="E135" s="175">
        <v>2736</v>
      </c>
      <c r="F135" s="175">
        <v>17</v>
      </c>
    </row>
    <row r="136" spans="1:6" x14ac:dyDescent="0.2">
      <c r="A136" s="175" t="s">
        <v>316</v>
      </c>
      <c r="B136" s="175" t="s">
        <v>380</v>
      </c>
      <c r="C136" s="175" t="s">
        <v>151</v>
      </c>
      <c r="D136" s="175">
        <v>892</v>
      </c>
      <c r="E136" s="175">
        <v>4604</v>
      </c>
      <c r="F136" s="175">
        <v>19.399999999999999</v>
      </c>
    </row>
    <row r="137" spans="1:6" x14ac:dyDescent="0.2">
      <c r="A137" s="175" t="s">
        <v>316</v>
      </c>
      <c r="B137" s="175" t="s">
        <v>381</v>
      </c>
      <c r="C137" s="175" t="s">
        <v>152</v>
      </c>
      <c r="D137" s="175">
        <v>322</v>
      </c>
      <c r="E137" s="175">
        <v>3019</v>
      </c>
      <c r="F137" s="175">
        <v>10.7</v>
      </c>
    </row>
    <row r="138" spans="1:6" x14ac:dyDescent="0.2">
      <c r="A138" s="175" t="s">
        <v>316</v>
      </c>
      <c r="B138" s="175" t="s">
        <v>382</v>
      </c>
      <c r="C138" s="175" t="s">
        <v>153</v>
      </c>
      <c r="D138" s="175">
        <v>697</v>
      </c>
      <c r="E138" s="175">
        <v>5862</v>
      </c>
      <c r="F138" s="175">
        <v>11.9</v>
      </c>
    </row>
    <row r="139" spans="1:6" x14ac:dyDescent="0.2">
      <c r="A139" s="175" t="s">
        <v>316</v>
      </c>
      <c r="B139" s="175" t="s">
        <v>383</v>
      </c>
      <c r="C139" s="175" t="s">
        <v>154</v>
      </c>
      <c r="D139" s="175">
        <v>920</v>
      </c>
      <c r="E139" s="175">
        <v>5768</v>
      </c>
      <c r="F139" s="175">
        <v>16</v>
      </c>
    </row>
    <row r="140" spans="1:6" x14ac:dyDescent="0.2">
      <c r="A140" s="175" t="s">
        <v>316</v>
      </c>
      <c r="B140" s="175" t="s">
        <v>384</v>
      </c>
      <c r="C140" s="175" t="s">
        <v>155</v>
      </c>
      <c r="D140" s="175">
        <v>118</v>
      </c>
      <c r="E140" s="175">
        <v>2086</v>
      </c>
      <c r="F140" s="175">
        <v>5.7</v>
      </c>
    </row>
    <row r="141" spans="1:6" x14ac:dyDescent="0.2">
      <c r="A141" s="175" t="s">
        <v>316</v>
      </c>
      <c r="B141" s="175" t="s">
        <v>385</v>
      </c>
      <c r="C141" s="175" t="s">
        <v>156</v>
      </c>
      <c r="D141" s="175">
        <v>167</v>
      </c>
      <c r="E141" s="175">
        <v>1021</v>
      </c>
      <c r="F141" s="175">
        <v>16.399999999999999</v>
      </c>
    </row>
    <row r="142" spans="1:6" x14ac:dyDescent="0.2">
      <c r="A142" s="175" t="s">
        <v>316</v>
      </c>
      <c r="B142" s="175" t="s">
        <v>386</v>
      </c>
      <c r="C142" s="175" t="s">
        <v>157</v>
      </c>
      <c r="D142" s="175">
        <v>92</v>
      </c>
      <c r="E142" s="175">
        <v>512</v>
      </c>
      <c r="F142" s="175">
        <v>18</v>
      </c>
    </row>
    <row r="143" spans="1:6" x14ac:dyDescent="0.2">
      <c r="A143" s="175" t="s">
        <v>316</v>
      </c>
      <c r="B143" s="175" t="s">
        <v>387</v>
      </c>
      <c r="C143" s="175" t="s">
        <v>158</v>
      </c>
      <c r="D143" s="175">
        <v>384</v>
      </c>
      <c r="E143" s="175">
        <v>2063</v>
      </c>
      <c r="F143" s="175">
        <v>18.600000000000001</v>
      </c>
    </row>
    <row r="144" spans="1:6" x14ac:dyDescent="0.2">
      <c r="A144" s="175" t="s">
        <v>316</v>
      </c>
      <c r="B144" s="175" t="s">
        <v>388</v>
      </c>
      <c r="C144" s="175" t="s">
        <v>159</v>
      </c>
      <c r="D144" s="175">
        <v>217</v>
      </c>
      <c r="E144" s="175">
        <v>3017</v>
      </c>
      <c r="F144" s="175">
        <v>7.2</v>
      </c>
    </row>
    <row r="145" spans="1:6" x14ac:dyDescent="0.2">
      <c r="A145" s="175" t="s">
        <v>316</v>
      </c>
      <c r="B145" s="175" t="s">
        <v>389</v>
      </c>
      <c r="C145" s="175" t="s">
        <v>160</v>
      </c>
      <c r="D145" s="175">
        <v>167</v>
      </c>
      <c r="E145" s="175">
        <v>1648</v>
      </c>
      <c r="F145" s="175">
        <v>10.1</v>
      </c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workbookViewId="0">
      <selection activeCell="Q26" sqref="Q26"/>
    </sheetView>
  </sheetViews>
  <sheetFormatPr baseColWidth="10" defaultColWidth="7.6640625" defaultRowHeight="14" x14ac:dyDescent="0.2"/>
  <cols>
    <col min="1" max="1" width="10.1640625" style="175" bestFit="1" customWidth="1"/>
    <col min="2" max="2" width="7.6640625" style="175" bestFit="1" customWidth="1"/>
    <col min="3" max="3" width="17" style="175" bestFit="1" customWidth="1"/>
    <col min="4" max="4" width="14.5" style="126" bestFit="1" customWidth="1"/>
    <col min="5" max="16384" width="7.6640625" style="175"/>
  </cols>
  <sheetData>
    <row r="1" spans="1:6" x14ac:dyDescent="0.2">
      <c r="A1" s="173" t="s">
        <v>313</v>
      </c>
      <c r="B1" s="173" t="s">
        <v>314</v>
      </c>
      <c r="C1" s="173" t="s">
        <v>315</v>
      </c>
      <c r="D1" s="174" t="s">
        <v>14</v>
      </c>
    </row>
    <row r="2" spans="1:6" x14ac:dyDescent="0.2">
      <c r="A2" s="175" t="s">
        <v>316</v>
      </c>
      <c r="B2" s="175" t="s">
        <v>317</v>
      </c>
      <c r="C2" s="175" t="s">
        <v>89</v>
      </c>
      <c r="D2" s="126">
        <v>791</v>
      </c>
      <c r="F2" s="175" t="s">
        <v>318</v>
      </c>
    </row>
    <row r="3" spans="1:6" x14ac:dyDescent="0.2">
      <c r="A3" s="175" t="s">
        <v>316</v>
      </c>
      <c r="B3" s="175" t="s">
        <v>319</v>
      </c>
      <c r="C3" s="175" t="s">
        <v>90</v>
      </c>
      <c r="D3" s="126">
        <v>1497</v>
      </c>
    </row>
    <row r="4" spans="1:6" x14ac:dyDescent="0.2">
      <c r="A4" s="175" t="s">
        <v>316</v>
      </c>
      <c r="B4" s="175" t="s">
        <v>320</v>
      </c>
      <c r="C4" s="175" t="s">
        <v>91</v>
      </c>
      <c r="D4" s="126">
        <v>289</v>
      </c>
    </row>
    <row r="5" spans="1:6" x14ac:dyDescent="0.2">
      <c r="A5" s="175" t="s">
        <v>316</v>
      </c>
      <c r="B5" s="175" t="s">
        <v>321</v>
      </c>
      <c r="C5" s="175" t="s">
        <v>92</v>
      </c>
      <c r="D5" s="126">
        <v>1086</v>
      </c>
    </row>
    <row r="6" spans="1:6" x14ac:dyDescent="0.2">
      <c r="A6" s="175" t="s">
        <v>316</v>
      </c>
      <c r="B6" s="175" t="s">
        <v>322</v>
      </c>
      <c r="C6" s="175" t="s">
        <v>93</v>
      </c>
      <c r="D6" s="126">
        <v>627</v>
      </c>
    </row>
    <row r="7" spans="1:6" x14ac:dyDescent="0.2">
      <c r="A7" s="175" t="s">
        <v>316</v>
      </c>
      <c r="B7" s="175" t="s">
        <v>323</v>
      </c>
      <c r="C7" s="175" t="s">
        <v>94</v>
      </c>
      <c r="D7" s="126">
        <v>2104</v>
      </c>
    </row>
    <row r="8" spans="1:6" x14ac:dyDescent="0.2">
      <c r="A8" s="175" t="s">
        <v>316</v>
      </c>
      <c r="B8" s="175" t="s">
        <v>324</v>
      </c>
      <c r="C8" s="175" t="s">
        <v>95</v>
      </c>
      <c r="D8" s="126">
        <v>1080</v>
      </c>
    </row>
    <row r="9" spans="1:6" x14ac:dyDescent="0.2">
      <c r="A9" s="175" t="s">
        <v>316</v>
      </c>
      <c r="B9" s="175" t="s">
        <v>325</v>
      </c>
      <c r="C9" s="175" t="s">
        <v>96</v>
      </c>
      <c r="D9" s="126">
        <v>1951</v>
      </c>
    </row>
    <row r="10" spans="1:6" x14ac:dyDescent="0.2">
      <c r="A10" s="175" t="s">
        <v>316</v>
      </c>
      <c r="B10" s="175" t="s">
        <v>326</v>
      </c>
      <c r="C10" s="175" t="s">
        <v>97</v>
      </c>
      <c r="D10" s="126">
        <v>1066</v>
      </c>
    </row>
    <row r="11" spans="1:6" x14ac:dyDescent="0.2">
      <c r="A11" s="175" t="s">
        <v>316</v>
      </c>
      <c r="B11" s="175" t="s">
        <v>327</v>
      </c>
      <c r="C11" s="175" t="s">
        <v>98</v>
      </c>
      <c r="D11" s="126">
        <v>2571</v>
      </c>
    </row>
    <row r="12" spans="1:6" x14ac:dyDescent="0.2">
      <c r="A12" s="175" t="s">
        <v>316</v>
      </c>
      <c r="B12" s="175" t="s">
        <v>328</v>
      </c>
      <c r="C12" s="175" t="s">
        <v>99</v>
      </c>
      <c r="D12" s="126">
        <v>643</v>
      </c>
    </row>
    <row r="13" spans="1:6" x14ac:dyDescent="0.2">
      <c r="A13" s="175" t="s">
        <v>316</v>
      </c>
      <c r="B13" s="175" t="s">
        <v>329</v>
      </c>
      <c r="C13" s="175" t="s">
        <v>100</v>
      </c>
      <c r="D13" s="126">
        <v>1547</v>
      </c>
    </row>
    <row r="14" spans="1:6" x14ac:dyDescent="0.2">
      <c r="A14" s="175" t="s">
        <v>316</v>
      </c>
      <c r="B14" s="175" t="s">
        <v>330</v>
      </c>
      <c r="C14" s="175" t="s">
        <v>101</v>
      </c>
      <c r="D14" s="126">
        <v>234</v>
      </c>
    </row>
    <row r="15" spans="1:6" x14ac:dyDescent="0.2">
      <c r="A15" s="175" t="s">
        <v>316</v>
      </c>
      <c r="B15" s="175" t="s">
        <v>331</v>
      </c>
      <c r="C15" s="175" t="s">
        <v>102</v>
      </c>
      <c r="D15" s="126">
        <v>1090</v>
      </c>
    </row>
    <row r="16" spans="1:6" x14ac:dyDescent="0.2">
      <c r="A16" s="175" t="s">
        <v>316</v>
      </c>
      <c r="B16" s="175" t="s">
        <v>332</v>
      </c>
      <c r="C16" s="175" t="s">
        <v>103</v>
      </c>
      <c r="D16" s="126">
        <v>2032</v>
      </c>
    </row>
    <row r="17" spans="1:4" x14ac:dyDescent="0.2">
      <c r="A17" s="175" t="s">
        <v>316</v>
      </c>
      <c r="B17" s="175" t="s">
        <v>333</v>
      </c>
      <c r="C17" s="175" t="s">
        <v>104</v>
      </c>
      <c r="D17" s="126">
        <v>94</v>
      </c>
    </row>
    <row r="18" spans="1:4" x14ac:dyDescent="0.2">
      <c r="A18" s="175" t="s">
        <v>316</v>
      </c>
      <c r="B18" s="175" t="s">
        <v>334</v>
      </c>
      <c r="C18" s="175" t="s">
        <v>105</v>
      </c>
      <c r="D18" s="126">
        <v>1488</v>
      </c>
    </row>
    <row r="19" spans="1:4" x14ac:dyDescent="0.2">
      <c r="A19" s="175" t="s">
        <v>316</v>
      </c>
      <c r="B19" s="175" t="s">
        <v>335</v>
      </c>
      <c r="C19" s="175" t="s">
        <v>106</v>
      </c>
      <c r="D19" s="126">
        <v>410</v>
      </c>
    </row>
    <row r="20" spans="1:4" x14ac:dyDescent="0.2">
      <c r="A20" s="175" t="s">
        <v>316</v>
      </c>
      <c r="B20" s="175" t="s">
        <v>336</v>
      </c>
      <c r="C20" s="175" t="s">
        <v>107</v>
      </c>
      <c r="D20" s="126">
        <v>1399</v>
      </c>
    </row>
    <row r="21" spans="1:4" x14ac:dyDescent="0.2">
      <c r="A21" s="175" t="s">
        <v>316</v>
      </c>
      <c r="B21" s="175" t="s">
        <v>337</v>
      </c>
      <c r="C21" s="175" t="s">
        <v>108</v>
      </c>
      <c r="D21" s="126">
        <v>2020</v>
      </c>
    </row>
    <row r="22" spans="1:4" x14ac:dyDescent="0.2">
      <c r="A22" s="175" t="s">
        <v>316</v>
      </c>
      <c r="B22" s="175" t="s">
        <v>338</v>
      </c>
      <c r="C22" s="175" t="s">
        <v>109</v>
      </c>
      <c r="D22" s="126">
        <v>796</v>
      </c>
    </row>
    <row r="23" spans="1:4" x14ac:dyDescent="0.2">
      <c r="A23" s="175" t="s">
        <v>316</v>
      </c>
      <c r="B23" s="175" t="s">
        <v>339</v>
      </c>
      <c r="C23" s="175" t="s">
        <v>110</v>
      </c>
      <c r="D23" s="126">
        <v>1063</v>
      </c>
    </row>
    <row r="24" spans="1:4" x14ac:dyDescent="0.2">
      <c r="A24" s="175" t="s">
        <v>316</v>
      </c>
      <c r="B24" s="175" t="s">
        <v>340</v>
      </c>
      <c r="C24" s="175" t="s">
        <v>111</v>
      </c>
      <c r="D24" s="126">
        <v>2408</v>
      </c>
    </row>
    <row r="25" spans="1:4" x14ac:dyDescent="0.2">
      <c r="A25" s="175" t="s">
        <v>316</v>
      </c>
      <c r="B25" s="175" t="s">
        <v>341</v>
      </c>
      <c r="C25" s="175" t="s">
        <v>112</v>
      </c>
      <c r="D25" s="126">
        <v>69</v>
      </c>
    </row>
    <row r="26" spans="1:4" x14ac:dyDescent="0.2">
      <c r="A26" s="175" t="s">
        <v>316</v>
      </c>
      <c r="B26" s="175" t="s">
        <v>342</v>
      </c>
      <c r="C26" s="175" t="s">
        <v>113</v>
      </c>
      <c r="D26" s="126">
        <v>108</v>
      </c>
    </row>
    <row r="27" spans="1:4" x14ac:dyDescent="0.2">
      <c r="A27" s="175" t="s">
        <v>316</v>
      </c>
      <c r="B27" s="175" t="s">
        <v>343</v>
      </c>
      <c r="C27" s="175" t="s">
        <v>114</v>
      </c>
      <c r="D27" s="126">
        <v>2318</v>
      </c>
    </row>
    <row r="28" spans="1:4" x14ac:dyDescent="0.2">
      <c r="A28" s="175" t="s">
        <v>316</v>
      </c>
      <c r="B28" s="175" t="s">
        <v>344</v>
      </c>
      <c r="C28" s="175" t="s">
        <v>115</v>
      </c>
      <c r="D28" s="126">
        <v>8015</v>
      </c>
    </row>
    <row r="29" spans="1:4" x14ac:dyDescent="0.2">
      <c r="A29" s="175" t="s">
        <v>316</v>
      </c>
      <c r="B29" s="175" t="s">
        <v>345</v>
      </c>
      <c r="C29" s="175" t="s">
        <v>116</v>
      </c>
      <c r="D29" s="126">
        <v>4043</v>
      </c>
    </row>
    <row r="30" spans="1:4" x14ac:dyDescent="0.2">
      <c r="A30" s="175" t="s">
        <v>316</v>
      </c>
      <c r="B30" s="175" t="s">
        <v>346</v>
      </c>
      <c r="C30" s="175" t="s">
        <v>117</v>
      </c>
      <c r="D30" s="126">
        <v>156</v>
      </c>
    </row>
    <row r="31" spans="1:4" x14ac:dyDescent="0.2">
      <c r="A31" s="175" t="s">
        <v>316</v>
      </c>
      <c r="B31" s="175" t="s">
        <v>347</v>
      </c>
      <c r="C31" s="175" t="s">
        <v>118</v>
      </c>
      <c r="D31" s="126">
        <v>238</v>
      </c>
    </row>
    <row r="32" spans="1:4" x14ac:dyDescent="0.2">
      <c r="A32" s="175" t="s">
        <v>316</v>
      </c>
      <c r="B32" s="175" t="s">
        <v>348</v>
      </c>
      <c r="C32" s="175" t="s">
        <v>119</v>
      </c>
      <c r="D32" s="126">
        <v>1173</v>
      </c>
    </row>
    <row r="33" spans="1:4" x14ac:dyDescent="0.2">
      <c r="A33" s="175" t="s">
        <v>316</v>
      </c>
      <c r="B33" s="175" t="s">
        <v>349</v>
      </c>
      <c r="C33" s="175" t="s">
        <v>120</v>
      </c>
      <c r="D33" s="126">
        <v>843</v>
      </c>
    </row>
    <row r="34" spans="1:4" x14ac:dyDescent="0.2">
      <c r="A34" s="175" t="s">
        <v>316</v>
      </c>
      <c r="B34" s="175" t="s">
        <v>350</v>
      </c>
      <c r="C34" s="175" t="s">
        <v>121</v>
      </c>
      <c r="D34" s="126">
        <v>357</v>
      </c>
    </row>
    <row r="35" spans="1:4" x14ac:dyDescent="0.2">
      <c r="A35" s="175" t="s">
        <v>316</v>
      </c>
      <c r="B35" s="175" t="s">
        <v>351</v>
      </c>
      <c r="C35" s="175" t="s">
        <v>122</v>
      </c>
      <c r="D35" s="126">
        <v>2676</v>
      </c>
    </row>
    <row r="36" spans="1:4" x14ac:dyDescent="0.2">
      <c r="A36" s="175" t="s">
        <v>316</v>
      </c>
      <c r="B36" s="175" t="s">
        <v>352</v>
      </c>
      <c r="C36" s="175" t="s">
        <v>123</v>
      </c>
      <c r="D36" s="126">
        <v>1465</v>
      </c>
    </row>
    <row r="37" spans="1:4" x14ac:dyDescent="0.2">
      <c r="A37" s="175" t="s">
        <v>316</v>
      </c>
      <c r="B37" s="175" t="s">
        <v>353</v>
      </c>
      <c r="C37" s="175" t="s">
        <v>124</v>
      </c>
      <c r="D37" s="126">
        <v>359</v>
      </c>
    </row>
    <row r="38" spans="1:4" x14ac:dyDescent="0.2">
      <c r="A38" s="175" t="s">
        <v>316</v>
      </c>
      <c r="B38" s="175" t="s">
        <v>354</v>
      </c>
      <c r="C38" s="175" t="s">
        <v>125</v>
      </c>
      <c r="D38" s="126">
        <v>2515</v>
      </c>
    </row>
    <row r="39" spans="1:4" x14ac:dyDescent="0.2">
      <c r="A39" s="175" t="s">
        <v>316</v>
      </c>
      <c r="B39" s="175" t="s">
        <v>355</v>
      </c>
      <c r="C39" s="175" t="s">
        <v>126</v>
      </c>
      <c r="D39" s="126">
        <v>406</v>
      </c>
    </row>
    <row r="40" spans="1:4" x14ac:dyDescent="0.2">
      <c r="A40" s="175" t="s">
        <v>316</v>
      </c>
      <c r="B40" s="175" t="s">
        <v>356</v>
      </c>
      <c r="C40" s="175" t="s">
        <v>127</v>
      </c>
      <c r="D40" s="126">
        <v>73</v>
      </c>
    </row>
    <row r="41" spans="1:4" x14ac:dyDescent="0.2">
      <c r="A41" s="175" t="s">
        <v>316</v>
      </c>
      <c r="B41" s="175" t="s">
        <v>357</v>
      </c>
      <c r="C41" s="175" t="s">
        <v>128</v>
      </c>
      <c r="D41" s="126">
        <v>1272</v>
      </c>
    </row>
    <row r="42" spans="1:4" x14ac:dyDescent="0.2">
      <c r="A42" s="175" t="s">
        <v>316</v>
      </c>
      <c r="B42" s="175" t="s">
        <v>358</v>
      </c>
      <c r="C42" s="175" t="s">
        <v>129</v>
      </c>
      <c r="D42" s="126">
        <v>2398</v>
      </c>
    </row>
    <row r="43" spans="1:4" x14ac:dyDescent="0.2">
      <c r="A43" s="175" t="s">
        <v>316</v>
      </c>
      <c r="B43" s="175" t="s">
        <v>359</v>
      </c>
      <c r="C43" s="175" t="s">
        <v>130</v>
      </c>
      <c r="D43" s="126">
        <v>1173</v>
      </c>
    </row>
    <row r="44" spans="1:4" x14ac:dyDescent="0.2">
      <c r="A44" s="175" t="s">
        <v>316</v>
      </c>
      <c r="B44" s="175" t="s">
        <v>360</v>
      </c>
      <c r="C44" s="175" t="s">
        <v>131</v>
      </c>
      <c r="D44" s="126">
        <v>1661</v>
      </c>
    </row>
    <row r="45" spans="1:4" x14ac:dyDescent="0.2">
      <c r="A45" s="175" t="s">
        <v>316</v>
      </c>
      <c r="B45" s="175" t="s">
        <v>361</v>
      </c>
      <c r="C45" s="175" t="s">
        <v>132</v>
      </c>
      <c r="D45" s="126">
        <v>320</v>
      </c>
    </row>
    <row r="46" spans="1:4" x14ac:dyDescent="0.2">
      <c r="A46" s="175" t="s">
        <v>316</v>
      </c>
      <c r="B46" s="175" t="s">
        <v>362</v>
      </c>
      <c r="C46" s="175" t="s">
        <v>133</v>
      </c>
      <c r="D46" s="126">
        <v>1491</v>
      </c>
    </row>
    <row r="47" spans="1:4" x14ac:dyDescent="0.2">
      <c r="A47" s="175" t="s">
        <v>316</v>
      </c>
      <c r="B47" s="175" t="s">
        <v>363</v>
      </c>
      <c r="C47" s="175" t="s">
        <v>134</v>
      </c>
      <c r="D47" s="126">
        <v>3283</v>
      </c>
    </row>
    <row r="48" spans="1:4" x14ac:dyDescent="0.2">
      <c r="A48" s="175" t="s">
        <v>316</v>
      </c>
      <c r="B48" s="175" t="s">
        <v>364</v>
      </c>
      <c r="C48" s="175" t="s">
        <v>135</v>
      </c>
      <c r="D48" s="126">
        <v>1639</v>
      </c>
    </row>
    <row r="49" spans="1:4" x14ac:dyDescent="0.2">
      <c r="A49" s="175" t="s">
        <v>316</v>
      </c>
      <c r="B49" s="175" t="s">
        <v>365</v>
      </c>
      <c r="C49" s="175" t="s">
        <v>136</v>
      </c>
      <c r="D49" s="126">
        <v>3081</v>
      </c>
    </row>
    <row r="50" spans="1:4" x14ac:dyDescent="0.2">
      <c r="A50" s="175" t="s">
        <v>316</v>
      </c>
      <c r="B50" s="175" t="s">
        <v>366</v>
      </c>
      <c r="C50" s="175" t="s">
        <v>137</v>
      </c>
      <c r="D50" s="126">
        <v>831</v>
      </c>
    </row>
    <row r="51" spans="1:4" x14ac:dyDescent="0.2">
      <c r="A51" s="175" t="s">
        <v>316</v>
      </c>
      <c r="B51" s="175" t="s">
        <v>367</v>
      </c>
      <c r="C51" s="175" t="s">
        <v>138</v>
      </c>
      <c r="D51" s="126">
        <v>1741</v>
      </c>
    </row>
    <row r="52" spans="1:4" x14ac:dyDescent="0.2">
      <c r="A52" s="175" t="s">
        <v>316</v>
      </c>
      <c r="B52" s="175" t="s">
        <v>368</v>
      </c>
      <c r="C52" s="175" t="s">
        <v>139</v>
      </c>
      <c r="D52" s="126">
        <v>978</v>
      </c>
    </row>
    <row r="53" spans="1:4" x14ac:dyDescent="0.2">
      <c r="A53" s="175" t="s">
        <v>316</v>
      </c>
      <c r="B53" s="175" t="s">
        <v>369</v>
      </c>
      <c r="C53" s="175" t="s">
        <v>140</v>
      </c>
      <c r="D53" s="126">
        <v>377</v>
      </c>
    </row>
    <row r="54" spans="1:4" x14ac:dyDescent="0.2">
      <c r="A54" s="175" t="s">
        <v>316</v>
      </c>
      <c r="B54" s="175" t="s">
        <v>370</v>
      </c>
      <c r="C54" s="175" t="s">
        <v>141</v>
      </c>
      <c r="D54" s="126">
        <v>884</v>
      </c>
    </row>
    <row r="55" spans="1:4" x14ac:dyDescent="0.2">
      <c r="A55" s="175" t="s">
        <v>316</v>
      </c>
      <c r="B55" s="175" t="s">
        <v>371</v>
      </c>
      <c r="C55" s="175" t="s">
        <v>142</v>
      </c>
      <c r="D55" s="126">
        <v>744</v>
      </c>
    </row>
    <row r="56" spans="1:4" x14ac:dyDescent="0.2">
      <c r="A56" s="175" t="s">
        <v>316</v>
      </c>
      <c r="B56" s="175" t="s">
        <v>372</v>
      </c>
      <c r="C56" s="175" t="s">
        <v>143</v>
      </c>
      <c r="D56" s="126">
        <v>1029</v>
      </c>
    </row>
    <row r="57" spans="1:4" x14ac:dyDescent="0.2">
      <c r="A57" s="175" t="s">
        <v>316</v>
      </c>
      <c r="B57" s="175" t="s">
        <v>373</v>
      </c>
      <c r="C57" s="175" t="s">
        <v>144</v>
      </c>
      <c r="D57" s="126">
        <v>2166</v>
      </c>
    </row>
    <row r="58" spans="1:4" x14ac:dyDescent="0.2">
      <c r="A58" s="175" t="s">
        <v>316</v>
      </c>
      <c r="B58" s="175" t="s">
        <v>374</v>
      </c>
      <c r="C58" s="175" t="s">
        <v>145</v>
      </c>
      <c r="D58" s="126">
        <v>1300</v>
      </c>
    </row>
    <row r="59" spans="1:4" x14ac:dyDescent="0.2">
      <c r="A59" s="175" t="s">
        <v>316</v>
      </c>
      <c r="B59" s="175" t="s">
        <v>375</v>
      </c>
      <c r="C59" s="175" t="s">
        <v>146</v>
      </c>
      <c r="D59" s="126">
        <v>535</v>
      </c>
    </row>
    <row r="60" spans="1:4" x14ac:dyDescent="0.2">
      <c r="A60" s="175" t="s">
        <v>316</v>
      </c>
      <c r="B60" s="175" t="s">
        <v>376</v>
      </c>
      <c r="C60" s="175" t="s">
        <v>147</v>
      </c>
      <c r="D60" s="126">
        <v>1205</v>
      </c>
    </row>
    <row r="61" spans="1:4" x14ac:dyDescent="0.2">
      <c r="A61" s="175" t="s">
        <v>316</v>
      </c>
      <c r="B61" s="175" t="s">
        <v>377</v>
      </c>
      <c r="C61" s="175" t="s">
        <v>148</v>
      </c>
      <c r="D61" s="126">
        <v>118</v>
      </c>
    </row>
    <row r="62" spans="1:4" x14ac:dyDescent="0.2">
      <c r="A62" s="175" t="s">
        <v>316</v>
      </c>
      <c r="B62" s="175" t="s">
        <v>378</v>
      </c>
      <c r="C62" s="175" t="s">
        <v>149</v>
      </c>
      <c r="D62" s="126">
        <v>501</v>
      </c>
    </row>
    <row r="63" spans="1:4" x14ac:dyDescent="0.2">
      <c r="A63" s="175" t="s">
        <v>316</v>
      </c>
      <c r="B63" s="175" t="s">
        <v>379</v>
      </c>
      <c r="C63" s="175" t="s">
        <v>150</v>
      </c>
      <c r="D63" s="126">
        <v>751</v>
      </c>
    </row>
    <row r="64" spans="1:4" x14ac:dyDescent="0.2">
      <c r="A64" s="175" t="s">
        <v>316</v>
      </c>
      <c r="B64" s="175" t="s">
        <v>380</v>
      </c>
      <c r="C64" s="175" t="s">
        <v>151</v>
      </c>
      <c r="D64" s="126">
        <v>1417</v>
      </c>
    </row>
    <row r="65" spans="1:4" x14ac:dyDescent="0.2">
      <c r="A65" s="175" t="s">
        <v>316</v>
      </c>
      <c r="B65" s="175" t="s">
        <v>381</v>
      </c>
      <c r="C65" s="175" t="s">
        <v>152</v>
      </c>
      <c r="D65" s="126">
        <v>1638</v>
      </c>
    </row>
    <row r="66" spans="1:4" x14ac:dyDescent="0.2">
      <c r="A66" s="175" t="s">
        <v>316</v>
      </c>
      <c r="B66" s="175" t="s">
        <v>382</v>
      </c>
      <c r="C66" s="175" t="s">
        <v>153</v>
      </c>
      <c r="D66" s="126">
        <v>3670</v>
      </c>
    </row>
    <row r="67" spans="1:4" x14ac:dyDescent="0.2">
      <c r="A67" s="175" t="s">
        <v>316</v>
      </c>
      <c r="B67" s="175" t="s">
        <v>383</v>
      </c>
      <c r="C67" s="175" t="s">
        <v>154</v>
      </c>
      <c r="D67" s="126">
        <v>2355</v>
      </c>
    </row>
    <row r="68" spans="1:4" x14ac:dyDescent="0.2">
      <c r="A68" s="175" t="s">
        <v>316</v>
      </c>
      <c r="B68" s="175" t="s">
        <v>384</v>
      </c>
      <c r="C68" s="175" t="s">
        <v>155</v>
      </c>
      <c r="D68" s="126">
        <v>1404</v>
      </c>
    </row>
    <row r="69" spans="1:4" x14ac:dyDescent="0.2">
      <c r="A69" s="175" t="s">
        <v>316</v>
      </c>
      <c r="B69" s="175" t="s">
        <v>385</v>
      </c>
      <c r="C69" s="175" t="s">
        <v>156</v>
      </c>
      <c r="D69" s="126">
        <v>643</v>
      </c>
    </row>
    <row r="70" spans="1:4" x14ac:dyDescent="0.2">
      <c r="A70" s="175" t="s">
        <v>316</v>
      </c>
      <c r="B70" s="175" t="s">
        <v>386</v>
      </c>
      <c r="C70" s="175" t="s">
        <v>157</v>
      </c>
      <c r="D70" s="126">
        <v>278</v>
      </c>
    </row>
    <row r="71" spans="1:4" x14ac:dyDescent="0.2">
      <c r="A71" s="175" t="s">
        <v>316</v>
      </c>
      <c r="B71" s="175" t="s">
        <v>387</v>
      </c>
      <c r="C71" s="175" t="s">
        <v>158</v>
      </c>
      <c r="D71" s="126">
        <v>586</v>
      </c>
    </row>
    <row r="72" spans="1:4" x14ac:dyDescent="0.2">
      <c r="A72" s="175" t="s">
        <v>316</v>
      </c>
      <c r="B72" s="175" t="s">
        <v>388</v>
      </c>
      <c r="C72" s="175" t="s">
        <v>159</v>
      </c>
      <c r="D72" s="126">
        <v>1618</v>
      </c>
    </row>
    <row r="73" spans="1:4" x14ac:dyDescent="0.2">
      <c r="A73" s="175" t="s">
        <v>316</v>
      </c>
      <c r="B73" s="175" t="s">
        <v>389</v>
      </c>
      <c r="C73" s="175" t="s">
        <v>160</v>
      </c>
      <c r="D73" s="126">
        <v>941</v>
      </c>
    </row>
    <row r="74" spans="1:4" x14ac:dyDescent="0.2">
      <c r="A74" s="175" t="s">
        <v>390</v>
      </c>
      <c r="B74" s="175" t="s">
        <v>317</v>
      </c>
      <c r="C74" s="175" t="s">
        <v>89</v>
      </c>
      <c r="D74" s="126">
        <v>584</v>
      </c>
    </row>
    <row r="75" spans="1:4" x14ac:dyDescent="0.2">
      <c r="A75" s="175" t="s">
        <v>390</v>
      </c>
      <c r="B75" s="175" t="s">
        <v>319</v>
      </c>
      <c r="C75" s="175" t="s">
        <v>90</v>
      </c>
      <c r="D75" s="126">
        <v>1225</v>
      </c>
    </row>
    <row r="76" spans="1:4" x14ac:dyDescent="0.2">
      <c r="A76" s="175" t="s">
        <v>390</v>
      </c>
      <c r="B76" s="175" t="s">
        <v>320</v>
      </c>
      <c r="C76" s="175" t="s">
        <v>91</v>
      </c>
      <c r="D76" s="126">
        <v>259</v>
      </c>
    </row>
    <row r="77" spans="1:4" x14ac:dyDescent="0.2">
      <c r="A77" s="175" t="s">
        <v>390</v>
      </c>
      <c r="B77" s="175" t="s">
        <v>321</v>
      </c>
      <c r="C77" s="175" t="s">
        <v>92</v>
      </c>
      <c r="D77" s="126">
        <v>870</v>
      </c>
    </row>
    <row r="78" spans="1:4" x14ac:dyDescent="0.2">
      <c r="A78" s="175" t="s">
        <v>390</v>
      </c>
      <c r="B78" s="175" t="s">
        <v>322</v>
      </c>
      <c r="C78" s="175" t="s">
        <v>93</v>
      </c>
      <c r="D78" s="126">
        <v>492</v>
      </c>
    </row>
    <row r="79" spans="1:4" x14ac:dyDescent="0.2">
      <c r="A79" s="175" t="s">
        <v>390</v>
      </c>
      <c r="B79" s="175" t="s">
        <v>323</v>
      </c>
      <c r="C79" s="175" t="s">
        <v>94</v>
      </c>
      <c r="D79" s="126">
        <v>1867</v>
      </c>
    </row>
    <row r="80" spans="1:4" x14ac:dyDescent="0.2">
      <c r="A80" s="175" t="s">
        <v>390</v>
      </c>
      <c r="B80" s="175" t="s">
        <v>324</v>
      </c>
      <c r="C80" s="175" t="s">
        <v>95</v>
      </c>
      <c r="D80" s="126">
        <v>924</v>
      </c>
    </row>
    <row r="81" spans="1:4" x14ac:dyDescent="0.2">
      <c r="A81" s="175" t="s">
        <v>390</v>
      </c>
      <c r="B81" s="175" t="s">
        <v>325</v>
      </c>
      <c r="C81" s="175" t="s">
        <v>96</v>
      </c>
      <c r="D81" s="126">
        <v>1634</v>
      </c>
    </row>
    <row r="82" spans="1:4" x14ac:dyDescent="0.2">
      <c r="A82" s="175" t="s">
        <v>390</v>
      </c>
      <c r="B82" s="175" t="s">
        <v>326</v>
      </c>
      <c r="C82" s="175" t="s">
        <v>97</v>
      </c>
      <c r="D82" s="126">
        <v>880</v>
      </c>
    </row>
    <row r="83" spans="1:4" x14ac:dyDescent="0.2">
      <c r="A83" s="175" t="s">
        <v>390</v>
      </c>
      <c r="B83" s="175" t="s">
        <v>327</v>
      </c>
      <c r="C83" s="175" t="s">
        <v>98</v>
      </c>
      <c r="D83" s="126">
        <v>2184</v>
      </c>
    </row>
    <row r="84" spans="1:4" x14ac:dyDescent="0.2">
      <c r="A84" s="175" t="s">
        <v>390</v>
      </c>
      <c r="B84" s="175" t="s">
        <v>328</v>
      </c>
      <c r="C84" s="175" t="s">
        <v>99</v>
      </c>
      <c r="D84" s="126">
        <v>459</v>
      </c>
    </row>
    <row r="85" spans="1:4" x14ac:dyDescent="0.2">
      <c r="A85" s="175" t="s">
        <v>390</v>
      </c>
      <c r="B85" s="175" t="s">
        <v>329</v>
      </c>
      <c r="C85" s="175" t="s">
        <v>100</v>
      </c>
      <c r="D85" s="126">
        <v>1038</v>
      </c>
    </row>
    <row r="86" spans="1:4" x14ac:dyDescent="0.2">
      <c r="A86" s="175" t="s">
        <v>390</v>
      </c>
      <c r="B86" s="175" t="s">
        <v>330</v>
      </c>
      <c r="C86" s="175" t="s">
        <v>101</v>
      </c>
      <c r="D86" s="126">
        <v>214</v>
      </c>
    </row>
    <row r="87" spans="1:4" x14ac:dyDescent="0.2">
      <c r="A87" s="175" t="s">
        <v>390</v>
      </c>
      <c r="B87" s="175" t="s">
        <v>331</v>
      </c>
      <c r="C87" s="175" t="s">
        <v>102</v>
      </c>
      <c r="D87" s="126">
        <v>931</v>
      </c>
    </row>
    <row r="88" spans="1:4" x14ac:dyDescent="0.2">
      <c r="A88" s="175" t="s">
        <v>390</v>
      </c>
      <c r="B88" s="175" t="s">
        <v>332</v>
      </c>
      <c r="C88" s="175" t="s">
        <v>103</v>
      </c>
      <c r="D88" s="126">
        <v>1501</v>
      </c>
    </row>
    <row r="89" spans="1:4" x14ac:dyDescent="0.2">
      <c r="A89" s="175" t="s">
        <v>390</v>
      </c>
      <c r="B89" s="175" t="s">
        <v>333</v>
      </c>
      <c r="C89" s="175" t="s">
        <v>104</v>
      </c>
      <c r="D89" s="126">
        <v>66</v>
      </c>
    </row>
    <row r="90" spans="1:4" x14ac:dyDescent="0.2">
      <c r="A90" s="175" t="s">
        <v>390</v>
      </c>
      <c r="B90" s="175" t="s">
        <v>334</v>
      </c>
      <c r="C90" s="175" t="s">
        <v>105</v>
      </c>
      <c r="D90" s="126">
        <v>1099</v>
      </c>
    </row>
    <row r="91" spans="1:4" x14ac:dyDescent="0.2">
      <c r="A91" s="175" t="s">
        <v>390</v>
      </c>
      <c r="B91" s="175" t="s">
        <v>335</v>
      </c>
      <c r="C91" s="175" t="s">
        <v>106</v>
      </c>
      <c r="D91" s="126">
        <v>266</v>
      </c>
    </row>
    <row r="92" spans="1:4" x14ac:dyDescent="0.2">
      <c r="A92" s="175" t="s">
        <v>390</v>
      </c>
      <c r="B92" s="175" t="s">
        <v>336</v>
      </c>
      <c r="C92" s="175" t="s">
        <v>107</v>
      </c>
      <c r="D92" s="126">
        <v>1153</v>
      </c>
    </row>
    <row r="93" spans="1:4" x14ac:dyDescent="0.2">
      <c r="A93" s="175" t="s">
        <v>390</v>
      </c>
      <c r="B93" s="175" t="s">
        <v>337</v>
      </c>
      <c r="C93" s="175" t="s">
        <v>108</v>
      </c>
      <c r="D93" s="126">
        <v>1690</v>
      </c>
    </row>
    <row r="94" spans="1:4" x14ac:dyDescent="0.2">
      <c r="A94" s="175" t="s">
        <v>390</v>
      </c>
      <c r="B94" s="175" t="s">
        <v>338</v>
      </c>
      <c r="C94" s="175" t="s">
        <v>109</v>
      </c>
      <c r="D94" s="126">
        <v>691</v>
      </c>
    </row>
    <row r="95" spans="1:4" x14ac:dyDescent="0.2">
      <c r="A95" s="175" t="s">
        <v>390</v>
      </c>
      <c r="B95" s="175" t="s">
        <v>339</v>
      </c>
      <c r="C95" s="175" t="s">
        <v>110</v>
      </c>
      <c r="D95" s="126">
        <v>1042</v>
      </c>
    </row>
    <row r="96" spans="1:4" x14ac:dyDescent="0.2">
      <c r="A96" s="175" t="s">
        <v>390</v>
      </c>
      <c r="B96" s="175" t="s">
        <v>340</v>
      </c>
      <c r="C96" s="175" t="s">
        <v>111</v>
      </c>
      <c r="D96" s="126">
        <v>2144</v>
      </c>
    </row>
    <row r="97" spans="1:4" x14ac:dyDescent="0.2">
      <c r="A97" s="175" t="s">
        <v>390</v>
      </c>
      <c r="B97" s="175" t="s">
        <v>341</v>
      </c>
      <c r="C97" s="175" t="s">
        <v>112</v>
      </c>
      <c r="D97" s="126">
        <v>49</v>
      </c>
    </row>
    <row r="98" spans="1:4" x14ac:dyDescent="0.2">
      <c r="A98" s="175" t="s">
        <v>390</v>
      </c>
      <c r="B98" s="175" t="s">
        <v>342</v>
      </c>
      <c r="C98" s="175" t="s">
        <v>113</v>
      </c>
      <c r="D98" s="126">
        <v>49</v>
      </c>
    </row>
    <row r="99" spans="1:4" x14ac:dyDescent="0.2">
      <c r="A99" s="175" t="s">
        <v>390</v>
      </c>
      <c r="B99" s="175" t="s">
        <v>343</v>
      </c>
      <c r="C99" s="175" t="s">
        <v>114</v>
      </c>
      <c r="D99" s="126">
        <v>1883</v>
      </c>
    </row>
    <row r="100" spans="1:4" x14ac:dyDescent="0.2">
      <c r="A100" s="175" t="s">
        <v>390</v>
      </c>
      <c r="B100" s="175" t="s">
        <v>344</v>
      </c>
      <c r="C100" s="175" t="s">
        <v>115</v>
      </c>
      <c r="D100" s="126">
        <v>5666</v>
      </c>
    </row>
    <row r="101" spans="1:4" x14ac:dyDescent="0.2">
      <c r="A101" s="175" t="s">
        <v>390</v>
      </c>
      <c r="B101" s="175" t="s">
        <v>345</v>
      </c>
      <c r="C101" s="175" t="s">
        <v>116</v>
      </c>
      <c r="D101" s="126">
        <v>3182</v>
      </c>
    </row>
    <row r="102" spans="1:4" x14ac:dyDescent="0.2">
      <c r="A102" s="175" t="s">
        <v>390</v>
      </c>
      <c r="B102" s="175" t="s">
        <v>346</v>
      </c>
      <c r="C102" s="175" t="s">
        <v>117</v>
      </c>
      <c r="D102" s="126">
        <v>93</v>
      </c>
    </row>
    <row r="103" spans="1:4" x14ac:dyDescent="0.2">
      <c r="A103" s="175" t="s">
        <v>390</v>
      </c>
      <c r="B103" s="175" t="s">
        <v>347</v>
      </c>
      <c r="C103" s="175" t="s">
        <v>118</v>
      </c>
      <c r="D103" s="126">
        <v>161</v>
      </c>
    </row>
    <row r="104" spans="1:4" x14ac:dyDescent="0.2">
      <c r="A104" s="175" t="s">
        <v>390</v>
      </c>
      <c r="B104" s="175" t="s">
        <v>348</v>
      </c>
      <c r="C104" s="175" t="s">
        <v>119</v>
      </c>
      <c r="D104" s="126">
        <v>1011</v>
      </c>
    </row>
    <row r="105" spans="1:4" x14ac:dyDescent="0.2">
      <c r="A105" s="175" t="s">
        <v>390</v>
      </c>
      <c r="B105" s="175" t="s">
        <v>349</v>
      </c>
      <c r="C105" s="175" t="s">
        <v>120</v>
      </c>
      <c r="D105" s="126">
        <v>661</v>
      </c>
    </row>
    <row r="106" spans="1:4" x14ac:dyDescent="0.2">
      <c r="A106" s="175" t="s">
        <v>390</v>
      </c>
      <c r="B106" s="175" t="s">
        <v>350</v>
      </c>
      <c r="C106" s="175" t="s">
        <v>121</v>
      </c>
      <c r="D106" s="126">
        <v>280</v>
      </c>
    </row>
    <row r="107" spans="1:4" x14ac:dyDescent="0.2">
      <c r="A107" s="175" t="s">
        <v>390</v>
      </c>
      <c r="B107" s="175" t="s">
        <v>351</v>
      </c>
      <c r="C107" s="175" t="s">
        <v>122</v>
      </c>
      <c r="D107" s="126">
        <v>2057</v>
      </c>
    </row>
    <row r="108" spans="1:4" x14ac:dyDescent="0.2">
      <c r="A108" s="175" t="s">
        <v>390</v>
      </c>
      <c r="B108" s="175" t="s">
        <v>352</v>
      </c>
      <c r="C108" s="175" t="s">
        <v>123</v>
      </c>
      <c r="D108" s="126">
        <v>1252</v>
      </c>
    </row>
    <row r="109" spans="1:4" x14ac:dyDescent="0.2">
      <c r="A109" s="175" t="s">
        <v>390</v>
      </c>
      <c r="B109" s="175" t="s">
        <v>353</v>
      </c>
      <c r="C109" s="175" t="s">
        <v>124</v>
      </c>
      <c r="D109" s="126">
        <v>258</v>
      </c>
    </row>
    <row r="110" spans="1:4" x14ac:dyDescent="0.2">
      <c r="A110" s="175" t="s">
        <v>390</v>
      </c>
      <c r="B110" s="175" t="s">
        <v>354</v>
      </c>
      <c r="C110" s="175" t="s">
        <v>125</v>
      </c>
      <c r="D110" s="126">
        <v>1998</v>
      </c>
    </row>
    <row r="111" spans="1:4" x14ac:dyDescent="0.2">
      <c r="A111" s="175" t="s">
        <v>390</v>
      </c>
      <c r="B111" s="175" t="s">
        <v>355</v>
      </c>
      <c r="C111" s="175" t="s">
        <v>126</v>
      </c>
      <c r="D111" s="126">
        <v>280</v>
      </c>
    </row>
    <row r="112" spans="1:4" x14ac:dyDescent="0.2">
      <c r="A112" s="175" t="s">
        <v>390</v>
      </c>
      <c r="B112" s="175" t="s">
        <v>356</v>
      </c>
      <c r="C112" s="175" t="s">
        <v>127</v>
      </c>
      <c r="D112" s="126">
        <v>45</v>
      </c>
    </row>
    <row r="113" spans="1:4" x14ac:dyDescent="0.2">
      <c r="A113" s="175" t="s">
        <v>390</v>
      </c>
      <c r="B113" s="175" t="s">
        <v>357</v>
      </c>
      <c r="C113" s="175" t="s">
        <v>128</v>
      </c>
      <c r="D113" s="126">
        <v>1061</v>
      </c>
    </row>
    <row r="114" spans="1:4" x14ac:dyDescent="0.2">
      <c r="A114" s="175" t="s">
        <v>390</v>
      </c>
      <c r="B114" s="175" t="s">
        <v>358</v>
      </c>
      <c r="C114" s="175" t="s">
        <v>129</v>
      </c>
      <c r="D114" s="126">
        <v>2075</v>
      </c>
    </row>
    <row r="115" spans="1:4" x14ac:dyDescent="0.2">
      <c r="A115" s="175" t="s">
        <v>390</v>
      </c>
      <c r="B115" s="175" t="s">
        <v>359</v>
      </c>
      <c r="C115" s="175" t="s">
        <v>130</v>
      </c>
      <c r="D115" s="126">
        <v>877</v>
      </c>
    </row>
    <row r="116" spans="1:4" x14ac:dyDescent="0.2">
      <c r="A116" s="175" t="s">
        <v>390</v>
      </c>
      <c r="B116" s="175" t="s">
        <v>360</v>
      </c>
      <c r="C116" s="175" t="s">
        <v>131</v>
      </c>
      <c r="D116" s="126">
        <v>1307</v>
      </c>
    </row>
    <row r="117" spans="1:4" x14ac:dyDescent="0.2">
      <c r="A117" s="175" t="s">
        <v>390</v>
      </c>
      <c r="B117" s="175" t="s">
        <v>361</v>
      </c>
      <c r="C117" s="175" t="s">
        <v>132</v>
      </c>
      <c r="D117" s="126">
        <v>289</v>
      </c>
    </row>
    <row r="118" spans="1:4" x14ac:dyDescent="0.2">
      <c r="A118" s="175" t="s">
        <v>390</v>
      </c>
      <c r="B118" s="175" t="s">
        <v>362</v>
      </c>
      <c r="C118" s="175" t="s">
        <v>133</v>
      </c>
      <c r="D118" s="126">
        <v>802</v>
      </c>
    </row>
    <row r="119" spans="1:4" x14ac:dyDescent="0.2">
      <c r="A119" s="175" t="s">
        <v>390</v>
      </c>
      <c r="B119" s="175" t="s">
        <v>363</v>
      </c>
      <c r="C119" s="175" t="s">
        <v>134</v>
      </c>
      <c r="D119" s="126">
        <v>2741</v>
      </c>
    </row>
    <row r="120" spans="1:4" x14ac:dyDescent="0.2">
      <c r="A120" s="175" t="s">
        <v>390</v>
      </c>
      <c r="B120" s="175" t="s">
        <v>364</v>
      </c>
      <c r="C120" s="175" t="s">
        <v>135</v>
      </c>
      <c r="D120" s="126">
        <v>1312</v>
      </c>
    </row>
    <row r="121" spans="1:4" x14ac:dyDescent="0.2">
      <c r="A121" s="175" t="s">
        <v>390</v>
      </c>
      <c r="B121" s="175" t="s">
        <v>365</v>
      </c>
      <c r="C121" s="175" t="s">
        <v>136</v>
      </c>
      <c r="D121" s="126">
        <v>2468</v>
      </c>
    </row>
    <row r="122" spans="1:4" x14ac:dyDescent="0.2">
      <c r="A122" s="175" t="s">
        <v>390</v>
      </c>
      <c r="B122" s="175" t="s">
        <v>366</v>
      </c>
      <c r="C122" s="175" t="s">
        <v>137</v>
      </c>
      <c r="D122" s="126">
        <v>682</v>
      </c>
    </row>
    <row r="123" spans="1:4" x14ac:dyDescent="0.2">
      <c r="A123" s="175" t="s">
        <v>390</v>
      </c>
      <c r="B123" s="175" t="s">
        <v>367</v>
      </c>
      <c r="C123" s="175" t="s">
        <v>138</v>
      </c>
      <c r="D123" s="126">
        <v>1233</v>
      </c>
    </row>
    <row r="124" spans="1:4" x14ac:dyDescent="0.2">
      <c r="A124" s="175" t="s">
        <v>390</v>
      </c>
      <c r="B124" s="175" t="s">
        <v>368</v>
      </c>
      <c r="C124" s="175" t="s">
        <v>139</v>
      </c>
      <c r="D124" s="126">
        <v>741</v>
      </c>
    </row>
    <row r="125" spans="1:4" x14ac:dyDescent="0.2">
      <c r="A125" s="175" t="s">
        <v>390</v>
      </c>
      <c r="B125" s="175" t="s">
        <v>369</v>
      </c>
      <c r="C125" s="175" t="s">
        <v>140</v>
      </c>
      <c r="D125" s="126">
        <v>335</v>
      </c>
    </row>
    <row r="126" spans="1:4" x14ac:dyDescent="0.2">
      <c r="A126" s="175" t="s">
        <v>390</v>
      </c>
      <c r="B126" s="175" t="s">
        <v>370</v>
      </c>
      <c r="C126" s="175" t="s">
        <v>141</v>
      </c>
      <c r="D126" s="126">
        <v>604</v>
      </c>
    </row>
    <row r="127" spans="1:4" x14ac:dyDescent="0.2">
      <c r="A127" s="175" t="s">
        <v>390</v>
      </c>
      <c r="B127" s="175" t="s">
        <v>371</v>
      </c>
      <c r="C127" s="175" t="s">
        <v>142</v>
      </c>
      <c r="D127" s="126">
        <v>559</v>
      </c>
    </row>
    <row r="128" spans="1:4" x14ac:dyDescent="0.2">
      <c r="A128" s="175" t="s">
        <v>390</v>
      </c>
      <c r="B128" s="175" t="s">
        <v>372</v>
      </c>
      <c r="C128" s="175" t="s">
        <v>143</v>
      </c>
      <c r="D128" s="126">
        <v>793</v>
      </c>
    </row>
    <row r="129" spans="1:4" x14ac:dyDescent="0.2">
      <c r="A129" s="175" t="s">
        <v>390</v>
      </c>
      <c r="B129" s="175" t="s">
        <v>373</v>
      </c>
      <c r="C129" s="175" t="s">
        <v>144</v>
      </c>
      <c r="D129" s="126">
        <v>1657</v>
      </c>
    </row>
    <row r="130" spans="1:4" x14ac:dyDescent="0.2">
      <c r="A130" s="175" t="s">
        <v>390</v>
      </c>
      <c r="B130" s="175" t="s">
        <v>374</v>
      </c>
      <c r="C130" s="175" t="s">
        <v>145</v>
      </c>
      <c r="D130" s="126">
        <v>1219</v>
      </c>
    </row>
    <row r="131" spans="1:4" x14ac:dyDescent="0.2">
      <c r="A131" s="175" t="s">
        <v>390</v>
      </c>
      <c r="B131" s="175" t="s">
        <v>375</v>
      </c>
      <c r="C131" s="175" t="s">
        <v>146</v>
      </c>
      <c r="D131" s="126">
        <v>409</v>
      </c>
    </row>
    <row r="132" spans="1:4" x14ac:dyDescent="0.2">
      <c r="A132" s="175" t="s">
        <v>390</v>
      </c>
      <c r="B132" s="175" t="s">
        <v>376</v>
      </c>
      <c r="C132" s="175" t="s">
        <v>147</v>
      </c>
      <c r="D132" s="126">
        <v>882</v>
      </c>
    </row>
    <row r="133" spans="1:4" x14ac:dyDescent="0.2">
      <c r="A133" s="175" t="s">
        <v>390</v>
      </c>
      <c r="B133" s="175" t="s">
        <v>377</v>
      </c>
      <c r="C133" s="175" t="s">
        <v>148</v>
      </c>
      <c r="D133" s="126">
        <v>110</v>
      </c>
    </row>
    <row r="134" spans="1:4" x14ac:dyDescent="0.2">
      <c r="A134" s="175" t="s">
        <v>390</v>
      </c>
      <c r="B134" s="175" t="s">
        <v>378</v>
      </c>
      <c r="C134" s="175" t="s">
        <v>149</v>
      </c>
      <c r="D134" s="126">
        <v>372</v>
      </c>
    </row>
    <row r="135" spans="1:4" x14ac:dyDescent="0.2">
      <c r="A135" s="175" t="s">
        <v>390</v>
      </c>
      <c r="B135" s="175" t="s">
        <v>379</v>
      </c>
      <c r="C135" s="175" t="s">
        <v>150</v>
      </c>
      <c r="D135" s="126">
        <v>473</v>
      </c>
    </row>
    <row r="136" spans="1:4" x14ac:dyDescent="0.2">
      <c r="A136" s="175" t="s">
        <v>390</v>
      </c>
      <c r="B136" s="175" t="s">
        <v>380</v>
      </c>
      <c r="C136" s="175" t="s">
        <v>151</v>
      </c>
      <c r="D136" s="126">
        <v>1066</v>
      </c>
    </row>
    <row r="137" spans="1:4" x14ac:dyDescent="0.2">
      <c r="A137" s="175" t="s">
        <v>390</v>
      </c>
      <c r="B137" s="175" t="s">
        <v>381</v>
      </c>
      <c r="C137" s="175" t="s">
        <v>152</v>
      </c>
      <c r="D137" s="126">
        <v>1289</v>
      </c>
    </row>
    <row r="138" spans="1:4" x14ac:dyDescent="0.2">
      <c r="A138" s="175" t="s">
        <v>390</v>
      </c>
      <c r="B138" s="175" t="s">
        <v>382</v>
      </c>
      <c r="C138" s="175" t="s">
        <v>153</v>
      </c>
      <c r="D138" s="126">
        <v>2706</v>
      </c>
    </row>
    <row r="139" spans="1:4" x14ac:dyDescent="0.2">
      <c r="A139" s="175" t="s">
        <v>390</v>
      </c>
      <c r="B139" s="175" t="s">
        <v>383</v>
      </c>
      <c r="C139" s="175" t="s">
        <v>154</v>
      </c>
      <c r="D139" s="126">
        <v>1767</v>
      </c>
    </row>
    <row r="140" spans="1:4" x14ac:dyDescent="0.2">
      <c r="A140" s="175" t="s">
        <v>390</v>
      </c>
      <c r="B140" s="175" t="s">
        <v>384</v>
      </c>
      <c r="C140" s="175" t="s">
        <v>155</v>
      </c>
      <c r="D140" s="126">
        <v>1154</v>
      </c>
    </row>
    <row r="141" spans="1:4" x14ac:dyDescent="0.2">
      <c r="A141" s="175" t="s">
        <v>390</v>
      </c>
      <c r="B141" s="175" t="s">
        <v>385</v>
      </c>
      <c r="C141" s="175" t="s">
        <v>156</v>
      </c>
      <c r="D141" s="126">
        <v>592</v>
      </c>
    </row>
    <row r="142" spans="1:4" x14ac:dyDescent="0.2">
      <c r="A142" s="175" t="s">
        <v>390</v>
      </c>
      <c r="B142" s="175" t="s">
        <v>386</v>
      </c>
      <c r="C142" s="175" t="s">
        <v>157</v>
      </c>
      <c r="D142" s="126">
        <v>211</v>
      </c>
    </row>
    <row r="143" spans="1:4" x14ac:dyDescent="0.2">
      <c r="A143" s="175" t="s">
        <v>390</v>
      </c>
      <c r="B143" s="175" t="s">
        <v>387</v>
      </c>
      <c r="C143" s="175" t="s">
        <v>158</v>
      </c>
      <c r="D143" s="126">
        <v>476</v>
      </c>
    </row>
    <row r="144" spans="1:4" x14ac:dyDescent="0.2">
      <c r="A144" s="175" t="s">
        <v>390</v>
      </c>
      <c r="B144" s="175" t="s">
        <v>388</v>
      </c>
      <c r="C144" s="175" t="s">
        <v>159</v>
      </c>
      <c r="D144" s="126">
        <v>1043</v>
      </c>
    </row>
    <row r="145" spans="1:4" x14ac:dyDescent="0.2">
      <c r="A145" s="175" t="s">
        <v>390</v>
      </c>
      <c r="B145" s="175" t="s">
        <v>389</v>
      </c>
      <c r="C145" s="175" t="s">
        <v>160</v>
      </c>
      <c r="D145" s="126">
        <v>795</v>
      </c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zoomScale="126" workbookViewId="0">
      <selection activeCell="E49" sqref="E49"/>
    </sheetView>
  </sheetViews>
  <sheetFormatPr baseColWidth="10" defaultColWidth="17.6640625" defaultRowHeight="15" x14ac:dyDescent="0.2"/>
  <cols>
    <col min="1" max="1" width="22.5" style="1" bestFit="1" customWidth="1"/>
    <col min="2" max="6" width="17.6640625" style="1"/>
    <col min="7" max="7" width="39.83203125" style="1" customWidth="1"/>
    <col min="8" max="16384" width="17.6640625" style="1"/>
  </cols>
  <sheetData>
    <row r="1" spans="1:6" x14ac:dyDescent="0.2">
      <c r="A1" s="207" t="s">
        <v>38</v>
      </c>
      <c r="B1" s="208"/>
      <c r="C1" s="208"/>
      <c r="D1" s="208"/>
      <c r="E1" s="208"/>
      <c r="F1" s="209"/>
    </row>
    <row r="2" spans="1:6" ht="16" thickBot="1" x14ac:dyDescent="0.25">
      <c r="A2" s="210" t="s">
        <v>26</v>
      </c>
      <c r="B2" s="211"/>
      <c r="C2" s="211"/>
      <c r="D2" s="211"/>
      <c r="E2" s="211"/>
      <c r="F2" s="212"/>
    </row>
    <row r="3" spans="1:6" ht="16" thickBot="1" x14ac:dyDescent="0.25">
      <c r="A3"/>
      <c r="B3"/>
      <c r="C3"/>
      <c r="D3"/>
      <c r="E3"/>
      <c r="F3"/>
    </row>
    <row r="4" spans="1:6" ht="16" thickBot="1" x14ac:dyDescent="0.25">
      <c r="A4" s="216" t="s">
        <v>53</v>
      </c>
      <c r="B4" s="217"/>
      <c r="C4" s="217"/>
      <c r="D4" s="217"/>
      <c r="E4" s="217"/>
      <c r="F4" s="218"/>
    </row>
    <row r="5" spans="1:6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</row>
    <row r="6" spans="1:6" x14ac:dyDescent="0.2">
      <c r="A6" s="37"/>
      <c r="B6" s="38"/>
      <c r="C6" s="38"/>
      <c r="D6" s="38"/>
      <c r="E6" s="38"/>
      <c r="F6" s="39"/>
    </row>
    <row r="7" spans="1:6" x14ac:dyDescent="0.2">
      <c r="A7" s="33"/>
      <c r="B7" s="34"/>
      <c r="C7" s="34"/>
      <c r="D7" s="34" t="s">
        <v>59</v>
      </c>
      <c r="E7" s="34" t="s">
        <v>60</v>
      </c>
      <c r="F7" s="35" t="s">
        <v>61</v>
      </c>
    </row>
    <row r="8" spans="1:6" ht="16" thickBot="1" x14ac:dyDescent="0.25">
      <c r="A8" s="40" t="s">
        <v>53</v>
      </c>
      <c r="B8" s="41"/>
      <c r="C8" s="42">
        <v>0</v>
      </c>
      <c r="D8" s="43">
        <v>4536493</v>
      </c>
      <c r="E8" s="44">
        <v>1134123</v>
      </c>
      <c r="F8" s="45">
        <f>D8+E8</f>
        <v>5670616</v>
      </c>
    </row>
    <row r="9" spans="1:6" ht="16" thickBot="1" x14ac:dyDescent="0.25">
      <c r="A9" s="36"/>
      <c r="B9" s="36"/>
      <c r="C9" s="36"/>
      <c r="D9" s="36"/>
      <c r="E9" s="36"/>
      <c r="F9" s="36"/>
    </row>
    <row r="10" spans="1:6" ht="16" thickBot="1" x14ac:dyDescent="0.25">
      <c r="A10" s="213" t="s">
        <v>22</v>
      </c>
      <c r="B10" s="214"/>
      <c r="C10" s="214"/>
      <c r="D10" s="214"/>
      <c r="E10" s="214"/>
      <c r="F10" s="215"/>
    </row>
    <row r="11" spans="1:6" s="2" customFormat="1" x14ac:dyDescent="0.2">
      <c r="A11" s="7"/>
      <c r="B11" s="8" t="s">
        <v>31</v>
      </c>
      <c r="C11" s="8" t="s">
        <v>7</v>
      </c>
      <c r="D11" s="8" t="s">
        <v>9</v>
      </c>
      <c r="E11" s="8" t="s">
        <v>8</v>
      </c>
      <c r="F11" s="9" t="s">
        <v>13</v>
      </c>
    </row>
    <row r="12" spans="1:6" x14ac:dyDescent="0.2">
      <c r="A12" s="10"/>
      <c r="B12" s="11"/>
      <c r="C12" s="11"/>
      <c r="D12" s="11"/>
      <c r="E12" s="11"/>
      <c r="F12" s="12"/>
    </row>
    <row r="13" spans="1:6" s="2" customFormat="1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</row>
    <row r="14" spans="1:6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28">
        <v>9248.6059999999998</v>
      </c>
      <c r="F14" s="12">
        <f>D14*E14</f>
        <v>21202836.193663999</v>
      </c>
    </row>
    <row r="15" spans="1:6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28">
        <v>487.99299999999999</v>
      </c>
      <c r="F15" s="12">
        <f t="shared" ref="F15:F16" si="1">D15*E15</f>
        <v>678482.04353600007</v>
      </c>
    </row>
    <row r="16" spans="1:6" x14ac:dyDescent="0.2">
      <c r="A16" s="10" t="s">
        <v>2</v>
      </c>
      <c r="B16" s="13">
        <f>B42</f>
        <v>5072</v>
      </c>
      <c r="C16" s="15">
        <v>0.45200000000000001</v>
      </c>
      <c r="D16" s="11">
        <f t="shared" si="0"/>
        <v>2292.5439999999999</v>
      </c>
      <c r="E16" s="28">
        <v>320.54599999999999</v>
      </c>
      <c r="F16" s="12">
        <f t="shared" si="1"/>
        <v>734865.80902399996</v>
      </c>
    </row>
    <row r="17" spans="1:6" ht="16" thickBot="1" x14ac:dyDescent="0.25">
      <c r="A17" s="16"/>
      <c r="B17" s="17"/>
      <c r="C17" s="18"/>
      <c r="D17" s="18"/>
      <c r="E17" s="19" t="s">
        <v>12</v>
      </c>
      <c r="F17" s="20">
        <f>SUM(F14:F16)</f>
        <v>22616184.046223998</v>
      </c>
    </row>
    <row r="18" spans="1:6" ht="16" thickBot="1" x14ac:dyDescent="0.25">
      <c r="B18" s="6"/>
      <c r="E18" s="3"/>
      <c r="F18" s="4"/>
    </row>
    <row r="19" spans="1:6" ht="16" thickBot="1" x14ac:dyDescent="0.25">
      <c r="A19" s="204" t="s">
        <v>23</v>
      </c>
      <c r="B19" s="205"/>
      <c r="C19" s="205"/>
      <c r="D19" s="205"/>
      <c r="E19" s="205"/>
      <c r="F19" s="206"/>
    </row>
    <row r="20" spans="1:6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</row>
    <row r="21" spans="1:6" s="2" customFormat="1" x14ac:dyDescent="0.2">
      <c r="A21" s="10"/>
      <c r="B21" s="13"/>
      <c r="C21" s="11"/>
      <c r="D21" s="11"/>
      <c r="E21" s="11"/>
      <c r="F21" s="12"/>
    </row>
    <row r="22" spans="1:6" x14ac:dyDescent="0.2">
      <c r="A22" s="7"/>
      <c r="B22" s="25" t="s">
        <v>3</v>
      </c>
      <c r="C22" s="8" t="s">
        <v>4</v>
      </c>
      <c r="D22" s="8" t="s">
        <v>30</v>
      </c>
      <c r="E22" s="8" t="s">
        <v>28</v>
      </c>
      <c r="F22" s="9" t="s">
        <v>11</v>
      </c>
    </row>
    <row r="23" spans="1:6" s="2" customFormat="1" x14ac:dyDescent="0.2">
      <c r="A23" s="10" t="s">
        <v>27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9132</v>
      </c>
      <c r="F23" s="12">
        <f>D23*E23</f>
        <v>11611798.252799999</v>
      </c>
    </row>
    <row r="24" spans="1:6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2927</v>
      </c>
      <c r="F24" s="12">
        <f>D24*E24</f>
        <v>5938297.6000000006</v>
      </c>
    </row>
    <row r="25" spans="1:6" ht="16" thickBot="1" x14ac:dyDescent="0.25">
      <c r="A25" s="16"/>
      <c r="B25" s="18"/>
      <c r="C25" s="27"/>
      <c r="D25" s="18"/>
      <c r="E25" s="19" t="s">
        <v>15</v>
      </c>
      <c r="F25" s="20">
        <f>SUM(F23:F24)</f>
        <v>17550095.8528</v>
      </c>
    </row>
    <row r="26" spans="1:6" ht="16" thickBot="1" x14ac:dyDescent="0.25">
      <c r="C26" s="5"/>
    </row>
    <row r="27" spans="1:6" ht="16" thickBot="1" x14ac:dyDescent="0.25">
      <c r="A27" s="201" t="s">
        <v>24</v>
      </c>
      <c r="B27" s="202"/>
      <c r="C27" s="202"/>
      <c r="D27" s="202"/>
      <c r="E27" s="202"/>
      <c r="F27" s="203"/>
    </row>
    <row r="28" spans="1:6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</row>
    <row r="29" spans="1:6" x14ac:dyDescent="0.2">
      <c r="A29" s="10"/>
      <c r="B29" s="13"/>
      <c r="C29" s="11"/>
      <c r="D29" s="11"/>
      <c r="E29" s="11"/>
      <c r="F29" s="12"/>
    </row>
    <row r="30" spans="1:6" x14ac:dyDescent="0.2">
      <c r="A30" s="7"/>
      <c r="B30" s="25" t="s">
        <v>3</v>
      </c>
      <c r="C30" s="8" t="s">
        <v>4</v>
      </c>
      <c r="D30" s="8" t="s">
        <v>30</v>
      </c>
      <c r="E30" s="8" t="s">
        <v>28</v>
      </c>
      <c r="F30" s="9" t="s">
        <v>11</v>
      </c>
    </row>
    <row r="31" spans="1:6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2171</v>
      </c>
      <c r="F31" s="12">
        <f>D31*E31</f>
        <v>11451764.48</v>
      </c>
    </row>
    <row r="32" spans="1:6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345</v>
      </c>
      <c r="F32" s="12">
        <f>D32*E32</f>
        <v>2103307.6800000002</v>
      </c>
    </row>
    <row r="33" spans="1:7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v>259</v>
      </c>
      <c r="F33" s="12">
        <f>D33*E33</f>
        <v>241054.408</v>
      </c>
    </row>
    <row r="34" spans="1:7" ht="16" thickBot="1" x14ac:dyDescent="0.25">
      <c r="A34" s="16"/>
      <c r="B34" s="18"/>
      <c r="C34" s="27"/>
      <c r="D34" s="18"/>
      <c r="E34" s="19" t="s">
        <v>15</v>
      </c>
      <c r="F34" s="20">
        <f>SUM(F31:F33)</f>
        <v>13796126.568</v>
      </c>
    </row>
    <row r="36" spans="1:7" x14ac:dyDescent="0.2">
      <c r="E36" s="3" t="s">
        <v>19</v>
      </c>
      <c r="F36" s="4">
        <f>F8+F17+F25+F34</f>
        <v>59633022.467023998</v>
      </c>
    </row>
    <row r="37" spans="1:7" x14ac:dyDescent="0.2">
      <c r="E37" s="3" t="s">
        <v>20</v>
      </c>
      <c r="F37" s="4">
        <v>58516905</v>
      </c>
      <c r="G37" s="29" t="s">
        <v>50</v>
      </c>
    </row>
    <row r="38" spans="1:7" x14ac:dyDescent="0.2">
      <c r="E38" s="3" t="s">
        <v>21</v>
      </c>
      <c r="F38" s="4">
        <f>F36-F37</f>
        <v>1116117.4670239985</v>
      </c>
      <c r="G38" s="29"/>
    </row>
    <row r="40" spans="1:7" ht="16" thickBot="1" x14ac:dyDescent="0.25">
      <c r="A40" s="20" t="s">
        <v>179</v>
      </c>
      <c r="B40" s="16">
        <v>5072</v>
      </c>
    </row>
    <row r="41" spans="1:7" ht="16" thickBot="1" x14ac:dyDescent="0.25">
      <c r="A41" s="116" t="s">
        <v>180</v>
      </c>
      <c r="B41" s="117">
        <v>3076</v>
      </c>
    </row>
    <row r="42" spans="1:7" x14ac:dyDescent="0.2">
      <c r="A42" s="118" t="s">
        <v>181</v>
      </c>
      <c r="B42" s="119">
        <v>5072</v>
      </c>
    </row>
    <row r="44" spans="1:7" x14ac:dyDescent="0.2">
      <c r="A44"/>
      <c r="B44"/>
      <c r="C44"/>
    </row>
    <row r="45" spans="1:7" ht="16" thickBot="1" x14ac:dyDescent="0.25">
      <c r="A45" s="97" t="s">
        <v>168</v>
      </c>
      <c r="B45" s="104" t="s">
        <v>174</v>
      </c>
      <c r="C45" s="104" t="s">
        <v>175</v>
      </c>
    </row>
    <row r="46" spans="1:7" x14ac:dyDescent="0.2">
      <c r="A46" s="105" t="s">
        <v>177</v>
      </c>
      <c r="B46" s="110" t="s">
        <v>169</v>
      </c>
      <c r="C46" s="107" t="s">
        <v>171</v>
      </c>
    </row>
    <row r="47" spans="1:7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7" x14ac:dyDescent="0.2">
      <c r="A48"/>
      <c r="B48" s="106" t="s">
        <v>170</v>
      </c>
      <c r="C48" s="109" t="s">
        <v>172</v>
      </c>
    </row>
    <row r="49" spans="1:23" ht="16" thickBot="1" x14ac:dyDescent="0.25">
      <c r="A49"/>
      <c r="B49" s="111">
        <v>0.4</v>
      </c>
      <c r="C49" s="108">
        <v>1.202</v>
      </c>
    </row>
    <row r="50" spans="1:23" x14ac:dyDescent="0.2">
      <c r="A50"/>
      <c r="B50" s="61"/>
      <c r="C50" s="109" t="s">
        <v>173</v>
      </c>
    </row>
    <row r="51" spans="1:23" ht="16" thickBot="1" x14ac:dyDescent="0.25">
      <c r="A51"/>
      <c r="B51" s="61"/>
      <c r="C51" s="108">
        <v>0.1835</v>
      </c>
    </row>
    <row r="52" spans="1:23" x14ac:dyDescent="0.2">
      <c r="G52" s="1">
        <f t="shared" ref="G52:W52" si="2">SUM(G13:G51)</f>
        <v>0</v>
      </c>
      <c r="H52" s="1">
        <f t="shared" si="2"/>
        <v>0</v>
      </c>
      <c r="I52" s="1">
        <f t="shared" si="2"/>
        <v>0</v>
      </c>
      <c r="J52" s="1">
        <f t="shared" si="2"/>
        <v>0</v>
      </c>
      <c r="K52" s="1">
        <f t="shared" si="2"/>
        <v>0</v>
      </c>
      <c r="L52" s="1">
        <f t="shared" si="2"/>
        <v>0</v>
      </c>
      <c r="M52" s="1">
        <f t="shared" si="2"/>
        <v>0</v>
      </c>
      <c r="N52" s="1">
        <f t="shared" si="2"/>
        <v>0</v>
      </c>
      <c r="O52" s="1">
        <f t="shared" si="2"/>
        <v>0</v>
      </c>
      <c r="P52" s="1">
        <f t="shared" si="2"/>
        <v>0</v>
      </c>
      <c r="Q52" s="1">
        <f t="shared" si="2"/>
        <v>0</v>
      </c>
      <c r="R52" s="1">
        <f t="shared" si="2"/>
        <v>0</v>
      </c>
      <c r="S52" s="1">
        <f t="shared" si="2"/>
        <v>0</v>
      </c>
      <c r="T52" s="1">
        <f t="shared" si="2"/>
        <v>0</v>
      </c>
      <c r="U52" s="1">
        <f t="shared" si="2"/>
        <v>0</v>
      </c>
      <c r="V52" s="1">
        <f t="shared" si="2"/>
        <v>0</v>
      </c>
      <c r="W52" s="1">
        <f t="shared" si="2"/>
        <v>0</v>
      </c>
    </row>
  </sheetData>
  <mergeCells count="6">
    <mergeCell ref="A27:F27"/>
    <mergeCell ref="A19:F19"/>
    <mergeCell ref="A1:F1"/>
    <mergeCell ref="A2:F2"/>
    <mergeCell ref="A10:F10"/>
    <mergeCell ref="A4:F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31" zoomScale="131" workbookViewId="0">
      <selection activeCell="A44" sqref="A44:C51"/>
    </sheetView>
  </sheetViews>
  <sheetFormatPr baseColWidth="10" defaultColWidth="8.83203125" defaultRowHeight="15" x14ac:dyDescent="0.2"/>
  <cols>
    <col min="1" max="1" width="19.83203125" customWidth="1"/>
    <col min="2" max="2" width="16" customWidth="1"/>
    <col min="3" max="3" width="14.83203125" customWidth="1"/>
    <col min="4" max="4" width="17.83203125" customWidth="1"/>
    <col min="5" max="5" width="16.5" customWidth="1"/>
    <col min="6" max="6" width="20.83203125" customWidth="1"/>
    <col min="7" max="7" width="39.6640625" customWidth="1"/>
  </cols>
  <sheetData>
    <row r="1" spans="1:7" x14ac:dyDescent="0.2">
      <c r="A1" s="207" t="s">
        <v>40</v>
      </c>
      <c r="B1" s="208"/>
      <c r="C1" s="208"/>
      <c r="D1" s="208"/>
      <c r="E1" s="208"/>
      <c r="F1" s="209"/>
      <c r="G1" s="1"/>
    </row>
    <row r="2" spans="1:7" ht="16" thickBot="1" x14ac:dyDescent="0.25">
      <c r="A2" s="210" t="s">
        <v>26</v>
      </c>
      <c r="B2" s="211"/>
      <c r="C2" s="211"/>
      <c r="D2" s="211"/>
      <c r="E2" s="211"/>
      <c r="F2" s="212"/>
      <c r="G2" s="1"/>
    </row>
    <row r="3" spans="1:7" ht="16" thickBot="1" x14ac:dyDescent="0.25"/>
    <row r="4" spans="1:7" ht="16" thickBot="1" x14ac:dyDescent="0.25">
      <c r="A4" s="216" t="s">
        <v>53</v>
      </c>
      <c r="B4" s="217"/>
      <c r="C4" s="217"/>
      <c r="D4" s="217"/>
      <c r="E4" s="217"/>
      <c r="F4" s="218"/>
      <c r="G4" s="1"/>
    </row>
    <row r="5" spans="1:7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  <c r="G5" s="1"/>
    </row>
    <row r="6" spans="1:7" x14ac:dyDescent="0.2">
      <c r="A6" s="37"/>
      <c r="B6" s="38"/>
      <c r="C6" s="38"/>
      <c r="D6" s="38"/>
      <c r="E6" s="38"/>
      <c r="F6" s="39"/>
      <c r="G6" s="2"/>
    </row>
    <row r="7" spans="1:7" x14ac:dyDescent="0.2">
      <c r="A7" s="33"/>
      <c r="B7" s="34"/>
      <c r="C7" s="34" t="s">
        <v>58</v>
      </c>
      <c r="D7" s="34" t="s">
        <v>59</v>
      </c>
      <c r="E7" s="34" t="s">
        <v>60</v>
      </c>
      <c r="F7" s="35" t="s">
        <v>61</v>
      </c>
      <c r="G7" s="1"/>
    </row>
    <row r="8" spans="1:7" ht="16" thickBot="1" x14ac:dyDescent="0.25">
      <c r="A8" s="40" t="s">
        <v>53</v>
      </c>
      <c r="B8" s="41"/>
      <c r="C8" s="42">
        <v>0</v>
      </c>
      <c r="D8" s="43">
        <v>3969432</v>
      </c>
      <c r="E8" s="44"/>
      <c r="F8" s="45">
        <f>D8+E8</f>
        <v>3969432</v>
      </c>
      <c r="G8" s="2"/>
    </row>
    <row r="9" spans="1:7" ht="16" thickBot="1" x14ac:dyDescent="0.25">
      <c r="A9" s="1"/>
      <c r="B9" s="1"/>
      <c r="C9" s="1"/>
      <c r="D9" s="1"/>
      <c r="E9" s="1"/>
      <c r="F9" s="1"/>
      <c r="G9" s="1"/>
    </row>
    <row r="10" spans="1:7" ht="16" thickBot="1" x14ac:dyDescent="0.25">
      <c r="A10" s="213" t="s">
        <v>22</v>
      </c>
      <c r="B10" s="214"/>
      <c r="C10" s="214"/>
      <c r="D10" s="214"/>
      <c r="E10" s="214"/>
      <c r="F10" s="215"/>
      <c r="G10" s="1"/>
    </row>
    <row r="11" spans="1:7" x14ac:dyDescent="0.2">
      <c r="A11" s="7"/>
      <c r="B11" s="8" t="s">
        <v>41</v>
      </c>
      <c r="C11" s="8" t="s">
        <v>7</v>
      </c>
      <c r="D11" s="8" t="s">
        <v>9</v>
      </c>
      <c r="E11" s="8" t="s">
        <v>8</v>
      </c>
      <c r="F11" s="9" t="s">
        <v>13</v>
      </c>
      <c r="G11" s="1"/>
    </row>
    <row r="12" spans="1:7" x14ac:dyDescent="0.2">
      <c r="A12" s="10"/>
      <c r="B12" s="11"/>
      <c r="C12" s="11"/>
      <c r="D12" s="11"/>
      <c r="E12" s="11"/>
      <c r="F12" s="12"/>
      <c r="G12" s="1"/>
    </row>
    <row r="13" spans="1:7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  <c r="G13" s="1"/>
    </row>
    <row r="14" spans="1:7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14">
        <v>1444.3989999999999</v>
      </c>
      <c r="F14" s="12">
        <f>D14*E14</f>
        <v>3311348.2610559994</v>
      </c>
      <c r="G14" s="1"/>
    </row>
    <row r="15" spans="1:7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14">
        <v>111.218</v>
      </c>
      <c r="F15" s="12">
        <f t="shared" ref="F15:F16" si="1">D15*E15</f>
        <v>154632.16873600002</v>
      </c>
      <c r="G15" s="1"/>
    </row>
    <row r="16" spans="1:7" x14ac:dyDescent="0.2">
      <c r="A16" s="10" t="s">
        <v>2</v>
      </c>
      <c r="B16" s="13">
        <f>B40</f>
        <v>5072</v>
      </c>
      <c r="C16" s="15">
        <v>0.45200000000000001</v>
      </c>
      <c r="D16" s="11">
        <f t="shared" si="0"/>
        <v>2292.5439999999999</v>
      </c>
      <c r="E16" s="14">
        <v>0.73699999999999999</v>
      </c>
      <c r="F16" s="12">
        <f t="shared" si="1"/>
        <v>1689.604928</v>
      </c>
      <c r="G16" s="2"/>
    </row>
    <row r="17" spans="1:7" ht="16" thickBot="1" x14ac:dyDescent="0.25">
      <c r="A17" s="16"/>
      <c r="B17" s="17"/>
      <c r="C17" s="18"/>
      <c r="D17" s="18"/>
      <c r="E17" s="19" t="s">
        <v>12</v>
      </c>
      <c r="F17" s="20">
        <f>SUM(F14:F16)</f>
        <v>3467670.0347199994</v>
      </c>
      <c r="G17" s="1"/>
    </row>
    <row r="18" spans="1:7" ht="16" thickBot="1" x14ac:dyDescent="0.25">
      <c r="A18" s="1"/>
      <c r="B18" s="6"/>
      <c r="C18" s="1"/>
      <c r="D18" s="1"/>
      <c r="E18" s="3"/>
      <c r="F18" s="4"/>
      <c r="G18" s="2"/>
    </row>
    <row r="19" spans="1:7" ht="16" thickBot="1" x14ac:dyDescent="0.25">
      <c r="A19" s="204" t="s">
        <v>23</v>
      </c>
      <c r="B19" s="205"/>
      <c r="C19" s="205"/>
      <c r="D19" s="205"/>
      <c r="E19" s="205"/>
      <c r="F19" s="206"/>
      <c r="G19" s="1"/>
    </row>
    <row r="20" spans="1:7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  <c r="G20" s="1"/>
    </row>
    <row r="21" spans="1:7" x14ac:dyDescent="0.2">
      <c r="A21" s="10"/>
      <c r="B21" s="13"/>
      <c r="C21" s="11"/>
      <c r="D21" s="11"/>
      <c r="E21" s="11"/>
      <c r="F21" s="12"/>
      <c r="G21" s="1"/>
    </row>
    <row r="22" spans="1:7" x14ac:dyDescent="0.2">
      <c r="A22" s="7"/>
      <c r="B22" s="25" t="s">
        <v>3</v>
      </c>
      <c r="C22" s="8" t="s">
        <v>4</v>
      </c>
      <c r="D22" s="8" t="s">
        <v>5</v>
      </c>
      <c r="E22" s="8" t="s">
        <v>28</v>
      </c>
      <c r="F22" s="9" t="s">
        <v>11</v>
      </c>
      <c r="G22" s="1"/>
    </row>
    <row r="23" spans="1:7" x14ac:dyDescent="0.2">
      <c r="A23" s="10" t="s">
        <v>27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1843</v>
      </c>
      <c r="F23" s="12">
        <f>D23*E23</f>
        <v>2343467.3871999998</v>
      </c>
      <c r="G23" s="1"/>
    </row>
    <row r="24" spans="1:7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1055</v>
      </c>
      <c r="F24" s="12">
        <f>D24*E24</f>
        <v>2140384</v>
      </c>
      <c r="G24" s="1"/>
    </row>
    <row r="25" spans="1:7" ht="16" thickBot="1" x14ac:dyDescent="0.25">
      <c r="A25" s="16"/>
      <c r="B25" s="18"/>
      <c r="C25" s="27"/>
      <c r="D25" s="18"/>
      <c r="E25" s="19" t="s">
        <v>15</v>
      </c>
      <c r="F25" s="20">
        <f>SUM(F23:F24)</f>
        <v>4483851.3871999998</v>
      </c>
      <c r="G25" s="1"/>
    </row>
    <row r="26" spans="1:7" ht="16" thickBot="1" x14ac:dyDescent="0.25">
      <c r="A26" s="1"/>
      <c r="B26" s="1"/>
      <c r="C26" s="5"/>
      <c r="D26" s="1"/>
      <c r="E26" s="1"/>
      <c r="F26" s="1"/>
      <c r="G26" s="1"/>
    </row>
    <row r="27" spans="1:7" ht="16" thickBot="1" x14ac:dyDescent="0.25">
      <c r="A27" s="201" t="s">
        <v>24</v>
      </c>
      <c r="B27" s="202"/>
      <c r="C27" s="202"/>
      <c r="D27" s="202"/>
      <c r="E27" s="202"/>
      <c r="F27" s="203"/>
      <c r="G27" s="1"/>
    </row>
    <row r="28" spans="1:7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  <c r="G28" s="1"/>
    </row>
    <row r="29" spans="1:7" x14ac:dyDescent="0.2">
      <c r="A29" s="10"/>
      <c r="B29" s="13"/>
      <c r="C29" s="11"/>
      <c r="D29" s="11"/>
      <c r="E29" s="11"/>
      <c r="F29" s="12"/>
      <c r="G29" s="1"/>
    </row>
    <row r="30" spans="1:7" x14ac:dyDescent="0.2">
      <c r="A30" s="7"/>
      <c r="B30" s="25" t="s">
        <v>3</v>
      </c>
      <c r="C30" s="8" t="s">
        <v>4</v>
      </c>
      <c r="D30" s="8" t="s">
        <v>5</v>
      </c>
      <c r="E30" s="8" t="s">
        <v>28</v>
      </c>
      <c r="F30" s="9" t="s">
        <v>11</v>
      </c>
      <c r="G30" s="1"/>
    </row>
    <row r="31" spans="1:7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270</v>
      </c>
      <c r="F31" s="12">
        <f>D31*E31</f>
        <v>1424217.6</v>
      </c>
      <c r="G31" s="1"/>
    </row>
    <row r="32" spans="1:7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78</v>
      </c>
      <c r="F32" s="12">
        <f>D32*E32</f>
        <v>475530.43199999997</v>
      </c>
      <c r="G32" s="1"/>
    </row>
    <row r="33" spans="1:7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v>59</v>
      </c>
      <c r="F33" s="12">
        <f>D33*E33</f>
        <v>54912.008000000002</v>
      </c>
      <c r="G33" s="29"/>
    </row>
    <row r="34" spans="1:7" ht="16" thickBot="1" x14ac:dyDescent="0.25">
      <c r="A34" s="16"/>
      <c r="B34" s="18"/>
      <c r="C34" s="27"/>
      <c r="D34" s="18"/>
      <c r="E34" s="19" t="s">
        <v>15</v>
      </c>
      <c r="F34" s="20">
        <f>SUM(F31:F33)</f>
        <v>1954660.04</v>
      </c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3" t="s">
        <v>19</v>
      </c>
      <c r="F36" s="4">
        <f>F8+F17+F25+F34</f>
        <v>13875613.461920001</v>
      </c>
      <c r="G36" s="1"/>
    </row>
    <row r="37" spans="1:7" x14ac:dyDescent="0.2">
      <c r="A37" s="1"/>
      <c r="B37" s="1"/>
      <c r="C37" s="1"/>
      <c r="D37" s="1"/>
      <c r="E37" s="3" t="s">
        <v>20</v>
      </c>
      <c r="F37" s="4">
        <v>13021656</v>
      </c>
      <c r="G37" s="29" t="s">
        <v>50</v>
      </c>
    </row>
    <row r="38" spans="1:7" x14ac:dyDescent="0.2">
      <c r="A38" s="1"/>
      <c r="B38" s="1"/>
      <c r="C38" s="1"/>
      <c r="D38" s="1"/>
      <c r="E38" s="3" t="s">
        <v>21</v>
      </c>
      <c r="F38" s="4">
        <f>F36-F37</f>
        <v>853957.46192000061</v>
      </c>
    </row>
    <row r="39" spans="1:7" x14ac:dyDescent="0.2">
      <c r="A39" s="1"/>
      <c r="B39" s="1"/>
      <c r="C39" s="1"/>
      <c r="D39" s="1"/>
      <c r="E39" s="1"/>
      <c r="F39" s="1"/>
    </row>
    <row r="40" spans="1:7" ht="16" thickBot="1" x14ac:dyDescent="0.25">
      <c r="A40" s="20" t="s">
        <v>179</v>
      </c>
      <c r="B40" s="16">
        <v>5072</v>
      </c>
      <c r="C40" s="1"/>
      <c r="D40" s="1"/>
      <c r="E40" s="1"/>
      <c r="F40" s="1"/>
    </row>
    <row r="41" spans="1:7" ht="16" thickBot="1" x14ac:dyDescent="0.25">
      <c r="A41" s="116" t="s">
        <v>180</v>
      </c>
      <c r="B41" s="117">
        <v>3076</v>
      </c>
      <c r="C41" s="1"/>
      <c r="D41" s="1"/>
      <c r="E41" s="1"/>
      <c r="F41" s="1"/>
    </row>
    <row r="42" spans="1:7" x14ac:dyDescent="0.2">
      <c r="A42" s="118" t="s">
        <v>181</v>
      </c>
      <c r="B42" s="119">
        <v>5072</v>
      </c>
    </row>
    <row r="43" spans="1:7" x14ac:dyDescent="0.2">
      <c r="A43" s="1"/>
      <c r="B43" s="1"/>
    </row>
    <row r="45" spans="1:7" ht="16" thickBot="1" x14ac:dyDescent="0.25">
      <c r="A45" s="97" t="s">
        <v>168</v>
      </c>
      <c r="B45" s="104" t="s">
        <v>174</v>
      </c>
      <c r="C45" s="104" t="s">
        <v>175</v>
      </c>
    </row>
    <row r="46" spans="1:7" x14ac:dyDescent="0.2">
      <c r="A46" s="105" t="s">
        <v>177</v>
      </c>
      <c r="B46" s="110" t="s">
        <v>169</v>
      </c>
      <c r="C46" s="107" t="s">
        <v>171</v>
      </c>
    </row>
    <row r="47" spans="1:7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7" x14ac:dyDescent="0.2">
      <c r="B48" s="106" t="s">
        <v>170</v>
      </c>
      <c r="C48" s="109" t="s">
        <v>172</v>
      </c>
    </row>
    <row r="49" spans="2:3" ht="16" thickBot="1" x14ac:dyDescent="0.25">
      <c r="B49" s="111">
        <v>0.4</v>
      </c>
      <c r="C49" s="108">
        <v>1.202</v>
      </c>
    </row>
    <row r="50" spans="2:3" x14ac:dyDescent="0.2">
      <c r="B50" s="61"/>
      <c r="C50" s="109" t="s">
        <v>173</v>
      </c>
    </row>
    <row r="51" spans="2:3" ht="16" thickBot="1" x14ac:dyDescent="0.25">
      <c r="B51" s="61"/>
      <c r="C51" s="108">
        <v>0.1835</v>
      </c>
    </row>
  </sheetData>
  <mergeCells count="6">
    <mergeCell ref="A1:F1"/>
    <mergeCell ref="A2:F2"/>
    <mergeCell ref="A10:F10"/>
    <mergeCell ref="A19:F19"/>
    <mergeCell ref="A27:F27"/>
    <mergeCell ref="A4:F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topLeftCell="A30" zoomScale="122" workbookViewId="0">
      <selection activeCell="A44" sqref="A44:C51"/>
    </sheetView>
  </sheetViews>
  <sheetFormatPr baseColWidth="10" defaultColWidth="17.6640625" defaultRowHeight="15" x14ac:dyDescent="0.2"/>
  <cols>
    <col min="1" max="1" width="22.5" style="1" bestFit="1" customWidth="1"/>
    <col min="2" max="6" width="17.6640625" style="1"/>
    <col min="7" max="7" width="40.83203125" style="1" customWidth="1"/>
    <col min="8" max="16384" width="17.6640625" style="1"/>
  </cols>
  <sheetData>
    <row r="1" spans="1:6" x14ac:dyDescent="0.2">
      <c r="A1" s="207" t="s">
        <v>32</v>
      </c>
      <c r="B1" s="208"/>
      <c r="C1" s="208"/>
      <c r="D1" s="208"/>
      <c r="E1" s="208"/>
      <c r="F1" s="209"/>
    </row>
    <row r="2" spans="1:6" ht="16" thickBot="1" x14ac:dyDescent="0.25">
      <c r="A2" s="210" t="s">
        <v>26</v>
      </c>
      <c r="B2" s="211"/>
      <c r="C2" s="211"/>
      <c r="D2" s="211"/>
      <c r="E2" s="211"/>
      <c r="F2" s="212"/>
    </row>
    <row r="3" spans="1:6" customFormat="1" ht="16" thickBot="1" x14ac:dyDescent="0.25"/>
    <row r="4" spans="1:6" ht="16" thickBot="1" x14ac:dyDescent="0.25">
      <c r="A4" s="216" t="s">
        <v>53</v>
      </c>
      <c r="B4" s="217"/>
      <c r="C4" s="217"/>
      <c r="D4" s="217"/>
      <c r="E4" s="217"/>
      <c r="F4" s="218"/>
    </row>
    <row r="5" spans="1:6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</row>
    <row r="6" spans="1:6" x14ac:dyDescent="0.2">
      <c r="A6" s="37"/>
      <c r="B6" s="38"/>
      <c r="C6" s="38"/>
      <c r="D6" s="38"/>
      <c r="E6" s="38"/>
      <c r="F6" s="39"/>
    </row>
    <row r="7" spans="1:6" x14ac:dyDescent="0.2">
      <c r="A7" s="33"/>
      <c r="B7" s="34"/>
      <c r="C7" s="34" t="s">
        <v>58</v>
      </c>
      <c r="D7" s="34" t="s">
        <v>59</v>
      </c>
      <c r="E7" s="34" t="s">
        <v>60</v>
      </c>
      <c r="F7" s="35" t="s">
        <v>61</v>
      </c>
    </row>
    <row r="8" spans="1:6" ht="16" thickBot="1" x14ac:dyDescent="0.25">
      <c r="A8" s="40" t="s">
        <v>53</v>
      </c>
      <c r="B8" s="41"/>
      <c r="C8" s="42">
        <v>0</v>
      </c>
      <c r="D8" s="43">
        <v>7371802</v>
      </c>
      <c r="E8" s="44"/>
      <c r="F8" s="45">
        <f>D8+E8</f>
        <v>7371802</v>
      </c>
    </row>
    <row r="9" spans="1:6" ht="16" thickBot="1" x14ac:dyDescent="0.25"/>
    <row r="10" spans="1:6" ht="16" thickBot="1" x14ac:dyDescent="0.25">
      <c r="A10" s="213" t="s">
        <v>22</v>
      </c>
      <c r="B10" s="214"/>
      <c r="C10" s="214"/>
      <c r="D10" s="214"/>
      <c r="E10" s="214"/>
      <c r="F10" s="215"/>
    </row>
    <row r="11" spans="1:6" s="2" customFormat="1" x14ac:dyDescent="0.2">
      <c r="A11" s="7"/>
      <c r="B11" s="8" t="s">
        <v>31</v>
      </c>
      <c r="C11" s="8" t="s">
        <v>7</v>
      </c>
      <c r="D11" s="8" t="s">
        <v>9</v>
      </c>
      <c r="E11" s="8" t="s">
        <v>8</v>
      </c>
      <c r="F11" s="9" t="s">
        <v>13</v>
      </c>
    </row>
    <row r="12" spans="1:6" x14ac:dyDescent="0.2">
      <c r="A12" s="10"/>
      <c r="B12" s="11"/>
      <c r="C12" s="11"/>
      <c r="D12" s="11"/>
      <c r="E12" s="11"/>
      <c r="F12" s="12"/>
    </row>
    <row r="13" spans="1:6" s="2" customFormat="1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</row>
    <row r="14" spans="1:6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114">
        <v>19113.870028000005</v>
      </c>
      <c r="F14" s="12">
        <f>D14*E14</f>
        <v>43819388.049471244</v>
      </c>
    </row>
    <row r="15" spans="1:6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28">
        <v>11.224</v>
      </c>
      <c r="F15" s="12">
        <f t="shared" ref="F15:F16" si="1">D15*E15</f>
        <v>15605.310848000001</v>
      </c>
    </row>
    <row r="16" spans="1:6" x14ac:dyDescent="0.2">
      <c r="A16" s="10" t="s">
        <v>2</v>
      </c>
      <c r="B16" s="13">
        <f>B40</f>
        <v>5072</v>
      </c>
      <c r="C16" s="15">
        <v>0.45200000000000001</v>
      </c>
      <c r="D16" s="11">
        <f t="shared" si="0"/>
        <v>2292.5439999999999</v>
      </c>
      <c r="E16" s="28">
        <v>0</v>
      </c>
      <c r="F16" s="12">
        <f t="shared" si="1"/>
        <v>0</v>
      </c>
    </row>
    <row r="17" spans="1:6" ht="16" thickBot="1" x14ac:dyDescent="0.25">
      <c r="A17" s="16"/>
      <c r="B17" s="17"/>
      <c r="C17" s="18"/>
      <c r="D17" s="18"/>
      <c r="E17" s="19" t="s">
        <v>12</v>
      </c>
      <c r="F17" s="20">
        <f>SUM(F14:F16)</f>
        <v>43834993.360319242</v>
      </c>
    </row>
    <row r="18" spans="1:6" ht="16" thickBot="1" x14ac:dyDescent="0.25">
      <c r="B18" s="6"/>
      <c r="E18" s="3"/>
      <c r="F18" s="4"/>
    </row>
    <row r="19" spans="1:6" ht="16" thickBot="1" x14ac:dyDescent="0.25">
      <c r="A19" s="204" t="s">
        <v>23</v>
      </c>
      <c r="B19" s="205"/>
      <c r="C19" s="205"/>
      <c r="D19" s="205"/>
      <c r="E19" s="205"/>
      <c r="F19" s="206"/>
    </row>
    <row r="20" spans="1:6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</row>
    <row r="21" spans="1:6" s="2" customFormat="1" x14ac:dyDescent="0.2">
      <c r="A21" s="10"/>
      <c r="B21" s="13"/>
      <c r="C21" s="11"/>
      <c r="D21" s="11"/>
      <c r="E21" s="11"/>
      <c r="F21" s="12"/>
    </row>
    <row r="22" spans="1:6" x14ac:dyDescent="0.2">
      <c r="A22" s="7"/>
      <c r="B22" s="25" t="s">
        <v>3</v>
      </c>
      <c r="C22" s="8" t="s">
        <v>4</v>
      </c>
      <c r="D22" s="8" t="s">
        <v>30</v>
      </c>
      <c r="E22" s="8" t="s">
        <v>28</v>
      </c>
      <c r="F22" s="9" t="s">
        <v>11</v>
      </c>
    </row>
    <row r="23" spans="1:6" s="2" customFormat="1" x14ac:dyDescent="0.2">
      <c r="A23" s="10" t="s">
        <v>27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19709</v>
      </c>
      <c r="F23" s="12">
        <f>D23*E23</f>
        <v>25060986.833599996</v>
      </c>
    </row>
    <row r="24" spans="1:6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8672</v>
      </c>
      <c r="F24" s="12">
        <f>D24*E24</f>
        <v>17593753.600000001</v>
      </c>
    </row>
    <row r="25" spans="1:6" ht="16" thickBot="1" x14ac:dyDescent="0.25">
      <c r="A25" s="16"/>
      <c r="B25" s="18"/>
      <c r="C25" s="27"/>
      <c r="D25" s="18"/>
      <c r="E25" s="19" t="s">
        <v>15</v>
      </c>
      <c r="F25" s="20">
        <f>SUM(F23:F24)</f>
        <v>42654740.433599994</v>
      </c>
    </row>
    <row r="26" spans="1:6" ht="16" thickBot="1" x14ac:dyDescent="0.25">
      <c r="C26" s="5"/>
    </row>
    <row r="27" spans="1:6" ht="16" thickBot="1" x14ac:dyDescent="0.25">
      <c r="A27" s="201" t="s">
        <v>24</v>
      </c>
      <c r="B27" s="202"/>
      <c r="C27" s="202"/>
      <c r="D27" s="202"/>
      <c r="E27" s="202"/>
      <c r="F27" s="203"/>
    </row>
    <row r="28" spans="1:6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</row>
    <row r="29" spans="1:6" x14ac:dyDescent="0.2">
      <c r="A29" s="10"/>
      <c r="B29" s="13"/>
      <c r="C29" s="11"/>
      <c r="D29" s="11"/>
      <c r="E29" s="11"/>
      <c r="F29" s="12"/>
    </row>
    <row r="30" spans="1:6" x14ac:dyDescent="0.2">
      <c r="A30" s="7"/>
      <c r="B30" s="25" t="s">
        <v>3</v>
      </c>
      <c r="C30" s="8" t="s">
        <v>4</v>
      </c>
      <c r="D30" s="8" t="s">
        <v>30</v>
      </c>
      <c r="E30" s="8" t="s">
        <v>28</v>
      </c>
      <c r="F30" s="9" t="s">
        <v>11</v>
      </c>
    </row>
    <row r="31" spans="1:6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4610</v>
      </c>
      <c r="F31" s="12">
        <f>D31*E31</f>
        <v>24317196.800000001</v>
      </c>
    </row>
    <row r="32" spans="1:6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1114</v>
      </c>
      <c r="F32" s="12">
        <f>D32*E32</f>
        <v>6791550.0159999998</v>
      </c>
    </row>
    <row r="33" spans="1:7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v>920</v>
      </c>
      <c r="F33" s="12">
        <f>D33*E33</f>
        <v>856255.04</v>
      </c>
    </row>
    <row r="34" spans="1:7" ht="16" thickBot="1" x14ac:dyDescent="0.25">
      <c r="A34" s="16"/>
      <c r="B34" s="18"/>
      <c r="C34" s="27"/>
      <c r="D34" s="18"/>
      <c r="E34" s="19" t="s">
        <v>15</v>
      </c>
      <c r="F34" s="20">
        <f>SUM(F31:F33)</f>
        <v>31965001.855999999</v>
      </c>
    </row>
    <row r="36" spans="1:7" x14ac:dyDescent="0.2">
      <c r="E36" s="3" t="s">
        <v>19</v>
      </c>
      <c r="F36" s="4">
        <f>F8+F17+F25+F34</f>
        <v>125826537.64991924</v>
      </c>
    </row>
    <row r="37" spans="1:7" x14ac:dyDescent="0.2">
      <c r="E37" s="3" t="s">
        <v>20</v>
      </c>
      <c r="F37" s="4">
        <v>110249153</v>
      </c>
      <c r="G37" s="29" t="s">
        <v>50</v>
      </c>
    </row>
    <row r="38" spans="1:7" x14ac:dyDescent="0.2">
      <c r="E38" s="3" t="s">
        <v>21</v>
      </c>
      <c r="F38" s="4">
        <f>F36-F37</f>
        <v>15577384.649919242</v>
      </c>
      <c r="G38" s="29"/>
    </row>
    <row r="40" spans="1:7" ht="16" thickBot="1" x14ac:dyDescent="0.25">
      <c r="A40" s="20" t="s">
        <v>179</v>
      </c>
      <c r="B40" s="16">
        <v>5072</v>
      </c>
    </row>
    <row r="41" spans="1:7" ht="16" thickBot="1" x14ac:dyDescent="0.25">
      <c r="A41" s="116" t="s">
        <v>180</v>
      </c>
      <c r="B41" s="117">
        <v>3076</v>
      </c>
    </row>
    <row r="42" spans="1:7" x14ac:dyDescent="0.2">
      <c r="A42" s="118" t="s">
        <v>181</v>
      </c>
      <c r="B42" s="119">
        <v>5072</v>
      </c>
    </row>
    <row r="44" spans="1:7" x14ac:dyDescent="0.2">
      <c r="A44"/>
      <c r="B44"/>
      <c r="C44"/>
    </row>
    <row r="45" spans="1:7" ht="16" thickBot="1" x14ac:dyDescent="0.25">
      <c r="A45" s="97" t="s">
        <v>168</v>
      </c>
      <c r="B45" s="104" t="s">
        <v>174</v>
      </c>
      <c r="C45" s="104" t="s">
        <v>175</v>
      </c>
    </row>
    <row r="46" spans="1:7" x14ac:dyDescent="0.2">
      <c r="A46" s="105" t="s">
        <v>177</v>
      </c>
      <c r="B46" s="110" t="s">
        <v>169</v>
      </c>
      <c r="C46" s="107" t="s">
        <v>171</v>
      </c>
    </row>
    <row r="47" spans="1:7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7" x14ac:dyDescent="0.2">
      <c r="A48"/>
      <c r="B48" s="106" t="s">
        <v>170</v>
      </c>
      <c r="C48" s="109" t="s">
        <v>172</v>
      </c>
    </row>
    <row r="49" spans="1:23" ht="16" thickBot="1" x14ac:dyDescent="0.25">
      <c r="A49"/>
      <c r="B49" s="111">
        <v>0.4</v>
      </c>
      <c r="C49" s="108">
        <v>1.202</v>
      </c>
    </row>
    <row r="50" spans="1:23" x14ac:dyDescent="0.2">
      <c r="A50"/>
      <c r="B50" s="61"/>
      <c r="C50" s="109" t="s">
        <v>173</v>
      </c>
    </row>
    <row r="51" spans="1:23" ht="16" thickBot="1" x14ac:dyDescent="0.25">
      <c r="A51"/>
      <c r="B51" s="61"/>
      <c r="C51" s="108">
        <v>0.1835</v>
      </c>
    </row>
    <row r="52" spans="1:23" x14ac:dyDescent="0.2">
      <c r="G52" s="1">
        <f t="shared" ref="G52:W52" si="2">SUM(G13:G51)</f>
        <v>0</v>
      </c>
      <c r="H52" s="1">
        <f t="shared" si="2"/>
        <v>0</v>
      </c>
      <c r="I52" s="1">
        <f t="shared" si="2"/>
        <v>0</v>
      </c>
      <c r="J52" s="1">
        <f t="shared" si="2"/>
        <v>0</v>
      </c>
      <c r="K52" s="1">
        <f t="shared" si="2"/>
        <v>0</v>
      </c>
      <c r="L52" s="1">
        <f t="shared" si="2"/>
        <v>0</v>
      </c>
      <c r="M52" s="1">
        <f t="shared" si="2"/>
        <v>0</v>
      </c>
      <c r="N52" s="1">
        <f t="shared" si="2"/>
        <v>0</v>
      </c>
      <c r="O52" s="1">
        <f t="shared" si="2"/>
        <v>0</v>
      </c>
      <c r="P52" s="1">
        <f t="shared" si="2"/>
        <v>0</v>
      </c>
      <c r="Q52" s="1">
        <f t="shared" si="2"/>
        <v>0</v>
      </c>
      <c r="R52" s="1">
        <f t="shared" si="2"/>
        <v>0</v>
      </c>
      <c r="S52" s="1">
        <f t="shared" si="2"/>
        <v>0</v>
      </c>
      <c r="T52" s="1">
        <f t="shared" si="2"/>
        <v>0</v>
      </c>
      <c r="U52" s="1">
        <f t="shared" si="2"/>
        <v>0</v>
      </c>
      <c r="V52" s="1">
        <f t="shared" si="2"/>
        <v>0</v>
      </c>
      <c r="W52" s="1">
        <f t="shared" si="2"/>
        <v>0</v>
      </c>
    </row>
  </sheetData>
  <mergeCells count="6">
    <mergeCell ref="A1:F1"/>
    <mergeCell ref="A2:F2"/>
    <mergeCell ref="A10:F10"/>
    <mergeCell ref="A19:F19"/>
    <mergeCell ref="A27:F27"/>
    <mergeCell ref="A4:F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29" zoomScale="125" workbookViewId="0">
      <selection activeCell="A44" sqref="A44:C51"/>
    </sheetView>
  </sheetViews>
  <sheetFormatPr baseColWidth="10" defaultColWidth="11.5" defaultRowHeight="15" x14ac:dyDescent="0.2"/>
  <cols>
    <col min="1" max="1" width="21.1640625" customWidth="1"/>
    <col min="2" max="2" width="15.5" customWidth="1"/>
    <col min="3" max="3" width="16.33203125" customWidth="1"/>
    <col min="4" max="4" width="18.33203125" customWidth="1"/>
    <col min="5" max="5" width="17.5" customWidth="1"/>
    <col min="6" max="6" width="19.83203125" customWidth="1"/>
    <col min="7" max="7" width="40.33203125" customWidth="1"/>
  </cols>
  <sheetData>
    <row r="1" spans="1:7" x14ac:dyDescent="0.2">
      <c r="A1" s="207" t="s">
        <v>48</v>
      </c>
      <c r="B1" s="208"/>
      <c r="C1" s="208"/>
      <c r="D1" s="208"/>
      <c r="E1" s="208"/>
      <c r="F1" s="209"/>
      <c r="G1" s="1"/>
    </row>
    <row r="2" spans="1:7" ht="16" thickBot="1" x14ac:dyDescent="0.25">
      <c r="A2" s="210" t="s">
        <v>26</v>
      </c>
      <c r="B2" s="211"/>
      <c r="C2" s="211"/>
      <c r="D2" s="211"/>
      <c r="E2" s="211"/>
      <c r="F2" s="212"/>
      <c r="G2" s="1"/>
    </row>
    <row r="3" spans="1:7" ht="16" thickBot="1" x14ac:dyDescent="0.25"/>
    <row r="4" spans="1:7" ht="16" thickBot="1" x14ac:dyDescent="0.25">
      <c r="A4" s="216" t="s">
        <v>53</v>
      </c>
      <c r="B4" s="217"/>
      <c r="C4" s="217"/>
      <c r="D4" s="217"/>
      <c r="E4" s="217"/>
      <c r="F4" s="218"/>
      <c r="G4" s="1"/>
    </row>
    <row r="5" spans="1:7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  <c r="G5" s="1"/>
    </row>
    <row r="6" spans="1:7" x14ac:dyDescent="0.2">
      <c r="A6" s="37"/>
      <c r="B6" s="38"/>
      <c r="C6" s="38"/>
      <c r="D6" s="38"/>
      <c r="E6" s="38"/>
      <c r="F6" s="39"/>
      <c r="G6" s="1"/>
    </row>
    <row r="7" spans="1:7" x14ac:dyDescent="0.2">
      <c r="A7" s="33"/>
      <c r="B7" s="34"/>
      <c r="C7" s="34" t="s">
        <v>58</v>
      </c>
      <c r="D7" s="34" t="s">
        <v>59</v>
      </c>
      <c r="E7" s="34" t="s">
        <v>60</v>
      </c>
      <c r="F7" s="35" t="s">
        <v>61</v>
      </c>
      <c r="G7" s="1"/>
    </row>
    <row r="8" spans="1:7" ht="16" thickBot="1" x14ac:dyDescent="0.25">
      <c r="A8" s="40" t="s">
        <v>53</v>
      </c>
      <c r="B8" s="41"/>
      <c r="C8" s="42">
        <v>0</v>
      </c>
      <c r="D8" s="43">
        <v>5670617</v>
      </c>
      <c r="E8" s="44">
        <v>1134123</v>
      </c>
      <c r="F8" s="45">
        <f>D8+E8</f>
        <v>6804740</v>
      </c>
      <c r="G8" s="1"/>
    </row>
    <row r="9" spans="1:7" ht="16" thickBot="1" x14ac:dyDescent="0.25">
      <c r="A9" s="1"/>
      <c r="B9" s="1"/>
      <c r="C9" s="1"/>
      <c r="D9" s="1"/>
      <c r="E9" s="1"/>
      <c r="F9" s="1"/>
      <c r="G9" s="1"/>
    </row>
    <row r="10" spans="1:7" ht="16" thickBot="1" x14ac:dyDescent="0.25">
      <c r="A10" s="213" t="s">
        <v>22</v>
      </c>
      <c r="B10" s="214"/>
      <c r="C10" s="214"/>
      <c r="D10" s="214"/>
      <c r="E10" s="214"/>
      <c r="F10" s="215"/>
      <c r="G10" s="1"/>
    </row>
    <row r="11" spans="1:7" x14ac:dyDescent="0.2">
      <c r="A11" s="7"/>
      <c r="B11" s="8" t="s">
        <v>41</v>
      </c>
      <c r="C11" s="8" t="s">
        <v>7</v>
      </c>
      <c r="D11" s="8" t="s">
        <v>9</v>
      </c>
      <c r="E11" s="8" t="s">
        <v>8</v>
      </c>
      <c r="F11" s="9" t="s">
        <v>13</v>
      </c>
      <c r="G11" s="2"/>
    </row>
    <row r="12" spans="1:7" x14ac:dyDescent="0.2">
      <c r="A12" s="10"/>
      <c r="B12" s="11"/>
      <c r="C12" s="11"/>
      <c r="D12" s="11"/>
      <c r="E12" s="11"/>
      <c r="F12" s="12"/>
      <c r="G12" s="1"/>
    </row>
    <row r="13" spans="1:7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  <c r="G13" s="2"/>
    </row>
    <row r="14" spans="1:7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14">
        <v>20322.260999999999</v>
      </c>
      <c r="F14" s="12">
        <f>D14*E14</f>
        <v>46589677.521983996</v>
      </c>
      <c r="G14" s="1"/>
    </row>
    <row r="15" spans="1:7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14">
        <v>123.099</v>
      </c>
      <c r="F15" s="12">
        <f t="shared" ref="F15:F16" si="1">D15*E15</f>
        <v>171150.94084800003</v>
      </c>
      <c r="G15" s="1"/>
    </row>
    <row r="16" spans="1:7" x14ac:dyDescent="0.2">
      <c r="A16" s="10" t="s">
        <v>2</v>
      </c>
      <c r="B16" s="13">
        <f>B40</f>
        <v>5072</v>
      </c>
      <c r="C16" s="15">
        <v>0.45200000000000001</v>
      </c>
      <c r="D16" s="11">
        <f t="shared" si="0"/>
        <v>2292.5439999999999</v>
      </c>
      <c r="E16" s="14">
        <v>422.74599999999998</v>
      </c>
      <c r="F16" s="12">
        <f t="shared" si="1"/>
        <v>969163.80582399992</v>
      </c>
      <c r="G16" s="1"/>
    </row>
    <row r="17" spans="1:7" ht="16" thickBot="1" x14ac:dyDescent="0.25">
      <c r="A17" s="16"/>
      <c r="B17" s="17"/>
      <c r="C17" s="18"/>
      <c r="D17" s="18"/>
      <c r="E17" s="19" t="s">
        <v>12</v>
      </c>
      <c r="F17" s="20">
        <f>SUM(F14:F16)</f>
        <v>47729992.268655993</v>
      </c>
      <c r="G17" s="1"/>
    </row>
    <row r="18" spans="1:7" ht="16" thickBot="1" x14ac:dyDescent="0.25">
      <c r="A18" s="1"/>
      <c r="B18" s="6"/>
      <c r="C18" s="1"/>
      <c r="D18" s="1"/>
      <c r="E18" s="3"/>
      <c r="F18" s="4"/>
      <c r="G18" s="1"/>
    </row>
    <row r="19" spans="1:7" ht="16" thickBot="1" x14ac:dyDescent="0.25">
      <c r="A19" s="204" t="s">
        <v>23</v>
      </c>
      <c r="B19" s="205"/>
      <c r="C19" s="205"/>
      <c r="D19" s="205"/>
      <c r="E19" s="205"/>
      <c r="F19" s="206"/>
      <c r="G19" s="1"/>
    </row>
    <row r="20" spans="1:7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  <c r="G20" s="1"/>
    </row>
    <row r="21" spans="1:7" x14ac:dyDescent="0.2">
      <c r="A21" s="10"/>
      <c r="B21" s="13"/>
      <c r="C21" s="11"/>
      <c r="D21" s="11"/>
      <c r="E21" s="11"/>
      <c r="F21" s="12"/>
      <c r="G21" s="2"/>
    </row>
    <row r="22" spans="1:7" x14ac:dyDescent="0.2">
      <c r="A22" s="7"/>
      <c r="B22" s="25" t="s">
        <v>3</v>
      </c>
      <c r="C22" s="8" t="s">
        <v>4</v>
      </c>
      <c r="D22" s="8" t="s">
        <v>5</v>
      </c>
      <c r="E22" s="8" t="s">
        <v>28</v>
      </c>
      <c r="F22" s="9" t="s">
        <v>11</v>
      </c>
      <c r="G22" s="1"/>
    </row>
    <row r="23" spans="1:7" x14ac:dyDescent="0.2">
      <c r="A23" s="10" t="s">
        <v>27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20348</v>
      </c>
      <c r="F23" s="12">
        <f>D23*E23</f>
        <v>25873507.539199997</v>
      </c>
      <c r="G23" s="2"/>
    </row>
    <row r="24" spans="1:7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9543</v>
      </c>
      <c r="F24" s="12">
        <f>D24*E24</f>
        <v>19360838.400000002</v>
      </c>
      <c r="G24" s="1"/>
    </row>
    <row r="25" spans="1:7" ht="16" thickBot="1" x14ac:dyDescent="0.25">
      <c r="A25" s="16"/>
      <c r="B25" s="18"/>
      <c r="C25" s="27"/>
      <c r="D25" s="18"/>
      <c r="E25" s="19" t="s">
        <v>15</v>
      </c>
      <c r="F25" s="20">
        <f>SUM(F23:F24)</f>
        <v>45234345.939199999</v>
      </c>
      <c r="G25" s="1"/>
    </row>
    <row r="26" spans="1:7" ht="16" thickBot="1" x14ac:dyDescent="0.25">
      <c r="A26" s="1"/>
      <c r="B26" s="1"/>
      <c r="C26" s="5"/>
      <c r="D26" s="1"/>
      <c r="E26" s="1"/>
      <c r="F26" s="1"/>
      <c r="G26" s="1"/>
    </row>
    <row r="27" spans="1:7" ht="16" thickBot="1" x14ac:dyDescent="0.25">
      <c r="A27" s="201" t="s">
        <v>24</v>
      </c>
      <c r="B27" s="202"/>
      <c r="C27" s="202"/>
      <c r="D27" s="202"/>
      <c r="E27" s="202"/>
      <c r="F27" s="203"/>
      <c r="G27" s="1"/>
    </row>
    <row r="28" spans="1:7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  <c r="G28" s="1"/>
    </row>
    <row r="29" spans="1:7" x14ac:dyDescent="0.2">
      <c r="A29" s="10"/>
      <c r="B29" s="13"/>
      <c r="C29" s="11"/>
      <c r="D29" s="11"/>
      <c r="E29" s="11"/>
      <c r="F29" s="12"/>
      <c r="G29" s="1"/>
    </row>
    <row r="30" spans="1:7" x14ac:dyDescent="0.2">
      <c r="A30" s="7"/>
      <c r="B30" s="25" t="s">
        <v>3</v>
      </c>
      <c r="C30" s="8" t="s">
        <v>4</v>
      </c>
      <c r="D30" s="8" t="s">
        <v>5</v>
      </c>
      <c r="E30" s="8" t="s">
        <v>28</v>
      </c>
      <c r="F30" s="9" t="s">
        <v>11</v>
      </c>
      <c r="G30" s="1"/>
    </row>
    <row r="31" spans="1:7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1744</v>
      </c>
      <c r="F31" s="12">
        <f>D31*E31</f>
        <v>9199390.7200000007</v>
      </c>
      <c r="G31" s="1"/>
    </row>
    <row r="32" spans="1:7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441</v>
      </c>
      <c r="F32" s="12">
        <f>D32*E32</f>
        <v>2688575.9040000001</v>
      </c>
      <c r="G32" s="1"/>
    </row>
    <row r="33" spans="1:7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v>782</v>
      </c>
      <c r="F33" s="12">
        <f>D33*E33</f>
        <v>727816.78399999999</v>
      </c>
      <c r="G33" s="1"/>
    </row>
    <row r="34" spans="1:7" ht="16" thickBot="1" x14ac:dyDescent="0.25">
      <c r="A34" s="16"/>
      <c r="B34" s="18"/>
      <c r="C34" s="27"/>
      <c r="D34" s="18"/>
      <c r="E34" s="19" t="s">
        <v>15</v>
      </c>
      <c r="F34" s="20">
        <f>SUM(F31:F33)</f>
        <v>12615783.408000002</v>
      </c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3" t="s">
        <v>19</v>
      </c>
      <c r="F36" s="4">
        <f>F8+F17+F25+F34</f>
        <v>112384861.61585601</v>
      </c>
      <c r="G36" s="1"/>
    </row>
    <row r="37" spans="1:7" x14ac:dyDescent="0.2">
      <c r="A37" s="1"/>
      <c r="B37" s="1"/>
      <c r="C37" s="1"/>
      <c r="D37" s="1"/>
      <c r="E37" s="3" t="s">
        <v>20</v>
      </c>
      <c r="F37" s="4">
        <v>117742351</v>
      </c>
      <c r="G37" s="29" t="s">
        <v>50</v>
      </c>
    </row>
    <row r="38" spans="1:7" x14ac:dyDescent="0.2">
      <c r="A38" s="1"/>
      <c r="B38" s="1"/>
      <c r="C38" s="1"/>
      <c r="D38" s="1"/>
      <c r="E38" s="3" t="s">
        <v>21</v>
      </c>
      <c r="F38" s="4">
        <f>F36-F37</f>
        <v>-5357489.3841439933</v>
      </c>
      <c r="G38" s="29"/>
    </row>
    <row r="39" spans="1:7" x14ac:dyDescent="0.2">
      <c r="A39" s="1"/>
      <c r="B39" s="1"/>
      <c r="C39" s="1"/>
      <c r="D39" s="1"/>
      <c r="E39" s="1"/>
      <c r="F39" s="1"/>
      <c r="G39" s="1"/>
    </row>
    <row r="40" spans="1:7" ht="16" thickBot="1" x14ac:dyDescent="0.25">
      <c r="A40" s="20" t="s">
        <v>179</v>
      </c>
      <c r="B40" s="16">
        <v>5072</v>
      </c>
      <c r="C40" s="1"/>
      <c r="D40" s="1"/>
      <c r="E40" s="1"/>
      <c r="F40" s="1"/>
      <c r="G40" s="1"/>
    </row>
    <row r="41" spans="1:7" ht="16" thickBot="1" x14ac:dyDescent="0.25">
      <c r="A41" s="116" t="s">
        <v>180</v>
      </c>
      <c r="B41" s="117">
        <v>3076</v>
      </c>
      <c r="G41" s="1"/>
    </row>
    <row r="42" spans="1:7" x14ac:dyDescent="0.2">
      <c r="A42" s="118" t="s">
        <v>181</v>
      </c>
      <c r="B42" s="119">
        <v>5072</v>
      </c>
    </row>
    <row r="43" spans="1:7" x14ac:dyDescent="0.2">
      <c r="A43" s="1"/>
      <c r="B43" s="1"/>
    </row>
    <row r="45" spans="1:7" ht="16" thickBot="1" x14ac:dyDescent="0.25">
      <c r="A45" s="97" t="s">
        <v>168</v>
      </c>
      <c r="B45" s="104" t="s">
        <v>174</v>
      </c>
      <c r="C45" s="104" t="s">
        <v>175</v>
      </c>
    </row>
    <row r="46" spans="1:7" x14ac:dyDescent="0.2">
      <c r="A46" s="105" t="s">
        <v>177</v>
      </c>
      <c r="B46" s="110" t="s">
        <v>169</v>
      </c>
      <c r="C46" s="107" t="s">
        <v>171</v>
      </c>
    </row>
    <row r="47" spans="1:7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7" x14ac:dyDescent="0.2">
      <c r="B48" s="106" t="s">
        <v>170</v>
      </c>
      <c r="C48" s="109" t="s">
        <v>172</v>
      </c>
    </row>
    <row r="49" spans="2:3" ht="16" thickBot="1" x14ac:dyDescent="0.25">
      <c r="B49" s="111">
        <v>0.4</v>
      </c>
      <c r="C49" s="108">
        <v>1.202</v>
      </c>
    </row>
    <row r="50" spans="2:3" x14ac:dyDescent="0.2">
      <c r="B50" s="61"/>
      <c r="C50" s="109" t="s">
        <v>173</v>
      </c>
    </row>
    <row r="51" spans="2:3" ht="16" thickBot="1" x14ac:dyDescent="0.25">
      <c r="B51" s="61"/>
      <c r="C51" s="108">
        <v>0.1835</v>
      </c>
    </row>
  </sheetData>
  <mergeCells count="6">
    <mergeCell ref="A1:F1"/>
    <mergeCell ref="A2:F2"/>
    <mergeCell ref="A10:F10"/>
    <mergeCell ref="A19:F19"/>
    <mergeCell ref="A27:F27"/>
    <mergeCell ref="A4:F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topLeftCell="A31" zoomScale="119" workbookViewId="0">
      <selection activeCell="A44" sqref="A44:C51"/>
    </sheetView>
  </sheetViews>
  <sheetFormatPr baseColWidth="10" defaultColWidth="17.6640625" defaultRowHeight="15" x14ac:dyDescent="0.2"/>
  <cols>
    <col min="1" max="1" width="22.5" style="1" bestFit="1" customWidth="1"/>
    <col min="2" max="5" width="17.6640625" style="1"/>
    <col min="6" max="6" width="23.5" style="1" customWidth="1"/>
    <col min="7" max="7" width="43.1640625" style="1" customWidth="1"/>
    <col min="8" max="16384" width="17.6640625" style="1"/>
  </cols>
  <sheetData>
    <row r="1" spans="1:6" x14ac:dyDescent="0.2">
      <c r="A1" s="207" t="s">
        <v>33</v>
      </c>
      <c r="B1" s="208"/>
      <c r="C1" s="208"/>
      <c r="D1" s="208"/>
      <c r="E1" s="208"/>
      <c r="F1" s="209"/>
    </row>
    <row r="2" spans="1:6" ht="16" thickBot="1" x14ac:dyDescent="0.25">
      <c r="A2" s="210" t="s">
        <v>26</v>
      </c>
      <c r="B2" s="211"/>
      <c r="C2" s="211"/>
      <c r="D2" s="211"/>
      <c r="E2" s="211"/>
      <c r="F2" s="212"/>
    </row>
    <row r="3" spans="1:6" customFormat="1" ht="16" thickBot="1" x14ac:dyDescent="0.25"/>
    <row r="4" spans="1:6" ht="16" thickBot="1" x14ac:dyDescent="0.25">
      <c r="A4" s="216" t="s">
        <v>53</v>
      </c>
      <c r="B4" s="217"/>
      <c r="C4" s="217"/>
      <c r="D4" s="217"/>
      <c r="E4" s="217"/>
      <c r="F4" s="218"/>
    </row>
    <row r="5" spans="1:6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</row>
    <row r="6" spans="1:6" x14ac:dyDescent="0.2">
      <c r="A6" s="37"/>
      <c r="B6" s="38"/>
      <c r="C6" s="38"/>
      <c r="D6" s="38"/>
      <c r="E6" s="38"/>
      <c r="F6" s="39"/>
    </row>
    <row r="7" spans="1:6" x14ac:dyDescent="0.2">
      <c r="A7" s="33"/>
      <c r="B7" s="34"/>
      <c r="C7" s="34" t="s">
        <v>58</v>
      </c>
      <c r="D7" s="34" t="s">
        <v>59</v>
      </c>
      <c r="E7" s="34" t="s">
        <v>60</v>
      </c>
      <c r="F7" s="35" t="s">
        <v>61</v>
      </c>
    </row>
    <row r="8" spans="1:6" ht="16" thickBot="1" x14ac:dyDescent="0.25">
      <c r="A8" s="40" t="s">
        <v>53</v>
      </c>
      <c r="B8" s="41"/>
      <c r="C8" s="42">
        <v>0</v>
      </c>
      <c r="D8" s="43">
        <v>34023701</v>
      </c>
      <c r="E8" s="44"/>
      <c r="F8" s="45">
        <f>D8+E8</f>
        <v>34023701</v>
      </c>
    </row>
    <row r="9" spans="1:6" ht="16" thickBot="1" x14ac:dyDescent="0.25"/>
    <row r="10" spans="1:6" ht="16" thickBot="1" x14ac:dyDescent="0.25">
      <c r="A10" s="213" t="s">
        <v>22</v>
      </c>
      <c r="B10" s="214"/>
      <c r="C10" s="214"/>
      <c r="D10" s="214"/>
      <c r="E10" s="214"/>
      <c r="F10" s="215"/>
    </row>
    <row r="11" spans="1:6" s="2" customFormat="1" x14ac:dyDescent="0.2">
      <c r="A11" s="7"/>
      <c r="B11" s="8" t="s">
        <v>31</v>
      </c>
      <c r="C11" s="8" t="s">
        <v>7</v>
      </c>
      <c r="D11" s="8" t="s">
        <v>9</v>
      </c>
      <c r="E11" s="8" t="s">
        <v>8</v>
      </c>
      <c r="F11" s="9" t="s">
        <v>13</v>
      </c>
    </row>
    <row r="12" spans="1:6" x14ac:dyDescent="0.2">
      <c r="A12" s="10"/>
      <c r="B12" s="11"/>
      <c r="C12" s="11"/>
      <c r="D12" s="11"/>
      <c r="E12" s="11"/>
      <c r="F12" s="12"/>
    </row>
    <row r="13" spans="1:6" s="2" customFormat="1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</row>
    <row r="14" spans="1:6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114">
        <v>100956.2</v>
      </c>
      <c r="F14" s="12">
        <f>D14*E14</f>
        <v>231446530.57279998</v>
      </c>
    </row>
    <row r="15" spans="1:6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28">
        <v>1979.385</v>
      </c>
      <c r="F15" s="12">
        <f t="shared" ref="F15:F16" si="1">D15*E15</f>
        <v>2752041.8935200004</v>
      </c>
    </row>
    <row r="16" spans="1:6" x14ac:dyDescent="0.2">
      <c r="A16" s="10" t="s">
        <v>2</v>
      </c>
      <c r="B16" s="13">
        <f>B40</f>
        <v>5072</v>
      </c>
      <c r="C16" s="15">
        <v>0.45200000000000001</v>
      </c>
      <c r="D16" s="11">
        <f t="shared" si="0"/>
        <v>2292.5439999999999</v>
      </c>
      <c r="E16" s="28">
        <v>4740.482</v>
      </c>
      <c r="F16" s="12">
        <f t="shared" si="1"/>
        <v>10867763.566207999</v>
      </c>
    </row>
    <row r="17" spans="1:6" ht="16" thickBot="1" x14ac:dyDescent="0.25">
      <c r="A17" s="16"/>
      <c r="B17" s="17"/>
      <c r="C17" s="18"/>
      <c r="D17" s="18"/>
      <c r="E17" s="19" t="s">
        <v>12</v>
      </c>
      <c r="F17" s="20">
        <f>SUM(F14:F16)</f>
        <v>245066336.03252798</v>
      </c>
    </row>
    <row r="18" spans="1:6" ht="16" thickBot="1" x14ac:dyDescent="0.25">
      <c r="B18" s="6"/>
      <c r="E18" s="3"/>
      <c r="F18" s="4"/>
    </row>
    <row r="19" spans="1:6" ht="16" thickBot="1" x14ac:dyDescent="0.25">
      <c r="A19" s="204" t="s">
        <v>23</v>
      </c>
      <c r="B19" s="205"/>
      <c r="C19" s="205"/>
      <c r="D19" s="205"/>
      <c r="E19" s="205"/>
      <c r="F19" s="206"/>
    </row>
    <row r="20" spans="1:6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</row>
    <row r="21" spans="1:6" s="2" customFormat="1" x14ac:dyDescent="0.2">
      <c r="A21" s="10"/>
      <c r="B21" s="13"/>
      <c r="C21" s="11"/>
      <c r="D21" s="11"/>
      <c r="E21" s="11"/>
      <c r="F21" s="12"/>
    </row>
    <row r="22" spans="1:6" x14ac:dyDescent="0.2">
      <c r="A22" s="7"/>
      <c r="B22" s="25" t="s">
        <v>3</v>
      </c>
      <c r="C22" s="8" t="s">
        <v>4</v>
      </c>
      <c r="D22" s="8" t="s">
        <v>30</v>
      </c>
      <c r="E22" s="8" t="s">
        <v>28</v>
      </c>
      <c r="F22" s="9" t="s">
        <v>11</v>
      </c>
    </row>
    <row r="23" spans="1:6" s="2" customFormat="1" x14ac:dyDescent="0.2">
      <c r="A23" s="10" t="s">
        <v>27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101881</v>
      </c>
      <c r="F23" s="12">
        <f>D23*E23</f>
        <v>129546826.30239998</v>
      </c>
    </row>
    <row r="24" spans="1:6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48432</v>
      </c>
      <c r="F24" s="12">
        <f>D24*E24</f>
        <v>98258841.600000009</v>
      </c>
    </row>
    <row r="25" spans="1:6" ht="16" thickBot="1" x14ac:dyDescent="0.25">
      <c r="A25" s="16"/>
      <c r="B25" s="18"/>
      <c r="C25" s="27"/>
      <c r="D25" s="18"/>
      <c r="E25" s="19" t="s">
        <v>15</v>
      </c>
      <c r="F25" s="20">
        <f>SUM(F23:F24)</f>
        <v>227805667.90239999</v>
      </c>
    </row>
    <row r="26" spans="1:6" ht="16" thickBot="1" x14ac:dyDescent="0.25">
      <c r="C26" s="5"/>
    </row>
    <row r="27" spans="1:6" ht="16" thickBot="1" x14ac:dyDescent="0.25">
      <c r="A27" s="201" t="s">
        <v>24</v>
      </c>
      <c r="B27" s="202"/>
      <c r="C27" s="202"/>
      <c r="D27" s="202"/>
      <c r="E27" s="202"/>
      <c r="F27" s="203"/>
    </row>
    <row r="28" spans="1:6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</row>
    <row r="29" spans="1:6" x14ac:dyDescent="0.2">
      <c r="A29" s="10"/>
      <c r="B29" s="13"/>
      <c r="C29" s="11"/>
      <c r="D29" s="11"/>
      <c r="E29" s="11"/>
      <c r="F29" s="12"/>
    </row>
    <row r="30" spans="1:6" x14ac:dyDescent="0.2">
      <c r="A30" s="7"/>
      <c r="B30" s="25" t="s">
        <v>3</v>
      </c>
      <c r="C30" s="8" t="s">
        <v>4</v>
      </c>
      <c r="D30" s="8" t="s">
        <v>30</v>
      </c>
      <c r="E30" s="8" t="s">
        <v>28</v>
      </c>
      <c r="F30" s="9" t="s">
        <v>11</v>
      </c>
    </row>
    <row r="31" spans="1:6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20251</v>
      </c>
      <c r="F31" s="12">
        <f>D31*E31</f>
        <v>106821594.88</v>
      </c>
    </row>
    <row r="32" spans="1:6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2549</v>
      </c>
      <c r="F32" s="12">
        <f>D32*E32</f>
        <v>15540090.655999999</v>
      </c>
    </row>
    <row r="33" spans="1:7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v>2466</v>
      </c>
      <c r="F33" s="12">
        <f>D33*E33</f>
        <v>2295135.7919999999</v>
      </c>
    </row>
    <row r="34" spans="1:7" ht="16" thickBot="1" x14ac:dyDescent="0.25">
      <c r="A34" s="16"/>
      <c r="B34" s="18"/>
      <c r="C34" s="27"/>
      <c r="D34" s="18"/>
      <c r="E34" s="19" t="s">
        <v>15</v>
      </c>
      <c r="F34" s="20">
        <f>SUM(F31:F33)</f>
        <v>124656821.32799999</v>
      </c>
    </row>
    <row r="36" spans="1:7" x14ac:dyDescent="0.2">
      <c r="E36" s="3" t="s">
        <v>19</v>
      </c>
      <c r="F36" s="4">
        <f>F8+F17+F25+F34</f>
        <v>631552526.26292789</v>
      </c>
    </row>
    <row r="37" spans="1:7" x14ac:dyDescent="0.2">
      <c r="E37" s="3" t="s">
        <v>20</v>
      </c>
      <c r="F37" s="4">
        <v>609531692</v>
      </c>
      <c r="G37" s="29" t="s">
        <v>50</v>
      </c>
    </row>
    <row r="38" spans="1:7" x14ac:dyDescent="0.2">
      <c r="E38" s="3" t="s">
        <v>21</v>
      </c>
      <c r="F38" s="4">
        <f>F36-F37</f>
        <v>22020834.26292789</v>
      </c>
      <c r="G38" s="29"/>
    </row>
    <row r="40" spans="1:7" ht="16" thickBot="1" x14ac:dyDescent="0.25">
      <c r="A40" s="20" t="s">
        <v>179</v>
      </c>
      <c r="B40" s="16">
        <v>5072</v>
      </c>
    </row>
    <row r="41" spans="1:7" ht="16" thickBot="1" x14ac:dyDescent="0.25">
      <c r="A41" s="116" t="s">
        <v>180</v>
      </c>
      <c r="B41" s="117">
        <v>3076</v>
      </c>
    </row>
    <row r="42" spans="1:7" x14ac:dyDescent="0.2">
      <c r="A42" s="118" t="s">
        <v>181</v>
      </c>
      <c r="B42" s="119">
        <v>5072</v>
      </c>
    </row>
    <row r="44" spans="1:7" x14ac:dyDescent="0.2">
      <c r="A44"/>
      <c r="B44"/>
      <c r="C44"/>
    </row>
    <row r="45" spans="1:7" ht="16" thickBot="1" x14ac:dyDescent="0.25">
      <c r="A45" s="97" t="s">
        <v>168</v>
      </c>
      <c r="B45" s="104" t="s">
        <v>174</v>
      </c>
      <c r="C45" s="104" t="s">
        <v>175</v>
      </c>
    </row>
    <row r="46" spans="1:7" x14ac:dyDescent="0.2">
      <c r="A46" s="105" t="s">
        <v>177</v>
      </c>
      <c r="B46" s="110" t="s">
        <v>169</v>
      </c>
      <c r="C46" s="107" t="s">
        <v>171</v>
      </c>
    </row>
    <row r="47" spans="1:7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7" x14ac:dyDescent="0.2">
      <c r="A48"/>
      <c r="B48" s="106" t="s">
        <v>170</v>
      </c>
      <c r="C48" s="109" t="s">
        <v>172</v>
      </c>
    </row>
    <row r="49" spans="1:23" ht="16" thickBot="1" x14ac:dyDescent="0.25">
      <c r="A49"/>
      <c r="B49" s="111">
        <v>0.4</v>
      </c>
      <c r="C49" s="108">
        <v>1.202</v>
      </c>
    </row>
    <row r="50" spans="1:23" x14ac:dyDescent="0.2">
      <c r="A50"/>
      <c r="B50" s="61"/>
      <c r="C50" s="109" t="s">
        <v>173</v>
      </c>
    </row>
    <row r="51" spans="1:23" ht="16" thickBot="1" x14ac:dyDescent="0.25">
      <c r="A51"/>
      <c r="B51" s="61"/>
      <c r="C51" s="108">
        <v>0.1835</v>
      </c>
    </row>
    <row r="52" spans="1:23" x14ac:dyDescent="0.2">
      <c r="G52" s="1">
        <f t="shared" ref="G52:W52" si="2">SUM(G13:G51)</f>
        <v>0</v>
      </c>
      <c r="H52" s="1">
        <f t="shared" si="2"/>
        <v>0</v>
      </c>
      <c r="I52" s="1">
        <f t="shared" si="2"/>
        <v>0</v>
      </c>
      <c r="J52" s="1">
        <f t="shared" si="2"/>
        <v>0</v>
      </c>
      <c r="K52" s="1">
        <f t="shared" si="2"/>
        <v>0</v>
      </c>
      <c r="L52" s="1">
        <f t="shared" si="2"/>
        <v>0</v>
      </c>
      <c r="M52" s="1">
        <f t="shared" si="2"/>
        <v>0</v>
      </c>
      <c r="N52" s="1">
        <f t="shared" si="2"/>
        <v>0</v>
      </c>
      <c r="O52" s="1">
        <f t="shared" si="2"/>
        <v>0</v>
      </c>
      <c r="P52" s="1">
        <f t="shared" si="2"/>
        <v>0</v>
      </c>
      <c r="Q52" s="1">
        <f t="shared" si="2"/>
        <v>0</v>
      </c>
      <c r="R52" s="1">
        <f t="shared" si="2"/>
        <v>0</v>
      </c>
      <c r="S52" s="1">
        <f t="shared" si="2"/>
        <v>0</v>
      </c>
      <c r="T52" s="1">
        <f t="shared" si="2"/>
        <v>0</v>
      </c>
      <c r="U52" s="1">
        <f t="shared" si="2"/>
        <v>0</v>
      </c>
      <c r="V52" s="1">
        <f t="shared" si="2"/>
        <v>0</v>
      </c>
      <c r="W52" s="1">
        <f t="shared" si="2"/>
        <v>0</v>
      </c>
    </row>
  </sheetData>
  <mergeCells count="6">
    <mergeCell ref="A1:F1"/>
    <mergeCell ref="A2:F2"/>
    <mergeCell ref="A10:F10"/>
    <mergeCell ref="A19:F19"/>
    <mergeCell ref="A27:F27"/>
    <mergeCell ref="A4:F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topLeftCell="A37" zoomScale="125" workbookViewId="0">
      <selection activeCell="A44" sqref="A44:C51"/>
    </sheetView>
  </sheetViews>
  <sheetFormatPr baseColWidth="10" defaultColWidth="17.6640625" defaultRowHeight="15" x14ac:dyDescent="0.2"/>
  <cols>
    <col min="1" max="1" width="22.5" style="1" bestFit="1" customWidth="1"/>
    <col min="2" max="6" width="17.6640625" style="1"/>
    <col min="7" max="7" width="41.1640625" style="1" customWidth="1"/>
    <col min="8" max="16384" width="17.6640625" style="1"/>
  </cols>
  <sheetData>
    <row r="1" spans="1:6" x14ac:dyDescent="0.2">
      <c r="A1" s="207" t="s">
        <v>29</v>
      </c>
      <c r="B1" s="208"/>
      <c r="C1" s="208"/>
      <c r="D1" s="208"/>
      <c r="E1" s="208"/>
      <c r="F1" s="209"/>
    </row>
    <row r="2" spans="1:6" ht="16" thickBot="1" x14ac:dyDescent="0.25">
      <c r="A2" s="210" t="s">
        <v>26</v>
      </c>
      <c r="B2" s="211"/>
      <c r="C2" s="211"/>
      <c r="D2" s="211"/>
      <c r="E2" s="211"/>
      <c r="F2" s="212"/>
    </row>
    <row r="3" spans="1:6" customFormat="1" ht="16" thickBot="1" x14ac:dyDescent="0.25"/>
    <row r="4" spans="1:6" ht="16" thickBot="1" x14ac:dyDescent="0.25">
      <c r="A4" s="216" t="s">
        <v>53</v>
      </c>
      <c r="B4" s="217"/>
      <c r="C4" s="217"/>
      <c r="D4" s="217"/>
      <c r="E4" s="217"/>
      <c r="F4" s="218"/>
    </row>
    <row r="5" spans="1:6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</row>
    <row r="6" spans="1:6" x14ac:dyDescent="0.2">
      <c r="A6" s="37"/>
      <c r="B6" s="38"/>
      <c r="C6" s="38"/>
      <c r="D6" s="38"/>
      <c r="E6" s="38"/>
      <c r="F6" s="39"/>
    </row>
    <row r="7" spans="1:6" x14ac:dyDescent="0.2">
      <c r="A7" s="33"/>
      <c r="B7" s="34"/>
      <c r="C7" s="34" t="s">
        <v>58</v>
      </c>
      <c r="D7" s="34" t="s">
        <v>59</v>
      </c>
      <c r="E7" s="34" t="s">
        <v>60</v>
      </c>
      <c r="F7" s="35" t="s">
        <v>61</v>
      </c>
    </row>
    <row r="8" spans="1:6" ht="16" thickBot="1" x14ac:dyDescent="0.25">
      <c r="A8" s="40" t="s">
        <v>53</v>
      </c>
      <c r="B8" s="41"/>
      <c r="C8" s="42">
        <v>0</v>
      </c>
      <c r="D8" s="43">
        <v>15877727</v>
      </c>
      <c r="E8" s="44">
        <v>4536492</v>
      </c>
      <c r="F8" s="45">
        <f>D8+E8</f>
        <v>20414219</v>
      </c>
    </row>
    <row r="9" spans="1:6" ht="16" thickBot="1" x14ac:dyDescent="0.25"/>
    <row r="10" spans="1:6" ht="16" thickBot="1" x14ac:dyDescent="0.25">
      <c r="A10" s="213" t="s">
        <v>22</v>
      </c>
      <c r="B10" s="214"/>
      <c r="C10" s="214"/>
      <c r="D10" s="214"/>
      <c r="E10" s="214"/>
      <c r="F10" s="215"/>
    </row>
    <row r="11" spans="1:6" s="2" customFormat="1" x14ac:dyDescent="0.2">
      <c r="A11" s="7"/>
      <c r="B11" s="8" t="s">
        <v>31</v>
      </c>
      <c r="C11" s="8" t="s">
        <v>7</v>
      </c>
      <c r="D11" s="8" t="s">
        <v>9</v>
      </c>
      <c r="E11" s="8" t="s">
        <v>8</v>
      </c>
      <c r="F11" s="9" t="s">
        <v>13</v>
      </c>
    </row>
    <row r="12" spans="1:6" x14ac:dyDescent="0.2">
      <c r="A12" s="10"/>
      <c r="B12" s="11"/>
      <c r="C12" s="11"/>
      <c r="D12" s="11"/>
      <c r="E12" s="11"/>
      <c r="F12" s="12"/>
    </row>
    <row r="13" spans="1:6" s="2" customFormat="1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</row>
    <row r="14" spans="1:6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114">
        <v>52230.649977000001</v>
      </c>
      <c r="F14" s="12">
        <f>D14*E14</f>
        <v>119741063.22087148</v>
      </c>
    </row>
    <row r="15" spans="1:6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28">
        <v>247.495</v>
      </c>
      <c r="F15" s="12">
        <f t="shared" ref="F15:F16" si="1">D15*E15</f>
        <v>344105.16824000003</v>
      </c>
    </row>
    <row r="16" spans="1:6" x14ac:dyDescent="0.2">
      <c r="A16" s="10" t="s">
        <v>2</v>
      </c>
      <c r="B16" s="13">
        <f>B40</f>
        <v>5072</v>
      </c>
      <c r="C16" s="15">
        <v>0.45200000000000001</v>
      </c>
      <c r="D16" s="11">
        <f t="shared" si="0"/>
        <v>2292.5439999999999</v>
      </c>
      <c r="E16" s="28">
        <v>0</v>
      </c>
      <c r="F16" s="12">
        <f t="shared" si="1"/>
        <v>0</v>
      </c>
    </row>
    <row r="17" spans="1:6" ht="16" thickBot="1" x14ac:dyDescent="0.25">
      <c r="A17" s="16"/>
      <c r="B17" s="17"/>
      <c r="C17" s="18"/>
      <c r="D17" s="18"/>
      <c r="E17" s="19" t="s">
        <v>12</v>
      </c>
      <c r="F17" s="20">
        <f>SUM(F14:F16)</f>
        <v>120085168.38911147</v>
      </c>
    </row>
    <row r="18" spans="1:6" ht="16" thickBot="1" x14ac:dyDescent="0.25">
      <c r="B18" s="6"/>
      <c r="E18" s="3"/>
      <c r="F18" s="4"/>
    </row>
    <row r="19" spans="1:6" ht="16" thickBot="1" x14ac:dyDescent="0.25">
      <c r="A19" s="204" t="s">
        <v>23</v>
      </c>
      <c r="B19" s="205"/>
      <c r="C19" s="205"/>
      <c r="D19" s="205"/>
      <c r="E19" s="205"/>
      <c r="F19" s="206"/>
    </row>
    <row r="20" spans="1:6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</row>
    <row r="21" spans="1:6" s="2" customFormat="1" x14ac:dyDescent="0.2">
      <c r="A21" s="10"/>
      <c r="B21" s="13"/>
      <c r="C21" s="11"/>
      <c r="D21" s="11"/>
      <c r="E21" s="11"/>
      <c r="F21" s="12"/>
    </row>
    <row r="22" spans="1:6" x14ac:dyDescent="0.2">
      <c r="A22" s="7"/>
      <c r="B22" s="25" t="s">
        <v>3</v>
      </c>
      <c r="C22" s="8" t="s">
        <v>4</v>
      </c>
      <c r="D22" s="8" t="s">
        <v>30</v>
      </c>
      <c r="E22" s="8" t="s">
        <v>28</v>
      </c>
      <c r="F22" s="9" t="s">
        <v>11</v>
      </c>
    </row>
    <row r="23" spans="1:6" s="2" customFormat="1" x14ac:dyDescent="0.2">
      <c r="A23" s="10" t="s">
        <v>27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55729</v>
      </c>
      <c r="F23" s="12">
        <f>D23*E23</f>
        <v>70862232.241599992</v>
      </c>
    </row>
    <row r="24" spans="1:6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21048</v>
      </c>
      <c r="F24" s="12">
        <f>D24*E24</f>
        <v>42702182.400000006</v>
      </c>
    </row>
    <row r="25" spans="1:6" ht="16" thickBot="1" x14ac:dyDescent="0.25">
      <c r="A25" s="16"/>
      <c r="B25" s="18"/>
      <c r="C25" s="27"/>
      <c r="D25" s="18"/>
      <c r="E25" s="19" t="s">
        <v>15</v>
      </c>
      <c r="F25" s="20">
        <f>SUM(F23:F24)</f>
        <v>113564414.6416</v>
      </c>
    </row>
    <row r="26" spans="1:6" ht="16" thickBot="1" x14ac:dyDescent="0.25">
      <c r="C26" s="5"/>
    </row>
    <row r="27" spans="1:6" ht="16" thickBot="1" x14ac:dyDescent="0.25">
      <c r="A27" s="201" t="s">
        <v>24</v>
      </c>
      <c r="B27" s="202"/>
      <c r="C27" s="202"/>
      <c r="D27" s="202"/>
      <c r="E27" s="202"/>
      <c r="F27" s="203"/>
    </row>
    <row r="28" spans="1:6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</row>
    <row r="29" spans="1:6" x14ac:dyDescent="0.2">
      <c r="A29" s="10"/>
      <c r="B29" s="13"/>
      <c r="C29" s="11"/>
      <c r="D29" s="11"/>
      <c r="E29" s="11"/>
      <c r="F29" s="12"/>
    </row>
    <row r="30" spans="1:6" x14ac:dyDescent="0.2">
      <c r="A30" s="7"/>
      <c r="B30" s="25" t="s">
        <v>3</v>
      </c>
      <c r="C30" s="8" t="s">
        <v>4</v>
      </c>
      <c r="D30" s="8" t="s">
        <v>30</v>
      </c>
      <c r="E30" s="8" t="s">
        <v>28</v>
      </c>
      <c r="F30" s="9" t="s">
        <v>11</v>
      </c>
    </row>
    <row r="31" spans="1:6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8604</v>
      </c>
      <c r="F31" s="12">
        <f>D31*E31</f>
        <v>45385067.520000003</v>
      </c>
    </row>
    <row r="32" spans="1:6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2289</v>
      </c>
      <c r="F32" s="12">
        <f>D32*E32</f>
        <v>13954989.216</v>
      </c>
    </row>
    <row r="33" spans="1:7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v>1601</v>
      </c>
      <c r="F33" s="12">
        <f>D33*E33</f>
        <v>1490069.912</v>
      </c>
    </row>
    <row r="34" spans="1:7" ht="16" thickBot="1" x14ac:dyDescent="0.25">
      <c r="A34" s="16"/>
      <c r="B34" s="18"/>
      <c r="C34" s="27"/>
      <c r="D34" s="18"/>
      <c r="E34" s="19" t="s">
        <v>15</v>
      </c>
      <c r="F34" s="20">
        <f>SUM(F31:F33)</f>
        <v>60830126.648000002</v>
      </c>
    </row>
    <row r="36" spans="1:7" x14ac:dyDescent="0.2">
      <c r="E36" s="3" t="s">
        <v>19</v>
      </c>
      <c r="F36" s="4">
        <f>F8+F17+F25+F34</f>
        <v>314893928.67871147</v>
      </c>
    </row>
    <row r="37" spans="1:7" x14ac:dyDescent="0.2">
      <c r="E37" s="3" t="s">
        <v>20</v>
      </c>
      <c r="F37" s="4">
        <v>303686039</v>
      </c>
      <c r="G37" s="29" t="s">
        <v>50</v>
      </c>
    </row>
    <row r="38" spans="1:7" x14ac:dyDescent="0.2">
      <c r="E38" s="3" t="s">
        <v>21</v>
      </c>
      <c r="F38" s="4">
        <f>F36-F37</f>
        <v>11207889.678711474</v>
      </c>
      <c r="G38" s="29"/>
    </row>
    <row r="40" spans="1:7" ht="16" thickBot="1" x14ac:dyDescent="0.25">
      <c r="A40" s="20" t="s">
        <v>179</v>
      </c>
      <c r="B40" s="16">
        <v>5072</v>
      </c>
    </row>
    <row r="41" spans="1:7" ht="16" thickBot="1" x14ac:dyDescent="0.25">
      <c r="A41" s="116" t="s">
        <v>180</v>
      </c>
      <c r="B41" s="117">
        <v>3076</v>
      </c>
    </row>
    <row r="42" spans="1:7" x14ac:dyDescent="0.2">
      <c r="A42" s="118" t="s">
        <v>181</v>
      </c>
      <c r="B42" s="119">
        <v>5072</v>
      </c>
    </row>
    <row r="44" spans="1:7" x14ac:dyDescent="0.2">
      <c r="A44"/>
      <c r="B44"/>
      <c r="C44"/>
    </row>
    <row r="45" spans="1:7" ht="16" thickBot="1" x14ac:dyDescent="0.25">
      <c r="A45" s="97" t="s">
        <v>168</v>
      </c>
      <c r="B45" s="104" t="s">
        <v>174</v>
      </c>
      <c r="C45" s="104" t="s">
        <v>175</v>
      </c>
    </row>
    <row r="46" spans="1:7" x14ac:dyDescent="0.2">
      <c r="A46" s="105" t="s">
        <v>177</v>
      </c>
      <c r="B46" s="110" t="s">
        <v>169</v>
      </c>
      <c r="C46" s="107" t="s">
        <v>171</v>
      </c>
    </row>
    <row r="47" spans="1:7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7" x14ac:dyDescent="0.2">
      <c r="A48"/>
      <c r="B48" s="106" t="s">
        <v>170</v>
      </c>
      <c r="C48" s="109" t="s">
        <v>172</v>
      </c>
    </row>
    <row r="49" spans="1:23" ht="16" thickBot="1" x14ac:dyDescent="0.25">
      <c r="A49"/>
      <c r="B49" s="111">
        <v>0.4</v>
      </c>
      <c r="C49" s="108">
        <v>1.202</v>
      </c>
    </row>
    <row r="50" spans="1:23" x14ac:dyDescent="0.2">
      <c r="A50"/>
      <c r="B50" s="61"/>
      <c r="C50" s="109" t="s">
        <v>173</v>
      </c>
    </row>
    <row r="51" spans="1:23" ht="16" thickBot="1" x14ac:dyDescent="0.25">
      <c r="A51"/>
      <c r="B51" s="61"/>
      <c r="C51" s="108">
        <v>0.1835</v>
      </c>
    </row>
    <row r="52" spans="1:23" x14ac:dyDescent="0.2">
      <c r="G52" s="1">
        <f t="shared" ref="G52:W52" si="2">SUM(G13:G51)</f>
        <v>0</v>
      </c>
      <c r="H52" s="1">
        <f t="shared" si="2"/>
        <v>0</v>
      </c>
      <c r="I52" s="1">
        <f t="shared" si="2"/>
        <v>0</v>
      </c>
      <c r="J52" s="1">
        <f t="shared" si="2"/>
        <v>0</v>
      </c>
      <c r="K52" s="1">
        <f t="shared" si="2"/>
        <v>0</v>
      </c>
      <c r="L52" s="1">
        <f t="shared" si="2"/>
        <v>0</v>
      </c>
      <c r="M52" s="1">
        <f t="shared" si="2"/>
        <v>0</v>
      </c>
      <c r="N52" s="1">
        <f t="shared" si="2"/>
        <v>0</v>
      </c>
      <c r="O52" s="1">
        <f t="shared" si="2"/>
        <v>0</v>
      </c>
      <c r="P52" s="1">
        <f t="shared" si="2"/>
        <v>0</v>
      </c>
      <c r="Q52" s="1">
        <f t="shared" si="2"/>
        <v>0</v>
      </c>
      <c r="R52" s="1">
        <f t="shared" si="2"/>
        <v>0</v>
      </c>
      <c r="S52" s="1">
        <f t="shared" si="2"/>
        <v>0</v>
      </c>
      <c r="T52" s="1">
        <f t="shared" si="2"/>
        <v>0</v>
      </c>
      <c r="U52" s="1">
        <f t="shared" si="2"/>
        <v>0</v>
      </c>
      <c r="V52" s="1">
        <f t="shared" si="2"/>
        <v>0</v>
      </c>
      <c r="W52" s="1">
        <f t="shared" si="2"/>
        <v>0</v>
      </c>
    </row>
  </sheetData>
  <mergeCells count="6">
    <mergeCell ref="A1:F1"/>
    <mergeCell ref="A2:F2"/>
    <mergeCell ref="A10:F10"/>
    <mergeCell ref="A19:F19"/>
    <mergeCell ref="A27:F27"/>
    <mergeCell ref="A4:F4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topLeftCell="A36" workbookViewId="0">
      <selection activeCell="A44" sqref="A44:C51"/>
    </sheetView>
  </sheetViews>
  <sheetFormatPr baseColWidth="10" defaultColWidth="17.6640625" defaultRowHeight="15" x14ac:dyDescent="0.2"/>
  <cols>
    <col min="1" max="1" width="22.5" style="1" bestFit="1" customWidth="1"/>
    <col min="2" max="6" width="17.6640625" style="1"/>
    <col min="7" max="7" width="41.5" style="1" customWidth="1"/>
    <col min="8" max="16384" width="17.6640625" style="1"/>
  </cols>
  <sheetData>
    <row r="1" spans="1:6" x14ac:dyDescent="0.2">
      <c r="A1" s="207" t="s">
        <v>34</v>
      </c>
      <c r="B1" s="208"/>
      <c r="C1" s="208"/>
      <c r="D1" s="208"/>
      <c r="E1" s="208"/>
      <c r="F1" s="209"/>
    </row>
    <row r="2" spans="1:6" ht="16" thickBot="1" x14ac:dyDescent="0.25">
      <c r="A2" s="210" t="s">
        <v>26</v>
      </c>
      <c r="B2" s="211"/>
      <c r="C2" s="211"/>
      <c r="D2" s="211"/>
      <c r="E2" s="211"/>
      <c r="F2" s="212"/>
    </row>
    <row r="3" spans="1:6" customFormat="1" ht="16" thickBot="1" x14ac:dyDescent="0.25"/>
    <row r="4" spans="1:6" ht="16" thickBot="1" x14ac:dyDescent="0.25">
      <c r="A4" s="216" t="s">
        <v>53</v>
      </c>
      <c r="B4" s="217"/>
      <c r="C4" s="217"/>
      <c r="D4" s="217"/>
      <c r="E4" s="217"/>
      <c r="F4" s="218"/>
    </row>
    <row r="5" spans="1:6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</row>
    <row r="6" spans="1:6" x14ac:dyDescent="0.2">
      <c r="A6" s="37"/>
      <c r="B6" s="38"/>
      <c r="C6" s="38"/>
      <c r="D6" s="38"/>
      <c r="E6" s="38"/>
      <c r="F6" s="39"/>
    </row>
    <row r="7" spans="1:6" x14ac:dyDescent="0.2">
      <c r="A7" s="33"/>
      <c r="B7" s="34"/>
      <c r="C7" s="34" t="s">
        <v>58</v>
      </c>
      <c r="D7" s="34" t="s">
        <v>59</v>
      </c>
      <c r="E7" s="34" t="s">
        <v>60</v>
      </c>
      <c r="F7" s="35" t="s">
        <v>61</v>
      </c>
    </row>
    <row r="8" spans="1:6" ht="16" thickBot="1" x14ac:dyDescent="0.25">
      <c r="A8" s="40" t="s">
        <v>53</v>
      </c>
      <c r="B8" s="41"/>
      <c r="C8" s="42">
        <v>0</v>
      </c>
      <c r="D8" s="43">
        <v>4536493</v>
      </c>
      <c r="E8" s="44">
        <v>1134123</v>
      </c>
      <c r="F8" s="45">
        <f>D8+E8</f>
        <v>5670616</v>
      </c>
    </row>
    <row r="9" spans="1:6" ht="16" thickBot="1" x14ac:dyDescent="0.25"/>
    <row r="10" spans="1:6" ht="16" thickBot="1" x14ac:dyDescent="0.25">
      <c r="A10" s="213" t="s">
        <v>22</v>
      </c>
      <c r="B10" s="214"/>
      <c r="C10" s="214"/>
      <c r="D10" s="214"/>
      <c r="E10" s="214"/>
      <c r="F10" s="215"/>
    </row>
    <row r="11" spans="1:6" s="2" customFormat="1" x14ac:dyDescent="0.2">
      <c r="A11" s="7"/>
      <c r="B11" s="8" t="s">
        <v>31</v>
      </c>
      <c r="C11" s="8" t="s">
        <v>7</v>
      </c>
      <c r="D11" s="8" t="s">
        <v>9</v>
      </c>
      <c r="E11" s="8" t="s">
        <v>8</v>
      </c>
      <c r="F11" s="9" t="s">
        <v>13</v>
      </c>
    </row>
    <row r="12" spans="1:6" x14ac:dyDescent="0.2">
      <c r="A12" s="10"/>
      <c r="B12" s="11"/>
      <c r="C12" s="11"/>
      <c r="D12" s="11"/>
      <c r="E12" s="11"/>
      <c r="F12" s="12"/>
    </row>
    <row r="13" spans="1:6" s="2" customFormat="1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</row>
    <row r="14" spans="1:6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114">
        <v>9714.9800000000014</v>
      </c>
      <c r="F14" s="12">
        <f>D14*E14</f>
        <v>22272019.10912</v>
      </c>
    </row>
    <row r="15" spans="1:6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28">
        <v>911.28</v>
      </c>
      <c r="F15" s="12">
        <f t="shared" ref="F15:F16" si="1">D15*E15</f>
        <v>1266999.97056</v>
      </c>
    </row>
    <row r="16" spans="1:6" x14ac:dyDescent="0.2">
      <c r="A16" s="10" t="s">
        <v>2</v>
      </c>
      <c r="B16" s="13">
        <f>B40</f>
        <v>5072</v>
      </c>
      <c r="C16" s="15">
        <v>0.45200000000000001</v>
      </c>
      <c r="D16" s="11">
        <f t="shared" si="0"/>
        <v>2292.5439999999999</v>
      </c>
      <c r="E16" s="28">
        <v>0</v>
      </c>
      <c r="F16" s="12">
        <f t="shared" si="1"/>
        <v>0</v>
      </c>
    </row>
    <row r="17" spans="1:6" ht="16" thickBot="1" x14ac:dyDescent="0.25">
      <c r="A17" s="16"/>
      <c r="B17" s="17"/>
      <c r="C17" s="18"/>
      <c r="D17" s="18"/>
      <c r="E17" s="19" t="s">
        <v>12</v>
      </c>
      <c r="F17" s="20">
        <f>SUM(F14:F16)</f>
        <v>23539019.07968</v>
      </c>
    </row>
    <row r="18" spans="1:6" ht="16" thickBot="1" x14ac:dyDescent="0.25">
      <c r="B18" s="6"/>
      <c r="E18" s="3"/>
      <c r="F18" s="4"/>
    </row>
    <row r="19" spans="1:6" ht="16" thickBot="1" x14ac:dyDescent="0.25">
      <c r="A19" s="204" t="s">
        <v>23</v>
      </c>
      <c r="B19" s="205"/>
      <c r="C19" s="205"/>
      <c r="D19" s="205"/>
      <c r="E19" s="205"/>
      <c r="F19" s="206"/>
    </row>
    <row r="20" spans="1:6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</row>
    <row r="21" spans="1:6" s="2" customFormat="1" x14ac:dyDescent="0.2">
      <c r="A21" s="10"/>
      <c r="B21" s="13"/>
      <c r="C21" s="11"/>
      <c r="D21" s="11"/>
      <c r="E21" s="11"/>
      <c r="F21" s="12"/>
    </row>
    <row r="22" spans="1:6" x14ac:dyDescent="0.2">
      <c r="A22" s="7"/>
      <c r="B22" s="25" t="s">
        <v>3</v>
      </c>
      <c r="C22" s="8" t="s">
        <v>4</v>
      </c>
      <c r="D22" s="8" t="s">
        <v>30</v>
      </c>
      <c r="E22" s="8" t="s">
        <v>28</v>
      </c>
      <c r="F22" s="9" t="s">
        <v>11</v>
      </c>
    </row>
    <row r="23" spans="1:6" s="2" customFormat="1" x14ac:dyDescent="0.2">
      <c r="A23" s="10" t="s">
        <v>27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9733</v>
      </c>
      <c r="F23" s="12">
        <f>D23*E23</f>
        <v>12376000.043199999</v>
      </c>
    </row>
    <row r="24" spans="1:6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4577</v>
      </c>
      <c r="F24" s="12">
        <f>D24*E24</f>
        <v>9285817.6000000015</v>
      </c>
    </row>
    <row r="25" spans="1:6" ht="16" thickBot="1" x14ac:dyDescent="0.25">
      <c r="A25" s="16"/>
      <c r="B25" s="18"/>
      <c r="C25" s="27"/>
      <c r="D25" s="18"/>
      <c r="E25" s="19" t="s">
        <v>15</v>
      </c>
      <c r="F25" s="20">
        <f>SUM(F23:F24)</f>
        <v>21661817.643200003</v>
      </c>
    </row>
    <row r="26" spans="1:6" ht="16" thickBot="1" x14ac:dyDescent="0.25">
      <c r="C26" s="5"/>
    </row>
    <row r="27" spans="1:6" ht="16" thickBot="1" x14ac:dyDescent="0.25">
      <c r="A27" s="201" t="s">
        <v>24</v>
      </c>
      <c r="B27" s="202"/>
      <c r="C27" s="202"/>
      <c r="D27" s="202"/>
      <c r="E27" s="202"/>
      <c r="F27" s="203"/>
    </row>
    <row r="28" spans="1:6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</row>
    <row r="29" spans="1:6" x14ac:dyDescent="0.2">
      <c r="A29" s="10"/>
      <c r="B29" s="13"/>
      <c r="C29" s="11"/>
      <c r="D29" s="11"/>
      <c r="E29" s="11"/>
      <c r="F29" s="12"/>
    </row>
    <row r="30" spans="1:6" x14ac:dyDescent="0.2">
      <c r="A30" s="7"/>
      <c r="B30" s="25" t="s">
        <v>3</v>
      </c>
      <c r="C30" s="8" t="s">
        <v>4</v>
      </c>
      <c r="D30" s="8" t="s">
        <v>30</v>
      </c>
      <c r="E30" s="8" t="s">
        <v>28</v>
      </c>
      <c r="F30" s="9" t="s">
        <v>11</v>
      </c>
    </row>
    <row r="31" spans="1:6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2187</v>
      </c>
      <c r="F31" s="12">
        <f>D31*E31</f>
        <v>11536162.560000001</v>
      </c>
    </row>
    <row r="32" spans="1:6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705</v>
      </c>
      <c r="F32" s="12">
        <f>D32*E32</f>
        <v>4298063.5199999996</v>
      </c>
    </row>
    <row r="33" spans="1:7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v>223</v>
      </c>
      <c r="F33" s="12">
        <f>D33*E33</f>
        <v>207548.77599999998</v>
      </c>
    </row>
    <row r="34" spans="1:7" ht="16" thickBot="1" x14ac:dyDescent="0.25">
      <c r="A34" s="16"/>
      <c r="B34" s="18"/>
      <c r="C34" s="27"/>
      <c r="D34" s="18"/>
      <c r="E34" s="19" t="s">
        <v>15</v>
      </c>
      <c r="F34" s="20">
        <f>SUM(F31:F33)</f>
        <v>16041774.856000001</v>
      </c>
    </row>
    <row r="36" spans="1:7" x14ac:dyDescent="0.2">
      <c r="E36" s="3" t="s">
        <v>19</v>
      </c>
      <c r="F36" s="4">
        <f>F8+F17+F25+F34</f>
        <v>66913227.578880005</v>
      </c>
    </row>
    <row r="37" spans="1:7" x14ac:dyDescent="0.2">
      <c r="E37" s="3" t="s">
        <v>20</v>
      </c>
      <c r="F37" s="4">
        <v>65311937</v>
      </c>
      <c r="G37" s="29" t="s">
        <v>50</v>
      </c>
    </row>
    <row r="38" spans="1:7" x14ac:dyDescent="0.2">
      <c r="E38" s="3" t="s">
        <v>21</v>
      </c>
      <c r="F38" s="4">
        <f>F36-F37</f>
        <v>1601290.5788800046</v>
      </c>
      <c r="G38" s="29"/>
    </row>
    <row r="40" spans="1:7" ht="16" thickBot="1" x14ac:dyDescent="0.25">
      <c r="A40" s="20" t="s">
        <v>179</v>
      </c>
      <c r="B40" s="16">
        <v>5072</v>
      </c>
    </row>
    <row r="41" spans="1:7" ht="16" thickBot="1" x14ac:dyDescent="0.25">
      <c r="A41" s="116" t="s">
        <v>180</v>
      </c>
      <c r="B41" s="117">
        <v>3076</v>
      </c>
    </row>
    <row r="42" spans="1:7" x14ac:dyDescent="0.2">
      <c r="A42" s="118" t="s">
        <v>181</v>
      </c>
      <c r="B42" s="119">
        <v>5072</v>
      </c>
    </row>
    <row r="44" spans="1:7" x14ac:dyDescent="0.2">
      <c r="A44"/>
      <c r="B44"/>
      <c r="C44"/>
    </row>
    <row r="45" spans="1:7" ht="16" thickBot="1" x14ac:dyDescent="0.25">
      <c r="A45" s="97" t="s">
        <v>168</v>
      </c>
      <c r="B45" s="104" t="s">
        <v>174</v>
      </c>
      <c r="C45" s="104" t="s">
        <v>175</v>
      </c>
    </row>
    <row r="46" spans="1:7" x14ac:dyDescent="0.2">
      <c r="A46" s="105" t="s">
        <v>177</v>
      </c>
      <c r="B46" s="110" t="s">
        <v>169</v>
      </c>
      <c r="C46" s="107" t="s">
        <v>171</v>
      </c>
    </row>
    <row r="47" spans="1:7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7" x14ac:dyDescent="0.2">
      <c r="A48"/>
      <c r="B48" s="106" t="s">
        <v>170</v>
      </c>
      <c r="C48" s="109" t="s">
        <v>172</v>
      </c>
    </row>
    <row r="49" spans="1:23" ht="16" thickBot="1" x14ac:dyDescent="0.25">
      <c r="A49"/>
      <c r="B49" s="111">
        <v>0.4</v>
      </c>
      <c r="C49" s="108">
        <v>1.202</v>
      </c>
    </row>
    <row r="50" spans="1:23" x14ac:dyDescent="0.2">
      <c r="A50"/>
      <c r="B50" s="61"/>
      <c r="C50" s="109" t="s">
        <v>173</v>
      </c>
    </row>
    <row r="51" spans="1:23" ht="16" thickBot="1" x14ac:dyDescent="0.25">
      <c r="A51"/>
      <c r="B51" s="61"/>
      <c r="C51" s="108">
        <v>0.1835</v>
      </c>
    </row>
    <row r="52" spans="1:23" x14ac:dyDescent="0.2">
      <c r="G52" s="1">
        <f t="shared" ref="G52:W52" si="2">SUM(G13:G51)</f>
        <v>0</v>
      </c>
      <c r="H52" s="1">
        <f t="shared" si="2"/>
        <v>0</v>
      </c>
      <c r="I52" s="1">
        <f t="shared" si="2"/>
        <v>0</v>
      </c>
      <c r="J52" s="1">
        <f t="shared" si="2"/>
        <v>0</v>
      </c>
      <c r="K52" s="1">
        <f t="shared" si="2"/>
        <v>0</v>
      </c>
      <c r="L52" s="1">
        <f t="shared" si="2"/>
        <v>0</v>
      </c>
      <c r="M52" s="1">
        <f t="shared" si="2"/>
        <v>0</v>
      </c>
      <c r="N52" s="1">
        <f t="shared" si="2"/>
        <v>0</v>
      </c>
      <c r="O52" s="1">
        <f t="shared" si="2"/>
        <v>0</v>
      </c>
      <c r="P52" s="1">
        <f t="shared" si="2"/>
        <v>0</v>
      </c>
      <c r="Q52" s="1">
        <f t="shared" si="2"/>
        <v>0</v>
      </c>
      <c r="R52" s="1">
        <f t="shared" si="2"/>
        <v>0</v>
      </c>
      <c r="S52" s="1">
        <f t="shared" si="2"/>
        <v>0</v>
      </c>
      <c r="T52" s="1">
        <f t="shared" si="2"/>
        <v>0</v>
      </c>
      <c r="U52" s="1">
        <f t="shared" si="2"/>
        <v>0</v>
      </c>
      <c r="V52" s="1">
        <f t="shared" si="2"/>
        <v>0</v>
      </c>
      <c r="W52" s="1">
        <f t="shared" si="2"/>
        <v>0</v>
      </c>
    </row>
  </sheetData>
  <mergeCells count="6">
    <mergeCell ref="A1:F1"/>
    <mergeCell ref="A2:F2"/>
    <mergeCell ref="A10:F10"/>
    <mergeCell ref="A19:F19"/>
    <mergeCell ref="A27:F27"/>
    <mergeCell ref="A4:F4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topLeftCell="A34" zoomScale="132" workbookViewId="0">
      <selection activeCell="A44" sqref="A44:C51"/>
    </sheetView>
  </sheetViews>
  <sheetFormatPr baseColWidth="10" defaultColWidth="17.6640625" defaultRowHeight="15" x14ac:dyDescent="0.2"/>
  <cols>
    <col min="1" max="1" width="22.5" style="1" bestFit="1" customWidth="1"/>
    <col min="2" max="6" width="17.6640625" style="1"/>
    <col min="7" max="7" width="42.6640625" style="1" customWidth="1"/>
    <col min="8" max="16384" width="17.6640625" style="1"/>
  </cols>
  <sheetData>
    <row r="1" spans="1:6" x14ac:dyDescent="0.2">
      <c r="A1" s="207" t="s">
        <v>39</v>
      </c>
      <c r="B1" s="208"/>
      <c r="C1" s="208"/>
      <c r="D1" s="208"/>
      <c r="E1" s="208"/>
      <c r="F1" s="209"/>
    </row>
    <row r="2" spans="1:6" ht="16" thickBot="1" x14ac:dyDescent="0.25">
      <c r="A2" s="210" t="s">
        <v>26</v>
      </c>
      <c r="B2" s="211"/>
      <c r="C2" s="211"/>
      <c r="D2" s="211"/>
      <c r="E2" s="211"/>
      <c r="F2" s="212"/>
    </row>
    <row r="3" spans="1:6" customFormat="1" ht="16" thickBot="1" x14ac:dyDescent="0.25"/>
    <row r="4" spans="1:6" ht="16" thickBot="1" x14ac:dyDescent="0.25">
      <c r="A4" s="216" t="s">
        <v>53</v>
      </c>
      <c r="B4" s="217"/>
      <c r="C4" s="217"/>
      <c r="D4" s="217"/>
      <c r="E4" s="217"/>
      <c r="F4" s="218"/>
    </row>
    <row r="5" spans="1:6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</row>
    <row r="6" spans="1:6" x14ac:dyDescent="0.2">
      <c r="A6" s="37"/>
      <c r="B6" s="38"/>
      <c r="C6" s="38"/>
      <c r="D6" s="38"/>
      <c r="E6" s="38"/>
      <c r="F6" s="39"/>
    </row>
    <row r="7" spans="1:6" x14ac:dyDescent="0.2">
      <c r="A7" s="33"/>
      <c r="B7" s="34"/>
      <c r="C7" s="34" t="s">
        <v>58</v>
      </c>
      <c r="D7" s="34" t="s">
        <v>59</v>
      </c>
      <c r="E7" s="34" t="s">
        <v>60</v>
      </c>
      <c r="F7" s="35" t="s">
        <v>61</v>
      </c>
    </row>
    <row r="8" spans="1:6" ht="16" thickBot="1" x14ac:dyDescent="0.25">
      <c r="A8" s="40" t="s">
        <v>53</v>
      </c>
      <c r="B8" s="41"/>
      <c r="C8" s="42">
        <v>0</v>
      </c>
      <c r="D8" s="43">
        <v>7938864</v>
      </c>
      <c r="E8" s="44">
        <v>1134123</v>
      </c>
      <c r="F8" s="45">
        <f>D8+E8</f>
        <v>9072987</v>
      </c>
    </row>
    <row r="9" spans="1:6" ht="16" thickBot="1" x14ac:dyDescent="0.25"/>
    <row r="10" spans="1:6" ht="16" thickBot="1" x14ac:dyDescent="0.25">
      <c r="A10" s="213" t="s">
        <v>22</v>
      </c>
      <c r="B10" s="214"/>
      <c r="C10" s="214"/>
      <c r="D10" s="214"/>
      <c r="E10" s="214"/>
      <c r="F10" s="215"/>
    </row>
    <row r="11" spans="1:6" s="2" customFormat="1" x14ac:dyDescent="0.2">
      <c r="A11" s="7"/>
      <c r="B11" s="8" t="s">
        <v>31</v>
      </c>
      <c r="C11" s="8" t="s">
        <v>7</v>
      </c>
      <c r="D11" s="8" t="s">
        <v>9</v>
      </c>
      <c r="E11" s="8" t="s">
        <v>8</v>
      </c>
      <c r="F11" s="9" t="s">
        <v>13</v>
      </c>
    </row>
    <row r="12" spans="1:6" x14ac:dyDescent="0.2">
      <c r="A12" s="10"/>
      <c r="B12" s="11"/>
      <c r="C12" s="11"/>
      <c r="D12" s="11"/>
      <c r="E12" s="11"/>
      <c r="F12" s="12"/>
    </row>
    <row r="13" spans="1:6" s="2" customFormat="1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</row>
    <row r="14" spans="1:6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114">
        <v>29536.47</v>
      </c>
      <c r="F14" s="12">
        <f>D14*E14</f>
        <v>67713657.079679996</v>
      </c>
    </row>
    <row r="15" spans="1:6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28">
        <v>2651.2420000000002</v>
      </c>
      <c r="F15" s="12">
        <f t="shared" ref="F15:F16" si="1">D15*E15</f>
        <v>3686159.6171840006</v>
      </c>
    </row>
    <row r="16" spans="1:6" x14ac:dyDescent="0.2">
      <c r="A16" s="10" t="s">
        <v>2</v>
      </c>
      <c r="B16" s="13">
        <f>B40</f>
        <v>5072</v>
      </c>
      <c r="C16" s="15">
        <v>0.45200000000000001</v>
      </c>
      <c r="D16" s="11">
        <f t="shared" si="0"/>
        <v>2292.5439999999999</v>
      </c>
      <c r="E16" s="28">
        <v>2772.8310000000001</v>
      </c>
      <c r="F16" s="12">
        <f t="shared" si="1"/>
        <v>6356837.0720640002</v>
      </c>
    </row>
    <row r="17" spans="1:6" ht="16" thickBot="1" x14ac:dyDescent="0.25">
      <c r="A17" s="16"/>
      <c r="B17" s="17"/>
      <c r="C17" s="18"/>
      <c r="D17" s="18"/>
      <c r="E17" s="19" t="s">
        <v>12</v>
      </c>
      <c r="F17" s="20">
        <f>SUM(F14:F16)</f>
        <v>77756653.768927991</v>
      </c>
    </row>
    <row r="18" spans="1:6" ht="16" thickBot="1" x14ac:dyDescent="0.25">
      <c r="B18" s="6"/>
      <c r="E18" s="3"/>
      <c r="F18" s="4"/>
    </row>
    <row r="19" spans="1:6" ht="16" thickBot="1" x14ac:dyDescent="0.25">
      <c r="A19" s="204" t="s">
        <v>23</v>
      </c>
      <c r="B19" s="205"/>
      <c r="C19" s="205"/>
      <c r="D19" s="205"/>
      <c r="E19" s="205"/>
      <c r="F19" s="206"/>
    </row>
    <row r="20" spans="1:6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</row>
    <row r="21" spans="1:6" s="2" customFormat="1" x14ac:dyDescent="0.2">
      <c r="A21" s="10"/>
      <c r="B21" s="13"/>
      <c r="C21" s="11"/>
      <c r="D21" s="11"/>
      <c r="E21" s="11"/>
      <c r="F21" s="12"/>
    </row>
    <row r="22" spans="1:6" x14ac:dyDescent="0.2">
      <c r="A22" s="7"/>
      <c r="B22" s="25" t="s">
        <v>3</v>
      </c>
      <c r="C22" s="8" t="s">
        <v>4</v>
      </c>
      <c r="D22" s="8" t="s">
        <v>30</v>
      </c>
      <c r="E22" s="8" t="s">
        <v>28</v>
      </c>
      <c r="F22" s="9" t="s">
        <v>11</v>
      </c>
    </row>
    <row r="23" spans="1:6" s="2" customFormat="1" x14ac:dyDescent="0.2">
      <c r="A23" s="10" t="s">
        <v>27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26887</v>
      </c>
      <c r="F23" s="12">
        <f>D23*E23</f>
        <v>34188175.604799993</v>
      </c>
    </row>
    <row r="24" spans="1:6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11620</v>
      </c>
      <c r="F24" s="12">
        <f>D24*E24</f>
        <v>23574656.000000004</v>
      </c>
    </row>
    <row r="25" spans="1:6" ht="16" thickBot="1" x14ac:dyDescent="0.25">
      <c r="A25" s="16"/>
      <c r="B25" s="18"/>
      <c r="C25" s="27"/>
      <c r="D25" s="18"/>
      <c r="E25" s="19" t="s">
        <v>15</v>
      </c>
      <c r="F25" s="20">
        <f>SUM(F23:F24)</f>
        <v>57762831.604800001</v>
      </c>
    </row>
    <row r="26" spans="1:6" ht="16" thickBot="1" x14ac:dyDescent="0.25">
      <c r="C26" s="5"/>
    </row>
    <row r="27" spans="1:6" ht="16" thickBot="1" x14ac:dyDescent="0.25">
      <c r="A27" s="201" t="s">
        <v>24</v>
      </c>
      <c r="B27" s="202"/>
      <c r="C27" s="202"/>
      <c r="D27" s="202"/>
      <c r="E27" s="202"/>
      <c r="F27" s="203"/>
    </row>
    <row r="28" spans="1:6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</row>
    <row r="29" spans="1:6" x14ac:dyDescent="0.2">
      <c r="A29" s="10"/>
      <c r="B29" s="13"/>
      <c r="C29" s="11"/>
      <c r="D29" s="11"/>
      <c r="E29" s="11"/>
      <c r="F29" s="12"/>
    </row>
    <row r="30" spans="1:6" x14ac:dyDescent="0.2">
      <c r="A30" s="7"/>
      <c r="B30" s="25" t="s">
        <v>3</v>
      </c>
      <c r="C30" s="8" t="s">
        <v>4</v>
      </c>
      <c r="D30" s="8" t="s">
        <v>30</v>
      </c>
      <c r="E30" s="8" t="s">
        <v>28</v>
      </c>
      <c r="F30" s="9" t="s">
        <v>11</v>
      </c>
    </row>
    <row r="31" spans="1:6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4701</v>
      </c>
      <c r="F31" s="12">
        <f>D31*E31</f>
        <v>24797210.879999999</v>
      </c>
    </row>
    <row r="32" spans="1:6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1425</v>
      </c>
      <c r="F32" s="12">
        <f>D32*E32</f>
        <v>8687575.1999999993</v>
      </c>
    </row>
    <row r="33" spans="1:7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v>1279</v>
      </c>
      <c r="F33" s="12">
        <f>D33*E33</f>
        <v>1190380.648</v>
      </c>
    </row>
    <row r="34" spans="1:7" ht="16" thickBot="1" x14ac:dyDescent="0.25">
      <c r="A34" s="16"/>
      <c r="B34" s="18"/>
      <c r="C34" s="27"/>
      <c r="D34" s="18"/>
      <c r="E34" s="19" t="s">
        <v>15</v>
      </c>
      <c r="F34" s="20">
        <f>SUM(F31:F33)</f>
        <v>34675166.728</v>
      </c>
    </row>
    <row r="36" spans="1:7" x14ac:dyDescent="0.2">
      <c r="E36" s="3" t="s">
        <v>19</v>
      </c>
      <c r="F36" s="4">
        <f>F8+F17+F25+F34</f>
        <v>179267639.10172796</v>
      </c>
    </row>
    <row r="37" spans="1:7" x14ac:dyDescent="0.2">
      <c r="E37" s="3" t="s">
        <v>20</v>
      </c>
      <c r="F37" s="4">
        <v>195840999</v>
      </c>
      <c r="G37" s="29" t="s">
        <v>50</v>
      </c>
    </row>
    <row r="38" spans="1:7" x14ac:dyDescent="0.2">
      <c r="E38" s="3" t="s">
        <v>21</v>
      </c>
      <c r="F38" s="4">
        <f>F36-F37</f>
        <v>-16573359.898272038</v>
      </c>
      <c r="G38" s="29"/>
    </row>
    <row r="40" spans="1:7" ht="16" thickBot="1" x14ac:dyDescent="0.25">
      <c r="A40" s="20" t="s">
        <v>179</v>
      </c>
      <c r="B40" s="16">
        <v>5072</v>
      </c>
    </row>
    <row r="41" spans="1:7" ht="16" thickBot="1" x14ac:dyDescent="0.25">
      <c r="A41" s="116" t="s">
        <v>180</v>
      </c>
      <c r="B41" s="117">
        <v>3076</v>
      </c>
    </row>
    <row r="42" spans="1:7" x14ac:dyDescent="0.2">
      <c r="A42" s="118" t="s">
        <v>181</v>
      </c>
      <c r="B42" s="119">
        <v>5072</v>
      </c>
    </row>
    <row r="44" spans="1:7" x14ac:dyDescent="0.2">
      <c r="A44"/>
      <c r="B44"/>
      <c r="C44"/>
    </row>
    <row r="45" spans="1:7" ht="16" thickBot="1" x14ac:dyDescent="0.25">
      <c r="A45" s="97" t="s">
        <v>168</v>
      </c>
      <c r="B45" s="104" t="s">
        <v>174</v>
      </c>
      <c r="C45" s="104" t="s">
        <v>175</v>
      </c>
    </row>
    <row r="46" spans="1:7" x14ac:dyDescent="0.2">
      <c r="A46" s="105" t="s">
        <v>177</v>
      </c>
      <c r="B46" s="110" t="s">
        <v>169</v>
      </c>
      <c r="C46" s="107" t="s">
        <v>171</v>
      </c>
    </row>
    <row r="47" spans="1:7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7" x14ac:dyDescent="0.2">
      <c r="A48"/>
      <c r="B48" s="106" t="s">
        <v>170</v>
      </c>
      <c r="C48" s="109" t="s">
        <v>172</v>
      </c>
    </row>
    <row r="49" spans="1:23" ht="16" thickBot="1" x14ac:dyDescent="0.25">
      <c r="A49"/>
      <c r="B49" s="111">
        <v>0.4</v>
      </c>
      <c r="C49" s="108">
        <v>1.202</v>
      </c>
    </row>
    <row r="50" spans="1:23" x14ac:dyDescent="0.2">
      <c r="A50"/>
      <c r="B50" s="61"/>
      <c r="C50" s="109" t="s">
        <v>173</v>
      </c>
    </row>
    <row r="51" spans="1:23" ht="16" thickBot="1" x14ac:dyDescent="0.25">
      <c r="A51"/>
      <c r="B51" s="61"/>
      <c r="C51" s="108">
        <v>0.1835</v>
      </c>
    </row>
    <row r="52" spans="1:23" x14ac:dyDescent="0.2">
      <c r="G52" s="1">
        <f t="shared" ref="G52:W52" si="2">SUM(G13:G51)</f>
        <v>0</v>
      </c>
      <c r="H52" s="1">
        <f t="shared" si="2"/>
        <v>0</v>
      </c>
      <c r="I52" s="1">
        <f t="shared" si="2"/>
        <v>0</v>
      </c>
      <c r="J52" s="1">
        <f t="shared" si="2"/>
        <v>0</v>
      </c>
      <c r="K52" s="1">
        <f t="shared" si="2"/>
        <v>0</v>
      </c>
      <c r="L52" s="1">
        <f t="shared" si="2"/>
        <v>0</v>
      </c>
      <c r="M52" s="1">
        <f t="shared" si="2"/>
        <v>0</v>
      </c>
      <c r="N52" s="1">
        <f t="shared" si="2"/>
        <v>0</v>
      </c>
      <c r="O52" s="1">
        <f t="shared" si="2"/>
        <v>0</v>
      </c>
      <c r="P52" s="1">
        <f t="shared" si="2"/>
        <v>0</v>
      </c>
      <c r="Q52" s="1">
        <f t="shared" si="2"/>
        <v>0</v>
      </c>
      <c r="R52" s="1">
        <f t="shared" si="2"/>
        <v>0</v>
      </c>
      <c r="S52" s="1">
        <f t="shared" si="2"/>
        <v>0</v>
      </c>
      <c r="T52" s="1">
        <f t="shared" si="2"/>
        <v>0</v>
      </c>
      <c r="U52" s="1">
        <f t="shared" si="2"/>
        <v>0</v>
      </c>
      <c r="V52" s="1">
        <f t="shared" si="2"/>
        <v>0</v>
      </c>
      <c r="W52" s="1">
        <f t="shared" si="2"/>
        <v>0</v>
      </c>
    </row>
  </sheetData>
  <mergeCells count="6">
    <mergeCell ref="A1:F1"/>
    <mergeCell ref="A2:F2"/>
    <mergeCell ref="A10:F10"/>
    <mergeCell ref="A19:F19"/>
    <mergeCell ref="A27:F27"/>
    <mergeCell ref="A4:F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opLeftCell="A34" zoomScale="125" workbookViewId="0">
      <selection activeCell="A44" sqref="A44:C51"/>
    </sheetView>
  </sheetViews>
  <sheetFormatPr baseColWidth="10" defaultColWidth="11.5" defaultRowHeight="15" x14ac:dyDescent="0.2"/>
  <cols>
    <col min="1" max="1" width="21.6640625" customWidth="1"/>
    <col min="2" max="2" width="14" customWidth="1"/>
    <col min="3" max="3" width="14.6640625" customWidth="1"/>
    <col min="4" max="4" width="15" customWidth="1"/>
    <col min="5" max="5" width="16" customWidth="1"/>
    <col min="6" max="6" width="23.83203125" customWidth="1"/>
    <col min="7" max="7" width="42.33203125" customWidth="1"/>
  </cols>
  <sheetData>
    <row r="1" spans="1:8" x14ac:dyDescent="0.2">
      <c r="A1" s="207" t="s">
        <v>52</v>
      </c>
      <c r="B1" s="208"/>
      <c r="C1" s="208"/>
      <c r="D1" s="208"/>
      <c r="E1" s="208"/>
      <c r="F1" s="209"/>
      <c r="G1" s="1"/>
      <c r="H1" s="1"/>
    </row>
    <row r="2" spans="1:8" ht="16" thickBot="1" x14ac:dyDescent="0.25">
      <c r="A2" s="210" t="s">
        <v>26</v>
      </c>
      <c r="B2" s="211"/>
      <c r="C2" s="211"/>
      <c r="D2" s="211"/>
      <c r="E2" s="211"/>
      <c r="F2" s="212"/>
      <c r="G2" s="1"/>
      <c r="H2" s="1"/>
    </row>
    <row r="3" spans="1:8" ht="16" thickBot="1" x14ac:dyDescent="0.25"/>
    <row r="4" spans="1:8" ht="16" thickBot="1" x14ac:dyDescent="0.25">
      <c r="A4" s="216" t="s">
        <v>53</v>
      </c>
      <c r="B4" s="217"/>
      <c r="C4" s="217"/>
      <c r="D4" s="217"/>
      <c r="E4" s="217"/>
      <c r="F4" s="218"/>
      <c r="G4" s="1"/>
      <c r="H4" s="1"/>
    </row>
    <row r="5" spans="1:8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  <c r="G5" s="1"/>
      <c r="H5" s="1"/>
    </row>
    <row r="6" spans="1:8" x14ac:dyDescent="0.2">
      <c r="A6" s="37"/>
      <c r="B6" s="38"/>
      <c r="C6" s="38"/>
      <c r="D6" s="38"/>
      <c r="E6" s="38"/>
      <c r="F6" s="39"/>
      <c r="G6" s="1"/>
      <c r="H6" s="1"/>
    </row>
    <row r="7" spans="1:8" x14ac:dyDescent="0.2">
      <c r="A7" s="33"/>
      <c r="B7" s="34"/>
      <c r="C7" s="34" t="s">
        <v>58</v>
      </c>
      <c r="D7" s="34" t="s">
        <v>59</v>
      </c>
      <c r="E7" s="34" t="s">
        <v>60</v>
      </c>
      <c r="F7" s="35" t="s">
        <v>61</v>
      </c>
      <c r="G7" s="1"/>
      <c r="H7" s="1"/>
    </row>
    <row r="8" spans="1:8" ht="16" thickBot="1" x14ac:dyDescent="0.25">
      <c r="A8" s="40" t="s">
        <v>53</v>
      </c>
      <c r="B8" s="41"/>
      <c r="C8" s="42">
        <v>0</v>
      </c>
      <c r="D8" s="43">
        <v>11341234</v>
      </c>
      <c r="E8" s="44">
        <v>5670615</v>
      </c>
      <c r="F8" s="45">
        <f>D8+E8</f>
        <v>17011849</v>
      </c>
      <c r="G8" s="1"/>
      <c r="H8" s="1"/>
    </row>
    <row r="9" spans="1:8" ht="16" thickBot="1" x14ac:dyDescent="0.25">
      <c r="A9" s="1"/>
      <c r="B9" s="1"/>
      <c r="C9" s="1"/>
      <c r="D9" s="1"/>
      <c r="E9" s="1"/>
      <c r="F9" s="1"/>
      <c r="G9" s="1"/>
      <c r="H9" s="1"/>
    </row>
    <row r="10" spans="1:8" ht="16" thickBot="1" x14ac:dyDescent="0.25">
      <c r="A10" s="213" t="s">
        <v>22</v>
      </c>
      <c r="B10" s="214"/>
      <c r="C10" s="214"/>
      <c r="D10" s="214"/>
      <c r="E10" s="214"/>
      <c r="F10" s="215"/>
      <c r="G10" s="1"/>
      <c r="H10" s="1"/>
    </row>
    <row r="11" spans="1:8" x14ac:dyDescent="0.2">
      <c r="A11" s="7"/>
      <c r="B11" s="8" t="s">
        <v>31</v>
      </c>
      <c r="C11" s="8" t="s">
        <v>7</v>
      </c>
      <c r="D11" s="8" t="s">
        <v>9</v>
      </c>
      <c r="E11" s="8" t="s">
        <v>8</v>
      </c>
      <c r="F11" s="9" t="s">
        <v>13</v>
      </c>
      <c r="G11" s="2"/>
      <c r="H11" s="2"/>
    </row>
    <row r="12" spans="1:8" x14ac:dyDescent="0.2">
      <c r="A12" s="10"/>
      <c r="B12" s="11"/>
      <c r="C12" s="11"/>
      <c r="D12" s="11"/>
      <c r="E12" s="11"/>
      <c r="F12" s="12"/>
      <c r="G12" s="1"/>
      <c r="H12" s="1"/>
    </row>
    <row r="13" spans="1:8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  <c r="G13" s="2"/>
      <c r="H13" s="2"/>
    </row>
    <row r="14" spans="1:8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28">
        <v>35843.061000000002</v>
      </c>
      <c r="F14" s="12">
        <f>D14*E14</f>
        <v>82171794.437184006</v>
      </c>
      <c r="G14" s="29" t="s">
        <v>50</v>
      </c>
      <c r="H14" s="1"/>
    </row>
    <row r="15" spans="1:8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28">
        <v>2097</v>
      </c>
      <c r="F15" s="12">
        <f t="shared" ref="F15:F16" si="1">D15*E15</f>
        <v>2915568.1440000003</v>
      </c>
      <c r="G15" s="1"/>
      <c r="H15" s="1"/>
    </row>
    <row r="16" spans="1:8" x14ac:dyDescent="0.2">
      <c r="A16" s="10" t="s">
        <v>2</v>
      </c>
      <c r="B16" s="13">
        <f>B40</f>
        <v>5072</v>
      </c>
      <c r="C16" s="15">
        <v>0.45200000000000001</v>
      </c>
      <c r="D16" s="11">
        <f t="shared" si="0"/>
        <v>2292.5439999999999</v>
      </c>
      <c r="E16" s="28">
        <v>6458.5910000000003</v>
      </c>
      <c r="F16" s="12">
        <f t="shared" si="1"/>
        <v>14806604.045504</v>
      </c>
      <c r="G16" s="1"/>
      <c r="H16" s="1"/>
    </row>
    <row r="17" spans="1:8" ht="16" thickBot="1" x14ac:dyDescent="0.25">
      <c r="A17" s="16"/>
      <c r="B17" s="17"/>
      <c r="C17" s="18"/>
      <c r="D17" s="18"/>
      <c r="E17" s="19" t="s">
        <v>12</v>
      </c>
      <c r="F17" s="20">
        <f>SUM(F14:F16)</f>
        <v>99893966.626688004</v>
      </c>
      <c r="G17" s="1"/>
      <c r="H17" s="1"/>
    </row>
    <row r="18" spans="1:8" ht="16" thickBot="1" x14ac:dyDescent="0.25">
      <c r="A18" s="1"/>
      <c r="B18" s="6"/>
      <c r="C18" s="1"/>
      <c r="D18" s="1"/>
      <c r="E18" s="3"/>
      <c r="F18" s="4"/>
      <c r="G18" s="1"/>
      <c r="H18" s="1"/>
    </row>
    <row r="19" spans="1:8" ht="16" thickBot="1" x14ac:dyDescent="0.25">
      <c r="A19" s="204" t="s">
        <v>23</v>
      </c>
      <c r="B19" s="205"/>
      <c r="C19" s="205"/>
      <c r="D19" s="205"/>
      <c r="E19" s="205"/>
      <c r="F19" s="206"/>
      <c r="G19" s="1"/>
      <c r="H19" s="1"/>
    </row>
    <row r="20" spans="1:8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  <c r="G20" s="1"/>
      <c r="H20" s="1"/>
    </row>
    <row r="21" spans="1:8" x14ac:dyDescent="0.2">
      <c r="A21" s="10"/>
      <c r="B21" s="13"/>
      <c r="C21" s="11"/>
      <c r="D21" s="11"/>
      <c r="E21" s="11"/>
      <c r="F21" s="12"/>
      <c r="G21" s="2"/>
      <c r="H21" s="2"/>
    </row>
    <row r="22" spans="1:8" x14ac:dyDescent="0.2">
      <c r="A22" s="7"/>
      <c r="B22" s="25" t="s">
        <v>3</v>
      </c>
      <c r="C22" s="8" t="s">
        <v>4</v>
      </c>
      <c r="D22" s="8" t="s">
        <v>30</v>
      </c>
      <c r="E22" s="8" t="s">
        <v>28</v>
      </c>
      <c r="F22" s="9" t="s">
        <v>11</v>
      </c>
      <c r="G22" s="1"/>
      <c r="H22" s="1"/>
    </row>
    <row r="23" spans="1:8" x14ac:dyDescent="0.2">
      <c r="A23" s="10" t="s">
        <v>27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34335</v>
      </c>
      <c r="F23" s="12">
        <f>D23*E23</f>
        <v>43658682.983999997</v>
      </c>
      <c r="G23" s="2"/>
      <c r="H23" s="2"/>
    </row>
    <row r="24" spans="1:8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14142</v>
      </c>
      <c r="F24" s="12">
        <f>D24*E24</f>
        <v>28691289.600000001</v>
      </c>
      <c r="G24" s="1"/>
      <c r="H24" s="1"/>
    </row>
    <row r="25" spans="1:8" ht="16" thickBot="1" x14ac:dyDescent="0.25">
      <c r="A25" s="16"/>
      <c r="B25" s="18"/>
      <c r="C25" s="27"/>
      <c r="D25" s="18"/>
      <c r="E25" s="19" t="s">
        <v>15</v>
      </c>
      <c r="F25" s="20">
        <f>SUM(F23:F24)</f>
        <v>72349972.583999991</v>
      </c>
      <c r="G25" s="1"/>
      <c r="H25" s="1"/>
    </row>
    <row r="26" spans="1:8" ht="16" thickBot="1" x14ac:dyDescent="0.25">
      <c r="A26" s="1"/>
      <c r="B26" s="1"/>
      <c r="C26" s="5"/>
      <c r="D26" s="1"/>
      <c r="E26" s="1"/>
      <c r="F26" s="1"/>
      <c r="G26" s="1"/>
      <c r="H26" s="1"/>
    </row>
    <row r="27" spans="1:8" ht="16" thickBot="1" x14ac:dyDescent="0.25">
      <c r="A27" s="201" t="s">
        <v>24</v>
      </c>
      <c r="B27" s="202"/>
      <c r="C27" s="202"/>
      <c r="D27" s="202"/>
      <c r="E27" s="202"/>
      <c r="F27" s="203"/>
      <c r="G27" s="1"/>
      <c r="H27" s="1"/>
    </row>
    <row r="28" spans="1:8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  <c r="G28" s="1"/>
      <c r="H28" s="1"/>
    </row>
    <row r="29" spans="1:8" x14ac:dyDescent="0.2">
      <c r="A29" s="10"/>
      <c r="B29" s="13"/>
      <c r="C29" s="11"/>
      <c r="D29" s="11"/>
      <c r="E29" s="11"/>
      <c r="F29" s="12"/>
      <c r="G29" s="1"/>
      <c r="H29" s="1"/>
    </row>
    <row r="30" spans="1:8" x14ac:dyDescent="0.2">
      <c r="A30" s="7"/>
      <c r="B30" s="25" t="s">
        <v>3</v>
      </c>
      <c r="C30" s="8" t="s">
        <v>4</v>
      </c>
      <c r="D30" s="8" t="s">
        <v>30</v>
      </c>
      <c r="E30" s="8" t="s">
        <v>28</v>
      </c>
      <c r="F30" s="9" t="s">
        <v>11</v>
      </c>
      <c r="G30" s="1"/>
      <c r="H30" s="1"/>
    </row>
    <row r="31" spans="1:8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14026</v>
      </c>
      <c r="F31" s="12">
        <f>D31*E31</f>
        <v>73985466.879999995</v>
      </c>
      <c r="G31" s="1"/>
      <c r="H31" s="1"/>
    </row>
    <row r="32" spans="1:8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1745</v>
      </c>
      <c r="F32" s="12">
        <f>D32*E32</f>
        <v>10638469.279999999</v>
      </c>
      <c r="G32" s="1"/>
      <c r="H32" s="1"/>
    </row>
    <row r="33" spans="1:8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v>1304</v>
      </c>
      <c r="F33" s="12">
        <f>D33*E33</f>
        <v>1213648.4480000001</v>
      </c>
      <c r="G33" s="1"/>
      <c r="H33" s="1"/>
    </row>
    <row r="34" spans="1:8" ht="16" thickBot="1" x14ac:dyDescent="0.25">
      <c r="A34" s="16"/>
      <c r="B34" s="18"/>
      <c r="C34" s="27"/>
      <c r="D34" s="18"/>
      <c r="E34" s="19" t="s">
        <v>15</v>
      </c>
      <c r="F34" s="20">
        <f>SUM(F31:F33)</f>
        <v>85837584.607999995</v>
      </c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  <row r="36" spans="1:8" x14ac:dyDescent="0.2">
      <c r="A36" s="1"/>
      <c r="B36" s="1"/>
      <c r="C36" s="1"/>
      <c r="D36" s="1"/>
      <c r="E36" s="3" t="s">
        <v>19</v>
      </c>
      <c r="F36" s="4">
        <f>F8+F17+F25+F34</f>
        <v>275093372.81868798</v>
      </c>
      <c r="G36" s="1"/>
      <c r="H36" s="1"/>
    </row>
    <row r="37" spans="1:8" x14ac:dyDescent="0.2">
      <c r="A37" s="1"/>
      <c r="B37" s="1"/>
      <c r="C37" s="1"/>
      <c r="D37" s="1"/>
      <c r="E37" s="3" t="s">
        <v>20</v>
      </c>
      <c r="F37" s="4">
        <v>249483438</v>
      </c>
      <c r="G37" s="29" t="s">
        <v>50</v>
      </c>
      <c r="H37" s="1"/>
    </row>
    <row r="38" spans="1:8" x14ac:dyDescent="0.2">
      <c r="A38" s="1"/>
      <c r="B38" s="1"/>
      <c r="C38" s="1"/>
      <c r="D38" s="1"/>
      <c r="E38" s="3" t="s">
        <v>21</v>
      </c>
      <c r="F38" s="4">
        <f>F36-F37</f>
        <v>25609934.818687975</v>
      </c>
      <c r="G38" s="29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ht="16" thickBot="1" x14ac:dyDescent="0.25">
      <c r="A40" s="20" t="s">
        <v>179</v>
      </c>
      <c r="B40" s="16">
        <v>5072</v>
      </c>
      <c r="C40" s="1"/>
      <c r="D40" s="1"/>
      <c r="E40" s="1"/>
      <c r="F40" s="1"/>
      <c r="G40" s="1"/>
      <c r="H40" s="1"/>
    </row>
    <row r="41" spans="1:8" ht="16" thickBot="1" x14ac:dyDescent="0.25">
      <c r="A41" s="116" t="s">
        <v>180</v>
      </c>
      <c r="B41" s="117">
        <v>3076</v>
      </c>
      <c r="C41" s="1"/>
      <c r="D41" s="1"/>
      <c r="E41" s="1"/>
      <c r="F41" s="1"/>
      <c r="G41" s="1"/>
      <c r="H41" s="1"/>
    </row>
    <row r="42" spans="1:8" x14ac:dyDescent="0.2">
      <c r="A42" s="118" t="s">
        <v>181</v>
      </c>
      <c r="B42" s="119">
        <v>5072</v>
      </c>
      <c r="C42" s="1"/>
      <c r="D42" s="1"/>
      <c r="E42" s="1"/>
      <c r="F42" s="1"/>
      <c r="G42" s="1"/>
      <c r="H42" s="1"/>
    </row>
    <row r="43" spans="1:8" x14ac:dyDescent="0.2">
      <c r="A43" s="1"/>
      <c r="B43" s="1"/>
      <c r="G43" s="1"/>
      <c r="H43" s="1"/>
    </row>
    <row r="45" spans="1:8" ht="16" thickBot="1" x14ac:dyDescent="0.25">
      <c r="A45" s="97" t="s">
        <v>168</v>
      </c>
      <c r="B45" s="104" t="s">
        <v>174</v>
      </c>
      <c r="C45" s="104" t="s">
        <v>175</v>
      </c>
    </row>
    <row r="46" spans="1:8" x14ac:dyDescent="0.2">
      <c r="A46" s="105" t="s">
        <v>177</v>
      </c>
      <c r="B46" s="110" t="s">
        <v>169</v>
      </c>
      <c r="C46" s="107" t="s">
        <v>171</v>
      </c>
    </row>
    <row r="47" spans="1:8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8" x14ac:dyDescent="0.2">
      <c r="B48" s="106" t="s">
        <v>170</v>
      </c>
      <c r="C48" s="109" t="s">
        <v>172</v>
      </c>
    </row>
    <row r="49" spans="2:3" ht="16" thickBot="1" x14ac:dyDescent="0.25">
      <c r="B49" s="111">
        <v>0.4</v>
      </c>
      <c r="C49" s="108">
        <v>1.202</v>
      </c>
    </row>
    <row r="50" spans="2:3" x14ac:dyDescent="0.2">
      <c r="B50" s="61"/>
      <c r="C50" s="109" t="s">
        <v>173</v>
      </c>
    </row>
    <row r="51" spans="2:3" ht="16" thickBot="1" x14ac:dyDescent="0.25">
      <c r="B51" s="61"/>
      <c r="C51" s="108">
        <v>0.1835</v>
      </c>
    </row>
  </sheetData>
  <mergeCells count="6">
    <mergeCell ref="A1:F1"/>
    <mergeCell ref="A2:F2"/>
    <mergeCell ref="A10:F10"/>
    <mergeCell ref="A19:F19"/>
    <mergeCell ref="A27:F27"/>
    <mergeCell ref="A4:F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topLeftCell="A30" workbookViewId="0">
      <selection activeCell="A44" sqref="A44:C51"/>
    </sheetView>
  </sheetViews>
  <sheetFormatPr baseColWidth="10" defaultColWidth="17.6640625" defaultRowHeight="15" x14ac:dyDescent="0.2"/>
  <cols>
    <col min="1" max="1" width="22.5" style="1" bestFit="1" customWidth="1"/>
    <col min="2" max="6" width="17.6640625" style="1"/>
    <col min="7" max="7" width="41.33203125" style="1" customWidth="1"/>
    <col min="8" max="16384" width="17.6640625" style="1"/>
  </cols>
  <sheetData>
    <row r="1" spans="1:7" x14ac:dyDescent="0.2">
      <c r="A1" s="207" t="s">
        <v>35</v>
      </c>
      <c r="B1" s="208"/>
      <c r="C1" s="208"/>
      <c r="D1" s="208"/>
      <c r="E1" s="208"/>
      <c r="F1" s="209"/>
      <c r="G1" s="46"/>
    </row>
    <row r="2" spans="1:7" ht="16" thickBot="1" x14ac:dyDescent="0.25">
      <c r="A2" s="210" t="s">
        <v>26</v>
      </c>
      <c r="B2" s="211"/>
      <c r="C2" s="211"/>
      <c r="D2" s="211"/>
      <c r="E2" s="211"/>
      <c r="F2" s="212"/>
      <c r="G2" s="46"/>
    </row>
    <row r="3" spans="1:7" ht="16" thickBot="1" x14ac:dyDescent="0.25">
      <c r="A3"/>
      <c r="B3"/>
      <c r="C3"/>
      <c r="D3"/>
      <c r="E3"/>
      <c r="F3"/>
      <c r="G3" s="46"/>
    </row>
    <row r="4" spans="1:7" ht="16" thickBot="1" x14ac:dyDescent="0.25">
      <c r="A4" s="219" t="s">
        <v>25</v>
      </c>
      <c r="B4" s="220"/>
      <c r="C4" s="220"/>
      <c r="D4" s="220"/>
      <c r="E4" s="220"/>
      <c r="F4" s="221"/>
      <c r="G4" s="46"/>
    </row>
    <row r="5" spans="1:7" s="2" customFormat="1" x14ac:dyDescent="0.2">
      <c r="A5" s="7"/>
      <c r="B5" s="8" t="s">
        <v>31</v>
      </c>
      <c r="C5" s="8" t="s">
        <v>7</v>
      </c>
      <c r="D5" s="8" t="s">
        <v>62</v>
      </c>
      <c r="E5" s="8" t="s">
        <v>8</v>
      </c>
      <c r="F5" s="35" t="s">
        <v>162</v>
      </c>
      <c r="G5" s="46"/>
    </row>
    <row r="6" spans="1:7" x14ac:dyDescent="0.2">
      <c r="A6" s="10"/>
      <c r="B6" s="11"/>
      <c r="C6" s="11"/>
      <c r="D6" s="11"/>
      <c r="E6" s="11"/>
      <c r="F6" s="12"/>
      <c r="G6" s="46"/>
    </row>
    <row r="7" spans="1:7" s="2" customFormat="1" x14ac:dyDescent="0.2">
      <c r="A7" s="7"/>
      <c r="B7" s="8"/>
      <c r="C7" s="8" t="s">
        <v>4</v>
      </c>
      <c r="D7" s="8" t="s">
        <v>63</v>
      </c>
      <c r="E7" s="8" t="s">
        <v>64</v>
      </c>
      <c r="F7" s="9" t="s">
        <v>11</v>
      </c>
      <c r="G7" s="47"/>
    </row>
    <row r="8" spans="1:7" ht="16" thickBot="1" x14ac:dyDescent="0.25">
      <c r="A8" s="16" t="s">
        <v>25</v>
      </c>
      <c r="B8" s="17"/>
      <c r="C8" s="48">
        <v>0</v>
      </c>
      <c r="D8" s="18">
        <v>10207110</v>
      </c>
      <c r="E8" s="49"/>
      <c r="F8" s="50">
        <f>D8+E8</f>
        <v>10207110</v>
      </c>
      <c r="G8" s="51"/>
    </row>
    <row r="9" spans="1:7" ht="16" thickBot="1" x14ac:dyDescent="0.25">
      <c r="A9"/>
      <c r="B9"/>
      <c r="C9"/>
      <c r="D9"/>
      <c r="E9"/>
      <c r="F9"/>
      <c r="G9" s="51"/>
    </row>
    <row r="10" spans="1:7" ht="16" thickBot="1" x14ac:dyDescent="0.25">
      <c r="A10" s="213" t="s">
        <v>22</v>
      </c>
      <c r="B10" s="214"/>
      <c r="C10" s="214"/>
      <c r="D10" s="214"/>
      <c r="E10" s="214"/>
      <c r="F10" s="215"/>
      <c r="G10" s="46"/>
    </row>
    <row r="11" spans="1:7" x14ac:dyDescent="0.2">
      <c r="A11" s="7"/>
      <c r="B11" s="8" t="s">
        <v>31</v>
      </c>
      <c r="C11" s="8" t="s">
        <v>7</v>
      </c>
      <c r="D11" s="8" t="s">
        <v>9</v>
      </c>
      <c r="E11" s="8" t="s">
        <v>8</v>
      </c>
      <c r="F11" s="9" t="s">
        <v>13</v>
      </c>
      <c r="G11" s="46"/>
    </row>
    <row r="12" spans="1:7" x14ac:dyDescent="0.2">
      <c r="A12" s="10"/>
      <c r="B12" s="11"/>
      <c r="C12" s="11"/>
      <c r="D12" s="11"/>
      <c r="E12" s="11"/>
      <c r="F12" s="12"/>
      <c r="G12" s="46"/>
    </row>
    <row r="13" spans="1:7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  <c r="G13" s="46"/>
    </row>
    <row r="14" spans="1:7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114">
        <v>16470.169999999998</v>
      </c>
      <c r="F14" s="12">
        <f>D14*E14</f>
        <v>37758589.412479997</v>
      </c>
      <c r="G14" s="46"/>
    </row>
    <row r="15" spans="1:7" s="2" customFormat="1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28">
        <v>57.451999999999998</v>
      </c>
      <c r="F15" s="12">
        <f t="shared" ref="F15:F16" si="1">D15*E15</f>
        <v>79878.503104000003</v>
      </c>
      <c r="G15" s="47"/>
    </row>
    <row r="16" spans="1:7" x14ac:dyDescent="0.2">
      <c r="A16" s="10" t="s">
        <v>2</v>
      </c>
      <c r="B16" s="13">
        <f>B40</f>
        <v>5072</v>
      </c>
      <c r="C16" s="15">
        <v>0.45200000000000001</v>
      </c>
      <c r="D16" s="11">
        <f t="shared" si="0"/>
        <v>2292.5439999999999</v>
      </c>
      <c r="E16" s="28">
        <v>0</v>
      </c>
      <c r="F16" s="12">
        <f t="shared" si="1"/>
        <v>0</v>
      </c>
      <c r="G16" s="46"/>
    </row>
    <row r="17" spans="1:7" s="2" customFormat="1" ht="16" thickBot="1" x14ac:dyDescent="0.25">
      <c r="A17" s="16"/>
      <c r="B17" s="17"/>
      <c r="C17" s="18"/>
      <c r="D17" s="18"/>
      <c r="E17" s="19" t="s">
        <v>12</v>
      </c>
      <c r="F17" s="20">
        <f>SUM(F14:F16)</f>
        <v>37838467.915583998</v>
      </c>
      <c r="G17" s="47"/>
    </row>
    <row r="18" spans="1:7" ht="16" thickBot="1" x14ac:dyDescent="0.25">
      <c r="B18" s="6"/>
      <c r="E18" s="3"/>
      <c r="F18" s="4"/>
      <c r="G18" s="46"/>
    </row>
    <row r="19" spans="1:7" ht="16" thickBot="1" x14ac:dyDescent="0.25">
      <c r="A19" s="204" t="s">
        <v>23</v>
      </c>
      <c r="B19" s="205"/>
      <c r="C19" s="205"/>
      <c r="D19" s="205"/>
      <c r="E19" s="205"/>
      <c r="F19" s="206"/>
      <c r="G19" s="46"/>
    </row>
    <row r="20" spans="1:7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  <c r="G20" s="46"/>
    </row>
    <row r="21" spans="1:7" x14ac:dyDescent="0.2">
      <c r="A21" s="10"/>
      <c r="B21" s="13"/>
      <c r="C21" s="11"/>
      <c r="D21" s="11"/>
      <c r="E21" s="11"/>
      <c r="F21" s="12"/>
      <c r="G21" s="46"/>
    </row>
    <row r="22" spans="1:7" x14ac:dyDescent="0.2">
      <c r="A22" s="7"/>
      <c r="B22" s="25" t="s">
        <v>3</v>
      </c>
      <c r="C22" s="8" t="s">
        <v>4</v>
      </c>
      <c r="D22" s="8" t="s">
        <v>30</v>
      </c>
      <c r="E22" s="8" t="s">
        <v>28</v>
      </c>
      <c r="F22" s="9" t="s">
        <v>11</v>
      </c>
      <c r="G22" s="46"/>
    </row>
    <row r="23" spans="1:7" x14ac:dyDescent="0.2">
      <c r="A23" s="10" t="s">
        <v>27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12225</v>
      </c>
      <c r="F23" s="12">
        <f>D23*E23</f>
        <v>15544703.639999999</v>
      </c>
      <c r="G23" s="46"/>
    </row>
    <row r="24" spans="1:7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3885</v>
      </c>
      <c r="F24" s="12">
        <f>D24*E24</f>
        <v>7881888.0000000009</v>
      </c>
      <c r="G24" s="46"/>
    </row>
    <row r="25" spans="1:7" ht="16" thickBot="1" x14ac:dyDescent="0.25">
      <c r="A25" s="16"/>
      <c r="B25" s="18"/>
      <c r="C25" s="27"/>
      <c r="D25" s="18"/>
      <c r="E25" s="19" t="s">
        <v>15</v>
      </c>
      <c r="F25" s="20">
        <f>SUM(F23:F24)</f>
        <v>23426591.640000001</v>
      </c>
      <c r="G25" s="46"/>
    </row>
    <row r="26" spans="1:7" ht="16" thickBot="1" x14ac:dyDescent="0.25">
      <c r="C26" s="5"/>
      <c r="G26" s="46"/>
    </row>
    <row r="27" spans="1:7" ht="16" thickBot="1" x14ac:dyDescent="0.25">
      <c r="A27" s="201" t="s">
        <v>24</v>
      </c>
      <c r="B27" s="202"/>
      <c r="C27" s="202"/>
      <c r="D27" s="202"/>
      <c r="E27" s="202"/>
      <c r="F27" s="203"/>
      <c r="G27" s="46"/>
    </row>
    <row r="28" spans="1:7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  <c r="G28" s="46"/>
    </row>
    <row r="29" spans="1:7" x14ac:dyDescent="0.2">
      <c r="A29" s="10"/>
      <c r="B29" s="13"/>
      <c r="C29" s="11"/>
      <c r="D29" s="11"/>
      <c r="E29" s="11"/>
      <c r="F29" s="12"/>
      <c r="G29" s="46"/>
    </row>
    <row r="30" spans="1:7" x14ac:dyDescent="0.2">
      <c r="A30" s="7"/>
      <c r="B30" s="25" t="s">
        <v>3</v>
      </c>
      <c r="C30" s="8" t="s">
        <v>4</v>
      </c>
      <c r="D30" s="8" t="s">
        <v>30</v>
      </c>
      <c r="E30" s="8" t="s">
        <v>28</v>
      </c>
      <c r="F30" s="9" t="s">
        <v>11</v>
      </c>
      <c r="G30" s="46"/>
    </row>
    <row r="31" spans="1:7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3601</v>
      </c>
      <c r="F31" s="12">
        <f>D31*E31</f>
        <v>18994842.879999999</v>
      </c>
      <c r="G31" s="46"/>
    </row>
    <row r="32" spans="1:7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1230</v>
      </c>
      <c r="F32" s="12">
        <f>D32*E32</f>
        <v>7498749.1200000001</v>
      </c>
    </row>
    <row r="33" spans="1:23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v>925</v>
      </c>
      <c r="F33" s="12">
        <f>D33*E33</f>
        <v>860908.6</v>
      </c>
      <c r="G33" s="46"/>
    </row>
    <row r="34" spans="1:23" ht="16" thickBot="1" x14ac:dyDescent="0.25">
      <c r="A34" s="16"/>
      <c r="B34" s="18"/>
      <c r="C34" s="27"/>
      <c r="D34" s="18"/>
      <c r="E34" s="19" t="s">
        <v>15</v>
      </c>
      <c r="F34" s="20">
        <f>SUM(F31:F33)</f>
        <v>27354500.600000001</v>
      </c>
      <c r="G34" s="46"/>
    </row>
    <row r="35" spans="1:23" x14ac:dyDescent="0.2">
      <c r="G35" s="46"/>
    </row>
    <row r="36" spans="1:23" x14ac:dyDescent="0.2">
      <c r="E36" s="3" t="s">
        <v>19</v>
      </c>
      <c r="F36" s="4">
        <f>F8+F17+F25+F34</f>
        <v>98826670.155584008</v>
      </c>
      <c r="G36" s="46"/>
    </row>
    <row r="37" spans="1:23" x14ac:dyDescent="0.2">
      <c r="E37" s="3" t="s">
        <v>20</v>
      </c>
      <c r="F37" s="4">
        <v>110097720</v>
      </c>
      <c r="G37" s="51" t="s">
        <v>50</v>
      </c>
    </row>
    <row r="38" spans="1:23" x14ac:dyDescent="0.2">
      <c r="E38" s="3" t="s">
        <v>21</v>
      </c>
      <c r="F38" s="4">
        <f>F36-F37</f>
        <v>-11271049.844415992</v>
      </c>
      <c r="G38" s="52"/>
    </row>
    <row r="39" spans="1:23" x14ac:dyDescent="0.2">
      <c r="G39" s="52"/>
    </row>
    <row r="40" spans="1:23" ht="16" thickBot="1" x14ac:dyDescent="0.25">
      <c r="A40" s="20" t="s">
        <v>179</v>
      </c>
      <c r="B40" s="16">
        <v>5072</v>
      </c>
    </row>
    <row r="41" spans="1:23" ht="16" thickBot="1" x14ac:dyDescent="0.25">
      <c r="A41" s="116" t="s">
        <v>180</v>
      </c>
      <c r="B41" s="117">
        <v>3076</v>
      </c>
    </row>
    <row r="42" spans="1:23" x14ac:dyDescent="0.2">
      <c r="A42" s="118" t="s">
        <v>181</v>
      </c>
      <c r="B42" s="119">
        <v>5072</v>
      </c>
    </row>
    <row r="44" spans="1:23" x14ac:dyDescent="0.2">
      <c r="A44"/>
      <c r="B44"/>
      <c r="C44"/>
    </row>
    <row r="45" spans="1:23" ht="16" thickBot="1" x14ac:dyDescent="0.25">
      <c r="A45" s="97" t="s">
        <v>168</v>
      </c>
      <c r="B45" s="104" t="s">
        <v>174</v>
      </c>
      <c r="C45" s="104" t="s">
        <v>175</v>
      </c>
    </row>
    <row r="46" spans="1:23" x14ac:dyDescent="0.2">
      <c r="A46" s="105" t="s">
        <v>177</v>
      </c>
      <c r="B46" s="110" t="s">
        <v>169</v>
      </c>
      <c r="C46" s="107" t="s">
        <v>171</v>
      </c>
      <c r="J46" s="1">
        <f t="shared" ref="J46:W46" si="2">SUM(J7:J45)</f>
        <v>0</v>
      </c>
      <c r="K46" s="1">
        <f t="shared" si="2"/>
        <v>0</v>
      </c>
      <c r="L46" s="1">
        <f t="shared" si="2"/>
        <v>0</v>
      </c>
      <c r="M46" s="1">
        <f t="shared" si="2"/>
        <v>0</v>
      </c>
      <c r="N46" s="1">
        <f t="shared" si="2"/>
        <v>0</v>
      </c>
      <c r="O46" s="1">
        <f t="shared" si="2"/>
        <v>0</v>
      </c>
      <c r="P46" s="1">
        <f t="shared" si="2"/>
        <v>0</v>
      </c>
      <c r="Q46" s="1">
        <f t="shared" si="2"/>
        <v>0</v>
      </c>
      <c r="R46" s="1">
        <f t="shared" si="2"/>
        <v>0</v>
      </c>
      <c r="S46" s="1">
        <f t="shared" si="2"/>
        <v>0</v>
      </c>
      <c r="T46" s="1">
        <f t="shared" si="2"/>
        <v>0</v>
      </c>
      <c r="U46" s="1">
        <f t="shared" si="2"/>
        <v>0</v>
      </c>
      <c r="V46" s="1">
        <f t="shared" si="2"/>
        <v>0</v>
      </c>
      <c r="W46" s="1">
        <f t="shared" si="2"/>
        <v>0</v>
      </c>
    </row>
    <row r="47" spans="1:23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23" x14ac:dyDescent="0.2">
      <c r="A48"/>
      <c r="B48" s="106" t="s">
        <v>170</v>
      </c>
      <c r="C48" s="109" t="s">
        <v>172</v>
      </c>
    </row>
    <row r="49" spans="1:3" ht="16" thickBot="1" x14ac:dyDescent="0.25">
      <c r="A49"/>
      <c r="B49" s="111">
        <v>0.4</v>
      </c>
      <c r="C49" s="108">
        <v>1.202</v>
      </c>
    </row>
    <row r="50" spans="1:3" x14ac:dyDescent="0.2">
      <c r="A50"/>
      <c r="B50" s="61"/>
      <c r="C50" s="109" t="s">
        <v>173</v>
      </c>
    </row>
    <row r="51" spans="1:3" ht="16" thickBot="1" x14ac:dyDescent="0.25">
      <c r="A51"/>
      <c r="B51" s="61"/>
      <c r="C51" s="108">
        <v>0.1835</v>
      </c>
    </row>
  </sheetData>
  <mergeCells count="6">
    <mergeCell ref="A27:F27"/>
    <mergeCell ref="A1:F1"/>
    <mergeCell ref="A2:F2"/>
    <mergeCell ref="A4:F4"/>
    <mergeCell ref="A10:F10"/>
    <mergeCell ref="A19:F19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37" workbookViewId="0">
      <selection activeCell="A44" sqref="A44:C51"/>
    </sheetView>
  </sheetViews>
  <sheetFormatPr baseColWidth="10" defaultColWidth="8.83203125" defaultRowHeight="15" x14ac:dyDescent="0.2"/>
  <cols>
    <col min="1" max="1" width="21.6640625" customWidth="1"/>
    <col min="2" max="2" width="17.33203125" customWidth="1"/>
    <col min="3" max="3" width="16.5" customWidth="1"/>
    <col min="4" max="4" width="16.6640625" customWidth="1"/>
    <col min="5" max="5" width="15.83203125" customWidth="1"/>
    <col min="6" max="6" width="22.83203125" customWidth="1"/>
    <col min="7" max="7" width="41.5" customWidth="1"/>
  </cols>
  <sheetData>
    <row r="1" spans="1:7" x14ac:dyDescent="0.2">
      <c r="A1" s="207" t="s">
        <v>42</v>
      </c>
      <c r="B1" s="208"/>
      <c r="C1" s="208"/>
      <c r="D1" s="208"/>
      <c r="E1" s="208"/>
      <c r="F1" s="209"/>
      <c r="G1" s="1"/>
    </row>
    <row r="2" spans="1:7" ht="16" thickBot="1" x14ac:dyDescent="0.25">
      <c r="A2" s="210" t="s">
        <v>43</v>
      </c>
      <c r="B2" s="211"/>
      <c r="C2" s="211"/>
      <c r="D2" s="211"/>
      <c r="E2" s="211"/>
      <c r="F2" s="212"/>
      <c r="G2" s="1"/>
    </row>
    <row r="3" spans="1:7" ht="16" thickBot="1" x14ac:dyDescent="0.25"/>
    <row r="4" spans="1:7" ht="16" thickBot="1" x14ac:dyDescent="0.25">
      <c r="A4" s="216" t="s">
        <v>53</v>
      </c>
      <c r="B4" s="217"/>
      <c r="C4" s="217"/>
      <c r="D4" s="217"/>
      <c r="E4" s="217"/>
      <c r="F4" s="218"/>
      <c r="G4" s="1"/>
    </row>
    <row r="5" spans="1:7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  <c r="G5" s="1"/>
    </row>
    <row r="6" spans="1:7" x14ac:dyDescent="0.2">
      <c r="A6" s="37"/>
      <c r="B6" s="38"/>
      <c r="C6" s="38"/>
      <c r="D6" s="38"/>
      <c r="E6" s="38"/>
      <c r="F6" s="39"/>
      <c r="G6" s="1"/>
    </row>
    <row r="7" spans="1:7" x14ac:dyDescent="0.2">
      <c r="A7" s="33"/>
      <c r="B7" s="34"/>
      <c r="C7" s="34" t="s">
        <v>58</v>
      </c>
      <c r="D7" s="34" t="s">
        <v>59</v>
      </c>
      <c r="E7" s="34" t="s">
        <v>60</v>
      </c>
      <c r="F7" s="35" t="s">
        <v>61</v>
      </c>
      <c r="G7" s="1"/>
    </row>
    <row r="8" spans="1:7" ht="16" thickBot="1" x14ac:dyDescent="0.25">
      <c r="A8" s="40" t="s">
        <v>53</v>
      </c>
      <c r="B8" s="41"/>
      <c r="C8" s="42">
        <v>0</v>
      </c>
      <c r="D8" s="43">
        <v>5670617</v>
      </c>
      <c r="E8" s="44">
        <v>1134123</v>
      </c>
      <c r="F8" s="45">
        <f>D8+E8</f>
        <v>6804740</v>
      </c>
      <c r="G8" s="1"/>
    </row>
    <row r="9" spans="1:7" ht="16" thickBot="1" x14ac:dyDescent="0.25">
      <c r="A9" s="1"/>
      <c r="B9" s="1"/>
      <c r="C9" s="1"/>
      <c r="D9" s="1"/>
      <c r="E9" s="1"/>
      <c r="F9" s="1"/>
      <c r="G9" s="1"/>
    </row>
    <row r="10" spans="1:7" ht="16" thickBot="1" x14ac:dyDescent="0.25">
      <c r="A10" s="213" t="s">
        <v>22</v>
      </c>
      <c r="B10" s="214"/>
      <c r="C10" s="214"/>
      <c r="D10" s="214"/>
      <c r="E10" s="214"/>
      <c r="F10" s="215"/>
      <c r="G10" s="1"/>
    </row>
    <row r="11" spans="1:7" x14ac:dyDescent="0.2">
      <c r="A11" s="7"/>
      <c r="B11" s="8" t="s">
        <v>6</v>
      </c>
      <c r="C11" s="8" t="s">
        <v>7</v>
      </c>
      <c r="D11" s="8" t="s">
        <v>9</v>
      </c>
      <c r="E11" s="8" t="s">
        <v>8</v>
      </c>
      <c r="F11" s="9" t="s">
        <v>13</v>
      </c>
      <c r="G11" s="2"/>
    </row>
    <row r="12" spans="1:7" x14ac:dyDescent="0.2">
      <c r="A12" s="10"/>
      <c r="B12" s="11"/>
      <c r="C12" s="11"/>
      <c r="D12" s="11"/>
      <c r="E12" s="11"/>
      <c r="F12" s="12"/>
      <c r="G12" s="1"/>
    </row>
    <row r="13" spans="1:7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  <c r="G13" s="2"/>
    </row>
    <row r="14" spans="1:7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14">
        <v>21512.365000000002</v>
      </c>
      <c r="F14" s="12">
        <f>D14*E14</f>
        <v>49318043.306560002</v>
      </c>
      <c r="G14" s="1"/>
    </row>
    <row r="15" spans="1:7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14">
        <v>527.42999999999995</v>
      </c>
      <c r="F15" s="12">
        <f t="shared" ref="F15:F16" si="1">D15*E15</f>
        <v>733313.35535999993</v>
      </c>
      <c r="G15" s="1"/>
    </row>
    <row r="16" spans="1:7" x14ac:dyDescent="0.2">
      <c r="A16" s="10" t="s">
        <v>2</v>
      </c>
      <c r="B16" s="13">
        <f>B40</f>
        <v>5072</v>
      </c>
      <c r="C16" s="15">
        <v>0.45200000000000001</v>
      </c>
      <c r="D16" s="11">
        <f t="shared" si="0"/>
        <v>2292.5439999999999</v>
      </c>
      <c r="E16" s="14">
        <v>167.47</v>
      </c>
      <c r="F16" s="12">
        <f t="shared" si="1"/>
        <v>383932.34367999999</v>
      </c>
      <c r="G16" s="1"/>
    </row>
    <row r="17" spans="1:7" ht="16" thickBot="1" x14ac:dyDescent="0.25">
      <c r="A17" s="16"/>
      <c r="B17" s="17"/>
      <c r="C17" s="18"/>
      <c r="D17" s="18"/>
      <c r="E17" s="19" t="s">
        <v>12</v>
      </c>
      <c r="F17" s="20">
        <f>SUM(F14:F16)</f>
        <v>50435289.005600005</v>
      </c>
      <c r="G17" s="1"/>
    </row>
    <row r="18" spans="1:7" ht="16" thickBot="1" x14ac:dyDescent="0.25">
      <c r="A18" s="1"/>
      <c r="B18" s="6"/>
      <c r="C18" s="1"/>
      <c r="D18" s="1"/>
      <c r="E18" s="3"/>
      <c r="F18" s="4"/>
      <c r="G18" s="1"/>
    </row>
    <row r="19" spans="1:7" ht="16" thickBot="1" x14ac:dyDescent="0.25">
      <c r="A19" s="204" t="s">
        <v>23</v>
      </c>
      <c r="B19" s="205"/>
      <c r="C19" s="205"/>
      <c r="D19" s="205"/>
      <c r="E19" s="205"/>
      <c r="F19" s="206"/>
      <c r="G19" s="1"/>
    </row>
    <row r="20" spans="1:7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  <c r="G20" s="1"/>
    </row>
    <row r="21" spans="1:7" x14ac:dyDescent="0.2">
      <c r="A21" s="10"/>
      <c r="B21" s="13"/>
      <c r="C21" s="11"/>
      <c r="D21" s="11"/>
      <c r="E21" s="11"/>
      <c r="F21" s="12"/>
      <c r="G21" s="2"/>
    </row>
    <row r="22" spans="1:7" x14ac:dyDescent="0.2">
      <c r="A22" s="7"/>
      <c r="B22" s="25" t="s">
        <v>3</v>
      </c>
      <c r="C22" s="8" t="s">
        <v>4</v>
      </c>
      <c r="D22" s="8" t="s">
        <v>5</v>
      </c>
      <c r="E22" s="8" t="s">
        <v>44</v>
      </c>
      <c r="F22" s="9" t="s">
        <v>11</v>
      </c>
      <c r="G22" s="1"/>
    </row>
    <row r="23" spans="1:7" x14ac:dyDescent="0.2">
      <c r="A23" s="10" t="s">
        <v>45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20276</v>
      </c>
      <c r="F23" s="12">
        <f>D23*E23</f>
        <v>25781955.910399996</v>
      </c>
      <c r="G23" s="2"/>
    </row>
    <row r="24" spans="1:7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8036</v>
      </c>
      <c r="F24" s="12">
        <f>D24*E24</f>
        <v>16303436.800000001</v>
      </c>
      <c r="G24" s="1"/>
    </row>
    <row r="25" spans="1:7" ht="16" thickBot="1" x14ac:dyDescent="0.25">
      <c r="A25" s="16"/>
      <c r="B25" s="18"/>
      <c r="C25" s="27"/>
      <c r="D25" s="18"/>
      <c r="E25" s="19" t="s">
        <v>15</v>
      </c>
      <c r="F25" s="20">
        <f>SUM(F23:F24)</f>
        <v>42085392.7104</v>
      </c>
      <c r="G25" s="1"/>
    </row>
    <row r="26" spans="1:7" ht="16" thickBot="1" x14ac:dyDescent="0.25">
      <c r="A26" s="1"/>
      <c r="B26" s="1"/>
      <c r="C26" s="5"/>
      <c r="D26" s="1"/>
      <c r="E26" s="1"/>
      <c r="F26" s="1"/>
      <c r="G26" s="1"/>
    </row>
    <row r="27" spans="1:7" ht="16" thickBot="1" x14ac:dyDescent="0.25">
      <c r="A27" s="201" t="s">
        <v>24</v>
      </c>
      <c r="B27" s="202"/>
      <c r="C27" s="202"/>
      <c r="D27" s="202"/>
      <c r="E27" s="202"/>
      <c r="F27" s="203"/>
      <c r="G27" s="1"/>
    </row>
    <row r="28" spans="1:7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  <c r="G28" s="1"/>
    </row>
    <row r="29" spans="1:7" x14ac:dyDescent="0.2">
      <c r="A29" s="10"/>
      <c r="B29" s="13"/>
      <c r="C29" s="11"/>
      <c r="D29" s="11"/>
      <c r="E29" s="11"/>
      <c r="F29" s="12"/>
      <c r="G29" s="1"/>
    </row>
    <row r="30" spans="1:7" x14ac:dyDescent="0.2">
      <c r="A30" s="7"/>
      <c r="B30" s="25" t="s">
        <v>3</v>
      </c>
      <c r="C30" s="8" t="s">
        <v>4</v>
      </c>
      <c r="D30" s="8" t="s">
        <v>5</v>
      </c>
      <c r="E30" s="8" t="s">
        <v>44</v>
      </c>
      <c r="F30" s="9" t="s">
        <v>11</v>
      </c>
      <c r="G30" s="1"/>
    </row>
    <row r="31" spans="1:7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4092</v>
      </c>
      <c r="F31" s="12">
        <f>D31*E31</f>
        <v>21584808.960000001</v>
      </c>
      <c r="G31" s="1"/>
    </row>
    <row r="32" spans="1:7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1306</v>
      </c>
      <c r="F32" s="12">
        <f>D32*E32</f>
        <v>7962086.4639999997</v>
      </c>
      <c r="G32" s="1"/>
    </row>
    <row r="33" spans="1:7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f>256+316</f>
        <v>572</v>
      </c>
      <c r="F33" s="12">
        <f>D33*E33</f>
        <v>532367.26399999997</v>
      </c>
      <c r="G33" s="1"/>
    </row>
    <row r="34" spans="1:7" ht="16" thickBot="1" x14ac:dyDescent="0.25">
      <c r="A34" s="16"/>
      <c r="B34" s="18"/>
      <c r="C34" s="27"/>
      <c r="D34" s="18"/>
      <c r="E34" s="19" t="s">
        <v>15</v>
      </c>
      <c r="F34" s="20">
        <f>SUM(F31:F33)</f>
        <v>30079262.688000001</v>
      </c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3" t="s">
        <v>19</v>
      </c>
      <c r="F36" s="4">
        <f>F8+F17+F25+F34</f>
        <v>129404684.40400001</v>
      </c>
      <c r="G36" s="1"/>
    </row>
    <row r="37" spans="1:7" x14ac:dyDescent="0.2">
      <c r="A37" s="1"/>
      <c r="B37" s="1"/>
      <c r="C37" s="1"/>
      <c r="D37" s="1"/>
      <c r="E37" s="3" t="s">
        <v>20</v>
      </c>
      <c r="F37" s="4">
        <v>125653740</v>
      </c>
      <c r="G37" s="1"/>
    </row>
    <row r="38" spans="1:7" x14ac:dyDescent="0.2">
      <c r="A38" s="1"/>
      <c r="B38" s="1"/>
      <c r="C38" s="1"/>
      <c r="D38" s="1"/>
      <c r="E38" s="3" t="s">
        <v>21</v>
      </c>
      <c r="F38" s="4">
        <f>F36-F37</f>
        <v>3750944.4040000141</v>
      </c>
      <c r="G38" s="29" t="s">
        <v>50</v>
      </c>
    </row>
    <row r="39" spans="1:7" x14ac:dyDescent="0.2">
      <c r="A39" s="1"/>
      <c r="B39" s="1"/>
      <c r="C39" s="1"/>
      <c r="D39" s="1"/>
      <c r="E39" s="1"/>
      <c r="F39" s="1"/>
      <c r="G39" s="1"/>
    </row>
    <row r="40" spans="1:7" ht="16" thickBot="1" x14ac:dyDescent="0.25">
      <c r="A40" s="20" t="s">
        <v>179</v>
      </c>
      <c r="B40" s="16">
        <v>5072</v>
      </c>
      <c r="C40" s="1"/>
      <c r="D40" s="1"/>
      <c r="E40" s="1"/>
      <c r="F40" s="1"/>
      <c r="G40" s="1"/>
    </row>
    <row r="41" spans="1:7" ht="16" thickBot="1" x14ac:dyDescent="0.25">
      <c r="A41" s="116" t="s">
        <v>180</v>
      </c>
      <c r="B41" s="117">
        <v>3076</v>
      </c>
      <c r="C41" s="1"/>
      <c r="D41" s="1"/>
      <c r="E41" s="1"/>
      <c r="F41" s="1"/>
      <c r="G41" s="1"/>
    </row>
    <row r="42" spans="1:7" x14ac:dyDescent="0.2">
      <c r="A42" s="118" t="s">
        <v>181</v>
      </c>
      <c r="B42" s="119">
        <v>5072</v>
      </c>
      <c r="G42" s="1"/>
    </row>
    <row r="43" spans="1:7" x14ac:dyDescent="0.2">
      <c r="A43" s="1"/>
      <c r="B43" s="1"/>
    </row>
    <row r="45" spans="1:7" ht="16" thickBot="1" x14ac:dyDescent="0.25">
      <c r="A45" s="97" t="s">
        <v>168</v>
      </c>
      <c r="B45" s="104" t="s">
        <v>174</v>
      </c>
      <c r="C45" s="104" t="s">
        <v>175</v>
      </c>
    </row>
    <row r="46" spans="1:7" x14ac:dyDescent="0.2">
      <c r="A46" s="105" t="s">
        <v>177</v>
      </c>
      <c r="B46" s="110" t="s">
        <v>169</v>
      </c>
      <c r="C46" s="107" t="s">
        <v>171</v>
      </c>
    </row>
    <row r="47" spans="1:7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7" x14ac:dyDescent="0.2">
      <c r="B48" s="106" t="s">
        <v>170</v>
      </c>
      <c r="C48" s="109" t="s">
        <v>172</v>
      </c>
    </row>
    <row r="49" spans="2:3" ht="16" thickBot="1" x14ac:dyDescent="0.25">
      <c r="B49" s="111">
        <v>0.4</v>
      </c>
      <c r="C49" s="108">
        <v>1.202</v>
      </c>
    </row>
    <row r="50" spans="2:3" x14ac:dyDescent="0.2">
      <c r="B50" s="61"/>
      <c r="C50" s="109" t="s">
        <v>173</v>
      </c>
    </row>
    <row r="51" spans="2:3" ht="16" thickBot="1" x14ac:dyDescent="0.25">
      <c r="B51" s="61"/>
      <c r="C51" s="108">
        <v>0.1835</v>
      </c>
    </row>
  </sheetData>
  <mergeCells count="6">
    <mergeCell ref="A1:F1"/>
    <mergeCell ref="A2:F2"/>
    <mergeCell ref="A10:F10"/>
    <mergeCell ref="A19:F19"/>
    <mergeCell ref="A27:F27"/>
    <mergeCell ref="A4:F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topLeftCell="A41" zoomScale="135" workbookViewId="0">
      <selection activeCell="A44" sqref="A44:C51"/>
    </sheetView>
  </sheetViews>
  <sheetFormatPr baseColWidth="10" defaultColWidth="17.6640625" defaultRowHeight="15" x14ac:dyDescent="0.2"/>
  <cols>
    <col min="1" max="1" width="22.5" style="1" bestFit="1" customWidth="1"/>
    <col min="2" max="3" width="17.6640625" style="1"/>
    <col min="4" max="4" width="19" style="1" customWidth="1"/>
    <col min="5" max="5" width="18.5" style="1" customWidth="1"/>
    <col min="6" max="6" width="17.6640625" style="1"/>
    <col min="7" max="7" width="39.83203125" style="1" customWidth="1"/>
    <col min="8" max="16384" width="17.6640625" style="1"/>
  </cols>
  <sheetData>
    <row r="1" spans="1:7" x14ac:dyDescent="0.2">
      <c r="A1" s="207" t="s">
        <v>36</v>
      </c>
      <c r="B1" s="208"/>
      <c r="C1" s="208"/>
      <c r="D1" s="208"/>
      <c r="E1" s="208"/>
      <c r="F1" s="209"/>
      <c r="G1" s="30"/>
    </row>
    <row r="2" spans="1:7" ht="16" thickBot="1" x14ac:dyDescent="0.25">
      <c r="A2" s="210" t="s">
        <v>26</v>
      </c>
      <c r="B2" s="211"/>
      <c r="C2" s="211"/>
      <c r="D2" s="211"/>
      <c r="E2" s="211"/>
      <c r="F2" s="212"/>
      <c r="G2" s="31" t="s">
        <v>51</v>
      </c>
    </row>
    <row r="3" spans="1:7" customFormat="1" ht="16" thickBot="1" x14ac:dyDescent="0.25"/>
    <row r="4" spans="1:7" ht="16" thickBot="1" x14ac:dyDescent="0.25">
      <c r="A4" s="216" t="s">
        <v>53</v>
      </c>
      <c r="B4" s="217"/>
      <c r="C4" s="217"/>
      <c r="D4" s="217"/>
      <c r="E4" s="217"/>
      <c r="F4" s="218"/>
      <c r="G4" s="32"/>
    </row>
    <row r="5" spans="1:7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  <c r="G5" s="32"/>
    </row>
    <row r="6" spans="1:7" x14ac:dyDescent="0.2">
      <c r="A6" s="37"/>
      <c r="B6" s="38"/>
      <c r="C6" s="38"/>
      <c r="D6" s="38"/>
      <c r="E6" s="38"/>
      <c r="F6" s="39"/>
      <c r="G6" s="32"/>
    </row>
    <row r="7" spans="1:7" x14ac:dyDescent="0.2">
      <c r="A7" s="33"/>
      <c r="B7" s="34"/>
      <c r="C7" s="34" t="s">
        <v>58</v>
      </c>
      <c r="D7" s="34" t="s">
        <v>59</v>
      </c>
      <c r="E7" s="34" t="s">
        <v>60</v>
      </c>
      <c r="F7" s="35" t="s">
        <v>61</v>
      </c>
      <c r="G7" s="32"/>
    </row>
    <row r="8" spans="1:7" ht="16" thickBot="1" x14ac:dyDescent="0.25">
      <c r="A8" s="40" t="s">
        <v>53</v>
      </c>
      <c r="B8" s="41"/>
      <c r="C8" s="42">
        <v>0</v>
      </c>
      <c r="D8" s="43">
        <v>3402370</v>
      </c>
      <c r="E8" s="44"/>
      <c r="F8" s="45">
        <f>D8+E8</f>
        <v>3402370</v>
      </c>
      <c r="G8" s="32"/>
    </row>
    <row r="9" spans="1:7" ht="16" thickBot="1" x14ac:dyDescent="0.25"/>
    <row r="10" spans="1:7" ht="16" thickBot="1" x14ac:dyDescent="0.25">
      <c r="A10" s="213" t="s">
        <v>22</v>
      </c>
      <c r="B10" s="214"/>
      <c r="C10" s="214"/>
      <c r="D10" s="214"/>
      <c r="E10" s="214"/>
      <c r="F10" s="215"/>
    </row>
    <row r="11" spans="1:7" s="2" customFormat="1" x14ac:dyDescent="0.2">
      <c r="A11" s="7"/>
      <c r="B11" s="8" t="s">
        <v>31</v>
      </c>
      <c r="C11" s="8" t="s">
        <v>7</v>
      </c>
      <c r="D11" s="8" t="s">
        <v>9</v>
      </c>
      <c r="E11" s="8" t="s">
        <v>8</v>
      </c>
      <c r="F11" s="9" t="s">
        <v>13</v>
      </c>
    </row>
    <row r="12" spans="1:7" x14ac:dyDescent="0.2">
      <c r="A12" s="10"/>
      <c r="B12" s="11"/>
      <c r="C12" s="11"/>
      <c r="D12" s="11"/>
      <c r="E12" s="11"/>
      <c r="F12" s="12"/>
    </row>
    <row r="13" spans="1:7" s="2" customFormat="1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</row>
    <row r="14" spans="1:7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114">
        <v>7039.8699789999991</v>
      </c>
      <c r="F14" s="12">
        <f>D14*E14</f>
        <v>16139211.681136573</v>
      </c>
    </row>
    <row r="15" spans="1:7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28">
        <v>133.488</v>
      </c>
      <c r="F15" s="12">
        <f t="shared" ref="F15:F16" si="1">D15*E15</f>
        <v>185595.307776</v>
      </c>
    </row>
    <row r="16" spans="1:7" x14ac:dyDescent="0.2">
      <c r="A16" s="10" t="s">
        <v>2</v>
      </c>
      <c r="B16" s="13">
        <f>B40</f>
        <v>5072</v>
      </c>
      <c r="C16" s="15">
        <v>0.45200000000000001</v>
      </c>
      <c r="D16" s="11">
        <f t="shared" si="0"/>
        <v>2292.5439999999999</v>
      </c>
      <c r="E16" s="28">
        <v>28.306000000000001</v>
      </c>
      <c r="F16" s="12">
        <f t="shared" si="1"/>
        <v>64892.750463999997</v>
      </c>
    </row>
    <row r="17" spans="1:6" ht="16" thickBot="1" x14ac:dyDescent="0.25">
      <c r="A17" s="16"/>
      <c r="B17" s="17"/>
      <c r="C17" s="18"/>
      <c r="D17" s="18"/>
      <c r="E17" s="19" t="s">
        <v>12</v>
      </c>
      <c r="F17" s="20">
        <f>SUM(F14:F16)</f>
        <v>16389699.739376573</v>
      </c>
    </row>
    <row r="18" spans="1:6" ht="16" thickBot="1" x14ac:dyDescent="0.25">
      <c r="B18" s="6"/>
      <c r="E18" s="3"/>
      <c r="F18" s="4"/>
    </row>
    <row r="19" spans="1:6" ht="16" thickBot="1" x14ac:dyDescent="0.25">
      <c r="A19" s="204" t="s">
        <v>23</v>
      </c>
      <c r="B19" s="205"/>
      <c r="C19" s="205"/>
      <c r="D19" s="205"/>
      <c r="E19" s="205"/>
      <c r="F19" s="206"/>
    </row>
    <row r="20" spans="1:6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</row>
    <row r="21" spans="1:6" s="2" customFormat="1" x14ac:dyDescent="0.2">
      <c r="A21" s="10"/>
      <c r="B21" s="13"/>
      <c r="C21" s="11"/>
      <c r="D21" s="11"/>
      <c r="E21" s="11"/>
      <c r="F21" s="12"/>
    </row>
    <row r="22" spans="1:6" x14ac:dyDescent="0.2">
      <c r="A22" s="7"/>
      <c r="B22" s="25" t="s">
        <v>3</v>
      </c>
      <c r="C22" s="8" t="s">
        <v>4</v>
      </c>
      <c r="D22" s="8" t="s">
        <v>30</v>
      </c>
      <c r="E22" s="8" t="s">
        <v>28</v>
      </c>
      <c r="F22" s="9" t="s">
        <v>11</v>
      </c>
    </row>
    <row r="23" spans="1:6" s="2" customFormat="1" x14ac:dyDescent="0.2">
      <c r="A23" s="10" t="s">
        <v>27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6362</v>
      </c>
      <c r="F23" s="12">
        <f>D23*E23</f>
        <v>8089603.644799999</v>
      </c>
    </row>
    <row r="24" spans="1:6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7976</v>
      </c>
      <c r="F24" s="12">
        <f>D24*E24</f>
        <v>16181708.800000001</v>
      </c>
    </row>
    <row r="25" spans="1:6" ht="16" thickBot="1" x14ac:dyDescent="0.25">
      <c r="A25" s="16"/>
      <c r="B25" s="18"/>
      <c r="C25" s="27"/>
      <c r="D25" s="18"/>
      <c r="E25" s="19" t="s">
        <v>15</v>
      </c>
      <c r="F25" s="20">
        <f>SUM(F23:F24)</f>
        <v>24271312.444800001</v>
      </c>
    </row>
    <row r="26" spans="1:6" ht="16" thickBot="1" x14ac:dyDescent="0.25">
      <c r="C26" s="5"/>
    </row>
    <row r="27" spans="1:6" ht="16" thickBot="1" x14ac:dyDescent="0.25">
      <c r="A27" s="201" t="s">
        <v>24</v>
      </c>
      <c r="B27" s="202"/>
      <c r="C27" s="202"/>
      <c r="D27" s="202"/>
      <c r="E27" s="202"/>
      <c r="F27" s="203"/>
    </row>
    <row r="28" spans="1:6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</row>
    <row r="29" spans="1:6" x14ac:dyDescent="0.2">
      <c r="A29" s="10"/>
      <c r="B29" s="13"/>
      <c r="C29" s="11"/>
      <c r="D29" s="11"/>
      <c r="E29" s="11"/>
      <c r="F29" s="12"/>
    </row>
    <row r="30" spans="1:6" x14ac:dyDescent="0.2">
      <c r="A30" s="7"/>
      <c r="B30" s="25" t="s">
        <v>3</v>
      </c>
      <c r="C30" s="8" t="s">
        <v>4</v>
      </c>
      <c r="D30" s="8" t="s">
        <v>30</v>
      </c>
      <c r="E30" s="8" t="s">
        <v>28</v>
      </c>
      <c r="F30" s="9" t="s">
        <v>11</v>
      </c>
    </row>
    <row r="31" spans="1:6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1209</v>
      </c>
      <c r="F31" s="12">
        <f>D31*E31</f>
        <v>6377329.9199999999</v>
      </c>
    </row>
    <row r="32" spans="1:6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501</v>
      </c>
      <c r="F32" s="12">
        <f>D32*E32</f>
        <v>3054368.5439999998</v>
      </c>
    </row>
    <row r="33" spans="1:7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v>176</v>
      </c>
      <c r="F33" s="12">
        <f>D33*E33</f>
        <v>163805.31200000001</v>
      </c>
    </row>
    <row r="34" spans="1:7" ht="16" thickBot="1" x14ac:dyDescent="0.25">
      <c r="A34" s="16"/>
      <c r="B34" s="18"/>
      <c r="C34" s="27"/>
      <c r="D34" s="18"/>
      <c r="E34" s="19" t="s">
        <v>15</v>
      </c>
      <c r="F34" s="20">
        <f>SUM(F31:F33)</f>
        <v>9595503.7760000005</v>
      </c>
    </row>
    <row r="36" spans="1:7" x14ac:dyDescent="0.2">
      <c r="E36" s="3" t="s">
        <v>19</v>
      </c>
      <c r="F36" s="4">
        <f>F8+F17+F25+F34</f>
        <v>53658885.96017658</v>
      </c>
    </row>
    <row r="37" spans="1:7" x14ac:dyDescent="0.2">
      <c r="E37" s="3" t="s">
        <v>20</v>
      </c>
      <c r="F37" s="4">
        <v>42249578</v>
      </c>
      <c r="G37" s="29" t="s">
        <v>50</v>
      </c>
    </row>
    <row r="38" spans="1:7" x14ac:dyDescent="0.2">
      <c r="E38" s="3" t="s">
        <v>21</v>
      </c>
      <c r="F38" s="4">
        <f>F36-F37</f>
        <v>11409307.96017658</v>
      </c>
      <c r="G38" s="29"/>
    </row>
    <row r="40" spans="1:7" ht="16" thickBot="1" x14ac:dyDescent="0.25">
      <c r="A40" s="20" t="s">
        <v>179</v>
      </c>
      <c r="B40" s="16">
        <v>5072</v>
      </c>
    </row>
    <row r="41" spans="1:7" ht="16" thickBot="1" x14ac:dyDescent="0.25">
      <c r="A41" s="116" t="s">
        <v>180</v>
      </c>
      <c r="B41" s="117">
        <v>3076</v>
      </c>
    </row>
    <row r="42" spans="1:7" x14ac:dyDescent="0.2">
      <c r="A42" s="118" t="s">
        <v>181</v>
      </c>
      <c r="B42" s="119">
        <v>5072</v>
      </c>
    </row>
    <row r="44" spans="1:7" x14ac:dyDescent="0.2">
      <c r="A44"/>
      <c r="B44"/>
      <c r="C44"/>
    </row>
    <row r="45" spans="1:7" ht="16" thickBot="1" x14ac:dyDescent="0.25">
      <c r="A45" s="97" t="s">
        <v>168</v>
      </c>
      <c r="B45" s="104" t="s">
        <v>174</v>
      </c>
      <c r="C45" s="104" t="s">
        <v>175</v>
      </c>
    </row>
    <row r="46" spans="1:7" x14ac:dyDescent="0.2">
      <c r="A46" s="105" t="s">
        <v>177</v>
      </c>
      <c r="B46" s="110" t="s">
        <v>169</v>
      </c>
      <c r="C46" s="107" t="s">
        <v>171</v>
      </c>
    </row>
    <row r="47" spans="1:7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7" x14ac:dyDescent="0.2">
      <c r="A48"/>
      <c r="B48" s="106" t="s">
        <v>170</v>
      </c>
      <c r="C48" s="109" t="s">
        <v>172</v>
      </c>
    </row>
    <row r="49" spans="1:23" ht="16" thickBot="1" x14ac:dyDescent="0.25">
      <c r="A49"/>
      <c r="B49" s="111">
        <v>0.4</v>
      </c>
      <c r="C49" s="108">
        <v>1.202</v>
      </c>
    </row>
    <row r="50" spans="1:23" x14ac:dyDescent="0.2">
      <c r="A50"/>
      <c r="B50" s="61"/>
      <c r="C50" s="109" t="s">
        <v>173</v>
      </c>
    </row>
    <row r="51" spans="1:23" ht="16" thickBot="1" x14ac:dyDescent="0.25">
      <c r="A51"/>
      <c r="B51" s="61"/>
      <c r="C51" s="108">
        <v>0.1835</v>
      </c>
    </row>
    <row r="52" spans="1:23" x14ac:dyDescent="0.2">
      <c r="G52" s="1">
        <f t="shared" ref="G52:W52" si="2">SUM(G13:G51)</f>
        <v>0</v>
      </c>
      <c r="H52" s="1">
        <f t="shared" si="2"/>
        <v>0</v>
      </c>
      <c r="I52" s="1">
        <f t="shared" si="2"/>
        <v>0</v>
      </c>
      <c r="J52" s="1">
        <f t="shared" si="2"/>
        <v>0</v>
      </c>
      <c r="K52" s="1">
        <f t="shared" si="2"/>
        <v>0</v>
      </c>
      <c r="L52" s="1">
        <f t="shared" si="2"/>
        <v>0</v>
      </c>
      <c r="M52" s="1">
        <f t="shared" si="2"/>
        <v>0</v>
      </c>
      <c r="N52" s="1">
        <f t="shared" si="2"/>
        <v>0</v>
      </c>
      <c r="O52" s="1">
        <f t="shared" si="2"/>
        <v>0</v>
      </c>
      <c r="P52" s="1">
        <f t="shared" si="2"/>
        <v>0</v>
      </c>
      <c r="Q52" s="1">
        <f t="shared" si="2"/>
        <v>0</v>
      </c>
      <c r="R52" s="1">
        <f t="shared" si="2"/>
        <v>0</v>
      </c>
      <c r="S52" s="1">
        <f t="shared" si="2"/>
        <v>0</v>
      </c>
      <c r="T52" s="1">
        <f t="shared" si="2"/>
        <v>0</v>
      </c>
      <c r="U52" s="1">
        <f t="shared" si="2"/>
        <v>0</v>
      </c>
      <c r="V52" s="1">
        <f t="shared" si="2"/>
        <v>0</v>
      </c>
      <c r="W52" s="1">
        <f t="shared" si="2"/>
        <v>0</v>
      </c>
    </row>
  </sheetData>
  <mergeCells count="6">
    <mergeCell ref="A1:F1"/>
    <mergeCell ref="A2:F2"/>
    <mergeCell ref="A10:F10"/>
    <mergeCell ref="A19:F19"/>
    <mergeCell ref="A27:F27"/>
    <mergeCell ref="A4:F4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topLeftCell="A27" zoomScale="125" workbookViewId="0">
      <selection activeCell="A44" sqref="A44:C51"/>
    </sheetView>
  </sheetViews>
  <sheetFormatPr baseColWidth="10" defaultColWidth="17.6640625" defaultRowHeight="15" x14ac:dyDescent="0.2"/>
  <cols>
    <col min="1" max="1" width="22.5" style="1" bestFit="1" customWidth="1"/>
    <col min="2" max="6" width="17.6640625" style="1"/>
    <col min="7" max="7" width="41.33203125" style="1" customWidth="1"/>
    <col min="8" max="16384" width="17.6640625" style="1"/>
  </cols>
  <sheetData>
    <row r="1" spans="1:6" x14ac:dyDescent="0.2">
      <c r="A1" s="207" t="s">
        <v>46</v>
      </c>
      <c r="B1" s="208"/>
      <c r="C1" s="208"/>
      <c r="D1" s="208"/>
      <c r="E1" s="208"/>
      <c r="F1" s="209"/>
    </row>
    <row r="2" spans="1:6" ht="16" thickBot="1" x14ac:dyDescent="0.25">
      <c r="A2" s="210" t="s">
        <v>26</v>
      </c>
      <c r="B2" s="211"/>
      <c r="C2" s="211"/>
      <c r="D2" s="211"/>
      <c r="E2" s="211"/>
      <c r="F2" s="212"/>
    </row>
    <row r="3" spans="1:6" customFormat="1" ht="16" thickBot="1" x14ac:dyDescent="0.25"/>
    <row r="4" spans="1:6" ht="16" thickBot="1" x14ac:dyDescent="0.25">
      <c r="A4" s="216" t="s">
        <v>53</v>
      </c>
      <c r="B4" s="217"/>
      <c r="C4" s="217"/>
      <c r="D4" s="217"/>
      <c r="E4" s="217"/>
      <c r="F4" s="218"/>
    </row>
    <row r="5" spans="1:6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</row>
    <row r="6" spans="1:6" x14ac:dyDescent="0.2">
      <c r="A6" s="37"/>
      <c r="B6" s="38"/>
      <c r="C6" s="38"/>
      <c r="D6" s="38"/>
      <c r="E6" s="38"/>
      <c r="F6" s="39"/>
    </row>
    <row r="7" spans="1:6" x14ac:dyDescent="0.2">
      <c r="A7" s="33"/>
      <c r="B7" s="34"/>
      <c r="C7" s="34" t="s">
        <v>58</v>
      </c>
      <c r="D7" s="34" t="s">
        <v>59</v>
      </c>
      <c r="E7" s="34" t="s">
        <v>60</v>
      </c>
      <c r="F7" s="35" t="s">
        <v>61</v>
      </c>
    </row>
    <row r="8" spans="1:6" ht="16" thickBot="1" x14ac:dyDescent="0.25">
      <c r="A8" s="40" t="s">
        <v>53</v>
      </c>
      <c r="B8" s="41"/>
      <c r="C8" s="42">
        <v>0</v>
      </c>
      <c r="D8" s="43">
        <v>4536493</v>
      </c>
      <c r="E8" s="44">
        <v>1134123</v>
      </c>
      <c r="F8" s="45">
        <f>D8+E8</f>
        <v>5670616</v>
      </c>
    </row>
    <row r="9" spans="1:6" ht="16" thickBot="1" x14ac:dyDescent="0.25"/>
    <row r="10" spans="1:6" ht="16" thickBot="1" x14ac:dyDescent="0.25">
      <c r="A10" s="213" t="s">
        <v>22</v>
      </c>
      <c r="B10" s="214"/>
      <c r="C10" s="214"/>
      <c r="D10" s="214"/>
      <c r="E10" s="214"/>
      <c r="F10" s="215"/>
    </row>
    <row r="11" spans="1:6" s="2" customFormat="1" x14ac:dyDescent="0.2">
      <c r="A11" s="7"/>
      <c r="B11" s="8" t="s">
        <v>31</v>
      </c>
      <c r="C11" s="8" t="s">
        <v>7</v>
      </c>
      <c r="D11" s="8" t="s">
        <v>9</v>
      </c>
      <c r="E11" s="8" t="s">
        <v>8</v>
      </c>
      <c r="F11" s="9" t="s">
        <v>13</v>
      </c>
    </row>
    <row r="12" spans="1:6" x14ac:dyDescent="0.2">
      <c r="A12" s="10"/>
      <c r="B12" s="11"/>
      <c r="C12" s="11"/>
      <c r="D12" s="11"/>
      <c r="E12" s="11"/>
      <c r="F12" s="12"/>
    </row>
    <row r="13" spans="1:6" s="2" customFormat="1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</row>
    <row r="14" spans="1:6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114">
        <v>13726.710000000001</v>
      </c>
      <c r="F14" s="12">
        <f>D14*E14</f>
        <v>31469086.65024</v>
      </c>
    </row>
    <row r="15" spans="1:6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28">
        <v>300.50400000000002</v>
      </c>
      <c r="F15" s="12">
        <f t="shared" ref="F15:F16" si="1">D15*E15</f>
        <v>417806.33740800008</v>
      </c>
    </row>
    <row r="16" spans="1:6" x14ac:dyDescent="0.2">
      <c r="A16" s="10" t="s">
        <v>2</v>
      </c>
      <c r="B16" s="13">
        <f>B40</f>
        <v>5072</v>
      </c>
      <c r="C16" s="15">
        <v>0.45200000000000001</v>
      </c>
      <c r="D16" s="11">
        <f t="shared" si="0"/>
        <v>2292.5439999999999</v>
      </c>
      <c r="E16" s="28"/>
      <c r="F16" s="12">
        <f t="shared" si="1"/>
        <v>0</v>
      </c>
    </row>
    <row r="17" spans="1:6" ht="16" thickBot="1" x14ac:dyDescent="0.25">
      <c r="A17" s="16"/>
      <c r="B17" s="17"/>
      <c r="C17" s="18"/>
      <c r="D17" s="18"/>
      <c r="E17" s="19" t="s">
        <v>12</v>
      </c>
      <c r="F17" s="20">
        <f>SUM(F14:F16)</f>
        <v>31886892.987647999</v>
      </c>
    </row>
    <row r="18" spans="1:6" ht="16" thickBot="1" x14ac:dyDescent="0.25">
      <c r="B18" s="6"/>
      <c r="E18" s="3"/>
      <c r="F18" s="4"/>
    </row>
    <row r="19" spans="1:6" ht="16" thickBot="1" x14ac:dyDescent="0.25">
      <c r="A19" s="204" t="s">
        <v>23</v>
      </c>
      <c r="B19" s="205"/>
      <c r="C19" s="205"/>
      <c r="D19" s="205"/>
      <c r="E19" s="205"/>
      <c r="F19" s="206"/>
    </row>
    <row r="20" spans="1:6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</row>
    <row r="21" spans="1:6" s="2" customFormat="1" x14ac:dyDescent="0.2">
      <c r="A21" s="10"/>
      <c r="B21" s="13"/>
      <c r="C21" s="11"/>
      <c r="D21" s="11"/>
      <c r="E21" s="11"/>
      <c r="F21" s="12"/>
    </row>
    <row r="22" spans="1:6" x14ac:dyDescent="0.2">
      <c r="A22" s="7"/>
      <c r="B22" s="25" t="s">
        <v>3</v>
      </c>
      <c r="C22" s="8" t="s">
        <v>4</v>
      </c>
      <c r="D22" s="8" t="s">
        <v>30</v>
      </c>
      <c r="E22" s="8" t="s">
        <v>28</v>
      </c>
      <c r="F22" s="9" t="s">
        <v>11</v>
      </c>
    </row>
    <row r="23" spans="1:6" s="2" customFormat="1" x14ac:dyDescent="0.2">
      <c r="A23" s="10" t="s">
        <v>27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11954</v>
      </c>
      <c r="F23" s="12">
        <f>D23*E23</f>
        <v>15200113.481599998</v>
      </c>
    </row>
    <row r="24" spans="1:6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5872</v>
      </c>
      <c r="F24" s="12">
        <f>D24*E24</f>
        <v>11913113.600000001</v>
      </c>
    </row>
    <row r="25" spans="1:6" ht="16" thickBot="1" x14ac:dyDescent="0.25">
      <c r="A25" s="16"/>
      <c r="B25" s="18"/>
      <c r="C25" s="27"/>
      <c r="D25" s="18"/>
      <c r="E25" s="19" t="s">
        <v>15</v>
      </c>
      <c r="F25" s="20">
        <f>SUM(F23:F24)</f>
        <v>27113227.081599999</v>
      </c>
    </row>
    <row r="26" spans="1:6" ht="16" thickBot="1" x14ac:dyDescent="0.25">
      <c r="C26" s="5"/>
    </row>
    <row r="27" spans="1:6" ht="16" thickBot="1" x14ac:dyDescent="0.25">
      <c r="A27" s="201" t="s">
        <v>24</v>
      </c>
      <c r="B27" s="202"/>
      <c r="C27" s="202"/>
      <c r="D27" s="202"/>
      <c r="E27" s="202"/>
      <c r="F27" s="203"/>
    </row>
    <row r="28" spans="1:6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</row>
    <row r="29" spans="1:6" x14ac:dyDescent="0.2">
      <c r="A29" s="10"/>
      <c r="B29" s="13"/>
      <c r="C29" s="11"/>
      <c r="D29" s="11"/>
      <c r="E29" s="11"/>
      <c r="F29" s="12"/>
    </row>
    <row r="30" spans="1:6" x14ac:dyDescent="0.2">
      <c r="A30" s="7"/>
      <c r="B30" s="25" t="s">
        <v>3</v>
      </c>
      <c r="C30" s="8" t="s">
        <v>4</v>
      </c>
      <c r="D30" s="8" t="s">
        <v>30</v>
      </c>
      <c r="E30" s="8" t="s">
        <v>28</v>
      </c>
      <c r="F30" s="9" t="s">
        <v>11</v>
      </c>
    </row>
    <row r="31" spans="1:6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2913</v>
      </c>
      <c r="F31" s="12">
        <f>D31*E31</f>
        <v>15365725.439999999</v>
      </c>
    </row>
    <row r="32" spans="1:6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1186</v>
      </c>
      <c r="F32" s="12">
        <f>D32*E32</f>
        <v>7230501.1839999994</v>
      </c>
    </row>
    <row r="33" spans="1:7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v>724</v>
      </c>
      <c r="F33" s="12">
        <f>D33*E33</f>
        <v>673835.48800000001</v>
      </c>
    </row>
    <row r="34" spans="1:7" ht="16" thickBot="1" x14ac:dyDescent="0.25">
      <c r="A34" s="16"/>
      <c r="B34" s="18"/>
      <c r="C34" s="27"/>
      <c r="D34" s="18"/>
      <c r="E34" s="19" t="s">
        <v>15</v>
      </c>
      <c r="F34" s="20">
        <f>SUM(F31:F33)</f>
        <v>23270062.112</v>
      </c>
    </row>
    <row r="36" spans="1:7" x14ac:dyDescent="0.2">
      <c r="E36" s="3" t="s">
        <v>19</v>
      </c>
      <c r="F36" s="4">
        <f>F8+F17+F25+F34</f>
        <v>87940798.181247994</v>
      </c>
    </row>
    <row r="37" spans="1:7" x14ac:dyDescent="0.2">
      <c r="E37" s="3" t="s">
        <v>20</v>
      </c>
      <c r="F37" s="4">
        <v>85161685</v>
      </c>
    </row>
    <row r="38" spans="1:7" x14ac:dyDescent="0.2">
      <c r="E38" s="3" t="s">
        <v>21</v>
      </c>
      <c r="F38" s="4">
        <f>F36-F37</f>
        <v>2779113.1812479943</v>
      </c>
      <c r="G38" s="29" t="s">
        <v>50</v>
      </c>
    </row>
    <row r="40" spans="1:7" ht="16" thickBot="1" x14ac:dyDescent="0.25">
      <c r="A40" s="20" t="s">
        <v>179</v>
      </c>
      <c r="B40" s="16">
        <v>5072</v>
      </c>
    </row>
    <row r="41" spans="1:7" ht="16" thickBot="1" x14ac:dyDescent="0.25">
      <c r="A41" s="116" t="s">
        <v>180</v>
      </c>
      <c r="B41" s="117">
        <v>3076</v>
      </c>
    </row>
    <row r="42" spans="1:7" x14ac:dyDescent="0.2">
      <c r="A42" s="118" t="s">
        <v>181</v>
      </c>
      <c r="B42" s="119">
        <v>5072</v>
      </c>
    </row>
    <row r="44" spans="1:7" x14ac:dyDescent="0.2">
      <c r="A44"/>
      <c r="B44"/>
      <c r="C44"/>
    </row>
    <row r="45" spans="1:7" ht="16" thickBot="1" x14ac:dyDescent="0.25">
      <c r="A45" s="97" t="s">
        <v>168</v>
      </c>
      <c r="B45" s="104" t="s">
        <v>174</v>
      </c>
      <c r="C45" s="104" t="s">
        <v>175</v>
      </c>
    </row>
    <row r="46" spans="1:7" x14ac:dyDescent="0.2">
      <c r="A46" s="105" t="s">
        <v>177</v>
      </c>
      <c r="B46" s="110" t="s">
        <v>169</v>
      </c>
      <c r="C46" s="107" t="s">
        <v>171</v>
      </c>
    </row>
    <row r="47" spans="1:7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7" x14ac:dyDescent="0.2">
      <c r="A48"/>
      <c r="B48" s="106" t="s">
        <v>170</v>
      </c>
      <c r="C48" s="109" t="s">
        <v>172</v>
      </c>
    </row>
    <row r="49" spans="1:23" ht="16" thickBot="1" x14ac:dyDescent="0.25">
      <c r="A49"/>
      <c r="B49" s="111">
        <v>0.4</v>
      </c>
      <c r="C49" s="108">
        <v>1.202</v>
      </c>
    </row>
    <row r="50" spans="1:23" x14ac:dyDescent="0.2">
      <c r="A50"/>
      <c r="B50" s="61"/>
      <c r="C50" s="109" t="s">
        <v>173</v>
      </c>
    </row>
    <row r="51" spans="1:23" ht="16" thickBot="1" x14ac:dyDescent="0.25">
      <c r="A51"/>
      <c r="B51" s="61"/>
      <c r="C51" s="108">
        <v>0.1835</v>
      </c>
    </row>
    <row r="52" spans="1:23" x14ac:dyDescent="0.2">
      <c r="G52" s="1">
        <f t="shared" ref="G52:W52" si="2">SUM(G13:G51)</f>
        <v>0</v>
      </c>
      <c r="H52" s="1">
        <f t="shared" si="2"/>
        <v>0</v>
      </c>
      <c r="I52" s="1">
        <f t="shared" si="2"/>
        <v>0</v>
      </c>
      <c r="J52" s="1">
        <f t="shared" si="2"/>
        <v>0</v>
      </c>
      <c r="K52" s="1">
        <f t="shared" si="2"/>
        <v>0</v>
      </c>
      <c r="L52" s="1">
        <f t="shared" si="2"/>
        <v>0</v>
      </c>
      <c r="M52" s="1">
        <f t="shared" si="2"/>
        <v>0</v>
      </c>
      <c r="N52" s="1">
        <f t="shared" si="2"/>
        <v>0</v>
      </c>
      <c r="O52" s="1">
        <f t="shared" si="2"/>
        <v>0</v>
      </c>
      <c r="P52" s="1">
        <f t="shared" si="2"/>
        <v>0</v>
      </c>
      <c r="Q52" s="1">
        <f t="shared" si="2"/>
        <v>0</v>
      </c>
      <c r="R52" s="1">
        <f t="shared" si="2"/>
        <v>0</v>
      </c>
      <c r="S52" s="1">
        <f t="shared" si="2"/>
        <v>0</v>
      </c>
      <c r="T52" s="1">
        <f t="shared" si="2"/>
        <v>0</v>
      </c>
      <c r="U52" s="1">
        <f t="shared" si="2"/>
        <v>0</v>
      </c>
      <c r="V52" s="1">
        <f t="shared" si="2"/>
        <v>0</v>
      </c>
      <c r="W52" s="1">
        <f t="shared" si="2"/>
        <v>0</v>
      </c>
    </row>
  </sheetData>
  <mergeCells count="6">
    <mergeCell ref="A1:F1"/>
    <mergeCell ref="A2:F2"/>
    <mergeCell ref="A10:F10"/>
    <mergeCell ref="A19:F19"/>
    <mergeCell ref="A27:F27"/>
    <mergeCell ref="A4:F4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31" zoomScale="126" workbookViewId="0">
      <selection activeCell="A44" sqref="A44:C51"/>
    </sheetView>
  </sheetViews>
  <sheetFormatPr baseColWidth="10" defaultColWidth="11.5" defaultRowHeight="15" x14ac:dyDescent="0.2"/>
  <cols>
    <col min="1" max="1" width="20.5" customWidth="1"/>
    <col min="2" max="2" width="15.33203125" customWidth="1"/>
    <col min="3" max="3" width="17.33203125" customWidth="1"/>
    <col min="4" max="4" width="18.5" customWidth="1"/>
    <col min="5" max="5" width="18.33203125" customWidth="1"/>
    <col min="6" max="6" width="22.6640625" customWidth="1"/>
    <col min="7" max="7" width="42.5" customWidth="1"/>
  </cols>
  <sheetData>
    <row r="1" spans="1:7" x14ac:dyDescent="0.2">
      <c r="A1" s="207" t="s">
        <v>47</v>
      </c>
      <c r="B1" s="208"/>
      <c r="C1" s="208"/>
      <c r="D1" s="208"/>
      <c r="E1" s="208"/>
      <c r="F1" s="209"/>
      <c r="G1" s="1"/>
    </row>
    <row r="2" spans="1:7" ht="16" thickBot="1" x14ac:dyDescent="0.25">
      <c r="A2" s="210" t="s">
        <v>26</v>
      </c>
      <c r="B2" s="211"/>
      <c r="C2" s="211"/>
      <c r="D2" s="211"/>
      <c r="E2" s="211"/>
      <c r="F2" s="212"/>
      <c r="G2" s="1"/>
    </row>
    <row r="3" spans="1:7" ht="16" thickBot="1" x14ac:dyDescent="0.25"/>
    <row r="4" spans="1:7" ht="16" thickBot="1" x14ac:dyDescent="0.25">
      <c r="A4" s="216" t="s">
        <v>53</v>
      </c>
      <c r="B4" s="217"/>
      <c r="C4" s="217"/>
      <c r="D4" s="217"/>
      <c r="E4" s="217"/>
      <c r="F4" s="218"/>
      <c r="G4" s="1"/>
    </row>
    <row r="5" spans="1:7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  <c r="G5" s="1"/>
    </row>
    <row r="6" spans="1:7" x14ac:dyDescent="0.2">
      <c r="A6" s="37"/>
      <c r="B6" s="38"/>
      <c r="C6" s="38"/>
      <c r="D6" s="38"/>
      <c r="E6" s="38"/>
      <c r="F6" s="39"/>
      <c r="G6" s="1"/>
    </row>
    <row r="7" spans="1:7" x14ac:dyDescent="0.2">
      <c r="A7" s="33"/>
      <c r="B7" s="34"/>
      <c r="C7" s="34" t="s">
        <v>58</v>
      </c>
      <c r="D7" s="34" t="s">
        <v>59</v>
      </c>
      <c r="E7" s="34" t="s">
        <v>60</v>
      </c>
      <c r="F7" s="35" t="s">
        <v>61</v>
      </c>
      <c r="G7" s="1"/>
    </row>
    <row r="8" spans="1:7" ht="16" thickBot="1" x14ac:dyDescent="0.25">
      <c r="A8" s="40" t="s">
        <v>53</v>
      </c>
      <c r="B8" s="41"/>
      <c r="C8" s="42">
        <v>0</v>
      </c>
      <c r="D8" s="43">
        <v>3969432</v>
      </c>
      <c r="E8" s="44"/>
      <c r="F8" s="45">
        <f>D8+E8</f>
        <v>3969432</v>
      </c>
      <c r="G8" s="1"/>
    </row>
    <row r="9" spans="1:7" ht="16" thickBot="1" x14ac:dyDescent="0.25">
      <c r="A9" s="1"/>
      <c r="B9" s="1"/>
      <c r="C9" s="1"/>
      <c r="D9" s="1"/>
      <c r="E9" s="1"/>
      <c r="F9" s="1"/>
      <c r="G9" s="1"/>
    </row>
    <row r="10" spans="1:7" ht="16" thickBot="1" x14ac:dyDescent="0.25">
      <c r="A10" s="213" t="s">
        <v>22</v>
      </c>
      <c r="B10" s="214"/>
      <c r="C10" s="214"/>
      <c r="D10" s="214"/>
      <c r="E10" s="214"/>
      <c r="F10" s="215"/>
      <c r="G10" s="1"/>
    </row>
    <row r="11" spans="1:7" x14ac:dyDescent="0.2">
      <c r="A11" s="7"/>
      <c r="B11" s="8" t="s">
        <v>31</v>
      </c>
      <c r="C11" s="8" t="s">
        <v>7</v>
      </c>
      <c r="D11" s="8" t="s">
        <v>9</v>
      </c>
      <c r="E11" s="8" t="s">
        <v>8</v>
      </c>
      <c r="F11" s="9" t="s">
        <v>13</v>
      </c>
      <c r="G11" s="2"/>
    </row>
    <row r="12" spans="1:7" x14ac:dyDescent="0.2">
      <c r="A12" s="10"/>
      <c r="B12" s="11"/>
      <c r="C12" s="11"/>
      <c r="D12" s="11"/>
      <c r="E12" s="11"/>
      <c r="F12" s="12"/>
      <c r="G12" s="1"/>
    </row>
    <row r="13" spans="1:7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  <c r="G13" s="2"/>
    </row>
    <row r="14" spans="1:7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28">
        <v>2302.9009999999998</v>
      </c>
      <c r="F14" s="12">
        <f>D14*E14</f>
        <v>5279501.8701439993</v>
      </c>
      <c r="G14" s="1"/>
    </row>
    <row r="15" spans="1:7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28">
        <v>81.117999999999995</v>
      </c>
      <c r="F15" s="12">
        <f t="shared" ref="F15:F16" si="1">D15*E15</f>
        <v>112782.573536</v>
      </c>
      <c r="G15" s="1"/>
    </row>
    <row r="16" spans="1:7" x14ac:dyDescent="0.2">
      <c r="A16" s="10" t="s">
        <v>2</v>
      </c>
      <c r="B16" s="13">
        <f>B40</f>
        <v>5072</v>
      </c>
      <c r="C16" s="15">
        <v>0.45200000000000001</v>
      </c>
      <c r="D16" s="11">
        <f t="shared" si="0"/>
        <v>2292.5439999999999</v>
      </c>
      <c r="E16" s="28">
        <v>504.88799999999998</v>
      </c>
      <c r="F16" s="12">
        <f t="shared" si="1"/>
        <v>1157477.9550719999</v>
      </c>
      <c r="G16" s="1"/>
    </row>
    <row r="17" spans="1:7" ht="16" thickBot="1" x14ac:dyDescent="0.25">
      <c r="A17" s="16"/>
      <c r="B17" s="17"/>
      <c r="C17" s="18"/>
      <c r="D17" s="18"/>
      <c r="E17" s="19" t="s">
        <v>12</v>
      </c>
      <c r="F17" s="20">
        <f>SUM(F14:F16)</f>
        <v>6549762.3987519993</v>
      </c>
      <c r="G17" s="1"/>
    </row>
    <row r="18" spans="1:7" ht="16" thickBot="1" x14ac:dyDescent="0.25">
      <c r="A18" s="1"/>
      <c r="B18" s="6"/>
      <c r="C18" s="1"/>
      <c r="D18" s="1"/>
      <c r="E18" s="3"/>
      <c r="F18" s="4"/>
      <c r="G18" s="1"/>
    </row>
    <row r="19" spans="1:7" ht="16" thickBot="1" x14ac:dyDescent="0.25">
      <c r="A19" s="204" t="s">
        <v>23</v>
      </c>
      <c r="B19" s="205"/>
      <c r="C19" s="205"/>
      <c r="D19" s="205"/>
      <c r="E19" s="205"/>
      <c r="F19" s="206"/>
      <c r="G19" s="1"/>
    </row>
    <row r="20" spans="1:7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  <c r="G20" s="1"/>
    </row>
    <row r="21" spans="1:7" x14ac:dyDescent="0.2">
      <c r="A21" s="10"/>
      <c r="B21" s="13"/>
      <c r="C21" s="11"/>
      <c r="D21" s="11"/>
      <c r="E21" s="11"/>
      <c r="F21" s="12"/>
      <c r="G21" s="2"/>
    </row>
    <row r="22" spans="1:7" x14ac:dyDescent="0.2">
      <c r="A22" s="7"/>
      <c r="B22" s="25" t="s">
        <v>3</v>
      </c>
      <c r="C22" s="8" t="s">
        <v>4</v>
      </c>
      <c r="D22" s="8" t="s">
        <v>30</v>
      </c>
      <c r="E22" s="8" t="s">
        <v>28</v>
      </c>
      <c r="F22" s="9" t="s">
        <v>11</v>
      </c>
      <c r="G22" s="1"/>
    </row>
    <row r="23" spans="1:7" x14ac:dyDescent="0.2">
      <c r="A23" s="10" t="s">
        <v>27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1304</v>
      </c>
      <c r="F23" s="12">
        <f>D23*E23</f>
        <v>1658101.7215999998</v>
      </c>
      <c r="G23" s="2"/>
    </row>
    <row r="24" spans="1:7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827</v>
      </c>
      <c r="F24" s="12">
        <f>D24*E24</f>
        <v>1677817.6</v>
      </c>
      <c r="G24" s="1"/>
    </row>
    <row r="25" spans="1:7" ht="16" thickBot="1" x14ac:dyDescent="0.25">
      <c r="A25" s="16"/>
      <c r="B25" s="18"/>
      <c r="C25" s="27"/>
      <c r="D25" s="18"/>
      <c r="E25" s="19" t="s">
        <v>15</v>
      </c>
      <c r="F25" s="20">
        <f>SUM(F23:F24)</f>
        <v>3335919.3215999999</v>
      </c>
      <c r="G25" s="1"/>
    </row>
    <row r="26" spans="1:7" ht="16" thickBot="1" x14ac:dyDescent="0.25">
      <c r="A26" s="1"/>
      <c r="B26" s="1"/>
      <c r="C26" s="5"/>
      <c r="D26" s="1"/>
      <c r="E26" s="1"/>
      <c r="F26" s="1"/>
      <c r="G26" s="1"/>
    </row>
    <row r="27" spans="1:7" ht="16" thickBot="1" x14ac:dyDescent="0.25">
      <c r="A27" s="201" t="s">
        <v>24</v>
      </c>
      <c r="B27" s="202"/>
      <c r="C27" s="202"/>
      <c r="D27" s="202"/>
      <c r="E27" s="202"/>
      <c r="F27" s="203"/>
      <c r="G27" s="1"/>
    </row>
    <row r="28" spans="1:7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  <c r="G28" s="1"/>
    </row>
    <row r="29" spans="1:7" x14ac:dyDescent="0.2">
      <c r="A29" s="10"/>
      <c r="B29" s="13"/>
      <c r="C29" s="11"/>
      <c r="D29" s="11"/>
      <c r="E29" s="11"/>
      <c r="F29" s="12"/>
      <c r="G29" s="1"/>
    </row>
    <row r="30" spans="1:7" x14ac:dyDescent="0.2">
      <c r="A30" s="7"/>
      <c r="B30" s="25" t="s">
        <v>3</v>
      </c>
      <c r="C30" s="8" t="s">
        <v>4</v>
      </c>
      <c r="D30" s="8" t="s">
        <v>30</v>
      </c>
      <c r="E30" s="8" t="s">
        <v>28</v>
      </c>
      <c r="F30" s="9" t="s">
        <v>11</v>
      </c>
      <c r="G30" s="1"/>
    </row>
    <row r="31" spans="1:7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294</v>
      </c>
      <c r="F31" s="12">
        <f>D31*E31</f>
        <v>1550814.72</v>
      </c>
      <c r="G31" s="1"/>
    </row>
    <row r="32" spans="1:7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78</v>
      </c>
      <c r="F32" s="12">
        <f>D32*E32</f>
        <v>475530.43199999997</v>
      </c>
      <c r="G32" s="1"/>
    </row>
    <row r="33" spans="1:7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v>14</v>
      </c>
      <c r="F33" s="12">
        <f>D33*E33</f>
        <v>13029.968000000001</v>
      </c>
      <c r="G33" s="1"/>
    </row>
    <row r="34" spans="1:7" ht="16" thickBot="1" x14ac:dyDescent="0.25">
      <c r="A34" s="16"/>
      <c r="B34" s="18"/>
      <c r="C34" s="27"/>
      <c r="D34" s="18"/>
      <c r="E34" s="19" t="s">
        <v>15</v>
      </c>
      <c r="F34" s="20">
        <f>SUM(F31:F33)</f>
        <v>2039375.12</v>
      </c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3" t="s">
        <v>19</v>
      </c>
      <c r="F36" s="4">
        <f>F8+F17+F25+F34</f>
        <v>15894488.840351999</v>
      </c>
      <c r="G36" s="1"/>
    </row>
    <row r="37" spans="1:7" x14ac:dyDescent="0.2">
      <c r="A37" s="1"/>
      <c r="B37" s="1"/>
      <c r="C37" s="1"/>
      <c r="D37" s="1"/>
      <c r="E37" s="3" t="s">
        <v>20</v>
      </c>
      <c r="F37" s="4">
        <v>20139978</v>
      </c>
      <c r="G37" s="1"/>
    </row>
    <row r="38" spans="1:7" x14ac:dyDescent="0.2">
      <c r="A38" s="1"/>
      <c r="B38" s="1"/>
      <c r="C38" s="1"/>
      <c r="D38" s="1"/>
      <c r="E38" s="3" t="s">
        <v>21</v>
      </c>
      <c r="F38" s="4">
        <f>F36-F37</f>
        <v>-4245489.1596480012</v>
      </c>
      <c r="G38" s="29" t="s">
        <v>50</v>
      </c>
    </row>
    <row r="39" spans="1:7" x14ac:dyDescent="0.2">
      <c r="A39" s="1"/>
      <c r="B39" s="1"/>
      <c r="C39" s="1"/>
      <c r="D39" s="1"/>
      <c r="E39" s="1"/>
      <c r="F39" s="1"/>
      <c r="G39" s="1"/>
    </row>
    <row r="40" spans="1:7" ht="16" thickBot="1" x14ac:dyDescent="0.25">
      <c r="A40" s="20" t="s">
        <v>179</v>
      </c>
      <c r="B40" s="16">
        <v>5072</v>
      </c>
      <c r="C40" s="1"/>
      <c r="D40" s="1"/>
      <c r="E40" s="1"/>
      <c r="F40" s="1"/>
      <c r="G40" s="1"/>
    </row>
    <row r="41" spans="1:7" ht="16" thickBot="1" x14ac:dyDescent="0.25">
      <c r="A41" s="116" t="s">
        <v>180</v>
      </c>
      <c r="B41" s="117">
        <v>3076</v>
      </c>
      <c r="G41" s="1"/>
    </row>
    <row r="42" spans="1:7" x14ac:dyDescent="0.2">
      <c r="A42" s="118" t="s">
        <v>181</v>
      </c>
      <c r="B42" s="119">
        <v>5072</v>
      </c>
    </row>
    <row r="43" spans="1:7" x14ac:dyDescent="0.2">
      <c r="A43" s="1"/>
      <c r="B43" s="1"/>
    </row>
    <row r="45" spans="1:7" ht="16" thickBot="1" x14ac:dyDescent="0.25">
      <c r="A45" s="97" t="s">
        <v>168</v>
      </c>
      <c r="B45" s="104" t="s">
        <v>174</v>
      </c>
      <c r="C45" s="104" t="s">
        <v>175</v>
      </c>
    </row>
    <row r="46" spans="1:7" x14ac:dyDescent="0.2">
      <c r="A46" s="105" t="s">
        <v>177</v>
      </c>
      <c r="B46" s="110" t="s">
        <v>169</v>
      </c>
      <c r="C46" s="107" t="s">
        <v>171</v>
      </c>
    </row>
    <row r="47" spans="1:7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7" x14ac:dyDescent="0.2">
      <c r="B48" s="106" t="s">
        <v>170</v>
      </c>
      <c r="C48" s="109" t="s">
        <v>172</v>
      </c>
    </row>
    <row r="49" spans="2:3" ht="16" thickBot="1" x14ac:dyDescent="0.25">
      <c r="B49" s="111">
        <v>0.4</v>
      </c>
      <c r="C49" s="108">
        <v>1.202</v>
      </c>
    </row>
    <row r="50" spans="2:3" x14ac:dyDescent="0.2">
      <c r="B50" s="61"/>
      <c r="C50" s="109" t="s">
        <v>173</v>
      </c>
    </row>
    <row r="51" spans="2:3" ht="16" thickBot="1" x14ac:dyDescent="0.25">
      <c r="B51" s="61"/>
      <c r="C51" s="108">
        <v>0.1835</v>
      </c>
    </row>
  </sheetData>
  <mergeCells count="6">
    <mergeCell ref="A1:F1"/>
    <mergeCell ref="A2:F2"/>
    <mergeCell ref="A10:F10"/>
    <mergeCell ref="A19:F19"/>
    <mergeCell ref="A27:F27"/>
    <mergeCell ref="A4:F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32" zoomScale="119" workbookViewId="0">
      <selection activeCell="A44" sqref="A44:C51"/>
    </sheetView>
  </sheetViews>
  <sheetFormatPr baseColWidth="10" defaultColWidth="11.5" defaultRowHeight="15" x14ac:dyDescent="0.2"/>
  <cols>
    <col min="1" max="1" width="20.83203125" customWidth="1"/>
    <col min="2" max="2" width="15.6640625" customWidth="1"/>
    <col min="3" max="3" width="16" customWidth="1"/>
    <col min="4" max="4" width="17.83203125" customWidth="1"/>
    <col min="5" max="5" width="18.83203125" customWidth="1"/>
    <col min="6" max="6" width="21.1640625" customWidth="1"/>
    <col min="7" max="7" width="38.6640625" customWidth="1"/>
  </cols>
  <sheetData>
    <row r="1" spans="1:7" x14ac:dyDescent="0.2">
      <c r="A1" s="207" t="s">
        <v>49</v>
      </c>
      <c r="B1" s="208"/>
      <c r="C1" s="208"/>
      <c r="D1" s="208"/>
      <c r="E1" s="208"/>
      <c r="F1" s="209"/>
      <c r="G1" s="1"/>
    </row>
    <row r="2" spans="1:7" ht="16" thickBot="1" x14ac:dyDescent="0.25">
      <c r="A2" s="210" t="s">
        <v>26</v>
      </c>
      <c r="B2" s="211"/>
      <c r="C2" s="211"/>
      <c r="D2" s="211"/>
      <c r="E2" s="211"/>
      <c r="F2" s="212"/>
      <c r="G2" s="1"/>
    </row>
    <row r="3" spans="1:7" ht="16" thickBot="1" x14ac:dyDescent="0.25"/>
    <row r="4" spans="1:7" ht="16" thickBot="1" x14ac:dyDescent="0.25">
      <c r="A4" s="216" t="s">
        <v>53</v>
      </c>
      <c r="B4" s="217"/>
      <c r="C4" s="217"/>
      <c r="D4" s="217"/>
      <c r="E4" s="217"/>
      <c r="F4" s="218"/>
      <c r="G4" s="1"/>
    </row>
    <row r="5" spans="1:7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  <c r="G5" s="1"/>
    </row>
    <row r="6" spans="1:7" x14ac:dyDescent="0.2">
      <c r="A6" s="37"/>
      <c r="B6" s="38"/>
      <c r="C6" s="38"/>
      <c r="D6" s="38"/>
      <c r="E6" s="38"/>
      <c r="F6" s="39"/>
      <c r="G6" s="1"/>
    </row>
    <row r="7" spans="1:7" x14ac:dyDescent="0.2">
      <c r="A7" s="33"/>
      <c r="B7" s="34"/>
      <c r="C7" s="34" t="s">
        <v>58</v>
      </c>
      <c r="D7" s="34" t="s">
        <v>59</v>
      </c>
      <c r="E7" s="34" t="s">
        <v>60</v>
      </c>
      <c r="F7" s="35" t="s">
        <v>61</v>
      </c>
      <c r="G7" s="1"/>
    </row>
    <row r="8" spans="1:7" ht="16" thickBot="1" x14ac:dyDescent="0.25">
      <c r="A8" s="40" t="s">
        <v>53</v>
      </c>
      <c r="B8" s="41"/>
      <c r="C8" s="42">
        <v>0</v>
      </c>
      <c r="D8" s="43">
        <v>7938864</v>
      </c>
      <c r="E8" s="44"/>
      <c r="F8" s="45">
        <f>D8+E8</f>
        <v>7938864</v>
      </c>
      <c r="G8" s="1"/>
    </row>
    <row r="9" spans="1:7" ht="16" thickBot="1" x14ac:dyDescent="0.25">
      <c r="A9" s="1"/>
      <c r="B9" s="1"/>
      <c r="C9" s="1"/>
      <c r="D9" s="1"/>
      <c r="E9" s="1"/>
      <c r="F9" s="1"/>
      <c r="G9" s="1"/>
    </row>
    <row r="10" spans="1:7" ht="16" thickBot="1" x14ac:dyDescent="0.25">
      <c r="A10" s="213" t="s">
        <v>22</v>
      </c>
      <c r="B10" s="214"/>
      <c r="C10" s="214"/>
      <c r="D10" s="214"/>
      <c r="E10" s="214"/>
      <c r="F10" s="215"/>
      <c r="G10" s="1"/>
    </row>
    <row r="11" spans="1:7" x14ac:dyDescent="0.2">
      <c r="A11" s="7"/>
      <c r="B11" s="8" t="s">
        <v>41</v>
      </c>
      <c r="C11" s="8" t="s">
        <v>7</v>
      </c>
      <c r="D11" s="8" t="s">
        <v>9</v>
      </c>
      <c r="E11" s="8" t="s">
        <v>8</v>
      </c>
      <c r="F11" s="9" t="s">
        <v>13</v>
      </c>
      <c r="G11" s="2"/>
    </row>
    <row r="12" spans="1:7" x14ac:dyDescent="0.2">
      <c r="A12" s="10"/>
      <c r="B12" s="11"/>
      <c r="C12" s="11"/>
      <c r="D12" s="11"/>
      <c r="E12" s="11"/>
      <c r="F12" s="12"/>
      <c r="G12" s="1"/>
    </row>
    <row r="13" spans="1:7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  <c r="G13" s="2"/>
    </row>
    <row r="14" spans="1:7" x14ac:dyDescent="0.2">
      <c r="A14" s="10" t="s">
        <v>0</v>
      </c>
      <c r="B14" s="13">
        <f>B40</f>
        <v>5072</v>
      </c>
      <c r="C14" s="15">
        <v>0.45200000000000001</v>
      </c>
      <c r="D14" s="11">
        <f>B14*C14</f>
        <v>2292.5439999999999</v>
      </c>
      <c r="E14" s="14">
        <v>26043.166000000001</v>
      </c>
      <c r="F14" s="12">
        <f>D14*E14</f>
        <v>59705103.954304002</v>
      </c>
      <c r="G14" s="1"/>
    </row>
    <row r="15" spans="1:7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14">
        <v>2457.9209999999998</v>
      </c>
      <c r="F15" s="12">
        <f t="shared" ref="F15:F16" si="1">D15*E15</f>
        <v>3417375.3781920001</v>
      </c>
      <c r="G15" s="1"/>
    </row>
    <row r="16" spans="1:7" x14ac:dyDescent="0.2">
      <c r="A16" s="10" t="s">
        <v>2</v>
      </c>
      <c r="B16" s="13">
        <f>B40</f>
        <v>5072</v>
      </c>
      <c r="C16" s="15">
        <v>0.45200000000000001</v>
      </c>
      <c r="D16" s="11">
        <f t="shared" si="0"/>
        <v>2292.5439999999999</v>
      </c>
      <c r="E16" s="14">
        <v>268.65899999999999</v>
      </c>
      <c r="F16" s="12">
        <f t="shared" si="1"/>
        <v>615912.57849599991</v>
      </c>
      <c r="G16" s="1"/>
    </row>
    <row r="17" spans="1:7" ht="16" thickBot="1" x14ac:dyDescent="0.25">
      <c r="A17" s="16"/>
      <c r="B17" s="17"/>
      <c r="C17" s="18"/>
      <c r="D17" s="18"/>
      <c r="E17" s="19" t="s">
        <v>12</v>
      </c>
      <c r="F17" s="20">
        <f>SUM(F14:F16)</f>
        <v>63738391.910992004</v>
      </c>
      <c r="G17" s="1"/>
    </row>
    <row r="18" spans="1:7" ht="16" thickBot="1" x14ac:dyDescent="0.25">
      <c r="A18" s="1"/>
      <c r="B18" s="6"/>
      <c r="C18" s="1"/>
      <c r="D18" s="1"/>
      <c r="E18" s="3"/>
      <c r="F18" s="4"/>
      <c r="G18" s="1"/>
    </row>
    <row r="19" spans="1:7" ht="16" thickBot="1" x14ac:dyDescent="0.25">
      <c r="A19" s="204" t="s">
        <v>23</v>
      </c>
      <c r="B19" s="205"/>
      <c r="C19" s="205"/>
      <c r="D19" s="205"/>
      <c r="E19" s="205"/>
      <c r="F19" s="206"/>
      <c r="G19" s="1"/>
    </row>
    <row r="20" spans="1:7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  <c r="G20" s="1"/>
    </row>
    <row r="21" spans="1:7" x14ac:dyDescent="0.2">
      <c r="A21" s="10"/>
      <c r="B21" s="13"/>
      <c r="C21" s="11"/>
      <c r="D21" s="11"/>
      <c r="E21" s="11"/>
      <c r="F21" s="12"/>
      <c r="G21" s="2"/>
    </row>
    <row r="22" spans="1:7" x14ac:dyDescent="0.2">
      <c r="A22" s="7"/>
      <c r="B22" s="25" t="s">
        <v>3</v>
      </c>
      <c r="C22" s="8" t="s">
        <v>4</v>
      </c>
      <c r="D22" s="8" t="s">
        <v>5</v>
      </c>
      <c r="E22" s="8" t="s">
        <v>28</v>
      </c>
      <c r="F22" s="9" t="s">
        <v>11</v>
      </c>
      <c r="G22" s="1"/>
    </row>
    <row r="23" spans="1:7" x14ac:dyDescent="0.2">
      <c r="A23" s="10" t="s">
        <v>27</v>
      </c>
      <c r="B23" s="13">
        <f>B40</f>
        <v>5072</v>
      </c>
      <c r="C23" s="26">
        <v>0.25069999999999998</v>
      </c>
      <c r="D23" s="11">
        <f>B23*C23</f>
        <v>1271.5503999999999</v>
      </c>
      <c r="E23" s="14">
        <v>16230</v>
      </c>
      <c r="F23" s="12">
        <f>D23*E23</f>
        <v>20637262.991999999</v>
      </c>
      <c r="G23" s="2"/>
    </row>
    <row r="24" spans="1:7" x14ac:dyDescent="0.2">
      <c r="A24" s="10" t="s">
        <v>14</v>
      </c>
      <c r="B24" s="13">
        <f>B40</f>
        <v>5072</v>
      </c>
      <c r="C24" s="15">
        <v>0.4</v>
      </c>
      <c r="D24" s="11">
        <f>B24*C24</f>
        <v>2028.8000000000002</v>
      </c>
      <c r="E24" s="14">
        <v>6071</v>
      </c>
      <c r="F24" s="12">
        <f>D24*E24</f>
        <v>12316844.800000001</v>
      </c>
      <c r="G24" s="1"/>
    </row>
    <row r="25" spans="1:7" ht="16" thickBot="1" x14ac:dyDescent="0.25">
      <c r="A25" s="16"/>
      <c r="B25" s="18"/>
      <c r="C25" s="27"/>
      <c r="D25" s="18"/>
      <c r="E25" s="19" t="s">
        <v>15</v>
      </c>
      <c r="F25" s="20">
        <f>SUM(F23:F24)</f>
        <v>32954107.791999999</v>
      </c>
      <c r="G25" s="1"/>
    </row>
    <row r="26" spans="1:7" ht="16" thickBot="1" x14ac:dyDescent="0.25">
      <c r="A26" s="1"/>
      <c r="B26" s="1"/>
      <c r="C26" s="5"/>
      <c r="D26" s="1"/>
      <c r="E26" s="1"/>
      <c r="F26" s="1"/>
      <c r="G26" s="1"/>
    </row>
    <row r="27" spans="1:7" ht="16" thickBot="1" x14ac:dyDescent="0.25">
      <c r="A27" s="201" t="s">
        <v>24</v>
      </c>
      <c r="B27" s="202"/>
      <c r="C27" s="202"/>
      <c r="D27" s="202"/>
      <c r="E27" s="202"/>
      <c r="F27" s="203"/>
      <c r="G27" s="1"/>
    </row>
    <row r="28" spans="1:7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  <c r="G28" s="1"/>
    </row>
    <row r="29" spans="1:7" x14ac:dyDescent="0.2">
      <c r="A29" s="10"/>
      <c r="B29" s="13"/>
      <c r="C29" s="11"/>
      <c r="D29" s="11"/>
      <c r="E29" s="11"/>
      <c r="F29" s="12"/>
      <c r="G29" s="1"/>
    </row>
    <row r="30" spans="1:7" x14ac:dyDescent="0.2">
      <c r="A30" s="7"/>
      <c r="B30" s="25" t="s">
        <v>3</v>
      </c>
      <c r="C30" s="8" t="s">
        <v>4</v>
      </c>
      <c r="D30" s="8" t="s">
        <v>5</v>
      </c>
      <c r="E30" s="8" t="s">
        <v>28</v>
      </c>
      <c r="F30" s="9" t="s">
        <v>11</v>
      </c>
      <c r="G30" s="1"/>
    </row>
    <row r="31" spans="1:7" x14ac:dyDescent="0.2">
      <c r="A31" s="10" t="s">
        <v>16</v>
      </c>
      <c r="B31" s="13">
        <f>B40</f>
        <v>5072</v>
      </c>
      <c r="C31" s="26">
        <v>1.04</v>
      </c>
      <c r="D31" s="11">
        <f>B31*C31</f>
        <v>5274.88</v>
      </c>
      <c r="E31" s="14">
        <v>6630</v>
      </c>
      <c r="F31" s="12">
        <f>D31*E31</f>
        <v>34972454.399999999</v>
      </c>
      <c r="G31" s="1"/>
    </row>
    <row r="32" spans="1:7" x14ac:dyDescent="0.2">
      <c r="A32" s="10" t="s">
        <v>17</v>
      </c>
      <c r="B32" s="13">
        <f>B40</f>
        <v>5072</v>
      </c>
      <c r="C32" s="15">
        <v>1.202</v>
      </c>
      <c r="D32" s="11">
        <f>B32*C32</f>
        <v>6096.5439999999999</v>
      </c>
      <c r="E32" s="14">
        <v>2026</v>
      </c>
      <c r="F32" s="12">
        <f>D32*E32</f>
        <v>12351598.143999999</v>
      </c>
      <c r="G32" s="1"/>
    </row>
    <row r="33" spans="1:7" x14ac:dyDescent="0.2">
      <c r="A33" s="10" t="s">
        <v>18</v>
      </c>
      <c r="B33" s="13">
        <f>B40</f>
        <v>5072</v>
      </c>
      <c r="C33" s="26">
        <v>0.1835</v>
      </c>
      <c r="D33" s="11">
        <f>B33*C33</f>
        <v>930.71199999999999</v>
      </c>
      <c r="E33" s="14">
        <v>1082</v>
      </c>
      <c r="F33" s="12">
        <f>D33*E33</f>
        <v>1007030.384</v>
      </c>
      <c r="G33" s="1"/>
    </row>
    <row r="34" spans="1:7" ht="16" thickBot="1" x14ac:dyDescent="0.25">
      <c r="A34" s="16"/>
      <c r="B34" s="18"/>
      <c r="C34" s="27"/>
      <c r="D34" s="18"/>
      <c r="E34" s="19" t="s">
        <v>15</v>
      </c>
      <c r="F34" s="20">
        <f>SUM(F31:F33)</f>
        <v>48331082.928000003</v>
      </c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3" t="s">
        <v>19</v>
      </c>
      <c r="F36" s="4">
        <f>F8+F17+F25+F34</f>
        <v>152962446.630992</v>
      </c>
      <c r="G36" s="1"/>
    </row>
    <row r="37" spans="1:7" x14ac:dyDescent="0.2">
      <c r="A37" s="1"/>
      <c r="B37" s="1"/>
      <c r="C37" s="1"/>
      <c r="D37" s="1"/>
      <c r="E37" s="3" t="s">
        <v>20</v>
      </c>
      <c r="F37" s="4">
        <v>159411517</v>
      </c>
      <c r="G37" s="1"/>
    </row>
    <row r="38" spans="1:7" x14ac:dyDescent="0.2">
      <c r="A38" s="1"/>
      <c r="B38" s="1"/>
      <c r="C38" s="1"/>
      <c r="D38" s="1"/>
      <c r="E38" s="3" t="s">
        <v>21</v>
      </c>
      <c r="F38" s="4">
        <f>F36-F37</f>
        <v>-6449070.3690080047</v>
      </c>
      <c r="G38" s="29" t="s">
        <v>50</v>
      </c>
    </row>
    <row r="39" spans="1:7" x14ac:dyDescent="0.2">
      <c r="A39" s="1"/>
      <c r="B39" s="1"/>
      <c r="C39" s="1"/>
      <c r="D39" s="1"/>
      <c r="E39" s="1"/>
      <c r="F39" s="1"/>
      <c r="G39" s="1"/>
    </row>
    <row r="40" spans="1:7" ht="16" thickBot="1" x14ac:dyDescent="0.25">
      <c r="A40" s="20" t="s">
        <v>179</v>
      </c>
      <c r="B40" s="16">
        <v>5072</v>
      </c>
      <c r="C40" s="1"/>
      <c r="D40" s="1"/>
      <c r="E40" s="1"/>
      <c r="F40" s="1"/>
      <c r="G40" s="1"/>
    </row>
    <row r="41" spans="1:7" ht="16" thickBot="1" x14ac:dyDescent="0.25">
      <c r="A41" s="116" t="s">
        <v>180</v>
      </c>
      <c r="B41" s="117">
        <v>3076</v>
      </c>
      <c r="C41" s="1"/>
      <c r="D41" s="1"/>
      <c r="E41" s="1"/>
      <c r="F41" s="1"/>
      <c r="G41" s="1"/>
    </row>
    <row r="42" spans="1:7" x14ac:dyDescent="0.2">
      <c r="A42" s="118" t="s">
        <v>181</v>
      </c>
      <c r="B42" s="119">
        <v>5072</v>
      </c>
      <c r="G42" s="1"/>
    </row>
    <row r="43" spans="1:7" x14ac:dyDescent="0.2">
      <c r="A43" s="1"/>
      <c r="B43" s="1"/>
    </row>
    <row r="45" spans="1:7" ht="16" thickBot="1" x14ac:dyDescent="0.25">
      <c r="A45" s="97" t="s">
        <v>168</v>
      </c>
      <c r="B45" s="104" t="s">
        <v>174</v>
      </c>
      <c r="C45" s="104" t="s">
        <v>175</v>
      </c>
    </row>
    <row r="46" spans="1:7" x14ac:dyDescent="0.2">
      <c r="A46" s="105" t="s">
        <v>177</v>
      </c>
      <c r="B46" s="110" t="s">
        <v>169</v>
      </c>
      <c r="C46" s="107" t="s">
        <v>171</v>
      </c>
    </row>
    <row r="47" spans="1:7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7" x14ac:dyDescent="0.2">
      <c r="B48" s="106" t="s">
        <v>170</v>
      </c>
      <c r="C48" s="109" t="s">
        <v>172</v>
      </c>
    </row>
    <row r="49" spans="2:3" ht="16" thickBot="1" x14ac:dyDescent="0.25">
      <c r="B49" s="111">
        <v>0.4</v>
      </c>
      <c r="C49" s="108">
        <v>1.202</v>
      </c>
    </row>
    <row r="50" spans="2:3" x14ac:dyDescent="0.2">
      <c r="B50" s="61"/>
      <c r="C50" s="109" t="s">
        <v>173</v>
      </c>
    </row>
    <row r="51" spans="2:3" ht="16" thickBot="1" x14ac:dyDescent="0.25">
      <c r="B51" s="61"/>
      <c r="C51" s="108">
        <v>0.1835</v>
      </c>
    </row>
  </sheetData>
  <mergeCells count="6">
    <mergeCell ref="A1:F1"/>
    <mergeCell ref="A2:F2"/>
    <mergeCell ref="A10:F10"/>
    <mergeCell ref="A19:F19"/>
    <mergeCell ref="A27:F27"/>
    <mergeCell ref="A4:F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topLeftCell="A24" zoomScale="106" workbookViewId="0">
      <selection activeCell="F42" sqref="F42"/>
    </sheetView>
  </sheetViews>
  <sheetFormatPr baseColWidth="10" defaultColWidth="17.6640625" defaultRowHeight="15" x14ac:dyDescent="0.2"/>
  <cols>
    <col min="1" max="1" width="22.5" style="1" bestFit="1" customWidth="1"/>
    <col min="2" max="6" width="17.6640625" style="1"/>
    <col min="7" max="7" width="40.5" style="1" customWidth="1"/>
    <col min="8" max="16384" width="17.6640625" style="1"/>
  </cols>
  <sheetData>
    <row r="1" spans="1:6" x14ac:dyDescent="0.2">
      <c r="A1" s="207" t="s">
        <v>37</v>
      </c>
      <c r="B1" s="208"/>
      <c r="C1" s="208"/>
      <c r="D1" s="208"/>
      <c r="E1" s="208"/>
      <c r="F1" s="209"/>
    </row>
    <row r="2" spans="1:6" ht="16" thickBot="1" x14ac:dyDescent="0.25">
      <c r="A2" s="210" t="s">
        <v>26</v>
      </c>
      <c r="B2" s="211"/>
      <c r="C2" s="211"/>
      <c r="D2" s="211"/>
      <c r="E2" s="211"/>
      <c r="F2" s="212"/>
    </row>
    <row r="3" spans="1:6" customFormat="1" ht="16" thickBot="1" x14ac:dyDescent="0.25"/>
    <row r="4" spans="1:6" ht="16" thickBot="1" x14ac:dyDescent="0.25">
      <c r="A4" s="216" t="s">
        <v>53</v>
      </c>
      <c r="B4" s="217"/>
      <c r="C4" s="217"/>
      <c r="D4" s="217"/>
      <c r="E4" s="217"/>
      <c r="F4" s="218"/>
    </row>
    <row r="5" spans="1:6" x14ac:dyDescent="0.2">
      <c r="A5" s="33"/>
      <c r="B5" s="34" t="s">
        <v>54</v>
      </c>
      <c r="C5" s="34" t="s">
        <v>55</v>
      </c>
      <c r="D5" s="34" t="s">
        <v>56</v>
      </c>
      <c r="E5" s="34" t="s">
        <v>57</v>
      </c>
      <c r="F5" s="35" t="s">
        <v>162</v>
      </c>
    </row>
    <row r="6" spans="1:6" x14ac:dyDescent="0.2">
      <c r="A6" s="37"/>
      <c r="B6" s="38"/>
      <c r="C6" s="38"/>
      <c r="D6" s="38"/>
      <c r="E6" s="38"/>
      <c r="F6" s="39"/>
    </row>
    <row r="7" spans="1:6" x14ac:dyDescent="0.2">
      <c r="A7" s="33"/>
      <c r="B7" s="34"/>
      <c r="C7" s="34" t="s">
        <v>58</v>
      </c>
      <c r="D7" s="34" t="s">
        <v>59</v>
      </c>
      <c r="E7" s="34" t="s">
        <v>60</v>
      </c>
      <c r="F7" s="35" t="s">
        <v>61</v>
      </c>
    </row>
    <row r="8" spans="1:6" ht="16" thickBot="1" x14ac:dyDescent="0.25">
      <c r="A8" s="40" t="s">
        <v>53</v>
      </c>
      <c r="B8" s="41"/>
      <c r="C8" s="42">
        <v>0</v>
      </c>
      <c r="D8" s="43">
        <v>10774172</v>
      </c>
      <c r="E8" s="44">
        <v>2268246</v>
      </c>
      <c r="F8" s="45">
        <f>D8+E8</f>
        <v>13042418</v>
      </c>
    </row>
    <row r="9" spans="1:6" ht="16" thickBot="1" x14ac:dyDescent="0.25"/>
    <row r="10" spans="1:6" ht="16" thickBot="1" x14ac:dyDescent="0.25">
      <c r="A10" s="213" t="s">
        <v>22</v>
      </c>
      <c r="B10" s="214"/>
      <c r="C10" s="214"/>
      <c r="D10" s="214"/>
      <c r="E10" s="214"/>
      <c r="F10" s="215"/>
    </row>
    <row r="11" spans="1:6" s="2" customFormat="1" x14ac:dyDescent="0.2">
      <c r="A11" s="7"/>
      <c r="B11" s="8" t="s">
        <v>31</v>
      </c>
      <c r="C11" s="8" t="s">
        <v>7</v>
      </c>
      <c r="D11" s="8" t="s">
        <v>9</v>
      </c>
      <c r="E11" s="8" t="s">
        <v>8</v>
      </c>
      <c r="F11" s="9" t="s">
        <v>13</v>
      </c>
    </row>
    <row r="12" spans="1:6" x14ac:dyDescent="0.2">
      <c r="A12" s="10"/>
      <c r="B12" s="11"/>
      <c r="C12" s="11"/>
      <c r="D12" s="11"/>
      <c r="E12" s="11"/>
      <c r="F12" s="12"/>
    </row>
    <row r="13" spans="1:6" s="2" customFormat="1" x14ac:dyDescent="0.2">
      <c r="A13" s="7"/>
      <c r="B13" s="8" t="s">
        <v>3</v>
      </c>
      <c r="C13" s="8" t="s">
        <v>4</v>
      </c>
      <c r="D13" s="8" t="s">
        <v>5</v>
      </c>
      <c r="E13" s="8" t="s">
        <v>10</v>
      </c>
      <c r="F13" s="9" t="s">
        <v>11</v>
      </c>
    </row>
    <row r="14" spans="1:6" x14ac:dyDescent="0.2">
      <c r="A14" s="10" t="s">
        <v>0</v>
      </c>
      <c r="B14" s="13">
        <v>5454</v>
      </c>
      <c r="C14" s="15">
        <v>0.45200000000000001</v>
      </c>
      <c r="D14" s="11">
        <f>B14*C14</f>
        <v>2465.2080000000001</v>
      </c>
      <c r="E14" s="114">
        <v>29053.400005000003</v>
      </c>
      <c r="F14" s="12">
        <f>D14*E14</f>
        <v>71622674.119526044</v>
      </c>
    </row>
    <row r="15" spans="1:6" x14ac:dyDescent="0.2">
      <c r="A15" s="10" t="s">
        <v>1</v>
      </c>
      <c r="B15" s="13">
        <f>B41</f>
        <v>3076</v>
      </c>
      <c r="C15" s="15">
        <v>0.45200000000000001</v>
      </c>
      <c r="D15" s="11">
        <f t="shared" ref="D15:D16" si="0">B15*C15</f>
        <v>1390.3520000000001</v>
      </c>
      <c r="E15" s="28">
        <v>283.01600000000002</v>
      </c>
      <c r="F15" s="12">
        <f t="shared" ref="F15:F16" si="1">D15*E15</f>
        <v>393491.86163200007</v>
      </c>
    </row>
    <row r="16" spans="1:6" x14ac:dyDescent="0.2">
      <c r="A16" s="10" t="s">
        <v>2</v>
      </c>
      <c r="B16" s="13">
        <v>5454</v>
      </c>
      <c r="C16" s="15">
        <v>0.45200000000000001</v>
      </c>
      <c r="D16" s="11">
        <f t="shared" si="0"/>
        <v>2465.2080000000001</v>
      </c>
      <c r="E16" s="28">
        <v>133.76599999999999</v>
      </c>
      <c r="F16" s="12">
        <f t="shared" si="1"/>
        <v>329761.01332799997</v>
      </c>
    </row>
    <row r="17" spans="1:6" ht="16" thickBot="1" x14ac:dyDescent="0.25">
      <c r="A17" s="16"/>
      <c r="B17" s="17"/>
      <c r="C17" s="18"/>
      <c r="D17" s="18"/>
      <c r="E17" s="19" t="s">
        <v>12</v>
      </c>
      <c r="F17" s="20">
        <f>SUM(F14:F16)</f>
        <v>72345926.994486049</v>
      </c>
    </row>
    <row r="18" spans="1:6" ht="16" thickBot="1" x14ac:dyDescent="0.25">
      <c r="B18" s="6"/>
      <c r="E18" s="3"/>
      <c r="F18" s="4"/>
    </row>
    <row r="19" spans="1:6" ht="16" thickBot="1" x14ac:dyDescent="0.25">
      <c r="A19" s="204" t="s">
        <v>23</v>
      </c>
      <c r="B19" s="205"/>
      <c r="C19" s="205"/>
      <c r="D19" s="205"/>
      <c r="E19" s="205"/>
      <c r="F19" s="206"/>
    </row>
    <row r="20" spans="1:6" x14ac:dyDescent="0.2">
      <c r="A20" s="21"/>
      <c r="B20" s="22" t="s">
        <v>6</v>
      </c>
      <c r="C20" s="23" t="s">
        <v>7</v>
      </c>
      <c r="D20" s="23" t="s">
        <v>9</v>
      </c>
      <c r="E20" s="23" t="s">
        <v>8</v>
      </c>
      <c r="F20" s="24" t="s">
        <v>13</v>
      </c>
    </row>
    <row r="21" spans="1:6" s="2" customFormat="1" x14ac:dyDescent="0.2">
      <c r="A21" s="10"/>
      <c r="B21" s="13"/>
      <c r="C21" s="11"/>
      <c r="D21" s="11"/>
      <c r="E21" s="11"/>
      <c r="F21" s="12"/>
    </row>
    <row r="22" spans="1:6" x14ac:dyDescent="0.2">
      <c r="A22" s="7"/>
      <c r="B22" s="25" t="s">
        <v>3</v>
      </c>
      <c r="C22" s="8" t="s">
        <v>4</v>
      </c>
      <c r="D22" s="8" t="s">
        <v>30</v>
      </c>
      <c r="E22" s="8" t="s">
        <v>28</v>
      </c>
      <c r="F22" s="9" t="s">
        <v>11</v>
      </c>
    </row>
    <row r="23" spans="1:6" s="2" customFormat="1" x14ac:dyDescent="0.2">
      <c r="A23" s="10" t="s">
        <v>27</v>
      </c>
      <c r="B23" s="13">
        <v>5454</v>
      </c>
      <c r="C23" s="26">
        <v>0.25069999999999998</v>
      </c>
      <c r="D23" s="11">
        <f>B23*C23</f>
        <v>1367.3177999999998</v>
      </c>
      <c r="E23" s="14">
        <v>31703</v>
      </c>
      <c r="F23" s="12">
        <f>D23*E23</f>
        <v>43348076.213399991</v>
      </c>
    </row>
    <row r="24" spans="1:6" x14ac:dyDescent="0.2">
      <c r="A24" s="10" t="s">
        <v>14</v>
      </c>
      <c r="B24" s="13">
        <v>5454</v>
      </c>
      <c r="C24" s="15">
        <v>0.4</v>
      </c>
      <c r="D24" s="11">
        <f>B24*C24</f>
        <v>2181.6</v>
      </c>
      <c r="E24" s="14">
        <v>15616</v>
      </c>
      <c r="F24" s="12">
        <f>D24*E24</f>
        <v>34067865.600000001</v>
      </c>
    </row>
    <row r="25" spans="1:6" ht="16" thickBot="1" x14ac:dyDescent="0.25">
      <c r="A25" s="16"/>
      <c r="B25" s="18"/>
      <c r="C25" s="27"/>
      <c r="D25" s="18"/>
      <c r="E25" s="19" t="s">
        <v>15</v>
      </c>
      <c r="F25" s="20">
        <f>SUM(F23:F24)</f>
        <v>77415941.8134</v>
      </c>
    </row>
    <row r="26" spans="1:6" ht="16" thickBot="1" x14ac:dyDescent="0.25">
      <c r="C26" s="5"/>
    </row>
    <row r="27" spans="1:6" ht="16" thickBot="1" x14ac:dyDescent="0.25">
      <c r="A27" s="201" t="s">
        <v>24</v>
      </c>
      <c r="B27" s="202"/>
      <c r="C27" s="202"/>
      <c r="D27" s="202"/>
      <c r="E27" s="202"/>
      <c r="F27" s="203"/>
    </row>
    <row r="28" spans="1:6" x14ac:dyDescent="0.2">
      <c r="A28" s="21"/>
      <c r="B28" s="22" t="s">
        <v>6</v>
      </c>
      <c r="C28" s="23" t="s">
        <v>7</v>
      </c>
      <c r="D28" s="23" t="s">
        <v>9</v>
      </c>
      <c r="E28" s="23" t="s">
        <v>8</v>
      </c>
      <c r="F28" s="24" t="s">
        <v>13</v>
      </c>
    </row>
    <row r="29" spans="1:6" x14ac:dyDescent="0.2">
      <c r="A29" s="10"/>
      <c r="B29" s="13"/>
      <c r="C29" s="11"/>
      <c r="D29" s="11"/>
      <c r="E29" s="11"/>
      <c r="F29" s="12"/>
    </row>
    <row r="30" spans="1:6" x14ac:dyDescent="0.2">
      <c r="A30" s="7"/>
      <c r="B30" s="25" t="s">
        <v>3</v>
      </c>
      <c r="C30" s="8" t="s">
        <v>4</v>
      </c>
      <c r="D30" s="8" t="s">
        <v>30</v>
      </c>
      <c r="E30" s="8" t="s">
        <v>28</v>
      </c>
      <c r="F30" s="9" t="s">
        <v>11</v>
      </c>
    </row>
    <row r="31" spans="1:6" x14ac:dyDescent="0.2">
      <c r="A31" s="10" t="s">
        <v>16</v>
      </c>
      <c r="B31" s="13">
        <v>5454</v>
      </c>
      <c r="C31" s="26">
        <v>1.04</v>
      </c>
      <c r="D31" s="11">
        <f>B31*C31</f>
        <v>5672.16</v>
      </c>
      <c r="E31" s="14">
        <v>3635</v>
      </c>
      <c r="F31" s="12">
        <f>D31*E31</f>
        <v>20618301.599999998</v>
      </c>
    </row>
    <row r="32" spans="1:6" x14ac:dyDescent="0.2">
      <c r="A32" s="10" t="s">
        <v>17</v>
      </c>
      <c r="B32" s="13">
        <v>5454</v>
      </c>
      <c r="C32" s="15">
        <v>1.202</v>
      </c>
      <c r="D32" s="11">
        <f>B32*C32</f>
        <v>6555.7079999999996</v>
      </c>
      <c r="E32" s="14">
        <v>1417</v>
      </c>
      <c r="F32" s="12">
        <f>D32*E32</f>
        <v>9289438.2359999996</v>
      </c>
    </row>
    <row r="33" spans="1:7" x14ac:dyDescent="0.2">
      <c r="A33" s="10" t="s">
        <v>18</v>
      </c>
      <c r="B33" s="13">
        <v>5454</v>
      </c>
      <c r="C33" s="26">
        <v>0.1835</v>
      </c>
      <c r="D33" s="11">
        <f>B33*C33</f>
        <v>1000.809</v>
      </c>
      <c r="E33" s="14">
        <v>1409</v>
      </c>
      <c r="F33" s="12">
        <f>D33*E33</f>
        <v>1410139.8810000001</v>
      </c>
    </row>
    <row r="34" spans="1:7" ht="16" thickBot="1" x14ac:dyDescent="0.25">
      <c r="A34" s="16"/>
      <c r="B34" s="18"/>
      <c r="C34" s="27"/>
      <c r="D34" s="18"/>
      <c r="E34" s="19" t="s">
        <v>15</v>
      </c>
      <c r="F34" s="20">
        <f>SUM(F31:F33)</f>
        <v>31317879.716999996</v>
      </c>
    </row>
    <row r="36" spans="1:7" x14ac:dyDescent="0.2">
      <c r="E36" s="3" t="s">
        <v>19</v>
      </c>
      <c r="F36" s="4">
        <f>F8+F17+F25+F34</f>
        <v>194122166.52488607</v>
      </c>
    </row>
    <row r="37" spans="1:7" x14ac:dyDescent="0.2">
      <c r="E37" s="3" t="s">
        <v>20</v>
      </c>
      <c r="F37" s="4">
        <v>172066938</v>
      </c>
    </row>
    <row r="38" spans="1:7" x14ac:dyDescent="0.2">
      <c r="E38" s="3" t="s">
        <v>21</v>
      </c>
      <c r="F38" s="4">
        <f>F36-F37</f>
        <v>22055228.524886072</v>
      </c>
      <c r="G38" s="29" t="s">
        <v>50</v>
      </c>
    </row>
    <row r="40" spans="1:7" ht="16" thickBot="1" x14ac:dyDescent="0.25">
      <c r="A40" s="20" t="s">
        <v>179</v>
      </c>
      <c r="B40" s="16">
        <v>5072</v>
      </c>
    </row>
    <row r="41" spans="1:7" ht="16" thickBot="1" x14ac:dyDescent="0.25">
      <c r="A41" s="116" t="s">
        <v>180</v>
      </c>
      <c r="B41" s="117">
        <v>3076</v>
      </c>
    </row>
    <row r="42" spans="1:7" x14ac:dyDescent="0.2">
      <c r="A42" s="118" t="s">
        <v>181</v>
      </c>
      <c r="B42" s="119">
        <v>5072</v>
      </c>
    </row>
    <row r="44" spans="1:7" x14ac:dyDescent="0.2">
      <c r="A44"/>
      <c r="B44"/>
      <c r="C44"/>
    </row>
    <row r="45" spans="1:7" ht="16" thickBot="1" x14ac:dyDescent="0.25">
      <c r="A45" s="97" t="s">
        <v>168</v>
      </c>
      <c r="B45" s="104" t="s">
        <v>174</v>
      </c>
      <c r="C45" s="104" t="s">
        <v>175</v>
      </c>
    </row>
    <row r="46" spans="1:7" x14ac:dyDescent="0.2">
      <c r="A46" s="105" t="s">
        <v>177</v>
      </c>
      <c r="B46" s="110" t="s">
        <v>169</v>
      </c>
      <c r="C46" s="107" t="s">
        <v>171</v>
      </c>
    </row>
    <row r="47" spans="1:7" ht="16" thickBot="1" x14ac:dyDescent="0.25">
      <c r="A47" s="113">
        <v>0.45200000000000001</v>
      </c>
      <c r="B47" s="111">
        <v>0.25069999999999998</v>
      </c>
      <c r="C47" s="112">
        <v>1.04</v>
      </c>
    </row>
    <row r="48" spans="1:7" x14ac:dyDescent="0.2">
      <c r="A48"/>
      <c r="B48" s="106" t="s">
        <v>170</v>
      </c>
      <c r="C48" s="109" t="s">
        <v>172</v>
      </c>
    </row>
    <row r="49" spans="1:23" ht="16" thickBot="1" x14ac:dyDescent="0.25">
      <c r="A49"/>
      <c r="B49" s="111">
        <v>0.4</v>
      </c>
      <c r="C49" s="108">
        <v>1.202</v>
      </c>
    </row>
    <row r="50" spans="1:23" x14ac:dyDescent="0.2">
      <c r="A50"/>
      <c r="B50" s="61"/>
      <c r="C50" s="109" t="s">
        <v>173</v>
      </c>
    </row>
    <row r="51" spans="1:23" ht="16" thickBot="1" x14ac:dyDescent="0.25">
      <c r="A51"/>
      <c r="B51" s="61"/>
      <c r="C51" s="108">
        <v>0.1835</v>
      </c>
    </row>
    <row r="52" spans="1:23" x14ac:dyDescent="0.2">
      <c r="G52" s="1">
        <f t="shared" ref="G52:W52" si="2">SUM(G13:G51)</f>
        <v>0</v>
      </c>
      <c r="H52" s="1">
        <f t="shared" si="2"/>
        <v>0</v>
      </c>
      <c r="I52" s="1">
        <f t="shared" si="2"/>
        <v>0</v>
      </c>
      <c r="J52" s="1">
        <f t="shared" si="2"/>
        <v>0</v>
      </c>
      <c r="K52" s="1">
        <f t="shared" si="2"/>
        <v>0</v>
      </c>
      <c r="L52" s="1">
        <f t="shared" si="2"/>
        <v>0</v>
      </c>
      <c r="M52" s="1">
        <f t="shared" si="2"/>
        <v>0</v>
      </c>
      <c r="N52" s="1">
        <f t="shared" si="2"/>
        <v>0</v>
      </c>
      <c r="O52" s="1">
        <f t="shared" si="2"/>
        <v>0</v>
      </c>
      <c r="P52" s="1">
        <f t="shared" si="2"/>
        <v>0</v>
      </c>
      <c r="Q52" s="1">
        <f t="shared" si="2"/>
        <v>0</v>
      </c>
      <c r="R52" s="1">
        <f t="shared" si="2"/>
        <v>0</v>
      </c>
      <c r="S52" s="1">
        <f t="shared" si="2"/>
        <v>0</v>
      </c>
      <c r="T52" s="1">
        <f t="shared" si="2"/>
        <v>0</v>
      </c>
      <c r="U52" s="1">
        <f t="shared" si="2"/>
        <v>0</v>
      </c>
      <c r="V52" s="1">
        <f t="shared" si="2"/>
        <v>0</v>
      </c>
      <c r="W52" s="1">
        <f t="shared" si="2"/>
        <v>0</v>
      </c>
    </row>
  </sheetData>
  <mergeCells count="6">
    <mergeCell ref="A1:F1"/>
    <mergeCell ref="A2:F2"/>
    <mergeCell ref="A10:F10"/>
    <mergeCell ref="A19:F19"/>
    <mergeCell ref="A27:F27"/>
    <mergeCell ref="A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All</vt:lpstr>
      <vt:lpstr>Runs</vt:lpstr>
      <vt:lpstr>Formula Weights</vt:lpstr>
      <vt:lpstr>16-17 Apportionments Data</vt:lpstr>
      <vt:lpstr>15-16 Apportionments Data</vt:lpstr>
      <vt:lpstr>14-15 Program Awards (Datamart)</vt:lpstr>
      <vt:lpstr>15-16 Program Awards (Datamart)</vt:lpstr>
      <vt:lpstr>14-15 BOG (datamart)</vt:lpstr>
      <vt:lpstr>15-16 BOG (datamart)</vt:lpstr>
      <vt:lpstr>14-15 ADTS Awarded (datamart)</vt:lpstr>
      <vt:lpstr>15-16 ADTS Awarded (datamart)</vt:lpstr>
      <vt:lpstr>COMPLETION_RATE_2_3</vt:lpstr>
      <vt:lpstr>PELL</vt:lpstr>
      <vt:lpstr>Allan Hancock</vt:lpstr>
      <vt:lpstr>Copper Mountain</vt:lpstr>
      <vt:lpstr>GCCCD</vt:lpstr>
      <vt:lpstr>Long Beach</vt:lpstr>
      <vt:lpstr>LACCD</vt:lpstr>
      <vt:lpstr>Los Rios</vt:lpstr>
      <vt:lpstr>Miracosta</vt:lpstr>
      <vt:lpstr>North Orange</vt:lpstr>
      <vt:lpstr>San Diego</vt:lpstr>
      <vt:lpstr>San Mateo</vt:lpstr>
      <vt:lpstr>Santa Monica</vt:lpstr>
      <vt:lpstr>Shasta</vt:lpstr>
      <vt:lpstr>Sierra</vt:lpstr>
      <vt:lpstr>Siskiyou</vt:lpstr>
      <vt:lpstr>South Orange</vt:lpstr>
      <vt:lpstr>State Center</vt:lpstr>
    </vt:vector>
  </TitlesOfParts>
  <Company>Santa Monica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bonvenuto_chris</dc:creator>
  <cp:lastModifiedBy>Lizette Navarette</cp:lastModifiedBy>
  <dcterms:created xsi:type="dcterms:W3CDTF">2016-03-21T16:20:44Z</dcterms:created>
  <dcterms:modified xsi:type="dcterms:W3CDTF">2018-02-23T19:30:34Z</dcterms:modified>
</cp:coreProperties>
</file>