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10294029\Documents\GitHub\CC-League\"/>
    </mc:Choice>
  </mc:AlternateContent>
  <bookViews>
    <workbookView xWindow="0" yWindow="0" windowWidth="25605" windowHeight="10035" tabRatio="936" activeTab="1"/>
  </bookViews>
  <sheets>
    <sheet name="READ ME" sheetId="1" r:id="rId1"/>
    <sheet name="2019-20 Rates" sheetId="2" r:id="rId2"/>
    <sheet name="Rate Assumptions" sheetId="5" r:id="rId3"/>
    <sheet name="CALCULATIONS &gt;&gt;&gt;" sheetId="8" r:id="rId4"/>
    <sheet name="District Specific SCFF" sheetId="10" r:id="rId5"/>
    <sheet name="Base Allocation" sheetId="4" r:id="rId6"/>
    <sheet name="Supplemental Allocation" sheetId="7" r:id="rId7"/>
    <sheet name="Success Allocation" sheetId="9" r:id="rId8"/>
  </sheets>
  <externalReferences>
    <externalReference r:id="rId9"/>
  </externalReferences>
  <definedNames>
    <definedName name="_xlnm._FilterDatabase" localSheetId="5" hidden="1">'Base Allocation'!$A$4:$AI$4</definedName>
    <definedName name="_xlnm._FilterDatabase" localSheetId="4" hidden="1">'District Specific SCFF'!$A$1:$L$74</definedName>
    <definedName name="_xlnm._FilterDatabase" localSheetId="6" hidden="1">'Supplemental Allocation'!$A$3:$Q$3</definedName>
  </definedNames>
  <calcPr calcId="162913" iterateCount="15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L79" i="9" l="1"/>
  <c r="CM79" i="9"/>
  <c r="CN79" i="9"/>
  <c r="CO79" i="9"/>
  <c r="CP79" i="9"/>
  <c r="CQ79" i="9"/>
  <c r="CR79" i="9"/>
  <c r="CS79" i="9"/>
  <c r="CS80" i="9"/>
  <c r="CD79" i="9"/>
  <c r="CE79" i="9"/>
  <c r="CF79" i="9"/>
  <c r="CG79" i="9"/>
  <c r="CH79" i="9"/>
  <c r="CI79" i="9"/>
  <c r="CJ79" i="9"/>
  <c r="CK79" i="9"/>
  <c r="CK80" i="9"/>
  <c r="BV79" i="9"/>
  <c r="BW79" i="9"/>
  <c r="BX79" i="9"/>
  <c r="BY79" i="9"/>
  <c r="BZ79" i="9"/>
  <c r="CA79" i="9"/>
  <c r="CB79" i="9"/>
  <c r="CC79" i="9"/>
  <c r="CC80" i="9"/>
  <c r="EP75" i="9"/>
  <c r="EP74" i="9"/>
  <c r="EP73" i="9"/>
  <c r="EP72" i="9"/>
  <c r="EP71" i="9"/>
  <c r="EP70" i="9"/>
  <c r="EP69" i="9"/>
  <c r="EP68" i="9"/>
  <c r="EP67" i="9"/>
  <c r="EP66" i="9"/>
  <c r="EP65" i="9"/>
  <c r="EP64" i="9"/>
  <c r="EP63" i="9"/>
  <c r="EP62" i="9"/>
  <c r="EP61" i="9"/>
  <c r="EP60" i="9"/>
  <c r="EP59" i="9"/>
  <c r="EP58" i="9"/>
  <c r="EP57" i="9"/>
  <c r="EP56" i="9"/>
  <c r="EP55" i="9"/>
  <c r="EP54" i="9"/>
  <c r="EP53" i="9"/>
  <c r="EP52" i="9"/>
  <c r="EP51" i="9"/>
  <c r="EP50" i="9"/>
  <c r="EP49" i="9"/>
  <c r="EP48" i="9"/>
  <c r="EP47" i="9"/>
  <c r="EP46" i="9"/>
  <c r="EP45" i="9"/>
  <c r="EP44" i="9"/>
  <c r="EP43" i="9"/>
  <c r="EP42" i="9"/>
  <c r="EP41" i="9"/>
  <c r="EP40" i="9"/>
  <c r="EP39" i="9"/>
  <c r="EP38" i="9"/>
  <c r="EP37" i="9"/>
  <c r="EP36" i="9"/>
  <c r="EP35" i="9"/>
  <c r="EP34" i="9"/>
  <c r="EP33" i="9"/>
  <c r="EP32" i="9"/>
  <c r="EP31" i="9"/>
  <c r="EP30" i="9"/>
  <c r="EP29" i="9"/>
  <c r="EP28" i="9"/>
  <c r="EP27" i="9"/>
  <c r="EP26" i="9"/>
  <c r="EP25" i="9"/>
  <c r="EP24" i="9"/>
  <c r="EP23" i="9"/>
  <c r="EP22" i="9"/>
  <c r="EP21" i="9"/>
  <c r="EP20" i="9"/>
  <c r="EP19" i="9"/>
  <c r="EP18" i="9"/>
  <c r="EP17" i="9"/>
  <c r="EP16" i="9"/>
  <c r="EP15" i="9"/>
  <c r="EP14" i="9"/>
  <c r="EP13" i="9"/>
  <c r="EP12" i="9"/>
  <c r="EP11" i="9"/>
  <c r="EP10" i="9"/>
  <c r="EP9" i="9"/>
  <c r="EP8" i="9"/>
  <c r="EP7" i="9"/>
  <c r="EP6" i="9"/>
  <c r="EP5" i="9"/>
  <c r="EP4" i="9"/>
  <c r="CT4" i="9"/>
  <c r="CZ79" i="9"/>
  <c r="DA79" i="9"/>
  <c r="AC81" i="4"/>
  <c r="AC80" i="4"/>
  <c r="G5" i="2"/>
  <c r="F7" i="2"/>
  <c r="F6" i="2"/>
  <c r="AA81" i="4"/>
  <c r="AA80" i="4"/>
  <c r="AB80" i="4"/>
  <c r="AB81" i="4"/>
  <c r="W81" i="4"/>
  <c r="W80" i="4"/>
  <c r="X81" i="4"/>
  <c r="X80" i="4"/>
  <c r="F22" i="2"/>
  <c r="F21" i="2"/>
  <c r="F20" i="2"/>
  <c r="AC74" i="4"/>
  <c r="AC77" i="4"/>
  <c r="F43" i="2"/>
  <c r="DQ80" i="9"/>
  <c r="DI80" i="9"/>
  <c r="DA80" i="9"/>
  <c r="F39" i="2"/>
  <c r="G39" i="2"/>
  <c r="F25" i="2"/>
  <c r="DC79" i="9"/>
  <c r="DD79" i="9"/>
  <c r="DE79" i="9"/>
  <c r="DF79" i="9"/>
  <c r="DG79" i="9"/>
  <c r="DH79" i="9"/>
  <c r="DI79" i="9"/>
  <c r="DJ79" i="9"/>
  <c r="DK79" i="9"/>
  <c r="DL79" i="9"/>
  <c r="DM79" i="9"/>
  <c r="DN79" i="9"/>
  <c r="DO79" i="9"/>
  <c r="DP79" i="9"/>
  <c r="DQ79" i="9"/>
  <c r="CU79" i="9"/>
  <c r="CV79" i="9"/>
  <c r="CW79" i="9"/>
  <c r="CX79" i="9"/>
  <c r="CY79" i="9"/>
  <c r="DB79" i="9"/>
  <c r="CT79" i="9"/>
  <c r="B21" i="5"/>
  <c r="F29" i="2"/>
  <c r="F19" i="2"/>
  <c r="B14" i="5"/>
  <c r="DX5" i="9"/>
  <c r="DX6" i="9"/>
  <c r="DX7" i="9"/>
  <c r="DX8" i="9"/>
  <c r="DX9" i="9"/>
  <c r="DX10" i="9"/>
  <c r="DX11" i="9"/>
  <c r="DX12" i="9"/>
  <c r="DX13" i="9"/>
  <c r="DX14" i="9"/>
  <c r="DX15" i="9"/>
  <c r="DX16" i="9"/>
  <c r="DX17" i="9"/>
  <c r="DX18" i="9"/>
  <c r="DX19" i="9"/>
  <c r="DX20" i="9"/>
  <c r="DX21" i="9"/>
  <c r="DX22" i="9"/>
  <c r="DX23" i="9"/>
  <c r="DX24" i="9"/>
  <c r="DX25" i="9"/>
  <c r="DX26" i="9"/>
  <c r="DX27" i="9"/>
  <c r="DX28" i="9"/>
  <c r="DX29" i="9"/>
  <c r="DX30" i="9"/>
  <c r="DX31" i="9"/>
  <c r="DX32" i="9"/>
  <c r="DX33" i="9"/>
  <c r="DX34" i="9"/>
  <c r="DX35" i="9"/>
  <c r="DX36" i="9"/>
  <c r="DX37" i="9"/>
  <c r="DX38" i="9"/>
  <c r="DX39" i="9"/>
  <c r="DX40" i="9"/>
  <c r="DX41" i="9"/>
  <c r="DX42" i="9"/>
  <c r="DX43" i="9"/>
  <c r="DX44" i="9"/>
  <c r="DX45" i="9"/>
  <c r="DX46" i="9"/>
  <c r="DX47" i="9"/>
  <c r="DX48" i="9"/>
  <c r="DX49" i="9"/>
  <c r="DX50" i="9"/>
  <c r="DX51" i="9"/>
  <c r="DX52" i="9"/>
  <c r="DX53" i="9"/>
  <c r="DX54" i="9"/>
  <c r="DX55" i="9"/>
  <c r="DX56" i="9"/>
  <c r="DX57" i="9"/>
  <c r="DX58" i="9"/>
  <c r="DX59" i="9"/>
  <c r="DX60" i="9"/>
  <c r="DX61" i="9"/>
  <c r="DX62" i="9"/>
  <c r="DX63" i="9"/>
  <c r="DX64" i="9"/>
  <c r="DX65" i="9"/>
  <c r="DX66" i="9"/>
  <c r="DX67" i="9"/>
  <c r="DX68" i="9"/>
  <c r="DX69" i="9"/>
  <c r="DX70" i="9"/>
  <c r="DX71" i="9"/>
  <c r="DX72" i="9"/>
  <c r="DX73" i="9"/>
  <c r="DX74" i="9"/>
  <c r="DX75" i="9"/>
  <c r="DX4" i="9"/>
  <c r="B22" i="5"/>
  <c r="EF4" i="9"/>
  <c r="B30" i="5"/>
  <c r="EN4" i="9"/>
  <c r="B15" i="5"/>
  <c r="DW4" i="9"/>
  <c r="B23" i="5"/>
  <c r="EE4" i="9"/>
  <c r="B31" i="5"/>
  <c r="EM4" i="9"/>
  <c r="M55" i="4"/>
  <c r="G2" i="10"/>
  <c r="H2" i="10"/>
  <c r="I2" i="10"/>
  <c r="G3" i="10"/>
  <c r="H3" i="10"/>
  <c r="I3" i="10"/>
  <c r="G4" i="10"/>
  <c r="H4" i="10"/>
  <c r="I4" i="10"/>
  <c r="G5" i="10"/>
  <c r="H5" i="10"/>
  <c r="I5" i="10"/>
  <c r="G6" i="10"/>
  <c r="H6" i="10"/>
  <c r="I6" i="10"/>
  <c r="G7" i="10"/>
  <c r="H7" i="10"/>
  <c r="I7" i="10"/>
  <c r="G8" i="10"/>
  <c r="H8" i="10"/>
  <c r="I8" i="10"/>
  <c r="G9" i="10"/>
  <c r="H9" i="10"/>
  <c r="I9" i="10"/>
  <c r="G10" i="10"/>
  <c r="H10" i="10"/>
  <c r="I10" i="10"/>
  <c r="G11" i="10"/>
  <c r="H11" i="10"/>
  <c r="I11" i="10"/>
  <c r="G12" i="10"/>
  <c r="H12" i="10"/>
  <c r="I12" i="10"/>
  <c r="G13" i="10"/>
  <c r="H13" i="10"/>
  <c r="I13" i="10"/>
  <c r="G14" i="10"/>
  <c r="H14" i="10"/>
  <c r="I14" i="10"/>
  <c r="G15" i="10"/>
  <c r="H15" i="10"/>
  <c r="I15" i="10"/>
  <c r="G16" i="10"/>
  <c r="H16" i="10"/>
  <c r="I16" i="10"/>
  <c r="G17" i="10"/>
  <c r="H17" i="10"/>
  <c r="I17" i="10"/>
  <c r="G18" i="10"/>
  <c r="H18" i="10"/>
  <c r="I18" i="10"/>
  <c r="G19" i="10"/>
  <c r="H19" i="10"/>
  <c r="I19" i="10"/>
  <c r="G20" i="10"/>
  <c r="H20" i="10"/>
  <c r="I20" i="10"/>
  <c r="G21" i="10"/>
  <c r="H21" i="10"/>
  <c r="I21" i="10"/>
  <c r="G22" i="10"/>
  <c r="H22" i="10"/>
  <c r="I22" i="10"/>
  <c r="G23" i="10"/>
  <c r="H23" i="10"/>
  <c r="I23" i="10"/>
  <c r="G24" i="10"/>
  <c r="H24" i="10"/>
  <c r="I24" i="10"/>
  <c r="G25" i="10"/>
  <c r="H25" i="10"/>
  <c r="I25" i="10"/>
  <c r="G26" i="10"/>
  <c r="H26" i="10"/>
  <c r="I26" i="10"/>
  <c r="G27" i="10"/>
  <c r="H27" i="10"/>
  <c r="I27" i="10"/>
  <c r="G28" i="10"/>
  <c r="H28" i="10"/>
  <c r="I28" i="10"/>
  <c r="G29" i="10"/>
  <c r="H29" i="10"/>
  <c r="I29" i="10"/>
  <c r="G30" i="10"/>
  <c r="H30" i="10"/>
  <c r="I30" i="10"/>
  <c r="G31" i="10"/>
  <c r="H31" i="10"/>
  <c r="I31" i="10"/>
  <c r="G32" i="10"/>
  <c r="H32" i="10"/>
  <c r="I32" i="10"/>
  <c r="G33" i="10"/>
  <c r="H33" i="10"/>
  <c r="I33" i="10"/>
  <c r="G34" i="10"/>
  <c r="H34" i="10"/>
  <c r="I34" i="10"/>
  <c r="G35" i="10"/>
  <c r="H35" i="10"/>
  <c r="I35" i="10"/>
  <c r="G36" i="10"/>
  <c r="H36" i="10"/>
  <c r="I36" i="10"/>
  <c r="G37" i="10"/>
  <c r="H37" i="10"/>
  <c r="I37" i="10"/>
  <c r="G38" i="10"/>
  <c r="H38" i="10"/>
  <c r="I38" i="10"/>
  <c r="G39" i="10"/>
  <c r="H39" i="10"/>
  <c r="I39" i="10"/>
  <c r="G40" i="10"/>
  <c r="H40" i="10"/>
  <c r="I40" i="10"/>
  <c r="G41" i="10"/>
  <c r="H41" i="10"/>
  <c r="I41" i="10"/>
  <c r="G42" i="10"/>
  <c r="H42" i="10"/>
  <c r="I42" i="10"/>
  <c r="G43" i="10"/>
  <c r="H43" i="10"/>
  <c r="I43" i="10"/>
  <c r="G44" i="10"/>
  <c r="H44" i="10"/>
  <c r="I44" i="10"/>
  <c r="G45" i="10"/>
  <c r="H45" i="10"/>
  <c r="I45" i="10"/>
  <c r="G46" i="10"/>
  <c r="H46" i="10"/>
  <c r="I46" i="10"/>
  <c r="G47" i="10"/>
  <c r="H47" i="10"/>
  <c r="I47" i="10"/>
  <c r="G48" i="10"/>
  <c r="H48" i="10"/>
  <c r="I48" i="10"/>
  <c r="G49" i="10"/>
  <c r="H49" i="10"/>
  <c r="I49" i="10"/>
  <c r="G50" i="10"/>
  <c r="H50" i="10"/>
  <c r="I50" i="10"/>
  <c r="G51" i="10"/>
  <c r="H51" i="10"/>
  <c r="I51" i="10"/>
  <c r="G52" i="10"/>
  <c r="H52" i="10"/>
  <c r="I52" i="10"/>
  <c r="G53" i="10"/>
  <c r="H53" i="10"/>
  <c r="I53" i="10"/>
  <c r="G54" i="10"/>
  <c r="H54" i="10"/>
  <c r="I54" i="10"/>
  <c r="G55" i="10"/>
  <c r="H55" i="10"/>
  <c r="I55" i="10"/>
  <c r="G56" i="10"/>
  <c r="H56" i="10"/>
  <c r="I56" i="10"/>
  <c r="G57" i="10"/>
  <c r="H57" i="10"/>
  <c r="I57" i="10"/>
  <c r="G58" i="10"/>
  <c r="H58" i="10"/>
  <c r="I58" i="10"/>
  <c r="G59" i="10"/>
  <c r="H59" i="10"/>
  <c r="I59" i="10"/>
  <c r="G60" i="10"/>
  <c r="H60" i="10"/>
  <c r="I60" i="10"/>
  <c r="G61" i="10"/>
  <c r="H61" i="10"/>
  <c r="I61" i="10"/>
  <c r="G62" i="10"/>
  <c r="H62" i="10"/>
  <c r="I62" i="10"/>
  <c r="G63" i="10"/>
  <c r="H63" i="10"/>
  <c r="I63" i="10"/>
  <c r="G64" i="10"/>
  <c r="H64" i="10"/>
  <c r="I64" i="10"/>
  <c r="G65" i="10"/>
  <c r="H65" i="10"/>
  <c r="I65" i="10"/>
  <c r="G66" i="10"/>
  <c r="H66" i="10"/>
  <c r="I66" i="10"/>
  <c r="G67" i="10"/>
  <c r="H67" i="10"/>
  <c r="I67" i="10"/>
  <c r="G68" i="10"/>
  <c r="H68" i="10"/>
  <c r="I68" i="10"/>
  <c r="G69" i="10"/>
  <c r="H69" i="10"/>
  <c r="I69" i="10"/>
  <c r="G70" i="10"/>
  <c r="H70" i="10"/>
  <c r="I70" i="10"/>
  <c r="G71" i="10"/>
  <c r="H71" i="10"/>
  <c r="I71" i="10"/>
  <c r="G72" i="10"/>
  <c r="H72" i="10"/>
  <c r="I72" i="10"/>
  <c r="G73" i="10"/>
  <c r="H73" i="10"/>
  <c r="I73" i="10"/>
  <c r="I74" i="10"/>
  <c r="F74" i="10"/>
  <c r="DW33" i="9"/>
  <c r="EE33" i="9"/>
  <c r="EF33" i="9"/>
  <c r="EM33" i="9"/>
  <c r="EN33" i="9"/>
  <c r="B9" i="5"/>
  <c r="DR33" i="9"/>
  <c r="B10" i="5"/>
  <c r="DS33" i="9"/>
  <c r="B11" i="5"/>
  <c r="DT33" i="9"/>
  <c r="B12" i="5"/>
  <c r="DU33" i="9"/>
  <c r="B13" i="5"/>
  <c r="DV33" i="9"/>
  <c r="B16" i="5"/>
  <c r="DY33" i="9"/>
  <c r="B17" i="5"/>
  <c r="DZ33" i="9"/>
  <c r="B18" i="5"/>
  <c r="EA33" i="9"/>
  <c r="B19" i="5"/>
  <c r="EB33" i="9"/>
  <c r="B20" i="5"/>
  <c r="EC33" i="9"/>
  <c r="ED33" i="9"/>
  <c r="B24" i="5"/>
  <c r="EG33" i="9"/>
  <c r="B25" i="5"/>
  <c r="EH33" i="9"/>
  <c r="B26" i="5"/>
  <c r="EI33" i="9"/>
  <c r="B27" i="5"/>
  <c r="EJ33" i="9"/>
  <c r="B28" i="5"/>
  <c r="EK33" i="9"/>
  <c r="B29" i="5"/>
  <c r="EL33" i="9"/>
  <c r="B32" i="5"/>
  <c r="EO33" i="9"/>
  <c r="D31" i="10"/>
  <c r="M30" i="10"/>
  <c r="N30" i="10"/>
  <c r="DR4" i="9"/>
  <c r="DS4" i="9"/>
  <c r="DT4" i="9"/>
  <c r="DU4" i="9"/>
  <c r="DV4" i="9"/>
  <c r="DY4" i="9"/>
  <c r="DZ4" i="9"/>
  <c r="EA4" i="9"/>
  <c r="EB4" i="9"/>
  <c r="EC4" i="9"/>
  <c r="ED4" i="9"/>
  <c r="EG4" i="9"/>
  <c r="EH4" i="9"/>
  <c r="EI4" i="9"/>
  <c r="EJ4" i="9"/>
  <c r="EK4" i="9"/>
  <c r="EL4" i="9"/>
  <c r="EO4" i="9"/>
  <c r="D2" i="10"/>
  <c r="M33" i="10"/>
  <c r="N33" i="10"/>
  <c r="DW34" i="9"/>
  <c r="EE34" i="9"/>
  <c r="EF34" i="9"/>
  <c r="EM34" i="9"/>
  <c r="EN34" i="9"/>
  <c r="DR34" i="9"/>
  <c r="DS34" i="9"/>
  <c r="DT34" i="9"/>
  <c r="DU34" i="9"/>
  <c r="DV34" i="9"/>
  <c r="DY34" i="9"/>
  <c r="DZ34" i="9"/>
  <c r="EA34" i="9"/>
  <c r="EB34" i="9"/>
  <c r="EC34" i="9"/>
  <c r="ED34" i="9"/>
  <c r="EG34" i="9"/>
  <c r="EH34" i="9"/>
  <c r="EI34" i="9"/>
  <c r="EJ34" i="9"/>
  <c r="EK34" i="9"/>
  <c r="EL34" i="9"/>
  <c r="EO34" i="9"/>
  <c r="D32" i="10"/>
  <c r="M52" i="10"/>
  <c r="N52" i="10"/>
  <c r="DW37" i="9"/>
  <c r="EE37" i="9"/>
  <c r="EF37" i="9"/>
  <c r="EM37" i="9"/>
  <c r="EN37" i="9"/>
  <c r="DR37" i="9"/>
  <c r="DS37" i="9"/>
  <c r="DT37" i="9"/>
  <c r="DU37" i="9"/>
  <c r="DV37" i="9"/>
  <c r="DY37" i="9"/>
  <c r="DZ37" i="9"/>
  <c r="EA37" i="9"/>
  <c r="EB37" i="9"/>
  <c r="EC37" i="9"/>
  <c r="ED37" i="9"/>
  <c r="EG37" i="9"/>
  <c r="EH37" i="9"/>
  <c r="EI37" i="9"/>
  <c r="EJ37" i="9"/>
  <c r="EK37" i="9"/>
  <c r="EL37" i="9"/>
  <c r="EO37" i="9"/>
  <c r="D35" i="10"/>
  <c r="M54" i="10"/>
  <c r="N54" i="10"/>
  <c r="M64" i="10"/>
  <c r="N64" i="10"/>
  <c r="DW70" i="9"/>
  <c r="EE70" i="9"/>
  <c r="EF70" i="9"/>
  <c r="EM70" i="9"/>
  <c r="EN70" i="9"/>
  <c r="DR70" i="9"/>
  <c r="DS70" i="9"/>
  <c r="DT70" i="9"/>
  <c r="DU70" i="9"/>
  <c r="DV70" i="9"/>
  <c r="DY70" i="9"/>
  <c r="DZ70" i="9"/>
  <c r="EA70" i="9"/>
  <c r="EB70" i="9"/>
  <c r="EC70" i="9"/>
  <c r="ED70" i="9"/>
  <c r="EG70" i="9"/>
  <c r="EH70" i="9"/>
  <c r="EI70" i="9"/>
  <c r="EJ70" i="9"/>
  <c r="EK70" i="9"/>
  <c r="EL70" i="9"/>
  <c r="EO70" i="9"/>
  <c r="D68" i="10"/>
  <c r="M71" i="10"/>
  <c r="N71" i="10"/>
  <c r="DR5" i="9"/>
  <c r="DS5" i="9"/>
  <c r="DT5" i="9"/>
  <c r="DU5" i="9"/>
  <c r="DV5" i="9"/>
  <c r="DW5" i="9"/>
  <c r="DY5" i="9"/>
  <c r="DZ5" i="9"/>
  <c r="EA5" i="9"/>
  <c r="EB5" i="9"/>
  <c r="EC5" i="9"/>
  <c r="ED5" i="9"/>
  <c r="EE5" i="9"/>
  <c r="EF5" i="9"/>
  <c r="EG5" i="9"/>
  <c r="EH5" i="9"/>
  <c r="EI5" i="9"/>
  <c r="EJ5" i="9"/>
  <c r="EK5" i="9"/>
  <c r="EL5" i="9"/>
  <c r="EM5" i="9"/>
  <c r="EN5" i="9"/>
  <c r="EO5" i="9"/>
  <c r="DR6" i="9"/>
  <c r="DS6" i="9"/>
  <c r="DT6" i="9"/>
  <c r="DU6" i="9"/>
  <c r="DV6" i="9"/>
  <c r="DW6" i="9"/>
  <c r="DY6" i="9"/>
  <c r="DZ6" i="9"/>
  <c r="EA6" i="9"/>
  <c r="EB6" i="9"/>
  <c r="EC6" i="9"/>
  <c r="ED6" i="9"/>
  <c r="EE6" i="9"/>
  <c r="EF6" i="9"/>
  <c r="EG6" i="9"/>
  <c r="EH6" i="9"/>
  <c r="EI6" i="9"/>
  <c r="EJ6" i="9"/>
  <c r="EK6" i="9"/>
  <c r="EL6" i="9"/>
  <c r="EM6" i="9"/>
  <c r="EN6" i="9"/>
  <c r="EO6" i="9"/>
  <c r="DR7" i="9"/>
  <c r="DS7" i="9"/>
  <c r="DT7" i="9"/>
  <c r="DU7" i="9"/>
  <c r="DV7" i="9"/>
  <c r="DW7" i="9"/>
  <c r="DY7" i="9"/>
  <c r="DZ7" i="9"/>
  <c r="EA7" i="9"/>
  <c r="EB7" i="9"/>
  <c r="EC7" i="9"/>
  <c r="ED7" i="9"/>
  <c r="EE7" i="9"/>
  <c r="EF7" i="9"/>
  <c r="EG7" i="9"/>
  <c r="EH7" i="9"/>
  <c r="EI7" i="9"/>
  <c r="EJ7" i="9"/>
  <c r="EK7" i="9"/>
  <c r="EL7" i="9"/>
  <c r="EM7" i="9"/>
  <c r="EN7" i="9"/>
  <c r="EO7" i="9"/>
  <c r="DR8" i="9"/>
  <c r="DS8" i="9"/>
  <c r="DT8" i="9"/>
  <c r="DU8" i="9"/>
  <c r="DV8" i="9"/>
  <c r="DW8" i="9"/>
  <c r="DY8" i="9"/>
  <c r="DZ8" i="9"/>
  <c r="EA8" i="9"/>
  <c r="EB8" i="9"/>
  <c r="EC8" i="9"/>
  <c r="ED8" i="9"/>
  <c r="EE8" i="9"/>
  <c r="EF8" i="9"/>
  <c r="EG8" i="9"/>
  <c r="EH8" i="9"/>
  <c r="EI8" i="9"/>
  <c r="EJ8" i="9"/>
  <c r="EK8" i="9"/>
  <c r="EL8" i="9"/>
  <c r="EM8" i="9"/>
  <c r="EN8" i="9"/>
  <c r="EO8" i="9"/>
  <c r="DR9" i="9"/>
  <c r="DS9" i="9"/>
  <c r="DT9" i="9"/>
  <c r="DU9" i="9"/>
  <c r="DV9" i="9"/>
  <c r="DW9" i="9"/>
  <c r="DY9" i="9"/>
  <c r="DZ9" i="9"/>
  <c r="EA9" i="9"/>
  <c r="EB9" i="9"/>
  <c r="EC9" i="9"/>
  <c r="ED9" i="9"/>
  <c r="EE9" i="9"/>
  <c r="EF9" i="9"/>
  <c r="EG9" i="9"/>
  <c r="EH9" i="9"/>
  <c r="EI9" i="9"/>
  <c r="EJ9" i="9"/>
  <c r="EK9" i="9"/>
  <c r="EL9" i="9"/>
  <c r="EM9" i="9"/>
  <c r="EN9" i="9"/>
  <c r="EO9" i="9"/>
  <c r="DR10" i="9"/>
  <c r="DS10" i="9"/>
  <c r="DT10" i="9"/>
  <c r="DU10" i="9"/>
  <c r="DV10" i="9"/>
  <c r="DW10" i="9"/>
  <c r="DY10" i="9"/>
  <c r="DZ10" i="9"/>
  <c r="EA10" i="9"/>
  <c r="EB10" i="9"/>
  <c r="EC10" i="9"/>
  <c r="ED10" i="9"/>
  <c r="EE10" i="9"/>
  <c r="EF10" i="9"/>
  <c r="EG10" i="9"/>
  <c r="EH10" i="9"/>
  <c r="EI10" i="9"/>
  <c r="EJ10" i="9"/>
  <c r="EK10" i="9"/>
  <c r="EL10" i="9"/>
  <c r="EM10" i="9"/>
  <c r="EN10" i="9"/>
  <c r="EO10" i="9"/>
  <c r="DR11" i="9"/>
  <c r="DS11" i="9"/>
  <c r="DT11" i="9"/>
  <c r="DU11" i="9"/>
  <c r="DV11" i="9"/>
  <c r="DW11" i="9"/>
  <c r="DY11" i="9"/>
  <c r="DZ11" i="9"/>
  <c r="EA11" i="9"/>
  <c r="EB11" i="9"/>
  <c r="EC11" i="9"/>
  <c r="ED11" i="9"/>
  <c r="EE11" i="9"/>
  <c r="EF11" i="9"/>
  <c r="EG11" i="9"/>
  <c r="EH11" i="9"/>
  <c r="EI11" i="9"/>
  <c r="EJ11" i="9"/>
  <c r="EK11" i="9"/>
  <c r="EL11" i="9"/>
  <c r="EM11" i="9"/>
  <c r="EN11" i="9"/>
  <c r="EO11" i="9"/>
  <c r="DR12" i="9"/>
  <c r="DS12" i="9"/>
  <c r="DT12" i="9"/>
  <c r="DU12" i="9"/>
  <c r="DV12" i="9"/>
  <c r="DW12" i="9"/>
  <c r="DY12" i="9"/>
  <c r="DZ12" i="9"/>
  <c r="EA12" i="9"/>
  <c r="EB12" i="9"/>
  <c r="EC12" i="9"/>
  <c r="ED12" i="9"/>
  <c r="EE12" i="9"/>
  <c r="EF12" i="9"/>
  <c r="EG12" i="9"/>
  <c r="EH12" i="9"/>
  <c r="EI12" i="9"/>
  <c r="EJ12" i="9"/>
  <c r="EK12" i="9"/>
  <c r="EL12" i="9"/>
  <c r="EM12" i="9"/>
  <c r="EN12" i="9"/>
  <c r="EO12" i="9"/>
  <c r="DR13" i="9"/>
  <c r="DS13" i="9"/>
  <c r="DT13" i="9"/>
  <c r="DU13" i="9"/>
  <c r="DV13" i="9"/>
  <c r="DW13" i="9"/>
  <c r="DY13" i="9"/>
  <c r="DZ13" i="9"/>
  <c r="EA13" i="9"/>
  <c r="EB13" i="9"/>
  <c r="EC13" i="9"/>
  <c r="ED13" i="9"/>
  <c r="EE13" i="9"/>
  <c r="EF13" i="9"/>
  <c r="EG13" i="9"/>
  <c r="EH13" i="9"/>
  <c r="EI13" i="9"/>
  <c r="EJ13" i="9"/>
  <c r="EK13" i="9"/>
  <c r="EL13" i="9"/>
  <c r="EM13" i="9"/>
  <c r="EN13" i="9"/>
  <c r="EO13" i="9"/>
  <c r="DR14" i="9"/>
  <c r="DS14" i="9"/>
  <c r="DT14" i="9"/>
  <c r="DU14" i="9"/>
  <c r="DV14" i="9"/>
  <c r="DW14" i="9"/>
  <c r="DY14" i="9"/>
  <c r="DZ14" i="9"/>
  <c r="EA14" i="9"/>
  <c r="EB14" i="9"/>
  <c r="EC14" i="9"/>
  <c r="ED14" i="9"/>
  <c r="EE14" i="9"/>
  <c r="EF14" i="9"/>
  <c r="EG14" i="9"/>
  <c r="EH14" i="9"/>
  <c r="EI14" i="9"/>
  <c r="EJ14" i="9"/>
  <c r="EK14" i="9"/>
  <c r="EL14" i="9"/>
  <c r="EM14" i="9"/>
  <c r="EN14" i="9"/>
  <c r="EO14" i="9"/>
  <c r="DR15" i="9"/>
  <c r="DS15" i="9"/>
  <c r="DT15" i="9"/>
  <c r="DU15" i="9"/>
  <c r="DV15" i="9"/>
  <c r="DW15" i="9"/>
  <c r="DY15" i="9"/>
  <c r="DZ15" i="9"/>
  <c r="EA15" i="9"/>
  <c r="EB15" i="9"/>
  <c r="EC15" i="9"/>
  <c r="ED15" i="9"/>
  <c r="EE15" i="9"/>
  <c r="EF15" i="9"/>
  <c r="EG15" i="9"/>
  <c r="EH15" i="9"/>
  <c r="EI15" i="9"/>
  <c r="EJ15" i="9"/>
  <c r="EK15" i="9"/>
  <c r="EL15" i="9"/>
  <c r="EM15" i="9"/>
  <c r="EN15" i="9"/>
  <c r="EO15" i="9"/>
  <c r="DR16" i="9"/>
  <c r="DS16" i="9"/>
  <c r="DT16" i="9"/>
  <c r="DU16" i="9"/>
  <c r="DV16" i="9"/>
  <c r="DW16" i="9"/>
  <c r="DY16" i="9"/>
  <c r="DZ16" i="9"/>
  <c r="EA16" i="9"/>
  <c r="EB16" i="9"/>
  <c r="EC16" i="9"/>
  <c r="ED16" i="9"/>
  <c r="EE16" i="9"/>
  <c r="EF16" i="9"/>
  <c r="EG16" i="9"/>
  <c r="EH16" i="9"/>
  <c r="EI16" i="9"/>
  <c r="EJ16" i="9"/>
  <c r="EK16" i="9"/>
  <c r="EL16" i="9"/>
  <c r="EM16" i="9"/>
  <c r="EN16" i="9"/>
  <c r="EO16" i="9"/>
  <c r="DR17" i="9"/>
  <c r="DS17" i="9"/>
  <c r="DT17" i="9"/>
  <c r="DU17" i="9"/>
  <c r="DV17" i="9"/>
  <c r="DW17" i="9"/>
  <c r="DY17" i="9"/>
  <c r="DZ17" i="9"/>
  <c r="EA17" i="9"/>
  <c r="EB17" i="9"/>
  <c r="EC17" i="9"/>
  <c r="ED17" i="9"/>
  <c r="EE17" i="9"/>
  <c r="EF17" i="9"/>
  <c r="EG17" i="9"/>
  <c r="EH17" i="9"/>
  <c r="EI17" i="9"/>
  <c r="EJ17" i="9"/>
  <c r="EK17" i="9"/>
  <c r="EL17" i="9"/>
  <c r="EM17" i="9"/>
  <c r="EN17" i="9"/>
  <c r="EO17" i="9"/>
  <c r="DR18" i="9"/>
  <c r="DS18" i="9"/>
  <c r="DT18" i="9"/>
  <c r="DU18" i="9"/>
  <c r="DV18" i="9"/>
  <c r="DW18" i="9"/>
  <c r="DY18" i="9"/>
  <c r="DZ18" i="9"/>
  <c r="EA18" i="9"/>
  <c r="EB18" i="9"/>
  <c r="EC18" i="9"/>
  <c r="ED18" i="9"/>
  <c r="EE18" i="9"/>
  <c r="EF18" i="9"/>
  <c r="EG18" i="9"/>
  <c r="EH18" i="9"/>
  <c r="EI18" i="9"/>
  <c r="EJ18" i="9"/>
  <c r="EK18" i="9"/>
  <c r="EL18" i="9"/>
  <c r="EM18" i="9"/>
  <c r="EN18" i="9"/>
  <c r="EO18" i="9"/>
  <c r="DR19" i="9"/>
  <c r="DS19" i="9"/>
  <c r="DT19" i="9"/>
  <c r="DU19" i="9"/>
  <c r="DV19" i="9"/>
  <c r="DW19" i="9"/>
  <c r="DY19" i="9"/>
  <c r="DZ19" i="9"/>
  <c r="EA19" i="9"/>
  <c r="EB19" i="9"/>
  <c r="EC19" i="9"/>
  <c r="ED19" i="9"/>
  <c r="EE19" i="9"/>
  <c r="EF19" i="9"/>
  <c r="EG19" i="9"/>
  <c r="EH19" i="9"/>
  <c r="EI19" i="9"/>
  <c r="EJ19" i="9"/>
  <c r="EK19" i="9"/>
  <c r="EL19" i="9"/>
  <c r="EM19" i="9"/>
  <c r="EN19" i="9"/>
  <c r="EO19" i="9"/>
  <c r="DR20" i="9"/>
  <c r="DS20" i="9"/>
  <c r="DT20" i="9"/>
  <c r="DU20" i="9"/>
  <c r="DV20" i="9"/>
  <c r="DW20" i="9"/>
  <c r="DY20" i="9"/>
  <c r="DZ20" i="9"/>
  <c r="EA20" i="9"/>
  <c r="EB20" i="9"/>
  <c r="EC20" i="9"/>
  <c r="ED20" i="9"/>
  <c r="EE20" i="9"/>
  <c r="EF20" i="9"/>
  <c r="EG20" i="9"/>
  <c r="EH20" i="9"/>
  <c r="EI20" i="9"/>
  <c r="EJ20" i="9"/>
  <c r="EK20" i="9"/>
  <c r="EL20" i="9"/>
  <c r="EM20" i="9"/>
  <c r="EN20" i="9"/>
  <c r="EO20" i="9"/>
  <c r="DR21" i="9"/>
  <c r="DS21" i="9"/>
  <c r="DT21" i="9"/>
  <c r="DU21" i="9"/>
  <c r="DV21" i="9"/>
  <c r="DW21" i="9"/>
  <c r="DY21" i="9"/>
  <c r="DZ21" i="9"/>
  <c r="EA21" i="9"/>
  <c r="EB21" i="9"/>
  <c r="EC21" i="9"/>
  <c r="ED21" i="9"/>
  <c r="EE21" i="9"/>
  <c r="EF21" i="9"/>
  <c r="EG21" i="9"/>
  <c r="EH21" i="9"/>
  <c r="EI21" i="9"/>
  <c r="EJ21" i="9"/>
  <c r="EK21" i="9"/>
  <c r="EL21" i="9"/>
  <c r="EM21" i="9"/>
  <c r="EN21" i="9"/>
  <c r="EO21" i="9"/>
  <c r="DR22" i="9"/>
  <c r="DS22" i="9"/>
  <c r="DT22" i="9"/>
  <c r="DU22" i="9"/>
  <c r="DV22" i="9"/>
  <c r="DW22" i="9"/>
  <c r="DY22" i="9"/>
  <c r="DZ22" i="9"/>
  <c r="EA22" i="9"/>
  <c r="EB22" i="9"/>
  <c r="EC22" i="9"/>
  <c r="ED22" i="9"/>
  <c r="EE22" i="9"/>
  <c r="EF22" i="9"/>
  <c r="EG22" i="9"/>
  <c r="EH22" i="9"/>
  <c r="EI22" i="9"/>
  <c r="EJ22" i="9"/>
  <c r="EK22" i="9"/>
  <c r="EL22" i="9"/>
  <c r="EM22" i="9"/>
  <c r="EN22" i="9"/>
  <c r="EO22" i="9"/>
  <c r="DR23" i="9"/>
  <c r="DS23" i="9"/>
  <c r="DT23" i="9"/>
  <c r="DU23" i="9"/>
  <c r="DV23" i="9"/>
  <c r="DW23" i="9"/>
  <c r="DY23" i="9"/>
  <c r="DZ23" i="9"/>
  <c r="EA23" i="9"/>
  <c r="EB23" i="9"/>
  <c r="EC23" i="9"/>
  <c r="ED23" i="9"/>
  <c r="EE23" i="9"/>
  <c r="EF23" i="9"/>
  <c r="EG23" i="9"/>
  <c r="EH23" i="9"/>
  <c r="EI23" i="9"/>
  <c r="EJ23" i="9"/>
  <c r="EK23" i="9"/>
  <c r="EL23" i="9"/>
  <c r="EM23" i="9"/>
  <c r="EN23" i="9"/>
  <c r="EO23" i="9"/>
  <c r="DR24" i="9"/>
  <c r="DS24" i="9"/>
  <c r="DT24" i="9"/>
  <c r="DU24" i="9"/>
  <c r="DV24" i="9"/>
  <c r="DW24" i="9"/>
  <c r="DY24" i="9"/>
  <c r="DZ24" i="9"/>
  <c r="EA24" i="9"/>
  <c r="EB24" i="9"/>
  <c r="EC24" i="9"/>
  <c r="ED24" i="9"/>
  <c r="EE24" i="9"/>
  <c r="EF24" i="9"/>
  <c r="EG24" i="9"/>
  <c r="EH24" i="9"/>
  <c r="EI24" i="9"/>
  <c r="EJ24" i="9"/>
  <c r="EK24" i="9"/>
  <c r="EL24" i="9"/>
  <c r="EM24" i="9"/>
  <c r="EN24" i="9"/>
  <c r="EO24" i="9"/>
  <c r="DR25" i="9"/>
  <c r="DS25" i="9"/>
  <c r="DT25" i="9"/>
  <c r="DU25" i="9"/>
  <c r="DV25" i="9"/>
  <c r="DW25" i="9"/>
  <c r="DY25" i="9"/>
  <c r="DZ25" i="9"/>
  <c r="EA25" i="9"/>
  <c r="EB25" i="9"/>
  <c r="EC25" i="9"/>
  <c r="ED25" i="9"/>
  <c r="EE25" i="9"/>
  <c r="EF25" i="9"/>
  <c r="EG25" i="9"/>
  <c r="EH25" i="9"/>
  <c r="EI25" i="9"/>
  <c r="EJ25" i="9"/>
  <c r="EK25" i="9"/>
  <c r="EL25" i="9"/>
  <c r="EM25" i="9"/>
  <c r="EN25" i="9"/>
  <c r="EO25" i="9"/>
  <c r="DR26" i="9"/>
  <c r="DS26" i="9"/>
  <c r="DT26" i="9"/>
  <c r="DU26" i="9"/>
  <c r="DV26" i="9"/>
  <c r="DW26" i="9"/>
  <c r="DY26" i="9"/>
  <c r="DZ26" i="9"/>
  <c r="EA26" i="9"/>
  <c r="EB26" i="9"/>
  <c r="EC26" i="9"/>
  <c r="ED26" i="9"/>
  <c r="EE26" i="9"/>
  <c r="EF26" i="9"/>
  <c r="EG26" i="9"/>
  <c r="EH26" i="9"/>
  <c r="EI26" i="9"/>
  <c r="EJ26" i="9"/>
  <c r="EK26" i="9"/>
  <c r="EL26" i="9"/>
  <c r="EM26" i="9"/>
  <c r="EN26" i="9"/>
  <c r="EO26" i="9"/>
  <c r="DR27" i="9"/>
  <c r="DS27" i="9"/>
  <c r="DT27" i="9"/>
  <c r="DU27" i="9"/>
  <c r="DV27" i="9"/>
  <c r="DW27" i="9"/>
  <c r="DY27" i="9"/>
  <c r="DZ27" i="9"/>
  <c r="EA27" i="9"/>
  <c r="EB27" i="9"/>
  <c r="EC27" i="9"/>
  <c r="ED27" i="9"/>
  <c r="EE27" i="9"/>
  <c r="EF27" i="9"/>
  <c r="EG27" i="9"/>
  <c r="EH27" i="9"/>
  <c r="EI27" i="9"/>
  <c r="EJ27" i="9"/>
  <c r="EK27" i="9"/>
  <c r="EL27" i="9"/>
  <c r="EM27" i="9"/>
  <c r="EN27" i="9"/>
  <c r="EO27" i="9"/>
  <c r="DR28" i="9"/>
  <c r="DS28" i="9"/>
  <c r="DT28" i="9"/>
  <c r="DU28" i="9"/>
  <c r="DV28" i="9"/>
  <c r="DW28" i="9"/>
  <c r="DY28" i="9"/>
  <c r="DZ28" i="9"/>
  <c r="EA28" i="9"/>
  <c r="EB28" i="9"/>
  <c r="EC28" i="9"/>
  <c r="ED28" i="9"/>
  <c r="EE28" i="9"/>
  <c r="EF28" i="9"/>
  <c r="EG28" i="9"/>
  <c r="EH28" i="9"/>
  <c r="EI28" i="9"/>
  <c r="EJ28" i="9"/>
  <c r="EK28" i="9"/>
  <c r="EL28" i="9"/>
  <c r="EM28" i="9"/>
  <c r="EN28" i="9"/>
  <c r="EO28" i="9"/>
  <c r="DR29" i="9"/>
  <c r="DS29" i="9"/>
  <c r="DT29" i="9"/>
  <c r="DU29" i="9"/>
  <c r="DV29" i="9"/>
  <c r="DW29" i="9"/>
  <c r="DY29" i="9"/>
  <c r="DZ29" i="9"/>
  <c r="EA29" i="9"/>
  <c r="EB29" i="9"/>
  <c r="EC29" i="9"/>
  <c r="ED29" i="9"/>
  <c r="EE29" i="9"/>
  <c r="EF29" i="9"/>
  <c r="EG29" i="9"/>
  <c r="EH29" i="9"/>
  <c r="EI29" i="9"/>
  <c r="EJ29" i="9"/>
  <c r="EK29" i="9"/>
  <c r="EL29" i="9"/>
  <c r="EM29" i="9"/>
  <c r="EN29" i="9"/>
  <c r="EO29" i="9"/>
  <c r="DR30" i="9"/>
  <c r="DS30" i="9"/>
  <c r="DT30" i="9"/>
  <c r="DU30" i="9"/>
  <c r="DV30" i="9"/>
  <c r="DW30" i="9"/>
  <c r="DY30" i="9"/>
  <c r="DZ30" i="9"/>
  <c r="EA30" i="9"/>
  <c r="EB30" i="9"/>
  <c r="EC30" i="9"/>
  <c r="ED30" i="9"/>
  <c r="EE30" i="9"/>
  <c r="EF30" i="9"/>
  <c r="EG30" i="9"/>
  <c r="EH30" i="9"/>
  <c r="EI30" i="9"/>
  <c r="EJ30" i="9"/>
  <c r="EK30" i="9"/>
  <c r="EL30" i="9"/>
  <c r="EM30" i="9"/>
  <c r="EN30" i="9"/>
  <c r="EO30" i="9"/>
  <c r="DR31" i="9"/>
  <c r="DS31" i="9"/>
  <c r="DT31" i="9"/>
  <c r="DU31" i="9"/>
  <c r="DV31" i="9"/>
  <c r="DW31" i="9"/>
  <c r="DY31" i="9"/>
  <c r="DZ31" i="9"/>
  <c r="EA31" i="9"/>
  <c r="EB31" i="9"/>
  <c r="EC31" i="9"/>
  <c r="ED31" i="9"/>
  <c r="EE31" i="9"/>
  <c r="EF31" i="9"/>
  <c r="EG31" i="9"/>
  <c r="EH31" i="9"/>
  <c r="EI31" i="9"/>
  <c r="EJ31" i="9"/>
  <c r="EK31" i="9"/>
  <c r="EL31" i="9"/>
  <c r="EM31" i="9"/>
  <c r="EN31" i="9"/>
  <c r="EO31" i="9"/>
  <c r="DR32" i="9"/>
  <c r="DS32" i="9"/>
  <c r="DT32" i="9"/>
  <c r="DU32" i="9"/>
  <c r="DV32" i="9"/>
  <c r="DW32" i="9"/>
  <c r="DY32" i="9"/>
  <c r="DZ32" i="9"/>
  <c r="EA32" i="9"/>
  <c r="EB32" i="9"/>
  <c r="EC32" i="9"/>
  <c r="ED32" i="9"/>
  <c r="EE32" i="9"/>
  <c r="EF32" i="9"/>
  <c r="EG32" i="9"/>
  <c r="EH32" i="9"/>
  <c r="EI32" i="9"/>
  <c r="EJ32" i="9"/>
  <c r="EK32" i="9"/>
  <c r="EL32" i="9"/>
  <c r="EM32" i="9"/>
  <c r="EN32" i="9"/>
  <c r="EO32" i="9"/>
  <c r="DR35" i="9"/>
  <c r="DS35" i="9"/>
  <c r="DT35" i="9"/>
  <c r="DU35" i="9"/>
  <c r="DV35" i="9"/>
  <c r="DW35" i="9"/>
  <c r="DY35" i="9"/>
  <c r="DZ35" i="9"/>
  <c r="EA35" i="9"/>
  <c r="EB35" i="9"/>
  <c r="EC35" i="9"/>
  <c r="ED35" i="9"/>
  <c r="EE35" i="9"/>
  <c r="EF35" i="9"/>
  <c r="EG35" i="9"/>
  <c r="EH35" i="9"/>
  <c r="EI35" i="9"/>
  <c r="EJ35" i="9"/>
  <c r="EK35" i="9"/>
  <c r="EL35" i="9"/>
  <c r="EM35" i="9"/>
  <c r="EN35" i="9"/>
  <c r="EO35" i="9"/>
  <c r="DR36" i="9"/>
  <c r="DS36" i="9"/>
  <c r="DT36" i="9"/>
  <c r="DU36" i="9"/>
  <c r="DV36" i="9"/>
  <c r="DW36" i="9"/>
  <c r="DY36" i="9"/>
  <c r="DZ36" i="9"/>
  <c r="EA36" i="9"/>
  <c r="EB36" i="9"/>
  <c r="EC36" i="9"/>
  <c r="ED36" i="9"/>
  <c r="EE36" i="9"/>
  <c r="EF36" i="9"/>
  <c r="EG36" i="9"/>
  <c r="EH36" i="9"/>
  <c r="EI36" i="9"/>
  <c r="EJ36" i="9"/>
  <c r="EK36" i="9"/>
  <c r="EL36" i="9"/>
  <c r="EM36" i="9"/>
  <c r="EN36" i="9"/>
  <c r="EO36" i="9"/>
  <c r="DR38" i="9"/>
  <c r="DS38" i="9"/>
  <c r="DT38" i="9"/>
  <c r="DU38" i="9"/>
  <c r="DV38" i="9"/>
  <c r="DW38" i="9"/>
  <c r="DY38" i="9"/>
  <c r="DZ38" i="9"/>
  <c r="EA38" i="9"/>
  <c r="EB38" i="9"/>
  <c r="EC38" i="9"/>
  <c r="ED38" i="9"/>
  <c r="EE38" i="9"/>
  <c r="EF38" i="9"/>
  <c r="EG38" i="9"/>
  <c r="EH38" i="9"/>
  <c r="EI38" i="9"/>
  <c r="EJ38" i="9"/>
  <c r="EK38" i="9"/>
  <c r="EL38" i="9"/>
  <c r="EM38" i="9"/>
  <c r="EN38" i="9"/>
  <c r="EO38" i="9"/>
  <c r="DR39" i="9"/>
  <c r="DS39" i="9"/>
  <c r="DT39" i="9"/>
  <c r="DU39" i="9"/>
  <c r="DV39" i="9"/>
  <c r="DW39" i="9"/>
  <c r="DY39" i="9"/>
  <c r="DZ39" i="9"/>
  <c r="EA39" i="9"/>
  <c r="EB39" i="9"/>
  <c r="EC39" i="9"/>
  <c r="ED39" i="9"/>
  <c r="EE39" i="9"/>
  <c r="EF39" i="9"/>
  <c r="EG39" i="9"/>
  <c r="EH39" i="9"/>
  <c r="EI39" i="9"/>
  <c r="EJ39" i="9"/>
  <c r="EK39" i="9"/>
  <c r="EL39" i="9"/>
  <c r="EM39" i="9"/>
  <c r="EN39" i="9"/>
  <c r="EO39" i="9"/>
  <c r="DR40" i="9"/>
  <c r="DS40" i="9"/>
  <c r="DT40" i="9"/>
  <c r="DU40" i="9"/>
  <c r="DV40" i="9"/>
  <c r="DW40" i="9"/>
  <c r="DY40" i="9"/>
  <c r="DZ40" i="9"/>
  <c r="EA40" i="9"/>
  <c r="EB40" i="9"/>
  <c r="EC40" i="9"/>
  <c r="ED40" i="9"/>
  <c r="EE40" i="9"/>
  <c r="EF40" i="9"/>
  <c r="EG40" i="9"/>
  <c r="EH40" i="9"/>
  <c r="EI40" i="9"/>
  <c r="EJ40" i="9"/>
  <c r="EK40" i="9"/>
  <c r="EL40" i="9"/>
  <c r="EM40" i="9"/>
  <c r="EN40" i="9"/>
  <c r="EO40" i="9"/>
  <c r="DR41" i="9"/>
  <c r="DS41" i="9"/>
  <c r="DT41" i="9"/>
  <c r="DU41" i="9"/>
  <c r="DV41" i="9"/>
  <c r="DW41" i="9"/>
  <c r="DY41" i="9"/>
  <c r="DZ41" i="9"/>
  <c r="EA41" i="9"/>
  <c r="EB41" i="9"/>
  <c r="EC41" i="9"/>
  <c r="ED41" i="9"/>
  <c r="EE41" i="9"/>
  <c r="EF41" i="9"/>
  <c r="EG41" i="9"/>
  <c r="EH41" i="9"/>
  <c r="EI41" i="9"/>
  <c r="EJ41" i="9"/>
  <c r="EK41" i="9"/>
  <c r="EL41" i="9"/>
  <c r="EM41" i="9"/>
  <c r="EN41" i="9"/>
  <c r="EO41" i="9"/>
  <c r="DR42" i="9"/>
  <c r="DS42" i="9"/>
  <c r="DT42" i="9"/>
  <c r="DU42" i="9"/>
  <c r="DV42" i="9"/>
  <c r="DW42" i="9"/>
  <c r="DY42" i="9"/>
  <c r="DZ42" i="9"/>
  <c r="EA42" i="9"/>
  <c r="EB42" i="9"/>
  <c r="EC42" i="9"/>
  <c r="ED42" i="9"/>
  <c r="EE42" i="9"/>
  <c r="EF42" i="9"/>
  <c r="EG42" i="9"/>
  <c r="EH42" i="9"/>
  <c r="EI42" i="9"/>
  <c r="EJ42" i="9"/>
  <c r="EK42" i="9"/>
  <c r="EL42" i="9"/>
  <c r="EM42" i="9"/>
  <c r="EN42" i="9"/>
  <c r="EO42" i="9"/>
  <c r="DR43" i="9"/>
  <c r="DS43" i="9"/>
  <c r="DT43" i="9"/>
  <c r="DU43" i="9"/>
  <c r="DV43" i="9"/>
  <c r="DW43" i="9"/>
  <c r="DY43" i="9"/>
  <c r="DZ43" i="9"/>
  <c r="EA43" i="9"/>
  <c r="EB43" i="9"/>
  <c r="EC43" i="9"/>
  <c r="ED43" i="9"/>
  <c r="EE43" i="9"/>
  <c r="EF43" i="9"/>
  <c r="EG43" i="9"/>
  <c r="EH43" i="9"/>
  <c r="EI43" i="9"/>
  <c r="EJ43" i="9"/>
  <c r="EK43" i="9"/>
  <c r="EL43" i="9"/>
  <c r="EM43" i="9"/>
  <c r="EN43" i="9"/>
  <c r="EO43" i="9"/>
  <c r="DR44" i="9"/>
  <c r="DS44" i="9"/>
  <c r="DT44" i="9"/>
  <c r="DU44" i="9"/>
  <c r="DV44" i="9"/>
  <c r="DW44" i="9"/>
  <c r="DY44" i="9"/>
  <c r="DZ44" i="9"/>
  <c r="EA44" i="9"/>
  <c r="EB44" i="9"/>
  <c r="EC44" i="9"/>
  <c r="ED44" i="9"/>
  <c r="EE44" i="9"/>
  <c r="EF44" i="9"/>
  <c r="EG44" i="9"/>
  <c r="EH44" i="9"/>
  <c r="EI44" i="9"/>
  <c r="EJ44" i="9"/>
  <c r="EK44" i="9"/>
  <c r="EL44" i="9"/>
  <c r="EM44" i="9"/>
  <c r="EN44" i="9"/>
  <c r="EO44" i="9"/>
  <c r="DR45" i="9"/>
  <c r="DS45" i="9"/>
  <c r="DT45" i="9"/>
  <c r="DU45" i="9"/>
  <c r="DV45" i="9"/>
  <c r="DW45" i="9"/>
  <c r="DY45" i="9"/>
  <c r="DZ45" i="9"/>
  <c r="EA45" i="9"/>
  <c r="EB45" i="9"/>
  <c r="EC45" i="9"/>
  <c r="ED45" i="9"/>
  <c r="EE45" i="9"/>
  <c r="EF45" i="9"/>
  <c r="EG45" i="9"/>
  <c r="EH45" i="9"/>
  <c r="EI45" i="9"/>
  <c r="EJ45" i="9"/>
  <c r="EK45" i="9"/>
  <c r="EL45" i="9"/>
  <c r="EM45" i="9"/>
  <c r="EN45" i="9"/>
  <c r="EO45" i="9"/>
  <c r="DR46" i="9"/>
  <c r="DS46" i="9"/>
  <c r="DT46" i="9"/>
  <c r="DU46" i="9"/>
  <c r="DV46" i="9"/>
  <c r="DW46" i="9"/>
  <c r="DY46" i="9"/>
  <c r="DZ46" i="9"/>
  <c r="EA46" i="9"/>
  <c r="EB46" i="9"/>
  <c r="EC46" i="9"/>
  <c r="ED46" i="9"/>
  <c r="EE46" i="9"/>
  <c r="EF46" i="9"/>
  <c r="EG46" i="9"/>
  <c r="EH46" i="9"/>
  <c r="EI46" i="9"/>
  <c r="EJ46" i="9"/>
  <c r="EK46" i="9"/>
  <c r="EL46" i="9"/>
  <c r="EM46" i="9"/>
  <c r="EN46" i="9"/>
  <c r="EO46" i="9"/>
  <c r="DR47" i="9"/>
  <c r="DS47" i="9"/>
  <c r="DT47" i="9"/>
  <c r="DU47" i="9"/>
  <c r="DV47" i="9"/>
  <c r="DW47" i="9"/>
  <c r="DY47" i="9"/>
  <c r="DZ47" i="9"/>
  <c r="EA47" i="9"/>
  <c r="EB47" i="9"/>
  <c r="EC47" i="9"/>
  <c r="ED47" i="9"/>
  <c r="EE47" i="9"/>
  <c r="EF47" i="9"/>
  <c r="EG47" i="9"/>
  <c r="EH47" i="9"/>
  <c r="EI47" i="9"/>
  <c r="EJ47" i="9"/>
  <c r="EK47" i="9"/>
  <c r="EL47" i="9"/>
  <c r="EM47" i="9"/>
  <c r="EN47" i="9"/>
  <c r="EO47" i="9"/>
  <c r="DR48" i="9"/>
  <c r="DS48" i="9"/>
  <c r="DT48" i="9"/>
  <c r="DU48" i="9"/>
  <c r="DV48" i="9"/>
  <c r="DW48" i="9"/>
  <c r="DY48" i="9"/>
  <c r="DZ48" i="9"/>
  <c r="EA48" i="9"/>
  <c r="EB48" i="9"/>
  <c r="EC48" i="9"/>
  <c r="ED48" i="9"/>
  <c r="EE48" i="9"/>
  <c r="EF48" i="9"/>
  <c r="EG48" i="9"/>
  <c r="EH48" i="9"/>
  <c r="EI48" i="9"/>
  <c r="EJ48" i="9"/>
  <c r="EK48" i="9"/>
  <c r="EL48" i="9"/>
  <c r="EM48" i="9"/>
  <c r="EN48" i="9"/>
  <c r="EO48" i="9"/>
  <c r="DR49" i="9"/>
  <c r="DS49" i="9"/>
  <c r="DT49" i="9"/>
  <c r="DU49" i="9"/>
  <c r="DV49" i="9"/>
  <c r="DW49" i="9"/>
  <c r="DY49" i="9"/>
  <c r="DZ49" i="9"/>
  <c r="EA49" i="9"/>
  <c r="EB49" i="9"/>
  <c r="EC49" i="9"/>
  <c r="ED49" i="9"/>
  <c r="EE49" i="9"/>
  <c r="EF49" i="9"/>
  <c r="EG49" i="9"/>
  <c r="EH49" i="9"/>
  <c r="EI49" i="9"/>
  <c r="EJ49" i="9"/>
  <c r="EK49" i="9"/>
  <c r="EL49" i="9"/>
  <c r="EM49" i="9"/>
  <c r="EN49" i="9"/>
  <c r="EO49" i="9"/>
  <c r="DR50" i="9"/>
  <c r="DS50" i="9"/>
  <c r="DT50" i="9"/>
  <c r="DU50" i="9"/>
  <c r="DV50" i="9"/>
  <c r="DW50" i="9"/>
  <c r="DY50" i="9"/>
  <c r="DZ50" i="9"/>
  <c r="EA50" i="9"/>
  <c r="EB50" i="9"/>
  <c r="EC50" i="9"/>
  <c r="ED50" i="9"/>
  <c r="EE50" i="9"/>
  <c r="EF50" i="9"/>
  <c r="EG50" i="9"/>
  <c r="EH50" i="9"/>
  <c r="EI50" i="9"/>
  <c r="EJ50" i="9"/>
  <c r="EK50" i="9"/>
  <c r="EL50" i="9"/>
  <c r="EM50" i="9"/>
  <c r="EN50" i="9"/>
  <c r="EO50" i="9"/>
  <c r="DR51" i="9"/>
  <c r="DS51" i="9"/>
  <c r="DT51" i="9"/>
  <c r="DU51" i="9"/>
  <c r="DV51" i="9"/>
  <c r="DW51" i="9"/>
  <c r="DY51" i="9"/>
  <c r="DZ51" i="9"/>
  <c r="EA51" i="9"/>
  <c r="EB51" i="9"/>
  <c r="EC51" i="9"/>
  <c r="ED51" i="9"/>
  <c r="EE51" i="9"/>
  <c r="EF51" i="9"/>
  <c r="EG51" i="9"/>
  <c r="EH51" i="9"/>
  <c r="EI51" i="9"/>
  <c r="EJ51" i="9"/>
  <c r="EK51" i="9"/>
  <c r="EL51" i="9"/>
  <c r="EM51" i="9"/>
  <c r="EN51" i="9"/>
  <c r="EO51" i="9"/>
  <c r="DR52" i="9"/>
  <c r="DS52" i="9"/>
  <c r="DT52" i="9"/>
  <c r="DU52" i="9"/>
  <c r="DV52" i="9"/>
  <c r="DW52" i="9"/>
  <c r="DY52" i="9"/>
  <c r="DZ52" i="9"/>
  <c r="EA52" i="9"/>
  <c r="EB52" i="9"/>
  <c r="EC52" i="9"/>
  <c r="ED52" i="9"/>
  <c r="EE52" i="9"/>
  <c r="EF52" i="9"/>
  <c r="EG52" i="9"/>
  <c r="EH52" i="9"/>
  <c r="EI52" i="9"/>
  <c r="EJ52" i="9"/>
  <c r="EK52" i="9"/>
  <c r="EL52" i="9"/>
  <c r="EM52" i="9"/>
  <c r="EN52" i="9"/>
  <c r="EO52" i="9"/>
  <c r="DR53" i="9"/>
  <c r="DS53" i="9"/>
  <c r="DT53" i="9"/>
  <c r="DU53" i="9"/>
  <c r="DV53" i="9"/>
  <c r="DW53" i="9"/>
  <c r="DY53" i="9"/>
  <c r="DZ53" i="9"/>
  <c r="EA53" i="9"/>
  <c r="EB53" i="9"/>
  <c r="EC53" i="9"/>
  <c r="ED53" i="9"/>
  <c r="EE53" i="9"/>
  <c r="EF53" i="9"/>
  <c r="EG53" i="9"/>
  <c r="EH53" i="9"/>
  <c r="EI53" i="9"/>
  <c r="EJ53" i="9"/>
  <c r="EK53" i="9"/>
  <c r="EL53" i="9"/>
  <c r="EM53" i="9"/>
  <c r="EN53" i="9"/>
  <c r="EO53" i="9"/>
  <c r="DR54" i="9"/>
  <c r="DS54" i="9"/>
  <c r="DT54" i="9"/>
  <c r="DU54" i="9"/>
  <c r="DV54" i="9"/>
  <c r="DW54" i="9"/>
  <c r="DY54" i="9"/>
  <c r="DZ54" i="9"/>
  <c r="EA54" i="9"/>
  <c r="EB54" i="9"/>
  <c r="EC54" i="9"/>
  <c r="ED54" i="9"/>
  <c r="EE54" i="9"/>
  <c r="EF54" i="9"/>
  <c r="EG54" i="9"/>
  <c r="EH54" i="9"/>
  <c r="EI54" i="9"/>
  <c r="EJ54" i="9"/>
  <c r="EK54" i="9"/>
  <c r="EL54" i="9"/>
  <c r="EM54" i="9"/>
  <c r="EN54" i="9"/>
  <c r="EO54" i="9"/>
  <c r="DR55" i="9"/>
  <c r="DS55" i="9"/>
  <c r="DT55" i="9"/>
  <c r="DU55" i="9"/>
  <c r="DV55" i="9"/>
  <c r="DW55" i="9"/>
  <c r="DY55" i="9"/>
  <c r="DZ55" i="9"/>
  <c r="EA55" i="9"/>
  <c r="EB55" i="9"/>
  <c r="EC55" i="9"/>
  <c r="ED55" i="9"/>
  <c r="EE55" i="9"/>
  <c r="EF55" i="9"/>
  <c r="EG55" i="9"/>
  <c r="EH55" i="9"/>
  <c r="EI55" i="9"/>
  <c r="EJ55" i="9"/>
  <c r="EK55" i="9"/>
  <c r="EL55" i="9"/>
  <c r="EM55" i="9"/>
  <c r="EN55" i="9"/>
  <c r="EO55" i="9"/>
  <c r="DR56" i="9"/>
  <c r="DS56" i="9"/>
  <c r="DT56" i="9"/>
  <c r="DU56" i="9"/>
  <c r="DV56" i="9"/>
  <c r="DW56" i="9"/>
  <c r="DY56" i="9"/>
  <c r="DZ56" i="9"/>
  <c r="EA56" i="9"/>
  <c r="EB56" i="9"/>
  <c r="EC56" i="9"/>
  <c r="ED56" i="9"/>
  <c r="EE56" i="9"/>
  <c r="EF56" i="9"/>
  <c r="EG56" i="9"/>
  <c r="EH56" i="9"/>
  <c r="EI56" i="9"/>
  <c r="EJ56" i="9"/>
  <c r="EK56" i="9"/>
  <c r="EL56" i="9"/>
  <c r="EM56" i="9"/>
  <c r="EN56" i="9"/>
  <c r="EO56" i="9"/>
  <c r="DR57" i="9"/>
  <c r="DS57" i="9"/>
  <c r="DT57" i="9"/>
  <c r="DU57" i="9"/>
  <c r="DV57" i="9"/>
  <c r="DW57" i="9"/>
  <c r="DY57" i="9"/>
  <c r="DZ57" i="9"/>
  <c r="EA57" i="9"/>
  <c r="EB57" i="9"/>
  <c r="EC57" i="9"/>
  <c r="ED57" i="9"/>
  <c r="EE57" i="9"/>
  <c r="EF57" i="9"/>
  <c r="EG57" i="9"/>
  <c r="EH57" i="9"/>
  <c r="EI57" i="9"/>
  <c r="EJ57" i="9"/>
  <c r="EK57" i="9"/>
  <c r="EL57" i="9"/>
  <c r="EM57" i="9"/>
  <c r="EN57" i="9"/>
  <c r="EO57" i="9"/>
  <c r="DR58" i="9"/>
  <c r="DS58" i="9"/>
  <c r="DT58" i="9"/>
  <c r="DU58" i="9"/>
  <c r="DV58" i="9"/>
  <c r="DW58" i="9"/>
  <c r="DY58" i="9"/>
  <c r="DZ58" i="9"/>
  <c r="EA58" i="9"/>
  <c r="EB58" i="9"/>
  <c r="EC58" i="9"/>
  <c r="ED58" i="9"/>
  <c r="EE58" i="9"/>
  <c r="EF58" i="9"/>
  <c r="EG58" i="9"/>
  <c r="EH58" i="9"/>
  <c r="EI58" i="9"/>
  <c r="EJ58" i="9"/>
  <c r="EK58" i="9"/>
  <c r="EL58" i="9"/>
  <c r="EM58" i="9"/>
  <c r="EN58" i="9"/>
  <c r="EO58" i="9"/>
  <c r="DR59" i="9"/>
  <c r="DS59" i="9"/>
  <c r="DT59" i="9"/>
  <c r="DU59" i="9"/>
  <c r="DV59" i="9"/>
  <c r="DW59" i="9"/>
  <c r="DY59" i="9"/>
  <c r="DZ59" i="9"/>
  <c r="EA59" i="9"/>
  <c r="EB59" i="9"/>
  <c r="EC59" i="9"/>
  <c r="ED59" i="9"/>
  <c r="EE59" i="9"/>
  <c r="EF59" i="9"/>
  <c r="EG59" i="9"/>
  <c r="EH59" i="9"/>
  <c r="EI59" i="9"/>
  <c r="EJ59" i="9"/>
  <c r="EK59" i="9"/>
  <c r="EL59" i="9"/>
  <c r="EM59" i="9"/>
  <c r="EN59" i="9"/>
  <c r="EO59" i="9"/>
  <c r="DR60" i="9"/>
  <c r="DS60" i="9"/>
  <c r="DT60" i="9"/>
  <c r="DU60" i="9"/>
  <c r="DV60" i="9"/>
  <c r="DW60" i="9"/>
  <c r="DY60" i="9"/>
  <c r="DZ60" i="9"/>
  <c r="EA60" i="9"/>
  <c r="EB60" i="9"/>
  <c r="EC60" i="9"/>
  <c r="ED60" i="9"/>
  <c r="EE60" i="9"/>
  <c r="EF60" i="9"/>
  <c r="EG60" i="9"/>
  <c r="EH60" i="9"/>
  <c r="EI60" i="9"/>
  <c r="EJ60" i="9"/>
  <c r="EK60" i="9"/>
  <c r="EL60" i="9"/>
  <c r="EM60" i="9"/>
  <c r="EN60" i="9"/>
  <c r="EO60" i="9"/>
  <c r="DR61" i="9"/>
  <c r="DS61" i="9"/>
  <c r="DT61" i="9"/>
  <c r="DU61" i="9"/>
  <c r="DV61" i="9"/>
  <c r="DW61" i="9"/>
  <c r="DY61" i="9"/>
  <c r="DZ61" i="9"/>
  <c r="EA61" i="9"/>
  <c r="EB61" i="9"/>
  <c r="EC61" i="9"/>
  <c r="ED61" i="9"/>
  <c r="EE61" i="9"/>
  <c r="EF61" i="9"/>
  <c r="EG61" i="9"/>
  <c r="EH61" i="9"/>
  <c r="EI61" i="9"/>
  <c r="EJ61" i="9"/>
  <c r="EK61" i="9"/>
  <c r="EL61" i="9"/>
  <c r="EM61" i="9"/>
  <c r="EN61" i="9"/>
  <c r="EO61" i="9"/>
  <c r="DR62" i="9"/>
  <c r="DS62" i="9"/>
  <c r="DT62" i="9"/>
  <c r="DU62" i="9"/>
  <c r="DV62" i="9"/>
  <c r="DW62" i="9"/>
  <c r="DY62" i="9"/>
  <c r="DZ62" i="9"/>
  <c r="EA62" i="9"/>
  <c r="EB62" i="9"/>
  <c r="EC62" i="9"/>
  <c r="ED62" i="9"/>
  <c r="EE62" i="9"/>
  <c r="EF62" i="9"/>
  <c r="EG62" i="9"/>
  <c r="EH62" i="9"/>
  <c r="EI62" i="9"/>
  <c r="EJ62" i="9"/>
  <c r="EK62" i="9"/>
  <c r="EL62" i="9"/>
  <c r="EM62" i="9"/>
  <c r="EN62" i="9"/>
  <c r="EO62" i="9"/>
  <c r="DR63" i="9"/>
  <c r="DS63" i="9"/>
  <c r="DT63" i="9"/>
  <c r="DU63" i="9"/>
  <c r="DV63" i="9"/>
  <c r="DW63" i="9"/>
  <c r="DY63" i="9"/>
  <c r="DZ63" i="9"/>
  <c r="EA63" i="9"/>
  <c r="EB63" i="9"/>
  <c r="EC63" i="9"/>
  <c r="ED63" i="9"/>
  <c r="EE63" i="9"/>
  <c r="EF63" i="9"/>
  <c r="EG63" i="9"/>
  <c r="EH63" i="9"/>
  <c r="EI63" i="9"/>
  <c r="EJ63" i="9"/>
  <c r="EK63" i="9"/>
  <c r="EL63" i="9"/>
  <c r="EM63" i="9"/>
  <c r="EN63" i="9"/>
  <c r="EO63" i="9"/>
  <c r="DR64" i="9"/>
  <c r="DS64" i="9"/>
  <c r="DT64" i="9"/>
  <c r="DU64" i="9"/>
  <c r="DV64" i="9"/>
  <c r="DW64" i="9"/>
  <c r="DY64" i="9"/>
  <c r="DZ64" i="9"/>
  <c r="EA64" i="9"/>
  <c r="EB64" i="9"/>
  <c r="EC64" i="9"/>
  <c r="ED64" i="9"/>
  <c r="EE64" i="9"/>
  <c r="EF64" i="9"/>
  <c r="EG64" i="9"/>
  <c r="EH64" i="9"/>
  <c r="EI64" i="9"/>
  <c r="EJ64" i="9"/>
  <c r="EK64" i="9"/>
  <c r="EL64" i="9"/>
  <c r="EM64" i="9"/>
  <c r="EN64" i="9"/>
  <c r="EO64" i="9"/>
  <c r="DR65" i="9"/>
  <c r="DS65" i="9"/>
  <c r="DT65" i="9"/>
  <c r="DU65" i="9"/>
  <c r="DV65" i="9"/>
  <c r="DW65" i="9"/>
  <c r="DY65" i="9"/>
  <c r="DZ65" i="9"/>
  <c r="EA65" i="9"/>
  <c r="EB65" i="9"/>
  <c r="EC65" i="9"/>
  <c r="ED65" i="9"/>
  <c r="EE65" i="9"/>
  <c r="EF65" i="9"/>
  <c r="EG65" i="9"/>
  <c r="EH65" i="9"/>
  <c r="EI65" i="9"/>
  <c r="EJ65" i="9"/>
  <c r="EK65" i="9"/>
  <c r="EL65" i="9"/>
  <c r="EM65" i="9"/>
  <c r="EN65" i="9"/>
  <c r="EO65" i="9"/>
  <c r="DR66" i="9"/>
  <c r="DS66" i="9"/>
  <c r="DT66" i="9"/>
  <c r="DU66" i="9"/>
  <c r="DV66" i="9"/>
  <c r="DW66" i="9"/>
  <c r="DY66" i="9"/>
  <c r="DZ66" i="9"/>
  <c r="EA66" i="9"/>
  <c r="EB66" i="9"/>
  <c r="EC66" i="9"/>
  <c r="ED66" i="9"/>
  <c r="EE66" i="9"/>
  <c r="EF66" i="9"/>
  <c r="EG66" i="9"/>
  <c r="EH66" i="9"/>
  <c r="EI66" i="9"/>
  <c r="EJ66" i="9"/>
  <c r="EK66" i="9"/>
  <c r="EL66" i="9"/>
  <c r="EM66" i="9"/>
  <c r="EN66" i="9"/>
  <c r="EO66" i="9"/>
  <c r="DR67" i="9"/>
  <c r="DS67" i="9"/>
  <c r="DT67" i="9"/>
  <c r="DU67" i="9"/>
  <c r="DV67" i="9"/>
  <c r="DW67" i="9"/>
  <c r="DY67" i="9"/>
  <c r="DZ67" i="9"/>
  <c r="EA67" i="9"/>
  <c r="EB67" i="9"/>
  <c r="EC67" i="9"/>
  <c r="ED67" i="9"/>
  <c r="EE67" i="9"/>
  <c r="EF67" i="9"/>
  <c r="EG67" i="9"/>
  <c r="EH67" i="9"/>
  <c r="EI67" i="9"/>
  <c r="EJ67" i="9"/>
  <c r="EK67" i="9"/>
  <c r="EL67" i="9"/>
  <c r="EM67" i="9"/>
  <c r="EN67" i="9"/>
  <c r="EO67" i="9"/>
  <c r="DR68" i="9"/>
  <c r="DS68" i="9"/>
  <c r="DT68" i="9"/>
  <c r="DU68" i="9"/>
  <c r="DV68" i="9"/>
  <c r="DW68" i="9"/>
  <c r="DY68" i="9"/>
  <c r="DZ68" i="9"/>
  <c r="EA68" i="9"/>
  <c r="EB68" i="9"/>
  <c r="EC68" i="9"/>
  <c r="ED68" i="9"/>
  <c r="EE68" i="9"/>
  <c r="EF68" i="9"/>
  <c r="EG68" i="9"/>
  <c r="EH68" i="9"/>
  <c r="EI68" i="9"/>
  <c r="EJ68" i="9"/>
  <c r="EK68" i="9"/>
  <c r="EL68" i="9"/>
  <c r="EM68" i="9"/>
  <c r="EN68" i="9"/>
  <c r="EO68" i="9"/>
  <c r="DR69" i="9"/>
  <c r="DS69" i="9"/>
  <c r="DT69" i="9"/>
  <c r="DU69" i="9"/>
  <c r="DV69" i="9"/>
  <c r="DW69" i="9"/>
  <c r="DY69" i="9"/>
  <c r="DZ69" i="9"/>
  <c r="EA69" i="9"/>
  <c r="EB69" i="9"/>
  <c r="EC69" i="9"/>
  <c r="ED69" i="9"/>
  <c r="EE69" i="9"/>
  <c r="EF69" i="9"/>
  <c r="EG69" i="9"/>
  <c r="EH69" i="9"/>
  <c r="EI69" i="9"/>
  <c r="EJ69" i="9"/>
  <c r="EK69" i="9"/>
  <c r="EL69" i="9"/>
  <c r="EM69" i="9"/>
  <c r="EN69" i="9"/>
  <c r="EO69" i="9"/>
  <c r="DR71" i="9"/>
  <c r="DS71" i="9"/>
  <c r="DT71" i="9"/>
  <c r="DU71" i="9"/>
  <c r="DV71" i="9"/>
  <c r="DW71" i="9"/>
  <c r="DY71" i="9"/>
  <c r="DZ71" i="9"/>
  <c r="EA71" i="9"/>
  <c r="EB71" i="9"/>
  <c r="EC71" i="9"/>
  <c r="ED71" i="9"/>
  <c r="EE71" i="9"/>
  <c r="EF71" i="9"/>
  <c r="EG71" i="9"/>
  <c r="EH71" i="9"/>
  <c r="EI71" i="9"/>
  <c r="EJ71" i="9"/>
  <c r="EK71" i="9"/>
  <c r="EL71" i="9"/>
  <c r="EM71" i="9"/>
  <c r="EN71" i="9"/>
  <c r="EO71" i="9"/>
  <c r="DR72" i="9"/>
  <c r="DS72" i="9"/>
  <c r="DT72" i="9"/>
  <c r="DU72" i="9"/>
  <c r="DV72" i="9"/>
  <c r="DW72" i="9"/>
  <c r="DY72" i="9"/>
  <c r="DZ72" i="9"/>
  <c r="EA72" i="9"/>
  <c r="EB72" i="9"/>
  <c r="EC72" i="9"/>
  <c r="ED72" i="9"/>
  <c r="EE72" i="9"/>
  <c r="EF72" i="9"/>
  <c r="EG72" i="9"/>
  <c r="EH72" i="9"/>
  <c r="EI72" i="9"/>
  <c r="EJ72" i="9"/>
  <c r="EK72" i="9"/>
  <c r="EL72" i="9"/>
  <c r="EM72" i="9"/>
  <c r="EN72" i="9"/>
  <c r="EO72" i="9"/>
  <c r="DR73" i="9"/>
  <c r="DS73" i="9"/>
  <c r="DT73" i="9"/>
  <c r="DU73" i="9"/>
  <c r="DV73" i="9"/>
  <c r="DW73" i="9"/>
  <c r="DY73" i="9"/>
  <c r="DZ73" i="9"/>
  <c r="EA73" i="9"/>
  <c r="EB73" i="9"/>
  <c r="EC73" i="9"/>
  <c r="ED73" i="9"/>
  <c r="EE73" i="9"/>
  <c r="EF73" i="9"/>
  <c r="EG73" i="9"/>
  <c r="EH73" i="9"/>
  <c r="EI73" i="9"/>
  <c r="EJ73" i="9"/>
  <c r="EK73" i="9"/>
  <c r="EL73" i="9"/>
  <c r="EM73" i="9"/>
  <c r="EN73" i="9"/>
  <c r="EO73" i="9"/>
  <c r="DR74" i="9"/>
  <c r="DS74" i="9"/>
  <c r="DT74" i="9"/>
  <c r="DU74" i="9"/>
  <c r="DV74" i="9"/>
  <c r="DW74" i="9"/>
  <c r="DY74" i="9"/>
  <c r="DZ74" i="9"/>
  <c r="EA74" i="9"/>
  <c r="EB74" i="9"/>
  <c r="EC74" i="9"/>
  <c r="ED74" i="9"/>
  <c r="EE74" i="9"/>
  <c r="EF74" i="9"/>
  <c r="EG74" i="9"/>
  <c r="EH74" i="9"/>
  <c r="EI74" i="9"/>
  <c r="EJ74" i="9"/>
  <c r="EK74" i="9"/>
  <c r="EL74" i="9"/>
  <c r="EM74" i="9"/>
  <c r="EN74" i="9"/>
  <c r="EO74" i="9"/>
  <c r="DR75" i="9"/>
  <c r="DS75" i="9"/>
  <c r="DT75" i="9"/>
  <c r="DU75" i="9"/>
  <c r="DV75" i="9"/>
  <c r="DW75" i="9"/>
  <c r="DY75" i="9"/>
  <c r="DZ75" i="9"/>
  <c r="EA75" i="9"/>
  <c r="EB75" i="9"/>
  <c r="EC75" i="9"/>
  <c r="ED75" i="9"/>
  <c r="EE75" i="9"/>
  <c r="EF75" i="9"/>
  <c r="EG75" i="9"/>
  <c r="EH75" i="9"/>
  <c r="EI75" i="9"/>
  <c r="EJ75" i="9"/>
  <c r="EK75" i="9"/>
  <c r="EL75" i="9"/>
  <c r="EM75" i="9"/>
  <c r="EN75" i="9"/>
  <c r="EO75" i="9"/>
  <c r="F50" i="2"/>
  <c r="G50" i="2"/>
  <c r="F51" i="2"/>
  <c r="G51" i="2"/>
  <c r="F52" i="2"/>
  <c r="G52" i="2"/>
  <c r="G53" i="2"/>
  <c r="E29" i="2"/>
  <c r="E30" i="2"/>
  <c r="B8" i="5"/>
  <c r="B7" i="5"/>
  <c r="B6" i="5"/>
  <c r="DQ76" i="9"/>
  <c r="DP76" i="9"/>
  <c r="DO76" i="9"/>
  <c r="DN76" i="9"/>
  <c r="DM76" i="9"/>
  <c r="DL76" i="9"/>
  <c r="DK76" i="9"/>
  <c r="DJ76" i="9"/>
  <c r="DI76" i="9"/>
  <c r="DH76" i="9"/>
  <c r="DG76" i="9"/>
  <c r="DF76" i="9"/>
  <c r="DE76" i="9"/>
  <c r="DD76" i="9"/>
  <c r="DC76" i="9"/>
  <c r="DB76" i="9"/>
  <c r="DA76" i="9"/>
  <c r="CZ76" i="9"/>
  <c r="CY76" i="9"/>
  <c r="CX76" i="9"/>
  <c r="CW76" i="9"/>
  <c r="CV76" i="9"/>
  <c r="CU76" i="9"/>
  <c r="CT76" i="9"/>
  <c r="CT5" i="9"/>
  <c r="CU5" i="9"/>
  <c r="CV5" i="9"/>
  <c r="CW5" i="9"/>
  <c r="CX5" i="9"/>
  <c r="CY5" i="9"/>
  <c r="CZ5" i="9"/>
  <c r="DA5" i="9"/>
  <c r="DB5" i="9"/>
  <c r="DC5" i="9"/>
  <c r="DD5" i="9"/>
  <c r="DE5" i="9"/>
  <c r="DF5" i="9"/>
  <c r="DG5" i="9"/>
  <c r="DH5" i="9"/>
  <c r="DI5" i="9"/>
  <c r="DJ5" i="9"/>
  <c r="DK5" i="9"/>
  <c r="DL5" i="9"/>
  <c r="DM5" i="9"/>
  <c r="DN5" i="9"/>
  <c r="DO5" i="9"/>
  <c r="DP5" i="9"/>
  <c r="DQ5" i="9"/>
  <c r="CT6" i="9"/>
  <c r="CU6" i="9"/>
  <c r="CV6" i="9"/>
  <c r="CW6" i="9"/>
  <c r="CX6" i="9"/>
  <c r="CY6" i="9"/>
  <c r="CZ6" i="9"/>
  <c r="DA6" i="9"/>
  <c r="DB6" i="9"/>
  <c r="DC6" i="9"/>
  <c r="DD6" i="9"/>
  <c r="DE6" i="9"/>
  <c r="DF6" i="9"/>
  <c r="DG6" i="9"/>
  <c r="DH6" i="9"/>
  <c r="DI6" i="9"/>
  <c r="DJ6" i="9"/>
  <c r="DK6" i="9"/>
  <c r="DL6" i="9"/>
  <c r="DM6" i="9"/>
  <c r="DN6" i="9"/>
  <c r="DO6" i="9"/>
  <c r="DP6" i="9"/>
  <c r="DQ6" i="9"/>
  <c r="CT7" i="9"/>
  <c r="CU7" i="9"/>
  <c r="CV7" i="9"/>
  <c r="CW7" i="9"/>
  <c r="CX7" i="9"/>
  <c r="CY7" i="9"/>
  <c r="CZ7" i="9"/>
  <c r="DA7" i="9"/>
  <c r="DB7" i="9"/>
  <c r="DC7" i="9"/>
  <c r="DD7" i="9"/>
  <c r="DE7" i="9"/>
  <c r="DF7" i="9"/>
  <c r="DG7" i="9"/>
  <c r="DH7" i="9"/>
  <c r="DI7" i="9"/>
  <c r="DJ7" i="9"/>
  <c r="DK7" i="9"/>
  <c r="DL7" i="9"/>
  <c r="DM7" i="9"/>
  <c r="DN7" i="9"/>
  <c r="DO7" i="9"/>
  <c r="DP7" i="9"/>
  <c r="DQ7" i="9"/>
  <c r="CT8" i="9"/>
  <c r="CU8" i="9"/>
  <c r="CV8" i="9"/>
  <c r="CW8" i="9"/>
  <c r="CX8" i="9"/>
  <c r="CY8" i="9"/>
  <c r="CZ8" i="9"/>
  <c r="DA8" i="9"/>
  <c r="DB8" i="9"/>
  <c r="DC8" i="9"/>
  <c r="DD8" i="9"/>
  <c r="DE8" i="9"/>
  <c r="DF8" i="9"/>
  <c r="DG8" i="9"/>
  <c r="DH8" i="9"/>
  <c r="DI8" i="9"/>
  <c r="DJ8" i="9"/>
  <c r="DK8" i="9"/>
  <c r="DL8" i="9"/>
  <c r="DM8" i="9"/>
  <c r="DN8" i="9"/>
  <c r="DO8" i="9"/>
  <c r="DP8" i="9"/>
  <c r="DQ8" i="9"/>
  <c r="CT9" i="9"/>
  <c r="CU9" i="9"/>
  <c r="CV9" i="9"/>
  <c r="CW9" i="9"/>
  <c r="CX9" i="9"/>
  <c r="CY9" i="9"/>
  <c r="CZ9" i="9"/>
  <c r="DA9" i="9"/>
  <c r="DB9" i="9"/>
  <c r="DC9" i="9"/>
  <c r="DD9" i="9"/>
  <c r="DE9" i="9"/>
  <c r="DF9" i="9"/>
  <c r="DG9" i="9"/>
  <c r="DH9" i="9"/>
  <c r="DI9" i="9"/>
  <c r="DJ9" i="9"/>
  <c r="DK9" i="9"/>
  <c r="DL9" i="9"/>
  <c r="DM9" i="9"/>
  <c r="DN9" i="9"/>
  <c r="DO9" i="9"/>
  <c r="DP9" i="9"/>
  <c r="DQ9" i="9"/>
  <c r="CT10" i="9"/>
  <c r="CU10" i="9"/>
  <c r="CV10" i="9"/>
  <c r="CW10" i="9"/>
  <c r="CX10" i="9"/>
  <c r="CY10" i="9"/>
  <c r="CZ10" i="9"/>
  <c r="DA10" i="9"/>
  <c r="DB10" i="9"/>
  <c r="DC10" i="9"/>
  <c r="DD10" i="9"/>
  <c r="DE10" i="9"/>
  <c r="DF10" i="9"/>
  <c r="DG10" i="9"/>
  <c r="DH10" i="9"/>
  <c r="DI10" i="9"/>
  <c r="DJ10" i="9"/>
  <c r="DK10" i="9"/>
  <c r="DL10" i="9"/>
  <c r="DM10" i="9"/>
  <c r="DN10" i="9"/>
  <c r="DO10" i="9"/>
  <c r="DP10" i="9"/>
  <c r="DQ10" i="9"/>
  <c r="CT11" i="9"/>
  <c r="CU11" i="9"/>
  <c r="CV11" i="9"/>
  <c r="CW11" i="9"/>
  <c r="CX11" i="9"/>
  <c r="CY11" i="9"/>
  <c r="CZ11" i="9"/>
  <c r="DA11" i="9"/>
  <c r="DB11" i="9"/>
  <c r="DC11" i="9"/>
  <c r="DD11" i="9"/>
  <c r="DE11" i="9"/>
  <c r="DF11" i="9"/>
  <c r="DG11" i="9"/>
  <c r="DH11" i="9"/>
  <c r="DI11" i="9"/>
  <c r="DJ11" i="9"/>
  <c r="DK11" i="9"/>
  <c r="DL11" i="9"/>
  <c r="DM11" i="9"/>
  <c r="DN11" i="9"/>
  <c r="DO11" i="9"/>
  <c r="DP11" i="9"/>
  <c r="DQ11" i="9"/>
  <c r="CT12" i="9"/>
  <c r="CU12" i="9"/>
  <c r="CV12" i="9"/>
  <c r="CW12" i="9"/>
  <c r="CX12" i="9"/>
  <c r="CY12" i="9"/>
  <c r="CZ12" i="9"/>
  <c r="DA12" i="9"/>
  <c r="DB12" i="9"/>
  <c r="DC12" i="9"/>
  <c r="DD12" i="9"/>
  <c r="DE12" i="9"/>
  <c r="DF12" i="9"/>
  <c r="DG12" i="9"/>
  <c r="DH12" i="9"/>
  <c r="DI12" i="9"/>
  <c r="DJ12" i="9"/>
  <c r="DK12" i="9"/>
  <c r="DL12" i="9"/>
  <c r="DM12" i="9"/>
  <c r="DN12" i="9"/>
  <c r="DO12" i="9"/>
  <c r="DP12" i="9"/>
  <c r="DQ12" i="9"/>
  <c r="CT13" i="9"/>
  <c r="CU13" i="9"/>
  <c r="CV13" i="9"/>
  <c r="CW13" i="9"/>
  <c r="CX13" i="9"/>
  <c r="CY13" i="9"/>
  <c r="CZ13" i="9"/>
  <c r="DA13" i="9"/>
  <c r="DB13" i="9"/>
  <c r="DC13" i="9"/>
  <c r="DD13" i="9"/>
  <c r="DE13" i="9"/>
  <c r="DF13" i="9"/>
  <c r="DG13" i="9"/>
  <c r="DH13" i="9"/>
  <c r="DI13" i="9"/>
  <c r="DJ13" i="9"/>
  <c r="DK13" i="9"/>
  <c r="DL13" i="9"/>
  <c r="DM13" i="9"/>
  <c r="DN13" i="9"/>
  <c r="DO13" i="9"/>
  <c r="DP13" i="9"/>
  <c r="DQ13" i="9"/>
  <c r="CT14" i="9"/>
  <c r="CU14" i="9"/>
  <c r="CV14" i="9"/>
  <c r="CW14" i="9"/>
  <c r="CX14" i="9"/>
  <c r="CY14" i="9"/>
  <c r="CZ14" i="9"/>
  <c r="DA14" i="9"/>
  <c r="DB14" i="9"/>
  <c r="DC14" i="9"/>
  <c r="DD14" i="9"/>
  <c r="DE14" i="9"/>
  <c r="DF14" i="9"/>
  <c r="DG14" i="9"/>
  <c r="DH14" i="9"/>
  <c r="DI14" i="9"/>
  <c r="DJ14" i="9"/>
  <c r="DK14" i="9"/>
  <c r="DL14" i="9"/>
  <c r="DM14" i="9"/>
  <c r="DN14" i="9"/>
  <c r="DO14" i="9"/>
  <c r="DP14" i="9"/>
  <c r="DQ14" i="9"/>
  <c r="CT15" i="9"/>
  <c r="CU15" i="9"/>
  <c r="CV15" i="9"/>
  <c r="CW15" i="9"/>
  <c r="CX15" i="9"/>
  <c r="CY15" i="9"/>
  <c r="CZ15" i="9"/>
  <c r="DA15" i="9"/>
  <c r="DB15" i="9"/>
  <c r="DC15" i="9"/>
  <c r="DD15" i="9"/>
  <c r="DE15" i="9"/>
  <c r="DF15" i="9"/>
  <c r="DG15" i="9"/>
  <c r="DH15" i="9"/>
  <c r="DI15" i="9"/>
  <c r="DJ15" i="9"/>
  <c r="DK15" i="9"/>
  <c r="DL15" i="9"/>
  <c r="DM15" i="9"/>
  <c r="DN15" i="9"/>
  <c r="DO15" i="9"/>
  <c r="DP15" i="9"/>
  <c r="DQ15" i="9"/>
  <c r="CT16" i="9"/>
  <c r="CU16" i="9"/>
  <c r="CV16" i="9"/>
  <c r="CW16" i="9"/>
  <c r="CX16" i="9"/>
  <c r="CY16" i="9"/>
  <c r="CZ16" i="9"/>
  <c r="DA16" i="9"/>
  <c r="DB16" i="9"/>
  <c r="DC16" i="9"/>
  <c r="DD16" i="9"/>
  <c r="DE16" i="9"/>
  <c r="DF16" i="9"/>
  <c r="DG16" i="9"/>
  <c r="DH16" i="9"/>
  <c r="DI16" i="9"/>
  <c r="DJ16" i="9"/>
  <c r="DK16" i="9"/>
  <c r="DL16" i="9"/>
  <c r="DM16" i="9"/>
  <c r="DN16" i="9"/>
  <c r="DO16" i="9"/>
  <c r="DP16" i="9"/>
  <c r="DQ16" i="9"/>
  <c r="CT17" i="9"/>
  <c r="CU17" i="9"/>
  <c r="CV17" i="9"/>
  <c r="CW17" i="9"/>
  <c r="CX17" i="9"/>
  <c r="CY17" i="9"/>
  <c r="CZ17" i="9"/>
  <c r="DA17" i="9"/>
  <c r="DB17" i="9"/>
  <c r="DC17" i="9"/>
  <c r="DD17" i="9"/>
  <c r="DE17" i="9"/>
  <c r="DF17" i="9"/>
  <c r="DG17" i="9"/>
  <c r="DH17" i="9"/>
  <c r="DI17" i="9"/>
  <c r="DJ17" i="9"/>
  <c r="DK17" i="9"/>
  <c r="DL17" i="9"/>
  <c r="DM17" i="9"/>
  <c r="DN17" i="9"/>
  <c r="DO17" i="9"/>
  <c r="DP17" i="9"/>
  <c r="DQ17" i="9"/>
  <c r="CT18" i="9"/>
  <c r="CU18" i="9"/>
  <c r="CV18" i="9"/>
  <c r="CW18" i="9"/>
  <c r="CX18" i="9"/>
  <c r="CY18" i="9"/>
  <c r="CZ18" i="9"/>
  <c r="DA18" i="9"/>
  <c r="DB18" i="9"/>
  <c r="DC18" i="9"/>
  <c r="DD18" i="9"/>
  <c r="DE18" i="9"/>
  <c r="DF18" i="9"/>
  <c r="DG18" i="9"/>
  <c r="DH18" i="9"/>
  <c r="DI18" i="9"/>
  <c r="DJ18" i="9"/>
  <c r="DK18" i="9"/>
  <c r="DL18" i="9"/>
  <c r="DM18" i="9"/>
  <c r="DN18" i="9"/>
  <c r="DO18" i="9"/>
  <c r="DP18" i="9"/>
  <c r="DQ18" i="9"/>
  <c r="CT19" i="9"/>
  <c r="CU19" i="9"/>
  <c r="CV19" i="9"/>
  <c r="CW19" i="9"/>
  <c r="CX19" i="9"/>
  <c r="CY19" i="9"/>
  <c r="CZ19" i="9"/>
  <c r="DA19" i="9"/>
  <c r="DB19" i="9"/>
  <c r="DC19" i="9"/>
  <c r="DD19" i="9"/>
  <c r="DE19" i="9"/>
  <c r="DF19" i="9"/>
  <c r="DG19" i="9"/>
  <c r="DH19" i="9"/>
  <c r="DI19" i="9"/>
  <c r="DJ19" i="9"/>
  <c r="DK19" i="9"/>
  <c r="DL19" i="9"/>
  <c r="DM19" i="9"/>
  <c r="DN19" i="9"/>
  <c r="DO19" i="9"/>
  <c r="DP19" i="9"/>
  <c r="DQ19" i="9"/>
  <c r="CT20" i="9"/>
  <c r="CU20" i="9"/>
  <c r="CV20" i="9"/>
  <c r="CW20" i="9"/>
  <c r="CX20" i="9"/>
  <c r="CY20" i="9"/>
  <c r="CZ20" i="9"/>
  <c r="DA20" i="9"/>
  <c r="DB20" i="9"/>
  <c r="DC20" i="9"/>
  <c r="DD20" i="9"/>
  <c r="DE20" i="9"/>
  <c r="DF20" i="9"/>
  <c r="DG20" i="9"/>
  <c r="DH20" i="9"/>
  <c r="DI20" i="9"/>
  <c r="DJ20" i="9"/>
  <c r="DK20" i="9"/>
  <c r="DL20" i="9"/>
  <c r="DM20" i="9"/>
  <c r="DN20" i="9"/>
  <c r="DO20" i="9"/>
  <c r="DP20" i="9"/>
  <c r="DQ20" i="9"/>
  <c r="CT21" i="9"/>
  <c r="CU21" i="9"/>
  <c r="CV21" i="9"/>
  <c r="CW21" i="9"/>
  <c r="CX21" i="9"/>
  <c r="CY21" i="9"/>
  <c r="CZ21" i="9"/>
  <c r="DA21" i="9"/>
  <c r="DB21" i="9"/>
  <c r="DC21" i="9"/>
  <c r="DD21" i="9"/>
  <c r="DE21" i="9"/>
  <c r="DF21" i="9"/>
  <c r="DG21" i="9"/>
  <c r="DH21" i="9"/>
  <c r="DI21" i="9"/>
  <c r="DJ21" i="9"/>
  <c r="DK21" i="9"/>
  <c r="DL21" i="9"/>
  <c r="DM21" i="9"/>
  <c r="DN21" i="9"/>
  <c r="DO21" i="9"/>
  <c r="DP21" i="9"/>
  <c r="DQ21" i="9"/>
  <c r="CT22" i="9"/>
  <c r="CU22" i="9"/>
  <c r="CV22" i="9"/>
  <c r="CW22" i="9"/>
  <c r="CX22" i="9"/>
  <c r="CY22" i="9"/>
  <c r="CZ22" i="9"/>
  <c r="DA22" i="9"/>
  <c r="DB22" i="9"/>
  <c r="DC22" i="9"/>
  <c r="DD22" i="9"/>
  <c r="DE22" i="9"/>
  <c r="DF22" i="9"/>
  <c r="DG22" i="9"/>
  <c r="DH22" i="9"/>
  <c r="DI22" i="9"/>
  <c r="DJ22" i="9"/>
  <c r="DK22" i="9"/>
  <c r="DL22" i="9"/>
  <c r="DM22" i="9"/>
  <c r="DN22" i="9"/>
  <c r="DO22" i="9"/>
  <c r="DP22" i="9"/>
  <c r="DQ22" i="9"/>
  <c r="CT23" i="9"/>
  <c r="CU23" i="9"/>
  <c r="CV23" i="9"/>
  <c r="CW23" i="9"/>
  <c r="CX23" i="9"/>
  <c r="CY23" i="9"/>
  <c r="CZ23" i="9"/>
  <c r="DA23" i="9"/>
  <c r="DB23" i="9"/>
  <c r="DC23" i="9"/>
  <c r="DD23" i="9"/>
  <c r="DE23" i="9"/>
  <c r="DF23" i="9"/>
  <c r="DG23" i="9"/>
  <c r="DH23" i="9"/>
  <c r="DI23" i="9"/>
  <c r="DJ23" i="9"/>
  <c r="DK23" i="9"/>
  <c r="DL23" i="9"/>
  <c r="DM23" i="9"/>
  <c r="DN23" i="9"/>
  <c r="DO23" i="9"/>
  <c r="DP23" i="9"/>
  <c r="DQ23" i="9"/>
  <c r="CT24" i="9"/>
  <c r="CU24" i="9"/>
  <c r="CV24" i="9"/>
  <c r="CW24" i="9"/>
  <c r="CX24" i="9"/>
  <c r="CY24" i="9"/>
  <c r="CZ24" i="9"/>
  <c r="DA24" i="9"/>
  <c r="DB24" i="9"/>
  <c r="DC24" i="9"/>
  <c r="DD24" i="9"/>
  <c r="DE24" i="9"/>
  <c r="DF24" i="9"/>
  <c r="DG24" i="9"/>
  <c r="DH24" i="9"/>
  <c r="DI24" i="9"/>
  <c r="DJ24" i="9"/>
  <c r="DK24" i="9"/>
  <c r="DL24" i="9"/>
  <c r="DM24" i="9"/>
  <c r="DN24" i="9"/>
  <c r="DO24" i="9"/>
  <c r="DP24" i="9"/>
  <c r="DQ24" i="9"/>
  <c r="CT25" i="9"/>
  <c r="CU25" i="9"/>
  <c r="CV25" i="9"/>
  <c r="CW25" i="9"/>
  <c r="CX25" i="9"/>
  <c r="CY25" i="9"/>
  <c r="CZ25" i="9"/>
  <c r="DA25" i="9"/>
  <c r="DB25" i="9"/>
  <c r="DC25" i="9"/>
  <c r="DD25" i="9"/>
  <c r="DE25" i="9"/>
  <c r="DF25" i="9"/>
  <c r="DG25" i="9"/>
  <c r="DH25" i="9"/>
  <c r="DI25" i="9"/>
  <c r="DJ25" i="9"/>
  <c r="DK25" i="9"/>
  <c r="DL25" i="9"/>
  <c r="DM25" i="9"/>
  <c r="DN25" i="9"/>
  <c r="DO25" i="9"/>
  <c r="DP25" i="9"/>
  <c r="DQ25" i="9"/>
  <c r="CT26" i="9"/>
  <c r="CU26" i="9"/>
  <c r="CV26" i="9"/>
  <c r="CW26" i="9"/>
  <c r="CX26" i="9"/>
  <c r="CY26" i="9"/>
  <c r="CZ26" i="9"/>
  <c r="DA26" i="9"/>
  <c r="DB26" i="9"/>
  <c r="DC26" i="9"/>
  <c r="DD26" i="9"/>
  <c r="DE26" i="9"/>
  <c r="DF26" i="9"/>
  <c r="DG26" i="9"/>
  <c r="DH26" i="9"/>
  <c r="DI26" i="9"/>
  <c r="DJ26" i="9"/>
  <c r="DK26" i="9"/>
  <c r="DL26" i="9"/>
  <c r="DM26" i="9"/>
  <c r="DN26" i="9"/>
  <c r="DO26" i="9"/>
  <c r="DP26" i="9"/>
  <c r="DQ26" i="9"/>
  <c r="CT27" i="9"/>
  <c r="CU27" i="9"/>
  <c r="CV27" i="9"/>
  <c r="CW27" i="9"/>
  <c r="CX27" i="9"/>
  <c r="CY27" i="9"/>
  <c r="CZ27" i="9"/>
  <c r="DA27" i="9"/>
  <c r="DB27" i="9"/>
  <c r="DC27" i="9"/>
  <c r="DD27" i="9"/>
  <c r="DE27" i="9"/>
  <c r="DF27" i="9"/>
  <c r="DG27" i="9"/>
  <c r="DH27" i="9"/>
  <c r="DI27" i="9"/>
  <c r="DJ27" i="9"/>
  <c r="DK27" i="9"/>
  <c r="DL27" i="9"/>
  <c r="DM27" i="9"/>
  <c r="DN27" i="9"/>
  <c r="DO27" i="9"/>
  <c r="DP27" i="9"/>
  <c r="DQ27" i="9"/>
  <c r="CT28" i="9"/>
  <c r="CU28" i="9"/>
  <c r="CV28" i="9"/>
  <c r="CW28" i="9"/>
  <c r="CX28" i="9"/>
  <c r="CY28" i="9"/>
  <c r="CZ28" i="9"/>
  <c r="DA28" i="9"/>
  <c r="DB28" i="9"/>
  <c r="DC28" i="9"/>
  <c r="DD28" i="9"/>
  <c r="DE28" i="9"/>
  <c r="DF28" i="9"/>
  <c r="DG28" i="9"/>
  <c r="DH28" i="9"/>
  <c r="DI28" i="9"/>
  <c r="DJ28" i="9"/>
  <c r="DK28" i="9"/>
  <c r="DL28" i="9"/>
  <c r="DM28" i="9"/>
  <c r="DN28" i="9"/>
  <c r="DO28" i="9"/>
  <c r="DP28" i="9"/>
  <c r="DQ28" i="9"/>
  <c r="CT29" i="9"/>
  <c r="CU29" i="9"/>
  <c r="CV29" i="9"/>
  <c r="CW29" i="9"/>
  <c r="CX29" i="9"/>
  <c r="CY29" i="9"/>
  <c r="CZ29" i="9"/>
  <c r="DA29" i="9"/>
  <c r="DB29" i="9"/>
  <c r="DC29" i="9"/>
  <c r="DD29" i="9"/>
  <c r="DE29" i="9"/>
  <c r="DF29" i="9"/>
  <c r="DG29" i="9"/>
  <c r="DH29" i="9"/>
  <c r="DI29" i="9"/>
  <c r="DJ29" i="9"/>
  <c r="DK29" i="9"/>
  <c r="DL29" i="9"/>
  <c r="DM29" i="9"/>
  <c r="DN29" i="9"/>
  <c r="DO29" i="9"/>
  <c r="DP29" i="9"/>
  <c r="DQ29" i="9"/>
  <c r="CT30" i="9"/>
  <c r="CU30" i="9"/>
  <c r="CV30" i="9"/>
  <c r="CW30" i="9"/>
  <c r="CX30" i="9"/>
  <c r="CY30" i="9"/>
  <c r="CZ30" i="9"/>
  <c r="DA30" i="9"/>
  <c r="DB30" i="9"/>
  <c r="DC30" i="9"/>
  <c r="DD30" i="9"/>
  <c r="DE30" i="9"/>
  <c r="DF30" i="9"/>
  <c r="DG30" i="9"/>
  <c r="DH30" i="9"/>
  <c r="DI30" i="9"/>
  <c r="DJ30" i="9"/>
  <c r="DK30" i="9"/>
  <c r="DL30" i="9"/>
  <c r="DM30" i="9"/>
  <c r="DN30" i="9"/>
  <c r="DO30" i="9"/>
  <c r="DP30" i="9"/>
  <c r="DQ30" i="9"/>
  <c r="CT31" i="9"/>
  <c r="CU31" i="9"/>
  <c r="CV31" i="9"/>
  <c r="CW31" i="9"/>
  <c r="CX31" i="9"/>
  <c r="CY31" i="9"/>
  <c r="CZ31" i="9"/>
  <c r="DA31" i="9"/>
  <c r="DB31" i="9"/>
  <c r="DC31" i="9"/>
  <c r="DD31" i="9"/>
  <c r="DE31" i="9"/>
  <c r="DF31" i="9"/>
  <c r="DG31" i="9"/>
  <c r="DH31" i="9"/>
  <c r="DI31" i="9"/>
  <c r="DJ31" i="9"/>
  <c r="DK31" i="9"/>
  <c r="DL31" i="9"/>
  <c r="DM31" i="9"/>
  <c r="DN31" i="9"/>
  <c r="DO31" i="9"/>
  <c r="DP31" i="9"/>
  <c r="DQ31" i="9"/>
  <c r="CT32" i="9"/>
  <c r="CU32" i="9"/>
  <c r="CV32" i="9"/>
  <c r="CW32" i="9"/>
  <c r="CX32" i="9"/>
  <c r="CY32" i="9"/>
  <c r="CZ32" i="9"/>
  <c r="DA32" i="9"/>
  <c r="DB32" i="9"/>
  <c r="DC32" i="9"/>
  <c r="DD32" i="9"/>
  <c r="DE32" i="9"/>
  <c r="DF32" i="9"/>
  <c r="DG32" i="9"/>
  <c r="DH32" i="9"/>
  <c r="DI32" i="9"/>
  <c r="DJ32" i="9"/>
  <c r="DK32" i="9"/>
  <c r="DL32" i="9"/>
  <c r="DM32" i="9"/>
  <c r="DN32" i="9"/>
  <c r="DO32" i="9"/>
  <c r="DP32" i="9"/>
  <c r="DQ32" i="9"/>
  <c r="CT33" i="9"/>
  <c r="CU33" i="9"/>
  <c r="CV33" i="9"/>
  <c r="CW33" i="9"/>
  <c r="CX33" i="9"/>
  <c r="CY33" i="9"/>
  <c r="CZ33" i="9"/>
  <c r="DA33" i="9"/>
  <c r="DB33" i="9"/>
  <c r="DC33" i="9"/>
  <c r="DD33" i="9"/>
  <c r="DE33" i="9"/>
  <c r="DF33" i="9"/>
  <c r="DG33" i="9"/>
  <c r="DH33" i="9"/>
  <c r="DI33" i="9"/>
  <c r="DJ33" i="9"/>
  <c r="DK33" i="9"/>
  <c r="DL33" i="9"/>
  <c r="DM33" i="9"/>
  <c r="DN33" i="9"/>
  <c r="DO33" i="9"/>
  <c r="DP33" i="9"/>
  <c r="DQ33" i="9"/>
  <c r="CT34" i="9"/>
  <c r="CU34" i="9"/>
  <c r="CV34" i="9"/>
  <c r="CW34" i="9"/>
  <c r="CX34" i="9"/>
  <c r="CY34" i="9"/>
  <c r="CZ34" i="9"/>
  <c r="DA34" i="9"/>
  <c r="DB34" i="9"/>
  <c r="DC34" i="9"/>
  <c r="DD34" i="9"/>
  <c r="DE34" i="9"/>
  <c r="DF34" i="9"/>
  <c r="DG34" i="9"/>
  <c r="DH34" i="9"/>
  <c r="DI34" i="9"/>
  <c r="DJ34" i="9"/>
  <c r="DK34" i="9"/>
  <c r="DL34" i="9"/>
  <c r="DM34" i="9"/>
  <c r="DN34" i="9"/>
  <c r="DO34" i="9"/>
  <c r="DP34" i="9"/>
  <c r="DQ34" i="9"/>
  <c r="CT35" i="9"/>
  <c r="CU35" i="9"/>
  <c r="CV35" i="9"/>
  <c r="CW35" i="9"/>
  <c r="CX35" i="9"/>
  <c r="CY35" i="9"/>
  <c r="CZ35" i="9"/>
  <c r="DA35" i="9"/>
  <c r="DB35" i="9"/>
  <c r="DC35" i="9"/>
  <c r="DD35" i="9"/>
  <c r="DE35" i="9"/>
  <c r="DF35" i="9"/>
  <c r="DG35" i="9"/>
  <c r="DH35" i="9"/>
  <c r="DI35" i="9"/>
  <c r="DJ35" i="9"/>
  <c r="DK35" i="9"/>
  <c r="DL35" i="9"/>
  <c r="DM35" i="9"/>
  <c r="DN35" i="9"/>
  <c r="DO35" i="9"/>
  <c r="DP35" i="9"/>
  <c r="DQ35" i="9"/>
  <c r="CT36" i="9"/>
  <c r="CU36" i="9"/>
  <c r="CV36" i="9"/>
  <c r="CW36" i="9"/>
  <c r="CX36" i="9"/>
  <c r="CY36" i="9"/>
  <c r="CZ36" i="9"/>
  <c r="DA36" i="9"/>
  <c r="DB36" i="9"/>
  <c r="DC36" i="9"/>
  <c r="DD36" i="9"/>
  <c r="DE36" i="9"/>
  <c r="DF36" i="9"/>
  <c r="DG36" i="9"/>
  <c r="DH36" i="9"/>
  <c r="DI36" i="9"/>
  <c r="DJ36" i="9"/>
  <c r="DK36" i="9"/>
  <c r="DL36" i="9"/>
  <c r="DM36" i="9"/>
  <c r="DN36" i="9"/>
  <c r="DO36" i="9"/>
  <c r="DP36" i="9"/>
  <c r="DQ36" i="9"/>
  <c r="CT37" i="9"/>
  <c r="CU37" i="9"/>
  <c r="CV37" i="9"/>
  <c r="CW37" i="9"/>
  <c r="CX37" i="9"/>
  <c r="CY37" i="9"/>
  <c r="CZ37" i="9"/>
  <c r="DA37" i="9"/>
  <c r="DB37" i="9"/>
  <c r="DC37" i="9"/>
  <c r="DD37" i="9"/>
  <c r="DE37" i="9"/>
  <c r="DF37" i="9"/>
  <c r="DG37" i="9"/>
  <c r="DH37" i="9"/>
  <c r="DI37" i="9"/>
  <c r="DJ37" i="9"/>
  <c r="DK37" i="9"/>
  <c r="DL37" i="9"/>
  <c r="DM37" i="9"/>
  <c r="DN37" i="9"/>
  <c r="DO37" i="9"/>
  <c r="DP37" i="9"/>
  <c r="DQ37" i="9"/>
  <c r="CT38" i="9"/>
  <c r="CU38" i="9"/>
  <c r="CV38" i="9"/>
  <c r="CW38" i="9"/>
  <c r="CX38" i="9"/>
  <c r="CY38" i="9"/>
  <c r="CZ38" i="9"/>
  <c r="DA38" i="9"/>
  <c r="DB38" i="9"/>
  <c r="DC38" i="9"/>
  <c r="DD38" i="9"/>
  <c r="DE38" i="9"/>
  <c r="DF38" i="9"/>
  <c r="DG38" i="9"/>
  <c r="DH38" i="9"/>
  <c r="DI38" i="9"/>
  <c r="DJ38" i="9"/>
  <c r="DK38" i="9"/>
  <c r="DL38" i="9"/>
  <c r="DM38" i="9"/>
  <c r="DN38" i="9"/>
  <c r="DO38" i="9"/>
  <c r="DP38" i="9"/>
  <c r="DQ38" i="9"/>
  <c r="CT39" i="9"/>
  <c r="CU39" i="9"/>
  <c r="CV39" i="9"/>
  <c r="CW39" i="9"/>
  <c r="CX39" i="9"/>
  <c r="CY39" i="9"/>
  <c r="CZ39" i="9"/>
  <c r="DA39" i="9"/>
  <c r="DB39" i="9"/>
  <c r="DC39" i="9"/>
  <c r="DD39" i="9"/>
  <c r="DE39" i="9"/>
  <c r="DF39" i="9"/>
  <c r="DG39" i="9"/>
  <c r="DH39" i="9"/>
  <c r="DI39" i="9"/>
  <c r="DJ39" i="9"/>
  <c r="DK39" i="9"/>
  <c r="DL39" i="9"/>
  <c r="DM39" i="9"/>
  <c r="DN39" i="9"/>
  <c r="DO39" i="9"/>
  <c r="DP39" i="9"/>
  <c r="DQ39" i="9"/>
  <c r="CT40" i="9"/>
  <c r="CU40" i="9"/>
  <c r="CV40" i="9"/>
  <c r="CW40" i="9"/>
  <c r="CX40" i="9"/>
  <c r="CY40" i="9"/>
  <c r="CZ40" i="9"/>
  <c r="DA40" i="9"/>
  <c r="DB40" i="9"/>
  <c r="DC40" i="9"/>
  <c r="DD40" i="9"/>
  <c r="DE40" i="9"/>
  <c r="DF40" i="9"/>
  <c r="DG40" i="9"/>
  <c r="DH40" i="9"/>
  <c r="DI40" i="9"/>
  <c r="DJ40" i="9"/>
  <c r="DK40" i="9"/>
  <c r="DL40" i="9"/>
  <c r="DM40" i="9"/>
  <c r="DN40" i="9"/>
  <c r="DO40" i="9"/>
  <c r="DP40" i="9"/>
  <c r="DQ40" i="9"/>
  <c r="CT41" i="9"/>
  <c r="CU41" i="9"/>
  <c r="CV41" i="9"/>
  <c r="CW41" i="9"/>
  <c r="CX41" i="9"/>
  <c r="CY41" i="9"/>
  <c r="CZ41" i="9"/>
  <c r="DA41" i="9"/>
  <c r="DB41" i="9"/>
  <c r="DC41" i="9"/>
  <c r="DD41" i="9"/>
  <c r="DE41" i="9"/>
  <c r="DF41" i="9"/>
  <c r="DG41" i="9"/>
  <c r="DH41" i="9"/>
  <c r="DI41" i="9"/>
  <c r="DJ41" i="9"/>
  <c r="DK41" i="9"/>
  <c r="DL41" i="9"/>
  <c r="DM41" i="9"/>
  <c r="DN41" i="9"/>
  <c r="DO41" i="9"/>
  <c r="DP41" i="9"/>
  <c r="DQ41" i="9"/>
  <c r="CT42" i="9"/>
  <c r="CU42" i="9"/>
  <c r="CV42" i="9"/>
  <c r="CW42" i="9"/>
  <c r="CX42" i="9"/>
  <c r="CY42" i="9"/>
  <c r="CZ42" i="9"/>
  <c r="DA42" i="9"/>
  <c r="DB42" i="9"/>
  <c r="DC42" i="9"/>
  <c r="DD42" i="9"/>
  <c r="DE42" i="9"/>
  <c r="DF42" i="9"/>
  <c r="DG42" i="9"/>
  <c r="DH42" i="9"/>
  <c r="DI42" i="9"/>
  <c r="DJ42" i="9"/>
  <c r="DK42" i="9"/>
  <c r="DL42" i="9"/>
  <c r="DM42" i="9"/>
  <c r="DN42" i="9"/>
  <c r="DO42" i="9"/>
  <c r="DP42" i="9"/>
  <c r="DQ42" i="9"/>
  <c r="CT43" i="9"/>
  <c r="CU43" i="9"/>
  <c r="CV43" i="9"/>
  <c r="CW43" i="9"/>
  <c r="CX43" i="9"/>
  <c r="CY43" i="9"/>
  <c r="CZ43" i="9"/>
  <c r="DA43" i="9"/>
  <c r="DB43" i="9"/>
  <c r="DC43" i="9"/>
  <c r="DD43" i="9"/>
  <c r="DE43" i="9"/>
  <c r="DF43" i="9"/>
  <c r="DG43" i="9"/>
  <c r="DH43" i="9"/>
  <c r="DI43" i="9"/>
  <c r="DJ43" i="9"/>
  <c r="DK43" i="9"/>
  <c r="DL43" i="9"/>
  <c r="DM43" i="9"/>
  <c r="DN43" i="9"/>
  <c r="DO43" i="9"/>
  <c r="DP43" i="9"/>
  <c r="DQ43" i="9"/>
  <c r="CT44" i="9"/>
  <c r="CU44" i="9"/>
  <c r="CV44" i="9"/>
  <c r="CW44" i="9"/>
  <c r="CX44" i="9"/>
  <c r="CY44" i="9"/>
  <c r="CZ44" i="9"/>
  <c r="DA44" i="9"/>
  <c r="DB44" i="9"/>
  <c r="DC44" i="9"/>
  <c r="DD44" i="9"/>
  <c r="DE44" i="9"/>
  <c r="DF44" i="9"/>
  <c r="DG44" i="9"/>
  <c r="DH44" i="9"/>
  <c r="DI44" i="9"/>
  <c r="DJ44" i="9"/>
  <c r="DK44" i="9"/>
  <c r="DL44" i="9"/>
  <c r="DM44" i="9"/>
  <c r="DN44" i="9"/>
  <c r="DO44" i="9"/>
  <c r="DP44" i="9"/>
  <c r="DQ44" i="9"/>
  <c r="CT45" i="9"/>
  <c r="CU45" i="9"/>
  <c r="CV45" i="9"/>
  <c r="CW45" i="9"/>
  <c r="CX45" i="9"/>
  <c r="CY45" i="9"/>
  <c r="CZ45" i="9"/>
  <c r="DA45" i="9"/>
  <c r="DB45" i="9"/>
  <c r="DC45" i="9"/>
  <c r="DD45" i="9"/>
  <c r="DE45" i="9"/>
  <c r="DF45" i="9"/>
  <c r="DG45" i="9"/>
  <c r="DH45" i="9"/>
  <c r="DI45" i="9"/>
  <c r="DJ45" i="9"/>
  <c r="DK45" i="9"/>
  <c r="DL45" i="9"/>
  <c r="DM45" i="9"/>
  <c r="DN45" i="9"/>
  <c r="DO45" i="9"/>
  <c r="DP45" i="9"/>
  <c r="DQ45" i="9"/>
  <c r="CT46" i="9"/>
  <c r="CU46" i="9"/>
  <c r="CV46" i="9"/>
  <c r="CW46" i="9"/>
  <c r="CX46" i="9"/>
  <c r="CY46" i="9"/>
  <c r="CZ46" i="9"/>
  <c r="DA46" i="9"/>
  <c r="DB46" i="9"/>
  <c r="DC46" i="9"/>
  <c r="DD46" i="9"/>
  <c r="DE46" i="9"/>
  <c r="DF46" i="9"/>
  <c r="DG46" i="9"/>
  <c r="DH46" i="9"/>
  <c r="DI46" i="9"/>
  <c r="DJ46" i="9"/>
  <c r="DK46" i="9"/>
  <c r="DL46" i="9"/>
  <c r="DM46" i="9"/>
  <c r="DN46" i="9"/>
  <c r="DO46" i="9"/>
  <c r="DP46" i="9"/>
  <c r="DQ46" i="9"/>
  <c r="CT47" i="9"/>
  <c r="CU47" i="9"/>
  <c r="CV47" i="9"/>
  <c r="CW47" i="9"/>
  <c r="CX47" i="9"/>
  <c r="CY47" i="9"/>
  <c r="CZ47" i="9"/>
  <c r="DA47" i="9"/>
  <c r="DB47" i="9"/>
  <c r="DC47" i="9"/>
  <c r="DD47" i="9"/>
  <c r="DE47" i="9"/>
  <c r="DF47" i="9"/>
  <c r="DG47" i="9"/>
  <c r="DH47" i="9"/>
  <c r="DI47" i="9"/>
  <c r="DJ47" i="9"/>
  <c r="DK47" i="9"/>
  <c r="DL47" i="9"/>
  <c r="DM47" i="9"/>
  <c r="DN47" i="9"/>
  <c r="DO47" i="9"/>
  <c r="DP47" i="9"/>
  <c r="DQ47" i="9"/>
  <c r="CT48" i="9"/>
  <c r="CU48" i="9"/>
  <c r="CV48" i="9"/>
  <c r="CW48" i="9"/>
  <c r="CX48" i="9"/>
  <c r="CY48" i="9"/>
  <c r="CZ48" i="9"/>
  <c r="DA48" i="9"/>
  <c r="DB48" i="9"/>
  <c r="DC48" i="9"/>
  <c r="DD48" i="9"/>
  <c r="DE48" i="9"/>
  <c r="DF48" i="9"/>
  <c r="DG48" i="9"/>
  <c r="DH48" i="9"/>
  <c r="DI48" i="9"/>
  <c r="DJ48" i="9"/>
  <c r="DK48" i="9"/>
  <c r="DL48" i="9"/>
  <c r="DM48" i="9"/>
  <c r="DN48" i="9"/>
  <c r="DO48" i="9"/>
  <c r="DP48" i="9"/>
  <c r="DQ48" i="9"/>
  <c r="CT49" i="9"/>
  <c r="CU49" i="9"/>
  <c r="CV49" i="9"/>
  <c r="CW49" i="9"/>
  <c r="CX49" i="9"/>
  <c r="CY49" i="9"/>
  <c r="CZ49" i="9"/>
  <c r="DA49" i="9"/>
  <c r="DB49" i="9"/>
  <c r="DC49" i="9"/>
  <c r="DD49" i="9"/>
  <c r="DE49" i="9"/>
  <c r="DF49" i="9"/>
  <c r="DG49" i="9"/>
  <c r="DH49" i="9"/>
  <c r="DI49" i="9"/>
  <c r="DJ49" i="9"/>
  <c r="DK49" i="9"/>
  <c r="DL49" i="9"/>
  <c r="DM49" i="9"/>
  <c r="DN49" i="9"/>
  <c r="DO49" i="9"/>
  <c r="DP49" i="9"/>
  <c r="DQ49" i="9"/>
  <c r="CT50" i="9"/>
  <c r="CU50" i="9"/>
  <c r="CV50" i="9"/>
  <c r="CW50" i="9"/>
  <c r="CX50" i="9"/>
  <c r="CY50" i="9"/>
  <c r="CZ50" i="9"/>
  <c r="DA50" i="9"/>
  <c r="DB50" i="9"/>
  <c r="DC50" i="9"/>
  <c r="DD50" i="9"/>
  <c r="DE50" i="9"/>
  <c r="DF50" i="9"/>
  <c r="DG50" i="9"/>
  <c r="DH50" i="9"/>
  <c r="DI50" i="9"/>
  <c r="DJ50" i="9"/>
  <c r="DK50" i="9"/>
  <c r="DL50" i="9"/>
  <c r="DM50" i="9"/>
  <c r="DN50" i="9"/>
  <c r="DO50" i="9"/>
  <c r="DP50" i="9"/>
  <c r="DQ50" i="9"/>
  <c r="CT51" i="9"/>
  <c r="CU51" i="9"/>
  <c r="CV51" i="9"/>
  <c r="CW51" i="9"/>
  <c r="CX51" i="9"/>
  <c r="CY51" i="9"/>
  <c r="CZ51" i="9"/>
  <c r="DA51" i="9"/>
  <c r="DB51" i="9"/>
  <c r="DC51" i="9"/>
  <c r="DD51" i="9"/>
  <c r="DE51" i="9"/>
  <c r="DF51" i="9"/>
  <c r="DG51" i="9"/>
  <c r="DH51" i="9"/>
  <c r="DI51" i="9"/>
  <c r="DJ51" i="9"/>
  <c r="DK51" i="9"/>
  <c r="DL51" i="9"/>
  <c r="DM51" i="9"/>
  <c r="DN51" i="9"/>
  <c r="DO51" i="9"/>
  <c r="DP51" i="9"/>
  <c r="DQ51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CT53" i="9"/>
  <c r="CU53" i="9"/>
  <c r="CV53" i="9"/>
  <c r="CW53" i="9"/>
  <c r="CX53" i="9"/>
  <c r="CY53" i="9"/>
  <c r="CZ53" i="9"/>
  <c r="DA53" i="9"/>
  <c r="DB53" i="9"/>
  <c r="DC53" i="9"/>
  <c r="DD53" i="9"/>
  <c r="DE53" i="9"/>
  <c r="DF53" i="9"/>
  <c r="DG53" i="9"/>
  <c r="DH53" i="9"/>
  <c r="DI53" i="9"/>
  <c r="DJ53" i="9"/>
  <c r="DK53" i="9"/>
  <c r="DL53" i="9"/>
  <c r="DM53" i="9"/>
  <c r="DN53" i="9"/>
  <c r="DO53" i="9"/>
  <c r="DP53" i="9"/>
  <c r="DQ53" i="9"/>
  <c r="CT54" i="9"/>
  <c r="CU54" i="9"/>
  <c r="CV54" i="9"/>
  <c r="CW54" i="9"/>
  <c r="CX54" i="9"/>
  <c r="CY54" i="9"/>
  <c r="CZ54" i="9"/>
  <c r="DA54" i="9"/>
  <c r="DB54" i="9"/>
  <c r="DC54" i="9"/>
  <c r="DD54" i="9"/>
  <c r="DE54" i="9"/>
  <c r="DF54" i="9"/>
  <c r="DG54" i="9"/>
  <c r="DH54" i="9"/>
  <c r="DI54" i="9"/>
  <c r="DJ54" i="9"/>
  <c r="DK54" i="9"/>
  <c r="DL54" i="9"/>
  <c r="DM54" i="9"/>
  <c r="DN54" i="9"/>
  <c r="DO54" i="9"/>
  <c r="DP54" i="9"/>
  <c r="DQ54" i="9"/>
  <c r="CT55" i="9"/>
  <c r="CU55" i="9"/>
  <c r="CV55" i="9"/>
  <c r="CW55" i="9"/>
  <c r="CX55" i="9"/>
  <c r="CY55" i="9"/>
  <c r="CZ55" i="9"/>
  <c r="DA55" i="9"/>
  <c r="DB55" i="9"/>
  <c r="DC55" i="9"/>
  <c r="DD55" i="9"/>
  <c r="DE55" i="9"/>
  <c r="DF55" i="9"/>
  <c r="DG55" i="9"/>
  <c r="DH55" i="9"/>
  <c r="DI55" i="9"/>
  <c r="DJ55" i="9"/>
  <c r="DK55" i="9"/>
  <c r="DL55" i="9"/>
  <c r="DM55" i="9"/>
  <c r="DN55" i="9"/>
  <c r="DO55" i="9"/>
  <c r="DP55" i="9"/>
  <c r="DQ55" i="9"/>
  <c r="CT56" i="9"/>
  <c r="CU56" i="9"/>
  <c r="CV56" i="9"/>
  <c r="CW56" i="9"/>
  <c r="CX56" i="9"/>
  <c r="CY56" i="9"/>
  <c r="CZ56" i="9"/>
  <c r="DA56" i="9"/>
  <c r="DB56" i="9"/>
  <c r="DC56" i="9"/>
  <c r="DD56" i="9"/>
  <c r="DE56" i="9"/>
  <c r="DF56" i="9"/>
  <c r="DG56" i="9"/>
  <c r="DH56" i="9"/>
  <c r="DI56" i="9"/>
  <c r="DJ56" i="9"/>
  <c r="DK56" i="9"/>
  <c r="DL56" i="9"/>
  <c r="DM56" i="9"/>
  <c r="DN56" i="9"/>
  <c r="DO56" i="9"/>
  <c r="DP56" i="9"/>
  <c r="DQ56" i="9"/>
  <c r="CT57" i="9"/>
  <c r="CU57" i="9"/>
  <c r="CV57" i="9"/>
  <c r="CW57" i="9"/>
  <c r="CX57" i="9"/>
  <c r="CY57" i="9"/>
  <c r="CZ57" i="9"/>
  <c r="DA57" i="9"/>
  <c r="DB57" i="9"/>
  <c r="DC57" i="9"/>
  <c r="DD57" i="9"/>
  <c r="DE57" i="9"/>
  <c r="DF57" i="9"/>
  <c r="DG57" i="9"/>
  <c r="DH57" i="9"/>
  <c r="DI57" i="9"/>
  <c r="DJ57" i="9"/>
  <c r="DK57" i="9"/>
  <c r="DL57" i="9"/>
  <c r="DM57" i="9"/>
  <c r="DN57" i="9"/>
  <c r="DO57" i="9"/>
  <c r="DP57" i="9"/>
  <c r="DQ57" i="9"/>
  <c r="CT58" i="9"/>
  <c r="CU58" i="9"/>
  <c r="CV58" i="9"/>
  <c r="CW58" i="9"/>
  <c r="CX58" i="9"/>
  <c r="CY58" i="9"/>
  <c r="CZ58" i="9"/>
  <c r="DA58" i="9"/>
  <c r="DB58" i="9"/>
  <c r="DC58" i="9"/>
  <c r="DD58" i="9"/>
  <c r="DE58" i="9"/>
  <c r="DF58" i="9"/>
  <c r="DG58" i="9"/>
  <c r="DH58" i="9"/>
  <c r="DI58" i="9"/>
  <c r="DJ58" i="9"/>
  <c r="DK58" i="9"/>
  <c r="DL58" i="9"/>
  <c r="DM58" i="9"/>
  <c r="DN58" i="9"/>
  <c r="DO58" i="9"/>
  <c r="DP58" i="9"/>
  <c r="DQ58" i="9"/>
  <c r="CT59" i="9"/>
  <c r="CU59" i="9"/>
  <c r="CV59" i="9"/>
  <c r="CW59" i="9"/>
  <c r="CX59" i="9"/>
  <c r="CY59" i="9"/>
  <c r="CZ59" i="9"/>
  <c r="DA59" i="9"/>
  <c r="DB59" i="9"/>
  <c r="DC59" i="9"/>
  <c r="DD59" i="9"/>
  <c r="DE59" i="9"/>
  <c r="DF59" i="9"/>
  <c r="DG59" i="9"/>
  <c r="DH59" i="9"/>
  <c r="DI59" i="9"/>
  <c r="DJ59" i="9"/>
  <c r="DK59" i="9"/>
  <c r="DL59" i="9"/>
  <c r="DM59" i="9"/>
  <c r="DN59" i="9"/>
  <c r="DO59" i="9"/>
  <c r="DP59" i="9"/>
  <c r="DQ59" i="9"/>
  <c r="CT60" i="9"/>
  <c r="CU60" i="9"/>
  <c r="CV60" i="9"/>
  <c r="CW60" i="9"/>
  <c r="CX60" i="9"/>
  <c r="CY60" i="9"/>
  <c r="CZ60" i="9"/>
  <c r="DA60" i="9"/>
  <c r="DB60" i="9"/>
  <c r="DC60" i="9"/>
  <c r="DD60" i="9"/>
  <c r="DE60" i="9"/>
  <c r="DF60" i="9"/>
  <c r="DG60" i="9"/>
  <c r="DH60" i="9"/>
  <c r="DI60" i="9"/>
  <c r="DJ60" i="9"/>
  <c r="DK60" i="9"/>
  <c r="DL60" i="9"/>
  <c r="DM60" i="9"/>
  <c r="DN60" i="9"/>
  <c r="DO60" i="9"/>
  <c r="DP60" i="9"/>
  <c r="DQ60" i="9"/>
  <c r="CT61" i="9"/>
  <c r="CU61" i="9"/>
  <c r="CV61" i="9"/>
  <c r="CW61" i="9"/>
  <c r="CX61" i="9"/>
  <c r="CY61" i="9"/>
  <c r="CZ61" i="9"/>
  <c r="DA61" i="9"/>
  <c r="DB61" i="9"/>
  <c r="DC61" i="9"/>
  <c r="DD61" i="9"/>
  <c r="DE61" i="9"/>
  <c r="DF61" i="9"/>
  <c r="DG61" i="9"/>
  <c r="DH61" i="9"/>
  <c r="DI61" i="9"/>
  <c r="DJ61" i="9"/>
  <c r="DK61" i="9"/>
  <c r="DL61" i="9"/>
  <c r="DM61" i="9"/>
  <c r="DN61" i="9"/>
  <c r="DO61" i="9"/>
  <c r="DP61" i="9"/>
  <c r="DQ61" i="9"/>
  <c r="CT62" i="9"/>
  <c r="CU62" i="9"/>
  <c r="CV62" i="9"/>
  <c r="CW62" i="9"/>
  <c r="CX62" i="9"/>
  <c r="CY62" i="9"/>
  <c r="CZ62" i="9"/>
  <c r="DA62" i="9"/>
  <c r="DB62" i="9"/>
  <c r="DC62" i="9"/>
  <c r="DD62" i="9"/>
  <c r="DE62" i="9"/>
  <c r="DF62" i="9"/>
  <c r="DG62" i="9"/>
  <c r="DH62" i="9"/>
  <c r="DI62" i="9"/>
  <c r="DJ62" i="9"/>
  <c r="DK62" i="9"/>
  <c r="DL62" i="9"/>
  <c r="DM62" i="9"/>
  <c r="DN62" i="9"/>
  <c r="DO62" i="9"/>
  <c r="DP62" i="9"/>
  <c r="DQ62" i="9"/>
  <c r="CT63" i="9"/>
  <c r="CU63" i="9"/>
  <c r="CV63" i="9"/>
  <c r="CW63" i="9"/>
  <c r="CX63" i="9"/>
  <c r="CY63" i="9"/>
  <c r="CZ63" i="9"/>
  <c r="DA63" i="9"/>
  <c r="DB63" i="9"/>
  <c r="DC63" i="9"/>
  <c r="DD63" i="9"/>
  <c r="DE63" i="9"/>
  <c r="DF63" i="9"/>
  <c r="DG63" i="9"/>
  <c r="DH63" i="9"/>
  <c r="DI63" i="9"/>
  <c r="DJ63" i="9"/>
  <c r="DK63" i="9"/>
  <c r="DL63" i="9"/>
  <c r="DM63" i="9"/>
  <c r="DN63" i="9"/>
  <c r="DO63" i="9"/>
  <c r="DP63" i="9"/>
  <c r="DQ63" i="9"/>
  <c r="CT64" i="9"/>
  <c r="CU64" i="9"/>
  <c r="CV64" i="9"/>
  <c r="CW64" i="9"/>
  <c r="CX64" i="9"/>
  <c r="CY64" i="9"/>
  <c r="CZ64" i="9"/>
  <c r="DA64" i="9"/>
  <c r="DB64" i="9"/>
  <c r="DC64" i="9"/>
  <c r="DD64" i="9"/>
  <c r="DE64" i="9"/>
  <c r="DF64" i="9"/>
  <c r="DG64" i="9"/>
  <c r="DH64" i="9"/>
  <c r="DI64" i="9"/>
  <c r="DJ64" i="9"/>
  <c r="DK64" i="9"/>
  <c r="DL64" i="9"/>
  <c r="DM64" i="9"/>
  <c r="DN64" i="9"/>
  <c r="DO64" i="9"/>
  <c r="DP64" i="9"/>
  <c r="DQ64" i="9"/>
  <c r="CT65" i="9"/>
  <c r="CU65" i="9"/>
  <c r="CV65" i="9"/>
  <c r="CW65" i="9"/>
  <c r="CX65" i="9"/>
  <c r="CY65" i="9"/>
  <c r="CZ65" i="9"/>
  <c r="DA65" i="9"/>
  <c r="DB65" i="9"/>
  <c r="DC65" i="9"/>
  <c r="DD65" i="9"/>
  <c r="DE65" i="9"/>
  <c r="DF65" i="9"/>
  <c r="DG65" i="9"/>
  <c r="DH65" i="9"/>
  <c r="DI65" i="9"/>
  <c r="DJ65" i="9"/>
  <c r="DK65" i="9"/>
  <c r="DL65" i="9"/>
  <c r="DM65" i="9"/>
  <c r="DN65" i="9"/>
  <c r="DO65" i="9"/>
  <c r="DP65" i="9"/>
  <c r="DQ65" i="9"/>
  <c r="CT66" i="9"/>
  <c r="CU66" i="9"/>
  <c r="CV66" i="9"/>
  <c r="CW66" i="9"/>
  <c r="CX66" i="9"/>
  <c r="CY66" i="9"/>
  <c r="CZ66" i="9"/>
  <c r="DA66" i="9"/>
  <c r="DB66" i="9"/>
  <c r="DC66" i="9"/>
  <c r="DD66" i="9"/>
  <c r="DE66" i="9"/>
  <c r="DF66" i="9"/>
  <c r="DG66" i="9"/>
  <c r="DH66" i="9"/>
  <c r="DI66" i="9"/>
  <c r="DJ66" i="9"/>
  <c r="DK66" i="9"/>
  <c r="DL66" i="9"/>
  <c r="DM66" i="9"/>
  <c r="DN66" i="9"/>
  <c r="DO66" i="9"/>
  <c r="DP66" i="9"/>
  <c r="DQ66" i="9"/>
  <c r="CT67" i="9"/>
  <c r="CU67" i="9"/>
  <c r="CV67" i="9"/>
  <c r="CW67" i="9"/>
  <c r="CX67" i="9"/>
  <c r="CY67" i="9"/>
  <c r="CZ67" i="9"/>
  <c r="DA67" i="9"/>
  <c r="DB67" i="9"/>
  <c r="DC67" i="9"/>
  <c r="DD67" i="9"/>
  <c r="DE67" i="9"/>
  <c r="DF67" i="9"/>
  <c r="DG67" i="9"/>
  <c r="DH67" i="9"/>
  <c r="DI67" i="9"/>
  <c r="DJ67" i="9"/>
  <c r="DK67" i="9"/>
  <c r="DL67" i="9"/>
  <c r="DM67" i="9"/>
  <c r="DN67" i="9"/>
  <c r="DO67" i="9"/>
  <c r="DP67" i="9"/>
  <c r="DQ67" i="9"/>
  <c r="CT68" i="9"/>
  <c r="CU68" i="9"/>
  <c r="CV68" i="9"/>
  <c r="CW68" i="9"/>
  <c r="CX68" i="9"/>
  <c r="CY68" i="9"/>
  <c r="CZ68" i="9"/>
  <c r="DA68" i="9"/>
  <c r="DB68" i="9"/>
  <c r="DC68" i="9"/>
  <c r="DD68" i="9"/>
  <c r="DE68" i="9"/>
  <c r="DF68" i="9"/>
  <c r="DG68" i="9"/>
  <c r="DH68" i="9"/>
  <c r="DI68" i="9"/>
  <c r="DJ68" i="9"/>
  <c r="DK68" i="9"/>
  <c r="DL68" i="9"/>
  <c r="DM68" i="9"/>
  <c r="DN68" i="9"/>
  <c r="DO68" i="9"/>
  <c r="DP68" i="9"/>
  <c r="DQ68" i="9"/>
  <c r="CT69" i="9"/>
  <c r="CU69" i="9"/>
  <c r="CV69" i="9"/>
  <c r="CW69" i="9"/>
  <c r="CX69" i="9"/>
  <c r="CY69" i="9"/>
  <c r="CZ69" i="9"/>
  <c r="DA69" i="9"/>
  <c r="DB69" i="9"/>
  <c r="DC69" i="9"/>
  <c r="DD69" i="9"/>
  <c r="DE69" i="9"/>
  <c r="DF69" i="9"/>
  <c r="DG69" i="9"/>
  <c r="DH69" i="9"/>
  <c r="DI69" i="9"/>
  <c r="DJ69" i="9"/>
  <c r="DK69" i="9"/>
  <c r="DL69" i="9"/>
  <c r="DM69" i="9"/>
  <c r="DN69" i="9"/>
  <c r="DO69" i="9"/>
  <c r="DP69" i="9"/>
  <c r="DQ69" i="9"/>
  <c r="CT70" i="9"/>
  <c r="CU70" i="9"/>
  <c r="CV70" i="9"/>
  <c r="CW70" i="9"/>
  <c r="CX70" i="9"/>
  <c r="CY70" i="9"/>
  <c r="CZ70" i="9"/>
  <c r="DA70" i="9"/>
  <c r="DB70" i="9"/>
  <c r="DC70" i="9"/>
  <c r="DD70" i="9"/>
  <c r="DE70" i="9"/>
  <c r="DF70" i="9"/>
  <c r="DG70" i="9"/>
  <c r="DH70" i="9"/>
  <c r="DI70" i="9"/>
  <c r="DJ70" i="9"/>
  <c r="DK70" i="9"/>
  <c r="DL70" i="9"/>
  <c r="DM70" i="9"/>
  <c r="DN70" i="9"/>
  <c r="DO70" i="9"/>
  <c r="DP70" i="9"/>
  <c r="DQ70" i="9"/>
  <c r="CT71" i="9"/>
  <c r="CU71" i="9"/>
  <c r="CV71" i="9"/>
  <c r="CW71" i="9"/>
  <c r="CX71" i="9"/>
  <c r="CY71" i="9"/>
  <c r="CZ71" i="9"/>
  <c r="DA71" i="9"/>
  <c r="DB71" i="9"/>
  <c r="DC71" i="9"/>
  <c r="DD71" i="9"/>
  <c r="DE71" i="9"/>
  <c r="DF71" i="9"/>
  <c r="DG71" i="9"/>
  <c r="DH71" i="9"/>
  <c r="DI71" i="9"/>
  <c r="DJ71" i="9"/>
  <c r="DK71" i="9"/>
  <c r="DL71" i="9"/>
  <c r="DM71" i="9"/>
  <c r="DN71" i="9"/>
  <c r="DO71" i="9"/>
  <c r="DP71" i="9"/>
  <c r="DQ71" i="9"/>
  <c r="CT72" i="9"/>
  <c r="CU72" i="9"/>
  <c r="CV72" i="9"/>
  <c r="CW72" i="9"/>
  <c r="CX72" i="9"/>
  <c r="CY72" i="9"/>
  <c r="CZ72" i="9"/>
  <c r="DA72" i="9"/>
  <c r="DB72" i="9"/>
  <c r="DC72" i="9"/>
  <c r="DD72" i="9"/>
  <c r="DE72" i="9"/>
  <c r="DF72" i="9"/>
  <c r="DG72" i="9"/>
  <c r="DH72" i="9"/>
  <c r="DI72" i="9"/>
  <c r="DJ72" i="9"/>
  <c r="DK72" i="9"/>
  <c r="DL72" i="9"/>
  <c r="DM72" i="9"/>
  <c r="DN72" i="9"/>
  <c r="DO72" i="9"/>
  <c r="DP72" i="9"/>
  <c r="DQ72" i="9"/>
  <c r="CT73" i="9"/>
  <c r="CU73" i="9"/>
  <c r="CV73" i="9"/>
  <c r="CW73" i="9"/>
  <c r="CX73" i="9"/>
  <c r="CY73" i="9"/>
  <c r="CZ73" i="9"/>
  <c r="DA73" i="9"/>
  <c r="DB73" i="9"/>
  <c r="DC73" i="9"/>
  <c r="DD73" i="9"/>
  <c r="DE73" i="9"/>
  <c r="DF73" i="9"/>
  <c r="DG73" i="9"/>
  <c r="DH73" i="9"/>
  <c r="DI73" i="9"/>
  <c r="DJ73" i="9"/>
  <c r="DK73" i="9"/>
  <c r="DL73" i="9"/>
  <c r="DM73" i="9"/>
  <c r="DN73" i="9"/>
  <c r="DO73" i="9"/>
  <c r="DP73" i="9"/>
  <c r="DQ73" i="9"/>
  <c r="CT74" i="9"/>
  <c r="CU74" i="9"/>
  <c r="CV74" i="9"/>
  <c r="CW74" i="9"/>
  <c r="CX74" i="9"/>
  <c r="CY74" i="9"/>
  <c r="CZ74" i="9"/>
  <c r="DA74" i="9"/>
  <c r="DB74" i="9"/>
  <c r="DC74" i="9"/>
  <c r="DD74" i="9"/>
  <c r="DE74" i="9"/>
  <c r="DF74" i="9"/>
  <c r="DG74" i="9"/>
  <c r="DH74" i="9"/>
  <c r="DI74" i="9"/>
  <c r="DJ74" i="9"/>
  <c r="DK74" i="9"/>
  <c r="DL74" i="9"/>
  <c r="DM74" i="9"/>
  <c r="DN74" i="9"/>
  <c r="DO74" i="9"/>
  <c r="DP74" i="9"/>
  <c r="DQ74" i="9"/>
  <c r="CT75" i="9"/>
  <c r="CU75" i="9"/>
  <c r="CV75" i="9"/>
  <c r="CW75" i="9"/>
  <c r="CX75" i="9"/>
  <c r="CY75" i="9"/>
  <c r="CZ75" i="9"/>
  <c r="DA75" i="9"/>
  <c r="DB75" i="9"/>
  <c r="DC75" i="9"/>
  <c r="DD75" i="9"/>
  <c r="DE75" i="9"/>
  <c r="DF75" i="9"/>
  <c r="DG75" i="9"/>
  <c r="DH75" i="9"/>
  <c r="DI75" i="9"/>
  <c r="DJ75" i="9"/>
  <c r="DK75" i="9"/>
  <c r="DL75" i="9"/>
  <c r="DM75" i="9"/>
  <c r="DN75" i="9"/>
  <c r="DO75" i="9"/>
  <c r="DP75" i="9"/>
  <c r="DQ75" i="9"/>
  <c r="DQ4" i="9"/>
  <c r="DP4" i="9"/>
  <c r="DO4" i="9"/>
  <c r="DN4" i="9"/>
  <c r="DM4" i="9"/>
  <c r="DL4" i="9"/>
  <c r="DK4" i="9"/>
  <c r="DJ4" i="9"/>
  <c r="DI4" i="9"/>
  <c r="DH4" i="9"/>
  <c r="DG4" i="9"/>
  <c r="DF4" i="9"/>
  <c r="DE4" i="9"/>
  <c r="DD4" i="9"/>
  <c r="DC4" i="9"/>
  <c r="DB4" i="9"/>
  <c r="DA4" i="9"/>
  <c r="CZ4" i="9"/>
  <c r="CY4" i="9"/>
  <c r="CX4" i="9"/>
  <c r="CW4" i="9"/>
  <c r="CV4" i="9"/>
  <c r="CU4" i="9"/>
  <c r="CS76" i="9"/>
  <c r="CR76" i="9"/>
  <c r="CQ76" i="9"/>
  <c r="CP76" i="9"/>
  <c r="CO76" i="9"/>
  <c r="CN76" i="9"/>
  <c r="CM76" i="9"/>
  <c r="CL76" i="9"/>
  <c r="CK76" i="9"/>
  <c r="CJ76" i="9"/>
  <c r="CI76" i="9"/>
  <c r="CH76" i="9"/>
  <c r="CG76" i="9"/>
  <c r="CF76" i="9"/>
  <c r="CE76" i="9"/>
  <c r="CD76" i="9"/>
  <c r="CC76" i="9"/>
  <c r="CB76" i="9"/>
  <c r="CA76" i="9"/>
  <c r="BZ76" i="9"/>
  <c r="BY76" i="9"/>
  <c r="BX76" i="9"/>
  <c r="BW76" i="9"/>
  <c r="BV76" i="9"/>
  <c r="BV5" i="9"/>
  <c r="BW5" i="9"/>
  <c r="BX5" i="9"/>
  <c r="BY5" i="9"/>
  <c r="BZ5" i="9"/>
  <c r="CA5" i="9"/>
  <c r="CB5" i="9"/>
  <c r="CC5" i="9"/>
  <c r="CD5" i="9"/>
  <c r="CE5" i="9"/>
  <c r="CF5" i="9"/>
  <c r="CG5" i="9"/>
  <c r="CH5" i="9"/>
  <c r="CI5" i="9"/>
  <c r="CJ5" i="9"/>
  <c r="CK5" i="9"/>
  <c r="CL5" i="9"/>
  <c r="CM5" i="9"/>
  <c r="CN5" i="9"/>
  <c r="CO5" i="9"/>
  <c r="CP5" i="9"/>
  <c r="CQ5" i="9"/>
  <c r="CR5" i="9"/>
  <c r="CS5" i="9"/>
  <c r="BV6" i="9"/>
  <c r="BW6" i="9"/>
  <c r="BX6" i="9"/>
  <c r="BY6" i="9"/>
  <c r="BZ6" i="9"/>
  <c r="CA6" i="9"/>
  <c r="CB6" i="9"/>
  <c r="CC6" i="9"/>
  <c r="CD6" i="9"/>
  <c r="CE6" i="9"/>
  <c r="CF6" i="9"/>
  <c r="CG6" i="9"/>
  <c r="CH6" i="9"/>
  <c r="CI6" i="9"/>
  <c r="CJ6" i="9"/>
  <c r="CK6" i="9"/>
  <c r="CL6" i="9"/>
  <c r="CM6" i="9"/>
  <c r="CN6" i="9"/>
  <c r="CO6" i="9"/>
  <c r="CP6" i="9"/>
  <c r="CQ6" i="9"/>
  <c r="CR6" i="9"/>
  <c r="CS6" i="9"/>
  <c r="BV7" i="9"/>
  <c r="BW7" i="9"/>
  <c r="BX7" i="9"/>
  <c r="BY7" i="9"/>
  <c r="BZ7" i="9"/>
  <c r="CA7" i="9"/>
  <c r="CB7" i="9"/>
  <c r="CC7" i="9"/>
  <c r="CD7" i="9"/>
  <c r="CE7" i="9"/>
  <c r="CF7" i="9"/>
  <c r="CG7" i="9"/>
  <c r="CH7" i="9"/>
  <c r="CI7" i="9"/>
  <c r="CJ7" i="9"/>
  <c r="CK7" i="9"/>
  <c r="CL7" i="9"/>
  <c r="CM7" i="9"/>
  <c r="CN7" i="9"/>
  <c r="CO7" i="9"/>
  <c r="CP7" i="9"/>
  <c r="CQ7" i="9"/>
  <c r="CR7" i="9"/>
  <c r="CS7" i="9"/>
  <c r="BV8" i="9"/>
  <c r="BW8" i="9"/>
  <c r="BX8" i="9"/>
  <c r="BY8" i="9"/>
  <c r="BZ8" i="9"/>
  <c r="CA8" i="9"/>
  <c r="CB8" i="9"/>
  <c r="CC8" i="9"/>
  <c r="CD8" i="9"/>
  <c r="CE8" i="9"/>
  <c r="CF8" i="9"/>
  <c r="CG8" i="9"/>
  <c r="CH8" i="9"/>
  <c r="CI8" i="9"/>
  <c r="CJ8" i="9"/>
  <c r="CK8" i="9"/>
  <c r="CL8" i="9"/>
  <c r="CM8" i="9"/>
  <c r="CN8" i="9"/>
  <c r="CO8" i="9"/>
  <c r="CP8" i="9"/>
  <c r="CQ8" i="9"/>
  <c r="CR8" i="9"/>
  <c r="CS8" i="9"/>
  <c r="BV9" i="9"/>
  <c r="BW9" i="9"/>
  <c r="BX9" i="9"/>
  <c r="BY9" i="9"/>
  <c r="BZ9" i="9"/>
  <c r="CA9" i="9"/>
  <c r="CB9" i="9"/>
  <c r="CC9" i="9"/>
  <c r="CD9" i="9"/>
  <c r="CE9" i="9"/>
  <c r="CF9" i="9"/>
  <c r="CG9" i="9"/>
  <c r="CH9" i="9"/>
  <c r="CI9" i="9"/>
  <c r="CJ9" i="9"/>
  <c r="CK9" i="9"/>
  <c r="CL9" i="9"/>
  <c r="CM9" i="9"/>
  <c r="CN9" i="9"/>
  <c r="CO9" i="9"/>
  <c r="CP9" i="9"/>
  <c r="CQ9" i="9"/>
  <c r="CR9" i="9"/>
  <c r="CS9" i="9"/>
  <c r="BV10" i="9"/>
  <c r="BW10" i="9"/>
  <c r="BX10" i="9"/>
  <c r="BY10" i="9"/>
  <c r="BZ10" i="9"/>
  <c r="CA10" i="9"/>
  <c r="CB10" i="9"/>
  <c r="CC10" i="9"/>
  <c r="CD10" i="9"/>
  <c r="CE10" i="9"/>
  <c r="CF10" i="9"/>
  <c r="CG10" i="9"/>
  <c r="CH10" i="9"/>
  <c r="CI10" i="9"/>
  <c r="CJ10" i="9"/>
  <c r="CK10" i="9"/>
  <c r="CL10" i="9"/>
  <c r="CM10" i="9"/>
  <c r="CN10" i="9"/>
  <c r="CO10" i="9"/>
  <c r="CP10" i="9"/>
  <c r="CQ10" i="9"/>
  <c r="CR10" i="9"/>
  <c r="CS10" i="9"/>
  <c r="BV11" i="9"/>
  <c r="BW11" i="9"/>
  <c r="BX11" i="9"/>
  <c r="BY11" i="9"/>
  <c r="BZ11" i="9"/>
  <c r="CA11" i="9"/>
  <c r="CB11" i="9"/>
  <c r="CC11" i="9"/>
  <c r="CD11" i="9"/>
  <c r="CE11" i="9"/>
  <c r="CF11" i="9"/>
  <c r="CG11" i="9"/>
  <c r="CH11" i="9"/>
  <c r="CI11" i="9"/>
  <c r="CJ11" i="9"/>
  <c r="CK11" i="9"/>
  <c r="CL11" i="9"/>
  <c r="CM11" i="9"/>
  <c r="CN11" i="9"/>
  <c r="CO11" i="9"/>
  <c r="CP11" i="9"/>
  <c r="CQ11" i="9"/>
  <c r="CR11" i="9"/>
  <c r="CS11" i="9"/>
  <c r="BV12" i="9"/>
  <c r="BW12" i="9"/>
  <c r="BX12" i="9"/>
  <c r="BY12" i="9"/>
  <c r="BZ12" i="9"/>
  <c r="CA12" i="9"/>
  <c r="CB12" i="9"/>
  <c r="CC12" i="9"/>
  <c r="CD12" i="9"/>
  <c r="CE12" i="9"/>
  <c r="CF12" i="9"/>
  <c r="CG12" i="9"/>
  <c r="CH12" i="9"/>
  <c r="CI12" i="9"/>
  <c r="CJ12" i="9"/>
  <c r="CK12" i="9"/>
  <c r="CL12" i="9"/>
  <c r="CM12" i="9"/>
  <c r="CN12" i="9"/>
  <c r="CO12" i="9"/>
  <c r="CP12" i="9"/>
  <c r="CQ12" i="9"/>
  <c r="CR12" i="9"/>
  <c r="CS12" i="9"/>
  <c r="BV13" i="9"/>
  <c r="BW13" i="9"/>
  <c r="BX13" i="9"/>
  <c r="BY13" i="9"/>
  <c r="BZ13" i="9"/>
  <c r="CA13" i="9"/>
  <c r="CB13" i="9"/>
  <c r="CC13" i="9"/>
  <c r="CD13" i="9"/>
  <c r="CE13" i="9"/>
  <c r="CF13" i="9"/>
  <c r="CG13" i="9"/>
  <c r="CH13" i="9"/>
  <c r="CI13" i="9"/>
  <c r="CJ13" i="9"/>
  <c r="CK13" i="9"/>
  <c r="CL13" i="9"/>
  <c r="CM13" i="9"/>
  <c r="CN13" i="9"/>
  <c r="CO13" i="9"/>
  <c r="CP13" i="9"/>
  <c r="CQ13" i="9"/>
  <c r="CR13" i="9"/>
  <c r="CS13" i="9"/>
  <c r="BV14" i="9"/>
  <c r="BW14" i="9"/>
  <c r="BX14" i="9"/>
  <c r="BY14" i="9"/>
  <c r="BZ14" i="9"/>
  <c r="CA14" i="9"/>
  <c r="CB14" i="9"/>
  <c r="CC14" i="9"/>
  <c r="CD14" i="9"/>
  <c r="CE14" i="9"/>
  <c r="CF14" i="9"/>
  <c r="CG14" i="9"/>
  <c r="CH14" i="9"/>
  <c r="CI14" i="9"/>
  <c r="CJ14" i="9"/>
  <c r="CK14" i="9"/>
  <c r="CL14" i="9"/>
  <c r="CM14" i="9"/>
  <c r="CN14" i="9"/>
  <c r="CO14" i="9"/>
  <c r="CP14" i="9"/>
  <c r="CQ14" i="9"/>
  <c r="CR14" i="9"/>
  <c r="CS14" i="9"/>
  <c r="BV15" i="9"/>
  <c r="BW15" i="9"/>
  <c r="BX15" i="9"/>
  <c r="BY15" i="9"/>
  <c r="BZ15" i="9"/>
  <c r="CA15" i="9"/>
  <c r="CB15" i="9"/>
  <c r="CC15" i="9"/>
  <c r="CD15" i="9"/>
  <c r="CE15" i="9"/>
  <c r="CF15" i="9"/>
  <c r="CG15" i="9"/>
  <c r="CH15" i="9"/>
  <c r="CI15" i="9"/>
  <c r="CJ15" i="9"/>
  <c r="CK15" i="9"/>
  <c r="CL15" i="9"/>
  <c r="CM15" i="9"/>
  <c r="CN15" i="9"/>
  <c r="CO15" i="9"/>
  <c r="CP15" i="9"/>
  <c r="CQ15" i="9"/>
  <c r="CR15" i="9"/>
  <c r="CS15" i="9"/>
  <c r="BV16" i="9"/>
  <c r="BW16" i="9"/>
  <c r="BX16" i="9"/>
  <c r="BY16" i="9"/>
  <c r="BZ16" i="9"/>
  <c r="CA16" i="9"/>
  <c r="CB16" i="9"/>
  <c r="CC16" i="9"/>
  <c r="CD16" i="9"/>
  <c r="CE16" i="9"/>
  <c r="CF16" i="9"/>
  <c r="CG16" i="9"/>
  <c r="CH16" i="9"/>
  <c r="CI16" i="9"/>
  <c r="CJ16" i="9"/>
  <c r="CK16" i="9"/>
  <c r="CL16" i="9"/>
  <c r="CM16" i="9"/>
  <c r="CN16" i="9"/>
  <c r="CO16" i="9"/>
  <c r="CP16" i="9"/>
  <c r="CQ16" i="9"/>
  <c r="CR16" i="9"/>
  <c r="CS16" i="9"/>
  <c r="BV17" i="9"/>
  <c r="BW17" i="9"/>
  <c r="BX17" i="9"/>
  <c r="BY17" i="9"/>
  <c r="BZ17" i="9"/>
  <c r="CA17" i="9"/>
  <c r="CB17" i="9"/>
  <c r="CC17" i="9"/>
  <c r="CD17" i="9"/>
  <c r="CE17" i="9"/>
  <c r="CF17" i="9"/>
  <c r="CG17" i="9"/>
  <c r="CH17" i="9"/>
  <c r="CI17" i="9"/>
  <c r="CJ17" i="9"/>
  <c r="CK17" i="9"/>
  <c r="CL17" i="9"/>
  <c r="CM17" i="9"/>
  <c r="CN17" i="9"/>
  <c r="CO17" i="9"/>
  <c r="CP17" i="9"/>
  <c r="CQ17" i="9"/>
  <c r="CR17" i="9"/>
  <c r="CS17" i="9"/>
  <c r="BV18" i="9"/>
  <c r="BW18" i="9"/>
  <c r="BX18" i="9"/>
  <c r="BY18" i="9"/>
  <c r="BZ18" i="9"/>
  <c r="CA18" i="9"/>
  <c r="CB18" i="9"/>
  <c r="CC18" i="9"/>
  <c r="CD18" i="9"/>
  <c r="CE18" i="9"/>
  <c r="CF18" i="9"/>
  <c r="CG18" i="9"/>
  <c r="CH18" i="9"/>
  <c r="CI18" i="9"/>
  <c r="CJ18" i="9"/>
  <c r="CK18" i="9"/>
  <c r="CL18" i="9"/>
  <c r="CM18" i="9"/>
  <c r="CN18" i="9"/>
  <c r="CO18" i="9"/>
  <c r="CP18" i="9"/>
  <c r="CQ18" i="9"/>
  <c r="CR18" i="9"/>
  <c r="CS18" i="9"/>
  <c r="BV19" i="9"/>
  <c r="BW19" i="9"/>
  <c r="BX19" i="9"/>
  <c r="BY19" i="9"/>
  <c r="BZ19" i="9"/>
  <c r="CA19" i="9"/>
  <c r="CB19" i="9"/>
  <c r="CC19" i="9"/>
  <c r="CD19" i="9"/>
  <c r="CE19" i="9"/>
  <c r="CF19" i="9"/>
  <c r="CG19" i="9"/>
  <c r="CH19" i="9"/>
  <c r="CI19" i="9"/>
  <c r="CJ19" i="9"/>
  <c r="CK19" i="9"/>
  <c r="CL19" i="9"/>
  <c r="CM19" i="9"/>
  <c r="CN19" i="9"/>
  <c r="CO19" i="9"/>
  <c r="CP19" i="9"/>
  <c r="CQ19" i="9"/>
  <c r="CR19" i="9"/>
  <c r="CS19" i="9"/>
  <c r="BV20" i="9"/>
  <c r="BW20" i="9"/>
  <c r="BX20" i="9"/>
  <c r="BY20" i="9"/>
  <c r="BZ20" i="9"/>
  <c r="CA20" i="9"/>
  <c r="CB20" i="9"/>
  <c r="CC20" i="9"/>
  <c r="CD20" i="9"/>
  <c r="CE20" i="9"/>
  <c r="CF20" i="9"/>
  <c r="CG20" i="9"/>
  <c r="CH20" i="9"/>
  <c r="CI20" i="9"/>
  <c r="CJ20" i="9"/>
  <c r="CK20" i="9"/>
  <c r="CL20" i="9"/>
  <c r="CM20" i="9"/>
  <c r="CN20" i="9"/>
  <c r="CO20" i="9"/>
  <c r="CP20" i="9"/>
  <c r="CQ20" i="9"/>
  <c r="CR20" i="9"/>
  <c r="CS20" i="9"/>
  <c r="BV21" i="9"/>
  <c r="BW21" i="9"/>
  <c r="BX21" i="9"/>
  <c r="BY21" i="9"/>
  <c r="BZ21" i="9"/>
  <c r="CA21" i="9"/>
  <c r="CB21" i="9"/>
  <c r="CC21" i="9"/>
  <c r="CD21" i="9"/>
  <c r="CE21" i="9"/>
  <c r="CF21" i="9"/>
  <c r="CG21" i="9"/>
  <c r="CH21" i="9"/>
  <c r="CI21" i="9"/>
  <c r="CJ21" i="9"/>
  <c r="CK21" i="9"/>
  <c r="CL21" i="9"/>
  <c r="CM21" i="9"/>
  <c r="CN21" i="9"/>
  <c r="CO21" i="9"/>
  <c r="CP21" i="9"/>
  <c r="CQ21" i="9"/>
  <c r="CR21" i="9"/>
  <c r="CS21" i="9"/>
  <c r="BV22" i="9"/>
  <c r="BW22" i="9"/>
  <c r="BX22" i="9"/>
  <c r="BY22" i="9"/>
  <c r="BZ22" i="9"/>
  <c r="CA22" i="9"/>
  <c r="CB22" i="9"/>
  <c r="CC22" i="9"/>
  <c r="CD22" i="9"/>
  <c r="CE22" i="9"/>
  <c r="CF22" i="9"/>
  <c r="CG22" i="9"/>
  <c r="CH22" i="9"/>
  <c r="CI22" i="9"/>
  <c r="CJ22" i="9"/>
  <c r="CK22" i="9"/>
  <c r="CL22" i="9"/>
  <c r="CM22" i="9"/>
  <c r="CN22" i="9"/>
  <c r="CO22" i="9"/>
  <c r="CP22" i="9"/>
  <c r="CQ22" i="9"/>
  <c r="CR22" i="9"/>
  <c r="CS22" i="9"/>
  <c r="BV23" i="9"/>
  <c r="BW23" i="9"/>
  <c r="BX23" i="9"/>
  <c r="BY23" i="9"/>
  <c r="BZ23" i="9"/>
  <c r="CA23" i="9"/>
  <c r="CB23" i="9"/>
  <c r="CC23" i="9"/>
  <c r="CD23" i="9"/>
  <c r="CE23" i="9"/>
  <c r="CF23" i="9"/>
  <c r="CG23" i="9"/>
  <c r="CH23" i="9"/>
  <c r="CI23" i="9"/>
  <c r="CJ23" i="9"/>
  <c r="CK23" i="9"/>
  <c r="CL23" i="9"/>
  <c r="CM23" i="9"/>
  <c r="CN23" i="9"/>
  <c r="CO23" i="9"/>
  <c r="CP23" i="9"/>
  <c r="CQ23" i="9"/>
  <c r="CR23" i="9"/>
  <c r="CS23" i="9"/>
  <c r="BV24" i="9"/>
  <c r="BW24" i="9"/>
  <c r="BX24" i="9"/>
  <c r="BY24" i="9"/>
  <c r="BZ24" i="9"/>
  <c r="CA24" i="9"/>
  <c r="CB24" i="9"/>
  <c r="CC24" i="9"/>
  <c r="CD24" i="9"/>
  <c r="CE24" i="9"/>
  <c r="CF24" i="9"/>
  <c r="CG24" i="9"/>
  <c r="CH24" i="9"/>
  <c r="CI24" i="9"/>
  <c r="CJ24" i="9"/>
  <c r="CK24" i="9"/>
  <c r="CL24" i="9"/>
  <c r="CM24" i="9"/>
  <c r="CN24" i="9"/>
  <c r="CO24" i="9"/>
  <c r="CP24" i="9"/>
  <c r="CQ24" i="9"/>
  <c r="CR24" i="9"/>
  <c r="CS24" i="9"/>
  <c r="BV25" i="9"/>
  <c r="BW25" i="9"/>
  <c r="BX25" i="9"/>
  <c r="BY25" i="9"/>
  <c r="BZ25" i="9"/>
  <c r="CA25" i="9"/>
  <c r="CB25" i="9"/>
  <c r="CC25" i="9"/>
  <c r="CD25" i="9"/>
  <c r="CE25" i="9"/>
  <c r="CF25" i="9"/>
  <c r="CG25" i="9"/>
  <c r="CH25" i="9"/>
  <c r="CI25" i="9"/>
  <c r="CJ25" i="9"/>
  <c r="CK25" i="9"/>
  <c r="CL25" i="9"/>
  <c r="CM25" i="9"/>
  <c r="CN25" i="9"/>
  <c r="CO25" i="9"/>
  <c r="CP25" i="9"/>
  <c r="CQ25" i="9"/>
  <c r="CR25" i="9"/>
  <c r="CS25" i="9"/>
  <c r="BV26" i="9"/>
  <c r="BW26" i="9"/>
  <c r="BX26" i="9"/>
  <c r="BY26" i="9"/>
  <c r="BZ26" i="9"/>
  <c r="CA26" i="9"/>
  <c r="CB26" i="9"/>
  <c r="CC26" i="9"/>
  <c r="CD26" i="9"/>
  <c r="CE26" i="9"/>
  <c r="CF26" i="9"/>
  <c r="CG26" i="9"/>
  <c r="CH26" i="9"/>
  <c r="CI26" i="9"/>
  <c r="CJ26" i="9"/>
  <c r="CK26" i="9"/>
  <c r="CL26" i="9"/>
  <c r="CM26" i="9"/>
  <c r="CN26" i="9"/>
  <c r="CO26" i="9"/>
  <c r="CP26" i="9"/>
  <c r="CQ26" i="9"/>
  <c r="CR26" i="9"/>
  <c r="CS26" i="9"/>
  <c r="BV27" i="9"/>
  <c r="BW27" i="9"/>
  <c r="BX27" i="9"/>
  <c r="BY27" i="9"/>
  <c r="BZ27" i="9"/>
  <c r="CA27" i="9"/>
  <c r="CB27" i="9"/>
  <c r="CC27" i="9"/>
  <c r="CD27" i="9"/>
  <c r="CE27" i="9"/>
  <c r="CF27" i="9"/>
  <c r="CG27" i="9"/>
  <c r="CH27" i="9"/>
  <c r="CI27" i="9"/>
  <c r="CJ27" i="9"/>
  <c r="CK27" i="9"/>
  <c r="CL27" i="9"/>
  <c r="CM27" i="9"/>
  <c r="CN27" i="9"/>
  <c r="CO27" i="9"/>
  <c r="CP27" i="9"/>
  <c r="CQ27" i="9"/>
  <c r="CR27" i="9"/>
  <c r="CS27" i="9"/>
  <c r="BV28" i="9"/>
  <c r="BW28" i="9"/>
  <c r="BX28" i="9"/>
  <c r="BY28" i="9"/>
  <c r="BZ28" i="9"/>
  <c r="CA28" i="9"/>
  <c r="CB28" i="9"/>
  <c r="CC28" i="9"/>
  <c r="CD28" i="9"/>
  <c r="CE28" i="9"/>
  <c r="CF28" i="9"/>
  <c r="CG28" i="9"/>
  <c r="CH28" i="9"/>
  <c r="CI28" i="9"/>
  <c r="CJ28" i="9"/>
  <c r="CK28" i="9"/>
  <c r="CL28" i="9"/>
  <c r="CM28" i="9"/>
  <c r="CN28" i="9"/>
  <c r="CO28" i="9"/>
  <c r="CP28" i="9"/>
  <c r="CQ28" i="9"/>
  <c r="CR28" i="9"/>
  <c r="CS28" i="9"/>
  <c r="BV29" i="9"/>
  <c r="BW29" i="9"/>
  <c r="BX29" i="9"/>
  <c r="BY29" i="9"/>
  <c r="BZ29" i="9"/>
  <c r="CA29" i="9"/>
  <c r="CB29" i="9"/>
  <c r="CC29" i="9"/>
  <c r="CD29" i="9"/>
  <c r="CE29" i="9"/>
  <c r="CF29" i="9"/>
  <c r="CG29" i="9"/>
  <c r="CH29" i="9"/>
  <c r="CI29" i="9"/>
  <c r="CJ29" i="9"/>
  <c r="CK29" i="9"/>
  <c r="CL29" i="9"/>
  <c r="CM29" i="9"/>
  <c r="CN29" i="9"/>
  <c r="CO29" i="9"/>
  <c r="CP29" i="9"/>
  <c r="CQ29" i="9"/>
  <c r="CR29" i="9"/>
  <c r="CS29" i="9"/>
  <c r="BV30" i="9"/>
  <c r="BW30" i="9"/>
  <c r="BX30" i="9"/>
  <c r="BY30" i="9"/>
  <c r="BZ30" i="9"/>
  <c r="CA30" i="9"/>
  <c r="CB30" i="9"/>
  <c r="CC30" i="9"/>
  <c r="CD30" i="9"/>
  <c r="CE30" i="9"/>
  <c r="CF30" i="9"/>
  <c r="CG30" i="9"/>
  <c r="CH30" i="9"/>
  <c r="CI30" i="9"/>
  <c r="CJ30" i="9"/>
  <c r="CK30" i="9"/>
  <c r="CL30" i="9"/>
  <c r="CM30" i="9"/>
  <c r="CN30" i="9"/>
  <c r="CO30" i="9"/>
  <c r="CP30" i="9"/>
  <c r="CQ30" i="9"/>
  <c r="CR30" i="9"/>
  <c r="CS30" i="9"/>
  <c r="BV31" i="9"/>
  <c r="BW31" i="9"/>
  <c r="BX31" i="9"/>
  <c r="BY31" i="9"/>
  <c r="BZ31" i="9"/>
  <c r="CA31" i="9"/>
  <c r="CB31" i="9"/>
  <c r="CC31" i="9"/>
  <c r="CD31" i="9"/>
  <c r="CE31" i="9"/>
  <c r="CF31" i="9"/>
  <c r="CG31" i="9"/>
  <c r="CH31" i="9"/>
  <c r="CI31" i="9"/>
  <c r="CJ31" i="9"/>
  <c r="CK31" i="9"/>
  <c r="CL31" i="9"/>
  <c r="CM31" i="9"/>
  <c r="CN31" i="9"/>
  <c r="CO31" i="9"/>
  <c r="CP31" i="9"/>
  <c r="CQ31" i="9"/>
  <c r="CR31" i="9"/>
  <c r="CS31" i="9"/>
  <c r="BV32" i="9"/>
  <c r="BW32" i="9"/>
  <c r="BX32" i="9"/>
  <c r="BY32" i="9"/>
  <c r="BZ32" i="9"/>
  <c r="CA32" i="9"/>
  <c r="CB32" i="9"/>
  <c r="CC32" i="9"/>
  <c r="CD32" i="9"/>
  <c r="CE32" i="9"/>
  <c r="CF32" i="9"/>
  <c r="CG32" i="9"/>
  <c r="CH32" i="9"/>
  <c r="CI32" i="9"/>
  <c r="CJ32" i="9"/>
  <c r="CK32" i="9"/>
  <c r="CL32" i="9"/>
  <c r="CM32" i="9"/>
  <c r="CN32" i="9"/>
  <c r="CO32" i="9"/>
  <c r="CP32" i="9"/>
  <c r="CQ32" i="9"/>
  <c r="CR32" i="9"/>
  <c r="CS32" i="9"/>
  <c r="BV33" i="9"/>
  <c r="BW33" i="9"/>
  <c r="BX33" i="9"/>
  <c r="BY33" i="9"/>
  <c r="BZ33" i="9"/>
  <c r="CA33" i="9"/>
  <c r="CB33" i="9"/>
  <c r="CC33" i="9"/>
  <c r="CD33" i="9"/>
  <c r="CE33" i="9"/>
  <c r="CF33" i="9"/>
  <c r="CG33" i="9"/>
  <c r="CH33" i="9"/>
  <c r="CI33" i="9"/>
  <c r="CJ33" i="9"/>
  <c r="CK33" i="9"/>
  <c r="CL33" i="9"/>
  <c r="CM33" i="9"/>
  <c r="CN33" i="9"/>
  <c r="CO33" i="9"/>
  <c r="CP33" i="9"/>
  <c r="CQ33" i="9"/>
  <c r="CR33" i="9"/>
  <c r="CS33" i="9"/>
  <c r="BV34" i="9"/>
  <c r="BW34" i="9"/>
  <c r="BX34" i="9"/>
  <c r="BY34" i="9"/>
  <c r="BZ34" i="9"/>
  <c r="CA34" i="9"/>
  <c r="CB34" i="9"/>
  <c r="CC34" i="9"/>
  <c r="CD34" i="9"/>
  <c r="CE34" i="9"/>
  <c r="CF34" i="9"/>
  <c r="CG34" i="9"/>
  <c r="CH34" i="9"/>
  <c r="CI34" i="9"/>
  <c r="CJ34" i="9"/>
  <c r="CK34" i="9"/>
  <c r="CL34" i="9"/>
  <c r="CM34" i="9"/>
  <c r="CN34" i="9"/>
  <c r="CO34" i="9"/>
  <c r="CP34" i="9"/>
  <c r="CQ34" i="9"/>
  <c r="CR34" i="9"/>
  <c r="CS34" i="9"/>
  <c r="BV35" i="9"/>
  <c r="BW35" i="9"/>
  <c r="BX35" i="9"/>
  <c r="BY35" i="9"/>
  <c r="BZ35" i="9"/>
  <c r="CA35" i="9"/>
  <c r="CB35" i="9"/>
  <c r="CC35" i="9"/>
  <c r="CD35" i="9"/>
  <c r="CE35" i="9"/>
  <c r="CF35" i="9"/>
  <c r="CG35" i="9"/>
  <c r="CH35" i="9"/>
  <c r="CI35" i="9"/>
  <c r="CJ35" i="9"/>
  <c r="CK35" i="9"/>
  <c r="CL35" i="9"/>
  <c r="CM35" i="9"/>
  <c r="CN35" i="9"/>
  <c r="CO35" i="9"/>
  <c r="CP35" i="9"/>
  <c r="CQ35" i="9"/>
  <c r="CR35" i="9"/>
  <c r="CS35" i="9"/>
  <c r="BV36" i="9"/>
  <c r="BW36" i="9"/>
  <c r="BX36" i="9"/>
  <c r="BY36" i="9"/>
  <c r="BZ36" i="9"/>
  <c r="CA36" i="9"/>
  <c r="CB36" i="9"/>
  <c r="CC36" i="9"/>
  <c r="CD36" i="9"/>
  <c r="CE36" i="9"/>
  <c r="CF36" i="9"/>
  <c r="CG36" i="9"/>
  <c r="CH36" i="9"/>
  <c r="CI36" i="9"/>
  <c r="CJ36" i="9"/>
  <c r="CK36" i="9"/>
  <c r="CL36" i="9"/>
  <c r="CM36" i="9"/>
  <c r="CN36" i="9"/>
  <c r="CO36" i="9"/>
  <c r="CP36" i="9"/>
  <c r="CQ36" i="9"/>
  <c r="CR36" i="9"/>
  <c r="CS36" i="9"/>
  <c r="BV37" i="9"/>
  <c r="BW37" i="9"/>
  <c r="BX37" i="9"/>
  <c r="BY37" i="9"/>
  <c r="BZ37" i="9"/>
  <c r="CA37" i="9"/>
  <c r="CB37" i="9"/>
  <c r="CC37" i="9"/>
  <c r="CD37" i="9"/>
  <c r="CE37" i="9"/>
  <c r="CF37" i="9"/>
  <c r="CG37" i="9"/>
  <c r="CH37" i="9"/>
  <c r="CI37" i="9"/>
  <c r="CJ37" i="9"/>
  <c r="CK37" i="9"/>
  <c r="CL37" i="9"/>
  <c r="CM37" i="9"/>
  <c r="CN37" i="9"/>
  <c r="CO37" i="9"/>
  <c r="CP37" i="9"/>
  <c r="CQ37" i="9"/>
  <c r="CR37" i="9"/>
  <c r="CS37" i="9"/>
  <c r="BV38" i="9"/>
  <c r="BW38" i="9"/>
  <c r="BX38" i="9"/>
  <c r="BY38" i="9"/>
  <c r="BZ38" i="9"/>
  <c r="CA38" i="9"/>
  <c r="CB38" i="9"/>
  <c r="CC38" i="9"/>
  <c r="CD38" i="9"/>
  <c r="CE38" i="9"/>
  <c r="CF38" i="9"/>
  <c r="CG38" i="9"/>
  <c r="CH38" i="9"/>
  <c r="CI38" i="9"/>
  <c r="CJ38" i="9"/>
  <c r="CK38" i="9"/>
  <c r="CL38" i="9"/>
  <c r="CM38" i="9"/>
  <c r="CN38" i="9"/>
  <c r="CO38" i="9"/>
  <c r="CP38" i="9"/>
  <c r="CQ38" i="9"/>
  <c r="CR38" i="9"/>
  <c r="CS38" i="9"/>
  <c r="BV39" i="9"/>
  <c r="BW39" i="9"/>
  <c r="BX39" i="9"/>
  <c r="BY39" i="9"/>
  <c r="BZ39" i="9"/>
  <c r="CA39" i="9"/>
  <c r="CB39" i="9"/>
  <c r="CC39" i="9"/>
  <c r="CD39" i="9"/>
  <c r="CE39" i="9"/>
  <c r="CF39" i="9"/>
  <c r="CG39" i="9"/>
  <c r="CH39" i="9"/>
  <c r="CI39" i="9"/>
  <c r="CJ39" i="9"/>
  <c r="CK39" i="9"/>
  <c r="CL39" i="9"/>
  <c r="CM39" i="9"/>
  <c r="CN39" i="9"/>
  <c r="CO39" i="9"/>
  <c r="CP39" i="9"/>
  <c r="CQ39" i="9"/>
  <c r="CR39" i="9"/>
  <c r="CS39" i="9"/>
  <c r="BV40" i="9"/>
  <c r="BW40" i="9"/>
  <c r="BX40" i="9"/>
  <c r="BY40" i="9"/>
  <c r="BZ40" i="9"/>
  <c r="CA40" i="9"/>
  <c r="CB40" i="9"/>
  <c r="CC40" i="9"/>
  <c r="CD40" i="9"/>
  <c r="CE40" i="9"/>
  <c r="CF40" i="9"/>
  <c r="CG40" i="9"/>
  <c r="CH40" i="9"/>
  <c r="CI40" i="9"/>
  <c r="CJ40" i="9"/>
  <c r="CK40" i="9"/>
  <c r="CL40" i="9"/>
  <c r="CM40" i="9"/>
  <c r="CN40" i="9"/>
  <c r="CO40" i="9"/>
  <c r="CP40" i="9"/>
  <c r="CQ40" i="9"/>
  <c r="CR40" i="9"/>
  <c r="CS40" i="9"/>
  <c r="BV41" i="9"/>
  <c r="BW41" i="9"/>
  <c r="BX41" i="9"/>
  <c r="BY41" i="9"/>
  <c r="BZ41" i="9"/>
  <c r="CA41" i="9"/>
  <c r="CB41" i="9"/>
  <c r="CC41" i="9"/>
  <c r="CD41" i="9"/>
  <c r="CE41" i="9"/>
  <c r="CF41" i="9"/>
  <c r="CG41" i="9"/>
  <c r="CH41" i="9"/>
  <c r="CI41" i="9"/>
  <c r="CJ41" i="9"/>
  <c r="CK41" i="9"/>
  <c r="CL41" i="9"/>
  <c r="CM41" i="9"/>
  <c r="CN41" i="9"/>
  <c r="CO41" i="9"/>
  <c r="CP41" i="9"/>
  <c r="CQ41" i="9"/>
  <c r="CR41" i="9"/>
  <c r="CS41" i="9"/>
  <c r="BV42" i="9"/>
  <c r="BW42" i="9"/>
  <c r="BX42" i="9"/>
  <c r="BY42" i="9"/>
  <c r="BZ42" i="9"/>
  <c r="CA42" i="9"/>
  <c r="CB42" i="9"/>
  <c r="CC42" i="9"/>
  <c r="CD42" i="9"/>
  <c r="CE42" i="9"/>
  <c r="CF42" i="9"/>
  <c r="CG42" i="9"/>
  <c r="CH42" i="9"/>
  <c r="CI42" i="9"/>
  <c r="CJ42" i="9"/>
  <c r="CK42" i="9"/>
  <c r="CL42" i="9"/>
  <c r="CM42" i="9"/>
  <c r="CN42" i="9"/>
  <c r="CO42" i="9"/>
  <c r="CP42" i="9"/>
  <c r="CQ42" i="9"/>
  <c r="CR42" i="9"/>
  <c r="CS42" i="9"/>
  <c r="BV43" i="9"/>
  <c r="BW43" i="9"/>
  <c r="BX43" i="9"/>
  <c r="BY43" i="9"/>
  <c r="BZ43" i="9"/>
  <c r="CA43" i="9"/>
  <c r="CB43" i="9"/>
  <c r="CC43" i="9"/>
  <c r="CD43" i="9"/>
  <c r="CE43" i="9"/>
  <c r="CF43" i="9"/>
  <c r="CG43" i="9"/>
  <c r="CH43" i="9"/>
  <c r="CI43" i="9"/>
  <c r="CJ43" i="9"/>
  <c r="CK43" i="9"/>
  <c r="CL43" i="9"/>
  <c r="CM43" i="9"/>
  <c r="CN43" i="9"/>
  <c r="CO43" i="9"/>
  <c r="CP43" i="9"/>
  <c r="CQ43" i="9"/>
  <c r="CR43" i="9"/>
  <c r="CS43" i="9"/>
  <c r="BV44" i="9"/>
  <c r="BW44" i="9"/>
  <c r="BX44" i="9"/>
  <c r="BY44" i="9"/>
  <c r="BZ44" i="9"/>
  <c r="CA44" i="9"/>
  <c r="CB44" i="9"/>
  <c r="CC44" i="9"/>
  <c r="CD44" i="9"/>
  <c r="CE44" i="9"/>
  <c r="CF44" i="9"/>
  <c r="CG44" i="9"/>
  <c r="CH44" i="9"/>
  <c r="CI44" i="9"/>
  <c r="CJ44" i="9"/>
  <c r="CK44" i="9"/>
  <c r="CL44" i="9"/>
  <c r="CM44" i="9"/>
  <c r="CN44" i="9"/>
  <c r="CO44" i="9"/>
  <c r="CP44" i="9"/>
  <c r="CQ44" i="9"/>
  <c r="CR44" i="9"/>
  <c r="CS44" i="9"/>
  <c r="BV45" i="9"/>
  <c r="BW45" i="9"/>
  <c r="BX45" i="9"/>
  <c r="BY45" i="9"/>
  <c r="BZ45" i="9"/>
  <c r="CA45" i="9"/>
  <c r="CB45" i="9"/>
  <c r="CC45" i="9"/>
  <c r="CD45" i="9"/>
  <c r="CE45" i="9"/>
  <c r="CF45" i="9"/>
  <c r="CG45" i="9"/>
  <c r="CH45" i="9"/>
  <c r="CI45" i="9"/>
  <c r="CJ45" i="9"/>
  <c r="CK45" i="9"/>
  <c r="CL45" i="9"/>
  <c r="CM45" i="9"/>
  <c r="CN45" i="9"/>
  <c r="CO45" i="9"/>
  <c r="CP45" i="9"/>
  <c r="CQ45" i="9"/>
  <c r="CR45" i="9"/>
  <c r="CS45" i="9"/>
  <c r="BV46" i="9"/>
  <c r="BW46" i="9"/>
  <c r="BX46" i="9"/>
  <c r="BY46" i="9"/>
  <c r="BZ46" i="9"/>
  <c r="CA46" i="9"/>
  <c r="CB46" i="9"/>
  <c r="CC46" i="9"/>
  <c r="CD46" i="9"/>
  <c r="CE46" i="9"/>
  <c r="CF46" i="9"/>
  <c r="CG46" i="9"/>
  <c r="CH46" i="9"/>
  <c r="CI46" i="9"/>
  <c r="CJ46" i="9"/>
  <c r="CK46" i="9"/>
  <c r="CL46" i="9"/>
  <c r="CM46" i="9"/>
  <c r="CN46" i="9"/>
  <c r="CO46" i="9"/>
  <c r="CP46" i="9"/>
  <c r="CQ46" i="9"/>
  <c r="CR46" i="9"/>
  <c r="CS46" i="9"/>
  <c r="BV47" i="9"/>
  <c r="BW47" i="9"/>
  <c r="BX47" i="9"/>
  <c r="BY47" i="9"/>
  <c r="BZ47" i="9"/>
  <c r="CA47" i="9"/>
  <c r="CB47" i="9"/>
  <c r="CC47" i="9"/>
  <c r="CD47" i="9"/>
  <c r="CE47" i="9"/>
  <c r="CF47" i="9"/>
  <c r="CG47" i="9"/>
  <c r="CH47" i="9"/>
  <c r="CI47" i="9"/>
  <c r="CJ47" i="9"/>
  <c r="CK47" i="9"/>
  <c r="CL47" i="9"/>
  <c r="CM47" i="9"/>
  <c r="CN47" i="9"/>
  <c r="CO47" i="9"/>
  <c r="CP47" i="9"/>
  <c r="CQ47" i="9"/>
  <c r="CR47" i="9"/>
  <c r="CS47" i="9"/>
  <c r="BV48" i="9"/>
  <c r="BW48" i="9"/>
  <c r="BX48" i="9"/>
  <c r="BY48" i="9"/>
  <c r="BZ48" i="9"/>
  <c r="CA48" i="9"/>
  <c r="CB48" i="9"/>
  <c r="CC48" i="9"/>
  <c r="CD48" i="9"/>
  <c r="CE48" i="9"/>
  <c r="CF48" i="9"/>
  <c r="CG48" i="9"/>
  <c r="CH48" i="9"/>
  <c r="CI48" i="9"/>
  <c r="CJ48" i="9"/>
  <c r="CK48" i="9"/>
  <c r="CL48" i="9"/>
  <c r="CM48" i="9"/>
  <c r="CN48" i="9"/>
  <c r="CO48" i="9"/>
  <c r="CP48" i="9"/>
  <c r="CQ48" i="9"/>
  <c r="CR48" i="9"/>
  <c r="CS48" i="9"/>
  <c r="BV49" i="9"/>
  <c r="BW49" i="9"/>
  <c r="BX49" i="9"/>
  <c r="BY49" i="9"/>
  <c r="BZ49" i="9"/>
  <c r="CA49" i="9"/>
  <c r="CB49" i="9"/>
  <c r="CC49" i="9"/>
  <c r="CD49" i="9"/>
  <c r="CE49" i="9"/>
  <c r="CF49" i="9"/>
  <c r="CG49" i="9"/>
  <c r="CH49" i="9"/>
  <c r="CI49" i="9"/>
  <c r="CJ49" i="9"/>
  <c r="CK49" i="9"/>
  <c r="CL49" i="9"/>
  <c r="CM49" i="9"/>
  <c r="CN49" i="9"/>
  <c r="CO49" i="9"/>
  <c r="CP49" i="9"/>
  <c r="CQ49" i="9"/>
  <c r="CR49" i="9"/>
  <c r="CS49" i="9"/>
  <c r="BV50" i="9"/>
  <c r="BW50" i="9"/>
  <c r="BX50" i="9"/>
  <c r="BY50" i="9"/>
  <c r="BZ50" i="9"/>
  <c r="CA50" i="9"/>
  <c r="CB50" i="9"/>
  <c r="CC50" i="9"/>
  <c r="CD50" i="9"/>
  <c r="CE50" i="9"/>
  <c r="CF50" i="9"/>
  <c r="CG50" i="9"/>
  <c r="CH50" i="9"/>
  <c r="CI50" i="9"/>
  <c r="CJ50" i="9"/>
  <c r="CK50" i="9"/>
  <c r="CL50" i="9"/>
  <c r="CM50" i="9"/>
  <c r="CN50" i="9"/>
  <c r="CO50" i="9"/>
  <c r="CP50" i="9"/>
  <c r="CQ50" i="9"/>
  <c r="CR50" i="9"/>
  <c r="CS50" i="9"/>
  <c r="BV51" i="9"/>
  <c r="BW51" i="9"/>
  <c r="BX51" i="9"/>
  <c r="BY51" i="9"/>
  <c r="BZ51" i="9"/>
  <c r="CA51" i="9"/>
  <c r="CB51" i="9"/>
  <c r="CC51" i="9"/>
  <c r="CD51" i="9"/>
  <c r="CE51" i="9"/>
  <c r="CF51" i="9"/>
  <c r="CG51" i="9"/>
  <c r="CH51" i="9"/>
  <c r="CI51" i="9"/>
  <c r="CJ51" i="9"/>
  <c r="CK51" i="9"/>
  <c r="CL51" i="9"/>
  <c r="CM51" i="9"/>
  <c r="CN51" i="9"/>
  <c r="CO51" i="9"/>
  <c r="CP51" i="9"/>
  <c r="CQ51" i="9"/>
  <c r="CR51" i="9"/>
  <c r="CS51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BV53" i="9"/>
  <c r="BW53" i="9"/>
  <c r="BX53" i="9"/>
  <c r="BY53" i="9"/>
  <c r="BZ53" i="9"/>
  <c r="CA53" i="9"/>
  <c r="CB53" i="9"/>
  <c r="CC53" i="9"/>
  <c r="CD53" i="9"/>
  <c r="CE53" i="9"/>
  <c r="CF53" i="9"/>
  <c r="CG53" i="9"/>
  <c r="CH53" i="9"/>
  <c r="CI53" i="9"/>
  <c r="CJ53" i="9"/>
  <c r="CK53" i="9"/>
  <c r="CL53" i="9"/>
  <c r="CM53" i="9"/>
  <c r="CN53" i="9"/>
  <c r="CO53" i="9"/>
  <c r="CP53" i="9"/>
  <c r="CQ53" i="9"/>
  <c r="CR53" i="9"/>
  <c r="CS53" i="9"/>
  <c r="BV54" i="9"/>
  <c r="BW54" i="9"/>
  <c r="BX54" i="9"/>
  <c r="BY54" i="9"/>
  <c r="BZ54" i="9"/>
  <c r="CA54" i="9"/>
  <c r="CB54" i="9"/>
  <c r="CC54" i="9"/>
  <c r="CD54" i="9"/>
  <c r="CE54" i="9"/>
  <c r="CF54" i="9"/>
  <c r="CG54" i="9"/>
  <c r="CH54" i="9"/>
  <c r="CI54" i="9"/>
  <c r="CJ54" i="9"/>
  <c r="CK54" i="9"/>
  <c r="CL54" i="9"/>
  <c r="CM54" i="9"/>
  <c r="CN54" i="9"/>
  <c r="CO54" i="9"/>
  <c r="CP54" i="9"/>
  <c r="CQ54" i="9"/>
  <c r="CR54" i="9"/>
  <c r="CS54" i="9"/>
  <c r="BV55" i="9"/>
  <c r="BW55" i="9"/>
  <c r="BX55" i="9"/>
  <c r="BY55" i="9"/>
  <c r="BZ55" i="9"/>
  <c r="CA55" i="9"/>
  <c r="CB55" i="9"/>
  <c r="CC55" i="9"/>
  <c r="CD55" i="9"/>
  <c r="CE55" i="9"/>
  <c r="CF55" i="9"/>
  <c r="CG55" i="9"/>
  <c r="CH55" i="9"/>
  <c r="CI55" i="9"/>
  <c r="CJ55" i="9"/>
  <c r="CK55" i="9"/>
  <c r="CL55" i="9"/>
  <c r="CM55" i="9"/>
  <c r="CN55" i="9"/>
  <c r="CO55" i="9"/>
  <c r="CP55" i="9"/>
  <c r="CQ55" i="9"/>
  <c r="CR55" i="9"/>
  <c r="CS55" i="9"/>
  <c r="BV56" i="9"/>
  <c r="BW56" i="9"/>
  <c r="BX56" i="9"/>
  <c r="BY56" i="9"/>
  <c r="BZ56" i="9"/>
  <c r="CA56" i="9"/>
  <c r="CB56" i="9"/>
  <c r="CC56" i="9"/>
  <c r="CD56" i="9"/>
  <c r="CE56" i="9"/>
  <c r="CF56" i="9"/>
  <c r="CG56" i="9"/>
  <c r="CH56" i="9"/>
  <c r="CI56" i="9"/>
  <c r="CJ56" i="9"/>
  <c r="CK56" i="9"/>
  <c r="CL56" i="9"/>
  <c r="CM56" i="9"/>
  <c r="CN56" i="9"/>
  <c r="CO56" i="9"/>
  <c r="CP56" i="9"/>
  <c r="CQ56" i="9"/>
  <c r="CR56" i="9"/>
  <c r="CS56" i="9"/>
  <c r="BV57" i="9"/>
  <c r="BW57" i="9"/>
  <c r="BX57" i="9"/>
  <c r="BY57" i="9"/>
  <c r="BZ57" i="9"/>
  <c r="CA57" i="9"/>
  <c r="CB57" i="9"/>
  <c r="CC57" i="9"/>
  <c r="CD57" i="9"/>
  <c r="CE57" i="9"/>
  <c r="CF57" i="9"/>
  <c r="CG57" i="9"/>
  <c r="CH57" i="9"/>
  <c r="CI57" i="9"/>
  <c r="CJ57" i="9"/>
  <c r="CK57" i="9"/>
  <c r="CL57" i="9"/>
  <c r="CM57" i="9"/>
  <c r="CN57" i="9"/>
  <c r="CO57" i="9"/>
  <c r="CP57" i="9"/>
  <c r="CQ57" i="9"/>
  <c r="CR57" i="9"/>
  <c r="CS57" i="9"/>
  <c r="BV58" i="9"/>
  <c r="BW58" i="9"/>
  <c r="BX58" i="9"/>
  <c r="BY58" i="9"/>
  <c r="BZ58" i="9"/>
  <c r="CA58" i="9"/>
  <c r="CB58" i="9"/>
  <c r="CC58" i="9"/>
  <c r="CD58" i="9"/>
  <c r="CE58" i="9"/>
  <c r="CF58" i="9"/>
  <c r="CG58" i="9"/>
  <c r="CH58" i="9"/>
  <c r="CI58" i="9"/>
  <c r="CJ58" i="9"/>
  <c r="CK58" i="9"/>
  <c r="CL58" i="9"/>
  <c r="CM58" i="9"/>
  <c r="CN58" i="9"/>
  <c r="CO58" i="9"/>
  <c r="CP58" i="9"/>
  <c r="CQ58" i="9"/>
  <c r="CR58" i="9"/>
  <c r="CS58" i="9"/>
  <c r="BV59" i="9"/>
  <c r="BW59" i="9"/>
  <c r="BX59" i="9"/>
  <c r="BY59" i="9"/>
  <c r="BZ59" i="9"/>
  <c r="CA59" i="9"/>
  <c r="CB59" i="9"/>
  <c r="CC59" i="9"/>
  <c r="CD59" i="9"/>
  <c r="CE59" i="9"/>
  <c r="CF59" i="9"/>
  <c r="CG59" i="9"/>
  <c r="CH59" i="9"/>
  <c r="CI59" i="9"/>
  <c r="CJ59" i="9"/>
  <c r="CK59" i="9"/>
  <c r="CL59" i="9"/>
  <c r="CM59" i="9"/>
  <c r="CN59" i="9"/>
  <c r="CO59" i="9"/>
  <c r="CP59" i="9"/>
  <c r="CQ59" i="9"/>
  <c r="CR59" i="9"/>
  <c r="CS59" i="9"/>
  <c r="BV60" i="9"/>
  <c r="BW60" i="9"/>
  <c r="BX60" i="9"/>
  <c r="BY60" i="9"/>
  <c r="BZ60" i="9"/>
  <c r="CA60" i="9"/>
  <c r="CB60" i="9"/>
  <c r="CC60" i="9"/>
  <c r="CD60" i="9"/>
  <c r="CE60" i="9"/>
  <c r="CF60" i="9"/>
  <c r="CG60" i="9"/>
  <c r="CH60" i="9"/>
  <c r="CI60" i="9"/>
  <c r="CJ60" i="9"/>
  <c r="CK60" i="9"/>
  <c r="CL60" i="9"/>
  <c r="CM60" i="9"/>
  <c r="CN60" i="9"/>
  <c r="CO60" i="9"/>
  <c r="CP60" i="9"/>
  <c r="CQ60" i="9"/>
  <c r="CR60" i="9"/>
  <c r="CS60" i="9"/>
  <c r="BV61" i="9"/>
  <c r="BW61" i="9"/>
  <c r="BX61" i="9"/>
  <c r="BY61" i="9"/>
  <c r="BZ61" i="9"/>
  <c r="CA61" i="9"/>
  <c r="CB61" i="9"/>
  <c r="CC61" i="9"/>
  <c r="CD61" i="9"/>
  <c r="CE61" i="9"/>
  <c r="CF61" i="9"/>
  <c r="CG61" i="9"/>
  <c r="CH61" i="9"/>
  <c r="CI61" i="9"/>
  <c r="CJ61" i="9"/>
  <c r="CK61" i="9"/>
  <c r="CL61" i="9"/>
  <c r="CM61" i="9"/>
  <c r="CN61" i="9"/>
  <c r="CO61" i="9"/>
  <c r="CP61" i="9"/>
  <c r="CQ61" i="9"/>
  <c r="CR61" i="9"/>
  <c r="CS61" i="9"/>
  <c r="BV62" i="9"/>
  <c r="BW62" i="9"/>
  <c r="BX62" i="9"/>
  <c r="BY62" i="9"/>
  <c r="BZ62" i="9"/>
  <c r="CA62" i="9"/>
  <c r="CB62" i="9"/>
  <c r="CC62" i="9"/>
  <c r="CD62" i="9"/>
  <c r="CE62" i="9"/>
  <c r="CF62" i="9"/>
  <c r="CG62" i="9"/>
  <c r="CH62" i="9"/>
  <c r="CI62" i="9"/>
  <c r="CJ62" i="9"/>
  <c r="CK62" i="9"/>
  <c r="CL62" i="9"/>
  <c r="CM62" i="9"/>
  <c r="CN62" i="9"/>
  <c r="CO62" i="9"/>
  <c r="CP62" i="9"/>
  <c r="CQ62" i="9"/>
  <c r="CR62" i="9"/>
  <c r="CS62" i="9"/>
  <c r="BV63" i="9"/>
  <c r="BW63" i="9"/>
  <c r="BX63" i="9"/>
  <c r="BY63" i="9"/>
  <c r="BZ63" i="9"/>
  <c r="CA63" i="9"/>
  <c r="CB63" i="9"/>
  <c r="CC63" i="9"/>
  <c r="CD63" i="9"/>
  <c r="CE63" i="9"/>
  <c r="CF63" i="9"/>
  <c r="CG63" i="9"/>
  <c r="CH63" i="9"/>
  <c r="CI63" i="9"/>
  <c r="CJ63" i="9"/>
  <c r="CK63" i="9"/>
  <c r="CL63" i="9"/>
  <c r="CM63" i="9"/>
  <c r="CN63" i="9"/>
  <c r="CO63" i="9"/>
  <c r="CP63" i="9"/>
  <c r="CQ63" i="9"/>
  <c r="CR63" i="9"/>
  <c r="CS63" i="9"/>
  <c r="BV64" i="9"/>
  <c r="BW64" i="9"/>
  <c r="BX64" i="9"/>
  <c r="BY64" i="9"/>
  <c r="BZ64" i="9"/>
  <c r="CA64" i="9"/>
  <c r="CB64" i="9"/>
  <c r="CC64" i="9"/>
  <c r="CD64" i="9"/>
  <c r="CE64" i="9"/>
  <c r="CF64" i="9"/>
  <c r="CG64" i="9"/>
  <c r="CH64" i="9"/>
  <c r="CI64" i="9"/>
  <c r="CJ64" i="9"/>
  <c r="CK64" i="9"/>
  <c r="CL64" i="9"/>
  <c r="CM64" i="9"/>
  <c r="CN64" i="9"/>
  <c r="CO64" i="9"/>
  <c r="CP64" i="9"/>
  <c r="CQ64" i="9"/>
  <c r="CR64" i="9"/>
  <c r="CS64" i="9"/>
  <c r="BV65" i="9"/>
  <c r="BW65" i="9"/>
  <c r="BX65" i="9"/>
  <c r="BY65" i="9"/>
  <c r="BZ65" i="9"/>
  <c r="CA65" i="9"/>
  <c r="CB65" i="9"/>
  <c r="CC65" i="9"/>
  <c r="CD65" i="9"/>
  <c r="CE65" i="9"/>
  <c r="CF65" i="9"/>
  <c r="CG65" i="9"/>
  <c r="CH65" i="9"/>
  <c r="CI65" i="9"/>
  <c r="CJ65" i="9"/>
  <c r="CK65" i="9"/>
  <c r="CL65" i="9"/>
  <c r="CM65" i="9"/>
  <c r="CN65" i="9"/>
  <c r="CO65" i="9"/>
  <c r="CP65" i="9"/>
  <c r="CQ65" i="9"/>
  <c r="CR65" i="9"/>
  <c r="CS65" i="9"/>
  <c r="BV66" i="9"/>
  <c r="BW66" i="9"/>
  <c r="BX66" i="9"/>
  <c r="BY66" i="9"/>
  <c r="BZ66" i="9"/>
  <c r="CA66" i="9"/>
  <c r="CB66" i="9"/>
  <c r="CC66" i="9"/>
  <c r="CD66" i="9"/>
  <c r="CE66" i="9"/>
  <c r="CF66" i="9"/>
  <c r="CG66" i="9"/>
  <c r="CH66" i="9"/>
  <c r="CI66" i="9"/>
  <c r="CJ66" i="9"/>
  <c r="CK66" i="9"/>
  <c r="CL66" i="9"/>
  <c r="CM66" i="9"/>
  <c r="CN66" i="9"/>
  <c r="CO66" i="9"/>
  <c r="CP66" i="9"/>
  <c r="CQ66" i="9"/>
  <c r="CR66" i="9"/>
  <c r="CS66" i="9"/>
  <c r="BV67" i="9"/>
  <c r="BW67" i="9"/>
  <c r="BX67" i="9"/>
  <c r="BY67" i="9"/>
  <c r="BZ67" i="9"/>
  <c r="CA67" i="9"/>
  <c r="CB67" i="9"/>
  <c r="CC67" i="9"/>
  <c r="CD67" i="9"/>
  <c r="CE67" i="9"/>
  <c r="CF67" i="9"/>
  <c r="CG67" i="9"/>
  <c r="CH67" i="9"/>
  <c r="CI67" i="9"/>
  <c r="CJ67" i="9"/>
  <c r="CK67" i="9"/>
  <c r="CL67" i="9"/>
  <c r="CM67" i="9"/>
  <c r="CN67" i="9"/>
  <c r="CO67" i="9"/>
  <c r="CP67" i="9"/>
  <c r="CQ67" i="9"/>
  <c r="CR67" i="9"/>
  <c r="CS67" i="9"/>
  <c r="BV68" i="9"/>
  <c r="BW68" i="9"/>
  <c r="BX68" i="9"/>
  <c r="BY68" i="9"/>
  <c r="BZ68" i="9"/>
  <c r="CA68" i="9"/>
  <c r="CB68" i="9"/>
  <c r="CC68" i="9"/>
  <c r="CD68" i="9"/>
  <c r="CE68" i="9"/>
  <c r="CF68" i="9"/>
  <c r="CG68" i="9"/>
  <c r="CH68" i="9"/>
  <c r="CI68" i="9"/>
  <c r="CJ68" i="9"/>
  <c r="CK68" i="9"/>
  <c r="CL68" i="9"/>
  <c r="CM68" i="9"/>
  <c r="CN68" i="9"/>
  <c r="CO68" i="9"/>
  <c r="CP68" i="9"/>
  <c r="CQ68" i="9"/>
  <c r="CR68" i="9"/>
  <c r="CS68" i="9"/>
  <c r="BV69" i="9"/>
  <c r="BW69" i="9"/>
  <c r="BX69" i="9"/>
  <c r="BY69" i="9"/>
  <c r="BZ69" i="9"/>
  <c r="CA69" i="9"/>
  <c r="CB69" i="9"/>
  <c r="CC69" i="9"/>
  <c r="CD69" i="9"/>
  <c r="CE69" i="9"/>
  <c r="CF69" i="9"/>
  <c r="CG69" i="9"/>
  <c r="CH69" i="9"/>
  <c r="CI69" i="9"/>
  <c r="CJ69" i="9"/>
  <c r="CK69" i="9"/>
  <c r="CL69" i="9"/>
  <c r="CM69" i="9"/>
  <c r="CN69" i="9"/>
  <c r="CO69" i="9"/>
  <c r="CP69" i="9"/>
  <c r="CQ69" i="9"/>
  <c r="CR69" i="9"/>
  <c r="CS69" i="9"/>
  <c r="BV70" i="9"/>
  <c r="BW70" i="9"/>
  <c r="BX70" i="9"/>
  <c r="BY70" i="9"/>
  <c r="BZ70" i="9"/>
  <c r="CA70" i="9"/>
  <c r="CB70" i="9"/>
  <c r="CC70" i="9"/>
  <c r="CD70" i="9"/>
  <c r="CE70" i="9"/>
  <c r="CF70" i="9"/>
  <c r="CG70" i="9"/>
  <c r="CH70" i="9"/>
  <c r="CI70" i="9"/>
  <c r="CJ70" i="9"/>
  <c r="CK70" i="9"/>
  <c r="CL70" i="9"/>
  <c r="CM70" i="9"/>
  <c r="CN70" i="9"/>
  <c r="CO70" i="9"/>
  <c r="CP70" i="9"/>
  <c r="CQ70" i="9"/>
  <c r="CR70" i="9"/>
  <c r="CS70" i="9"/>
  <c r="BV71" i="9"/>
  <c r="BW71" i="9"/>
  <c r="BX71" i="9"/>
  <c r="BY71" i="9"/>
  <c r="BZ71" i="9"/>
  <c r="CA71" i="9"/>
  <c r="CB71" i="9"/>
  <c r="CC71" i="9"/>
  <c r="CD71" i="9"/>
  <c r="CE71" i="9"/>
  <c r="CF71" i="9"/>
  <c r="CG71" i="9"/>
  <c r="CH71" i="9"/>
  <c r="CI71" i="9"/>
  <c r="CJ71" i="9"/>
  <c r="CK71" i="9"/>
  <c r="CL71" i="9"/>
  <c r="CM71" i="9"/>
  <c r="CN71" i="9"/>
  <c r="CO71" i="9"/>
  <c r="CP71" i="9"/>
  <c r="CQ71" i="9"/>
  <c r="CR71" i="9"/>
  <c r="CS71" i="9"/>
  <c r="BV72" i="9"/>
  <c r="BW72" i="9"/>
  <c r="BX72" i="9"/>
  <c r="BY72" i="9"/>
  <c r="BZ72" i="9"/>
  <c r="CA72" i="9"/>
  <c r="CB72" i="9"/>
  <c r="CC72" i="9"/>
  <c r="CD72" i="9"/>
  <c r="CE72" i="9"/>
  <c r="CF72" i="9"/>
  <c r="CG72" i="9"/>
  <c r="CH72" i="9"/>
  <c r="CI72" i="9"/>
  <c r="CJ72" i="9"/>
  <c r="CK72" i="9"/>
  <c r="CL72" i="9"/>
  <c r="CM72" i="9"/>
  <c r="CN72" i="9"/>
  <c r="CO72" i="9"/>
  <c r="CP72" i="9"/>
  <c r="CQ72" i="9"/>
  <c r="CR72" i="9"/>
  <c r="CS72" i="9"/>
  <c r="BV73" i="9"/>
  <c r="BW73" i="9"/>
  <c r="BX73" i="9"/>
  <c r="BY73" i="9"/>
  <c r="BZ73" i="9"/>
  <c r="CA73" i="9"/>
  <c r="CB73" i="9"/>
  <c r="CC73" i="9"/>
  <c r="CD73" i="9"/>
  <c r="CE73" i="9"/>
  <c r="CF73" i="9"/>
  <c r="CG73" i="9"/>
  <c r="CH73" i="9"/>
  <c r="CI73" i="9"/>
  <c r="CJ73" i="9"/>
  <c r="CK73" i="9"/>
  <c r="CL73" i="9"/>
  <c r="CM73" i="9"/>
  <c r="CN73" i="9"/>
  <c r="CO73" i="9"/>
  <c r="CP73" i="9"/>
  <c r="CQ73" i="9"/>
  <c r="CR73" i="9"/>
  <c r="CS73" i="9"/>
  <c r="BV74" i="9"/>
  <c r="BW74" i="9"/>
  <c r="BX74" i="9"/>
  <c r="BY74" i="9"/>
  <c r="BZ74" i="9"/>
  <c r="CA74" i="9"/>
  <c r="CB74" i="9"/>
  <c r="CC74" i="9"/>
  <c r="CD74" i="9"/>
  <c r="CE74" i="9"/>
  <c r="CF74" i="9"/>
  <c r="CG74" i="9"/>
  <c r="CH74" i="9"/>
  <c r="CI74" i="9"/>
  <c r="CJ74" i="9"/>
  <c r="CK74" i="9"/>
  <c r="CL74" i="9"/>
  <c r="CM74" i="9"/>
  <c r="CN74" i="9"/>
  <c r="CO74" i="9"/>
  <c r="CP74" i="9"/>
  <c r="CQ74" i="9"/>
  <c r="CR74" i="9"/>
  <c r="CS74" i="9"/>
  <c r="BV75" i="9"/>
  <c r="BW75" i="9"/>
  <c r="BX75" i="9"/>
  <c r="BY75" i="9"/>
  <c r="BZ75" i="9"/>
  <c r="CA75" i="9"/>
  <c r="CB75" i="9"/>
  <c r="CC75" i="9"/>
  <c r="CD75" i="9"/>
  <c r="CE75" i="9"/>
  <c r="CF75" i="9"/>
  <c r="CG75" i="9"/>
  <c r="CH75" i="9"/>
  <c r="CI75" i="9"/>
  <c r="CJ75" i="9"/>
  <c r="CK75" i="9"/>
  <c r="CL75" i="9"/>
  <c r="CM75" i="9"/>
  <c r="CN75" i="9"/>
  <c r="CO75" i="9"/>
  <c r="CP75" i="9"/>
  <c r="CQ75" i="9"/>
  <c r="CR75" i="9"/>
  <c r="CS75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K5" i="7"/>
  <c r="L5" i="7"/>
  <c r="M5" i="7"/>
  <c r="K6" i="7"/>
  <c r="L6" i="7"/>
  <c r="M6" i="7"/>
  <c r="K7" i="7"/>
  <c r="L7" i="7"/>
  <c r="M7" i="7"/>
  <c r="K8" i="7"/>
  <c r="L8" i="7"/>
  <c r="M8" i="7"/>
  <c r="K9" i="7"/>
  <c r="L9" i="7"/>
  <c r="M9" i="7"/>
  <c r="K10" i="7"/>
  <c r="L10" i="7"/>
  <c r="M10" i="7"/>
  <c r="K11" i="7"/>
  <c r="L11" i="7"/>
  <c r="M11" i="7"/>
  <c r="K12" i="7"/>
  <c r="L12" i="7"/>
  <c r="M12" i="7"/>
  <c r="K13" i="7"/>
  <c r="L13" i="7"/>
  <c r="M13" i="7"/>
  <c r="K14" i="7"/>
  <c r="L14" i="7"/>
  <c r="M14" i="7"/>
  <c r="K15" i="7"/>
  <c r="L15" i="7"/>
  <c r="M15" i="7"/>
  <c r="K16" i="7"/>
  <c r="L16" i="7"/>
  <c r="M16" i="7"/>
  <c r="K17" i="7"/>
  <c r="L17" i="7"/>
  <c r="M17" i="7"/>
  <c r="K18" i="7"/>
  <c r="L18" i="7"/>
  <c r="M18" i="7"/>
  <c r="K19" i="7"/>
  <c r="L19" i="7"/>
  <c r="M19" i="7"/>
  <c r="K20" i="7"/>
  <c r="L20" i="7"/>
  <c r="M20" i="7"/>
  <c r="K21" i="7"/>
  <c r="L21" i="7"/>
  <c r="M21" i="7"/>
  <c r="K22" i="7"/>
  <c r="L22" i="7"/>
  <c r="M22" i="7"/>
  <c r="K23" i="7"/>
  <c r="L23" i="7"/>
  <c r="M23" i="7"/>
  <c r="K24" i="7"/>
  <c r="L24" i="7"/>
  <c r="M24" i="7"/>
  <c r="K25" i="7"/>
  <c r="L25" i="7"/>
  <c r="M25" i="7"/>
  <c r="K26" i="7"/>
  <c r="L26" i="7"/>
  <c r="M26" i="7"/>
  <c r="K27" i="7"/>
  <c r="L27" i="7"/>
  <c r="M27" i="7"/>
  <c r="K28" i="7"/>
  <c r="L28" i="7"/>
  <c r="M28" i="7"/>
  <c r="K29" i="7"/>
  <c r="L29" i="7"/>
  <c r="M29" i="7"/>
  <c r="K30" i="7"/>
  <c r="L30" i="7"/>
  <c r="M30" i="7"/>
  <c r="K31" i="7"/>
  <c r="L31" i="7"/>
  <c r="M31" i="7"/>
  <c r="K32" i="7"/>
  <c r="L32" i="7"/>
  <c r="M32" i="7"/>
  <c r="K33" i="7"/>
  <c r="L33" i="7"/>
  <c r="M33" i="7"/>
  <c r="K34" i="7"/>
  <c r="L34" i="7"/>
  <c r="M34" i="7"/>
  <c r="K35" i="7"/>
  <c r="L35" i="7"/>
  <c r="M35" i="7"/>
  <c r="K36" i="7"/>
  <c r="L36" i="7"/>
  <c r="M36" i="7"/>
  <c r="K37" i="7"/>
  <c r="L37" i="7"/>
  <c r="M37" i="7"/>
  <c r="K38" i="7"/>
  <c r="L38" i="7"/>
  <c r="M38" i="7"/>
  <c r="K39" i="7"/>
  <c r="L39" i="7"/>
  <c r="M39" i="7"/>
  <c r="K40" i="7"/>
  <c r="L40" i="7"/>
  <c r="M40" i="7"/>
  <c r="K41" i="7"/>
  <c r="L41" i="7"/>
  <c r="M41" i="7"/>
  <c r="K42" i="7"/>
  <c r="L42" i="7"/>
  <c r="M42" i="7"/>
  <c r="K43" i="7"/>
  <c r="L43" i="7"/>
  <c r="M43" i="7"/>
  <c r="K44" i="7"/>
  <c r="L44" i="7"/>
  <c r="M44" i="7"/>
  <c r="K45" i="7"/>
  <c r="L45" i="7"/>
  <c r="M45" i="7"/>
  <c r="K46" i="7"/>
  <c r="L46" i="7"/>
  <c r="M46" i="7"/>
  <c r="K47" i="7"/>
  <c r="L47" i="7"/>
  <c r="M47" i="7"/>
  <c r="K48" i="7"/>
  <c r="L48" i="7"/>
  <c r="M48" i="7"/>
  <c r="K49" i="7"/>
  <c r="L49" i="7"/>
  <c r="M49" i="7"/>
  <c r="K50" i="7"/>
  <c r="L50" i="7"/>
  <c r="M50" i="7"/>
  <c r="K51" i="7"/>
  <c r="L51" i="7"/>
  <c r="M51" i="7"/>
  <c r="K52" i="7"/>
  <c r="L52" i="7"/>
  <c r="M52" i="7"/>
  <c r="K53" i="7"/>
  <c r="L53" i="7"/>
  <c r="M53" i="7"/>
  <c r="K54" i="7"/>
  <c r="L54" i="7"/>
  <c r="M54" i="7"/>
  <c r="K55" i="7"/>
  <c r="L55" i="7"/>
  <c r="M55" i="7"/>
  <c r="K56" i="7"/>
  <c r="L56" i="7"/>
  <c r="M56" i="7"/>
  <c r="K57" i="7"/>
  <c r="L57" i="7"/>
  <c r="M57" i="7"/>
  <c r="K58" i="7"/>
  <c r="L58" i="7"/>
  <c r="M58" i="7"/>
  <c r="K59" i="7"/>
  <c r="L59" i="7"/>
  <c r="M59" i="7"/>
  <c r="K60" i="7"/>
  <c r="L60" i="7"/>
  <c r="M60" i="7"/>
  <c r="K61" i="7"/>
  <c r="L61" i="7"/>
  <c r="M61" i="7"/>
  <c r="K62" i="7"/>
  <c r="L62" i="7"/>
  <c r="M62" i="7"/>
  <c r="K63" i="7"/>
  <c r="L63" i="7"/>
  <c r="M63" i="7"/>
  <c r="K64" i="7"/>
  <c r="L64" i="7"/>
  <c r="M64" i="7"/>
  <c r="K65" i="7"/>
  <c r="L65" i="7"/>
  <c r="M65" i="7"/>
  <c r="K66" i="7"/>
  <c r="L66" i="7"/>
  <c r="M66" i="7"/>
  <c r="K67" i="7"/>
  <c r="L67" i="7"/>
  <c r="M67" i="7"/>
  <c r="K68" i="7"/>
  <c r="L68" i="7"/>
  <c r="M68" i="7"/>
  <c r="K69" i="7"/>
  <c r="L69" i="7"/>
  <c r="M69" i="7"/>
  <c r="K70" i="7"/>
  <c r="L70" i="7"/>
  <c r="M70" i="7"/>
  <c r="K71" i="7"/>
  <c r="L71" i="7"/>
  <c r="M71" i="7"/>
  <c r="K72" i="7"/>
  <c r="L72" i="7"/>
  <c r="M72" i="7"/>
  <c r="K73" i="7"/>
  <c r="L73" i="7"/>
  <c r="M73" i="7"/>
  <c r="K74" i="7"/>
  <c r="L74" i="7"/>
  <c r="M74" i="7"/>
  <c r="K75" i="7"/>
  <c r="L75" i="7"/>
  <c r="M75" i="7"/>
  <c r="L4" i="7"/>
  <c r="M4" i="7"/>
  <c r="K4" i="7"/>
  <c r="AW76" i="9"/>
  <c r="AV76" i="9"/>
  <c r="AU76" i="9"/>
  <c r="AT76" i="9"/>
  <c r="AS76" i="9"/>
  <c r="AR76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M76" i="7"/>
  <c r="L76" i="7"/>
  <c r="K76" i="7"/>
  <c r="E8" i="2"/>
  <c r="E10" i="2"/>
  <c r="E13" i="2"/>
  <c r="E28" i="2"/>
  <c r="N5" i="7"/>
  <c r="O5" i="7"/>
  <c r="P5" i="7"/>
  <c r="N6" i="7"/>
  <c r="O6" i="7"/>
  <c r="P6" i="7"/>
  <c r="N7" i="7"/>
  <c r="O7" i="7"/>
  <c r="P7" i="7"/>
  <c r="N8" i="7"/>
  <c r="O8" i="7"/>
  <c r="P8" i="7"/>
  <c r="N9" i="7"/>
  <c r="O9" i="7"/>
  <c r="P9" i="7"/>
  <c r="N10" i="7"/>
  <c r="O10" i="7"/>
  <c r="P10" i="7"/>
  <c r="N11" i="7"/>
  <c r="O11" i="7"/>
  <c r="P11" i="7"/>
  <c r="N12" i="7"/>
  <c r="O12" i="7"/>
  <c r="P12" i="7"/>
  <c r="N13" i="7"/>
  <c r="O13" i="7"/>
  <c r="P13" i="7"/>
  <c r="N14" i="7"/>
  <c r="O14" i="7"/>
  <c r="P14" i="7"/>
  <c r="N15" i="7"/>
  <c r="O15" i="7"/>
  <c r="P15" i="7"/>
  <c r="N16" i="7"/>
  <c r="O16" i="7"/>
  <c r="P16" i="7"/>
  <c r="N17" i="7"/>
  <c r="O17" i="7"/>
  <c r="P17" i="7"/>
  <c r="N18" i="7"/>
  <c r="O18" i="7"/>
  <c r="P18" i="7"/>
  <c r="N19" i="7"/>
  <c r="O19" i="7"/>
  <c r="P19" i="7"/>
  <c r="N20" i="7"/>
  <c r="O20" i="7"/>
  <c r="P20" i="7"/>
  <c r="N21" i="7"/>
  <c r="O21" i="7"/>
  <c r="P21" i="7"/>
  <c r="N22" i="7"/>
  <c r="O22" i="7"/>
  <c r="P22" i="7"/>
  <c r="N23" i="7"/>
  <c r="O23" i="7"/>
  <c r="P23" i="7"/>
  <c r="N24" i="7"/>
  <c r="O24" i="7"/>
  <c r="P24" i="7"/>
  <c r="N25" i="7"/>
  <c r="O25" i="7"/>
  <c r="P25" i="7"/>
  <c r="N26" i="7"/>
  <c r="O26" i="7"/>
  <c r="P26" i="7"/>
  <c r="N27" i="7"/>
  <c r="O27" i="7"/>
  <c r="P27" i="7"/>
  <c r="N28" i="7"/>
  <c r="O28" i="7"/>
  <c r="P28" i="7"/>
  <c r="N29" i="7"/>
  <c r="O29" i="7"/>
  <c r="P29" i="7"/>
  <c r="N30" i="7"/>
  <c r="O30" i="7"/>
  <c r="P30" i="7"/>
  <c r="N31" i="7"/>
  <c r="O31" i="7"/>
  <c r="P31" i="7"/>
  <c r="N32" i="7"/>
  <c r="O32" i="7"/>
  <c r="P32" i="7"/>
  <c r="N33" i="7"/>
  <c r="O33" i="7"/>
  <c r="P33" i="7"/>
  <c r="N34" i="7"/>
  <c r="O34" i="7"/>
  <c r="P34" i="7"/>
  <c r="N35" i="7"/>
  <c r="O35" i="7"/>
  <c r="P35" i="7"/>
  <c r="N36" i="7"/>
  <c r="O36" i="7"/>
  <c r="P36" i="7"/>
  <c r="N37" i="7"/>
  <c r="O37" i="7"/>
  <c r="P37" i="7"/>
  <c r="N38" i="7"/>
  <c r="O38" i="7"/>
  <c r="P38" i="7"/>
  <c r="N39" i="7"/>
  <c r="O39" i="7"/>
  <c r="P39" i="7"/>
  <c r="N40" i="7"/>
  <c r="O40" i="7"/>
  <c r="P40" i="7"/>
  <c r="N41" i="7"/>
  <c r="O41" i="7"/>
  <c r="P41" i="7"/>
  <c r="N42" i="7"/>
  <c r="O42" i="7"/>
  <c r="P42" i="7"/>
  <c r="N43" i="7"/>
  <c r="O43" i="7"/>
  <c r="P43" i="7"/>
  <c r="N44" i="7"/>
  <c r="O44" i="7"/>
  <c r="P44" i="7"/>
  <c r="N45" i="7"/>
  <c r="O45" i="7"/>
  <c r="P45" i="7"/>
  <c r="N46" i="7"/>
  <c r="O46" i="7"/>
  <c r="P46" i="7"/>
  <c r="N47" i="7"/>
  <c r="O47" i="7"/>
  <c r="P47" i="7"/>
  <c r="N48" i="7"/>
  <c r="O48" i="7"/>
  <c r="P48" i="7"/>
  <c r="N49" i="7"/>
  <c r="O49" i="7"/>
  <c r="P49" i="7"/>
  <c r="N50" i="7"/>
  <c r="O50" i="7"/>
  <c r="P50" i="7"/>
  <c r="N51" i="7"/>
  <c r="O51" i="7"/>
  <c r="P51" i="7"/>
  <c r="N52" i="7"/>
  <c r="O52" i="7"/>
  <c r="P52" i="7"/>
  <c r="N53" i="7"/>
  <c r="O53" i="7"/>
  <c r="P53" i="7"/>
  <c r="N54" i="7"/>
  <c r="O54" i="7"/>
  <c r="P54" i="7"/>
  <c r="N55" i="7"/>
  <c r="O55" i="7"/>
  <c r="P55" i="7"/>
  <c r="N56" i="7"/>
  <c r="O56" i="7"/>
  <c r="P56" i="7"/>
  <c r="N57" i="7"/>
  <c r="O57" i="7"/>
  <c r="P57" i="7"/>
  <c r="N58" i="7"/>
  <c r="O58" i="7"/>
  <c r="P58" i="7"/>
  <c r="N59" i="7"/>
  <c r="O59" i="7"/>
  <c r="P59" i="7"/>
  <c r="N60" i="7"/>
  <c r="O60" i="7"/>
  <c r="P60" i="7"/>
  <c r="N61" i="7"/>
  <c r="O61" i="7"/>
  <c r="P61" i="7"/>
  <c r="N62" i="7"/>
  <c r="O62" i="7"/>
  <c r="P62" i="7"/>
  <c r="N63" i="7"/>
  <c r="O63" i="7"/>
  <c r="P63" i="7"/>
  <c r="N64" i="7"/>
  <c r="O64" i="7"/>
  <c r="P64" i="7"/>
  <c r="N65" i="7"/>
  <c r="O65" i="7"/>
  <c r="P65" i="7"/>
  <c r="N66" i="7"/>
  <c r="O66" i="7"/>
  <c r="P66" i="7"/>
  <c r="N67" i="7"/>
  <c r="O67" i="7"/>
  <c r="P67" i="7"/>
  <c r="N68" i="7"/>
  <c r="O68" i="7"/>
  <c r="P68" i="7"/>
  <c r="N69" i="7"/>
  <c r="O69" i="7"/>
  <c r="P69" i="7"/>
  <c r="N70" i="7"/>
  <c r="O70" i="7"/>
  <c r="P70" i="7"/>
  <c r="N71" i="7"/>
  <c r="O71" i="7"/>
  <c r="P71" i="7"/>
  <c r="N72" i="7"/>
  <c r="O72" i="7"/>
  <c r="P72" i="7"/>
  <c r="N73" i="7"/>
  <c r="O73" i="7"/>
  <c r="P73" i="7"/>
  <c r="N74" i="7"/>
  <c r="O74" i="7"/>
  <c r="P74" i="7"/>
  <c r="N75" i="7"/>
  <c r="O75" i="7"/>
  <c r="P75" i="7"/>
  <c r="O4" i="7"/>
  <c r="P4" i="7"/>
  <c r="N4" i="7"/>
  <c r="E12" i="2"/>
  <c r="E17" i="2"/>
  <c r="E22" i="2"/>
  <c r="E24" i="2"/>
  <c r="E26" i="2"/>
  <c r="B2" i="5"/>
  <c r="G76" i="7"/>
  <c r="F76" i="7"/>
  <c r="E76" i="7"/>
  <c r="D76" i="7"/>
  <c r="C76" i="7"/>
  <c r="B76" i="7"/>
  <c r="AD77" i="4"/>
  <c r="W5" i="4"/>
  <c r="X5" i="4"/>
  <c r="AC5" i="4"/>
  <c r="W6" i="4"/>
  <c r="X6" i="4"/>
  <c r="AC6" i="4"/>
  <c r="W7" i="4"/>
  <c r="X7" i="4"/>
  <c r="AC7" i="4"/>
  <c r="W8" i="4"/>
  <c r="X8" i="4"/>
  <c r="AC8" i="4"/>
  <c r="W9" i="4"/>
  <c r="X9" i="4"/>
  <c r="AC9" i="4"/>
  <c r="W10" i="4"/>
  <c r="X10" i="4"/>
  <c r="AC10" i="4"/>
  <c r="W11" i="4"/>
  <c r="X11" i="4"/>
  <c r="AC11" i="4"/>
  <c r="W12" i="4"/>
  <c r="X12" i="4"/>
  <c r="AC12" i="4"/>
  <c r="W13" i="4"/>
  <c r="X13" i="4"/>
  <c r="AC13" i="4"/>
  <c r="W14" i="4"/>
  <c r="X14" i="4"/>
  <c r="AC14" i="4"/>
  <c r="W15" i="4"/>
  <c r="X15" i="4"/>
  <c r="AC15" i="4"/>
  <c r="W16" i="4"/>
  <c r="X16" i="4"/>
  <c r="AC16" i="4"/>
  <c r="W17" i="4"/>
  <c r="X17" i="4"/>
  <c r="AC17" i="4"/>
  <c r="W18" i="4"/>
  <c r="X18" i="4"/>
  <c r="AC18" i="4"/>
  <c r="W19" i="4"/>
  <c r="X19" i="4"/>
  <c r="AC19" i="4"/>
  <c r="W20" i="4"/>
  <c r="X20" i="4"/>
  <c r="AC20" i="4"/>
  <c r="W21" i="4"/>
  <c r="X21" i="4"/>
  <c r="AC21" i="4"/>
  <c r="W22" i="4"/>
  <c r="X22" i="4"/>
  <c r="AC22" i="4"/>
  <c r="W23" i="4"/>
  <c r="X23" i="4"/>
  <c r="AC23" i="4"/>
  <c r="W24" i="4"/>
  <c r="X24" i="4"/>
  <c r="AC24" i="4"/>
  <c r="W25" i="4"/>
  <c r="X25" i="4"/>
  <c r="AC25" i="4"/>
  <c r="W26" i="4"/>
  <c r="X26" i="4"/>
  <c r="AC26" i="4"/>
  <c r="W27" i="4"/>
  <c r="X27" i="4"/>
  <c r="AC27" i="4"/>
  <c r="W28" i="4"/>
  <c r="X28" i="4"/>
  <c r="AC28" i="4"/>
  <c r="W29" i="4"/>
  <c r="X29" i="4"/>
  <c r="AC29" i="4"/>
  <c r="W30" i="4"/>
  <c r="X30" i="4"/>
  <c r="AC30" i="4"/>
  <c r="E31" i="4"/>
  <c r="W31" i="4"/>
  <c r="X31" i="4"/>
  <c r="AC31" i="4"/>
  <c r="W32" i="4"/>
  <c r="X32" i="4"/>
  <c r="AC32" i="4"/>
  <c r="W33" i="4"/>
  <c r="X33" i="4"/>
  <c r="AC33" i="4"/>
  <c r="W34" i="4"/>
  <c r="X34" i="4"/>
  <c r="AC34" i="4"/>
  <c r="W35" i="4"/>
  <c r="X35" i="4"/>
  <c r="AC35" i="4"/>
  <c r="W36" i="4"/>
  <c r="X36" i="4"/>
  <c r="AC36" i="4"/>
  <c r="W37" i="4"/>
  <c r="X37" i="4"/>
  <c r="AC37" i="4"/>
  <c r="W38" i="4"/>
  <c r="X38" i="4"/>
  <c r="AC38" i="4"/>
  <c r="W39" i="4"/>
  <c r="X39" i="4"/>
  <c r="AC39" i="4"/>
  <c r="W40" i="4"/>
  <c r="X40" i="4"/>
  <c r="AC40" i="4"/>
  <c r="W41" i="4"/>
  <c r="X41" i="4"/>
  <c r="AC41" i="4"/>
  <c r="W42" i="4"/>
  <c r="X42" i="4"/>
  <c r="AC42" i="4"/>
  <c r="W43" i="4"/>
  <c r="X43" i="4"/>
  <c r="AC43" i="4"/>
  <c r="W44" i="4"/>
  <c r="X44" i="4"/>
  <c r="AC44" i="4"/>
  <c r="W45" i="4"/>
  <c r="X45" i="4"/>
  <c r="AC45" i="4"/>
  <c r="W46" i="4"/>
  <c r="X46" i="4"/>
  <c r="AC46" i="4"/>
  <c r="W47" i="4"/>
  <c r="X47" i="4"/>
  <c r="AC47" i="4"/>
  <c r="W48" i="4"/>
  <c r="X48" i="4"/>
  <c r="AC48" i="4"/>
  <c r="W49" i="4"/>
  <c r="X49" i="4"/>
  <c r="AC49" i="4"/>
  <c r="W50" i="4"/>
  <c r="X50" i="4"/>
  <c r="AC50" i="4"/>
  <c r="W51" i="4"/>
  <c r="X51" i="4"/>
  <c r="AC51" i="4"/>
  <c r="W52" i="4"/>
  <c r="X52" i="4"/>
  <c r="AC52" i="4"/>
  <c r="W53" i="4"/>
  <c r="X53" i="4"/>
  <c r="AC53" i="4"/>
  <c r="W54" i="4"/>
  <c r="X54" i="4"/>
  <c r="AC54" i="4"/>
  <c r="W55" i="4"/>
  <c r="X55" i="4"/>
  <c r="AC55" i="4"/>
  <c r="W56" i="4"/>
  <c r="X56" i="4"/>
  <c r="AC56" i="4"/>
  <c r="W57" i="4"/>
  <c r="X57" i="4"/>
  <c r="AC57" i="4"/>
  <c r="W58" i="4"/>
  <c r="X58" i="4"/>
  <c r="AC58" i="4"/>
  <c r="W59" i="4"/>
  <c r="X59" i="4"/>
  <c r="AC59" i="4"/>
  <c r="W60" i="4"/>
  <c r="X60" i="4"/>
  <c r="AC60" i="4"/>
  <c r="W61" i="4"/>
  <c r="X61" i="4"/>
  <c r="AC61" i="4"/>
  <c r="W62" i="4"/>
  <c r="X62" i="4"/>
  <c r="AC62" i="4"/>
  <c r="W63" i="4"/>
  <c r="X63" i="4"/>
  <c r="AC63" i="4"/>
  <c r="W64" i="4"/>
  <c r="X64" i="4"/>
  <c r="AC64" i="4"/>
  <c r="W65" i="4"/>
  <c r="X65" i="4"/>
  <c r="AC65" i="4"/>
  <c r="W66" i="4"/>
  <c r="X66" i="4"/>
  <c r="AC66" i="4"/>
  <c r="W67" i="4"/>
  <c r="X67" i="4"/>
  <c r="AC67" i="4"/>
  <c r="W68" i="4"/>
  <c r="X68" i="4"/>
  <c r="AC68" i="4"/>
  <c r="W69" i="4"/>
  <c r="X69" i="4"/>
  <c r="AC69" i="4"/>
  <c r="W70" i="4"/>
  <c r="X70" i="4"/>
  <c r="AC70" i="4"/>
  <c r="W71" i="4"/>
  <c r="X71" i="4"/>
  <c r="AC71" i="4"/>
  <c r="W72" i="4"/>
  <c r="X72" i="4"/>
  <c r="AC72" i="4"/>
  <c r="W73" i="4"/>
  <c r="X73" i="4"/>
  <c r="AC73" i="4"/>
  <c r="W74" i="4"/>
  <c r="X74" i="4"/>
  <c r="W75" i="4"/>
  <c r="X75" i="4"/>
  <c r="AC75" i="4"/>
  <c r="W76" i="4"/>
  <c r="X76" i="4"/>
  <c r="AC76" i="4"/>
  <c r="V5" i="4"/>
  <c r="AB5" i="4"/>
  <c r="V6" i="4"/>
  <c r="AB6" i="4"/>
  <c r="V7" i="4"/>
  <c r="AB7" i="4"/>
  <c r="V8" i="4"/>
  <c r="AB8" i="4"/>
  <c r="V9" i="4"/>
  <c r="AB9" i="4"/>
  <c r="V10" i="4"/>
  <c r="AB10" i="4"/>
  <c r="V11" i="4"/>
  <c r="AB11" i="4"/>
  <c r="V12" i="4"/>
  <c r="AB12" i="4"/>
  <c r="V13" i="4"/>
  <c r="AB13" i="4"/>
  <c r="V14" i="4"/>
  <c r="AB14" i="4"/>
  <c r="V15" i="4"/>
  <c r="AB15" i="4"/>
  <c r="V16" i="4"/>
  <c r="AB16" i="4"/>
  <c r="V17" i="4"/>
  <c r="AB17" i="4"/>
  <c r="V18" i="4"/>
  <c r="AB18" i="4"/>
  <c r="V19" i="4"/>
  <c r="AB19" i="4"/>
  <c r="V20" i="4"/>
  <c r="AB20" i="4"/>
  <c r="V21" i="4"/>
  <c r="AB21" i="4"/>
  <c r="V22" i="4"/>
  <c r="AB22" i="4"/>
  <c r="V23" i="4"/>
  <c r="AB23" i="4"/>
  <c r="V24" i="4"/>
  <c r="AB24" i="4"/>
  <c r="V25" i="4"/>
  <c r="AB25" i="4"/>
  <c r="V26" i="4"/>
  <c r="AB26" i="4"/>
  <c r="V27" i="4"/>
  <c r="AB27" i="4"/>
  <c r="V28" i="4"/>
  <c r="AB28" i="4"/>
  <c r="V29" i="4"/>
  <c r="AB29" i="4"/>
  <c r="V30" i="4"/>
  <c r="AB30" i="4"/>
  <c r="V31" i="4"/>
  <c r="AB31" i="4"/>
  <c r="V32" i="4"/>
  <c r="AB32" i="4"/>
  <c r="V33" i="4"/>
  <c r="AB33" i="4"/>
  <c r="V34" i="4"/>
  <c r="AB34" i="4"/>
  <c r="V35" i="4"/>
  <c r="AB35" i="4"/>
  <c r="V36" i="4"/>
  <c r="AB36" i="4"/>
  <c r="V37" i="4"/>
  <c r="AB37" i="4"/>
  <c r="V38" i="4"/>
  <c r="AB38" i="4"/>
  <c r="V39" i="4"/>
  <c r="AB39" i="4"/>
  <c r="V40" i="4"/>
  <c r="AB40" i="4"/>
  <c r="V41" i="4"/>
  <c r="AB41" i="4"/>
  <c r="V42" i="4"/>
  <c r="AB42" i="4"/>
  <c r="V43" i="4"/>
  <c r="AB43" i="4"/>
  <c r="V44" i="4"/>
  <c r="AB44" i="4"/>
  <c r="V45" i="4"/>
  <c r="AB45" i="4"/>
  <c r="V46" i="4"/>
  <c r="AB46" i="4"/>
  <c r="V47" i="4"/>
  <c r="AB47" i="4"/>
  <c r="V48" i="4"/>
  <c r="AB48" i="4"/>
  <c r="V49" i="4"/>
  <c r="AB49" i="4"/>
  <c r="V50" i="4"/>
  <c r="AB50" i="4"/>
  <c r="V51" i="4"/>
  <c r="AB51" i="4"/>
  <c r="V52" i="4"/>
  <c r="AB52" i="4"/>
  <c r="V53" i="4"/>
  <c r="AB53" i="4"/>
  <c r="V54" i="4"/>
  <c r="AB54" i="4"/>
  <c r="V55" i="4"/>
  <c r="AB55" i="4"/>
  <c r="V56" i="4"/>
  <c r="AB56" i="4"/>
  <c r="V57" i="4"/>
  <c r="AB57" i="4"/>
  <c r="V58" i="4"/>
  <c r="AB58" i="4"/>
  <c r="V59" i="4"/>
  <c r="AB59" i="4"/>
  <c r="V60" i="4"/>
  <c r="AB60" i="4"/>
  <c r="V61" i="4"/>
  <c r="AB61" i="4"/>
  <c r="V62" i="4"/>
  <c r="AB62" i="4"/>
  <c r="V63" i="4"/>
  <c r="AB63" i="4"/>
  <c r="V64" i="4"/>
  <c r="AB64" i="4"/>
  <c r="V65" i="4"/>
  <c r="AB65" i="4"/>
  <c r="V66" i="4"/>
  <c r="AB66" i="4"/>
  <c r="V67" i="4"/>
  <c r="AB67" i="4"/>
  <c r="V68" i="4"/>
  <c r="AB68" i="4"/>
  <c r="V69" i="4"/>
  <c r="AB69" i="4"/>
  <c r="V70" i="4"/>
  <c r="AB70" i="4"/>
  <c r="V71" i="4"/>
  <c r="AB71" i="4"/>
  <c r="V72" i="4"/>
  <c r="AB72" i="4"/>
  <c r="V73" i="4"/>
  <c r="AB73" i="4"/>
  <c r="V74" i="4"/>
  <c r="AB74" i="4"/>
  <c r="V75" i="4"/>
  <c r="AB75" i="4"/>
  <c r="V76" i="4"/>
  <c r="AB76" i="4"/>
  <c r="AB77" i="4"/>
  <c r="U5" i="4"/>
  <c r="AA5" i="4"/>
  <c r="U6" i="4"/>
  <c r="AA6" i="4"/>
  <c r="U7" i="4"/>
  <c r="AA7" i="4"/>
  <c r="U8" i="4"/>
  <c r="AA8" i="4"/>
  <c r="U9" i="4"/>
  <c r="AA9" i="4"/>
  <c r="U10" i="4"/>
  <c r="AA10" i="4"/>
  <c r="U11" i="4"/>
  <c r="AA11" i="4"/>
  <c r="U12" i="4"/>
  <c r="AA12" i="4"/>
  <c r="U13" i="4"/>
  <c r="AA13" i="4"/>
  <c r="U14" i="4"/>
  <c r="AA14" i="4"/>
  <c r="U15" i="4"/>
  <c r="AA15" i="4"/>
  <c r="U16" i="4"/>
  <c r="AA16" i="4"/>
  <c r="U17" i="4"/>
  <c r="AA17" i="4"/>
  <c r="U18" i="4"/>
  <c r="AA18" i="4"/>
  <c r="U19" i="4"/>
  <c r="AA19" i="4"/>
  <c r="U20" i="4"/>
  <c r="AA20" i="4"/>
  <c r="U21" i="4"/>
  <c r="AA21" i="4"/>
  <c r="U22" i="4"/>
  <c r="AA22" i="4"/>
  <c r="U23" i="4"/>
  <c r="AA23" i="4"/>
  <c r="U24" i="4"/>
  <c r="AA24" i="4"/>
  <c r="U25" i="4"/>
  <c r="AA25" i="4"/>
  <c r="U26" i="4"/>
  <c r="AA26" i="4"/>
  <c r="U27" i="4"/>
  <c r="AA27" i="4"/>
  <c r="U28" i="4"/>
  <c r="AA28" i="4"/>
  <c r="U29" i="4"/>
  <c r="AA29" i="4"/>
  <c r="U30" i="4"/>
  <c r="AA30" i="4"/>
  <c r="U31" i="4"/>
  <c r="AA31" i="4"/>
  <c r="U32" i="4"/>
  <c r="AA32" i="4"/>
  <c r="U33" i="4"/>
  <c r="AA33" i="4"/>
  <c r="U34" i="4"/>
  <c r="AA34" i="4"/>
  <c r="U35" i="4"/>
  <c r="AA35" i="4"/>
  <c r="U36" i="4"/>
  <c r="AA36" i="4"/>
  <c r="U37" i="4"/>
  <c r="AA37" i="4"/>
  <c r="U38" i="4"/>
  <c r="AA38" i="4"/>
  <c r="U39" i="4"/>
  <c r="AA39" i="4"/>
  <c r="U40" i="4"/>
  <c r="AA40" i="4"/>
  <c r="U41" i="4"/>
  <c r="AA41" i="4"/>
  <c r="U42" i="4"/>
  <c r="AA42" i="4"/>
  <c r="U43" i="4"/>
  <c r="AA43" i="4"/>
  <c r="U44" i="4"/>
  <c r="AA44" i="4"/>
  <c r="U45" i="4"/>
  <c r="AA45" i="4"/>
  <c r="U46" i="4"/>
  <c r="AA46" i="4"/>
  <c r="U47" i="4"/>
  <c r="AA47" i="4"/>
  <c r="U48" i="4"/>
  <c r="AA48" i="4"/>
  <c r="U49" i="4"/>
  <c r="AA49" i="4"/>
  <c r="U50" i="4"/>
  <c r="AA50" i="4"/>
  <c r="U51" i="4"/>
  <c r="AA51" i="4"/>
  <c r="U52" i="4"/>
  <c r="AA52" i="4"/>
  <c r="U53" i="4"/>
  <c r="AA53" i="4"/>
  <c r="U54" i="4"/>
  <c r="AA54" i="4"/>
  <c r="U55" i="4"/>
  <c r="AA55" i="4"/>
  <c r="U56" i="4"/>
  <c r="AA56" i="4"/>
  <c r="U57" i="4"/>
  <c r="AA57" i="4"/>
  <c r="U58" i="4"/>
  <c r="AA58" i="4"/>
  <c r="U59" i="4"/>
  <c r="AA59" i="4"/>
  <c r="U60" i="4"/>
  <c r="AA60" i="4"/>
  <c r="U61" i="4"/>
  <c r="AA61" i="4"/>
  <c r="U62" i="4"/>
  <c r="AA62" i="4"/>
  <c r="U63" i="4"/>
  <c r="AA63" i="4"/>
  <c r="U64" i="4"/>
  <c r="AA64" i="4"/>
  <c r="U65" i="4"/>
  <c r="AA65" i="4"/>
  <c r="U66" i="4"/>
  <c r="AA66" i="4"/>
  <c r="U67" i="4"/>
  <c r="AA67" i="4"/>
  <c r="U68" i="4"/>
  <c r="AA68" i="4"/>
  <c r="U69" i="4"/>
  <c r="AA69" i="4"/>
  <c r="U70" i="4"/>
  <c r="AA70" i="4"/>
  <c r="U71" i="4"/>
  <c r="AA71" i="4"/>
  <c r="U72" i="4"/>
  <c r="AA72" i="4"/>
  <c r="U73" i="4"/>
  <c r="AA73" i="4"/>
  <c r="U74" i="4"/>
  <c r="AA74" i="4"/>
  <c r="U75" i="4"/>
  <c r="AA75" i="4"/>
  <c r="U76" i="4"/>
  <c r="AA76" i="4"/>
  <c r="AA77" i="4"/>
  <c r="T5" i="4"/>
  <c r="Y5" i="4"/>
  <c r="S5" i="4"/>
  <c r="M5" i="4"/>
  <c r="Z5" i="4"/>
  <c r="T6" i="4"/>
  <c r="Y6" i="4"/>
  <c r="S6" i="4"/>
  <c r="M6" i="4"/>
  <c r="Z6" i="4"/>
  <c r="T7" i="4"/>
  <c r="Y7" i="4"/>
  <c r="S7" i="4"/>
  <c r="M7" i="4"/>
  <c r="Z7" i="4"/>
  <c r="T8" i="4"/>
  <c r="Y8" i="4"/>
  <c r="S8" i="4"/>
  <c r="M8" i="4"/>
  <c r="Z8" i="4"/>
  <c r="T9" i="4"/>
  <c r="Y9" i="4"/>
  <c r="S9" i="4"/>
  <c r="M9" i="4"/>
  <c r="Z9" i="4"/>
  <c r="T10" i="4"/>
  <c r="Y10" i="4"/>
  <c r="S10" i="4"/>
  <c r="M10" i="4"/>
  <c r="Z10" i="4"/>
  <c r="T11" i="4"/>
  <c r="Y11" i="4"/>
  <c r="S11" i="4"/>
  <c r="M11" i="4"/>
  <c r="Z11" i="4"/>
  <c r="T12" i="4"/>
  <c r="Y12" i="4"/>
  <c r="S12" i="4"/>
  <c r="M12" i="4"/>
  <c r="Z12" i="4"/>
  <c r="T13" i="4"/>
  <c r="Y13" i="4"/>
  <c r="S13" i="4"/>
  <c r="M13" i="4"/>
  <c r="Z13" i="4"/>
  <c r="T14" i="4"/>
  <c r="Y14" i="4"/>
  <c r="S14" i="4"/>
  <c r="M14" i="4"/>
  <c r="Z14" i="4"/>
  <c r="T15" i="4"/>
  <c r="Y15" i="4"/>
  <c r="S15" i="4"/>
  <c r="M15" i="4"/>
  <c r="Z15" i="4"/>
  <c r="T16" i="4"/>
  <c r="Y16" i="4"/>
  <c r="S16" i="4"/>
  <c r="M16" i="4"/>
  <c r="Z16" i="4"/>
  <c r="T17" i="4"/>
  <c r="Y17" i="4"/>
  <c r="S17" i="4"/>
  <c r="M17" i="4"/>
  <c r="Z17" i="4"/>
  <c r="T18" i="4"/>
  <c r="Y18" i="4"/>
  <c r="S18" i="4"/>
  <c r="M18" i="4"/>
  <c r="Z18" i="4"/>
  <c r="T19" i="4"/>
  <c r="Y19" i="4"/>
  <c r="S19" i="4"/>
  <c r="M19" i="4"/>
  <c r="Z19" i="4"/>
  <c r="T20" i="4"/>
  <c r="Y20" i="4"/>
  <c r="S20" i="4"/>
  <c r="M20" i="4"/>
  <c r="Z20" i="4"/>
  <c r="T21" i="4"/>
  <c r="Y21" i="4"/>
  <c r="S21" i="4"/>
  <c r="M21" i="4"/>
  <c r="Z21" i="4"/>
  <c r="T22" i="4"/>
  <c r="Y22" i="4"/>
  <c r="S22" i="4"/>
  <c r="M22" i="4"/>
  <c r="Z22" i="4"/>
  <c r="T23" i="4"/>
  <c r="Y23" i="4"/>
  <c r="S23" i="4"/>
  <c r="M23" i="4"/>
  <c r="Z23" i="4"/>
  <c r="T24" i="4"/>
  <c r="Y24" i="4"/>
  <c r="S24" i="4"/>
  <c r="M24" i="4"/>
  <c r="Z24" i="4"/>
  <c r="T25" i="4"/>
  <c r="Y25" i="4"/>
  <c r="S25" i="4"/>
  <c r="M25" i="4"/>
  <c r="Z25" i="4"/>
  <c r="T26" i="4"/>
  <c r="Y26" i="4"/>
  <c r="S26" i="4"/>
  <c r="M26" i="4"/>
  <c r="Z26" i="4"/>
  <c r="T27" i="4"/>
  <c r="Y27" i="4"/>
  <c r="S27" i="4"/>
  <c r="M27" i="4"/>
  <c r="Z27" i="4"/>
  <c r="T28" i="4"/>
  <c r="Y28" i="4"/>
  <c r="S28" i="4"/>
  <c r="M28" i="4"/>
  <c r="Z28" i="4"/>
  <c r="T29" i="4"/>
  <c r="Y29" i="4"/>
  <c r="S29" i="4"/>
  <c r="M29" i="4"/>
  <c r="Z29" i="4"/>
  <c r="T30" i="4"/>
  <c r="Y30" i="4"/>
  <c r="S30" i="4"/>
  <c r="M30" i="4"/>
  <c r="Z30" i="4"/>
  <c r="T31" i="4"/>
  <c r="Y31" i="4"/>
  <c r="S31" i="4"/>
  <c r="M31" i="4"/>
  <c r="Z31" i="4"/>
  <c r="T32" i="4"/>
  <c r="Y32" i="4"/>
  <c r="S32" i="4"/>
  <c r="M32" i="4"/>
  <c r="Z32" i="4"/>
  <c r="T33" i="4"/>
  <c r="Y33" i="4"/>
  <c r="S33" i="4"/>
  <c r="M33" i="4"/>
  <c r="Z33" i="4"/>
  <c r="T34" i="4"/>
  <c r="Y34" i="4"/>
  <c r="S34" i="4"/>
  <c r="M34" i="4"/>
  <c r="Z34" i="4"/>
  <c r="T35" i="4"/>
  <c r="Y35" i="4"/>
  <c r="S35" i="4"/>
  <c r="M35" i="4"/>
  <c r="Z35" i="4"/>
  <c r="T36" i="4"/>
  <c r="Y36" i="4"/>
  <c r="S36" i="4"/>
  <c r="M36" i="4"/>
  <c r="Z36" i="4"/>
  <c r="T37" i="4"/>
  <c r="Y37" i="4"/>
  <c r="S37" i="4"/>
  <c r="M37" i="4"/>
  <c r="Z37" i="4"/>
  <c r="T38" i="4"/>
  <c r="Y38" i="4"/>
  <c r="S38" i="4"/>
  <c r="M38" i="4"/>
  <c r="Z38" i="4"/>
  <c r="T39" i="4"/>
  <c r="Y39" i="4"/>
  <c r="S39" i="4"/>
  <c r="M39" i="4"/>
  <c r="Z39" i="4"/>
  <c r="T40" i="4"/>
  <c r="Y40" i="4"/>
  <c r="S40" i="4"/>
  <c r="M40" i="4"/>
  <c r="Z40" i="4"/>
  <c r="T41" i="4"/>
  <c r="Y41" i="4"/>
  <c r="S41" i="4"/>
  <c r="M41" i="4"/>
  <c r="Z41" i="4"/>
  <c r="T42" i="4"/>
  <c r="Y42" i="4"/>
  <c r="S42" i="4"/>
  <c r="M42" i="4"/>
  <c r="Z42" i="4"/>
  <c r="T43" i="4"/>
  <c r="Y43" i="4"/>
  <c r="S43" i="4"/>
  <c r="M43" i="4"/>
  <c r="Z43" i="4"/>
  <c r="T44" i="4"/>
  <c r="Y44" i="4"/>
  <c r="S44" i="4"/>
  <c r="M44" i="4"/>
  <c r="Z44" i="4"/>
  <c r="T45" i="4"/>
  <c r="Y45" i="4"/>
  <c r="S45" i="4"/>
  <c r="M45" i="4"/>
  <c r="Z45" i="4"/>
  <c r="T46" i="4"/>
  <c r="Y46" i="4"/>
  <c r="S46" i="4"/>
  <c r="M46" i="4"/>
  <c r="Z46" i="4"/>
  <c r="T47" i="4"/>
  <c r="Y47" i="4"/>
  <c r="S47" i="4"/>
  <c r="M47" i="4"/>
  <c r="Z47" i="4"/>
  <c r="T48" i="4"/>
  <c r="Y48" i="4"/>
  <c r="S48" i="4"/>
  <c r="M48" i="4"/>
  <c r="Z48" i="4"/>
  <c r="T49" i="4"/>
  <c r="Y49" i="4"/>
  <c r="S49" i="4"/>
  <c r="M49" i="4"/>
  <c r="Z49" i="4"/>
  <c r="T50" i="4"/>
  <c r="Y50" i="4"/>
  <c r="S50" i="4"/>
  <c r="M50" i="4"/>
  <c r="Z50" i="4"/>
  <c r="T51" i="4"/>
  <c r="Y51" i="4"/>
  <c r="S51" i="4"/>
  <c r="M51" i="4"/>
  <c r="Z51" i="4"/>
  <c r="T52" i="4"/>
  <c r="Y52" i="4"/>
  <c r="S52" i="4"/>
  <c r="M52" i="4"/>
  <c r="Z52" i="4"/>
  <c r="T53" i="4"/>
  <c r="Y53" i="4"/>
  <c r="S53" i="4"/>
  <c r="M53" i="4"/>
  <c r="Z53" i="4"/>
  <c r="T54" i="4"/>
  <c r="Y54" i="4"/>
  <c r="S54" i="4"/>
  <c r="M54" i="4"/>
  <c r="Z54" i="4"/>
  <c r="T55" i="4"/>
  <c r="Y55" i="4"/>
  <c r="S55" i="4"/>
  <c r="Z55" i="4"/>
  <c r="T56" i="4"/>
  <c r="Y56" i="4"/>
  <c r="S56" i="4"/>
  <c r="M56" i="4"/>
  <c r="Z56" i="4"/>
  <c r="T57" i="4"/>
  <c r="Y57" i="4"/>
  <c r="S57" i="4"/>
  <c r="M57" i="4"/>
  <c r="Z57" i="4"/>
  <c r="T58" i="4"/>
  <c r="Y58" i="4"/>
  <c r="S58" i="4"/>
  <c r="M58" i="4"/>
  <c r="Z58" i="4"/>
  <c r="T59" i="4"/>
  <c r="Y59" i="4"/>
  <c r="S59" i="4"/>
  <c r="M59" i="4"/>
  <c r="Z59" i="4"/>
  <c r="T60" i="4"/>
  <c r="Y60" i="4"/>
  <c r="S60" i="4"/>
  <c r="M60" i="4"/>
  <c r="Z60" i="4"/>
  <c r="T61" i="4"/>
  <c r="Y61" i="4"/>
  <c r="S61" i="4"/>
  <c r="M61" i="4"/>
  <c r="Z61" i="4"/>
  <c r="T62" i="4"/>
  <c r="Y62" i="4"/>
  <c r="S62" i="4"/>
  <c r="M62" i="4"/>
  <c r="Z62" i="4"/>
  <c r="T63" i="4"/>
  <c r="Y63" i="4"/>
  <c r="S63" i="4"/>
  <c r="M63" i="4"/>
  <c r="Z63" i="4"/>
  <c r="T64" i="4"/>
  <c r="Y64" i="4"/>
  <c r="S64" i="4"/>
  <c r="M64" i="4"/>
  <c r="Z64" i="4"/>
  <c r="T65" i="4"/>
  <c r="Y65" i="4"/>
  <c r="S65" i="4"/>
  <c r="M65" i="4"/>
  <c r="Z65" i="4"/>
  <c r="T66" i="4"/>
  <c r="Y66" i="4"/>
  <c r="S66" i="4"/>
  <c r="M66" i="4"/>
  <c r="Z66" i="4"/>
  <c r="T67" i="4"/>
  <c r="Y67" i="4"/>
  <c r="S67" i="4"/>
  <c r="M67" i="4"/>
  <c r="Z67" i="4"/>
  <c r="T68" i="4"/>
  <c r="Y68" i="4"/>
  <c r="S68" i="4"/>
  <c r="M68" i="4"/>
  <c r="Z68" i="4"/>
  <c r="T69" i="4"/>
  <c r="Y69" i="4"/>
  <c r="S69" i="4"/>
  <c r="M69" i="4"/>
  <c r="Z69" i="4"/>
  <c r="T70" i="4"/>
  <c r="Y70" i="4"/>
  <c r="S70" i="4"/>
  <c r="M70" i="4"/>
  <c r="Z70" i="4"/>
  <c r="T71" i="4"/>
  <c r="Y71" i="4"/>
  <c r="S71" i="4"/>
  <c r="M71" i="4"/>
  <c r="Z71" i="4"/>
  <c r="T72" i="4"/>
  <c r="Y72" i="4"/>
  <c r="S72" i="4"/>
  <c r="M72" i="4"/>
  <c r="Z72" i="4"/>
  <c r="T73" i="4"/>
  <c r="Y73" i="4"/>
  <c r="S73" i="4"/>
  <c r="M73" i="4"/>
  <c r="Z73" i="4"/>
  <c r="T74" i="4"/>
  <c r="Y74" i="4"/>
  <c r="S74" i="4"/>
  <c r="M74" i="4"/>
  <c r="Z74" i="4"/>
  <c r="T75" i="4"/>
  <c r="Y75" i="4"/>
  <c r="S75" i="4"/>
  <c r="M75" i="4"/>
  <c r="Z75" i="4"/>
  <c r="T76" i="4"/>
  <c r="Y76" i="4"/>
  <c r="S76" i="4"/>
  <c r="M76" i="4"/>
  <c r="Z76" i="4"/>
  <c r="Z77" i="4"/>
  <c r="T77" i="4"/>
  <c r="U77" i="4"/>
  <c r="V77" i="4"/>
  <c r="W77" i="4"/>
  <c r="X77" i="4"/>
  <c r="Y77" i="4"/>
  <c r="AE6" i="4"/>
  <c r="AF6" i="4"/>
  <c r="AG6" i="4"/>
  <c r="B5" i="5"/>
  <c r="AH6" i="4"/>
  <c r="AE7" i="4"/>
  <c r="AF7" i="4"/>
  <c r="AG7" i="4"/>
  <c r="AH7" i="4"/>
  <c r="AE8" i="4"/>
  <c r="AF8" i="4"/>
  <c r="AG8" i="4"/>
  <c r="AH8" i="4"/>
  <c r="AE9" i="4"/>
  <c r="AF9" i="4"/>
  <c r="AG9" i="4"/>
  <c r="AH9" i="4"/>
  <c r="AE10" i="4"/>
  <c r="AF10" i="4"/>
  <c r="AG10" i="4"/>
  <c r="AH10" i="4"/>
  <c r="AE11" i="4"/>
  <c r="AF11" i="4"/>
  <c r="AG11" i="4"/>
  <c r="AH11" i="4"/>
  <c r="AE12" i="4"/>
  <c r="AF12" i="4"/>
  <c r="AG12" i="4"/>
  <c r="AH12" i="4"/>
  <c r="AE13" i="4"/>
  <c r="AF13" i="4"/>
  <c r="AG13" i="4"/>
  <c r="AH13" i="4"/>
  <c r="AE14" i="4"/>
  <c r="AF14" i="4"/>
  <c r="AG14" i="4"/>
  <c r="AH14" i="4"/>
  <c r="AE15" i="4"/>
  <c r="AF15" i="4"/>
  <c r="AG15" i="4"/>
  <c r="AH15" i="4"/>
  <c r="AE16" i="4"/>
  <c r="AF16" i="4"/>
  <c r="AG16" i="4"/>
  <c r="AH16" i="4"/>
  <c r="AE17" i="4"/>
  <c r="AF17" i="4"/>
  <c r="AG17" i="4"/>
  <c r="AH17" i="4"/>
  <c r="AE18" i="4"/>
  <c r="AF18" i="4"/>
  <c r="AG18" i="4"/>
  <c r="AH18" i="4"/>
  <c r="AE19" i="4"/>
  <c r="AF19" i="4"/>
  <c r="AG19" i="4"/>
  <c r="AH19" i="4"/>
  <c r="AE20" i="4"/>
  <c r="AF20" i="4"/>
  <c r="AG20" i="4"/>
  <c r="AH20" i="4"/>
  <c r="AE21" i="4"/>
  <c r="AF21" i="4"/>
  <c r="AG21" i="4"/>
  <c r="AH21" i="4"/>
  <c r="AE22" i="4"/>
  <c r="AF22" i="4"/>
  <c r="AG22" i="4"/>
  <c r="AH22" i="4"/>
  <c r="AE23" i="4"/>
  <c r="AF23" i="4"/>
  <c r="AG23" i="4"/>
  <c r="AH23" i="4"/>
  <c r="AE24" i="4"/>
  <c r="AF24" i="4"/>
  <c r="AG24" i="4"/>
  <c r="AH24" i="4"/>
  <c r="AE25" i="4"/>
  <c r="AF25" i="4"/>
  <c r="AG25" i="4"/>
  <c r="AH25" i="4"/>
  <c r="AE26" i="4"/>
  <c r="AF26" i="4"/>
  <c r="AG26" i="4"/>
  <c r="AH26" i="4"/>
  <c r="AE27" i="4"/>
  <c r="AF27" i="4"/>
  <c r="AG27" i="4"/>
  <c r="AH27" i="4"/>
  <c r="AE28" i="4"/>
  <c r="AF28" i="4"/>
  <c r="AG28" i="4"/>
  <c r="AH28" i="4"/>
  <c r="AE29" i="4"/>
  <c r="AF29" i="4"/>
  <c r="AG29" i="4"/>
  <c r="AH29" i="4"/>
  <c r="AE30" i="4"/>
  <c r="AF30" i="4"/>
  <c r="AG30" i="4"/>
  <c r="AH30" i="4"/>
  <c r="AE31" i="4"/>
  <c r="AF31" i="4"/>
  <c r="AG31" i="4"/>
  <c r="AH31" i="4"/>
  <c r="AE32" i="4"/>
  <c r="AF32" i="4"/>
  <c r="AG32" i="4"/>
  <c r="AH32" i="4"/>
  <c r="AE33" i="4"/>
  <c r="AF33" i="4"/>
  <c r="AG33" i="4"/>
  <c r="AH33" i="4"/>
  <c r="AE34" i="4"/>
  <c r="AF34" i="4"/>
  <c r="AG34" i="4"/>
  <c r="AH34" i="4"/>
  <c r="AE35" i="4"/>
  <c r="AF35" i="4"/>
  <c r="AG35" i="4"/>
  <c r="AH35" i="4"/>
  <c r="AE36" i="4"/>
  <c r="AF36" i="4"/>
  <c r="AG36" i="4"/>
  <c r="AH36" i="4"/>
  <c r="AE37" i="4"/>
  <c r="AF37" i="4"/>
  <c r="AG37" i="4"/>
  <c r="AH37" i="4"/>
  <c r="AE38" i="4"/>
  <c r="AF38" i="4"/>
  <c r="AG38" i="4"/>
  <c r="AH38" i="4"/>
  <c r="AE39" i="4"/>
  <c r="AF39" i="4"/>
  <c r="AG39" i="4"/>
  <c r="AH39" i="4"/>
  <c r="AE40" i="4"/>
  <c r="AF40" i="4"/>
  <c r="AG40" i="4"/>
  <c r="AH40" i="4"/>
  <c r="AE41" i="4"/>
  <c r="AF41" i="4"/>
  <c r="AG41" i="4"/>
  <c r="AH41" i="4"/>
  <c r="AE42" i="4"/>
  <c r="AF42" i="4"/>
  <c r="AG42" i="4"/>
  <c r="AH42" i="4"/>
  <c r="AE43" i="4"/>
  <c r="AF43" i="4"/>
  <c r="AG43" i="4"/>
  <c r="AH43" i="4"/>
  <c r="AE44" i="4"/>
  <c r="AF44" i="4"/>
  <c r="AG44" i="4"/>
  <c r="AH44" i="4"/>
  <c r="AE45" i="4"/>
  <c r="AF45" i="4"/>
  <c r="AG45" i="4"/>
  <c r="AH45" i="4"/>
  <c r="AE46" i="4"/>
  <c r="AF46" i="4"/>
  <c r="AG46" i="4"/>
  <c r="AH46" i="4"/>
  <c r="AE47" i="4"/>
  <c r="AF47" i="4"/>
  <c r="AG47" i="4"/>
  <c r="AH47" i="4"/>
  <c r="AE48" i="4"/>
  <c r="AF48" i="4"/>
  <c r="AG48" i="4"/>
  <c r="AH48" i="4"/>
  <c r="AE49" i="4"/>
  <c r="AF49" i="4"/>
  <c r="AG49" i="4"/>
  <c r="AH49" i="4"/>
  <c r="AE50" i="4"/>
  <c r="AF50" i="4"/>
  <c r="AG50" i="4"/>
  <c r="AH50" i="4"/>
  <c r="AE51" i="4"/>
  <c r="AF51" i="4"/>
  <c r="AG51" i="4"/>
  <c r="AH51" i="4"/>
  <c r="AE52" i="4"/>
  <c r="AF52" i="4"/>
  <c r="AG52" i="4"/>
  <c r="AH52" i="4"/>
  <c r="AE53" i="4"/>
  <c r="AF53" i="4"/>
  <c r="AG53" i="4"/>
  <c r="AH53" i="4"/>
  <c r="AE54" i="4"/>
  <c r="AF54" i="4"/>
  <c r="AG54" i="4"/>
  <c r="AH54" i="4"/>
  <c r="AE55" i="4"/>
  <c r="AF55" i="4"/>
  <c r="AG55" i="4"/>
  <c r="AH55" i="4"/>
  <c r="AE56" i="4"/>
  <c r="AF56" i="4"/>
  <c r="AG56" i="4"/>
  <c r="AH56" i="4"/>
  <c r="AE57" i="4"/>
  <c r="AF57" i="4"/>
  <c r="AG57" i="4"/>
  <c r="AH57" i="4"/>
  <c r="AE58" i="4"/>
  <c r="AF58" i="4"/>
  <c r="AG58" i="4"/>
  <c r="AH58" i="4"/>
  <c r="AE59" i="4"/>
  <c r="AF59" i="4"/>
  <c r="AG59" i="4"/>
  <c r="AH59" i="4"/>
  <c r="AE60" i="4"/>
  <c r="AF60" i="4"/>
  <c r="AG60" i="4"/>
  <c r="AH60" i="4"/>
  <c r="AE61" i="4"/>
  <c r="AF61" i="4"/>
  <c r="AG61" i="4"/>
  <c r="AH61" i="4"/>
  <c r="AE62" i="4"/>
  <c r="AF62" i="4"/>
  <c r="AG62" i="4"/>
  <c r="AH62" i="4"/>
  <c r="AE63" i="4"/>
  <c r="AF63" i="4"/>
  <c r="AG63" i="4"/>
  <c r="AH63" i="4"/>
  <c r="AE64" i="4"/>
  <c r="AF64" i="4"/>
  <c r="AG64" i="4"/>
  <c r="AH64" i="4"/>
  <c r="AE65" i="4"/>
  <c r="AF65" i="4"/>
  <c r="AG65" i="4"/>
  <c r="AH65" i="4"/>
  <c r="AE66" i="4"/>
  <c r="AF66" i="4"/>
  <c r="AG66" i="4"/>
  <c r="AH66" i="4"/>
  <c r="AE67" i="4"/>
  <c r="AF67" i="4"/>
  <c r="AG67" i="4"/>
  <c r="AH67" i="4"/>
  <c r="AE68" i="4"/>
  <c r="AF68" i="4"/>
  <c r="AG68" i="4"/>
  <c r="AH68" i="4"/>
  <c r="AE69" i="4"/>
  <c r="AF69" i="4"/>
  <c r="AG69" i="4"/>
  <c r="AH69" i="4"/>
  <c r="AE70" i="4"/>
  <c r="AF70" i="4"/>
  <c r="AG70" i="4"/>
  <c r="AH70" i="4"/>
  <c r="AE71" i="4"/>
  <c r="AF71" i="4"/>
  <c r="AG71" i="4"/>
  <c r="AH71" i="4"/>
  <c r="AE72" i="4"/>
  <c r="AF72" i="4"/>
  <c r="AG72" i="4"/>
  <c r="AH72" i="4"/>
  <c r="AE73" i="4"/>
  <c r="AF73" i="4"/>
  <c r="AG73" i="4"/>
  <c r="AH73" i="4"/>
  <c r="AE74" i="4"/>
  <c r="AF74" i="4"/>
  <c r="AG74" i="4"/>
  <c r="AH74" i="4"/>
  <c r="AE75" i="4"/>
  <c r="AF75" i="4"/>
  <c r="AG75" i="4"/>
  <c r="AH75" i="4"/>
  <c r="AE76" i="4"/>
  <c r="AF76" i="4"/>
  <c r="AG76" i="4"/>
  <c r="AH76" i="4"/>
  <c r="AF5" i="4"/>
  <c r="AG5" i="4"/>
  <c r="AH5" i="4"/>
  <c r="AE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5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G81" i="2"/>
  <c r="G82" i="2"/>
  <c r="G83" i="2"/>
  <c r="G84" i="2"/>
  <c r="G85" i="2"/>
  <c r="G86" i="2"/>
  <c r="G87" i="2"/>
  <c r="G88" i="2"/>
  <c r="G89" i="2"/>
  <c r="G92" i="2"/>
  <c r="G93" i="2"/>
  <c r="G94" i="2"/>
  <c r="G95" i="2"/>
  <c r="G96" i="2"/>
  <c r="G97" i="2"/>
  <c r="G98" i="2"/>
  <c r="G99" i="2"/>
  <c r="G100" i="2"/>
  <c r="E43" i="2"/>
  <c r="E14" i="2"/>
  <c r="E32" i="2"/>
  <c r="E35" i="2"/>
  <c r="E42" i="2"/>
  <c r="E44" i="2"/>
  <c r="E102" i="2"/>
  <c r="G64" i="2"/>
  <c r="G65" i="2"/>
  <c r="G66" i="2"/>
  <c r="G67" i="2"/>
  <c r="G68" i="2"/>
  <c r="G69" i="2"/>
  <c r="G70" i="2"/>
  <c r="G71" i="2"/>
  <c r="G72" i="2"/>
  <c r="E39" i="2"/>
  <c r="E34" i="2"/>
  <c r="E38" i="2"/>
  <c r="E40" i="2"/>
  <c r="E74" i="2"/>
  <c r="E55" i="2"/>
  <c r="E104" i="2"/>
  <c r="H92" i="2"/>
  <c r="H93" i="2"/>
  <c r="H94" i="2"/>
  <c r="H95" i="2"/>
  <c r="H96" i="2"/>
  <c r="H97" i="2"/>
  <c r="H98" i="2"/>
  <c r="H99" i="2"/>
  <c r="H100" i="2"/>
  <c r="H81" i="2"/>
  <c r="H82" i="2"/>
  <c r="H83" i="2"/>
  <c r="H84" i="2"/>
  <c r="H85" i="2"/>
  <c r="H86" i="2"/>
  <c r="H87" i="2"/>
  <c r="H88" i="2"/>
  <c r="H89" i="2"/>
  <c r="E105" i="2"/>
  <c r="C104" i="2"/>
  <c r="F100" i="2"/>
  <c r="E100" i="2"/>
  <c r="F89" i="2"/>
  <c r="E89" i="2"/>
  <c r="H80" i="2"/>
  <c r="E76" i="2"/>
  <c r="H64" i="2"/>
  <c r="H65" i="2"/>
  <c r="H66" i="2"/>
  <c r="H67" i="2"/>
  <c r="H68" i="2"/>
  <c r="H69" i="2"/>
  <c r="H70" i="2"/>
  <c r="H71" i="2"/>
  <c r="H72" i="2"/>
  <c r="E77" i="2"/>
  <c r="C76" i="2"/>
  <c r="F72" i="2"/>
  <c r="E72" i="2"/>
  <c r="H63" i="2"/>
  <c r="E57" i="2"/>
  <c r="H50" i="2"/>
  <c r="H51" i="2"/>
  <c r="H52" i="2"/>
  <c r="H53" i="2"/>
  <c r="E58" i="2"/>
  <c r="C57" i="2"/>
  <c r="F53" i="2"/>
  <c r="E53" i="2"/>
  <c r="H49" i="2"/>
  <c r="H44" i="2"/>
  <c r="I44" i="2"/>
  <c r="H40" i="2"/>
  <c r="I40" i="2"/>
  <c r="E36" i="2"/>
  <c r="C32" i="2"/>
  <c r="H30" i="2"/>
  <c r="I30" i="2"/>
  <c r="H26" i="2"/>
  <c r="I26" i="2"/>
  <c r="C17" i="2"/>
  <c r="E15" i="2"/>
  <c r="C15" i="2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5" i="7"/>
  <c r="Q36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1" i="7"/>
  <c r="Q72" i="7"/>
  <c r="Q73" i="7"/>
  <c r="Q74" i="7"/>
  <c r="Q75" i="7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6" i="4"/>
  <c r="AI37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2" i="4"/>
  <c r="AI73" i="4"/>
  <c r="AI74" i="4"/>
  <c r="AI75" i="4"/>
  <c r="AI76" i="4"/>
  <c r="EP76" i="9"/>
  <c r="D73" i="10"/>
  <c r="C73" i="10"/>
  <c r="D72" i="10"/>
  <c r="C72" i="10"/>
  <c r="D71" i="10"/>
  <c r="C71" i="10"/>
  <c r="D70" i="10"/>
  <c r="C70" i="10"/>
  <c r="D69" i="10"/>
  <c r="C69" i="10"/>
  <c r="D67" i="10"/>
  <c r="C67" i="10"/>
  <c r="D66" i="10"/>
  <c r="C66" i="10"/>
  <c r="D65" i="10"/>
  <c r="C65" i="10"/>
  <c r="D64" i="10"/>
  <c r="C64" i="10"/>
  <c r="D63" i="10"/>
  <c r="C63" i="10"/>
  <c r="D62" i="10"/>
  <c r="C62" i="10"/>
  <c r="D61" i="10"/>
  <c r="C61" i="10"/>
  <c r="D60" i="10"/>
  <c r="C60" i="10"/>
  <c r="D59" i="10"/>
  <c r="C59" i="10"/>
  <c r="D58" i="10"/>
  <c r="C58" i="10"/>
  <c r="D57" i="10"/>
  <c r="C57" i="10"/>
  <c r="D56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4" i="10"/>
  <c r="C34" i="10"/>
  <c r="D33" i="10"/>
  <c r="C33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3" i="10"/>
  <c r="C3" i="10"/>
  <c r="B71" i="10"/>
  <c r="E71" i="10"/>
  <c r="J71" i="10"/>
  <c r="K71" i="10"/>
  <c r="B64" i="10"/>
  <c r="E64" i="10"/>
  <c r="J64" i="10"/>
  <c r="K64" i="10"/>
  <c r="B54" i="10"/>
  <c r="E54" i="10"/>
  <c r="J54" i="10"/>
  <c r="K54" i="10"/>
  <c r="B52" i="10"/>
  <c r="E52" i="10"/>
  <c r="J52" i="10"/>
  <c r="K52" i="10"/>
  <c r="B33" i="10"/>
  <c r="E33" i="10"/>
  <c r="J33" i="10"/>
  <c r="K33" i="10"/>
  <c r="B30" i="10"/>
  <c r="E30" i="10"/>
  <c r="J30" i="10"/>
  <c r="K30" i="10"/>
  <c r="B73" i="10"/>
  <c r="E73" i="10"/>
  <c r="J73" i="10"/>
  <c r="K73" i="10"/>
  <c r="B72" i="10"/>
  <c r="E72" i="10"/>
  <c r="J72" i="10"/>
  <c r="K72" i="10"/>
  <c r="M73" i="10"/>
  <c r="N73" i="10"/>
  <c r="B69" i="10"/>
  <c r="E69" i="10"/>
  <c r="J69" i="10"/>
  <c r="K69" i="10"/>
  <c r="M72" i="10"/>
  <c r="N72" i="10"/>
  <c r="B70" i="10"/>
  <c r="E70" i="10"/>
  <c r="J70" i="10"/>
  <c r="K70" i="10"/>
  <c r="B67" i="10"/>
  <c r="E67" i="10"/>
  <c r="J67" i="10"/>
  <c r="K67" i="10"/>
  <c r="M70" i="10"/>
  <c r="N70" i="10"/>
  <c r="B66" i="10"/>
  <c r="E66" i="10"/>
  <c r="J66" i="10"/>
  <c r="K66" i="10"/>
  <c r="M69" i="10"/>
  <c r="N69" i="10"/>
  <c r="B63" i="10"/>
  <c r="E63" i="10"/>
  <c r="J63" i="10"/>
  <c r="K63" i="10"/>
  <c r="B59" i="10"/>
  <c r="E59" i="10"/>
  <c r="J59" i="10"/>
  <c r="K59" i="10"/>
  <c r="M67" i="10"/>
  <c r="N67" i="10"/>
  <c r="B58" i="10"/>
  <c r="E58" i="10"/>
  <c r="J58" i="10"/>
  <c r="K58" i="10"/>
  <c r="M66" i="10"/>
  <c r="N66" i="10"/>
  <c r="B65" i="10"/>
  <c r="E65" i="10"/>
  <c r="J65" i="10"/>
  <c r="K65" i="10"/>
  <c r="B55" i="10"/>
  <c r="E55" i="10"/>
  <c r="J55" i="10"/>
  <c r="K55" i="10"/>
  <c r="M65" i="10"/>
  <c r="N65" i="10"/>
  <c r="B51" i="10"/>
  <c r="E51" i="10"/>
  <c r="J51" i="10"/>
  <c r="K51" i="10"/>
  <c r="M63" i="10"/>
  <c r="N63" i="10"/>
  <c r="B62" i="10"/>
  <c r="E62" i="10"/>
  <c r="J62" i="10"/>
  <c r="K62" i="10"/>
  <c r="B48" i="10"/>
  <c r="E48" i="10"/>
  <c r="J48" i="10"/>
  <c r="K48" i="10"/>
  <c r="M62" i="10"/>
  <c r="N62" i="10"/>
  <c r="B61" i="10"/>
  <c r="E61" i="10"/>
  <c r="J61" i="10"/>
  <c r="K61" i="10"/>
  <c r="B47" i="10"/>
  <c r="E47" i="10"/>
  <c r="J47" i="10"/>
  <c r="K47" i="10"/>
  <c r="M61" i="10"/>
  <c r="N61" i="10"/>
  <c r="B60" i="10"/>
  <c r="E60" i="10"/>
  <c r="J60" i="10"/>
  <c r="K60" i="10"/>
  <c r="B46" i="10"/>
  <c r="E46" i="10"/>
  <c r="J46" i="10"/>
  <c r="K46" i="10"/>
  <c r="M60" i="10"/>
  <c r="N60" i="10"/>
  <c r="B45" i="10"/>
  <c r="E45" i="10"/>
  <c r="J45" i="10"/>
  <c r="K45" i="10"/>
  <c r="M59" i="10"/>
  <c r="N59" i="10"/>
  <c r="B42" i="10"/>
  <c r="E42" i="10"/>
  <c r="J42" i="10"/>
  <c r="K42" i="10"/>
  <c r="M58" i="10"/>
  <c r="N58" i="10"/>
  <c r="B57" i="10"/>
  <c r="E57" i="10"/>
  <c r="J57" i="10"/>
  <c r="K57" i="10"/>
  <c r="B40" i="10"/>
  <c r="E40" i="10"/>
  <c r="J40" i="10"/>
  <c r="K40" i="10"/>
  <c r="M57" i="10"/>
  <c r="N57" i="10"/>
  <c r="B56" i="10"/>
  <c r="E56" i="10"/>
  <c r="J56" i="10"/>
  <c r="K56" i="10"/>
  <c r="B37" i="10"/>
  <c r="E37" i="10"/>
  <c r="J37" i="10"/>
  <c r="K37" i="10"/>
  <c r="M56" i="10"/>
  <c r="N56" i="10"/>
  <c r="B36" i="10"/>
  <c r="E36" i="10"/>
  <c r="J36" i="10"/>
  <c r="K36" i="10"/>
  <c r="M55" i="10"/>
  <c r="N55" i="10"/>
  <c r="B53" i="10"/>
  <c r="E53" i="10"/>
  <c r="J53" i="10"/>
  <c r="K53" i="10"/>
  <c r="M53" i="10"/>
  <c r="N53" i="10"/>
  <c r="B29" i="10"/>
  <c r="E29" i="10"/>
  <c r="J29" i="10"/>
  <c r="K29" i="10"/>
  <c r="M51" i="10"/>
  <c r="N51" i="10"/>
  <c r="B50" i="10"/>
  <c r="E50" i="10"/>
  <c r="J50" i="10"/>
  <c r="K50" i="10"/>
  <c r="B26" i="10"/>
  <c r="E26" i="10"/>
  <c r="J26" i="10"/>
  <c r="K26" i="10"/>
  <c r="M50" i="10"/>
  <c r="N50" i="10"/>
  <c r="B49" i="10"/>
  <c r="E49" i="10"/>
  <c r="J49" i="10"/>
  <c r="K49" i="10"/>
  <c r="B25" i="10"/>
  <c r="E25" i="10"/>
  <c r="J25" i="10"/>
  <c r="K25" i="10"/>
  <c r="M49" i="10"/>
  <c r="N49" i="10"/>
  <c r="B24" i="10"/>
  <c r="E24" i="10"/>
  <c r="J24" i="10"/>
  <c r="K24" i="10"/>
  <c r="M48" i="10"/>
  <c r="N48" i="10"/>
  <c r="B23" i="10"/>
  <c r="E23" i="10"/>
  <c r="J23" i="10"/>
  <c r="K23" i="10"/>
  <c r="M47" i="10"/>
  <c r="N47" i="10"/>
  <c r="B22" i="10"/>
  <c r="E22" i="10"/>
  <c r="J22" i="10"/>
  <c r="K22" i="10"/>
  <c r="M46" i="10"/>
  <c r="N46" i="10"/>
  <c r="B21" i="10"/>
  <c r="E21" i="10"/>
  <c r="J21" i="10"/>
  <c r="K21" i="10"/>
  <c r="M45" i="10"/>
  <c r="N45" i="10"/>
  <c r="B44" i="10"/>
  <c r="E44" i="10"/>
  <c r="J44" i="10"/>
  <c r="K44" i="10"/>
  <c r="B17" i="10"/>
  <c r="E17" i="10"/>
  <c r="J17" i="10"/>
  <c r="K17" i="10"/>
  <c r="M44" i="10"/>
  <c r="N44" i="10"/>
  <c r="B43" i="10"/>
  <c r="E43" i="10"/>
  <c r="J43" i="10"/>
  <c r="K43" i="10"/>
  <c r="B16" i="10"/>
  <c r="E16" i="10"/>
  <c r="J16" i="10"/>
  <c r="K16" i="10"/>
  <c r="M43" i="10"/>
  <c r="N43" i="10"/>
  <c r="B15" i="10"/>
  <c r="E15" i="10"/>
  <c r="J15" i="10"/>
  <c r="K15" i="10"/>
  <c r="M42" i="10"/>
  <c r="N42" i="10"/>
  <c r="B41" i="10"/>
  <c r="E41" i="10"/>
  <c r="J41" i="10"/>
  <c r="K41" i="10"/>
  <c r="B14" i="10"/>
  <c r="E14" i="10"/>
  <c r="J14" i="10"/>
  <c r="K14" i="10"/>
  <c r="M41" i="10"/>
  <c r="N41" i="10"/>
  <c r="B11" i="10"/>
  <c r="E11" i="10"/>
  <c r="J11" i="10"/>
  <c r="K11" i="10"/>
  <c r="M40" i="10"/>
  <c r="N40" i="10"/>
  <c r="B39" i="10"/>
  <c r="E39" i="10"/>
  <c r="J39" i="10"/>
  <c r="K39" i="10"/>
  <c r="B10" i="10"/>
  <c r="E10" i="10"/>
  <c r="J10" i="10"/>
  <c r="K10" i="10"/>
  <c r="M39" i="10"/>
  <c r="N39" i="10"/>
  <c r="B38" i="10"/>
  <c r="E38" i="10"/>
  <c r="J38" i="10"/>
  <c r="K38" i="10"/>
  <c r="B9" i="10"/>
  <c r="E9" i="10"/>
  <c r="J9" i="10"/>
  <c r="K9" i="10"/>
  <c r="M38" i="10"/>
  <c r="N38" i="10"/>
  <c r="B7" i="10"/>
  <c r="E7" i="10"/>
  <c r="J7" i="10"/>
  <c r="K7" i="10"/>
  <c r="M37" i="10"/>
  <c r="N37" i="10"/>
  <c r="B5" i="10"/>
  <c r="E5" i="10"/>
  <c r="J5" i="10"/>
  <c r="K5" i="10"/>
  <c r="M36" i="10"/>
  <c r="N36" i="10"/>
  <c r="B4" i="10"/>
  <c r="E4" i="10"/>
  <c r="J4" i="10"/>
  <c r="K4" i="10"/>
  <c r="B34" i="10"/>
  <c r="E34" i="10"/>
  <c r="J34" i="10"/>
  <c r="K34" i="10"/>
  <c r="B3" i="10"/>
  <c r="E3" i="10"/>
  <c r="J3" i="10"/>
  <c r="K3" i="10"/>
  <c r="M34" i="10"/>
  <c r="N34" i="10"/>
  <c r="B19" i="10"/>
  <c r="E19" i="10"/>
  <c r="J19" i="10"/>
  <c r="K19" i="10"/>
  <c r="B12" i="10"/>
  <c r="E12" i="10"/>
  <c r="J12" i="10"/>
  <c r="K12" i="10"/>
  <c r="M29" i="10"/>
  <c r="N29" i="10"/>
  <c r="B28" i="10"/>
  <c r="E28" i="10"/>
  <c r="J28" i="10"/>
  <c r="K28" i="10"/>
  <c r="M28" i="10"/>
  <c r="N28" i="10"/>
  <c r="B27" i="10"/>
  <c r="E27" i="10"/>
  <c r="J27" i="10"/>
  <c r="K27" i="10"/>
  <c r="M27" i="10"/>
  <c r="N27" i="10"/>
  <c r="M26" i="10"/>
  <c r="N26" i="10"/>
  <c r="M25" i="10"/>
  <c r="N25" i="10"/>
  <c r="M24" i="10"/>
  <c r="N24" i="10"/>
  <c r="M23" i="10"/>
  <c r="N23" i="10"/>
  <c r="M22" i="10"/>
  <c r="N22" i="10"/>
  <c r="B6" i="10"/>
  <c r="E6" i="10"/>
  <c r="J6" i="10"/>
  <c r="K6" i="10"/>
  <c r="M21" i="10"/>
  <c r="N21" i="10"/>
  <c r="B20" i="10"/>
  <c r="E20" i="10"/>
  <c r="J20" i="10"/>
  <c r="K20" i="10"/>
  <c r="M20" i="10"/>
  <c r="N20" i="10"/>
  <c r="M19" i="10"/>
  <c r="N19" i="10"/>
  <c r="B18" i="10"/>
  <c r="E18" i="10"/>
  <c r="J18" i="10"/>
  <c r="K18" i="10"/>
  <c r="M18" i="10"/>
  <c r="N18" i="10"/>
  <c r="M17" i="10"/>
  <c r="N17" i="10"/>
  <c r="M16" i="10"/>
  <c r="N16" i="10"/>
  <c r="M15" i="10"/>
  <c r="N15" i="10"/>
  <c r="M14" i="10"/>
  <c r="N14" i="10"/>
  <c r="B13" i="10"/>
  <c r="E13" i="10"/>
  <c r="J13" i="10"/>
  <c r="K13" i="10"/>
  <c r="M13" i="10"/>
  <c r="N13" i="10"/>
  <c r="M12" i="10"/>
  <c r="N12" i="10"/>
  <c r="M11" i="10"/>
  <c r="N11" i="10"/>
  <c r="M10" i="10"/>
  <c r="N10" i="10"/>
  <c r="M9" i="10"/>
  <c r="N9" i="10"/>
  <c r="B8" i="10"/>
  <c r="E8" i="10"/>
  <c r="J8" i="10"/>
  <c r="K8" i="10"/>
  <c r="M8" i="10"/>
  <c r="N8" i="10"/>
  <c r="M7" i="10"/>
  <c r="N7" i="10"/>
  <c r="M6" i="10"/>
  <c r="N6" i="10"/>
  <c r="M5" i="10"/>
  <c r="N5" i="10"/>
  <c r="M4" i="10"/>
  <c r="N4" i="10"/>
  <c r="M3" i="10"/>
  <c r="N3" i="10"/>
  <c r="D74" i="10"/>
  <c r="AI5" i="4"/>
  <c r="B2" i="10"/>
  <c r="Q4" i="7"/>
  <c r="C2" i="10"/>
  <c r="E2" i="10"/>
  <c r="J2" i="10"/>
  <c r="K2" i="10"/>
  <c r="M2" i="10"/>
  <c r="N2" i="10"/>
  <c r="AI34" i="4"/>
  <c r="B31" i="10"/>
  <c r="Q33" i="7"/>
  <c r="C31" i="10"/>
  <c r="E31" i="10"/>
  <c r="J31" i="10"/>
  <c r="K31" i="10"/>
  <c r="M31" i="10"/>
  <c r="N31" i="10"/>
  <c r="AI35" i="4"/>
  <c r="B32" i="10"/>
  <c r="Q34" i="7"/>
  <c r="C32" i="10"/>
  <c r="E32" i="10"/>
  <c r="J32" i="10"/>
  <c r="K32" i="10"/>
  <c r="M32" i="10"/>
  <c r="N32" i="10"/>
  <c r="AI38" i="4"/>
  <c r="B35" i="10"/>
  <c r="Q37" i="7"/>
  <c r="C35" i="10"/>
  <c r="E35" i="10"/>
  <c r="J35" i="10"/>
  <c r="K35" i="10"/>
  <c r="M35" i="10"/>
  <c r="N35" i="10"/>
  <c r="AI71" i="4"/>
  <c r="B68" i="10"/>
  <c r="Q70" i="7"/>
  <c r="C68" i="10"/>
  <c r="E68" i="10"/>
  <c r="J68" i="10"/>
  <c r="K68" i="10"/>
  <c r="M68" i="10"/>
  <c r="N68" i="10"/>
  <c r="N74" i="10"/>
  <c r="M74" i="10"/>
  <c r="K74" i="10"/>
  <c r="E74" i="10"/>
  <c r="C74" i="10"/>
  <c r="B74" i="10"/>
  <c r="AI77" i="4"/>
  <c r="Q76" i="7"/>
</calcChain>
</file>

<file path=xl/sharedStrings.xml><?xml version="1.0" encoding="utf-8"?>
<sst xmlns="http://schemas.openxmlformats.org/spreadsheetml/2006/main" count="762" uniqueCount="214">
  <si>
    <t>Calculated with data available as of October 10, 2019</t>
  </si>
  <si>
    <t>EdCode</t>
  </si>
  <si>
    <t>84750.4(b)(2)</t>
  </si>
  <si>
    <t>2019-20 TCR by DOF at Budget Act</t>
  </si>
  <si>
    <t>Budget Act 2019</t>
  </si>
  <si>
    <t>Provision 2(a)(1)</t>
  </si>
  <si>
    <t>Growth</t>
  </si>
  <si>
    <t>Hold Harmless - DOF</t>
  </si>
  <si>
    <t>84750.4(b)(1)</t>
  </si>
  <si>
    <t>Cost of CDCP FTES</t>
  </si>
  <si>
    <t>Cost of Noncredit FTES</t>
  </si>
  <si>
    <t>subtotal</t>
  </si>
  <si>
    <t>Funds Available for Distribution</t>
  </si>
  <si>
    <t>84750.4(b)(2)(A)</t>
  </si>
  <si>
    <t>Base Allocation</t>
  </si>
  <si>
    <t>84750.4(b)(2)(B)</t>
  </si>
  <si>
    <t>Supplemental Allocation</t>
  </si>
  <si>
    <t>84750.4(b)(2)(C)(i)</t>
  </si>
  <si>
    <t>Student Success Allocation</t>
  </si>
  <si>
    <t>Cost of Basic Allocation</t>
  </si>
  <si>
    <t>84750.4(d)(3)</t>
  </si>
  <si>
    <t>Cost of Incarcerated Students</t>
  </si>
  <si>
    <t>Cost of Special Admit Students</t>
  </si>
  <si>
    <t>Funds for New Credit FTES Rate</t>
  </si>
  <si>
    <t>3 year average Credit FTES</t>
  </si>
  <si>
    <t>2018-19</t>
  </si>
  <si>
    <t>dif</t>
  </si>
  <si>
    <t>%dif</t>
  </si>
  <si>
    <t>84750.4(d)(1)(C)(ii)</t>
  </si>
  <si>
    <t>New Credit FTES Rate</t>
  </si>
  <si>
    <t>84750.4(b)(2)(C)(i)(ii)</t>
  </si>
  <si>
    <t>Total Point Count</t>
  </si>
  <si>
    <t>New Supplemental Allocation Point Value</t>
  </si>
  <si>
    <t>Main Component</t>
  </si>
  <si>
    <t>Equity Component</t>
  </si>
  <si>
    <t>Point Count for Main Component</t>
  </si>
  <si>
    <t>New Main Component Point Value</t>
  </si>
  <si>
    <t>Point Count for Equity Component</t>
  </si>
  <si>
    <t>New Equity Component Point Value</t>
  </si>
  <si>
    <t>Supplemental</t>
  </si>
  <si>
    <t>Points</t>
  </si>
  <si>
    <r>
      <t>Total Counts</t>
    </r>
    <r>
      <rPr>
        <b/>
        <vertAlign val="superscript"/>
        <sz val="11"/>
        <rFont val="Calibri"/>
        <family val="2"/>
        <scheme val="minor"/>
      </rPr>
      <t>1</t>
    </r>
  </si>
  <si>
    <t>Total Points</t>
  </si>
  <si>
    <t>Total Dollars</t>
  </si>
  <si>
    <t>Metrics</t>
  </si>
  <si>
    <t>(a)</t>
  </si>
  <si>
    <t>(b)</t>
  </si>
  <si>
    <t>(c) = (a) * (b)</t>
  </si>
  <si>
    <t>AB 540 Students</t>
  </si>
  <si>
    <t>Pell Grant Recipients</t>
  </si>
  <si>
    <t>Promise Grant Recipients</t>
  </si>
  <si>
    <t>Total</t>
  </si>
  <si>
    <t>Supplemental Rate Per Point</t>
  </si>
  <si>
    <t>Goal seek to zero</t>
  </si>
  <si>
    <t>Student Success</t>
  </si>
  <si>
    <t>All Students</t>
  </si>
  <si>
    <t>Associate Degrees for Transfers</t>
  </si>
  <si>
    <t>Associate Degrees</t>
  </si>
  <si>
    <t>Baccalaureate Degrees</t>
  </si>
  <si>
    <t>Credit Certificates</t>
  </si>
  <si>
    <t>Transfer Level Math and English</t>
  </si>
  <si>
    <t>Transfers</t>
  </si>
  <si>
    <t>Nine or More CTE Units</t>
  </si>
  <si>
    <t>Regional Living Wage</t>
  </si>
  <si>
    <t>Student Success Main Component Rate per Point</t>
  </si>
  <si>
    <t>Student Success Equity Rate per Point</t>
  </si>
  <si>
    <t>2016-17</t>
  </si>
  <si>
    <t>2017-18</t>
  </si>
  <si>
    <t>FTES Data</t>
  </si>
  <si>
    <t xml:space="preserve">Inmates in Correctional Facilities Education FTES </t>
  </si>
  <si>
    <t>Special Admit
FTES</t>
  </si>
  <si>
    <t>Excluding Inmates and Special Admit</t>
  </si>
  <si>
    <t>District</t>
  </si>
  <si>
    <t>Credit</t>
  </si>
  <si>
    <t>Noncredit</t>
  </si>
  <si>
    <t>CDCP</t>
  </si>
  <si>
    <t>zzzTotals</t>
  </si>
  <si>
    <t>2019-20 Projection</t>
  </si>
  <si>
    <t xml:space="preserve">FTES </t>
  </si>
  <si>
    <t>Noncredit FTES</t>
  </si>
  <si>
    <t>CDCP FTES</t>
  </si>
  <si>
    <t>Special Admits and Students in Correctional Facilities FTES</t>
  </si>
  <si>
    <t>3-Year Average Credit FTES (Excluding Inmates and Special Admits)</t>
  </si>
  <si>
    <t>Blue indicates raw data</t>
  </si>
  <si>
    <t>Indicates projected estimates</t>
  </si>
  <si>
    <t>Model Inputs</t>
  </si>
  <si>
    <t>Credit FTES</t>
  </si>
  <si>
    <t>Basic Allocation DOF</t>
  </si>
  <si>
    <t>Rate Assumptions</t>
  </si>
  <si>
    <t>Allocation Calculations</t>
  </si>
  <si>
    <t>Pell Grant Recipients
Totals</t>
  </si>
  <si>
    <t>California Promise Grant Recipients Totals</t>
  </si>
  <si>
    <t>Allan Hancock</t>
  </si>
  <si>
    <t>Antelope</t>
  </si>
  <si>
    <t>Barstow</t>
  </si>
  <si>
    <t>Butte</t>
  </si>
  <si>
    <t>Cabrillo</t>
  </si>
  <si>
    <t>Cerritos</t>
  </si>
  <si>
    <t>Chabot-Las Positas</t>
  </si>
  <si>
    <t>Chaffey</t>
  </si>
  <si>
    <t>Citrus</t>
  </si>
  <si>
    <t>Coast</t>
  </si>
  <si>
    <t>Compton</t>
  </si>
  <si>
    <t>Contra Costa</t>
  </si>
  <si>
    <t>Copper Mountain</t>
  </si>
  <si>
    <t>Desert</t>
  </si>
  <si>
    <t>El Camino</t>
  </si>
  <si>
    <t>Feather River</t>
  </si>
  <si>
    <t>Gavilan</t>
  </si>
  <si>
    <t>Glendale</t>
  </si>
  <si>
    <t>Grossmont-Cuyamaca</t>
  </si>
  <si>
    <t>Hartnell</t>
  </si>
  <si>
    <t>Imperial</t>
  </si>
  <si>
    <t>Kern</t>
  </si>
  <si>
    <t>Lake Tahoe</t>
  </si>
  <si>
    <t>Lassen</t>
  </si>
  <si>
    <t>Long Beach</t>
  </si>
  <si>
    <t>Los Angeles</t>
  </si>
  <si>
    <t>Los Rios</t>
  </si>
  <si>
    <t>Marin</t>
  </si>
  <si>
    <t>Mendocino</t>
  </si>
  <si>
    <t>Merced</t>
  </si>
  <si>
    <t>MiraCosta</t>
  </si>
  <si>
    <t>Monterey</t>
  </si>
  <si>
    <t>Mt. San Antonio</t>
  </si>
  <si>
    <t>Mt. San Jacinto</t>
  </si>
  <si>
    <t>Napa</t>
  </si>
  <si>
    <t>North Orange</t>
  </si>
  <si>
    <t>Ohlone</t>
  </si>
  <si>
    <t>Palo Verde</t>
  </si>
  <si>
    <t>Palomar</t>
  </si>
  <si>
    <t>Pasadena</t>
  </si>
  <si>
    <t>Peralta</t>
  </si>
  <si>
    <t>Rancho Santiago</t>
  </si>
  <si>
    <t>Redwoods</t>
  </si>
  <si>
    <t>Rio Hondo</t>
  </si>
  <si>
    <t>Riverside</t>
  </si>
  <si>
    <t>San Bernardino</t>
  </si>
  <si>
    <t>San Diego</t>
  </si>
  <si>
    <t>San Francisco</t>
  </si>
  <si>
    <t>San Joaquin Delta</t>
  </si>
  <si>
    <t>San Jose</t>
  </si>
  <si>
    <t>San Luis Obispo</t>
  </si>
  <si>
    <t>San Mateo</t>
  </si>
  <si>
    <t>Santa Barbara</t>
  </si>
  <si>
    <t>Santa Clarita</t>
  </si>
  <si>
    <t>Santa Monica</t>
  </si>
  <si>
    <t>Sequoias</t>
  </si>
  <si>
    <t>Shasta Tehama</t>
  </si>
  <si>
    <t>Sierra</t>
  </si>
  <si>
    <t>Siskiyous</t>
  </si>
  <si>
    <t>Solano</t>
  </si>
  <si>
    <t>Sonoma</t>
  </si>
  <si>
    <t>South Orange County</t>
  </si>
  <si>
    <t>Southwestern</t>
  </si>
  <si>
    <t>State Center</t>
  </si>
  <si>
    <t>Ventura</t>
  </si>
  <si>
    <t>Victor Valley</t>
  </si>
  <si>
    <t>West Hills</t>
  </si>
  <si>
    <t>West Kern</t>
  </si>
  <si>
    <t>Yosemite</t>
  </si>
  <si>
    <t>Yuba</t>
  </si>
  <si>
    <t>Statewide Total</t>
  </si>
  <si>
    <t>?</t>
  </si>
  <si>
    <t>Rates</t>
  </si>
  <si>
    <r>
      <t>Foothill-De Anza</t>
    </r>
    <r>
      <rPr>
        <vertAlign val="superscript"/>
        <sz val="12"/>
        <color theme="1"/>
        <rFont val="Calibri"/>
        <family val="2"/>
        <scheme val="minor"/>
      </rPr>
      <t>3</t>
    </r>
  </si>
  <si>
    <r>
      <t>West Valley-Mission</t>
    </r>
    <r>
      <rPr>
        <vertAlign val="superscript"/>
        <sz val="12"/>
        <color theme="1"/>
        <rFont val="Calibri"/>
        <family val="2"/>
        <scheme val="minor"/>
      </rPr>
      <t>2</t>
    </r>
  </si>
  <si>
    <t>Notes</t>
  </si>
  <si>
    <t>Count</t>
  </si>
  <si>
    <t>Rate</t>
  </si>
  <si>
    <t xml:space="preserve">Need to verify </t>
  </si>
  <si>
    <t>AB540 Headcount</t>
  </si>
  <si>
    <t>Pell Grant Students Only</t>
  </si>
  <si>
    <t>Promise Grant Students Only</t>
  </si>
  <si>
    <r>
      <t>Foothill-De Anza</t>
    </r>
    <r>
      <rPr>
        <vertAlign val="superscript"/>
        <sz val="11"/>
        <color theme="1"/>
        <rFont val="Calibri"/>
        <family val="2"/>
        <scheme val="minor"/>
      </rPr>
      <t>3</t>
    </r>
  </si>
  <si>
    <r>
      <t>West Valley-Mission</t>
    </r>
    <r>
      <rPr>
        <vertAlign val="superscript"/>
        <sz val="11"/>
        <color theme="1"/>
        <rFont val="Calibri"/>
        <family val="2"/>
        <scheme val="minor"/>
      </rPr>
      <t>2</t>
    </r>
  </si>
  <si>
    <t>x</t>
  </si>
  <si>
    <t>Model Inputs (3-Year Averages)</t>
  </si>
  <si>
    <t>Associate Degrees for Transfers PELL GRANT</t>
  </si>
  <si>
    <t>Associate Degrees PELL GRANT</t>
  </si>
  <si>
    <t>Baccalaureate Degrees PELL GRANT</t>
  </si>
  <si>
    <t>Credit Certificates PELL GRANT</t>
  </si>
  <si>
    <t>Transfer Level Math and English PELL GRANT</t>
  </si>
  <si>
    <t>Transfers PELL GRANT</t>
  </si>
  <si>
    <t>Nine or More CTE Units PELL GRANT</t>
  </si>
  <si>
    <t>Regional Living Wage PELL GRANT</t>
  </si>
  <si>
    <t>Associate Degrees for Transfers PROMISE GRANT</t>
  </si>
  <si>
    <t>Associate Degrees PROMISE GRANT</t>
  </si>
  <si>
    <t>Baccalaureate Degrees PROMISE GRANT</t>
  </si>
  <si>
    <t>Credit Certificates PROMISE GRANT</t>
  </si>
  <si>
    <t>Transfer Level Math and English PROMISE GRANT</t>
  </si>
  <si>
    <t>Transfers PROMISE GRANT</t>
  </si>
  <si>
    <t>Nine or More CTE Units PROMISE GRANT</t>
  </si>
  <si>
    <t>Regional Living Wage PROMISE GRANT</t>
  </si>
  <si>
    <t>Success Allocation</t>
  </si>
  <si>
    <t>2019-20 Total Computational Revenue (SCFF)</t>
  </si>
  <si>
    <t>2018-19 COLA</t>
  </si>
  <si>
    <t>2019-20 Minimum (2017-18 Total Computational Revenue Plus 17-18 COLA plus 18-19 COLA)</t>
  </si>
  <si>
    <t>2017-18 Total Computational Revenue (Realized)</t>
  </si>
  <si>
    <t>2017-18 COLA</t>
  </si>
  <si>
    <t>2019-20 Minimum Larger Than 2019-20 Total Computation Revenue (SCFF)</t>
  </si>
  <si>
    <t>Hold Harmless</t>
  </si>
  <si>
    <t>Basic Aid Districts</t>
  </si>
  <si>
    <r>
      <t>Foothill-De Anza</t>
    </r>
    <r>
      <rPr>
        <vertAlign val="superscript"/>
        <sz val="12"/>
        <color theme="1"/>
        <rFont val="Calibri"/>
        <family val="2"/>
        <charset val="129"/>
        <scheme val="minor"/>
      </rPr>
      <t>3</t>
    </r>
  </si>
  <si>
    <r>
      <t>West Valley-Mission</t>
    </r>
    <r>
      <rPr>
        <vertAlign val="superscript"/>
        <sz val="12"/>
        <color theme="1"/>
        <rFont val="Calibri"/>
        <family val="2"/>
        <charset val="129"/>
        <scheme val="minor"/>
      </rPr>
      <t>2</t>
    </r>
  </si>
  <si>
    <t>Hold Harmless for Non-Basic Aid Districts</t>
  </si>
  <si>
    <t>2019-20 SCFF</t>
  </si>
  <si>
    <t xml:space="preserve">Total </t>
  </si>
  <si>
    <t>UNCLEAR WHERE THESE COME FROM</t>
  </si>
  <si>
    <t>points</t>
  </si>
  <si>
    <t>points / FTES</t>
  </si>
  <si>
    <t>2017-18 rate</t>
  </si>
  <si>
    <t>2019-20 rate</t>
  </si>
  <si>
    <t>Used value from 2017-18 grown at 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</si>
</sst>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7" formatCode="&quot;$&quot;#,##0.00_);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$&quot;* #,##0_);_(&quot;$&quot;* \(#,##0\);_(&quot;$&quot;* &quot;-&quot;??_);_(@_)"/>
    <numFmt numFmtId="167" formatCode="_(* #,##0_);_(* \(#,##0\);_(* &quot;-&quot;??_);_(@_)"/>
    <numFmt numFmtId="168" formatCode="_(&quot;$&quot;* #,##0.0000_);_(&quot;$&quot;* \(#,##0.0000\);_(&quot;$&quot;* &quot;-&quot;??_);_(@_)"/>
    <numFmt numFmtId="169" formatCode="0.00000000000%"/>
    <numFmt numFmtId="170" formatCode="#,##0.0_);\(#,##0.0\)"/>
    <numFmt numFmtId="171" formatCode="_-* #,##0_-;\-* #,##0_-;_-* &quot;-&quot;??_-;_-@_-"/>
    <numFmt numFmtId="172" formatCode="[$-10409]#,##0;\(#,##0\)"/>
    <numFmt numFmtId="173" formatCode="_-* #,##0.0000_-;\-* #,##0.0000_-;_-* &quot;-&quot;??_-;_-@_-"/>
    <numFmt numFmtId="174" formatCode="0.000000000000"/>
    <numFmt numFmtId="175" formatCode="_-&quot;$&quot;* #,##0.00000000000_-;\-&quot;$&quot;* #,##0.00000000000_-;_-&quot;$&quot;* &quot;-&quot;??_-;_-@_-"/>
    <numFmt numFmtId="176" formatCode="_-&quot;$&quot;* #,##0.000000000000000_-;\-&quot;$&quot;* #,##0.000000000000000_-;_-&quot;$&quot;* &quot;-&quot;??_-;_-@_-"/>
  </numFmts>
  <fonts count="26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charset val="129"/>
      <scheme val="minor"/>
    </font>
    <font>
      <sz val="12"/>
      <color rgb="FF3F3F76"/>
      <name val="Calibri"/>
      <family val="2"/>
      <charset val="129"/>
      <scheme val="minor"/>
    </font>
    <font>
      <b/>
      <sz val="12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b/>
      <vertAlign val="superscript"/>
      <sz val="11"/>
      <name val="Calibri"/>
      <family val="2"/>
      <scheme val="minor"/>
    </font>
    <font>
      <u/>
      <sz val="12"/>
      <color theme="10"/>
      <name val="Calibri"/>
      <family val="2"/>
      <charset val="129"/>
      <scheme val="minor"/>
    </font>
    <font>
      <u/>
      <sz val="12"/>
      <color theme="11"/>
      <name val="Calibri"/>
      <family val="2"/>
      <charset val="129"/>
      <scheme val="minor"/>
    </font>
    <font>
      <b/>
      <sz val="12"/>
      <color indexed="8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charset val="129"/>
      <scheme val="minor"/>
    </font>
    <font>
      <sz val="10"/>
      <color theme="1"/>
      <name val="Calibri"/>
      <family val="2"/>
      <charset val="129"/>
    </font>
    <font>
      <sz val="12"/>
      <color rgb="FFFF0000"/>
      <name val="Calibri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7D57C"/>
        <bgColor indexed="64"/>
      </patternFill>
    </fill>
  </fills>
  <borders count="3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auto="1"/>
      </right>
      <top style="thin">
        <color rgb="FF7F7F7F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1" tint="0.34998626667073579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1" tint="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1" tint="0.34998626667073579"/>
      </top>
      <bottom style="thin">
        <color theme="0" tint="-0.1499679555650502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2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3" fillId="0" borderId="0"/>
    <xf numFmtId="0" fontId="14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30">
    <xf numFmtId="0" fontId="0" fillId="0" borderId="0" xfId="0"/>
    <xf numFmtId="0" fontId="2" fillId="2" borderId="2" xfId="4" applyBorder="1" applyAlignment="1">
      <alignment vertical="center"/>
    </xf>
    <xf numFmtId="0" fontId="2" fillId="2" borderId="3" xfId="4" applyBorder="1" applyAlignment="1">
      <alignment vertical="center"/>
    </xf>
    <xf numFmtId="0" fontId="2" fillId="2" borderId="4" xfId="4" applyBorder="1" applyAlignment="1">
      <alignment vertical="center"/>
    </xf>
    <xf numFmtId="0" fontId="0" fillId="0" borderId="5" xfId="0" applyBorder="1"/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166" fontId="1" fillId="0" borderId="8" xfId="2" applyNumberFormat="1" applyBorder="1"/>
    <xf numFmtId="0" fontId="0" fillId="0" borderId="9" xfId="0" applyBorder="1" applyAlignment="1">
      <alignment horizontal="left" wrapText="1"/>
    </xf>
    <xf numFmtId="0" fontId="0" fillId="0" borderId="0" xfId="0" applyAlignment="1">
      <alignment horizontal="left" wrapText="1"/>
    </xf>
    <xf numFmtId="166" fontId="1" fillId="0" borderId="10" xfId="2" applyNumberFormat="1" applyBorder="1"/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167" fontId="4" fillId="3" borderId="10" xfId="1" applyNumberFormat="1" applyFont="1" applyFill="1" applyBorder="1"/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167" fontId="1" fillId="0" borderId="10" xfId="1" applyNumberFormat="1" applyBorder="1"/>
    <xf numFmtId="44" fontId="0" fillId="0" borderId="0" xfId="0" applyNumberFormat="1"/>
    <xf numFmtId="0" fontId="0" fillId="0" borderId="0" xfId="0" applyAlignment="1">
      <alignment horizontal="center"/>
    </xf>
    <xf numFmtId="0" fontId="0" fillId="0" borderId="9" xfId="0" applyBorder="1" applyAlignment="1">
      <alignment horizontal="right" wrapText="1"/>
    </xf>
    <xf numFmtId="0" fontId="0" fillId="0" borderId="0" xfId="0" applyAlignment="1">
      <alignment horizontal="right" wrapText="1"/>
    </xf>
    <xf numFmtId="166" fontId="1" fillId="0" borderId="11" xfId="2" applyNumberFormat="1" applyBorder="1"/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166" fontId="1" fillId="0" borderId="14" xfId="2" applyNumberFormat="1" applyBorder="1" applyAlignment="1">
      <alignment vertical="top"/>
    </xf>
    <xf numFmtId="167" fontId="0" fillId="0" borderId="0" xfId="0" applyNumberFormat="1"/>
    <xf numFmtId="0" fontId="5" fillId="0" borderId="0" xfId="0" applyFont="1" applyAlignment="1">
      <alignment horizontal="right" vertical="top" wrapText="1"/>
    </xf>
    <xf numFmtId="166" fontId="1" fillId="0" borderId="0" xfId="2" applyNumberFormat="1" applyAlignment="1">
      <alignment vertical="top"/>
    </xf>
    <xf numFmtId="0" fontId="0" fillId="0" borderId="15" xfId="0" applyBorder="1" applyAlignment="1">
      <alignment horizontal="left"/>
    </xf>
    <xf numFmtId="9" fontId="0" fillId="0" borderId="5" xfId="0" applyNumberFormat="1" applyBorder="1"/>
    <xf numFmtId="9" fontId="0" fillId="0" borderId="0" xfId="0" applyNumberFormat="1"/>
    <xf numFmtId="0" fontId="0" fillId="0" borderId="0" xfId="0" applyAlignment="1">
      <alignment vertical="top"/>
    </xf>
    <xf numFmtId="0" fontId="0" fillId="0" borderId="12" xfId="0" applyBorder="1" applyAlignment="1">
      <alignment horizontal="right"/>
    </xf>
    <xf numFmtId="0" fontId="5" fillId="0" borderId="13" xfId="0" applyFont="1" applyBorder="1" applyAlignment="1">
      <alignment horizontal="center"/>
    </xf>
    <xf numFmtId="166" fontId="0" fillId="0" borderId="16" xfId="0" applyNumberFormat="1" applyBorder="1"/>
    <xf numFmtId="0" fontId="5" fillId="0" borderId="0" xfId="0" applyFont="1" applyAlignment="1">
      <alignment horizontal="right" wrapText="1"/>
    </xf>
    <xf numFmtId="0" fontId="0" fillId="0" borderId="15" xfId="0" applyBorder="1"/>
    <xf numFmtId="166" fontId="0" fillId="0" borderId="11" xfId="0" applyNumberFormat="1" applyBorder="1"/>
    <xf numFmtId="166" fontId="0" fillId="0" borderId="0" xfId="0" applyNumberFormat="1"/>
    <xf numFmtId="0" fontId="0" fillId="0" borderId="9" xfId="0" applyBorder="1"/>
    <xf numFmtId="0" fontId="0" fillId="0" borderId="10" xfId="0" applyBorder="1"/>
    <xf numFmtId="166" fontId="1" fillId="0" borderId="0" xfId="2" applyNumberFormat="1"/>
    <xf numFmtId="167" fontId="0" fillId="0" borderId="0" xfId="1" applyNumberFormat="1" applyFont="1" applyAlignment="1">
      <alignment horizontal="center" wrapText="1"/>
    </xf>
    <xf numFmtId="0" fontId="5" fillId="0" borderId="9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166" fontId="0" fillId="0" borderId="10" xfId="0" applyNumberFormat="1" applyBorder="1"/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43" fontId="0" fillId="0" borderId="10" xfId="0" applyNumberFormat="1" applyBorder="1"/>
    <xf numFmtId="166" fontId="6" fillId="0" borderId="0" xfId="2" applyNumberFormat="1" applyFont="1" applyAlignment="1">
      <alignment horizontal="right" vertical="center"/>
    </xf>
    <xf numFmtId="0" fontId="0" fillId="0" borderId="0" xfId="0" quotePrefix="1" applyAlignment="1">
      <alignment horizontal="center"/>
    </xf>
    <xf numFmtId="0" fontId="4" fillId="4" borderId="12" xfId="0" applyFont="1" applyFill="1" applyBorder="1"/>
    <xf numFmtId="0" fontId="4" fillId="4" borderId="13" xfId="0" applyFont="1" applyFill="1" applyBorder="1"/>
    <xf numFmtId="44" fontId="4" fillId="0" borderId="16" xfId="2" applyNumberFormat="1" applyFont="1" applyBorder="1"/>
    <xf numFmtId="164" fontId="7" fillId="0" borderId="0" xfId="2" applyFont="1" applyAlignment="1">
      <alignment horizontal="right" vertical="center"/>
    </xf>
    <xf numFmtId="164" fontId="0" fillId="0" borderId="0" xfId="2" applyFont="1" applyAlignment="1">
      <alignment horizontal="center"/>
    </xf>
    <xf numFmtId="10" fontId="8" fillId="0" borderId="0" xfId="3" applyNumberFormat="1" applyFont="1" applyAlignment="1">
      <alignment horizontal="center"/>
    </xf>
    <xf numFmtId="0" fontId="5" fillId="0" borderId="0" xfId="0" applyFont="1" applyAlignment="1">
      <alignment horizontal="right"/>
    </xf>
    <xf numFmtId="164" fontId="0" fillId="0" borderId="0" xfId="2" applyFont="1"/>
    <xf numFmtId="0" fontId="0" fillId="0" borderId="15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right"/>
    </xf>
    <xf numFmtId="168" fontId="4" fillId="4" borderId="16" xfId="2" applyNumberFormat="1" applyFont="1" applyFill="1" applyBorder="1"/>
    <xf numFmtId="0" fontId="0" fillId="0" borderId="15" xfId="0" applyBorder="1" applyAlignment="1">
      <alignment vertical="top"/>
    </xf>
    <xf numFmtId="0" fontId="0" fillId="0" borderId="5" xfId="0" applyBorder="1" applyAlignment="1">
      <alignment vertical="top"/>
    </xf>
    <xf numFmtId="166" fontId="1" fillId="0" borderId="11" xfId="2" applyNumberFormat="1" applyBorder="1" applyAlignment="1">
      <alignment vertical="top"/>
    </xf>
    <xf numFmtId="164" fontId="0" fillId="0" borderId="0" xfId="2" applyFont="1" applyAlignment="1">
      <alignment vertical="top"/>
    </xf>
    <xf numFmtId="167" fontId="0" fillId="0" borderId="10" xfId="0" applyNumberFormat="1" applyBorder="1"/>
    <xf numFmtId="169" fontId="6" fillId="0" borderId="0" xfId="3" applyNumberFormat="1" applyFont="1" applyAlignment="1">
      <alignment horizontal="left" vertical="center"/>
    </xf>
    <xf numFmtId="0" fontId="0" fillId="0" borderId="9" xfId="0" applyBorder="1" applyAlignment="1">
      <alignment vertical="top"/>
    </xf>
    <xf numFmtId="9" fontId="0" fillId="0" borderId="0" xfId="0" applyNumberFormat="1" applyAlignment="1">
      <alignment vertical="top"/>
    </xf>
    <xf numFmtId="166" fontId="1" fillId="0" borderId="10" xfId="2" applyNumberFormat="1" applyBorder="1" applyAlignment="1">
      <alignment vertical="top"/>
    </xf>
    <xf numFmtId="0" fontId="7" fillId="0" borderId="0" xfId="0" applyFont="1" applyAlignment="1">
      <alignment horizontal="left" vertical="center"/>
    </xf>
    <xf numFmtId="165" fontId="7" fillId="0" borderId="0" xfId="1" applyFont="1" applyAlignment="1">
      <alignment horizontal="right" vertical="center"/>
    </xf>
    <xf numFmtId="0" fontId="0" fillId="0" borderId="12" xfId="0" applyBorder="1"/>
    <xf numFmtId="0" fontId="0" fillId="0" borderId="13" xfId="0" applyBorder="1"/>
    <xf numFmtId="166" fontId="1" fillId="0" borderId="16" xfId="2" applyNumberFormat="1" applyBorder="1"/>
    <xf numFmtId="167" fontId="0" fillId="0" borderId="11" xfId="0" applyNumberFormat="1" applyBorder="1"/>
    <xf numFmtId="167" fontId="0" fillId="0" borderId="10" xfId="1" applyNumberFormat="1" applyFont="1" applyBorder="1"/>
    <xf numFmtId="10" fontId="0" fillId="0" borderId="0" xfId="0" applyNumberFormat="1"/>
    <xf numFmtId="0" fontId="4" fillId="4" borderId="9" xfId="0" applyFont="1" applyFill="1" applyBorder="1"/>
    <xf numFmtId="0" fontId="4" fillId="4" borderId="0" xfId="0" applyFont="1" applyFill="1"/>
    <xf numFmtId="168" fontId="4" fillId="4" borderId="11" xfId="2" applyNumberFormat="1" applyFont="1" applyFill="1" applyBorder="1"/>
    <xf numFmtId="169" fontId="7" fillId="0" borderId="0" xfId="3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164" fontId="7" fillId="0" borderId="0" xfId="2" applyFont="1" applyAlignment="1">
      <alignment horizontal="right" vertical="top"/>
    </xf>
    <xf numFmtId="165" fontId="0" fillId="0" borderId="0" xfId="1" applyFont="1" applyAlignment="1">
      <alignment vertical="top"/>
    </xf>
    <xf numFmtId="165" fontId="0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/>
    <xf numFmtId="37" fontId="7" fillId="0" borderId="0" xfId="0" applyNumberFormat="1" applyFont="1"/>
    <xf numFmtId="42" fontId="7" fillId="0" borderId="0" xfId="2" applyNumberFormat="1" applyFont="1"/>
    <xf numFmtId="167" fontId="7" fillId="0" borderId="0" xfId="1" applyNumberFormat="1" applyFont="1"/>
    <xf numFmtId="0" fontId="7" fillId="0" borderId="0" xfId="0" applyFont="1" applyAlignment="1">
      <alignment horizontal="right"/>
    </xf>
    <xf numFmtId="170" fontId="7" fillId="0" borderId="5" xfId="0" applyNumberFormat="1" applyFont="1" applyBorder="1"/>
    <xf numFmtId="37" fontId="7" fillId="0" borderId="5" xfId="0" applyNumberFormat="1" applyFont="1" applyBorder="1"/>
    <xf numFmtId="42" fontId="7" fillId="0" borderId="5" xfId="2" applyNumberFormat="1" applyFont="1" applyBorder="1"/>
    <xf numFmtId="44" fontId="7" fillId="6" borderId="0" xfId="0" applyNumberFormat="1" applyFont="1" applyFill="1"/>
    <xf numFmtId="166" fontId="7" fillId="0" borderId="0" xfId="0" applyNumberFormat="1" applyFont="1"/>
    <xf numFmtId="166" fontId="7" fillId="7" borderId="0" xfId="0" applyNumberFormat="1" applyFont="1" applyFill="1"/>
    <xf numFmtId="0" fontId="7" fillId="0" borderId="0" xfId="0" applyFont="1" applyAlignment="1">
      <alignment wrapText="1"/>
    </xf>
    <xf numFmtId="167" fontId="7" fillId="0" borderId="0" xfId="0" applyNumberFormat="1" applyFont="1"/>
    <xf numFmtId="0" fontId="5" fillId="0" borderId="0" xfId="0" applyFont="1" applyAlignment="1">
      <alignment horizontal="center"/>
    </xf>
    <xf numFmtId="7" fontId="5" fillId="0" borderId="0" xfId="0" applyNumberFormat="1" applyFont="1"/>
    <xf numFmtId="0" fontId="0" fillId="0" borderId="0" xfId="0" applyAlignment="1"/>
    <xf numFmtId="0" fontId="0" fillId="0" borderId="0" xfId="0" applyFill="1" applyBorder="1" applyAlignment="1"/>
    <xf numFmtId="0" fontId="3" fillId="0" borderId="0" xfId="0" applyFont="1" applyFill="1" applyBorder="1" applyAlignment="1">
      <alignment vertical="center"/>
    </xf>
    <xf numFmtId="171" fontId="0" fillId="10" borderId="0" xfId="1" applyNumberFormat="1" applyFont="1" applyFill="1" applyAlignment="1">
      <alignment horizontal="right"/>
    </xf>
    <xf numFmtId="171" fontId="0" fillId="3" borderId="19" xfId="1" applyNumberFormat="1" applyFont="1" applyFill="1" applyBorder="1"/>
    <xf numFmtId="171" fontId="0" fillId="3" borderId="0" xfId="1" applyNumberFormat="1" applyFont="1" applyFill="1"/>
    <xf numFmtId="171" fontId="0" fillId="3" borderId="21" xfId="1" applyNumberFormat="1" applyFont="1" applyFill="1" applyBorder="1"/>
    <xf numFmtId="0" fontId="0" fillId="3" borderId="6" xfId="0" applyFill="1" applyBorder="1" applyAlignment="1">
      <alignment horizontal="left"/>
    </xf>
    <xf numFmtId="0" fontId="0" fillId="10" borderId="0" xfId="0" applyFill="1" applyAlignment="1"/>
    <xf numFmtId="0" fontId="0" fillId="9" borderId="0" xfId="0" applyFill="1" applyAlignment="1"/>
    <xf numFmtId="171" fontId="3" fillId="10" borderId="0" xfId="1" applyNumberFormat="1" applyFont="1" applyFill="1"/>
    <xf numFmtId="0" fontId="0" fillId="3" borderId="0" xfId="0" applyFont="1" applyFill="1"/>
    <xf numFmtId="0" fontId="3" fillId="3" borderId="0" xfId="0" applyFont="1" applyFill="1" applyBorder="1" applyAlignment="1">
      <alignment horizontal="center" vertical="center" wrapText="1"/>
    </xf>
    <xf numFmtId="0" fontId="0" fillId="3" borderId="13" xfId="0" applyFont="1" applyFill="1" applyBorder="1"/>
    <xf numFmtId="171" fontId="0" fillId="3" borderId="0" xfId="0" applyNumberFormat="1" applyFont="1" applyFill="1"/>
    <xf numFmtId="171" fontId="3" fillId="3" borderId="0" xfId="1" applyNumberFormat="1" applyFont="1" applyFill="1"/>
    <xf numFmtId="171" fontId="3" fillId="11" borderId="0" xfId="0" applyNumberFormat="1" applyFont="1" applyFill="1"/>
    <xf numFmtId="171" fontId="3" fillId="3" borderId="22" xfId="1" applyNumberFormat="1" applyFont="1" applyFill="1" applyBorder="1"/>
    <xf numFmtId="0" fontId="0" fillId="0" borderId="0" xfId="0" applyFont="1" applyFill="1" applyAlignment="1">
      <alignment wrapText="1"/>
    </xf>
    <xf numFmtId="0" fontId="0" fillId="9" borderId="0" xfId="0" applyFont="1" applyFill="1"/>
    <xf numFmtId="0" fontId="0" fillId="11" borderId="0" xfId="0" applyFont="1" applyFill="1"/>
    <xf numFmtId="0" fontId="0" fillId="0" borderId="0" xfId="0" applyFont="1" applyFill="1"/>
    <xf numFmtId="0" fontId="3" fillId="10" borderId="0" xfId="0" applyFont="1" applyFill="1" applyBorder="1" applyAlignment="1">
      <alignment horizontal="center" vertical="center" wrapText="1"/>
    </xf>
    <xf numFmtId="0" fontId="0" fillId="0" borderId="0" xfId="0" applyFont="1" applyFill="1" applyBorder="1"/>
    <xf numFmtId="0" fontId="0" fillId="0" borderId="13" xfId="0" applyFont="1" applyFill="1" applyBorder="1"/>
    <xf numFmtId="0" fontId="3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left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12" fillId="10" borderId="13" xfId="0" applyFont="1" applyFill="1" applyBorder="1" applyAlignment="1" applyProtection="1">
      <alignment horizontal="center" vertical="center" wrapText="1"/>
      <protection locked="0"/>
    </xf>
    <xf numFmtId="0" fontId="0" fillId="10" borderId="13" xfId="0" applyFont="1" applyFill="1" applyBorder="1"/>
    <xf numFmtId="0" fontId="0" fillId="9" borderId="13" xfId="0" applyFont="1" applyFill="1" applyBorder="1"/>
    <xf numFmtId="0" fontId="0" fillId="11" borderId="13" xfId="0" applyFont="1" applyFill="1" applyBorder="1"/>
    <xf numFmtId="0" fontId="0" fillId="3" borderId="20" xfId="0" applyFont="1" applyFill="1" applyBorder="1"/>
    <xf numFmtId="0" fontId="0" fillId="10" borderId="0" xfId="0" applyFont="1" applyFill="1"/>
    <xf numFmtId="171" fontId="0" fillId="10" borderId="0" xfId="0" applyNumberFormat="1" applyFont="1" applyFill="1"/>
    <xf numFmtId="2" fontId="0" fillId="9" borderId="0" xfId="0" applyNumberFormat="1" applyFont="1" applyFill="1"/>
    <xf numFmtId="171" fontId="0" fillId="11" borderId="0" xfId="0" applyNumberFormat="1" applyFont="1" applyFill="1"/>
    <xf numFmtId="0" fontId="0" fillId="0" borderId="19" xfId="0" applyFont="1" applyFill="1" applyBorder="1" applyAlignment="1">
      <alignment horizontal="right"/>
    </xf>
    <xf numFmtId="0" fontId="3" fillId="9" borderId="0" xfId="0" applyFont="1" applyFill="1" applyAlignment="1">
      <alignment horizontal="center" vertical="center" wrapText="1"/>
    </xf>
    <xf numFmtId="0" fontId="3" fillId="11" borderId="0" xfId="0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horizontal="right"/>
    </xf>
    <xf numFmtId="0" fontId="0" fillId="3" borderId="0" xfId="0" applyFont="1" applyFill="1" applyBorder="1"/>
    <xf numFmtId="167" fontId="0" fillId="3" borderId="0" xfId="1" applyNumberFormat="1" applyFont="1" applyFill="1"/>
    <xf numFmtId="0" fontId="3" fillId="0" borderId="0" xfId="0" applyFont="1" applyFill="1" applyBorder="1"/>
    <xf numFmtId="0" fontId="0" fillId="10" borderId="0" xfId="0" applyFont="1" applyFill="1" applyBorder="1"/>
    <xf numFmtId="171" fontId="0" fillId="10" borderId="0" xfId="0" applyNumberFormat="1" applyFont="1" applyFill="1" applyBorder="1"/>
    <xf numFmtId="0" fontId="0" fillId="9" borderId="0" xfId="0" applyFont="1" applyFill="1" applyBorder="1"/>
    <xf numFmtId="165" fontId="0" fillId="9" borderId="0" xfId="1" applyFont="1" applyFill="1" applyAlignment="1">
      <alignment horizontal="right"/>
    </xf>
    <xf numFmtId="165" fontId="0" fillId="9" borderId="0" xfId="1" applyFont="1" applyFill="1"/>
    <xf numFmtId="0" fontId="0" fillId="0" borderId="0" xfId="0" applyFont="1"/>
    <xf numFmtId="0" fontId="3" fillId="0" borderId="13" xfId="0" applyFont="1" applyFill="1" applyBorder="1" applyAlignment="1">
      <alignment wrapText="1"/>
    </xf>
    <xf numFmtId="0" fontId="15" fillId="3" borderId="13" xfId="79" applyFont="1" applyFill="1" applyBorder="1" applyAlignment="1">
      <alignment horizontal="center" wrapText="1"/>
    </xf>
    <xf numFmtId="167" fontId="15" fillId="3" borderId="13" xfId="1" applyNumberFormat="1" applyFont="1" applyFill="1" applyBorder="1" applyAlignment="1">
      <alignment horizontal="center" wrapText="1"/>
    </xf>
    <xf numFmtId="0" fontId="3" fillId="10" borderId="13" xfId="0" applyFont="1" applyFill="1" applyBorder="1" applyAlignment="1">
      <alignment wrapText="1"/>
    </xf>
    <xf numFmtId="0" fontId="3" fillId="9" borderId="13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 wrapText="1"/>
    </xf>
    <xf numFmtId="172" fontId="16" fillId="3" borderId="0" xfId="80" applyNumberFormat="1" applyFont="1" applyFill="1" applyBorder="1" applyAlignment="1" applyProtection="1">
      <alignment horizontal="right" wrapText="1" readingOrder="1"/>
      <protection locked="0"/>
    </xf>
    <xf numFmtId="0" fontId="3" fillId="0" borderId="0" xfId="0" applyFont="1" applyFill="1" applyBorder="1" applyAlignment="1">
      <alignment horizontal="right"/>
    </xf>
    <xf numFmtId="167" fontId="3" fillId="3" borderId="0" xfId="1" applyNumberFormat="1" applyFont="1" applyFill="1" applyBorder="1"/>
    <xf numFmtId="0" fontId="3" fillId="3" borderId="0" xfId="0" applyFont="1" applyFill="1" applyBorder="1"/>
    <xf numFmtId="171" fontId="3" fillId="10" borderId="0" xfId="0" applyNumberFormat="1" applyFont="1" applyFill="1" applyBorder="1"/>
    <xf numFmtId="171" fontId="0" fillId="11" borderId="0" xfId="1" applyNumberFormat="1" applyFont="1" applyFill="1"/>
    <xf numFmtId="171" fontId="3" fillId="11" borderId="13" xfId="1" applyNumberFormat="1" applyFont="1" applyFill="1" applyBorder="1" applyAlignment="1">
      <alignment horizontal="center" vertical="center" wrapText="1"/>
    </xf>
    <xf numFmtId="171" fontId="0" fillId="11" borderId="0" xfId="1" applyNumberFormat="1" applyFont="1" applyFill="1" applyBorder="1"/>
    <xf numFmtId="171" fontId="3" fillId="11" borderId="0" xfId="1" applyNumberFormat="1" applyFont="1" applyFill="1"/>
    <xf numFmtId="165" fontId="3" fillId="9" borderId="0" xfId="1" applyFont="1" applyFill="1"/>
    <xf numFmtId="0" fontId="3" fillId="0" borderId="0" xfId="0" applyFont="1"/>
    <xf numFmtId="0" fontId="3" fillId="3" borderId="13" xfId="0" applyFont="1" applyFill="1" applyBorder="1" applyAlignment="1">
      <alignment horizontal="centerContinuous"/>
    </xf>
    <xf numFmtId="0" fontId="3" fillId="3" borderId="14" xfId="0" applyFont="1" applyFill="1" applyBorder="1" applyAlignment="1">
      <alignment horizontal="centerContinuous"/>
    </xf>
    <xf numFmtId="0" fontId="15" fillId="3" borderId="14" xfId="79" applyFont="1" applyFill="1" applyBorder="1" applyAlignment="1">
      <alignment horizontal="center" wrapText="1"/>
    </xf>
    <xf numFmtId="0" fontId="0" fillId="3" borderId="10" xfId="0" applyFont="1" applyFill="1" applyBorder="1"/>
    <xf numFmtId="0" fontId="3" fillId="3" borderId="10" xfId="0" applyFont="1" applyFill="1" applyBorder="1"/>
    <xf numFmtId="0" fontId="0" fillId="3" borderId="10" xfId="0" applyFont="1" applyFill="1" applyBorder="1" applyAlignment="1">
      <alignment horizontal="right"/>
    </xf>
    <xf numFmtId="167" fontId="0" fillId="3" borderId="10" xfId="1" applyNumberFormat="1" applyFont="1" applyFill="1" applyBorder="1"/>
    <xf numFmtId="167" fontId="3" fillId="3" borderId="10" xfId="1" applyNumberFormat="1" applyFont="1" applyFill="1" applyBorder="1"/>
    <xf numFmtId="0" fontId="3" fillId="3" borderId="13" xfId="0" applyFont="1" applyFill="1" applyBorder="1" applyAlignment="1">
      <alignment horizontal="centerContinuous" wrapText="1"/>
    </xf>
    <xf numFmtId="0" fontId="0" fillId="3" borderId="13" xfId="0" applyFont="1" applyFill="1" applyBorder="1" applyAlignment="1">
      <alignment horizontal="centerContinuous"/>
    </xf>
    <xf numFmtId="0" fontId="3" fillId="10" borderId="13" xfId="0" applyFont="1" applyFill="1" applyBorder="1" applyAlignment="1">
      <alignment horizontal="centerContinuous"/>
    </xf>
    <xf numFmtId="0" fontId="0" fillId="10" borderId="13" xfId="0" applyFont="1" applyFill="1" applyBorder="1" applyAlignment="1">
      <alignment horizontal="centerContinuous"/>
    </xf>
    <xf numFmtId="0" fontId="3" fillId="9" borderId="13" xfId="0" applyFont="1" applyFill="1" applyBorder="1" applyAlignment="1">
      <alignment horizontal="centerContinuous"/>
    </xf>
    <xf numFmtId="0" fontId="0" fillId="3" borderId="23" xfId="0" applyFont="1" applyFill="1" applyBorder="1"/>
    <xf numFmtId="171" fontId="0" fillId="3" borderId="24" xfId="1" applyNumberFormat="1" applyFont="1" applyFill="1" applyBorder="1"/>
    <xf numFmtId="171" fontId="0" fillId="3" borderId="25" xfId="1" applyNumberFormat="1" applyFont="1" applyFill="1" applyBorder="1"/>
    <xf numFmtId="171" fontId="3" fillId="3" borderId="26" xfId="1" applyNumberFormat="1" applyFont="1" applyFill="1" applyBorder="1"/>
    <xf numFmtId="0" fontId="3" fillId="3" borderId="14" xfId="0" applyFont="1" applyFill="1" applyBorder="1" applyAlignment="1">
      <alignment horizontal="centerContinuous" wrapText="1"/>
    </xf>
    <xf numFmtId="0" fontId="0" fillId="3" borderId="27" xfId="0" applyFont="1" applyFill="1" applyBorder="1"/>
    <xf numFmtId="171" fontId="0" fillId="3" borderId="28" xfId="1" applyNumberFormat="1" applyFont="1" applyFill="1" applyBorder="1"/>
    <xf numFmtId="171" fontId="3" fillId="3" borderId="29" xfId="1" applyNumberFormat="1" applyFont="1" applyFill="1" applyBorder="1"/>
    <xf numFmtId="171" fontId="0" fillId="3" borderId="10" xfId="1" applyNumberFormat="1" applyFont="1" applyFill="1" applyBorder="1"/>
    <xf numFmtId="171" fontId="3" fillId="3" borderId="10" xfId="1" applyNumberFormat="1" applyFont="1" applyFill="1" applyBorder="1"/>
    <xf numFmtId="0" fontId="3" fillId="3" borderId="10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 applyProtection="1">
      <alignment horizontal="center" vertical="center" wrapText="1"/>
      <protection locked="0"/>
    </xf>
    <xf numFmtId="0" fontId="0" fillId="3" borderId="14" xfId="0" applyFont="1" applyFill="1" applyBorder="1" applyAlignment="1">
      <alignment horizontal="centerContinuous"/>
    </xf>
    <xf numFmtId="0" fontId="0" fillId="10" borderId="14" xfId="0" applyFont="1" applyFill="1" applyBorder="1" applyAlignment="1">
      <alignment horizontal="centerContinuous"/>
    </xf>
    <xf numFmtId="0" fontId="3" fillId="10" borderId="10" xfId="0" applyFont="1" applyFill="1" applyBorder="1" applyAlignment="1">
      <alignment horizontal="center" vertical="center" wrapText="1"/>
    </xf>
    <xf numFmtId="0" fontId="12" fillId="10" borderId="14" xfId="0" applyFont="1" applyFill="1" applyBorder="1" applyAlignment="1" applyProtection="1">
      <alignment horizontal="center" vertical="center" wrapText="1"/>
      <protection locked="0"/>
    </xf>
    <xf numFmtId="0" fontId="0" fillId="10" borderId="10" xfId="0" applyFont="1" applyFill="1" applyBorder="1"/>
    <xf numFmtId="171" fontId="0" fillId="10" borderId="10" xfId="1" applyNumberFormat="1" applyFont="1" applyFill="1" applyBorder="1" applyAlignment="1">
      <alignment horizontal="right"/>
    </xf>
    <xf numFmtId="171" fontId="3" fillId="10" borderId="10" xfId="1" applyNumberFormat="1" applyFont="1" applyFill="1" applyBorder="1"/>
    <xf numFmtId="0" fontId="3" fillId="10" borderId="18" xfId="0" applyFont="1" applyFill="1" applyBorder="1" applyAlignment="1">
      <alignment horizontal="centerContinuous" vertical="center" wrapText="1"/>
    </xf>
    <xf numFmtId="0" fontId="3" fillId="10" borderId="18" xfId="0" applyFont="1" applyFill="1" applyBorder="1" applyAlignment="1">
      <alignment horizontal="centerContinuous" wrapText="1"/>
    </xf>
    <xf numFmtId="0" fontId="3" fillId="10" borderId="17" xfId="0" applyFont="1" applyFill="1" applyBorder="1" applyAlignment="1">
      <alignment horizontal="centerContinuous" wrapText="1"/>
    </xf>
    <xf numFmtId="0" fontId="3" fillId="3" borderId="17" xfId="0" applyFont="1" applyFill="1" applyBorder="1" applyAlignment="1">
      <alignment horizontal="centerContinuous" wrapText="1"/>
    </xf>
    <xf numFmtId="0" fontId="3" fillId="3" borderId="18" xfId="0" applyFont="1" applyFill="1" applyBorder="1" applyAlignment="1">
      <alignment horizontal="centerContinuous" wrapText="1"/>
    </xf>
    <xf numFmtId="0" fontId="3" fillId="0" borderId="13" xfId="0" applyFont="1" applyFill="1" applyBorder="1"/>
    <xf numFmtId="171" fontId="0" fillId="11" borderId="13" xfId="1" applyNumberFormat="1" applyFont="1" applyFill="1" applyBorder="1"/>
    <xf numFmtId="0" fontId="3" fillId="10" borderId="14" xfId="0" applyFont="1" applyFill="1" applyBorder="1" applyAlignment="1">
      <alignment horizontal="centerContinuous"/>
    </xf>
    <xf numFmtId="0" fontId="3" fillId="10" borderId="14" xfId="0" applyFont="1" applyFill="1" applyBorder="1" applyAlignment="1">
      <alignment wrapText="1"/>
    </xf>
    <xf numFmtId="171" fontId="3" fillId="10" borderId="10" xfId="0" applyNumberFormat="1" applyFont="1" applyFill="1" applyBorder="1"/>
    <xf numFmtId="0" fontId="3" fillId="9" borderId="14" xfId="0" applyFont="1" applyFill="1" applyBorder="1" applyAlignment="1">
      <alignment horizontal="centerContinuous"/>
    </xf>
    <xf numFmtId="0" fontId="3" fillId="9" borderId="14" xfId="0" applyFont="1" applyFill="1" applyBorder="1" applyAlignment="1">
      <alignment wrapText="1"/>
    </xf>
    <xf numFmtId="0" fontId="0" fillId="9" borderId="10" xfId="0" applyFont="1" applyFill="1" applyBorder="1"/>
    <xf numFmtId="2" fontId="0" fillId="9" borderId="10" xfId="0" applyNumberFormat="1" applyFont="1" applyFill="1" applyBorder="1"/>
    <xf numFmtId="2" fontId="0" fillId="9" borderId="0" xfId="0" applyNumberFormat="1" applyFont="1" applyFill="1" applyBorder="1"/>
    <xf numFmtId="0" fontId="0" fillId="0" borderId="0" xfId="0" applyFill="1" applyBorder="1"/>
    <xf numFmtId="167" fontId="4" fillId="0" borderId="0" xfId="1" applyNumberFormat="1" applyFont="1" applyFill="1" applyBorder="1"/>
    <xf numFmtId="0" fontId="0" fillId="0" borderId="10" xfId="0" applyFill="1" applyBorder="1"/>
    <xf numFmtId="0" fontId="18" fillId="0" borderId="10" xfId="0" applyFont="1" applyFill="1" applyBorder="1"/>
    <xf numFmtId="167" fontId="4" fillId="0" borderId="10" xfId="1" applyNumberFormat="1" applyFont="1" applyFill="1" applyBorder="1" applyAlignment="1">
      <alignment horizontal="right"/>
    </xf>
    <xf numFmtId="0" fontId="0" fillId="3" borderId="0" xfId="0" applyFill="1" applyBorder="1"/>
    <xf numFmtId="167" fontId="7" fillId="3" borderId="0" xfId="1" applyNumberFormat="1" applyFont="1" applyFill="1" applyBorder="1"/>
    <xf numFmtId="0" fontId="0" fillId="3" borderId="10" xfId="0" applyFill="1" applyBorder="1"/>
    <xf numFmtId="167" fontId="4" fillId="3" borderId="0" xfId="1" applyNumberFormat="1" applyFont="1" applyFill="1" applyBorder="1"/>
    <xf numFmtId="0" fontId="4" fillId="3" borderId="12" xfId="0" applyFont="1" applyFill="1" applyBorder="1" applyAlignment="1">
      <alignment horizontal="centerContinuous"/>
    </xf>
    <xf numFmtId="0" fontId="4" fillId="3" borderId="13" xfId="0" applyFont="1" applyFill="1" applyBorder="1" applyAlignment="1">
      <alignment horizontal="centerContinuous"/>
    </xf>
    <xf numFmtId="0" fontId="4" fillId="3" borderId="14" xfId="0" applyFont="1" applyFill="1" applyBorder="1" applyAlignment="1">
      <alignment horizontal="centerContinuous"/>
    </xf>
    <xf numFmtId="0" fontId="4" fillId="3" borderId="31" xfId="0" applyFont="1" applyFill="1" applyBorder="1" applyAlignment="1">
      <alignment horizontal="centerContinuous"/>
    </xf>
    <xf numFmtId="0" fontId="0" fillId="3" borderId="30" xfId="0" applyFill="1" applyBorder="1"/>
    <xf numFmtId="167" fontId="4" fillId="3" borderId="30" xfId="1" applyNumberFormat="1" applyFont="1" applyFill="1" applyBorder="1"/>
    <xf numFmtId="0" fontId="20" fillId="0" borderId="0" xfId="0" applyFont="1" applyFill="1" applyBorder="1"/>
    <xf numFmtId="0" fontId="0" fillId="3" borderId="0" xfId="0" applyFill="1"/>
    <xf numFmtId="3" fontId="0" fillId="3" borderId="0" xfId="0" applyNumberFormat="1" applyFill="1"/>
    <xf numFmtId="167" fontId="4" fillId="3" borderId="0" xfId="1" applyNumberFormat="1" applyFont="1" applyFill="1"/>
    <xf numFmtId="0" fontId="21" fillId="3" borderId="0" xfId="80" quotePrefix="1" applyFont="1" applyFill="1" applyBorder="1" applyAlignment="1">
      <alignment horizontal="centerContinuous"/>
    </xf>
    <xf numFmtId="0" fontId="21" fillId="3" borderId="10" xfId="80" quotePrefix="1" applyFont="1" applyFill="1" applyBorder="1" applyAlignment="1">
      <alignment horizontal="centerContinuous"/>
    </xf>
    <xf numFmtId="0" fontId="21" fillId="3" borderId="30" xfId="80" quotePrefix="1" applyFont="1" applyFill="1" applyBorder="1" applyAlignment="1">
      <alignment horizontal="centerContinuous"/>
    </xf>
    <xf numFmtId="0" fontId="22" fillId="0" borderId="0" xfId="0" applyFont="1" applyFill="1" applyBorder="1"/>
    <xf numFmtId="0" fontId="22" fillId="0" borderId="10" xfId="0" applyFont="1" applyFill="1" applyBorder="1" applyAlignment="1">
      <alignment horizontal="left" vertical="center" wrapText="1"/>
    </xf>
    <xf numFmtId="0" fontId="22" fillId="3" borderId="0" xfId="0" applyFont="1" applyFill="1" applyBorder="1" applyAlignment="1">
      <alignment horizontal="right" wrapText="1"/>
    </xf>
    <xf numFmtId="0" fontId="22" fillId="3" borderId="0" xfId="0" applyFont="1" applyFill="1" applyBorder="1" applyAlignment="1">
      <alignment horizontal="right"/>
    </xf>
    <xf numFmtId="0" fontId="22" fillId="3" borderId="0" xfId="0" applyFont="1" applyFill="1" applyBorder="1" applyAlignment="1">
      <alignment wrapText="1"/>
    </xf>
    <xf numFmtId="0" fontId="22" fillId="3" borderId="10" xfId="0" applyFont="1" applyFill="1" applyBorder="1" applyAlignment="1">
      <alignment wrapText="1"/>
    </xf>
    <xf numFmtId="0" fontId="22" fillId="3" borderId="30" xfId="0" applyFont="1" applyFill="1" applyBorder="1" applyAlignment="1">
      <alignment wrapText="1"/>
    </xf>
    <xf numFmtId="0" fontId="22" fillId="0" borderId="0" xfId="0" applyFont="1" applyFill="1" applyBorder="1" applyAlignment="1">
      <alignment wrapText="1"/>
    </xf>
    <xf numFmtId="0" fontId="20" fillId="0" borderId="14" xfId="0" applyFont="1" applyFill="1" applyBorder="1"/>
    <xf numFmtId="0" fontId="20" fillId="0" borderId="13" xfId="0" applyFont="1" applyFill="1" applyBorder="1"/>
    <xf numFmtId="0" fontId="20" fillId="10" borderId="13" xfId="0" applyFont="1" applyFill="1" applyBorder="1" applyAlignment="1">
      <alignment horizontal="centerContinuous"/>
    </xf>
    <xf numFmtId="0" fontId="20" fillId="10" borderId="14" xfId="0" applyFont="1" applyFill="1" applyBorder="1" applyAlignment="1">
      <alignment horizontal="centerContinuous"/>
    </xf>
    <xf numFmtId="0" fontId="20" fillId="10" borderId="31" xfId="0" applyFont="1" applyFill="1" applyBorder="1" applyAlignment="1">
      <alignment horizontal="centerContinuous"/>
    </xf>
    <xf numFmtId="0" fontId="21" fillId="10" borderId="0" xfId="80" quotePrefix="1" applyFont="1" applyFill="1" applyBorder="1" applyAlignment="1">
      <alignment horizontal="centerContinuous"/>
    </xf>
    <xf numFmtId="0" fontId="21" fillId="10" borderId="10" xfId="80" quotePrefix="1" applyFont="1" applyFill="1" applyBorder="1" applyAlignment="1">
      <alignment horizontal="centerContinuous"/>
    </xf>
    <xf numFmtId="0" fontId="21" fillId="10" borderId="30" xfId="80" quotePrefix="1" applyFont="1" applyFill="1" applyBorder="1" applyAlignment="1">
      <alignment horizontal="centerContinuous"/>
    </xf>
    <xf numFmtId="0" fontId="22" fillId="10" borderId="0" xfId="0" applyFont="1" applyFill="1" applyBorder="1" applyAlignment="1">
      <alignment horizontal="right" wrapText="1"/>
    </xf>
    <xf numFmtId="0" fontId="22" fillId="10" borderId="0" xfId="0" applyFont="1" applyFill="1" applyBorder="1" applyAlignment="1">
      <alignment horizontal="right"/>
    </xf>
    <xf numFmtId="0" fontId="22" fillId="10" borderId="0" xfId="0" applyFont="1" applyFill="1" applyBorder="1" applyAlignment="1">
      <alignment wrapText="1"/>
    </xf>
    <xf numFmtId="0" fontId="22" fillId="10" borderId="10" xfId="0" applyFont="1" applyFill="1" applyBorder="1" applyAlignment="1">
      <alignment wrapText="1"/>
    </xf>
    <xf numFmtId="0" fontId="22" fillId="10" borderId="30" xfId="0" applyFont="1" applyFill="1" applyBorder="1" applyAlignment="1">
      <alignment wrapText="1"/>
    </xf>
    <xf numFmtId="0" fontId="0" fillId="10" borderId="0" xfId="0" applyFill="1" applyBorder="1"/>
    <xf numFmtId="0" fontId="0" fillId="10" borderId="10" xfId="0" applyFill="1" applyBorder="1"/>
    <xf numFmtId="0" fontId="0" fillId="10" borderId="30" xfId="0" applyFill="1" applyBorder="1"/>
    <xf numFmtId="167" fontId="4" fillId="10" borderId="0" xfId="1" applyNumberFormat="1" applyFont="1" applyFill="1" applyBorder="1"/>
    <xf numFmtId="167" fontId="4" fillId="10" borderId="10" xfId="1" applyNumberFormat="1" applyFont="1" applyFill="1" applyBorder="1"/>
    <xf numFmtId="167" fontId="4" fillId="10" borderId="30" xfId="1" applyNumberFormat="1" applyFont="1" applyFill="1" applyBorder="1"/>
    <xf numFmtId="0" fontId="20" fillId="9" borderId="13" xfId="0" applyFont="1" applyFill="1" applyBorder="1" applyAlignment="1">
      <alignment horizontal="centerContinuous"/>
    </xf>
    <xf numFmtId="0" fontId="20" fillId="9" borderId="14" xfId="0" applyFont="1" applyFill="1" applyBorder="1" applyAlignment="1">
      <alignment horizontal="centerContinuous"/>
    </xf>
    <xf numFmtId="0" fontId="20" fillId="9" borderId="31" xfId="0" applyFont="1" applyFill="1" applyBorder="1" applyAlignment="1">
      <alignment horizontal="centerContinuous"/>
    </xf>
    <xf numFmtId="0" fontId="21" fillId="9" borderId="0" xfId="80" quotePrefix="1" applyFont="1" applyFill="1" applyBorder="1" applyAlignment="1">
      <alignment horizontal="centerContinuous"/>
    </xf>
    <xf numFmtId="0" fontId="21" fillId="9" borderId="10" xfId="80" quotePrefix="1" applyFont="1" applyFill="1" applyBorder="1" applyAlignment="1">
      <alignment horizontal="centerContinuous"/>
    </xf>
    <xf numFmtId="0" fontId="21" fillId="9" borderId="30" xfId="80" quotePrefix="1" applyFont="1" applyFill="1" applyBorder="1" applyAlignment="1">
      <alignment horizontal="centerContinuous"/>
    </xf>
    <xf numFmtId="0" fontId="22" fillId="9" borderId="0" xfId="0" applyFont="1" applyFill="1" applyBorder="1" applyAlignment="1">
      <alignment wrapText="1"/>
    </xf>
    <xf numFmtId="0" fontId="22" fillId="9" borderId="10" xfId="0" applyFont="1" applyFill="1" applyBorder="1" applyAlignment="1">
      <alignment wrapText="1"/>
    </xf>
    <xf numFmtId="0" fontId="22" fillId="9" borderId="30" xfId="0" applyFont="1" applyFill="1" applyBorder="1" applyAlignment="1">
      <alignment wrapText="1"/>
    </xf>
    <xf numFmtId="0" fontId="0" fillId="9" borderId="0" xfId="0" applyFill="1" applyBorder="1"/>
    <xf numFmtId="0" fontId="0" fillId="9" borderId="10" xfId="0" applyFill="1" applyBorder="1"/>
    <xf numFmtId="0" fontId="0" fillId="9" borderId="30" xfId="0" applyFill="1" applyBorder="1"/>
    <xf numFmtId="167" fontId="4" fillId="9" borderId="0" xfId="1" applyNumberFormat="1" applyFont="1" applyFill="1" applyBorder="1"/>
    <xf numFmtId="167" fontId="4" fillId="9" borderId="10" xfId="1" applyNumberFormat="1" applyFont="1" applyFill="1" applyBorder="1"/>
    <xf numFmtId="167" fontId="4" fillId="9" borderId="30" xfId="1" applyNumberFormat="1" applyFont="1" applyFill="1" applyBorder="1"/>
    <xf numFmtId="173" fontId="0" fillId="9" borderId="0" xfId="1" applyNumberFormat="1" applyFont="1" applyFill="1"/>
    <xf numFmtId="0" fontId="0" fillId="0" borderId="0" xfId="0" applyFont="1" applyBorder="1" applyAlignment="1">
      <alignment wrapText="1"/>
    </xf>
    <xf numFmtId="0" fontId="0" fillId="3" borderId="0" xfId="0" applyFont="1" applyFill="1" applyAlignment="1">
      <alignment horizontal="center" wrapText="1"/>
    </xf>
    <xf numFmtId="0" fontId="0" fillId="9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Font="1" applyBorder="1"/>
    <xf numFmtId="0" fontId="0" fillId="11" borderId="0" xfId="0" applyFont="1" applyFill="1" applyAlignment="1">
      <alignment horizontal="center" wrapText="1"/>
    </xf>
    <xf numFmtId="0" fontId="0" fillId="11" borderId="0" xfId="0" applyFont="1" applyFill="1" applyAlignment="1">
      <alignment wrapText="1"/>
    </xf>
    <xf numFmtId="0" fontId="20" fillId="11" borderId="0" xfId="0" applyFont="1" applyFill="1" applyAlignment="1">
      <alignment horizontal="center" wrapText="1"/>
    </xf>
    <xf numFmtId="0" fontId="0" fillId="11" borderId="0" xfId="0" applyFont="1" applyFill="1" applyAlignment="1">
      <alignment horizontal="center"/>
    </xf>
    <xf numFmtId="171" fontId="20" fillId="11" borderId="0" xfId="0" applyNumberFormat="1" applyFont="1" applyFill="1"/>
    <xf numFmtId="0" fontId="20" fillId="11" borderId="0" xfId="0" applyFont="1" applyFill="1"/>
    <xf numFmtId="0" fontId="20" fillId="11" borderId="13" xfId="0" applyFont="1" applyFill="1" applyBorder="1"/>
    <xf numFmtId="0" fontId="22" fillId="11" borderId="0" xfId="0" applyFont="1" applyFill="1" applyBorder="1"/>
    <xf numFmtId="0" fontId="20" fillId="11" borderId="0" xfId="0" applyFont="1" applyFill="1" applyBorder="1" applyAlignment="1">
      <alignment horizontal="center" vertical="center" wrapText="1"/>
    </xf>
    <xf numFmtId="167" fontId="4" fillId="11" borderId="0" xfId="1" applyNumberFormat="1" applyFont="1" applyFill="1" applyBorder="1"/>
    <xf numFmtId="0" fontId="0" fillId="11" borderId="0" xfId="0" applyFill="1" applyBorder="1"/>
    <xf numFmtId="0" fontId="20" fillId="0" borderId="0" xfId="0" applyFont="1"/>
    <xf numFmtId="171" fontId="20" fillId="11" borderId="0" xfId="1" applyNumberFormat="1" applyFont="1" applyFill="1"/>
    <xf numFmtId="171" fontId="20" fillId="3" borderId="0" xfId="1" applyNumberFormat="1" applyFont="1" applyFill="1"/>
    <xf numFmtId="171" fontId="20" fillId="9" borderId="0" xfId="1" applyNumberFormat="1" applyFont="1" applyFill="1"/>
    <xf numFmtId="165" fontId="0" fillId="10" borderId="0" xfId="0" applyNumberFormat="1" applyFont="1" applyFill="1"/>
    <xf numFmtId="175" fontId="7" fillId="6" borderId="0" xfId="2" applyNumberFormat="1" applyFont="1" applyFill="1"/>
    <xf numFmtId="176" fontId="7" fillId="8" borderId="0" xfId="2" applyNumberFormat="1" applyFont="1" applyFill="1"/>
    <xf numFmtId="174" fontId="0" fillId="9" borderId="0" xfId="0" applyNumberFormat="1" applyFill="1" applyBorder="1"/>
    <xf numFmtId="0" fontId="0" fillId="0" borderId="0" xfId="0" applyFont="1" applyAlignment="1">
      <alignment vertical="top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/>
    </xf>
    <xf numFmtId="10" fontId="24" fillId="0" borderId="0" xfId="3" applyNumberFormat="1" applyFont="1" applyAlignment="1">
      <alignment horizontal="center" vertical="top"/>
    </xf>
    <xf numFmtId="0" fontId="25" fillId="9" borderId="0" xfId="0" applyFont="1" applyFill="1"/>
    <xf numFmtId="43" fontId="0" fillId="10" borderId="0" xfId="0" applyNumberFormat="1" applyFont="1" applyFill="1"/>
    <xf numFmtId="167" fontId="0" fillId="10" borderId="0" xfId="0" applyNumberFormat="1" applyFill="1" applyBorder="1"/>
    <xf numFmtId="167" fontId="0" fillId="10" borderId="10" xfId="0" applyNumberFormat="1" applyFill="1" applyBorder="1"/>
    <xf numFmtId="167" fontId="0" fillId="10" borderId="0" xfId="0" applyNumberFormat="1" applyFont="1" applyFill="1"/>
    <xf numFmtId="167" fontId="0" fillId="0" borderId="0" xfId="1" applyNumberFormat="1" applyFont="1"/>
    <xf numFmtId="1" fontId="0" fillId="10" borderId="0" xfId="0" applyNumberFormat="1" applyFont="1" applyFill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71" fontId="0" fillId="0" borderId="0" xfId="1" applyNumberFormat="1" applyFont="1"/>
  </cellXfs>
  <cellStyles count="123">
    <cellStyle name="Comma" xfId="1" builtinId="3"/>
    <cellStyle name="Currency" xfId="2" builtinId="4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Input" xfId="4" builtinId="20"/>
    <cellStyle name="Normal" xfId="0" builtinId="0"/>
    <cellStyle name="Normal 2" xfId="79"/>
    <cellStyle name="Normal 2 2" xfId="80"/>
    <cellStyle name="Percent" xfId="3" builtinId="5"/>
  </cellStyles>
  <dxfs count="0"/>
  <tableStyles count="0" defaultTableStyle="TableStyleMedium9" defaultPivotStyle="PivotStyleMedium4"/>
  <colors>
    <mruColors>
      <color rgb="FF87D5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rci/AppData/Local/Microsoft/Windows/INetCache/Content.Outlook/BZC0ZU13/2019-20%20P1%20-%20047%20(rates%20estimator%20October%2010%202019%20Final%20for%20mtg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| TableOfContent"/>
      <sheetName val="20| Workbook Information"/>
      <sheetName val="30| MetricNamingConvention"/>
      <sheetName val="40| NamesDistrictCollegeCenter"/>
      <sheetName val="50| Data Dictionary"/>
      <sheetName val="60| Hold Harmless Provisions"/>
      <sheetName val="61| Ed Code 84750.4"/>
      <sheetName val="70|FiscalYears+DataYears"/>
      <sheetName val="71|Timeline"/>
      <sheetName val="80| Data Status"/>
      <sheetName val="90| Whiteboard"/>
      <sheetName val="100| Exhibit C"/>
      <sheetName val="110| Exhibit C data"/>
      <sheetName val="200| Budget Act"/>
      <sheetName val="210| EPA Budget"/>
      <sheetName val="220| Funds and Balances"/>
      <sheetName val="300| ApportChart-19-20CONF"/>
      <sheetName val="310| Memo Table"/>
      <sheetName val="400| CY Allocations"/>
      <sheetName val="401| Minimum Revenue rpt"/>
      <sheetName val="410| Exhibit R"/>
      <sheetName val="420| calc RevenueSources"/>
      <sheetName val="430| calc EPA Revenue"/>
      <sheetName val="440| Adjustments"/>
      <sheetName val="510| Base Allocation"/>
      <sheetName val="511| BasicAllocation"/>
      <sheetName val="512| FTES Allocation"/>
      <sheetName val="512.1| 10Districts higher rates"/>
      <sheetName val="520| SupplementalAllocation"/>
      <sheetName val="530| StudentSuccessAllocation"/>
      <sheetName val="600| calc Basic Allocation"/>
      <sheetName val="601| CollegeBasicAlloc"/>
      <sheetName val="601.1| PivotCollegeBasicAlloc"/>
      <sheetName val="602| CenterFunding"/>
      <sheetName val="610| calc FTES revenue"/>
      <sheetName val="611| FTES restore PY PPY PPPY"/>
      <sheetName val="612| Growth Target"/>
      <sheetName val="613| Growth - Demographics"/>
      <sheetName val="614| FTES Target"/>
      <sheetName val="710| FTES Data"/>
      <sheetName val="720| Supplemental Data"/>
      <sheetName val="730| Student Success 3 year avg"/>
      <sheetName val="800| FTES History"/>
      <sheetName val="801| 2019-20 Rates"/>
      <sheetName val="810| RatesSizesCollegesCenters"/>
      <sheetName val="811| RatesFTEStraditionalCredit"/>
      <sheetName val="812| RatesFTES-Incar-SpAdmit"/>
      <sheetName val="813| RatesFTES-CDCP-NC"/>
      <sheetName val="820| Rates-Supplemental"/>
      <sheetName val="830| Rates-StudentSuccess"/>
      <sheetName val="900| FTES-CY"/>
      <sheetName val="901| FTES-PY"/>
      <sheetName val="902| FTES-PPY"/>
      <sheetName val="903| FTES-PPPY"/>
      <sheetName val="910| IncarceratedCredit-CY"/>
      <sheetName val="911| IncarceratedCredit-PY"/>
      <sheetName val="912| IncarceratedCredit-PPY"/>
      <sheetName val="920| SpecialAdmitCredit-CY"/>
      <sheetName val="921| SpecialAdmitCredit-PY"/>
      <sheetName val="922| SpecialAdmitCredit-PPY"/>
      <sheetName val="930| CollegeFTES-CY"/>
      <sheetName val="931| CollegeFTES-PY"/>
      <sheetName val="932| CollegeFTES-PPY"/>
      <sheetName val="933| CollegeFTES-PPPY"/>
      <sheetName val="940| CenterFTES-CY"/>
      <sheetName val="941| CenterFTES-PY"/>
      <sheetName val="942| CenterFTES-PPY"/>
      <sheetName val="943| CenterFTES-PPPY"/>
      <sheetName val="950| AB540Headcount-PY"/>
      <sheetName val="961| Metric-PPY"/>
      <sheetName val="961.1| Transfer PPY"/>
      <sheetName val="951| Metric-PY"/>
      <sheetName val="952| Metric-PPY"/>
      <sheetName val="953| Metric-PPPY"/>
      <sheetName val="960| Property Tax"/>
      <sheetName val="970| Enrollment Fee"/>
      <sheetName val="980| FTFH"/>
      <sheetName val="990| 2017-18 TC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83">
          <cell r="B83">
            <v>59199</v>
          </cell>
          <cell r="C83">
            <v>448958</v>
          </cell>
          <cell r="D83">
            <v>988526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B36" sqref="B36"/>
    </sheetView>
  </sheetViews>
  <sheetFormatPr defaultColWidth="11" defaultRowHeight="15.75"/>
  <cols>
    <col min="1" max="1" width="19.375" style="106" customWidth="1"/>
    <col min="2" max="2" width="11.125" style="106" bestFit="1" customWidth="1"/>
    <col min="3" max="10" width="10.875" style="106"/>
  </cols>
  <sheetData>
    <row r="1" spans="1:2">
      <c r="A1" s="113"/>
      <c r="B1" s="106" t="s">
        <v>83</v>
      </c>
    </row>
    <row r="2" spans="1:2">
      <c r="A2" s="114"/>
      <c r="B2" s="106" t="s">
        <v>84</v>
      </c>
    </row>
    <row r="3" spans="1:2">
      <c r="A3" s="115"/>
      <c r="B3" s="106" t="s">
        <v>88</v>
      </c>
    </row>
    <row r="4" spans="1:2">
      <c r="A4" s="146"/>
      <c r="B4" s="106" t="s">
        <v>89</v>
      </c>
    </row>
    <row r="5" spans="1:2">
      <c r="A5" s="107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Views>
    <sheetView tabSelected="1" workbookViewId="0">
      <selection activeCell="E25" sqref="E25"/>
    </sheetView>
  </sheetViews>
  <sheetFormatPr defaultColWidth="9.125" defaultRowHeight="15.75" outlineLevelCol="1"/>
  <cols>
    <col min="1" max="1" width="15.125" customWidth="1" outlineLevel="1"/>
    <col min="2" max="2" width="20" customWidth="1" outlineLevel="1"/>
    <col min="3" max="3" width="33.625" customWidth="1"/>
    <col min="4" max="4" width="4.5" bestFit="1" customWidth="1"/>
    <col min="5" max="5" width="22.25" bestFit="1" customWidth="1"/>
    <col min="6" max="6" width="64.625" bestFit="1" customWidth="1"/>
    <col min="7" max="7" width="14.75" bestFit="1" customWidth="1"/>
    <col min="8" max="8" width="20" customWidth="1"/>
    <col min="9" max="9" width="6.375" bestFit="1" customWidth="1"/>
    <col min="10" max="11" width="10.625" style="156" customWidth="1"/>
    <col min="12" max="16384" width="9.125" style="156"/>
  </cols>
  <sheetData>
    <row r="1" spans="1:9">
      <c r="C1" s="1" t="s">
        <v>0</v>
      </c>
      <c r="D1" s="2"/>
      <c r="E1" s="3"/>
      <c r="F1" s="4"/>
      <c r="G1" s="4"/>
      <c r="H1" s="4"/>
    </row>
    <row r="2" spans="1:9">
      <c r="A2" t="s">
        <v>1</v>
      </c>
      <c r="B2" t="s">
        <v>2</v>
      </c>
      <c r="C2" s="5" t="s">
        <v>3</v>
      </c>
      <c r="D2" s="6"/>
      <c r="E2" s="7">
        <v>7430429651</v>
      </c>
    </row>
    <row r="3" spans="1:9">
      <c r="C3" s="8"/>
      <c r="D3" s="9"/>
      <c r="E3" s="10"/>
    </row>
    <row r="4" spans="1:9">
      <c r="A4" t="s">
        <v>4</v>
      </c>
      <c r="B4" t="s">
        <v>5</v>
      </c>
      <c r="C4" s="8" t="s">
        <v>6</v>
      </c>
      <c r="D4" s="9"/>
      <c r="E4" s="10">
        <v>24727000</v>
      </c>
      <c r="F4" s="314" t="s">
        <v>208</v>
      </c>
    </row>
    <row r="5" spans="1:9">
      <c r="A5" t="s">
        <v>1</v>
      </c>
      <c r="B5" t="s">
        <v>2</v>
      </c>
      <c r="C5" s="11" t="s">
        <v>7</v>
      </c>
      <c r="D5" s="12"/>
      <c r="E5" s="13">
        <v>122305070.2235925</v>
      </c>
      <c r="F5" s="314" t="s">
        <v>208</v>
      </c>
      <c r="G5" s="329">
        <f>22214518+121403827</f>
        <v>143618345</v>
      </c>
      <c r="H5" s="321"/>
    </row>
    <row r="6" spans="1:9">
      <c r="A6" t="s">
        <v>1</v>
      </c>
      <c r="B6" t="s">
        <v>8</v>
      </c>
      <c r="C6" s="14" t="s">
        <v>9</v>
      </c>
      <c r="D6" s="15"/>
      <c r="E6" s="16">
        <v>216366451</v>
      </c>
      <c r="F6" t="str">
        <f>"Calculated as " &amp; TEXT('Base Allocation'!AB80, "###,###,###") &amp; " using $5,313 growth at COLA (2.71%, 3.26%)"</f>
        <v>Calculated as 222,214,518 using $5,313 growth at COLA (2.71%, 3.26%)</v>
      </c>
      <c r="H6" s="321"/>
    </row>
    <row r="7" spans="1:9">
      <c r="A7" t="s">
        <v>1</v>
      </c>
      <c r="B7" t="s">
        <v>8</v>
      </c>
      <c r="C7" s="14" t="s">
        <v>10</v>
      </c>
      <c r="D7" s="15"/>
      <c r="E7" s="16">
        <v>110682048</v>
      </c>
      <c r="F7" t="str">
        <f>"Calculated as " &amp; TEXT('Base Allocation'!AA80, "###,###,###") &amp; " using $3,259 growth at COLA (2.71%, 3.26%)"</f>
        <v>Calculated as 121,403,827 using $3,259 growth at COLA (2.71%, 3.26%)</v>
      </c>
      <c r="H7" s="322"/>
    </row>
    <row r="8" spans="1:9">
      <c r="C8" s="19" t="s">
        <v>11</v>
      </c>
      <c r="D8" s="20"/>
      <c r="E8" s="21">
        <f>SUM(E4:E7)</f>
        <v>474080569.22359252</v>
      </c>
    </row>
    <row r="9" spans="1:9">
      <c r="C9" s="19"/>
      <c r="D9" s="20"/>
      <c r="E9" s="10"/>
    </row>
    <row r="10" spans="1:9">
      <c r="C10" s="22" t="s">
        <v>12</v>
      </c>
      <c r="D10" s="23"/>
      <c r="E10" s="24">
        <f>E2-E8</f>
        <v>6956349081.7764072</v>
      </c>
      <c r="F10" s="25"/>
      <c r="G10" s="38"/>
    </row>
    <row r="11" spans="1:9">
      <c r="C11" s="26"/>
      <c r="D11" s="26"/>
      <c r="E11" s="27"/>
      <c r="F11" s="25"/>
    </row>
    <row r="12" spans="1:9">
      <c r="A12" t="s">
        <v>1</v>
      </c>
      <c r="B12" t="s">
        <v>13</v>
      </c>
      <c r="C12" s="28" t="s">
        <v>14</v>
      </c>
      <c r="D12" s="29">
        <v>0.7</v>
      </c>
      <c r="E12" s="21">
        <f>ROUND(D12*E10,0)</f>
        <v>4869444357</v>
      </c>
      <c r="F12" s="25"/>
    </row>
    <row r="13" spans="1:9">
      <c r="A13" t="s">
        <v>1</v>
      </c>
      <c r="B13" t="s">
        <v>15</v>
      </c>
      <c r="C13" s="11" t="s">
        <v>16</v>
      </c>
      <c r="D13" s="30">
        <v>0.2</v>
      </c>
      <c r="E13" s="16">
        <f>ROUND(D13*E10,0)</f>
        <v>1391269816</v>
      </c>
      <c r="F13" s="25"/>
    </row>
    <row r="14" spans="1:9">
      <c r="A14" t="s">
        <v>1</v>
      </c>
      <c r="B14" t="s">
        <v>17</v>
      </c>
      <c r="C14" s="11" t="s">
        <v>18</v>
      </c>
      <c r="D14" s="30">
        <v>0.1</v>
      </c>
      <c r="E14" s="16">
        <f>ROUND(D14*E10,0)</f>
        <v>695634908</v>
      </c>
      <c r="F14" s="25"/>
    </row>
    <row r="15" spans="1:9" s="310" customFormat="1">
      <c r="A15" s="31"/>
      <c r="B15" s="31"/>
      <c r="C15" s="32" t="str">
        <f>C10</f>
        <v>Funds Available for Distribution</v>
      </c>
      <c r="D15" s="33"/>
      <c r="E15" s="34">
        <f>SUM(E12:E14)</f>
        <v>6956349081</v>
      </c>
      <c r="F15" s="31"/>
      <c r="G15" s="31"/>
      <c r="H15" s="31"/>
      <c r="I15" s="31"/>
    </row>
    <row r="16" spans="1:9">
      <c r="C16" s="35"/>
      <c r="D16" s="35"/>
      <c r="E16" s="27"/>
    </row>
    <row r="17" spans="1:11">
      <c r="C17" s="36" t="str">
        <f>C12</f>
        <v>Base Allocation</v>
      </c>
      <c r="D17" s="4"/>
      <c r="E17" s="37">
        <f>E12</f>
        <v>4869444357</v>
      </c>
      <c r="F17" s="38"/>
    </row>
    <row r="18" spans="1:11">
      <c r="C18" s="39"/>
      <c r="E18" s="40"/>
      <c r="F18" s="41"/>
    </row>
    <row r="19" spans="1:11">
      <c r="C19" s="14" t="s">
        <v>19</v>
      </c>
      <c r="D19" s="15"/>
      <c r="E19" s="10">
        <v>620217582</v>
      </c>
      <c r="F19" s="42" t="str">
        <f>"Calculated as " &amp; TEXT('Base Allocation'!$AD$77, "$###,###,###,###")</f>
        <v>Calculated as $628,729,878</v>
      </c>
    </row>
    <row r="20" spans="1:11">
      <c r="A20" t="s">
        <v>1</v>
      </c>
      <c r="B20" t="s">
        <v>20</v>
      </c>
      <c r="C20" s="14" t="s">
        <v>21</v>
      </c>
      <c r="D20" s="15"/>
      <c r="E20" s="16">
        <v>25634535</v>
      </c>
      <c r="F20" t="str">
        <f>"Calculated as " &amp; TEXT('Base Allocation'!W80, "###,###,###") &amp; " using $5,313 growth at COLA (2.71%, 3.26%)"</f>
        <v>Calculated as 28,276,764 using $5,313 growth at COLA (2.71%, 3.26%)</v>
      </c>
      <c r="G20" s="156"/>
    </row>
    <row r="21" spans="1:11">
      <c r="A21" t="s">
        <v>1</v>
      </c>
      <c r="B21" t="s">
        <v>20</v>
      </c>
      <c r="C21" s="14" t="s">
        <v>22</v>
      </c>
      <c r="D21" s="15"/>
      <c r="E21" s="16">
        <v>205252980</v>
      </c>
      <c r="F21" t="str">
        <f>"Calculated as " &amp; TEXT('Base Allocation'!X80, "###,###,###") &amp; " using $5,313 growth at COLA (2.71%, 3.26%)"</f>
        <v>Calculated as 202,119,426 using $5,313 growth at COLA (2.71%, 3.26%)</v>
      </c>
    </row>
    <row r="22" spans="1:11">
      <c r="C22" s="19" t="s">
        <v>11</v>
      </c>
      <c r="D22" s="20"/>
      <c r="E22" s="21">
        <f>SUM(E19:E21)</f>
        <v>851105097</v>
      </c>
      <c r="F22" s="319" t="str">
        <f>TEXT(SUM('Base Allocation'!$AD$77, 'Base Allocation'!W80, 'Base Allocation'!X80), "$###,###,###,###")</f>
        <v>$859,126,069</v>
      </c>
    </row>
    <row r="23" spans="1:11">
      <c r="C23" s="39"/>
      <c r="E23" s="40"/>
      <c r="F23" s="38"/>
    </row>
    <row r="24" spans="1:11">
      <c r="C24" s="43" t="s">
        <v>23</v>
      </c>
      <c r="D24" s="44"/>
      <c r="E24" s="45">
        <f>E17-E22</f>
        <v>4018339260</v>
      </c>
      <c r="F24" s="46"/>
      <c r="G24" s="47"/>
    </row>
    <row r="25" spans="1:11">
      <c r="C25" s="8" t="s">
        <v>24</v>
      </c>
      <c r="D25" s="9"/>
      <c r="E25" s="48">
        <v>1007459.5558666184</v>
      </c>
      <c r="F25" s="42" t="str">
        <f>"Calculated as "&amp; TEXT('Base Allocation'!$Z$77, "###,###,###,###")</f>
        <v>Calculated as 1,003,322</v>
      </c>
      <c r="G25" s="49" t="s">
        <v>25</v>
      </c>
      <c r="H25" s="18" t="s">
        <v>26</v>
      </c>
      <c r="I25" s="50" t="s">
        <v>27</v>
      </c>
    </row>
    <row r="26" spans="1:11">
      <c r="A26" t="s">
        <v>1</v>
      </c>
      <c r="B26" t="s">
        <v>28</v>
      </c>
      <c r="C26" s="51" t="s">
        <v>29</v>
      </c>
      <c r="D26" s="52"/>
      <c r="E26" s="53">
        <f>E24/E25</f>
        <v>3988.586178572119</v>
      </c>
      <c r="G26" s="54">
        <v>3727</v>
      </c>
      <c r="H26" s="55">
        <f>E26-G26</f>
        <v>261.58617857211902</v>
      </c>
      <c r="I26" s="56">
        <f>H26/G26</f>
        <v>7.0186793284711307E-2</v>
      </c>
    </row>
    <row r="27" spans="1:11">
      <c r="F27" s="57"/>
      <c r="G27" s="17"/>
      <c r="H27" s="58"/>
    </row>
    <row r="28" spans="1:11">
      <c r="C28" s="59" t="s">
        <v>16</v>
      </c>
      <c r="D28" s="60"/>
      <c r="E28" s="21">
        <f>E13</f>
        <v>1391269816</v>
      </c>
      <c r="F28" s="61"/>
      <c r="H28" s="58"/>
    </row>
    <row r="29" spans="1:11">
      <c r="A29" s="31" t="s">
        <v>1</v>
      </c>
      <c r="B29" s="31" t="s">
        <v>30</v>
      </c>
      <c r="C29" s="39" t="s">
        <v>31</v>
      </c>
      <c r="E29" s="16">
        <f>G53</f>
        <v>1496683</v>
      </c>
      <c r="F29" s="42" t="str">
        <f>"Calculated as " &amp; TEXT(SUM('Supplemental Allocation'!K76, 'Supplemental Allocation'!L76, 'Supplemental Allocation'!M76), "###,###,###,###")</f>
        <v>Calculated as 1,471,229</v>
      </c>
      <c r="H29" s="58"/>
    </row>
    <row r="30" spans="1:11">
      <c r="C30" s="51" t="s">
        <v>32</v>
      </c>
      <c r="D30" s="52"/>
      <c r="E30" s="62">
        <f>E28/E29</f>
        <v>929.56879713339436</v>
      </c>
      <c r="F30" s="61"/>
      <c r="G30" s="54">
        <v>919</v>
      </c>
      <c r="H30" s="55">
        <f>E30-G30</f>
        <v>10.568797133394355</v>
      </c>
      <c r="I30" s="56">
        <f>H30/G30</f>
        <v>1.150032332251834E-2</v>
      </c>
    </row>
    <row r="31" spans="1:11">
      <c r="H31" s="58"/>
    </row>
    <row r="32" spans="1:11" s="310" customFormat="1">
      <c r="A32"/>
      <c r="B32"/>
      <c r="C32" s="63" t="str">
        <f>C14</f>
        <v>Student Success Allocation</v>
      </c>
      <c r="D32" s="64"/>
      <c r="E32" s="65">
        <f>E14</f>
        <v>695634908</v>
      </c>
      <c r="F32" s="31"/>
      <c r="G32" s="31"/>
      <c r="H32" s="66"/>
      <c r="I32" s="31"/>
      <c r="K32" s="311"/>
    </row>
    <row r="33" spans="3:11">
      <c r="C33" s="39"/>
      <c r="E33" s="67"/>
      <c r="G33" s="68"/>
      <c r="H33" s="58"/>
      <c r="I33" s="49"/>
    </row>
    <row r="34" spans="3:11">
      <c r="C34" s="69" t="s">
        <v>33</v>
      </c>
      <c r="D34" s="70">
        <v>0.75</v>
      </c>
      <c r="E34" s="71">
        <f>ROUND(D34*E32,0)</f>
        <v>521726181</v>
      </c>
      <c r="G34" s="72"/>
      <c r="H34" s="58"/>
      <c r="I34" s="54"/>
    </row>
    <row r="35" spans="3:11">
      <c r="C35" s="39" t="s">
        <v>34</v>
      </c>
      <c r="D35" s="30">
        <v>0.25</v>
      </c>
      <c r="E35" s="67">
        <f>ROUND(D35*E32,0)</f>
        <v>173908727</v>
      </c>
      <c r="G35" s="72"/>
      <c r="H35" s="58"/>
      <c r="I35" s="73"/>
    </row>
    <row r="36" spans="3:11">
      <c r="C36" s="74"/>
      <c r="D36" s="75"/>
      <c r="E36" s="76">
        <f>SUM(E34:E35)</f>
        <v>695634908</v>
      </c>
      <c r="H36" s="58"/>
    </row>
    <row r="37" spans="3:11">
      <c r="E37" s="10"/>
      <c r="H37" s="58"/>
    </row>
    <row r="38" spans="3:11">
      <c r="C38" s="59" t="s">
        <v>33</v>
      </c>
      <c r="D38" s="60"/>
      <c r="E38" s="77">
        <f>E34</f>
        <v>521726181</v>
      </c>
      <c r="G38" s="12"/>
      <c r="H38" s="58"/>
      <c r="J38" s="312"/>
      <c r="K38" s="312"/>
    </row>
    <row r="39" spans="3:11">
      <c r="C39" s="39" t="s">
        <v>35</v>
      </c>
      <c r="E39" s="78">
        <f>G72</f>
        <v>910614.16666666674</v>
      </c>
      <c r="F39" s="42" t="str">
        <f>"Calculated as " &amp; TEXT('Success Allocation'!$DA$80, "###,###,###,###")</f>
        <v>Calculated as 1,019,057</v>
      </c>
      <c r="G39" s="12">
        <f>'Success Allocation'!$DA$80</f>
        <v>1019056.5</v>
      </c>
      <c r="H39" s="58"/>
      <c r="I39" s="79"/>
      <c r="J39" s="312"/>
      <c r="K39" s="312"/>
    </row>
    <row r="40" spans="3:11">
      <c r="C40" s="80" t="s">
        <v>36</v>
      </c>
      <c r="D40" s="81"/>
      <c r="E40" s="82">
        <f>IF(E39&gt;0,(E38/E39),0)</f>
        <v>572.93879240842023</v>
      </c>
      <c r="G40" s="54">
        <v>440</v>
      </c>
      <c r="H40" s="55">
        <f>E40-G40</f>
        <v>132.93879240842023</v>
      </c>
      <c r="I40" s="56">
        <f>H40/G40</f>
        <v>0.30213361911004599</v>
      </c>
      <c r="J40" s="312"/>
      <c r="K40" s="312"/>
    </row>
    <row r="41" spans="3:11">
      <c r="C41" s="39"/>
      <c r="E41" s="40"/>
      <c r="G41" s="83"/>
      <c r="H41" s="58"/>
      <c r="I41" s="73"/>
    </row>
    <row r="42" spans="3:11">
      <c r="C42" s="14" t="s">
        <v>34</v>
      </c>
      <c r="D42" s="15"/>
      <c r="E42" s="67">
        <f>E35</f>
        <v>173908727</v>
      </c>
      <c r="G42" s="83"/>
      <c r="H42" s="58"/>
      <c r="I42" s="73"/>
    </row>
    <row r="43" spans="3:11">
      <c r="C43" s="39" t="s">
        <v>37</v>
      </c>
      <c r="E43" s="78">
        <f>G89+G100</f>
        <v>1204471.2500000002</v>
      </c>
      <c r="F43" s="42" t="str">
        <f>"Calculated as " &amp; TEXT('Success Allocation'!$DI$80+'Success Allocation'!$DQ$80, "###,###,###,###")</f>
        <v>Calculated as 1,430,928</v>
      </c>
      <c r="G43" s="84"/>
      <c r="H43" s="85"/>
      <c r="I43" s="86"/>
      <c r="J43" s="87"/>
      <c r="K43" s="313"/>
    </row>
    <row r="44" spans="3:11">
      <c r="C44" s="51" t="s">
        <v>38</v>
      </c>
      <c r="D44" s="52"/>
      <c r="E44" s="62">
        <f>IF(E43&gt;0,(E42/E43),0)</f>
        <v>144.38595109679866</v>
      </c>
      <c r="G44" s="54">
        <v>111</v>
      </c>
      <c r="H44" s="55">
        <f>E44-G44</f>
        <v>33.385951096798664</v>
      </c>
      <c r="I44" s="56">
        <f>H44/G44</f>
        <v>0.30077433420539335</v>
      </c>
      <c r="J44" s="87"/>
      <c r="K44" s="313"/>
    </row>
    <row r="46" spans="3:11">
      <c r="C46" s="323" t="s">
        <v>39</v>
      </c>
      <c r="D46" s="324"/>
      <c r="E46" s="324"/>
      <c r="F46" s="324"/>
      <c r="G46" s="324"/>
      <c r="H46" s="325"/>
    </row>
    <row r="47" spans="3:11">
      <c r="C47" s="88"/>
      <c r="D47" s="88"/>
      <c r="E47" s="88"/>
      <c r="F47" s="88"/>
      <c r="G47" s="88"/>
      <c r="H47" s="88"/>
    </row>
    <row r="48" spans="3:11" ht="17.25">
      <c r="C48" s="89"/>
      <c r="D48" s="89"/>
      <c r="E48" s="88" t="s">
        <v>40</v>
      </c>
      <c r="F48" s="90" t="s">
        <v>41</v>
      </c>
      <c r="G48" s="88" t="s">
        <v>42</v>
      </c>
      <c r="H48" s="88" t="s">
        <v>43</v>
      </c>
    </row>
    <row r="49" spans="3:8">
      <c r="C49" s="91" t="s">
        <v>44</v>
      </c>
      <c r="D49" s="91"/>
      <c r="E49" s="90" t="s">
        <v>45</v>
      </c>
      <c r="F49" s="90" t="s">
        <v>46</v>
      </c>
      <c r="G49" s="90" t="s">
        <v>47</v>
      </c>
      <c r="H49" s="90" t="str">
        <f>CONCATENATE("(d) = (c) * $",TEXT(E55,"#,###"))</f>
        <v>(d) = (c) * $930</v>
      </c>
    </row>
    <row r="50" spans="3:8">
      <c r="C50" s="89" t="s">
        <v>48</v>
      </c>
      <c r="D50" s="89"/>
      <c r="E50" s="89">
        <v>1</v>
      </c>
      <c r="F50" s="92">
        <f>'[1]720| Supplemental Data'!B83</f>
        <v>59199</v>
      </c>
      <c r="G50" s="92">
        <f>F50*E50</f>
        <v>59199</v>
      </c>
      <c r="H50" s="93">
        <f>G50*$E$55</f>
        <v>55029543.221499816</v>
      </c>
    </row>
    <row r="51" spans="3:8">
      <c r="C51" s="89" t="s">
        <v>49</v>
      </c>
      <c r="D51" s="89"/>
      <c r="E51" s="89">
        <v>1</v>
      </c>
      <c r="F51" s="92">
        <f>'[1]720| Supplemental Data'!C83</f>
        <v>448958</v>
      </c>
      <c r="G51" s="92">
        <f>F51*E51</f>
        <v>448958</v>
      </c>
      <c r="H51" s="94">
        <f>G51*$E$55</f>
        <v>417337348.02341449</v>
      </c>
    </row>
    <row r="52" spans="3:8">
      <c r="C52" s="89" t="s">
        <v>50</v>
      </c>
      <c r="D52" s="89"/>
      <c r="E52" s="89">
        <v>1</v>
      </c>
      <c r="F52" s="92">
        <f>'[1]720| Supplemental Data'!D83</f>
        <v>988526</v>
      </c>
      <c r="G52" s="92">
        <f>F52*E52</f>
        <v>988526</v>
      </c>
      <c r="H52" s="94">
        <f>G52*$E$55</f>
        <v>918902924.75508583</v>
      </c>
    </row>
    <row r="53" spans="3:8">
      <c r="C53" s="95" t="s">
        <v>51</v>
      </c>
      <c r="D53" s="95"/>
      <c r="E53" s="96">
        <f>SUM(E50:E52)</f>
        <v>3</v>
      </c>
      <c r="F53" s="97">
        <f>SUM(F50:F52)</f>
        <v>1496683</v>
      </c>
      <c r="G53" s="97">
        <f>SUM(G50:G52)</f>
        <v>1496683</v>
      </c>
      <c r="H53" s="98">
        <f>SUM(H50:H52)</f>
        <v>1391269816</v>
      </c>
    </row>
    <row r="54" spans="3:8">
      <c r="C54" s="89"/>
      <c r="D54" s="89"/>
      <c r="E54" s="89"/>
      <c r="F54" s="89"/>
      <c r="G54" s="89"/>
      <c r="H54" s="89"/>
    </row>
    <row r="55" spans="3:8">
      <c r="C55" s="89" t="s">
        <v>52</v>
      </c>
      <c r="D55" s="89"/>
      <c r="E55" s="99">
        <f>E30</f>
        <v>929.56879713339436</v>
      </c>
      <c r="F55" s="89"/>
      <c r="G55" s="89"/>
      <c r="H55" s="89"/>
    </row>
    <row r="56" spans="3:8">
      <c r="C56" s="89"/>
      <c r="D56" s="89"/>
      <c r="E56" s="100"/>
      <c r="F56" s="89"/>
      <c r="G56" s="89"/>
      <c r="H56" s="89"/>
    </row>
    <row r="57" spans="3:8">
      <c r="C57" s="61" t="str">
        <f>C28</f>
        <v>Supplemental Allocation</v>
      </c>
      <c r="D57" s="61"/>
      <c r="E57" s="41">
        <f>E28</f>
        <v>1391269816</v>
      </c>
      <c r="G57" s="89"/>
      <c r="H57" s="89"/>
    </row>
    <row r="58" spans="3:8">
      <c r="C58" s="95" t="s">
        <v>53</v>
      </c>
      <c r="D58" s="95"/>
      <c r="E58" s="101">
        <f>E57-H53</f>
        <v>0</v>
      </c>
      <c r="G58" s="89"/>
      <c r="H58" s="89"/>
    </row>
    <row r="59" spans="3:8">
      <c r="C59" s="89"/>
      <c r="D59" s="89"/>
      <c r="E59" s="89"/>
      <c r="F59" s="89"/>
      <c r="G59" s="89"/>
      <c r="H59" s="89"/>
    </row>
    <row r="60" spans="3:8">
      <c r="C60" s="323" t="s">
        <v>54</v>
      </c>
      <c r="D60" s="324"/>
      <c r="E60" s="324"/>
      <c r="F60" s="324"/>
      <c r="G60" s="324"/>
      <c r="H60" s="325"/>
    </row>
    <row r="61" spans="3:8">
      <c r="C61" s="89"/>
      <c r="D61" s="89"/>
      <c r="E61" s="89"/>
      <c r="F61" s="89"/>
      <c r="G61" s="89"/>
      <c r="H61" s="89"/>
    </row>
    <row r="62" spans="3:8" ht="17.25">
      <c r="C62" s="89"/>
      <c r="D62" s="89"/>
      <c r="E62" s="88" t="s">
        <v>40</v>
      </c>
      <c r="F62" s="90" t="s">
        <v>41</v>
      </c>
      <c r="G62" s="88" t="s">
        <v>42</v>
      </c>
      <c r="H62" s="88" t="s">
        <v>43</v>
      </c>
    </row>
    <row r="63" spans="3:8">
      <c r="C63" s="91" t="s">
        <v>55</v>
      </c>
      <c r="D63" s="91"/>
      <c r="E63" s="90" t="s">
        <v>45</v>
      </c>
      <c r="F63" s="90" t="s">
        <v>46</v>
      </c>
      <c r="G63" s="90" t="s">
        <v>47</v>
      </c>
      <c r="H63" s="90" t="str">
        <f>CONCATENATE("(d) = (c) * $",TEXT(E74,"#,###"))</f>
        <v>(d) = (c) * $573</v>
      </c>
    </row>
    <row r="64" spans="3:8">
      <c r="C64" t="s">
        <v>56</v>
      </c>
      <c r="E64">
        <v>4</v>
      </c>
      <c r="F64" s="92">
        <v>41335.333333333343</v>
      </c>
      <c r="G64" s="92">
        <f t="shared" ref="G64:G71" si="0">F64*E64</f>
        <v>165341.33333333337</v>
      </c>
      <c r="H64" s="100">
        <f t="shared" ref="H64:H71" si="1">$E$74*G64</f>
        <v>94730463.8551981</v>
      </c>
    </row>
    <row r="65" spans="3:8">
      <c r="C65" t="s">
        <v>57</v>
      </c>
      <c r="E65">
        <v>3</v>
      </c>
      <c r="F65" s="92">
        <v>61562.666666666657</v>
      </c>
      <c r="G65" s="92">
        <f t="shared" si="0"/>
        <v>184687.99999999997</v>
      </c>
      <c r="H65" s="94">
        <f t="shared" si="1"/>
        <v>105814919.69232629</v>
      </c>
    </row>
    <row r="66" spans="3:8">
      <c r="C66" t="s">
        <v>58</v>
      </c>
      <c r="E66">
        <v>3</v>
      </c>
      <c r="F66" s="92">
        <v>70.666666666666657</v>
      </c>
      <c r="G66" s="92">
        <f t="shared" si="0"/>
        <v>211.99999999999997</v>
      </c>
      <c r="H66" s="94">
        <f t="shared" si="1"/>
        <v>121463.02399058508</v>
      </c>
    </row>
    <row r="67" spans="3:8">
      <c r="C67" t="s">
        <v>59</v>
      </c>
      <c r="E67">
        <v>2</v>
      </c>
      <c r="F67" s="92">
        <v>20245.666666666679</v>
      </c>
      <c r="G67" s="92">
        <f t="shared" si="0"/>
        <v>40491.333333333358</v>
      </c>
      <c r="H67" s="94">
        <f t="shared" si="1"/>
        <v>23199055.623006828</v>
      </c>
    </row>
    <row r="68" spans="3:8">
      <c r="C68" t="s">
        <v>60</v>
      </c>
      <c r="E68">
        <v>2</v>
      </c>
      <c r="F68" s="92">
        <v>24095.666666666668</v>
      </c>
      <c r="G68" s="92">
        <f t="shared" si="0"/>
        <v>48191.333333333336</v>
      </c>
      <c r="H68" s="94">
        <f t="shared" si="1"/>
        <v>27610684.324551649</v>
      </c>
    </row>
    <row r="69" spans="3:8">
      <c r="C69" t="s">
        <v>61</v>
      </c>
      <c r="E69">
        <v>1.5</v>
      </c>
      <c r="F69" s="92">
        <v>68005</v>
      </c>
      <c r="G69" s="92">
        <f t="shared" si="0"/>
        <v>102007.5</v>
      </c>
      <c r="H69" s="94">
        <f t="shared" si="1"/>
        <v>58444053.866601929</v>
      </c>
    </row>
    <row r="70" spans="3:8">
      <c r="C70" t="s">
        <v>62</v>
      </c>
      <c r="E70">
        <v>1</v>
      </c>
      <c r="F70" s="92">
        <v>185323.33333333337</v>
      </c>
      <c r="G70" s="92">
        <f t="shared" si="0"/>
        <v>185323.33333333337</v>
      </c>
      <c r="H70" s="94">
        <f t="shared" si="1"/>
        <v>106178926.80510315</v>
      </c>
    </row>
    <row r="71" spans="3:8">
      <c r="C71" t="s">
        <v>63</v>
      </c>
      <c r="E71">
        <v>1</v>
      </c>
      <c r="F71" s="92">
        <v>184359.33333333334</v>
      </c>
      <c r="G71" s="92">
        <f t="shared" si="0"/>
        <v>184359.33333333334</v>
      </c>
      <c r="H71" s="94">
        <f t="shared" si="1"/>
        <v>105626613.80922142</v>
      </c>
    </row>
    <row r="72" spans="3:8">
      <c r="C72" s="95" t="s">
        <v>51</v>
      </c>
      <c r="D72" s="95"/>
      <c r="E72" s="96">
        <f>SUM(E64:E71)</f>
        <v>17.5</v>
      </c>
      <c r="F72" s="97">
        <f>SUM(F64:F71)</f>
        <v>584997.66666666674</v>
      </c>
      <c r="G72" s="97">
        <f>SUM(G64:G71)</f>
        <v>910614.16666666674</v>
      </c>
      <c r="H72" s="98">
        <f>SUM(H64:H71)</f>
        <v>521726180.99999988</v>
      </c>
    </row>
    <row r="73" spans="3:8">
      <c r="C73" s="89"/>
      <c r="D73" s="89"/>
      <c r="E73" s="89"/>
      <c r="F73" s="89"/>
      <c r="G73" s="89"/>
      <c r="H73" s="89"/>
    </row>
    <row r="74" spans="3:8" ht="30">
      <c r="C74" s="102" t="s">
        <v>64</v>
      </c>
      <c r="D74" s="102"/>
      <c r="E74" s="307">
        <f>E40</f>
        <v>572.93879240842023</v>
      </c>
      <c r="F74" s="89"/>
      <c r="G74" s="89"/>
      <c r="H74" s="89"/>
    </row>
    <row r="75" spans="3:8">
      <c r="C75" s="89"/>
      <c r="D75" s="89"/>
      <c r="E75" s="100"/>
      <c r="F75" s="89"/>
      <c r="G75" s="89"/>
      <c r="H75" s="89"/>
    </row>
    <row r="76" spans="3:8">
      <c r="C76" s="61" t="str">
        <f>C38</f>
        <v>Main Component</v>
      </c>
      <c r="D76" s="61"/>
      <c r="E76" s="41">
        <f>E38</f>
        <v>521726181</v>
      </c>
      <c r="G76" s="89"/>
      <c r="H76" s="89"/>
    </row>
    <row r="77" spans="3:8">
      <c r="C77" s="95" t="s">
        <v>53</v>
      </c>
      <c r="D77" s="95"/>
      <c r="E77" s="101">
        <f>E76-H72</f>
        <v>0</v>
      </c>
      <c r="G77" s="89"/>
      <c r="H77" s="89"/>
    </row>
    <row r="78" spans="3:8">
      <c r="C78" s="89"/>
      <c r="D78" s="89"/>
      <c r="E78" s="89"/>
      <c r="F78" s="89"/>
      <c r="G78" s="89"/>
      <c r="H78" s="89"/>
    </row>
    <row r="79" spans="3:8" ht="17.25">
      <c r="C79" s="89"/>
      <c r="D79" s="89"/>
      <c r="E79" s="88" t="s">
        <v>40</v>
      </c>
      <c r="F79" s="90" t="s">
        <v>41</v>
      </c>
      <c r="G79" s="88" t="s">
        <v>42</v>
      </c>
      <c r="H79" s="88" t="s">
        <v>43</v>
      </c>
    </row>
    <row r="80" spans="3:8">
      <c r="C80" s="91" t="s">
        <v>49</v>
      </c>
      <c r="D80" s="91"/>
      <c r="E80" s="90" t="s">
        <v>45</v>
      </c>
      <c r="F80" s="90" t="s">
        <v>46</v>
      </c>
      <c r="G80" s="90" t="s">
        <v>47</v>
      </c>
      <c r="H80" s="90" t="str">
        <f>CONCATENATE("(d) = (c) * $",TEXT(E102,"#,###"))</f>
        <v>(d) = (c) * $144</v>
      </c>
    </row>
    <row r="81" spans="3:8">
      <c r="C81" t="s">
        <v>178</v>
      </c>
      <c r="E81">
        <v>6</v>
      </c>
      <c r="F81" s="92">
        <v>22725.333333333336</v>
      </c>
      <c r="G81" s="92">
        <f>F81*E81</f>
        <v>136352</v>
      </c>
      <c r="H81" s="100">
        <f t="shared" ref="H81:H88" si="2">$E$102*G81</f>
        <v>19687313.203950692</v>
      </c>
    </row>
    <row r="82" spans="3:8">
      <c r="C82" t="s">
        <v>179</v>
      </c>
      <c r="E82">
        <v>4.5</v>
      </c>
      <c r="F82" s="92">
        <v>33490.333333333343</v>
      </c>
      <c r="G82" s="92">
        <f t="shared" ref="G82:G88" si="3">F82*E82</f>
        <v>150706.50000000006</v>
      </c>
      <c r="H82" s="94">
        <f t="shared" si="2"/>
        <v>21759901.338969696</v>
      </c>
    </row>
    <row r="83" spans="3:8">
      <c r="C83" t="s">
        <v>180</v>
      </c>
      <c r="E83">
        <v>4.5</v>
      </c>
      <c r="F83" s="92">
        <v>33.333333333333336</v>
      </c>
      <c r="G83" s="92">
        <f t="shared" si="3"/>
        <v>150</v>
      </c>
      <c r="H83" s="94">
        <f t="shared" si="2"/>
        <v>21657.892664519801</v>
      </c>
    </row>
    <row r="84" spans="3:8">
      <c r="C84" t="s">
        <v>181</v>
      </c>
      <c r="E84">
        <v>3</v>
      </c>
      <c r="F84" s="92">
        <v>9376.6666666666679</v>
      </c>
      <c r="G84" s="92">
        <f t="shared" si="3"/>
        <v>28130.000000000004</v>
      </c>
      <c r="H84" s="94">
        <f t="shared" si="2"/>
        <v>4061576.804352947</v>
      </c>
    </row>
    <row r="85" spans="3:8">
      <c r="C85" t="s">
        <v>182</v>
      </c>
      <c r="E85">
        <v>3</v>
      </c>
      <c r="F85" s="92">
        <v>8522.6666666666661</v>
      </c>
      <c r="G85" s="92">
        <f t="shared" si="3"/>
        <v>25568</v>
      </c>
      <c r="H85" s="94">
        <f t="shared" si="2"/>
        <v>3691659.9976429483</v>
      </c>
    </row>
    <row r="86" spans="3:8">
      <c r="C86" t="s">
        <v>183</v>
      </c>
      <c r="E86">
        <v>2.25</v>
      </c>
      <c r="F86" s="92">
        <v>32186.333333333325</v>
      </c>
      <c r="G86" s="92">
        <f t="shared" si="3"/>
        <v>72419.249999999985</v>
      </c>
      <c r="H86" s="94">
        <f t="shared" si="2"/>
        <v>10456322.288966835</v>
      </c>
    </row>
    <row r="87" spans="3:8">
      <c r="C87" t="s">
        <v>184</v>
      </c>
      <c r="E87">
        <v>1.5</v>
      </c>
      <c r="F87" s="92">
        <v>83658.333333333358</v>
      </c>
      <c r="G87" s="92">
        <f t="shared" si="3"/>
        <v>125487.50000000003</v>
      </c>
      <c r="H87" s="94">
        <f t="shared" si="2"/>
        <v>18118632.038259525</v>
      </c>
    </row>
    <row r="88" spans="3:8">
      <c r="C88" t="s">
        <v>185</v>
      </c>
      <c r="E88">
        <v>1.5</v>
      </c>
      <c r="F88" s="92">
        <v>49276.000000000015</v>
      </c>
      <c r="G88" s="92">
        <f t="shared" si="3"/>
        <v>73914.000000000029</v>
      </c>
      <c r="H88" s="94">
        <f t="shared" si="2"/>
        <v>10672143.189368781</v>
      </c>
    </row>
    <row r="89" spans="3:8">
      <c r="C89" s="95" t="s">
        <v>51</v>
      </c>
      <c r="D89" s="95"/>
      <c r="E89" s="96">
        <f>SUM(E81:E88)</f>
        <v>26.25</v>
      </c>
      <c r="F89" s="97">
        <f>SUM(F81:F88)</f>
        <v>239269.00000000006</v>
      </c>
      <c r="G89" s="97">
        <f>SUM(G81:G88)</f>
        <v>612727.25000000012</v>
      </c>
      <c r="H89" s="98">
        <f>SUM(H81:H88)</f>
        <v>88469206.754175946</v>
      </c>
    </row>
    <row r="90" spans="3:8">
      <c r="C90" s="89"/>
      <c r="D90" s="89"/>
      <c r="E90" s="89"/>
      <c r="F90" s="89"/>
      <c r="G90" s="89"/>
      <c r="H90" s="89"/>
    </row>
    <row r="91" spans="3:8">
      <c r="C91" s="91" t="s">
        <v>50</v>
      </c>
      <c r="D91" s="91"/>
      <c r="E91" s="89"/>
      <c r="F91" s="89"/>
      <c r="G91" s="89"/>
      <c r="H91" s="89"/>
    </row>
    <row r="92" spans="3:8">
      <c r="C92" t="s">
        <v>186</v>
      </c>
      <c r="E92">
        <v>4</v>
      </c>
      <c r="F92" s="94">
        <v>30664.333333333339</v>
      </c>
      <c r="G92" s="94">
        <f>F92*E92</f>
        <v>122657.33333333336</v>
      </c>
      <c r="H92" s="94">
        <f t="shared" ref="H92:H99" si="4">G92*$E$102</f>
        <v>17709995.732330404</v>
      </c>
    </row>
    <row r="93" spans="3:8">
      <c r="C93" t="s">
        <v>187</v>
      </c>
      <c r="E93">
        <v>3</v>
      </c>
      <c r="F93" s="94">
        <v>46101.333333333321</v>
      </c>
      <c r="G93" s="94">
        <f t="shared" ref="G93:G99" si="5">F93*E93</f>
        <v>138303.99999999997</v>
      </c>
      <c r="H93" s="94">
        <f t="shared" si="4"/>
        <v>19969154.58049164</v>
      </c>
    </row>
    <row r="94" spans="3:8">
      <c r="C94" t="s">
        <v>188</v>
      </c>
      <c r="E94">
        <v>3</v>
      </c>
      <c r="F94" s="94">
        <v>55.999999999999993</v>
      </c>
      <c r="G94" s="94">
        <f t="shared" si="5"/>
        <v>167.99999999999997</v>
      </c>
      <c r="H94" s="94">
        <f t="shared" si="4"/>
        <v>24256.839784262171</v>
      </c>
    </row>
    <row r="95" spans="3:8">
      <c r="C95" t="s">
        <v>189</v>
      </c>
      <c r="E95">
        <v>2</v>
      </c>
      <c r="F95" s="94">
        <v>13667.000000000002</v>
      </c>
      <c r="G95" s="94">
        <f t="shared" si="5"/>
        <v>27334.000000000004</v>
      </c>
      <c r="H95" s="94">
        <f t="shared" si="4"/>
        <v>3946645.5872798953</v>
      </c>
    </row>
    <row r="96" spans="3:8">
      <c r="C96" t="s">
        <v>190</v>
      </c>
      <c r="E96">
        <v>2</v>
      </c>
      <c r="F96" s="94">
        <v>12594.999999999996</v>
      </c>
      <c r="G96" s="94">
        <f t="shared" si="5"/>
        <v>25189.999999999993</v>
      </c>
      <c r="H96" s="94">
        <f t="shared" si="4"/>
        <v>3637082.1081283572</v>
      </c>
    </row>
    <row r="97" spans="3:9">
      <c r="C97" t="s">
        <v>191</v>
      </c>
      <c r="E97">
        <v>1.5</v>
      </c>
      <c r="F97" s="94">
        <v>44228.000000000022</v>
      </c>
      <c r="G97" s="94">
        <f t="shared" si="5"/>
        <v>66342.000000000029</v>
      </c>
      <c r="H97" s="94">
        <f t="shared" si="4"/>
        <v>9578852.7676638216</v>
      </c>
    </row>
    <row r="98" spans="3:9">
      <c r="C98" t="s">
        <v>192</v>
      </c>
      <c r="E98">
        <v>1</v>
      </c>
      <c r="F98" s="94">
        <v>123803.00000000006</v>
      </c>
      <c r="G98" s="94">
        <f t="shared" si="5"/>
        <v>123803.00000000006</v>
      </c>
      <c r="H98" s="94">
        <f t="shared" si="4"/>
        <v>17875413.903636973</v>
      </c>
    </row>
    <row r="99" spans="3:9">
      <c r="C99" t="s">
        <v>193</v>
      </c>
      <c r="E99">
        <v>1</v>
      </c>
      <c r="F99" s="94">
        <v>87945.666666666657</v>
      </c>
      <c r="G99" s="94">
        <f t="shared" si="5"/>
        <v>87945.666666666657</v>
      </c>
      <c r="H99" s="94">
        <f t="shared" si="4"/>
        <v>12698118.726508688</v>
      </c>
    </row>
    <row r="100" spans="3:9">
      <c r="C100" s="95" t="s">
        <v>51</v>
      </c>
      <c r="D100" s="95"/>
      <c r="E100" s="96">
        <f>SUM(E92:E99)</f>
        <v>17.5</v>
      </c>
      <c r="F100" s="97">
        <f>SUM(F92:F99)</f>
        <v>359060.33333333337</v>
      </c>
      <c r="G100" s="97">
        <f>SUM(G92:G99)</f>
        <v>591744.00000000012</v>
      </c>
      <c r="H100" s="98">
        <f>SUM(H92:H99)</f>
        <v>85439520.245824039</v>
      </c>
    </row>
    <row r="101" spans="3:9">
      <c r="C101" s="89"/>
      <c r="D101" s="89"/>
      <c r="E101" s="89"/>
      <c r="F101" s="89"/>
      <c r="G101" s="89"/>
      <c r="H101" s="89"/>
    </row>
    <row r="102" spans="3:9">
      <c r="C102" s="102" t="s">
        <v>65</v>
      </c>
      <c r="D102" s="102"/>
      <c r="E102" s="308">
        <f>E44</f>
        <v>144.38595109679866</v>
      </c>
      <c r="F102" s="89"/>
      <c r="G102" s="103"/>
      <c r="H102" s="100"/>
      <c r="I102" s="25"/>
    </row>
    <row r="103" spans="3:9">
      <c r="C103" s="89"/>
      <c r="D103" s="89"/>
      <c r="E103" s="100"/>
      <c r="F103" s="89"/>
      <c r="G103" s="89"/>
      <c r="H103" s="89"/>
    </row>
    <row r="104" spans="3:9">
      <c r="C104" s="61" t="str">
        <f>C42</f>
        <v>Equity Component</v>
      </c>
      <c r="D104" s="61"/>
      <c r="E104" s="41">
        <f>E42</f>
        <v>173908727</v>
      </c>
      <c r="G104" s="89"/>
      <c r="H104" s="89"/>
    </row>
    <row r="105" spans="3:9">
      <c r="C105" s="95" t="s">
        <v>53</v>
      </c>
      <c r="D105" s="95"/>
      <c r="E105" s="101">
        <f>E104-H100-H89</f>
        <v>0</v>
      </c>
      <c r="G105" s="89"/>
    </row>
    <row r="106" spans="3:9">
      <c r="C106" s="95"/>
      <c r="D106" s="95"/>
      <c r="E106" s="100"/>
      <c r="G106" s="89"/>
      <c r="I106" s="88"/>
    </row>
    <row r="107" spans="3:9">
      <c r="I107" s="104"/>
    </row>
    <row r="108" spans="3:9">
      <c r="I108" s="104"/>
    </row>
    <row r="109" spans="3:9">
      <c r="I109" s="105"/>
    </row>
    <row r="110" spans="3:9">
      <c r="I110" s="105"/>
    </row>
    <row r="111" spans="3:9">
      <c r="I111" s="105"/>
    </row>
    <row r="112" spans="3:9">
      <c r="I112" s="105"/>
    </row>
    <row r="115" spans="1:9">
      <c r="A115" s="31"/>
      <c r="B115" s="31"/>
    </row>
    <row r="118" spans="1:9" s="310" customFormat="1">
      <c r="A118"/>
      <c r="B118"/>
      <c r="C118" s="31"/>
      <c r="D118" s="31"/>
      <c r="E118" s="31"/>
      <c r="F118" s="31"/>
      <c r="G118" s="31"/>
      <c r="H118" s="31"/>
      <c r="I118" s="31"/>
    </row>
  </sheetData>
  <mergeCells count="2">
    <mergeCell ref="C46:H46"/>
    <mergeCell ref="C60:H60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C3" sqref="C3"/>
    </sheetView>
  </sheetViews>
  <sheetFormatPr defaultColWidth="10.875" defaultRowHeight="15.75"/>
  <cols>
    <col min="1" max="1" width="48.375" style="129" bestFit="1" customWidth="1"/>
    <col min="2" max="2" width="16.125" style="155" bestFit="1" customWidth="1"/>
    <col min="3" max="3" width="34.625" style="156" bestFit="1" customWidth="1"/>
    <col min="4" max="16384" width="10.875" style="156"/>
  </cols>
  <sheetData>
    <row r="1" spans="1:3">
      <c r="A1" s="150" t="s">
        <v>168</v>
      </c>
      <c r="B1" s="172" t="s">
        <v>169</v>
      </c>
      <c r="C1" s="173" t="s">
        <v>167</v>
      </c>
    </row>
    <row r="2" spans="1:3">
      <c r="A2" s="129" t="s">
        <v>86</v>
      </c>
      <c r="B2" s="154">
        <f>'2019-20 Rates'!E26</f>
        <v>3988.586178572119</v>
      </c>
      <c r="C2" s="156" t="s">
        <v>170</v>
      </c>
    </row>
    <row r="3" spans="1:3">
      <c r="A3" s="129" t="s">
        <v>79</v>
      </c>
      <c r="B3" s="154">
        <v>3456.4414961399998</v>
      </c>
      <c r="C3" s="156" t="s">
        <v>213</v>
      </c>
    </row>
    <row r="4" spans="1:3">
      <c r="A4" s="129" t="s">
        <v>80</v>
      </c>
      <c r="B4" s="154">
        <v>5634.5605750409004</v>
      </c>
      <c r="C4" s="156" t="s">
        <v>213</v>
      </c>
    </row>
    <row r="5" spans="1:3">
      <c r="A5" s="129" t="s">
        <v>81</v>
      </c>
      <c r="B5" s="154">
        <f t="shared" ref="B5" si="0">B4</f>
        <v>5634.5605750409004</v>
      </c>
      <c r="C5" s="156" t="s">
        <v>213</v>
      </c>
    </row>
    <row r="6" spans="1:3">
      <c r="A6" s="89" t="s">
        <v>49</v>
      </c>
      <c r="B6" s="155">
        <f>'2019-20 Rates'!$E$30*'2019-20 Rates'!E51</f>
        <v>929.56879713339436</v>
      </c>
      <c r="C6" s="156" t="s">
        <v>170</v>
      </c>
    </row>
    <row r="7" spans="1:3">
      <c r="A7" s="89" t="s">
        <v>48</v>
      </c>
      <c r="B7" s="155">
        <f>'2019-20 Rates'!$E$30*'2019-20 Rates'!E50</f>
        <v>929.56879713339436</v>
      </c>
      <c r="C7" s="156" t="s">
        <v>170</v>
      </c>
    </row>
    <row r="8" spans="1:3">
      <c r="A8" s="89" t="s">
        <v>50</v>
      </c>
      <c r="B8" s="155">
        <f>'2019-20 Rates'!$E$30*'2019-20 Rates'!E52</f>
        <v>929.56879713339436</v>
      </c>
      <c r="C8" s="156" t="s">
        <v>170</v>
      </c>
    </row>
    <row r="9" spans="1:3">
      <c r="A9" t="s">
        <v>56</v>
      </c>
      <c r="B9" s="155">
        <f>'2019-20 Rates'!$E$74*'2019-20 Rates'!E64</f>
        <v>2291.7551696336809</v>
      </c>
      <c r="C9" s="156" t="s">
        <v>170</v>
      </c>
    </row>
    <row r="10" spans="1:3">
      <c r="A10" t="s">
        <v>57</v>
      </c>
      <c r="B10" s="155">
        <f>'2019-20 Rates'!$E$74*'2019-20 Rates'!E65</f>
        <v>1718.8163772252606</v>
      </c>
      <c r="C10" s="156" t="s">
        <v>170</v>
      </c>
    </row>
    <row r="11" spans="1:3">
      <c r="A11" t="s">
        <v>58</v>
      </c>
      <c r="B11" s="155">
        <f>'2019-20 Rates'!$E$74*'2019-20 Rates'!E66</f>
        <v>1718.8163772252606</v>
      </c>
      <c r="C11" s="156" t="s">
        <v>170</v>
      </c>
    </row>
    <row r="12" spans="1:3">
      <c r="A12" t="s">
        <v>59</v>
      </c>
      <c r="B12" s="155">
        <f>'2019-20 Rates'!$E$74*'2019-20 Rates'!E67</f>
        <v>1145.8775848168405</v>
      </c>
      <c r="C12" s="156" t="s">
        <v>170</v>
      </c>
    </row>
    <row r="13" spans="1:3">
      <c r="A13" t="s">
        <v>60</v>
      </c>
      <c r="B13" s="155">
        <f>'2019-20 Rates'!$E$74*'2019-20 Rates'!E68</f>
        <v>1145.8775848168405</v>
      </c>
      <c r="C13" s="156" t="s">
        <v>170</v>
      </c>
    </row>
    <row r="14" spans="1:3">
      <c r="A14" t="s">
        <v>61</v>
      </c>
      <c r="B14" s="155">
        <f>'2019-20 Rates'!$E$74*'2019-20 Rates'!E69</f>
        <v>859.40818861263028</v>
      </c>
      <c r="C14" s="156" t="s">
        <v>170</v>
      </c>
    </row>
    <row r="15" spans="1:3">
      <c r="A15" t="s">
        <v>62</v>
      </c>
      <c r="B15" s="155">
        <f>'2019-20 Rates'!$E$74*'2019-20 Rates'!E70</f>
        <v>572.93879240842023</v>
      </c>
      <c r="C15" s="156" t="s">
        <v>170</v>
      </c>
    </row>
    <row r="16" spans="1:3">
      <c r="A16" t="s">
        <v>63</v>
      </c>
      <c r="B16" s="155">
        <f>'2019-20 Rates'!$E$74*'2019-20 Rates'!E71</f>
        <v>572.93879240842023</v>
      </c>
      <c r="C16" s="156" t="s">
        <v>170</v>
      </c>
    </row>
    <row r="17" spans="1:3">
      <c r="A17" t="s">
        <v>178</v>
      </c>
      <c r="B17" s="155">
        <f>'2019-20 Rates'!$E$102*'2019-20 Rates'!E81</f>
        <v>866.31570658079204</v>
      </c>
      <c r="C17" s="156" t="s">
        <v>170</v>
      </c>
    </row>
    <row r="18" spans="1:3">
      <c r="A18" t="s">
        <v>179</v>
      </c>
      <c r="B18" s="155">
        <f>'2019-20 Rates'!$E$102*'2019-20 Rates'!E82</f>
        <v>649.73677993559397</v>
      </c>
      <c r="C18" s="156" t="s">
        <v>170</v>
      </c>
    </row>
    <row r="19" spans="1:3">
      <c r="A19" t="s">
        <v>180</v>
      </c>
      <c r="B19" s="155">
        <f>'2019-20 Rates'!$E$102*'2019-20 Rates'!E83</f>
        <v>649.73677993559397</v>
      </c>
      <c r="C19" s="156" t="s">
        <v>170</v>
      </c>
    </row>
    <row r="20" spans="1:3">
      <c r="A20" t="s">
        <v>181</v>
      </c>
      <c r="B20" s="155">
        <f>'2019-20 Rates'!$E$102*'2019-20 Rates'!E84</f>
        <v>433.15785329039602</v>
      </c>
      <c r="C20" s="156" t="s">
        <v>170</v>
      </c>
    </row>
    <row r="21" spans="1:3">
      <c r="A21" t="s">
        <v>182</v>
      </c>
      <c r="B21" s="155">
        <f>'2019-20 Rates'!$E$102*'2019-20 Rates'!E85</f>
        <v>433.15785329039602</v>
      </c>
      <c r="C21" s="156" t="s">
        <v>170</v>
      </c>
    </row>
    <row r="22" spans="1:3">
      <c r="A22" t="s">
        <v>183</v>
      </c>
      <c r="B22" s="155">
        <f>'2019-20 Rates'!$E$102*'2019-20 Rates'!E86</f>
        <v>324.86838996779699</v>
      </c>
      <c r="C22" s="156" t="s">
        <v>170</v>
      </c>
    </row>
    <row r="23" spans="1:3">
      <c r="A23" t="s">
        <v>184</v>
      </c>
      <c r="B23" s="155">
        <f>'2019-20 Rates'!$E$102*'2019-20 Rates'!E87</f>
        <v>216.57892664519801</v>
      </c>
      <c r="C23" s="156" t="s">
        <v>170</v>
      </c>
    </row>
    <row r="24" spans="1:3">
      <c r="A24" t="s">
        <v>185</v>
      </c>
      <c r="B24" s="155">
        <f>'2019-20 Rates'!$E$102*'2019-20 Rates'!E88</f>
        <v>216.57892664519801</v>
      </c>
      <c r="C24" s="156" t="s">
        <v>170</v>
      </c>
    </row>
    <row r="25" spans="1:3">
      <c r="A25" t="s">
        <v>186</v>
      </c>
      <c r="B25" s="155">
        <f>'2019-20 Rates'!$E$102*'2019-20 Rates'!E92</f>
        <v>577.54380438719465</v>
      </c>
      <c r="C25" s="156" t="s">
        <v>170</v>
      </c>
    </row>
    <row r="26" spans="1:3">
      <c r="A26" t="s">
        <v>187</v>
      </c>
      <c r="B26" s="155">
        <f>'2019-20 Rates'!$E$102*'2019-20 Rates'!E93</f>
        <v>433.15785329039602</v>
      </c>
      <c r="C26" s="156" t="s">
        <v>170</v>
      </c>
    </row>
    <row r="27" spans="1:3">
      <c r="A27" t="s">
        <v>188</v>
      </c>
      <c r="B27" s="155">
        <f>'2019-20 Rates'!$E$102*'2019-20 Rates'!E94</f>
        <v>433.15785329039602</v>
      </c>
      <c r="C27" s="156" t="s">
        <v>170</v>
      </c>
    </row>
    <row r="28" spans="1:3">
      <c r="A28" t="s">
        <v>189</v>
      </c>
      <c r="B28" s="155">
        <f>'2019-20 Rates'!$E$102*'2019-20 Rates'!E95</f>
        <v>288.77190219359733</v>
      </c>
      <c r="C28" s="156" t="s">
        <v>170</v>
      </c>
    </row>
    <row r="29" spans="1:3">
      <c r="A29" t="s">
        <v>190</v>
      </c>
      <c r="B29" s="155">
        <f>'2019-20 Rates'!$E$102*'2019-20 Rates'!E96</f>
        <v>288.77190219359733</v>
      </c>
      <c r="C29" s="156" t="s">
        <v>170</v>
      </c>
    </row>
    <row r="30" spans="1:3">
      <c r="A30" t="s">
        <v>191</v>
      </c>
      <c r="B30" s="155">
        <f>'2019-20 Rates'!$E$102*'2019-20 Rates'!E97</f>
        <v>216.57892664519801</v>
      </c>
      <c r="C30" s="156" t="s">
        <v>170</v>
      </c>
    </row>
    <row r="31" spans="1:3">
      <c r="A31" t="s">
        <v>192</v>
      </c>
      <c r="B31" s="155">
        <f>'2019-20 Rates'!$E$102*'2019-20 Rates'!E98</f>
        <v>144.38595109679866</v>
      </c>
      <c r="C31" s="156" t="s">
        <v>170</v>
      </c>
    </row>
    <row r="32" spans="1:3">
      <c r="A32" t="s">
        <v>193</v>
      </c>
      <c r="B32" s="155">
        <f>'2019-20 Rates'!$E$102*'2019-20 Rates'!E99</f>
        <v>144.38595109679866</v>
      </c>
      <c r="C32" s="156" t="s">
        <v>170</v>
      </c>
    </row>
    <row r="33" spans="1:3">
      <c r="A33" s="129" t="s">
        <v>199</v>
      </c>
      <c r="B33" s="285">
        <v>2.7099999999999999E-2</v>
      </c>
      <c r="C33" s="156" t="s">
        <v>170</v>
      </c>
    </row>
    <row r="34" spans="1:3">
      <c r="A34" s="129" t="s">
        <v>196</v>
      </c>
      <c r="B34" s="285">
        <v>3.2599999999999997E-2</v>
      </c>
      <c r="C34" s="156" t="s">
        <v>170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.75"/>
  <cols>
    <col min="1" max="1" width="18.875" style="290" bestFit="1" customWidth="1"/>
    <col min="2" max="2" width="13.625" style="126" bestFit="1" customWidth="1"/>
    <col min="3" max="3" width="20.875" style="126" bestFit="1" customWidth="1"/>
    <col min="4" max="4" width="16.125" style="126" bestFit="1" customWidth="1"/>
    <col min="5" max="5" width="24.625" style="126" customWidth="1"/>
    <col min="6" max="6" width="24.625" style="117" customWidth="1"/>
    <col min="7" max="8" width="12.5" style="125" bestFit="1" customWidth="1"/>
    <col min="9" max="9" width="28.875" style="126" customWidth="1"/>
    <col min="10" max="10" width="24.625" style="126" customWidth="1"/>
    <col min="11" max="11" width="13.875" style="126" customWidth="1"/>
    <col min="12" max="12" width="9" style="126"/>
    <col min="13" max="13" width="28.875" style="126" customWidth="1"/>
    <col min="14" max="14" width="16.25" style="296" bestFit="1" customWidth="1"/>
    <col min="15" max="16384" width="9" style="156"/>
  </cols>
  <sheetData>
    <row r="1" spans="1:14" s="289" customFormat="1" ht="47.25">
      <c r="A1" s="286" t="s">
        <v>72</v>
      </c>
      <c r="B1" s="291" t="s">
        <v>14</v>
      </c>
      <c r="C1" s="291" t="s">
        <v>16</v>
      </c>
      <c r="D1" s="291" t="s">
        <v>194</v>
      </c>
      <c r="E1" s="291" t="s">
        <v>195</v>
      </c>
      <c r="F1" s="287" t="s">
        <v>198</v>
      </c>
      <c r="G1" s="288" t="s">
        <v>199</v>
      </c>
      <c r="H1" s="288" t="s">
        <v>196</v>
      </c>
      <c r="I1" s="291" t="s">
        <v>197</v>
      </c>
      <c r="J1" s="292" t="s">
        <v>200</v>
      </c>
      <c r="K1" s="292" t="s">
        <v>201</v>
      </c>
      <c r="L1" s="292" t="s">
        <v>202</v>
      </c>
      <c r="M1" s="291" t="s">
        <v>205</v>
      </c>
      <c r="N1" s="293" t="s">
        <v>206</v>
      </c>
    </row>
    <row r="2" spans="1:14">
      <c r="A2" s="129" t="s">
        <v>92</v>
      </c>
      <c r="B2" s="168">
        <f>INDEX('Base Allocation'!$A$2:$AI$77,MATCH('District Specific SCFF'!$A2,'Base Allocation'!$A$2:$A$77,0),MATCH('District Specific SCFF'!B$1,'Base Allocation'!$A$2:$AI$2,0))</f>
        <v>44716892.032927066</v>
      </c>
      <c r="C2" s="168">
        <f>INDEX('Supplemental Allocation'!$A$2:$Q$76,MATCH('District Specific SCFF'!$A2,'Supplemental Allocation'!$A$2:$A$76,0),MATCH('District Specific SCFF'!C$1,'Supplemental Allocation'!$A$2:$Q$2,0))</f>
        <v>11185501.335906135</v>
      </c>
      <c r="D2" s="168">
        <f>INDEX('Success Allocation'!$A$3:$EP$76,MATCH('District Specific SCFF'!$A2,'Success Allocation'!$A$3:$A$76,0),MATCH('District Specific SCFF'!D$1,'Success Allocation'!$A$3:$EP$3,0))</f>
        <v>6696153.9828162463</v>
      </c>
      <c r="E2" s="143">
        <f t="shared" ref="E2:E33" si="0">SUM(B2:D2)</f>
        <v>62598547.351649448</v>
      </c>
      <c r="F2" s="120">
        <v>58423221</v>
      </c>
      <c r="G2" s="125">
        <f>INDEX('Rate Assumptions'!$A$1:$C$34,MATCH('District Specific SCFF'!G$1,'Rate Assumptions'!$A$1:$A$34,0),2)</f>
        <v>2.7099999999999999E-2</v>
      </c>
      <c r="H2" s="125">
        <f>INDEX('Rate Assumptions'!$A$1:$C$34,MATCH('District Specific SCFF'!H$1,'Rate Assumptions'!$A$1:$A$34,0),2)</f>
        <v>3.2599999999999997E-2</v>
      </c>
      <c r="I2" s="168">
        <f t="shared" ref="I2:I33" si="1">F2*(1+G2)*(1+H2)</f>
        <v>61962701.872524649</v>
      </c>
      <c r="J2" s="126" t="str">
        <f t="shared" ref="J2:J33" si="2">IF(I2&gt;E2,"Y","")</f>
        <v/>
      </c>
      <c r="K2" s="168">
        <f t="shared" ref="K2:K33" si="3">IF(J2="",0,I2-E2)</f>
        <v>0</v>
      </c>
      <c r="L2" s="294"/>
      <c r="M2" s="126">
        <f>IF(L2="x",0,K2)</f>
        <v>0</v>
      </c>
      <c r="N2" s="295">
        <f>M2+I2</f>
        <v>61962701.872524649</v>
      </c>
    </row>
    <row r="3" spans="1:14">
      <c r="A3" s="129" t="s">
        <v>93</v>
      </c>
      <c r="B3" s="168">
        <f>INDEX('Base Allocation'!$A$2:$AI$77,MATCH('District Specific SCFF'!$A3,'Base Allocation'!$A$2:$A$77,0),MATCH('District Specific SCFF'!B$1,'Base Allocation'!$A$2:$AI$2,0))</f>
        <v>51379023.549005747</v>
      </c>
      <c r="C3" s="168">
        <f>INDEX('Supplemental Allocation'!$A$2:$Q$76,MATCH('District Specific SCFF'!$A3,'Supplemental Allocation'!$A$2:$A$76,0),MATCH('District Specific SCFF'!C$1,'Supplemental Allocation'!$A$2:$Q$2,0))</f>
        <v>21023127.915968847</v>
      </c>
      <c r="D3" s="168">
        <f>INDEX('Success Allocation'!$A$3:$EP$76,MATCH('District Specific SCFF'!$A3,'Success Allocation'!$A$3:$A$76,0),MATCH('District Specific SCFF'!D$1,'Success Allocation'!$A$3:$EP$3,0))</f>
        <v>8031644.8228087509</v>
      </c>
      <c r="E3" s="143">
        <f t="shared" si="0"/>
        <v>80433796.287783355</v>
      </c>
      <c r="F3" s="120">
        <v>62613062</v>
      </c>
      <c r="G3" s="125">
        <f>INDEX('Rate Assumptions'!$A$1:$C$34,MATCH('District Specific SCFF'!G$1,'Rate Assumptions'!$A$1:$A$34,0),2)</f>
        <v>2.7099999999999999E-2</v>
      </c>
      <c r="H3" s="125">
        <f>INDEX('Rate Assumptions'!$A$1:$C$34,MATCH('District Specific SCFF'!H$1,'Rate Assumptions'!$A$1:$A$34,0),2)</f>
        <v>3.2599999999999997E-2</v>
      </c>
      <c r="I3" s="168">
        <f t="shared" si="1"/>
        <v>66406377.937154509</v>
      </c>
      <c r="J3" s="126" t="str">
        <f t="shared" si="2"/>
        <v/>
      </c>
      <c r="K3" s="168">
        <f t="shared" si="3"/>
        <v>0</v>
      </c>
      <c r="L3" s="294"/>
      <c r="M3" s="126">
        <f t="shared" ref="M3:M66" si="4">IF(L3="x",0,K3)</f>
        <v>0</v>
      </c>
      <c r="N3" s="295">
        <f t="shared" ref="N3:N66" si="5">M3+I3</f>
        <v>66406377.937154509</v>
      </c>
    </row>
    <row r="4" spans="1:14">
      <c r="A4" s="129" t="s">
        <v>94</v>
      </c>
      <c r="B4" s="168">
        <f>INDEX('Base Allocation'!$A$2:$AI$77,MATCH('District Specific SCFF'!$A4,'Base Allocation'!$A$2:$A$77,0),MATCH('District Specific SCFF'!B$1,'Base Allocation'!$A$2:$AI$2,0))</f>
        <v>15360163.232926343</v>
      </c>
      <c r="C4" s="168">
        <f>INDEX('Supplemental Allocation'!$A$2:$Q$76,MATCH('District Specific SCFF'!$A4,'Supplemental Allocation'!$A$2:$A$76,0),MATCH('District Specific SCFF'!C$1,'Supplemental Allocation'!$A$2:$Q$2,0))</f>
        <v>4858856.1026162524</v>
      </c>
      <c r="D4" s="168">
        <f>INDEX('Success Allocation'!$A$3:$EP$76,MATCH('District Specific SCFF'!$A4,'Success Allocation'!$A$3:$A$76,0),MATCH('District Specific SCFF'!D$1,'Success Allocation'!$A$3:$EP$3,0))</f>
        <v>2240168.5308142952</v>
      </c>
      <c r="E4" s="143">
        <f t="shared" si="0"/>
        <v>22459187.866356891</v>
      </c>
      <c r="F4" s="120">
        <v>18681460</v>
      </c>
      <c r="G4" s="125">
        <f>INDEX('Rate Assumptions'!$A$1:$C$34,MATCH('District Specific SCFF'!G$1,'Rate Assumptions'!$A$1:$A$34,0),2)</f>
        <v>2.7099999999999999E-2</v>
      </c>
      <c r="H4" s="125">
        <f>INDEX('Rate Assumptions'!$A$1:$C$34,MATCH('District Specific SCFF'!H$1,'Rate Assumptions'!$A$1:$A$34,0),2)</f>
        <v>3.2599999999999997E-2</v>
      </c>
      <c r="I4" s="168">
        <f t="shared" si="1"/>
        <v>19813247.484651599</v>
      </c>
      <c r="J4" s="126" t="str">
        <f t="shared" si="2"/>
        <v/>
      </c>
      <c r="K4" s="168">
        <f t="shared" si="3"/>
        <v>0</v>
      </c>
      <c r="L4" s="294"/>
      <c r="M4" s="126">
        <f t="shared" si="4"/>
        <v>0</v>
      </c>
      <c r="N4" s="295">
        <f t="shared" si="5"/>
        <v>19813247.484651599</v>
      </c>
    </row>
    <row r="5" spans="1:14">
      <c r="A5" s="129" t="s">
        <v>95</v>
      </c>
      <c r="B5" s="168">
        <f>INDEX('Base Allocation'!$A$2:$AI$77,MATCH('District Specific SCFF'!$A5,'Base Allocation'!$A$2:$A$77,0),MATCH('District Specific SCFF'!B$1,'Base Allocation'!$A$2:$AI$2,0))</f>
        <v>48029963.643274367</v>
      </c>
      <c r="C5" s="168">
        <f>INDEX('Supplemental Allocation'!$A$2:$Q$76,MATCH('District Specific SCFF'!$A5,'Supplemental Allocation'!$A$2:$A$76,0),MATCH('District Specific SCFF'!C$1,'Supplemental Allocation'!$A$2:$Q$2,0))</f>
        <v>12047211.610848792</v>
      </c>
      <c r="D5" s="168">
        <f>INDEX('Success Allocation'!$A$3:$EP$76,MATCH('District Specific SCFF'!$A5,'Success Allocation'!$A$3:$A$76,0),MATCH('District Specific SCFF'!D$1,'Success Allocation'!$A$3:$EP$3,0))</f>
        <v>8115842.1877552783</v>
      </c>
      <c r="E5" s="143">
        <f t="shared" si="0"/>
        <v>68193017.441878438</v>
      </c>
      <c r="F5" s="120">
        <v>58869732</v>
      </c>
      <c r="G5" s="125">
        <f>INDEX('Rate Assumptions'!$A$1:$C$34,MATCH('District Specific SCFF'!G$1,'Rate Assumptions'!$A$1:$A$34,0),2)</f>
        <v>2.7099999999999999E-2</v>
      </c>
      <c r="H5" s="125">
        <f>INDEX('Rate Assumptions'!$A$1:$C$34,MATCH('District Specific SCFF'!H$1,'Rate Assumptions'!$A$1:$A$34,0),2)</f>
        <v>3.2599999999999997E-2</v>
      </c>
      <c r="I5" s="168">
        <f t="shared" si="1"/>
        <v>62436264.05383271</v>
      </c>
      <c r="J5" s="126" t="str">
        <f t="shared" si="2"/>
        <v/>
      </c>
      <c r="K5" s="168">
        <f t="shared" si="3"/>
        <v>0</v>
      </c>
      <c r="L5" s="294"/>
      <c r="M5" s="126">
        <f t="shared" si="4"/>
        <v>0</v>
      </c>
      <c r="N5" s="295">
        <f t="shared" si="5"/>
        <v>62436264.05383271</v>
      </c>
    </row>
    <row r="6" spans="1:14">
      <c r="A6" s="129" t="s">
        <v>96</v>
      </c>
      <c r="B6" s="168">
        <f>INDEX('Base Allocation'!$A$2:$AI$77,MATCH('District Specific SCFF'!$A6,'Base Allocation'!$A$2:$A$77,0),MATCH('District Specific SCFF'!B$1,'Base Allocation'!$A$2:$AI$2,0))</f>
        <v>47678619.495806277</v>
      </c>
      <c r="C6" s="168">
        <f>INDEX('Supplemental Allocation'!$A$2:$Q$76,MATCH('District Specific SCFF'!$A6,'Supplemental Allocation'!$A$2:$A$76,0),MATCH('District Specific SCFF'!C$1,'Supplemental Allocation'!$A$2:$Q$2,0))</f>
        <v>8852283.6551013142</v>
      </c>
      <c r="D6" s="168">
        <f>INDEX('Success Allocation'!$A$3:$EP$76,MATCH('District Specific SCFF'!$A6,'Success Allocation'!$A$3:$A$76,0),MATCH('District Specific SCFF'!D$1,'Success Allocation'!$A$3:$EP$3,0))</f>
        <v>6160625.1999254366</v>
      </c>
      <c r="E6" s="143">
        <f t="shared" si="0"/>
        <v>62691528.350833029</v>
      </c>
      <c r="F6" s="120">
        <v>61066687</v>
      </c>
      <c r="G6" s="125">
        <f>INDEX('Rate Assumptions'!$A$1:$C$34,MATCH('District Specific SCFF'!G$1,'Rate Assumptions'!$A$1:$A$34,0),2)</f>
        <v>2.7099999999999999E-2</v>
      </c>
      <c r="H6" s="125">
        <f>INDEX('Rate Assumptions'!$A$1:$C$34,MATCH('District Specific SCFF'!H$1,'Rate Assumptions'!$A$1:$A$34,0),2)</f>
        <v>3.2599999999999997E-2</v>
      </c>
      <c r="I6" s="168">
        <f t="shared" si="1"/>
        <v>64766318.189197011</v>
      </c>
      <c r="J6" s="126" t="str">
        <f t="shared" si="2"/>
        <v>Y</v>
      </c>
      <c r="K6" s="168">
        <f t="shared" si="3"/>
        <v>2074789.8383639827</v>
      </c>
      <c r="L6" s="294"/>
      <c r="M6" s="126">
        <f t="shared" si="4"/>
        <v>2074789.8383639827</v>
      </c>
      <c r="N6" s="295">
        <f t="shared" si="5"/>
        <v>66841108.027560994</v>
      </c>
    </row>
    <row r="7" spans="1:14">
      <c r="A7" s="129" t="s">
        <v>97</v>
      </c>
      <c r="B7" s="168">
        <f>INDEX('Base Allocation'!$A$2:$AI$77,MATCH('District Specific SCFF'!$A7,'Base Allocation'!$A$2:$A$77,0),MATCH('District Specific SCFF'!B$1,'Base Allocation'!$A$2:$AI$2,0))</f>
        <v>71743528.760518968</v>
      </c>
      <c r="C7" s="168">
        <f>INDEX('Supplemental Allocation'!$A$2:$Q$76,MATCH('District Specific SCFF'!$A7,'Supplemental Allocation'!$A$2:$A$76,0),MATCH('District Specific SCFF'!C$1,'Supplemental Allocation'!$A$2:$Q$2,0))</f>
        <v>27395322.020318266</v>
      </c>
      <c r="D7" s="168">
        <f>INDEX('Success Allocation'!$A$3:$EP$76,MATCH('District Specific SCFF'!$A7,'Success Allocation'!$A$3:$A$76,0),MATCH('District Specific SCFF'!D$1,'Success Allocation'!$A$3:$EP$3,0))</f>
        <v>13540952.683940096</v>
      </c>
      <c r="E7" s="143">
        <f t="shared" si="0"/>
        <v>112679803.46477734</v>
      </c>
      <c r="F7" s="120">
        <v>93447643</v>
      </c>
      <c r="G7" s="125">
        <f>INDEX('Rate Assumptions'!$A$1:$C$34,MATCH('District Specific SCFF'!G$1,'Rate Assumptions'!$A$1:$A$34,0),2)</f>
        <v>2.7099999999999999E-2</v>
      </c>
      <c r="H7" s="125">
        <f>INDEX('Rate Assumptions'!$A$1:$C$34,MATCH('District Specific SCFF'!H$1,'Rate Assumptions'!$A$1:$A$34,0),2)</f>
        <v>3.2599999999999997E-2</v>
      </c>
      <c r="I7" s="168">
        <f t="shared" si="1"/>
        <v>99109024.541784763</v>
      </c>
      <c r="J7" s="126" t="str">
        <f t="shared" si="2"/>
        <v/>
      </c>
      <c r="K7" s="168">
        <f t="shared" si="3"/>
        <v>0</v>
      </c>
      <c r="L7" s="294"/>
      <c r="M7" s="126">
        <f t="shared" si="4"/>
        <v>0</v>
      </c>
      <c r="N7" s="295">
        <f t="shared" si="5"/>
        <v>99109024.541784763</v>
      </c>
    </row>
    <row r="8" spans="1:14">
      <c r="A8" s="129" t="s">
        <v>98</v>
      </c>
      <c r="B8" s="168">
        <f>INDEX('Base Allocation'!$A$2:$AI$77,MATCH('District Specific SCFF'!$A8,'Base Allocation'!$A$2:$A$77,0),MATCH('District Specific SCFF'!B$1,'Base Allocation'!$A$2:$AI$2,0))</f>
        <v>74184208.239322931</v>
      </c>
      <c r="C8" s="168">
        <f>INDEX('Supplemental Allocation'!$A$2:$Q$76,MATCH('District Specific SCFF'!$A8,'Supplemental Allocation'!$A$2:$A$76,0),MATCH('District Specific SCFF'!C$1,'Supplemental Allocation'!$A$2:$Q$2,0))</f>
        <v>15302561.538409937</v>
      </c>
      <c r="D8" s="168">
        <f>INDEX('Success Allocation'!$A$3:$EP$76,MATCH('District Specific SCFF'!$A8,'Success Allocation'!$A$3:$A$76,0),MATCH('District Specific SCFF'!D$1,'Success Allocation'!$A$3:$EP$3,0))</f>
        <v>11525158.819839792</v>
      </c>
      <c r="E8" s="143">
        <f t="shared" si="0"/>
        <v>101011928.59757265</v>
      </c>
      <c r="F8" s="120">
        <v>107679794</v>
      </c>
      <c r="G8" s="125">
        <f>INDEX('Rate Assumptions'!$A$1:$C$34,MATCH('District Specific SCFF'!G$1,'Rate Assumptions'!$A$1:$A$34,0),2)</f>
        <v>2.7099999999999999E-2</v>
      </c>
      <c r="H8" s="125">
        <f>INDEX('Rate Assumptions'!$A$1:$C$34,MATCH('District Specific SCFF'!H$1,'Rate Assumptions'!$A$1:$A$34,0),2)</f>
        <v>3.2599999999999997E-2</v>
      </c>
      <c r="I8" s="168">
        <f t="shared" si="1"/>
        <v>114203408.49260722</v>
      </c>
      <c r="J8" s="126" t="str">
        <f t="shared" si="2"/>
        <v>Y</v>
      </c>
      <c r="K8" s="168">
        <f t="shared" si="3"/>
        <v>13191479.895034567</v>
      </c>
      <c r="L8" s="294"/>
      <c r="M8" s="126">
        <f t="shared" si="4"/>
        <v>13191479.895034567</v>
      </c>
      <c r="N8" s="295">
        <f t="shared" si="5"/>
        <v>127394888.38764179</v>
      </c>
    </row>
    <row r="9" spans="1:14">
      <c r="A9" s="129" t="s">
        <v>99</v>
      </c>
      <c r="B9" s="168">
        <f>INDEX('Base Allocation'!$A$2:$AI$77,MATCH('District Specific SCFF'!$A9,'Base Allocation'!$A$2:$A$77,0),MATCH('District Specific SCFF'!B$1,'Base Allocation'!$A$2:$AI$2,0))</f>
        <v>74314292.537782922</v>
      </c>
      <c r="C9" s="168">
        <f>INDEX('Supplemental Allocation'!$A$2:$Q$76,MATCH('District Specific SCFF'!$A9,'Supplemental Allocation'!$A$2:$A$76,0),MATCH('District Specific SCFF'!C$1,'Supplemental Allocation'!$A$2:$Q$2,0))</f>
        <v>25822491.615568563</v>
      </c>
      <c r="D9" s="168">
        <f>INDEX('Success Allocation'!$A$3:$EP$76,MATCH('District Specific SCFF'!$A9,'Success Allocation'!$A$3:$A$76,0),MATCH('District Specific SCFF'!D$1,'Success Allocation'!$A$3:$EP$3,0))</f>
        <v>12928519.245224111</v>
      </c>
      <c r="E9" s="143">
        <f t="shared" si="0"/>
        <v>113065303.3985756</v>
      </c>
      <c r="F9" s="120">
        <v>93669819</v>
      </c>
      <c r="G9" s="125">
        <f>INDEX('Rate Assumptions'!$A$1:$C$34,MATCH('District Specific SCFF'!G$1,'Rate Assumptions'!$A$1:$A$34,0),2)</f>
        <v>2.7099999999999999E-2</v>
      </c>
      <c r="H9" s="125">
        <f>INDEX('Rate Assumptions'!$A$1:$C$34,MATCH('District Specific SCFF'!H$1,'Rate Assumptions'!$A$1:$A$34,0),2)</f>
        <v>3.2599999999999997E-2</v>
      </c>
      <c r="I9" s="168">
        <f t="shared" si="1"/>
        <v>99344660.73259373</v>
      </c>
      <c r="J9" s="126" t="str">
        <f t="shared" si="2"/>
        <v/>
      </c>
      <c r="K9" s="168">
        <f t="shared" si="3"/>
        <v>0</v>
      </c>
      <c r="L9" s="294"/>
      <c r="M9" s="126">
        <f t="shared" si="4"/>
        <v>0</v>
      </c>
      <c r="N9" s="295">
        <f t="shared" si="5"/>
        <v>99344660.73259373</v>
      </c>
    </row>
    <row r="10" spans="1:14">
      <c r="A10" s="129" t="s">
        <v>100</v>
      </c>
      <c r="B10" s="168">
        <f>INDEX('Base Allocation'!$A$2:$AI$77,MATCH('District Specific SCFF'!$A10,'Base Allocation'!$A$2:$A$77,0),MATCH('District Specific SCFF'!B$1,'Base Allocation'!$A$2:$AI$2,0))</f>
        <v>52374517.068575211</v>
      </c>
      <c r="C10" s="168">
        <f>INDEX('Supplemental Allocation'!$A$2:$Q$76,MATCH('District Specific SCFF'!$A10,'Supplemental Allocation'!$A$2:$A$76,0),MATCH('District Specific SCFF'!C$1,'Supplemental Allocation'!$A$2:$Q$2,0))</f>
        <v>15639995.011769362</v>
      </c>
      <c r="D10" s="168">
        <f>INDEX('Success Allocation'!$A$3:$EP$76,MATCH('District Specific SCFF'!$A10,'Success Allocation'!$A$3:$A$76,0),MATCH('District Specific SCFF'!D$1,'Success Allocation'!$A$3:$EP$3,0))</f>
        <v>9994418.268925678</v>
      </c>
      <c r="E10" s="143">
        <f t="shared" si="0"/>
        <v>78008930.349270254</v>
      </c>
      <c r="F10" s="120">
        <v>68139191</v>
      </c>
      <c r="G10" s="125">
        <f>INDEX('Rate Assumptions'!$A$1:$C$34,MATCH('District Specific SCFF'!G$1,'Rate Assumptions'!$A$1:$A$34,0),2)</f>
        <v>2.7099999999999999E-2</v>
      </c>
      <c r="H10" s="125">
        <f>INDEX('Rate Assumptions'!$A$1:$C$34,MATCH('District Specific SCFF'!H$1,'Rate Assumptions'!$A$1:$A$34,0),2)</f>
        <v>3.2599999999999997E-2</v>
      </c>
      <c r="I10" s="168">
        <f t="shared" si="1"/>
        <v>72267298.952380851</v>
      </c>
      <c r="J10" s="126" t="str">
        <f t="shared" si="2"/>
        <v/>
      </c>
      <c r="K10" s="168">
        <f t="shared" si="3"/>
        <v>0</v>
      </c>
      <c r="L10" s="294"/>
      <c r="M10" s="126">
        <f t="shared" si="4"/>
        <v>0</v>
      </c>
      <c r="N10" s="295">
        <f t="shared" si="5"/>
        <v>72267298.952380851</v>
      </c>
    </row>
    <row r="11" spans="1:14">
      <c r="A11" s="129" t="s">
        <v>101</v>
      </c>
      <c r="B11" s="168">
        <f>INDEX('Base Allocation'!$A$2:$AI$77,MATCH('District Specific SCFF'!$A11,'Base Allocation'!$A$2:$A$77,0),MATCH('District Specific SCFF'!B$1,'Base Allocation'!$A$2:$AI$2,0))</f>
        <v>139335348.91108894</v>
      </c>
      <c r="C11" s="168">
        <f>INDEX('Supplemental Allocation'!$A$2:$Q$76,MATCH('District Specific SCFF'!$A11,'Supplemental Allocation'!$A$2:$A$76,0),MATCH('District Specific SCFF'!C$1,'Supplemental Allocation'!$A$2:$Q$2,0))</f>
        <v>41733920.716100872</v>
      </c>
      <c r="D11" s="168">
        <f>INDEX('Success Allocation'!$A$3:$EP$76,MATCH('District Specific SCFF'!$A11,'Success Allocation'!$A$3:$A$76,0),MATCH('District Specific SCFF'!D$1,'Success Allocation'!$A$3:$EP$3,0))</f>
        <v>26702604.648774616</v>
      </c>
      <c r="E11" s="143">
        <f t="shared" si="0"/>
        <v>207771874.27596444</v>
      </c>
      <c r="F11" s="120">
        <v>184284255</v>
      </c>
      <c r="G11" s="125">
        <f>INDEX('Rate Assumptions'!$A$1:$C$34,MATCH('District Specific SCFF'!G$1,'Rate Assumptions'!$A$1:$A$34,0),2)</f>
        <v>2.7099999999999999E-2</v>
      </c>
      <c r="H11" s="125">
        <f>INDEX('Rate Assumptions'!$A$1:$C$34,MATCH('District Specific SCFF'!H$1,'Rate Assumptions'!$A$1:$A$34,0),2)</f>
        <v>3.2599999999999997E-2</v>
      </c>
      <c r="I11" s="168">
        <f t="shared" si="1"/>
        <v>195448832.79142228</v>
      </c>
      <c r="J11" s="126" t="str">
        <f t="shared" si="2"/>
        <v/>
      </c>
      <c r="K11" s="168">
        <f t="shared" si="3"/>
        <v>0</v>
      </c>
      <c r="L11" s="294"/>
      <c r="M11" s="126">
        <f t="shared" si="4"/>
        <v>0</v>
      </c>
      <c r="N11" s="295">
        <f t="shared" si="5"/>
        <v>195448832.79142228</v>
      </c>
    </row>
    <row r="12" spans="1:14">
      <c r="A12" s="129" t="s">
        <v>102</v>
      </c>
      <c r="B12" s="168">
        <f>INDEX('Base Allocation'!$A$2:$AI$77,MATCH('District Specific SCFF'!$A12,'Base Allocation'!$A$2:$A$77,0),MATCH('District Specific SCFF'!B$1,'Base Allocation'!$A$2:$AI$2,0))</f>
        <v>28723233.878902417</v>
      </c>
      <c r="C12" s="168">
        <f>INDEX('Supplemental Allocation'!$A$2:$Q$76,MATCH('District Specific SCFF'!$A12,'Supplemental Allocation'!$A$2:$A$76,0),MATCH('District Specific SCFF'!C$1,'Supplemental Allocation'!$A$2:$Q$2,0))</f>
        <v>6404729.012249087</v>
      </c>
      <c r="D12" s="168">
        <f>INDEX('Success Allocation'!$A$3:$EP$76,MATCH('District Specific SCFF'!$A12,'Success Allocation'!$A$3:$A$76,0),MATCH('District Specific SCFF'!D$1,'Success Allocation'!$A$3:$EP$3,0))</f>
        <v>2952104.8723273235</v>
      </c>
      <c r="E12" s="143">
        <f t="shared" si="0"/>
        <v>38080067.763478823</v>
      </c>
      <c r="F12" s="120">
        <v>35475170</v>
      </c>
      <c r="G12" s="125">
        <f>INDEX('Rate Assumptions'!$A$1:$C$34,MATCH('District Specific SCFF'!G$1,'Rate Assumptions'!$A$1:$A$34,0),2)</f>
        <v>2.7099999999999999E-2</v>
      </c>
      <c r="H12" s="125">
        <f>INDEX('Rate Assumptions'!$A$1:$C$34,MATCH('District Specific SCFF'!H$1,'Rate Assumptions'!$A$1:$A$34,0),2)</f>
        <v>3.2599999999999997E-2</v>
      </c>
      <c r="I12" s="168">
        <f t="shared" si="1"/>
        <v>37624378.542688191</v>
      </c>
      <c r="J12" s="126" t="str">
        <f t="shared" si="2"/>
        <v/>
      </c>
      <c r="K12" s="168">
        <f t="shared" si="3"/>
        <v>0</v>
      </c>
      <c r="L12" s="294"/>
      <c r="M12" s="126">
        <f t="shared" si="4"/>
        <v>0</v>
      </c>
      <c r="N12" s="295">
        <f t="shared" si="5"/>
        <v>37624378.542688191</v>
      </c>
    </row>
    <row r="13" spans="1:14">
      <c r="A13" s="129" t="s">
        <v>103</v>
      </c>
      <c r="B13" s="168">
        <f>INDEX('Base Allocation'!$A$2:$AI$77,MATCH('District Specific SCFF'!$A13,'Base Allocation'!$A$2:$A$77,0),MATCH('District Specific SCFF'!B$1,'Base Allocation'!$A$2:$AI$2,0))</f>
        <v>122116445.71435484</v>
      </c>
      <c r="C13" s="168">
        <f>INDEX('Supplemental Allocation'!$A$2:$Q$76,MATCH('District Specific SCFF'!$A13,'Supplemental Allocation'!$A$2:$A$76,0),MATCH('District Specific SCFF'!C$1,'Supplemental Allocation'!$A$2:$Q$2,0))</f>
        <v>26033503.732517846</v>
      </c>
      <c r="D13" s="168">
        <f>INDEX('Success Allocation'!$A$3:$EP$76,MATCH('District Specific SCFF'!$A13,'Success Allocation'!$A$3:$A$76,0),MATCH('District Specific SCFF'!D$1,'Success Allocation'!$A$3:$EP$3,0))</f>
        <v>19911651.935675722</v>
      </c>
      <c r="E13" s="143">
        <f t="shared" si="0"/>
        <v>168061601.38254839</v>
      </c>
      <c r="F13" s="120">
        <v>170246475</v>
      </c>
      <c r="G13" s="125">
        <f>INDEX('Rate Assumptions'!$A$1:$C$34,MATCH('District Specific SCFF'!G$1,'Rate Assumptions'!$A$1:$A$34,0),2)</f>
        <v>2.7099999999999999E-2</v>
      </c>
      <c r="H13" s="125">
        <f>INDEX('Rate Assumptions'!$A$1:$C$34,MATCH('District Specific SCFF'!H$1,'Rate Assumptions'!$A$1:$A$34,0),2)</f>
        <v>3.2599999999999997E-2</v>
      </c>
      <c r="I13" s="168">
        <f t="shared" si="1"/>
        <v>180560595.50830349</v>
      </c>
      <c r="J13" s="126" t="str">
        <f t="shared" si="2"/>
        <v>Y</v>
      </c>
      <c r="K13" s="168">
        <f t="shared" si="3"/>
        <v>12498994.125755101</v>
      </c>
      <c r="L13" s="294"/>
      <c r="M13" s="126">
        <f t="shared" si="4"/>
        <v>12498994.125755101</v>
      </c>
      <c r="N13" s="295">
        <f t="shared" si="5"/>
        <v>193059589.63405859</v>
      </c>
    </row>
    <row r="14" spans="1:14">
      <c r="A14" s="129" t="s">
        <v>104</v>
      </c>
      <c r="B14" s="168">
        <f>INDEX('Base Allocation'!$A$2:$AI$77,MATCH('District Specific SCFF'!$A14,'Base Allocation'!$A$2:$A$77,0),MATCH('District Specific SCFF'!B$1,'Base Allocation'!$A$2:$AI$2,0))</f>
        <v>11341699.451010315</v>
      </c>
      <c r="C14" s="168">
        <f>INDEX('Supplemental Allocation'!$A$2:$Q$76,MATCH('District Specific SCFF'!$A14,'Supplemental Allocation'!$A$2:$A$76,0),MATCH('District Specific SCFF'!C$1,'Supplemental Allocation'!$A$2:$Q$2,0))</f>
        <v>2989493.2515809964</v>
      </c>
      <c r="D14" s="168">
        <f>INDEX('Success Allocation'!$A$3:$EP$76,MATCH('District Specific SCFF'!$A14,'Success Allocation'!$A$3:$A$76,0),MATCH('District Specific SCFF'!D$1,'Success Allocation'!$A$3:$EP$3,0))</f>
        <v>1145543.1298916708</v>
      </c>
      <c r="E14" s="143">
        <f t="shared" si="0"/>
        <v>15476735.832482982</v>
      </c>
      <c r="F14" s="120">
        <v>12911574</v>
      </c>
      <c r="G14" s="125">
        <f>INDEX('Rate Assumptions'!$A$1:$C$34,MATCH('District Specific SCFF'!G$1,'Rate Assumptions'!$A$1:$A$34,0),2)</f>
        <v>2.7099999999999999E-2</v>
      </c>
      <c r="H14" s="125">
        <f>INDEX('Rate Assumptions'!$A$1:$C$34,MATCH('District Specific SCFF'!H$1,'Rate Assumptions'!$A$1:$A$34,0),2)</f>
        <v>3.2599999999999997E-2</v>
      </c>
      <c r="I14" s="168">
        <f t="shared" si="1"/>
        <v>13693801.826966038</v>
      </c>
      <c r="J14" s="126" t="str">
        <f t="shared" si="2"/>
        <v/>
      </c>
      <c r="K14" s="168">
        <f t="shared" si="3"/>
        <v>0</v>
      </c>
      <c r="L14" s="294"/>
      <c r="M14" s="126">
        <f t="shared" si="4"/>
        <v>0</v>
      </c>
      <c r="N14" s="295">
        <f t="shared" si="5"/>
        <v>13693801.826966038</v>
      </c>
    </row>
    <row r="15" spans="1:14">
      <c r="A15" s="129" t="s">
        <v>105</v>
      </c>
      <c r="B15" s="168">
        <f>INDEX('Base Allocation'!$A$2:$AI$77,MATCH('District Specific SCFF'!$A15,'Base Allocation'!$A$2:$A$77,0),MATCH('District Specific SCFF'!B$1,'Base Allocation'!$A$2:$AI$2,0))</f>
        <v>54618252.163537487</v>
      </c>
      <c r="C15" s="168">
        <f>INDEX('Supplemental Allocation'!$A$2:$Q$76,MATCH('District Specific SCFF'!$A15,'Supplemental Allocation'!$A$2:$A$76,0),MATCH('District Specific SCFF'!C$1,'Supplemental Allocation'!$A$2:$Q$2,0))</f>
        <v>15270956.199307401</v>
      </c>
      <c r="D15" s="168">
        <f>INDEX('Success Allocation'!$A$3:$EP$76,MATCH('District Specific SCFF'!$A15,'Success Allocation'!$A$3:$A$76,0),MATCH('District Specific SCFF'!D$1,'Success Allocation'!$A$3:$EP$3,0))</f>
        <v>7006164.1749195661</v>
      </c>
      <c r="E15" s="143">
        <f t="shared" si="0"/>
        <v>76895372.537764445</v>
      </c>
      <c r="F15" s="120">
        <v>58638385</v>
      </c>
      <c r="G15" s="125">
        <f>INDEX('Rate Assumptions'!$A$1:$C$34,MATCH('District Specific SCFF'!G$1,'Rate Assumptions'!$A$1:$A$34,0),2)</f>
        <v>2.7099999999999999E-2</v>
      </c>
      <c r="H15" s="125">
        <f>INDEX('Rate Assumptions'!$A$1:$C$34,MATCH('District Specific SCFF'!H$1,'Rate Assumptions'!$A$1:$A$34,0),2)</f>
        <v>3.2599999999999997E-2</v>
      </c>
      <c r="I15" s="168">
        <f t="shared" si="1"/>
        <v>62190901.252112091</v>
      </c>
      <c r="J15" s="126" t="str">
        <f t="shared" si="2"/>
        <v/>
      </c>
      <c r="K15" s="168">
        <f t="shared" si="3"/>
        <v>0</v>
      </c>
      <c r="L15" s="294"/>
      <c r="M15" s="126">
        <f t="shared" si="4"/>
        <v>0</v>
      </c>
      <c r="N15" s="295">
        <f t="shared" si="5"/>
        <v>62190901.252112091</v>
      </c>
    </row>
    <row r="16" spans="1:14">
      <c r="A16" s="129" t="s">
        <v>106</v>
      </c>
      <c r="B16" s="168">
        <f>INDEX('Base Allocation'!$A$2:$AI$77,MATCH('District Specific SCFF'!$A16,'Base Allocation'!$A$2:$A$77,0),MATCH('District Specific SCFF'!B$1,'Base Allocation'!$A$2:$AI$2,0))</f>
        <v>87785632.753833085</v>
      </c>
      <c r="C16" s="168">
        <f>INDEX('Supplemental Allocation'!$A$2:$Q$76,MATCH('District Specific SCFF'!$A16,'Supplemental Allocation'!$A$2:$A$76,0),MATCH('District Specific SCFF'!C$1,'Supplemental Allocation'!$A$2:$Q$2,0))</f>
        <v>22587592.201544348</v>
      </c>
      <c r="D16" s="168">
        <f>INDEX('Success Allocation'!$A$3:$EP$76,MATCH('District Specific SCFF'!$A16,'Success Allocation'!$A$3:$A$76,0),MATCH('District Specific SCFF'!D$1,'Success Allocation'!$A$3:$EP$3,0))</f>
        <v>14534128.382117961</v>
      </c>
      <c r="E16" s="143">
        <f t="shared" si="0"/>
        <v>124907353.33749539</v>
      </c>
      <c r="F16" s="120">
        <v>114070046</v>
      </c>
      <c r="G16" s="125">
        <f>INDEX('Rate Assumptions'!$A$1:$C$34,MATCH('District Specific SCFF'!G$1,'Rate Assumptions'!$A$1:$A$34,0),2)</f>
        <v>2.7099999999999999E-2</v>
      </c>
      <c r="H16" s="125">
        <f>INDEX('Rate Assumptions'!$A$1:$C$34,MATCH('District Specific SCFF'!H$1,'Rate Assumptions'!$A$1:$A$34,0),2)</f>
        <v>3.2599999999999997E-2</v>
      </c>
      <c r="I16" s="168">
        <f t="shared" si="1"/>
        <v>120980804.06903914</v>
      </c>
      <c r="J16" s="126" t="str">
        <f t="shared" si="2"/>
        <v/>
      </c>
      <c r="K16" s="168">
        <f t="shared" si="3"/>
        <v>0</v>
      </c>
      <c r="L16" s="294"/>
      <c r="M16" s="126">
        <f t="shared" si="4"/>
        <v>0</v>
      </c>
      <c r="N16" s="295">
        <f t="shared" si="5"/>
        <v>120980804.06903914</v>
      </c>
    </row>
    <row r="17" spans="1:14">
      <c r="A17" s="129" t="s">
        <v>107</v>
      </c>
      <c r="B17" s="168">
        <f>INDEX('Base Allocation'!$A$2:$AI$77,MATCH('District Specific SCFF'!$A17,'Base Allocation'!$A$2:$A$77,0),MATCH('District Specific SCFF'!B$1,'Base Allocation'!$A$2:$AI$2,0))</f>
        <v>12019981.518792633</v>
      </c>
      <c r="C17" s="168">
        <f>INDEX('Supplemental Allocation'!$A$2:$Q$76,MATCH('District Specific SCFF'!$A17,'Supplemental Allocation'!$A$2:$A$76,0),MATCH('District Specific SCFF'!C$1,'Supplemental Allocation'!$A$2:$Q$2,0))</f>
        <v>2247697.3514685472</v>
      </c>
      <c r="D17" s="168">
        <f>INDEX('Success Allocation'!$A$3:$EP$76,MATCH('District Specific SCFF'!$A17,'Success Allocation'!$A$3:$A$76,0),MATCH('District Specific SCFF'!D$1,'Success Allocation'!$A$3:$EP$3,0))</f>
        <v>1524789.8262733319</v>
      </c>
      <c r="E17" s="143">
        <f t="shared" si="0"/>
        <v>15792468.696534513</v>
      </c>
      <c r="F17" s="120">
        <v>13630511</v>
      </c>
      <c r="G17" s="125">
        <f>INDEX('Rate Assumptions'!$A$1:$C$34,MATCH('District Specific SCFF'!G$1,'Rate Assumptions'!$A$1:$A$34,0),2)</f>
        <v>2.7099999999999999E-2</v>
      </c>
      <c r="H17" s="125">
        <f>INDEX('Rate Assumptions'!$A$1:$C$34,MATCH('District Specific SCFF'!H$1,'Rate Assumptions'!$A$1:$A$34,0),2)</f>
        <v>3.2599999999999997E-2</v>
      </c>
      <c r="I17" s="168">
        <f t="shared" si="1"/>
        <v>14456294.517948059</v>
      </c>
      <c r="J17" s="126" t="str">
        <f t="shared" si="2"/>
        <v/>
      </c>
      <c r="K17" s="168">
        <f t="shared" si="3"/>
        <v>0</v>
      </c>
      <c r="L17" s="294"/>
      <c r="M17" s="126">
        <f t="shared" si="4"/>
        <v>0</v>
      </c>
      <c r="N17" s="295">
        <f t="shared" si="5"/>
        <v>14456294.517948059</v>
      </c>
    </row>
    <row r="18" spans="1:14" ht="18">
      <c r="A18" s="129" t="s">
        <v>203</v>
      </c>
      <c r="B18" s="168">
        <f>INDEX('Base Allocation'!$A$2:$AI$77,MATCH('District Specific SCFF'!$A18,'Base Allocation'!$A$2:$A$77,0),MATCH('District Specific SCFF'!B$1,'Base Allocation'!$A$2:$AI$2,0))</f>
        <v>105519336.89486821</v>
      </c>
      <c r="C18" s="168">
        <f>INDEX('Supplemental Allocation'!$A$2:$Q$76,MATCH('District Specific SCFF'!$A18,'Supplemental Allocation'!$A$2:$A$76,0),MATCH('District Specific SCFF'!C$1,'Supplemental Allocation'!$A$2:$Q$2,0))</f>
        <v>19134244.120193791</v>
      </c>
      <c r="D18" s="168">
        <f>INDEX('Success Allocation'!$A$3:$EP$76,MATCH('District Specific SCFF'!$A18,'Success Allocation'!$A$3:$A$76,0),MATCH('District Specific SCFF'!D$1,'Success Allocation'!$A$3:$EP$3,0))</f>
        <v>21542538.47858629</v>
      </c>
      <c r="E18" s="143">
        <f t="shared" si="0"/>
        <v>146196119.49364829</v>
      </c>
      <c r="F18" s="120">
        <v>147913544</v>
      </c>
      <c r="G18" s="125">
        <f>INDEX('Rate Assumptions'!$A$1:$C$34,MATCH('District Specific SCFF'!G$1,'Rate Assumptions'!$A$1:$A$34,0),2)</f>
        <v>2.7099999999999999E-2</v>
      </c>
      <c r="H18" s="125">
        <f>INDEX('Rate Assumptions'!$A$1:$C$34,MATCH('District Specific SCFF'!H$1,'Rate Assumptions'!$A$1:$A$34,0),2)</f>
        <v>3.2599999999999997E-2</v>
      </c>
      <c r="I18" s="168">
        <f t="shared" si="1"/>
        <v>156874658.27638221</v>
      </c>
      <c r="J18" s="126" t="str">
        <f t="shared" si="2"/>
        <v>Y</v>
      </c>
      <c r="K18" s="168">
        <f t="shared" si="3"/>
        <v>10678538.782733917</v>
      </c>
      <c r="L18" s="294"/>
      <c r="M18" s="126">
        <f t="shared" si="4"/>
        <v>10678538.782733917</v>
      </c>
      <c r="N18" s="295">
        <f t="shared" si="5"/>
        <v>167553197.05911613</v>
      </c>
    </row>
    <row r="19" spans="1:14">
      <c r="A19" s="129" t="s">
        <v>108</v>
      </c>
      <c r="B19" s="168">
        <f>INDEX('Base Allocation'!$A$2:$AI$77,MATCH('District Specific SCFF'!$A19,'Base Allocation'!$A$2:$A$77,0),MATCH('District Specific SCFF'!B$1,'Base Allocation'!$A$2:$AI$2,0))</f>
        <v>26129964.637956403</v>
      </c>
      <c r="C19" s="168">
        <f>INDEX('Supplemental Allocation'!$A$2:$Q$76,MATCH('District Specific SCFF'!$A19,'Supplemental Allocation'!$A$2:$A$76,0),MATCH('District Specific SCFF'!C$1,'Supplemental Allocation'!$A$2:$Q$2,0))</f>
        <v>4842123.8642678512</v>
      </c>
      <c r="D19" s="168">
        <f>INDEX('Success Allocation'!$A$3:$EP$76,MATCH('District Specific SCFF'!$A19,'Success Allocation'!$A$3:$A$76,0),MATCH('District Specific SCFF'!D$1,'Success Allocation'!$A$3:$EP$3,0))</f>
        <v>3555755.8986489596</v>
      </c>
      <c r="E19" s="143">
        <f t="shared" si="0"/>
        <v>34527844.400873214</v>
      </c>
      <c r="F19" s="120">
        <v>32272402</v>
      </c>
      <c r="G19" s="125">
        <f>INDEX('Rate Assumptions'!$A$1:$C$34,MATCH('District Specific SCFF'!G$1,'Rate Assumptions'!$A$1:$A$34,0),2)</f>
        <v>2.7099999999999999E-2</v>
      </c>
      <c r="H19" s="125">
        <f>INDEX('Rate Assumptions'!$A$1:$C$34,MATCH('District Specific SCFF'!H$1,'Rate Assumptions'!$A$1:$A$34,0),2)</f>
        <v>3.2599999999999997E-2</v>
      </c>
      <c r="I19" s="168">
        <f t="shared" si="1"/>
        <v>34227575.775670916</v>
      </c>
      <c r="J19" s="126" t="str">
        <f t="shared" si="2"/>
        <v/>
      </c>
      <c r="K19" s="168">
        <f t="shared" si="3"/>
        <v>0</v>
      </c>
      <c r="L19" s="294"/>
      <c r="M19" s="126">
        <f t="shared" si="4"/>
        <v>0</v>
      </c>
      <c r="N19" s="295">
        <f t="shared" si="5"/>
        <v>34227575.775670916</v>
      </c>
    </row>
    <row r="20" spans="1:14">
      <c r="A20" s="129" t="s">
        <v>109</v>
      </c>
      <c r="B20" s="168">
        <f>INDEX('Base Allocation'!$A$2:$AI$77,MATCH('District Specific SCFF'!$A20,'Base Allocation'!$A$2:$A$77,0),MATCH('District Specific SCFF'!B$1,'Base Allocation'!$A$2:$AI$2,0))</f>
        <v>65087710.431563631</v>
      </c>
      <c r="C20" s="168">
        <f>INDEX('Supplemental Allocation'!$A$2:$Q$76,MATCH('District Specific SCFF'!$A20,'Supplemental Allocation'!$A$2:$A$76,0),MATCH('District Specific SCFF'!C$1,'Supplemental Allocation'!$A$2:$Q$2,0))</f>
        <v>16077821.915219188</v>
      </c>
      <c r="D20" s="168">
        <f>INDEX('Success Allocation'!$A$3:$EP$76,MATCH('District Specific SCFF'!$A20,'Success Allocation'!$A$3:$A$76,0),MATCH('District Specific SCFF'!D$1,'Success Allocation'!$A$3:$EP$3,0))</f>
        <v>7925766.4329784429</v>
      </c>
      <c r="E20" s="143">
        <f t="shared" si="0"/>
        <v>89091298.779761255</v>
      </c>
      <c r="F20" s="120">
        <v>88219644</v>
      </c>
      <c r="G20" s="125">
        <f>INDEX('Rate Assumptions'!$A$1:$C$34,MATCH('District Specific SCFF'!G$1,'Rate Assumptions'!$A$1:$A$34,0),2)</f>
        <v>2.7099999999999999E-2</v>
      </c>
      <c r="H20" s="125">
        <f>INDEX('Rate Assumptions'!$A$1:$C$34,MATCH('District Specific SCFF'!H$1,'Rate Assumptions'!$A$1:$A$34,0),2)</f>
        <v>3.2599999999999997E-2</v>
      </c>
      <c r="I20" s="168">
        <f t="shared" si="1"/>
        <v>93564295.273488224</v>
      </c>
      <c r="J20" s="126" t="str">
        <f t="shared" si="2"/>
        <v>Y</v>
      </c>
      <c r="K20" s="168">
        <f t="shared" si="3"/>
        <v>4472996.4937269688</v>
      </c>
      <c r="L20" s="294"/>
      <c r="M20" s="126">
        <f t="shared" si="4"/>
        <v>4472996.4937269688</v>
      </c>
      <c r="N20" s="295">
        <f t="shared" si="5"/>
        <v>98037291.767215192</v>
      </c>
    </row>
    <row r="21" spans="1:14">
      <c r="A21" s="129" t="s">
        <v>110</v>
      </c>
      <c r="B21" s="168">
        <f>INDEX('Base Allocation'!$A$2:$AI$77,MATCH('District Specific SCFF'!$A21,'Base Allocation'!$A$2:$A$77,0),MATCH('District Specific SCFF'!B$1,'Base Allocation'!$A$2:$AI$2,0))</f>
        <v>78836617.615410894</v>
      </c>
      <c r="C21" s="168">
        <f>INDEX('Supplemental Allocation'!$A$2:$Q$76,MATCH('District Specific SCFF'!$A21,'Supplemental Allocation'!$A$2:$A$76,0),MATCH('District Specific SCFF'!C$1,'Supplemental Allocation'!$A$2:$Q$2,0))</f>
        <v>26041869.851692043</v>
      </c>
      <c r="D21" s="168">
        <f>INDEX('Success Allocation'!$A$3:$EP$76,MATCH('District Specific SCFF'!$A21,'Success Allocation'!$A$3:$A$76,0),MATCH('District Specific SCFF'!D$1,'Success Allocation'!$A$3:$EP$3,0))</f>
        <v>13601395.657180799</v>
      </c>
      <c r="E21" s="143">
        <f t="shared" si="0"/>
        <v>118479883.12428375</v>
      </c>
      <c r="F21" s="120">
        <v>109388477</v>
      </c>
      <c r="G21" s="125">
        <f>INDEX('Rate Assumptions'!$A$1:$C$34,MATCH('District Specific SCFF'!G$1,'Rate Assumptions'!$A$1:$A$34,0),2)</f>
        <v>2.7099999999999999E-2</v>
      </c>
      <c r="H21" s="125">
        <f>INDEX('Rate Assumptions'!$A$1:$C$34,MATCH('District Specific SCFF'!H$1,'Rate Assumptions'!$A$1:$A$34,0),2)</f>
        <v>3.2599999999999997E-2</v>
      </c>
      <c r="I21" s="168">
        <f t="shared" si="1"/>
        <v>116015609.4207904</v>
      </c>
      <c r="J21" s="126" t="str">
        <f t="shared" si="2"/>
        <v/>
      </c>
      <c r="K21" s="168">
        <f t="shared" si="3"/>
        <v>0</v>
      </c>
      <c r="L21" s="294"/>
      <c r="M21" s="126">
        <f t="shared" si="4"/>
        <v>0</v>
      </c>
      <c r="N21" s="295">
        <f t="shared" si="5"/>
        <v>116015609.4207904</v>
      </c>
    </row>
    <row r="22" spans="1:14">
      <c r="A22" s="129" t="s">
        <v>111</v>
      </c>
      <c r="B22" s="168">
        <f>INDEX('Base Allocation'!$A$2:$AI$77,MATCH('District Specific SCFF'!$A22,'Base Allocation'!$A$2:$A$77,0),MATCH('District Specific SCFF'!B$1,'Base Allocation'!$A$2:$AI$2,0))</f>
        <v>34205681.111292608</v>
      </c>
      <c r="C22" s="168">
        <f>INDEX('Supplemental Allocation'!$A$2:$Q$76,MATCH('District Specific SCFF'!$A22,'Supplemental Allocation'!$A$2:$A$76,0),MATCH('District Specific SCFF'!C$1,'Supplemental Allocation'!$A$2:$Q$2,0))</f>
        <v>10636126.176800299</v>
      </c>
      <c r="D22" s="168">
        <f>INDEX('Success Allocation'!$A$3:$EP$76,MATCH('District Specific SCFF'!$A22,'Success Allocation'!$A$3:$A$76,0),MATCH('District Specific SCFF'!D$1,'Success Allocation'!$A$3:$EP$3,0))</f>
        <v>6852283.3067423562</v>
      </c>
      <c r="E22" s="143">
        <f t="shared" si="0"/>
        <v>51694090.594835266</v>
      </c>
      <c r="F22" s="120">
        <v>43134717</v>
      </c>
      <c r="G22" s="125">
        <f>INDEX('Rate Assumptions'!$A$1:$C$34,MATCH('District Specific SCFF'!G$1,'Rate Assumptions'!$A$1:$A$34,0),2)</f>
        <v>2.7099999999999999E-2</v>
      </c>
      <c r="H22" s="125">
        <f>INDEX('Rate Assumptions'!$A$1:$C$34,MATCH('District Specific SCFF'!H$1,'Rate Assumptions'!$A$1:$A$34,0),2)</f>
        <v>3.2599999999999997E-2</v>
      </c>
      <c r="I22" s="168">
        <f t="shared" si="1"/>
        <v>45747967.40198081</v>
      </c>
      <c r="J22" s="126" t="str">
        <f t="shared" si="2"/>
        <v/>
      </c>
      <c r="K22" s="168">
        <f t="shared" si="3"/>
        <v>0</v>
      </c>
      <c r="L22" s="294"/>
      <c r="M22" s="126">
        <f t="shared" si="4"/>
        <v>0</v>
      </c>
      <c r="N22" s="295">
        <f t="shared" si="5"/>
        <v>45747967.40198081</v>
      </c>
    </row>
    <row r="23" spans="1:14">
      <c r="A23" s="129" t="s">
        <v>112</v>
      </c>
      <c r="B23" s="168">
        <f>INDEX('Base Allocation'!$A$2:$AI$77,MATCH('District Specific SCFF'!$A23,'Base Allocation'!$A$2:$A$77,0),MATCH('District Specific SCFF'!B$1,'Base Allocation'!$A$2:$AI$2,0))</f>
        <v>34626720.408205435</v>
      </c>
      <c r="C23" s="168">
        <f>INDEX('Supplemental Allocation'!$A$2:$Q$76,MATCH('District Specific SCFF'!$A23,'Supplemental Allocation'!$A$2:$A$76,0),MATCH('District Specific SCFF'!C$1,'Supplemental Allocation'!$A$2:$Q$2,0))</f>
        <v>13402522.917069279</v>
      </c>
      <c r="D23" s="168">
        <f>INDEX('Success Allocation'!$A$3:$EP$76,MATCH('District Specific SCFF'!$A23,'Success Allocation'!$A$3:$A$76,0),MATCH('District Specific SCFF'!D$1,'Success Allocation'!$A$3:$EP$3,0))</f>
        <v>6306129.6490581911</v>
      </c>
      <c r="E23" s="143">
        <f t="shared" si="0"/>
        <v>54335372.974332906</v>
      </c>
      <c r="F23" s="120">
        <v>42965909</v>
      </c>
      <c r="G23" s="125">
        <f>INDEX('Rate Assumptions'!$A$1:$C$34,MATCH('District Specific SCFF'!G$1,'Rate Assumptions'!$A$1:$A$34,0),2)</f>
        <v>2.7099999999999999E-2</v>
      </c>
      <c r="H23" s="125">
        <f>INDEX('Rate Assumptions'!$A$1:$C$34,MATCH('District Specific SCFF'!H$1,'Rate Assumptions'!$A$1:$A$34,0),2)</f>
        <v>3.2599999999999997E-2</v>
      </c>
      <c r="I23" s="168">
        <f t="shared" si="1"/>
        <v>45568932.429265134</v>
      </c>
      <c r="J23" s="126" t="str">
        <f t="shared" si="2"/>
        <v/>
      </c>
      <c r="K23" s="168">
        <f t="shared" si="3"/>
        <v>0</v>
      </c>
      <c r="L23" s="294"/>
      <c r="M23" s="126">
        <f t="shared" si="4"/>
        <v>0</v>
      </c>
      <c r="N23" s="295">
        <f t="shared" si="5"/>
        <v>45568932.429265134</v>
      </c>
    </row>
    <row r="24" spans="1:14">
      <c r="A24" s="129" t="s">
        <v>113</v>
      </c>
      <c r="B24" s="168">
        <f>INDEX('Base Allocation'!$A$2:$AI$77,MATCH('District Specific SCFF'!$A24,'Base Allocation'!$A$2:$A$77,0),MATCH('District Specific SCFF'!B$1,'Base Allocation'!$A$2:$AI$2,0))</f>
        <v>111375777.86433895</v>
      </c>
      <c r="C24" s="168">
        <f>INDEX('Supplemental Allocation'!$A$2:$Q$76,MATCH('District Specific SCFF'!$A24,'Supplemental Allocation'!$A$2:$A$76,0),MATCH('District Specific SCFF'!C$1,'Supplemental Allocation'!$A$2:$Q$2,0))</f>
        <v>36987542.437937766</v>
      </c>
      <c r="D24" s="168">
        <f>INDEX('Success Allocation'!$A$3:$EP$76,MATCH('District Specific SCFF'!$A24,'Success Allocation'!$A$3:$A$76,0),MATCH('District Specific SCFF'!D$1,'Success Allocation'!$A$3:$EP$3,0))</f>
        <v>18392544.442934457</v>
      </c>
      <c r="E24" s="143">
        <f t="shared" si="0"/>
        <v>166755864.74521118</v>
      </c>
      <c r="F24" s="120">
        <v>135595067</v>
      </c>
      <c r="G24" s="125">
        <f>INDEX('Rate Assumptions'!$A$1:$C$34,MATCH('District Specific SCFF'!G$1,'Rate Assumptions'!$A$1:$A$34,0),2)</f>
        <v>2.7099999999999999E-2</v>
      </c>
      <c r="H24" s="125">
        <f>INDEX('Rate Assumptions'!$A$1:$C$34,MATCH('District Specific SCFF'!H$1,'Rate Assumptions'!$A$1:$A$34,0),2)</f>
        <v>3.2599999999999997E-2</v>
      </c>
      <c r="I24" s="168">
        <f t="shared" si="1"/>
        <v>143809885.31779182</v>
      </c>
      <c r="J24" s="126" t="str">
        <f t="shared" si="2"/>
        <v/>
      </c>
      <c r="K24" s="168">
        <f t="shared" si="3"/>
        <v>0</v>
      </c>
      <c r="L24" s="294"/>
      <c r="M24" s="126">
        <f t="shared" si="4"/>
        <v>0</v>
      </c>
      <c r="N24" s="295">
        <f t="shared" si="5"/>
        <v>143809885.31779182</v>
      </c>
    </row>
    <row r="25" spans="1:14">
      <c r="A25" s="129" t="s">
        <v>114</v>
      </c>
      <c r="B25" s="168">
        <f>INDEX('Base Allocation'!$A$2:$AI$77,MATCH('District Specific SCFF'!$A25,'Base Allocation'!$A$2:$A$77,0),MATCH('District Specific SCFF'!B$1,'Base Allocation'!$A$2:$AI$2,0))</f>
        <v>12100652.793304702</v>
      </c>
      <c r="C25" s="168">
        <f>INDEX('Supplemental Allocation'!$A$2:$Q$76,MATCH('District Specific SCFF'!$A25,'Supplemental Allocation'!$A$2:$A$76,0),MATCH('District Specific SCFF'!C$1,'Supplemental Allocation'!$A$2:$Q$2,0))</f>
        <v>2594426.5127993035</v>
      </c>
      <c r="D25" s="168">
        <f>INDEX('Success Allocation'!$A$3:$EP$76,MATCH('District Specific SCFF'!$A25,'Success Allocation'!$A$3:$A$76,0),MATCH('District Specific SCFF'!D$1,'Success Allocation'!$A$3:$EP$3,0))</f>
        <v>1186020.4090064086</v>
      </c>
      <c r="E25" s="143">
        <f t="shared" si="0"/>
        <v>15881099.715110416</v>
      </c>
      <c r="F25" s="120">
        <v>14312659</v>
      </c>
      <c r="G25" s="125">
        <f>INDEX('Rate Assumptions'!$A$1:$C$34,MATCH('District Specific SCFF'!G$1,'Rate Assumptions'!$A$1:$A$34,0),2)</f>
        <v>2.7099999999999999E-2</v>
      </c>
      <c r="H25" s="125">
        <f>INDEX('Rate Assumptions'!$A$1:$C$34,MATCH('District Specific SCFF'!H$1,'Rate Assumptions'!$A$1:$A$34,0),2)</f>
        <v>3.2599999999999997E-2</v>
      </c>
      <c r="I25" s="168">
        <f t="shared" si="1"/>
        <v>15179769.404020138</v>
      </c>
      <c r="J25" s="126" t="str">
        <f t="shared" si="2"/>
        <v/>
      </c>
      <c r="K25" s="168">
        <f t="shared" si="3"/>
        <v>0</v>
      </c>
      <c r="L25" s="294"/>
      <c r="M25" s="126">
        <f t="shared" si="4"/>
        <v>0</v>
      </c>
      <c r="N25" s="295">
        <f t="shared" si="5"/>
        <v>15179769.404020138</v>
      </c>
    </row>
    <row r="26" spans="1:14">
      <c r="A26" s="129" t="s">
        <v>115</v>
      </c>
      <c r="B26" s="168">
        <f>INDEX('Base Allocation'!$A$2:$AI$77,MATCH('District Specific SCFF'!$A26,'Base Allocation'!$A$2:$A$77,0),MATCH('District Specific SCFF'!B$1,'Base Allocation'!$A$2:$AI$2,0))</f>
        <v>13389337.72361299</v>
      </c>
      <c r="C26" s="168">
        <f>INDEX('Supplemental Allocation'!$A$2:$Q$76,MATCH('District Specific SCFF'!$A26,'Supplemental Allocation'!$A$2:$A$76,0),MATCH('District Specific SCFF'!C$1,'Supplemental Allocation'!$A$2:$Q$2,0))</f>
        <v>3417094.8982623573</v>
      </c>
      <c r="D26" s="168">
        <f>INDEX('Success Allocation'!$A$3:$EP$76,MATCH('District Specific SCFF'!$A26,'Success Allocation'!$A$3:$A$76,0),MATCH('District Specific SCFF'!D$1,'Success Allocation'!$A$3:$EP$3,0))</f>
        <v>812906.29903441737</v>
      </c>
      <c r="E26" s="143">
        <f t="shared" si="0"/>
        <v>17619338.920909762</v>
      </c>
      <c r="F26" s="120">
        <v>13587017</v>
      </c>
      <c r="G26" s="125">
        <f>INDEX('Rate Assumptions'!$A$1:$C$34,MATCH('District Specific SCFF'!G$1,'Rate Assumptions'!$A$1:$A$34,0),2)</f>
        <v>2.7099999999999999E-2</v>
      </c>
      <c r="H26" s="125">
        <f>INDEX('Rate Assumptions'!$A$1:$C$34,MATCH('District Specific SCFF'!H$1,'Rate Assumptions'!$A$1:$A$34,0),2)</f>
        <v>3.2599999999999997E-2</v>
      </c>
      <c r="I26" s="168">
        <f t="shared" si="1"/>
        <v>14410165.500938818</v>
      </c>
      <c r="J26" s="126" t="str">
        <f t="shared" si="2"/>
        <v/>
      </c>
      <c r="K26" s="168">
        <f t="shared" si="3"/>
        <v>0</v>
      </c>
      <c r="L26" s="294"/>
      <c r="M26" s="126">
        <f t="shared" si="4"/>
        <v>0</v>
      </c>
      <c r="N26" s="295">
        <f t="shared" si="5"/>
        <v>14410165.500938818</v>
      </c>
    </row>
    <row r="27" spans="1:14">
      <c r="A27" s="129" t="s">
        <v>116</v>
      </c>
      <c r="B27" s="168">
        <f>INDEX('Base Allocation'!$A$2:$AI$77,MATCH('District Specific SCFF'!$A27,'Base Allocation'!$A$2:$A$77,0),MATCH('District Specific SCFF'!B$1,'Base Allocation'!$A$2:$AI$2,0))</f>
        <v>84624935.280590534</v>
      </c>
      <c r="C27" s="168">
        <f>INDEX('Supplemental Allocation'!$A$2:$Q$76,MATCH('District Specific SCFF'!$A27,'Supplemental Allocation'!$A$2:$A$76,0),MATCH('District Specific SCFF'!C$1,'Supplemental Allocation'!$A$2:$Q$2,0))</f>
        <v>29181023.679611515</v>
      </c>
      <c r="D27" s="168">
        <f>INDEX('Success Allocation'!$A$3:$EP$76,MATCH('District Specific SCFF'!$A27,'Success Allocation'!$A$3:$A$76,0),MATCH('District Specific SCFF'!D$1,'Success Allocation'!$A$3:$EP$3,0))</f>
        <v>11052261.303914413</v>
      </c>
      <c r="E27" s="143">
        <f t="shared" si="0"/>
        <v>124858220.26411647</v>
      </c>
      <c r="F27" s="120">
        <v>119118941</v>
      </c>
      <c r="G27" s="125">
        <f>INDEX('Rate Assumptions'!$A$1:$C$34,MATCH('District Specific SCFF'!G$1,'Rate Assumptions'!$A$1:$A$34,0),2)</f>
        <v>2.7099999999999999E-2</v>
      </c>
      <c r="H27" s="125">
        <f>INDEX('Rate Assumptions'!$A$1:$C$34,MATCH('District Specific SCFF'!H$1,'Rate Assumptions'!$A$1:$A$34,0),2)</f>
        <v>3.2599999999999997E-2</v>
      </c>
      <c r="I27" s="168">
        <f t="shared" si="1"/>
        <v>126335578.59731585</v>
      </c>
      <c r="J27" s="126" t="str">
        <f t="shared" si="2"/>
        <v>Y</v>
      </c>
      <c r="K27" s="168">
        <f t="shared" si="3"/>
        <v>1477358.3331993818</v>
      </c>
      <c r="L27" s="294"/>
      <c r="M27" s="126">
        <f t="shared" si="4"/>
        <v>1477358.3331993818</v>
      </c>
      <c r="N27" s="295">
        <f t="shared" si="5"/>
        <v>127812936.93051523</v>
      </c>
    </row>
    <row r="28" spans="1:14">
      <c r="A28" s="129" t="s">
        <v>117</v>
      </c>
      <c r="B28" s="168">
        <f>INDEX('Base Allocation'!$A$2:$AI$77,MATCH('District Specific SCFF'!$A28,'Base Allocation'!$A$2:$A$77,0),MATCH('District Specific SCFF'!B$1,'Base Allocation'!$A$2:$AI$2,0))</f>
        <v>445493237.32675457</v>
      </c>
      <c r="C28" s="168">
        <f>INDEX('Supplemental Allocation'!$A$2:$Q$76,MATCH('District Specific SCFF'!$A28,'Supplemental Allocation'!$A$2:$A$76,0),MATCH('District Specific SCFF'!C$1,'Supplemental Allocation'!$A$2:$Q$2,0))</f>
        <v>120082626.78248902</v>
      </c>
      <c r="D28" s="168">
        <f>INDEX('Success Allocation'!$A$3:$EP$76,MATCH('District Specific SCFF'!$A28,'Success Allocation'!$A$3:$A$76,0),MATCH('District Specific SCFF'!D$1,'Success Allocation'!$A$3:$EP$3,0))</f>
        <v>63565446.094088346</v>
      </c>
      <c r="E28" s="143">
        <f t="shared" si="0"/>
        <v>629141310.20333195</v>
      </c>
      <c r="F28" s="120">
        <v>605841667</v>
      </c>
      <c r="G28" s="125">
        <f>INDEX('Rate Assumptions'!$A$1:$C$34,MATCH('District Specific SCFF'!G$1,'Rate Assumptions'!$A$1:$A$34,0),2)</f>
        <v>2.7099999999999999E-2</v>
      </c>
      <c r="H28" s="125">
        <f>INDEX('Rate Assumptions'!$A$1:$C$34,MATCH('District Specific SCFF'!H$1,'Rate Assumptions'!$A$1:$A$34,0),2)</f>
        <v>3.2599999999999997E-2</v>
      </c>
      <c r="I28" s="168">
        <f t="shared" si="1"/>
        <v>642545651.39902771</v>
      </c>
      <c r="J28" s="126" t="str">
        <f t="shared" si="2"/>
        <v>Y</v>
      </c>
      <c r="K28" s="168">
        <f t="shared" si="3"/>
        <v>13404341.195695758</v>
      </c>
      <c r="L28" s="294"/>
      <c r="M28" s="126">
        <f t="shared" si="4"/>
        <v>13404341.195695758</v>
      </c>
      <c r="N28" s="295">
        <f t="shared" si="5"/>
        <v>655949992.59472346</v>
      </c>
    </row>
    <row r="29" spans="1:14">
      <c r="A29" s="129" t="s">
        <v>118</v>
      </c>
      <c r="B29" s="168">
        <f>INDEX('Base Allocation'!$A$2:$AI$77,MATCH('District Specific SCFF'!$A29,'Base Allocation'!$A$2:$A$77,0),MATCH('District Specific SCFF'!B$1,'Base Allocation'!$A$2:$AI$2,0))</f>
        <v>229439374.57332486</v>
      </c>
      <c r="C29" s="168">
        <f>INDEX('Supplemental Allocation'!$A$2:$Q$76,MATCH('District Specific SCFF'!$A29,'Supplemental Allocation'!$A$2:$A$76,0),MATCH('District Specific SCFF'!C$1,'Supplemental Allocation'!$A$2:$Q$2,0))</f>
        <v>66255945.584479809</v>
      </c>
      <c r="D29" s="168">
        <f>INDEX('Success Allocation'!$A$3:$EP$76,MATCH('District Specific SCFF'!$A29,'Success Allocation'!$A$3:$A$76,0),MATCH('District Specific SCFF'!D$1,'Success Allocation'!$A$3:$EP$3,0))</f>
        <v>36722101.474083185</v>
      </c>
      <c r="E29" s="143">
        <f t="shared" si="0"/>
        <v>332417421.63188785</v>
      </c>
      <c r="F29" s="120">
        <v>303959995</v>
      </c>
      <c r="G29" s="125">
        <f>INDEX('Rate Assumptions'!$A$1:$C$34,MATCH('District Specific SCFF'!G$1,'Rate Assumptions'!$A$1:$A$34,0),2)</f>
        <v>2.7099999999999999E-2</v>
      </c>
      <c r="H29" s="125">
        <f>INDEX('Rate Assumptions'!$A$1:$C$34,MATCH('District Specific SCFF'!H$1,'Rate Assumptions'!$A$1:$A$34,0),2)</f>
        <v>3.2599999999999997E-2</v>
      </c>
      <c r="I29" s="168">
        <f t="shared" si="1"/>
        <v>322374943.19868267</v>
      </c>
      <c r="J29" s="126" t="str">
        <f t="shared" si="2"/>
        <v/>
      </c>
      <c r="K29" s="168">
        <f t="shared" si="3"/>
        <v>0</v>
      </c>
      <c r="L29" s="294"/>
      <c r="M29" s="126">
        <f t="shared" si="4"/>
        <v>0</v>
      </c>
      <c r="N29" s="295">
        <f t="shared" si="5"/>
        <v>322374943.19868267</v>
      </c>
    </row>
    <row r="30" spans="1:14">
      <c r="A30" s="129" t="s">
        <v>119</v>
      </c>
      <c r="B30" s="168">
        <f>INDEX('Base Allocation'!$A$2:$AI$77,MATCH('District Specific SCFF'!$A30,'Base Allocation'!$A$2:$A$77,0),MATCH('District Specific SCFF'!B$1,'Base Allocation'!$A$2:$AI$2,0))</f>
        <v>17663150.398689181</v>
      </c>
      <c r="C30" s="168">
        <f>INDEX('Supplemental Allocation'!$A$2:$Q$76,MATCH('District Specific SCFF'!$A30,'Supplemental Allocation'!$A$2:$A$76,0),MATCH('District Specific SCFF'!C$1,'Supplemental Allocation'!$A$2:$Q$2,0))</f>
        <v>2930930.4173615919</v>
      </c>
      <c r="D30" s="168">
        <f>INDEX('Success Allocation'!$A$3:$EP$76,MATCH('District Specific SCFF'!$A30,'Success Allocation'!$A$3:$A$76,0),MATCH('District Specific SCFF'!D$1,'Success Allocation'!$A$3:$EP$3,0))</f>
        <v>1872784.4271129384</v>
      </c>
      <c r="E30" s="143">
        <f t="shared" si="0"/>
        <v>22466865.243163709</v>
      </c>
      <c r="F30" s="120">
        <v>25606935</v>
      </c>
      <c r="G30" s="125">
        <f>INDEX('Rate Assumptions'!$A$1:$C$34,MATCH('District Specific SCFF'!G$1,'Rate Assumptions'!$A$1:$A$34,0),2)</f>
        <v>2.7099999999999999E-2</v>
      </c>
      <c r="H30" s="125">
        <f>INDEX('Rate Assumptions'!$A$1:$C$34,MATCH('District Specific SCFF'!H$1,'Rate Assumptions'!$A$1:$A$34,0),2)</f>
        <v>3.2599999999999997E-2</v>
      </c>
      <c r="I30" s="168">
        <f t="shared" si="1"/>
        <v>27158291.722295098</v>
      </c>
      <c r="J30" s="126" t="str">
        <f t="shared" si="2"/>
        <v>Y</v>
      </c>
      <c r="K30" s="168">
        <f t="shared" si="3"/>
        <v>4691426.4791313894</v>
      </c>
      <c r="L30" s="294" t="s">
        <v>176</v>
      </c>
      <c r="M30" s="126">
        <f t="shared" si="4"/>
        <v>0</v>
      </c>
      <c r="N30" s="295">
        <f t="shared" si="5"/>
        <v>27158291.722295098</v>
      </c>
    </row>
    <row r="31" spans="1:14">
      <c r="A31" s="129" t="s">
        <v>120</v>
      </c>
      <c r="B31" s="168">
        <f>INDEX('Base Allocation'!$A$2:$AI$77,MATCH('District Specific SCFF'!$A31,'Base Allocation'!$A$2:$A$77,0),MATCH('District Specific SCFF'!B$1,'Base Allocation'!$A$2:$AI$2,0))</f>
        <v>18063756.986800749</v>
      </c>
      <c r="C31" s="168">
        <f>INDEX('Supplemental Allocation'!$A$2:$Q$76,MATCH('District Specific SCFF'!$A31,'Supplemental Allocation'!$A$2:$A$76,0),MATCH('District Specific SCFF'!C$1,'Supplemental Allocation'!$A$2:$Q$2,0))</f>
        <v>3806584.2242612499</v>
      </c>
      <c r="D31" s="168">
        <f>INDEX('Success Allocation'!$A$3:$EP$76,MATCH('District Specific SCFF'!$A31,'Success Allocation'!$A$3:$A$76,0),MATCH('District Specific SCFF'!D$1,'Success Allocation'!$A$3:$EP$3,0))</f>
        <v>2224095.3982874565</v>
      </c>
      <c r="E31" s="143">
        <f t="shared" si="0"/>
        <v>24094436.609349456</v>
      </c>
      <c r="F31" s="120">
        <v>22434165</v>
      </c>
      <c r="G31" s="125">
        <f>INDEX('Rate Assumptions'!$A$1:$C$34,MATCH('District Specific SCFF'!G$1,'Rate Assumptions'!$A$1:$A$34,0),2)</f>
        <v>2.7099999999999999E-2</v>
      </c>
      <c r="H31" s="125">
        <f>INDEX('Rate Assumptions'!$A$1:$C$34,MATCH('District Specific SCFF'!H$1,'Rate Assumptions'!$A$1:$A$34,0),2)</f>
        <v>3.2599999999999997E-2</v>
      </c>
      <c r="I31" s="168">
        <f t="shared" si="1"/>
        <v>23793304.337910894</v>
      </c>
      <c r="J31" s="126" t="str">
        <f t="shared" si="2"/>
        <v/>
      </c>
      <c r="K31" s="168">
        <f t="shared" si="3"/>
        <v>0</v>
      </c>
      <c r="L31" s="294"/>
      <c r="M31" s="126">
        <f t="shared" si="4"/>
        <v>0</v>
      </c>
      <c r="N31" s="295">
        <f t="shared" si="5"/>
        <v>23793304.337910894</v>
      </c>
    </row>
    <row r="32" spans="1:14">
      <c r="A32" s="129" t="s">
        <v>121</v>
      </c>
      <c r="B32" s="168">
        <f>INDEX('Base Allocation'!$A$2:$AI$77,MATCH('District Specific SCFF'!$A32,'Base Allocation'!$A$2:$A$77,0),MATCH('District Specific SCFF'!B$1,'Base Allocation'!$A$2:$AI$2,0))</f>
        <v>46378425.196606785</v>
      </c>
      <c r="C32" s="168">
        <f>INDEX('Supplemental Allocation'!$A$2:$Q$76,MATCH('District Specific SCFF'!$A32,'Supplemental Allocation'!$A$2:$A$76,0),MATCH('District Specific SCFF'!C$1,'Supplemental Allocation'!$A$2:$Q$2,0))</f>
        <v>13281678.973441938</v>
      </c>
      <c r="D32" s="168">
        <f>INDEX('Success Allocation'!$A$3:$EP$76,MATCH('District Specific SCFF'!$A32,'Success Allocation'!$A$3:$A$76,0),MATCH('District Specific SCFF'!D$1,'Success Allocation'!$A$3:$EP$3,0))</f>
        <v>7814570.068875798</v>
      </c>
      <c r="E32" s="143">
        <f t="shared" si="0"/>
        <v>67474674.238924518</v>
      </c>
      <c r="F32" s="120">
        <v>56496411</v>
      </c>
      <c r="G32" s="125">
        <f>INDEX('Rate Assumptions'!$A$1:$C$34,MATCH('District Specific SCFF'!G$1,'Rate Assumptions'!$A$1:$A$34,0),2)</f>
        <v>2.7099999999999999E-2</v>
      </c>
      <c r="H32" s="125">
        <f>INDEX('Rate Assumptions'!$A$1:$C$34,MATCH('District Specific SCFF'!H$1,'Rate Assumptions'!$A$1:$A$34,0),2)</f>
        <v>3.2599999999999997E-2</v>
      </c>
      <c r="I32" s="168">
        <f t="shared" si="1"/>
        <v>59919159.055962048</v>
      </c>
      <c r="J32" s="126" t="str">
        <f t="shared" si="2"/>
        <v/>
      </c>
      <c r="K32" s="168">
        <f t="shared" si="3"/>
        <v>0</v>
      </c>
      <c r="L32" s="294"/>
      <c r="M32" s="126">
        <f t="shared" si="4"/>
        <v>0</v>
      </c>
      <c r="N32" s="295">
        <f t="shared" si="5"/>
        <v>59919159.055962048</v>
      </c>
    </row>
    <row r="33" spans="1:14">
      <c r="A33" s="129" t="s">
        <v>122</v>
      </c>
      <c r="B33" s="168">
        <f>INDEX('Base Allocation'!$A$2:$AI$77,MATCH('District Specific SCFF'!$A33,'Base Allocation'!$A$2:$A$77,0),MATCH('District Specific SCFF'!B$1,'Base Allocation'!$A$2:$AI$2,0))</f>
        <v>46762627.370952219</v>
      </c>
      <c r="C33" s="168">
        <f>INDEX('Supplemental Allocation'!$A$2:$Q$76,MATCH('District Specific SCFF'!$A33,'Supplemental Allocation'!$A$2:$A$76,0),MATCH('District Specific SCFF'!C$1,'Supplemental Allocation'!$A$2:$Q$2,0))</f>
        <v>13171989.8553802</v>
      </c>
      <c r="D33" s="168">
        <f>INDEX('Success Allocation'!$A$3:$EP$76,MATCH('District Specific SCFF'!$A33,'Success Allocation'!$A$3:$A$76,0),MATCH('District Specific SCFF'!D$1,'Success Allocation'!$A$3:$EP$3,0))</f>
        <v>9640643.4729788695</v>
      </c>
      <c r="E33" s="143">
        <f t="shared" si="0"/>
        <v>69575260.699311286</v>
      </c>
      <c r="F33" s="120">
        <v>63540067</v>
      </c>
      <c r="G33" s="125">
        <f>INDEX('Rate Assumptions'!$A$1:$C$34,MATCH('District Specific SCFF'!G$1,'Rate Assumptions'!$A$1:$A$34,0),2)</f>
        <v>2.7099999999999999E-2</v>
      </c>
      <c r="H33" s="125">
        <f>INDEX('Rate Assumptions'!$A$1:$C$34,MATCH('District Specific SCFF'!H$1,'Rate Assumptions'!$A$1:$A$34,0),2)</f>
        <v>3.2599999999999997E-2</v>
      </c>
      <c r="I33" s="168">
        <f t="shared" si="1"/>
        <v>67389544.107491806</v>
      </c>
      <c r="J33" s="126" t="str">
        <f t="shared" si="2"/>
        <v/>
      </c>
      <c r="K33" s="168">
        <f t="shared" si="3"/>
        <v>0</v>
      </c>
      <c r="L33" s="294" t="s">
        <v>176</v>
      </c>
      <c r="M33" s="126">
        <f t="shared" si="4"/>
        <v>0</v>
      </c>
      <c r="N33" s="295">
        <f t="shared" si="5"/>
        <v>67389544.107491806</v>
      </c>
    </row>
    <row r="34" spans="1:14">
      <c r="A34" s="129" t="s">
        <v>123</v>
      </c>
      <c r="B34" s="168">
        <f>INDEX('Base Allocation'!$A$2:$AI$77,MATCH('District Specific SCFF'!$A34,'Base Allocation'!$A$2:$A$77,0),MATCH('District Specific SCFF'!B$1,'Base Allocation'!$A$2:$AI$2,0))</f>
        <v>29413762.159901083</v>
      </c>
      <c r="C34" s="168">
        <f>INDEX('Supplemental Allocation'!$A$2:$Q$76,MATCH('District Specific SCFF'!$A34,'Supplemental Allocation'!$A$2:$A$76,0),MATCH('District Specific SCFF'!C$1,'Supplemental Allocation'!$A$2:$Q$2,0))</f>
        <v>7029399.2439227281</v>
      </c>
      <c r="D34" s="168">
        <f>INDEX('Success Allocation'!$A$3:$EP$76,MATCH('District Specific SCFF'!$A34,'Success Allocation'!$A$3:$A$76,0),MATCH('District Specific SCFF'!D$1,'Success Allocation'!$A$3:$EP$3,0))</f>
        <v>5189495.8554124972</v>
      </c>
      <c r="E34" s="143">
        <f t="shared" ref="E34:E65" si="6">SUM(B34:D34)</f>
        <v>41632657.259236306</v>
      </c>
      <c r="F34" s="120">
        <v>38888873</v>
      </c>
      <c r="G34" s="125">
        <f>INDEX('Rate Assumptions'!$A$1:$C$34,MATCH('District Specific SCFF'!G$1,'Rate Assumptions'!$A$1:$A$34,0),2)</f>
        <v>2.7099999999999999E-2</v>
      </c>
      <c r="H34" s="125">
        <f>INDEX('Rate Assumptions'!$A$1:$C$34,MATCH('District Specific SCFF'!H$1,'Rate Assumptions'!$A$1:$A$34,0),2)</f>
        <v>3.2599999999999997E-2</v>
      </c>
      <c r="I34" s="168">
        <f t="shared" ref="I34:I65" si="7">F34*(1+G34)*(1+H34)</f>
        <v>41244895.481840573</v>
      </c>
      <c r="J34" s="126" t="str">
        <f t="shared" ref="J34:J65" si="8">IF(I34&gt;E34,"Y","")</f>
        <v/>
      </c>
      <c r="K34" s="168">
        <f t="shared" ref="K34:K65" si="9">IF(J34="",0,I34-E34)</f>
        <v>0</v>
      </c>
      <c r="L34" s="294"/>
      <c r="M34" s="126">
        <f t="shared" si="4"/>
        <v>0</v>
      </c>
      <c r="N34" s="295">
        <f t="shared" si="5"/>
        <v>41244895.481840573</v>
      </c>
    </row>
    <row r="35" spans="1:14">
      <c r="A35" s="129" t="s">
        <v>124</v>
      </c>
      <c r="B35" s="168">
        <f>INDEX('Base Allocation'!$A$2:$AI$77,MATCH('District Specific SCFF'!$A35,'Base Allocation'!$A$2:$A$77,0),MATCH('District Specific SCFF'!B$1,'Base Allocation'!$A$2:$AI$2,0))</f>
        <v>150329630.69831654</v>
      </c>
      <c r="C35" s="168">
        <f>INDEX('Supplemental Allocation'!$A$2:$Q$76,MATCH('District Specific SCFF'!$A35,'Supplemental Allocation'!$A$2:$A$76,0),MATCH('District Specific SCFF'!C$1,'Supplemental Allocation'!$A$2:$Q$2,0))</f>
        <v>35875778.156566218</v>
      </c>
      <c r="D35" s="168">
        <f>INDEX('Success Allocation'!$A$3:$EP$76,MATCH('District Specific SCFF'!$A35,'Success Allocation'!$A$3:$A$76,0),MATCH('District Specific SCFF'!D$1,'Success Allocation'!$A$3:$EP$3,0))</f>
        <v>17248769.628954932</v>
      </c>
      <c r="E35" s="143">
        <f t="shared" si="6"/>
        <v>203454178.48383772</v>
      </c>
      <c r="F35" s="120">
        <v>176424297</v>
      </c>
      <c r="G35" s="125">
        <f>INDEX('Rate Assumptions'!$A$1:$C$34,MATCH('District Specific SCFF'!G$1,'Rate Assumptions'!$A$1:$A$34,0),2)</f>
        <v>2.7099999999999999E-2</v>
      </c>
      <c r="H35" s="125">
        <f>INDEX('Rate Assumptions'!$A$1:$C$34,MATCH('District Specific SCFF'!H$1,'Rate Assumptions'!$A$1:$A$34,0),2)</f>
        <v>3.2599999999999997E-2</v>
      </c>
      <c r="I35" s="168">
        <f t="shared" si="7"/>
        <v>187112691.34032759</v>
      </c>
      <c r="J35" s="126" t="str">
        <f t="shared" si="8"/>
        <v/>
      </c>
      <c r="K35" s="168">
        <f t="shared" si="9"/>
        <v>0</v>
      </c>
      <c r="L35" s="294"/>
      <c r="M35" s="126">
        <f t="shared" si="4"/>
        <v>0</v>
      </c>
      <c r="N35" s="295">
        <f t="shared" si="5"/>
        <v>187112691.34032759</v>
      </c>
    </row>
    <row r="36" spans="1:14">
      <c r="A36" s="129" t="s">
        <v>125</v>
      </c>
      <c r="B36" s="168">
        <f>INDEX('Base Allocation'!$A$2:$AI$77,MATCH('District Specific SCFF'!$A36,'Base Allocation'!$A$2:$A$77,0),MATCH('District Specific SCFF'!B$1,'Base Allocation'!$A$2:$AI$2,0))</f>
        <v>53879644.59702608</v>
      </c>
      <c r="C36" s="168">
        <f>INDEX('Supplemental Allocation'!$A$2:$Q$76,MATCH('District Specific SCFF'!$A36,'Supplemental Allocation'!$A$2:$A$76,0),MATCH('District Specific SCFF'!C$1,'Supplemental Allocation'!$A$2:$Q$2,0))</f>
        <v>20307359.942176133</v>
      </c>
      <c r="D36" s="168">
        <f>INDEX('Success Allocation'!$A$3:$EP$76,MATCH('District Specific SCFF'!$A36,'Success Allocation'!$A$3:$A$76,0),MATCH('District Specific SCFF'!D$1,'Success Allocation'!$A$3:$EP$3,0))</f>
        <v>9458392.4401561469</v>
      </c>
      <c r="E36" s="143">
        <f t="shared" si="6"/>
        <v>83645396.97935836</v>
      </c>
      <c r="F36" s="120">
        <v>71517436</v>
      </c>
      <c r="G36" s="125">
        <f>INDEX('Rate Assumptions'!$A$1:$C$34,MATCH('District Specific SCFF'!G$1,'Rate Assumptions'!$A$1:$A$34,0),2)</f>
        <v>2.7099999999999999E-2</v>
      </c>
      <c r="H36" s="125">
        <f>INDEX('Rate Assumptions'!$A$1:$C$34,MATCH('District Specific SCFF'!H$1,'Rate Assumptions'!$A$1:$A$34,0),2)</f>
        <v>3.2599999999999997E-2</v>
      </c>
      <c r="I36" s="168">
        <f t="shared" si="7"/>
        <v>75850209.723208547</v>
      </c>
      <c r="J36" s="126" t="str">
        <f t="shared" si="8"/>
        <v/>
      </c>
      <c r="K36" s="168">
        <f t="shared" si="9"/>
        <v>0</v>
      </c>
      <c r="L36" s="294"/>
      <c r="M36" s="126">
        <f t="shared" si="4"/>
        <v>0</v>
      </c>
      <c r="N36" s="295">
        <f t="shared" si="5"/>
        <v>75850209.723208547</v>
      </c>
    </row>
    <row r="37" spans="1:14">
      <c r="A37" s="129" t="s">
        <v>126</v>
      </c>
      <c r="B37" s="168">
        <f>INDEX('Base Allocation'!$A$2:$AI$77,MATCH('District Specific SCFF'!$A37,'Base Allocation'!$A$2:$A$77,0),MATCH('District Specific SCFF'!B$1,'Base Allocation'!$A$2:$AI$2,0))</f>
        <v>24652417.391351648</v>
      </c>
      <c r="C37" s="168">
        <f>INDEX('Supplemental Allocation'!$A$2:$Q$76,MATCH('District Specific SCFF'!$A37,'Supplemental Allocation'!$A$2:$A$76,0),MATCH('District Specific SCFF'!C$1,'Supplemental Allocation'!$A$2:$Q$2,0))</f>
        <v>5168402.5120616723</v>
      </c>
      <c r="D37" s="168">
        <f>INDEX('Success Allocation'!$A$3:$EP$76,MATCH('District Specific SCFF'!$A37,'Success Allocation'!$A$3:$A$76,0),MATCH('District Specific SCFF'!D$1,'Success Allocation'!$A$3:$EP$3,0))</f>
        <v>3610585.1197255016</v>
      </c>
      <c r="E37" s="143">
        <f t="shared" si="6"/>
        <v>33431405.023138821</v>
      </c>
      <c r="F37" s="120">
        <v>31620290</v>
      </c>
      <c r="G37" s="125">
        <f>INDEX('Rate Assumptions'!$A$1:$C$34,MATCH('District Specific SCFF'!G$1,'Rate Assumptions'!$A$1:$A$34,0),2)</f>
        <v>2.7099999999999999E-2</v>
      </c>
      <c r="H37" s="125">
        <f>INDEX('Rate Assumptions'!$A$1:$C$34,MATCH('District Specific SCFF'!H$1,'Rate Assumptions'!$A$1:$A$34,0),2)</f>
        <v>3.2599999999999997E-2</v>
      </c>
      <c r="I37" s="168">
        <f t="shared" si="7"/>
        <v>33535956.574403398</v>
      </c>
      <c r="J37" s="126" t="str">
        <f t="shared" si="8"/>
        <v>Y</v>
      </c>
      <c r="K37" s="168">
        <f t="shared" si="9"/>
        <v>104551.55126457661</v>
      </c>
      <c r="L37" s="294"/>
      <c r="M37" s="126">
        <f t="shared" si="4"/>
        <v>104551.55126457661</v>
      </c>
      <c r="N37" s="295">
        <f t="shared" si="5"/>
        <v>33640508.125667974</v>
      </c>
    </row>
    <row r="38" spans="1:14">
      <c r="A38" s="129" t="s">
        <v>127</v>
      </c>
      <c r="B38" s="168">
        <f>INDEX('Base Allocation'!$A$2:$AI$77,MATCH('District Specific SCFF'!$A38,'Base Allocation'!$A$2:$A$77,0),MATCH('District Specific SCFF'!B$1,'Base Allocation'!$A$2:$AI$2,0))</f>
        <v>139498988.26509303</v>
      </c>
      <c r="C38" s="168">
        <f>INDEX('Supplemental Allocation'!$A$2:$Q$76,MATCH('District Specific SCFF'!$A38,'Supplemental Allocation'!$A$2:$A$76,0),MATCH('District Specific SCFF'!C$1,'Supplemental Allocation'!$A$2:$Q$2,0))</f>
        <v>34860689.030096553</v>
      </c>
      <c r="D38" s="168">
        <f>INDEX('Success Allocation'!$A$3:$EP$76,MATCH('District Specific SCFF'!$A38,'Success Allocation'!$A$3:$A$76,0),MATCH('District Specific SCFF'!D$1,'Success Allocation'!$A$3:$EP$3,0))</f>
        <v>21025587.989489589</v>
      </c>
      <c r="E38" s="143">
        <f t="shared" si="6"/>
        <v>195385265.28467917</v>
      </c>
      <c r="F38" s="120">
        <v>202056270</v>
      </c>
      <c r="G38" s="125">
        <f>INDEX('Rate Assumptions'!$A$1:$C$34,MATCH('District Specific SCFF'!G$1,'Rate Assumptions'!$A$1:$A$34,0),2)</f>
        <v>2.7099999999999999E-2</v>
      </c>
      <c r="H38" s="125">
        <f>INDEX('Rate Assumptions'!$A$1:$C$34,MATCH('District Specific SCFF'!H$1,'Rate Assumptions'!$A$1:$A$34,0),2)</f>
        <v>3.2599999999999997E-2</v>
      </c>
      <c r="I38" s="168">
        <f t="shared" si="7"/>
        <v>214297537.95129415</v>
      </c>
      <c r="J38" s="126" t="str">
        <f t="shared" si="8"/>
        <v>Y</v>
      </c>
      <c r="K38" s="168">
        <f t="shared" si="9"/>
        <v>18912272.66661498</v>
      </c>
      <c r="L38" s="294"/>
      <c r="M38" s="126">
        <f t="shared" si="4"/>
        <v>18912272.66661498</v>
      </c>
      <c r="N38" s="295">
        <f t="shared" si="5"/>
        <v>233209810.61790913</v>
      </c>
    </row>
    <row r="39" spans="1:14">
      <c r="A39" s="129" t="s">
        <v>128</v>
      </c>
      <c r="B39" s="168">
        <f>INDEX('Base Allocation'!$A$2:$AI$77,MATCH('District Specific SCFF'!$A39,'Base Allocation'!$A$2:$A$77,0),MATCH('District Specific SCFF'!B$1,'Base Allocation'!$A$2:$AI$2,0))</f>
        <v>34039372.045305133</v>
      </c>
      <c r="C39" s="168">
        <f>INDEX('Supplemental Allocation'!$A$2:$Q$76,MATCH('District Specific SCFF'!$A39,'Supplemental Allocation'!$A$2:$A$76,0),MATCH('District Specific SCFF'!C$1,'Supplemental Allocation'!$A$2:$Q$2,0))</f>
        <v>4701758.9759007087</v>
      </c>
      <c r="D39" s="168">
        <f>INDEX('Success Allocation'!$A$3:$EP$76,MATCH('District Specific SCFF'!$A39,'Success Allocation'!$A$3:$A$76,0),MATCH('District Specific SCFF'!D$1,'Success Allocation'!$A$3:$EP$3,0))</f>
        <v>4914244.1170639629</v>
      </c>
      <c r="E39" s="143">
        <f t="shared" si="6"/>
        <v>43655375.138269804</v>
      </c>
      <c r="F39" s="120">
        <v>48764473</v>
      </c>
      <c r="G39" s="125">
        <f>INDEX('Rate Assumptions'!$A$1:$C$34,MATCH('District Specific SCFF'!G$1,'Rate Assumptions'!$A$1:$A$34,0),2)</f>
        <v>2.7099999999999999E-2</v>
      </c>
      <c r="H39" s="125">
        <f>INDEX('Rate Assumptions'!$A$1:$C$34,MATCH('District Specific SCFF'!H$1,'Rate Assumptions'!$A$1:$A$34,0),2)</f>
        <v>3.2599999999999997E-2</v>
      </c>
      <c r="I39" s="168">
        <f t="shared" si="7"/>
        <v>51718793.499416567</v>
      </c>
      <c r="J39" s="126" t="str">
        <f t="shared" si="8"/>
        <v>Y</v>
      </c>
      <c r="K39" s="168">
        <f t="shared" si="9"/>
        <v>8063418.361146763</v>
      </c>
      <c r="L39" s="294"/>
      <c r="M39" s="126">
        <f t="shared" si="4"/>
        <v>8063418.361146763</v>
      </c>
      <c r="N39" s="295">
        <f t="shared" si="5"/>
        <v>59782211.86056333</v>
      </c>
    </row>
    <row r="40" spans="1:14">
      <c r="A40" s="129" t="s">
        <v>129</v>
      </c>
      <c r="B40" s="168">
        <f>INDEX('Base Allocation'!$A$2:$AI$77,MATCH('District Specific SCFF'!$A40,'Base Allocation'!$A$2:$A$77,0),MATCH('District Specific SCFF'!B$1,'Base Allocation'!$A$2:$AI$2,0))</f>
        <v>14539576.3315484</v>
      </c>
      <c r="C40" s="168">
        <f>INDEX('Supplemental Allocation'!$A$2:$Q$76,MATCH('District Specific SCFF'!$A40,'Supplemental Allocation'!$A$2:$A$76,0),MATCH('District Specific SCFF'!C$1,'Supplemental Allocation'!$A$2:$Q$2,0))</f>
        <v>3393855.6783340229</v>
      </c>
      <c r="D40" s="168">
        <f>INDEX('Success Allocation'!$A$3:$EP$76,MATCH('District Specific SCFF'!$A40,'Success Allocation'!$A$3:$A$76,0),MATCH('District Specific SCFF'!D$1,'Success Allocation'!$A$3:$EP$3,0))</f>
        <v>1241113.4328283658</v>
      </c>
      <c r="E40" s="143">
        <f t="shared" si="6"/>
        <v>19174545.442710791</v>
      </c>
      <c r="F40" s="120">
        <v>16636774</v>
      </c>
      <c r="G40" s="125">
        <f>INDEX('Rate Assumptions'!$A$1:$C$34,MATCH('District Specific SCFF'!G$1,'Rate Assumptions'!$A$1:$A$34,0),2)</f>
        <v>2.7099999999999999E-2</v>
      </c>
      <c r="H40" s="125">
        <f>INDEX('Rate Assumptions'!$A$1:$C$34,MATCH('District Specific SCFF'!H$1,'Rate Assumptions'!$A$1:$A$34,0),2)</f>
        <v>3.2599999999999997E-2</v>
      </c>
      <c r="I40" s="168">
        <f t="shared" si="7"/>
        <v>17644687.332158037</v>
      </c>
      <c r="J40" s="126" t="str">
        <f t="shared" si="8"/>
        <v/>
      </c>
      <c r="K40" s="168">
        <f t="shared" si="9"/>
        <v>0</v>
      </c>
      <c r="L40" s="294"/>
      <c r="M40" s="126">
        <f t="shared" si="4"/>
        <v>0</v>
      </c>
      <c r="N40" s="295">
        <f t="shared" si="5"/>
        <v>17644687.332158037</v>
      </c>
    </row>
    <row r="41" spans="1:14">
      <c r="A41" s="129" t="s">
        <v>130</v>
      </c>
      <c r="B41" s="168">
        <f>INDEX('Base Allocation'!$A$2:$AI$77,MATCH('District Specific SCFF'!$A41,'Base Allocation'!$A$2:$A$77,0),MATCH('District Specific SCFF'!B$1,'Base Allocation'!$A$2:$AI$2,0))</f>
        <v>80483848.799219295</v>
      </c>
      <c r="C41" s="168">
        <f>INDEX('Supplemental Allocation'!$A$2:$Q$76,MATCH('District Specific SCFF'!$A41,'Supplemental Allocation'!$A$2:$A$76,0),MATCH('District Specific SCFF'!C$1,'Supplemental Allocation'!$A$2:$Q$2,0))</f>
        <v>19782153.571795765</v>
      </c>
      <c r="D41" s="168">
        <f>INDEX('Success Allocation'!$A$3:$EP$76,MATCH('District Specific SCFF'!$A41,'Success Allocation'!$A$3:$A$76,0),MATCH('District Specific SCFF'!D$1,'Success Allocation'!$A$3:$EP$3,0))</f>
        <v>12323100.405489812</v>
      </c>
      <c r="E41" s="143">
        <f t="shared" si="6"/>
        <v>112589102.77650487</v>
      </c>
      <c r="F41" s="120">
        <v>108548444</v>
      </c>
      <c r="G41" s="125">
        <f>INDEX('Rate Assumptions'!$A$1:$C$34,MATCH('District Specific SCFF'!G$1,'Rate Assumptions'!$A$1:$A$34,0),2)</f>
        <v>2.7099999999999999E-2</v>
      </c>
      <c r="H41" s="125">
        <f>INDEX('Rate Assumptions'!$A$1:$C$34,MATCH('District Specific SCFF'!H$1,'Rate Assumptions'!$A$1:$A$34,0),2)</f>
        <v>3.2599999999999997E-2</v>
      </c>
      <c r="I41" s="168">
        <f t="shared" si="7"/>
        <v>115124684.31513622</v>
      </c>
      <c r="J41" s="126" t="str">
        <f t="shared" si="8"/>
        <v>Y</v>
      </c>
      <c r="K41" s="168">
        <f t="shared" si="9"/>
        <v>2535581.5386313498</v>
      </c>
      <c r="L41" s="294"/>
      <c r="M41" s="126">
        <f t="shared" si="4"/>
        <v>2535581.5386313498</v>
      </c>
      <c r="N41" s="295">
        <f t="shared" si="5"/>
        <v>117660265.85376757</v>
      </c>
    </row>
    <row r="42" spans="1:14">
      <c r="A42" s="129" t="s">
        <v>131</v>
      </c>
      <c r="B42" s="168">
        <f>INDEX('Base Allocation'!$A$2:$AI$77,MATCH('District Specific SCFF'!$A42,'Base Allocation'!$A$2:$A$77,0),MATCH('District Specific SCFF'!B$1,'Base Allocation'!$A$2:$AI$2,0))</f>
        <v>105133122.77450046</v>
      </c>
      <c r="C42" s="168">
        <f>INDEX('Supplemental Allocation'!$A$2:$Q$76,MATCH('District Specific SCFF'!$A42,'Supplemental Allocation'!$A$2:$A$76,0),MATCH('District Specific SCFF'!C$1,'Supplemental Allocation'!$A$2:$Q$2,0))</f>
        <v>28181737.222693115</v>
      </c>
      <c r="D42" s="168">
        <f>INDEX('Success Allocation'!$A$3:$EP$76,MATCH('District Specific SCFF'!$A42,'Success Allocation'!$A$3:$A$76,0),MATCH('District Specific SCFF'!D$1,'Success Allocation'!$A$3:$EP$3,0))</f>
        <v>18242405.568393223</v>
      </c>
      <c r="E42" s="143">
        <f t="shared" si="6"/>
        <v>151557265.56558681</v>
      </c>
      <c r="F42" s="120">
        <v>134464486</v>
      </c>
      <c r="G42" s="125">
        <f>INDEX('Rate Assumptions'!$A$1:$C$34,MATCH('District Specific SCFF'!G$1,'Rate Assumptions'!$A$1:$A$34,0),2)</f>
        <v>2.7099999999999999E-2</v>
      </c>
      <c r="H42" s="125">
        <f>INDEX('Rate Assumptions'!$A$1:$C$34,MATCH('District Specific SCFF'!H$1,'Rate Assumptions'!$A$1:$A$34,0),2)</f>
        <v>3.2599999999999997E-2</v>
      </c>
      <c r="I42" s="168">
        <f t="shared" si="7"/>
        <v>142610809.80900154</v>
      </c>
      <c r="J42" s="126" t="str">
        <f t="shared" si="8"/>
        <v/>
      </c>
      <c r="K42" s="168">
        <f t="shared" si="9"/>
        <v>0</v>
      </c>
      <c r="L42" s="294"/>
      <c r="M42" s="126">
        <f t="shared" si="4"/>
        <v>0</v>
      </c>
      <c r="N42" s="295">
        <f t="shared" si="5"/>
        <v>142610809.80900154</v>
      </c>
    </row>
    <row r="43" spans="1:14">
      <c r="A43" s="129" t="s">
        <v>132</v>
      </c>
      <c r="B43" s="168">
        <f>INDEX('Base Allocation'!$A$2:$AI$77,MATCH('District Specific SCFF'!$A43,'Base Allocation'!$A$2:$A$77,0),MATCH('District Specific SCFF'!B$1,'Base Allocation'!$A$2:$AI$2,0))</f>
        <v>88635366.613497823</v>
      </c>
      <c r="C43" s="168">
        <f>INDEX('Supplemental Allocation'!$A$2:$Q$76,MATCH('District Specific SCFF'!$A43,'Supplemental Allocation'!$A$2:$A$76,0),MATCH('District Specific SCFF'!C$1,'Supplemental Allocation'!$A$2:$Q$2,0))</f>
        <v>21486982.745738409</v>
      </c>
      <c r="D43" s="168">
        <f>INDEX('Success Allocation'!$A$3:$EP$76,MATCH('District Specific SCFF'!$A43,'Success Allocation'!$A$3:$A$76,0),MATCH('District Specific SCFF'!D$1,'Success Allocation'!$A$3:$EP$3,0))</f>
        <v>10982377.751287805</v>
      </c>
      <c r="E43" s="143">
        <f t="shared" si="6"/>
        <v>121104727.11052404</v>
      </c>
      <c r="F43" s="120">
        <v>114674531</v>
      </c>
      <c r="G43" s="125">
        <f>INDEX('Rate Assumptions'!$A$1:$C$34,MATCH('District Specific SCFF'!G$1,'Rate Assumptions'!$A$1:$A$34,0),2)</f>
        <v>2.7099999999999999E-2</v>
      </c>
      <c r="H43" s="125">
        <f>INDEX('Rate Assumptions'!$A$1:$C$34,MATCH('District Specific SCFF'!H$1,'Rate Assumptions'!$A$1:$A$34,0),2)</f>
        <v>3.2599999999999997E-2</v>
      </c>
      <c r="I43" s="168">
        <f t="shared" si="7"/>
        <v>121621910.86185725</v>
      </c>
      <c r="J43" s="126" t="str">
        <f t="shared" si="8"/>
        <v>Y</v>
      </c>
      <c r="K43" s="168">
        <f t="shared" si="9"/>
        <v>517183.75133320689</v>
      </c>
      <c r="L43" s="294"/>
      <c r="M43" s="126">
        <f t="shared" si="4"/>
        <v>517183.75133320689</v>
      </c>
      <c r="N43" s="295">
        <f t="shared" si="5"/>
        <v>122139094.61319046</v>
      </c>
    </row>
    <row r="44" spans="1:14">
      <c r="A44" s="129" t="s">
        <v>133</v>
      </c>
      <c r="B44" s="168">
        <f>INDEX('Base Allocation'!$A$2:$AI$77,MATCH('District Specific SCFF'!$A44,'Base Allocation'!$A$2:$A$77,0),MATCH('District Specific SCFF'!B$1,'Base Allocation'!$A$2:$AI$2,0))</f>
        <v>137474748.23282811</v>
      </c>
      <c r="C44" s="168">
        <f>INDEX('Supplemental Allocation'!$A$2:$Q$76,MATCH('District Specific SCFF'!$A44,'Supplemental Allocation'!$A$2:$A$76,0),MATCH('District Specific SCFF'!C$1,'Supplemental Allocation'!$A$2:$Q$2,0))</f>
        <v>25960067.797544304</v>
      </c>
      <c r="D44" s="168">
        <f>INDEX('Success Allocation'!$A$3:$EP$76,MATCH('District Specific SCFF'!$A44,'Success Allocation'!$A$3:$A$76,0),MATCH('District Specific SCFF'!D$1,'Success Allocation'!$A$3:$EP$3,0))</f>
        <v>18254489.882989179</v>
      </c>
      <c r="E44" s="143">
        <f t="shared" si="6"/>
        <v>181689305.91336158</v>
      </c>
      <c r="F44" s="120">
        <v>164850888</v>
      </c>
      <c r="G44" s="125">
        <f>INDEX('Rate Assumptions'!$A$1:$C$34,MATCH('District Specific SCFF'!G$1,'Rate Assumptions'!$A$1:$A$34,0),2)</f>
        <v>2.7099999999999999E-2</v>
      </c>
      <c r="H44" s="125">
        <f>INDEX('Rate Assumptions'!$A$1:$C$34,MATCH('District Specific SCFF'!H$1,'Rate Assumptions'!$A$1:$A$34,0),2)</f>
        <v>3.2599999999999997E-2</v>
      </c>
      <c r="I44" s="168">
        <f t="shared" si="7"/>
        <v>174838125.17911246</v>
      </c>
      <c r="J44" s="126" t="str">
        <f t="shared" si="8"/>
        <v/>
      </c>
      <c r="K44" s="168">
        <f t="shared" si="9"/>
        <v>0</v>
      </c>
      <c r="L44" s="294"/>
      <c r="M44" s="126">
        <f t="shared" si="4"/>
        <v>0</v>
      </c>
      <c r="N44" s="295">
        <f t="shared" si="5"/>
        <v>174838125.17911246</v>
      </c>
    </row>
    <row r="45" spans="1:14">
      <c r="A45" s="129" t="s">
        <v>134</v>
      </c>
      <c r="B45" s="168">
        <f>INDEX('Base Allocation'!$A$2:$AI$77,MATCH('District Specific SCFF'!$A45,'Base Allocation'!$A$2:$A$77,0),MATCH('District Specific SCFF'!B$1,'Base Allocation'!$A$2:$AI$2,0))</f>
        <v>21372498.943758465</v>
      </c>
      <c r="C45" s="168">
        <f>INDEX('Supplemental Allocation'!$A$2:$Q$76,MATCH('District Specific SCFF'!$A45,'Supplemental Allocation'!$A$2:$A$76,0),MATCH('District Specific SCFF'!C$1,'Supplemental Allocation'!$A$2:$Q$2,0))</f>
        <v>5192571.3007871406</v>
      </c>
      <c r="D45" s="168">
        <f>INDEX('Success Allocation'!$A$3:$EP$76,MATCH('District Specific SCFF'!$A45,'Success Allocation'!$A$3:$A$76,0),MATCH('District Specific SCFF'!D$1,'Success Allocation'!$A$3:$EP$3,0))</f>
        <v>3212567.6494568428</v>
      </c>
      <c r="E45" s="143">
        <f t="shared" si="6"/>
        <v>29777637.894002449</v>
      </c>
      <c r="F45" s="120">
        <v>26897607</v>
      </c>
      <c r="G45" s="125">
        <f>INDEX('Rate Assumptions'!$A$1:$C$34,MATCH('District Specific SCFF'!G$1,'Rate Assumptions'!$A$1:$A$34,0),2)</f>
        <v>2.7099999999999999E-2</v>
      </c>
      <c r="H45" s="125">
        <f>INDEX('Rate Assumptions'!$A$1:$C$34,MATCH('District Specific SCFF'!H$1,'Rate Assumptions'!$A$1:$A$34,0),2)</f>
        <v>3.2599999999999997E-2</v>
      </c>
      <c r="I45" s="168">
        <f t="shared" si="7"/>
        <v>28527157.097780216</v>
      </c>
      <c r="J45" s="126" t="str">
        <f t="shared" si="8"/>
        <v/>
      </c>
      <c r="K45" s="168">
        <f t="shared" si="9"/>
        <v>0</v>
      </c>
      <c r="L45" s="294"/>
      <c r="M45" s="126">
        <f t="shared" si="4"/>
        <v>0</v>
      </c>
      <c r="N45" s="295">
        <f t="shared" si="5"/>
        <v>28527157.097780216</v>
      </c>
    </row>
    <row r="46" spans="1:14">
      <c r="A46" s="129" t="s">
        <v>135</v>
      </c>
      <c r="B46" s="168">
        <f>INDEX('Base Allocation'!$A$2:$AI$77,MATCH('District Specific SCFF'!$A46,'Base Allocation'!$A$2:$A$77,0),MATCH('District Specific SCFF'!B$1,'Base Allocation'!$A$2:$AI$2,0))</f>
        <v>58492915.065886572</v>
      </c>
      <c r="C46" s="168">
        <f>INDEX('Supplemental Allocation'!$A$2:$Q$76,MATCH('District Specific SCFF'!$A46,'Supplemental Allocation'!$A$2:$A$76,0),MATCH('District Specific SCFF'!C$1,'Supplemental Allocation'!$A$2:$Q$2,0))</f>
        <v>16722013.091632631</v>
      </c>
      <c r="D46" s="168">
        <f>INDEX('Success Allocation'!$A$3:$EP$76,MATCH('District Specific SCFF'!$A46,'Success Allocation'!$A$3:$A$76,0),MATCH('District Specific SCFF'!D$1,'Success Allocation'!$A$3:$EP$3,0))</f>
        <v>10404786.18510481</v>
      </c>
      <c r="E46" s="143">
        <f t="shared" si="6"/>
        <v>85619714.342624009</v>
      </c>
      <c r="F46" s="120">
        <v>74478150</v>
      </c>
      <c r="G46" s="125">
        <f>INDEX('Rate Assumptions'!$A$1:$C$34,MATCH('District Specific SCFF'!G$1,'Rate Assumptions'!$A$1:$A$34,0),2)</f>
        <v>2.7099999999999999E-2</v>
      </c>
      <c r="H46" s="125">
        <f>INDEX('Rate Assumptions'!$A$1:$C$34,MATCH('District Specific SCFF'!H$1,'Rate Assumptions'!$A$1:$A$34,0),2)</f>
        <v>3.2599999999999997E-2</v>
      </c>
      <c r="I46" s="168">
        <f t="shared" si="7"/>
        <v>78990294.021398991</v>
      </c>
      <c r="J46" s="126" t="str">
        <f t="shared" si="8"/>
        <v/>
      </c>
      <c r="K46" s="168">
        <f t="shared" si="9"/>
        <v>0</v>
      </c>
      <c r="L46" s="294"/>
      <c r="M46" s="126">
        <f t="shared" si="4"/>
        <v>0</v>
      </c>
      <c r="N46" s="295">
        <f t="shared" si="5"/>
        <v>78990294.021398991</v>
      </c>
    </row>
    <row r="47" spans="1:14">
      <c r="A47" s="129" t="s">
        <v>136</v>
      </c>
      <c r="B47" s="168">
        <f>INDEX('Base Allocation'!$A$2:$AI$77,MATCH('District Specific SCFF'!$A47,'Base Allocation'!$A$2:$A$77,0),MATCH('District Specific SCFF'!B$1,'Base Allocation'!$A$2:$AI$2,0))</f>
        <v>135123526.98015323</v>
      </c>
      <c r="C47" s="168">
        <f>INDEX('Supplemental Allocation'!$A$2:$Q$76,MATCH('District Specific SCFF'!$A47,'Supplemental Allocation'!$A$2:$A$76,0),MATCH('District Specific SCFF'!C$1,'Supplemental Allocation'!$A$2:$Q$2,0))</f>
        <v>43744578.024300404</v>
      </c>
      <c r="D47" s="168">
        <f>INDEX('Success Allocation'!$A$3:$EP$76,MATCH('District Specific SCFF'!$A47,'Success Allocation'!$A$3:$A$76,0),MATCH('District Specific SCFF'!D$1,'Success Allocation'!$A$3:$EP$3,0))</f>
        <v>24661696.792861987</v>
      </c>
      <c r="E47" s="143">
        <f t="shared" si="6"/>
        <v>203529801.79731563</v>
      </c>
      <c r="F47" s="120">
        <v>173724960</v>
      </c>
      <c r="G47" s="125">
        <f>INDEX('Rate Assumptions'!$A$1:$C$34,MATCH('District Specific SCFF'!G$1,'Rate Assumptions'!$A$1:$A$34,0),2)</f>
        <v>2.7099999999999999E-2</v>
      </c>
      <c r="H47" s="125">
        <f>INDEX('Rate Assumptions'!$A$1:$C$34,MATCH('District Specific SCFF'!H$1,'Rate Assumptions'!$A$1:$A$34,0),2)</f>
        <v>3.2599999999999997E-2</v>
      </c>
      <c r="I47" s="168">
        <f t="shared" si="7"/>
        <v>184249819.16516158</v>
      </c>
      <c r="J47" s="126" t="str">
        <f t="shared" si="8"/>
        <v/>
      </c>
      <c r="K47" s="168">
        <f t="shared" si="9"/>
        <v>0</v>
      </c>
      <c r="L47" s="294"/>
      <c r="M47" s="126">
        <f t="shared" si="4"/>
        <v>0</v>
      </c>
      <c r="N47" s="295">
        <f t="shared" si="5"/>
        <v>184249819.16516158</v>
      </c>
    </row>
    <row r="48" spans="1:14">
      <c r="A48" s="129" t="s">
        <v>137</v>
      </c>
      <c r="B48" s="168">
        <f>INDEX('Base Allocation'!$A$2:$AI$77,MATCH('District Specific SCFF'!$A48,'Base Allocation'!$A$2:$A$77,0),MATCH('District Specific SCFF'!B$1,'Base Allocation'!$A$2:$AI$2,0))</f>
        <v>72412585.914761633</v>
      </c>
      <c r="C48" s="168">
        <f>INDEX('Supplemental Allocation'!$A$2:$Q$76,MATCH('District Specific SCFF'!$A48,'Supplemental Allocation'!$A$2:$A$76,0),MATCH('District Specific SCFF'!C$1,'Supplemental Allocation'!$A$2:$Q$2,0))</f>
        <v>22929673.518889438</v>
      </c>
      <c r="D48" s="168">
        <f>INDEX('Success Allocation'!$A$3:$EP$76,MATCH('District Specific SCFF'!$A48,'Success Allocation'!$A$3:$A$76,0),MATCH('District Specific SCFF'!D$1,'Success Allocation'!$A$3:$EP$3,0))</f>
        <v>10732167.388919357</v>
      </c>
      <c r="E48" s="143">
        <f t="shared" si="6"/>
        <v>106074426.82257043</v>
      </c>
      <c r="F48" s="120">
        <v>89045295</v>
      </c>
      <c r="G48" s="125">
        <f>INDEX('Rate Assumptions'!$A$1:$C$34,MATCH('District Specific SCFF'!G$1,'Rate Assumptions'!$A$1:$A$34,0),2)</f>
        <v>2.7099999999999999E-2</v>
      </c>
      <c r="H48" s="125">
        <f>INDEX('Rate Assumptions'!$A$1:$C$34,MATCH('District Specific SCFF'!H$1,'Rate Assumptions'!$A$1:$A$34,0),2)</f>
        <v>3.2599999999999997E-2</v>
      </c>
      <c r="I48" s="168">
        <f t="shared" si="7"/>
        <v>94439967.067820698</v>
      </c>
      <c r="J48" s="126" t="str">
        <f t="shared" si="8"/>
        <v/>
      </c>
      <c r="K48" s="168">
        <f t="shared" si="9"/>
        <v>0</v>
      </c>
      <c r="L48" s="294"/>
      <c r="M48" s="126">
        <f t="shared" si="4"/>
        <v>0</v>
      </c>
      <c r="N48" s="295">
        <f t="shared" si="5"/>
        <v>94439967.067820698</v>
      </c>
    </row>
    <row r="49" spans="1:14">
      <c r="A49" s="129" t="s">
        <v>138</v>
      </c>
      <c r="B49" s="168">
        <f>INDEX('Base Allocation'!$A$2:$AI$77,MATCH('District Specific SCFF'!$A49,'Base Allocation'!$A$2:$A$77,0),MATCH('District Specific SCFF'!B$1,'Base Allocation'!$A$2:$AI$2,0))</f>
        <v>195055921.12234849</v>
      </c>
      <c r="C49" s="168">
        <f>INDEX('Supplemental Allocation'!$A$2:$Q$76,MATCH('District Specific SCFF'!$A49,'Supplemental Allocation'!$A$2:$A$76,0),MATCH('District Specific SCFF'!C$1,'Supplemental Allocation'!$A$2:$Q$2,0))</f>
        <v>43509397.118625656</v>
      </c>
      <c r="D49" s="168">
        <f>INDEX('Success Allocation'!$A$3:$EP$76,MATCH('District Specific SCFF'!$A49,'Success Allocation'!$A$3:$A$76,0),MATCH('District Specific SCFF'!D$1,'Success Allocation'!$A$3:$EP$3,0))</f>
        <v>28245982.535671912</v>
      </c>
      <c r="E49" s="143">
        <f t="shared" si="6"/>
        <v>266811300.77664605</v>
      </c>
      <c r="F49" s="120">
        <v>246050130</v>
      </c>
      <c r="G49" s="125">
        <f>INDEX('Rate Assumptions'!$A$1:$C$34,MATCH('District Specific SCFF'!G$1,'Rate Assumptions'!$A$1:$A$34,0),2)</f>
        <v>2.7099999999999999E-2</v>
      </c>
      <c r="H49" s="125">
        <f>INDEX('Rate Assumptions'!$A$1:$C$34,MATCH('District Specific SCFF'!H$1,'Rate Assumptions'!$A$1:$A$34,0),2)</f>
        <v>3.2599999999999997E-2</v>
      </c>
      <c r="I49" s="168">
        <f t="shared" si="7"/>
        <v>260956698.20884976</v>
      </c>
      <c r="J49" s="126" t="str">
        <f t="shared" si="8"/>
        <v/>
      </c>
      <c r="K49" s="168">
        <f t="shared" si="9"/>
        <v>0</v>
      </c>
      <c r="L49" s="294"/>
      <c r="M49" s="126">
        <f t="shared" si="4"/>
        <v>0</v>
      </c>
      <c r="N49" s="295">
        <f t="shared" si="5"/>
        <v>260956698.20884976</v>
      </c>
    </row>
    <row r="50" spans="1:14">
      <c r="A50" s="129" t="s">
        <v>139</v>
      </c>
      <c r="B50" s="168">
        <f>INDEX('Base Allocation'!$A$2:$AI$77,MATCH('District Specific SCFF'!$A50,'Base Allocation'!$A$2:$A$77,0),MATCH('District Specific SCFF'!B$1,'Base Allocation'!$A$2:$AI$2,0))</f>
        <v>108174027.49030329</v>
      </c>
      <c r="C50" s="168">
        <f>INDEX('Supplemental Allocation'!$A$2:$Q$76,MATCH('District Specific SCFF'!$A50,'Supplemental Allocation'!$A$2:$A$76,0),MATCH('District Specific SCFF'!C$1,'Supplemental Allocation'!$A$2:$Q$2,0))</f>
        <v>16307425.408111136</v>
      </c>
      <c r="D50" s="168">
        <f>INDEX('Success Allocation'!$A$3:$EP$76,MATCH('District Specific SCFF'!$A50,'Success Allocation'!$A$3:$A$76,0),MATCH('District Specific SCFF'!D$1,'Success Allocation'!$A$3:$EP$3,0))</f>
        <v>11610172.66933872</v>
      </c>
      <c r="E50" s="143">
        <f t="shared" si="6"/>
        <v>136091625.56775317</v>
      </c>
      <c r="F50" s="120">
        <v>128356691</v>
      </c>
      <c r="G50" s="125">
        <f>INDEX('Rate Assumptions'!$A$1:$C$34,MATCH('District Specific SCFF'!G$1,'Rate Assumptions'!$A$1:$A$34,0),2)</f>
        <v>2.7099999999999999E-2</v>
      </c>
      <c r="H50" s="125">
        <f>INDEX('Rate Assumptions'!$A$1:$C$34,MATCH('District Specific SCFF'!H$1,'Rate Assumptions'!$A$1:$A$34,0),2)</f>
        <v>3.2599999999999997E-2</v>
      </c>
      <c r="I50" s="168">
        <f t="shared" si="7"/>
        <v>136132983.45493084</v>
      </c>
      <c r="J50" s="126" t="str">
        <f t="shared" si="8"/>
        <v>Y</v>
      </c>
      <c r="K50" s="168">
        <f t="shared" si="9"/>
        <v>41357.887177675962</v>
      </c>
      <c r="L50" s="294"/>
      <c r="M50" s="126">
        <f t="shared" si="4"/>
        <v>41357.887177675962</v>
      </c>
      <c r="N50" s="295">
        <f t="shared" si="5"/>
        <v>136174341.34210852</v>
      </c>
    </row>
    <row r="51" spans="1:14">
      <c r="A51" s="129" t="s">
        <v>140</v>
      </c>
      <c r="B51" s="168">
        <f>INDEX('Base Allocation'!$A$2:$AI$77,MATCH('District Specific SCFF'!$A51,'Base Allocation'!$A$2:$A$77,0),MATCH('District Specific SCFF'!B$1,'Base Allocation'!$A$2:$AI$2,0))</f>
        <v>68761466.631469443</v>
      </c>
      <c r="C51" s="168">
        <f>INDEX('Supplemental Allocation'!$A$2:$Q$76,MATCH('District Specific SCFF'!$A51,'Supplemental Allocation'!$A$2:$A$76,0),MATCH('District Specific SCFF'!C$1,'Supplemental Allocation'!$A$2:$Q$2,0))</f>
        <v>20877185.614818905</v>
      </c>
      <c r="D51" s="168">
        <f>INDEX('Success Allocation'!$A$3:$EP$76,MATCH('District Specific SCFF'!$A51,'Success Allocation'!$A$3:$A$76,0),MATCH('District Specific SCFF'!D$1,'Success Allocation'!$A$3:$EP$3,0))</f>
        <v>12389408.828826699</v>
      </c>
      <c r="E51" s="143">
        <f t="shared" si="6"/>
        <v>102028061.07511504</v>
      </c>
      <c r="F51" s="120">
        <v>90280054</v>
      </c>
      <c r="G51" s="125">
        <f>INDEX('Rate Assumptions'!$A$1:$C$34,MATCH('District Specific SCFF'!G$1,'Rate Assumptions'!$A$1:$A$34,0),2)</f>
        <v>2.7099999999999999E-2</v>
      </c>
      <c r="H51" s="125">
        <f>INDEX('Rate Assumptions'!$A$1:$C$34,MATCH('District Specific SCFF'!H$1,'Rate Assumptions'!$A$1:$A$34,0),2)</f>
        <v>3.2599999999999997E-2</v>
      </c>
      <c r="I51" s="168">
        <f t="shared" si="7"/>
        <v>95749532.040306821</v>
      </c>
      <c r="J51" s="126" t="str">
        <f t="shared" si="8"/>
        <v/>
      </c>
      <c r="K51" s="168">
        <f t="shared" si="9"/>
        <v>0</v>
      </c>
      <c r="L51" s="294"/>
      <c r="M51" s="126">
        <f t="shared" si="4"/>
        <v>0</v>
      </c>
      <c r="N51" s="295">
        <f t="shared" si="5"/>
        <v>95749532.040306821</v>
      </c>
    </row>
    <row r="52" spans="1:14">
      <c r="A52" s="129" t="s">
        <v>141</v>
      </c>
      <c r="B52" s="168">
        <f>INDEX('Base Allocation'!$A$2:$AI$77,MATCH('District Specific SCFF'!$A52,'Base Allocation'!$A$2:$A$77,0),MATCH('District Specific SCFF'!B$1,'Base Allocation'!$A$2:$AI$2,0))</f>
        <v>57509201.619730316</v>
      </c>
      <c r="C52" s="168">
        <f>INDEX('Supplemental Allocation'!$A$2:$Q$76,MATCH('District Specific SCFF'!$A52,'Supplemental Allocation'!$A$2:$A$76,0),MATCH('District Specific SCFF'!C$1,'Supplemental Allocation'!$A$2:$Q$2,0))</f>
        <v>15935597.889257779</v>
      </c>
      <c r="D52" s="168">
        <f>INDEX('Success Allocation'!$A$3:$EP$76,MATCH('District Specific SCFF'!$A52,'Success Allocation'!$A$3:$A$76,0),MATCH('District Specific SCFF'!D$1,'Success Allocation'!$A$3:$EP$3,0))</f>
        <v>8263072.6569249425</v>
      </c>
      <c r="E52" s="143">
        <f t="shared" si="6"/>
        <v>81707872.165913045</v>
      </c>
      <c r="F52" s="120">
        <v>70622433</v>
      </c>
      <c r="G52" s="125">
        <f>INDEX('Rate Assumptions'!$A$1:$C$34,MATCH('District Specific SCFF'!G$1,'Rate Assumptions'!$A$1:$A$34,0),2)</f>
        <v>2.7099999999999999E-2</v>
      </c>
      <c r="H52" s="125">
        <f>INDEX('Rate Assumptions'!$A$1:$C$34,MATCH('District Specific SCFF'!H$1,'Rate Assumptions'!$A$1:$A$34,0),2)</f>
        <v>3.2599999999999997E-2</v>
      </c>
      <c r="I52" s="168">
        <f t="shared" si="7"/>
        <v>74900984.344758168</v>
      </c>
      <c r="J52" s="126" t="str">
        <f t="shared" si="8"/>
        <v/>
      </c>
      <c r="K52" s="168">
        <f t="shared" si="9"/>
        <v>0</v>
      </c>
      <c r="L52" s="294" t="s">
        <v>176</v>
      </c>
      <c r="M52" s="126">
        <f t="shared" si="4"/>
        <v>0</v>
      </c>
      <c r="N52" s="295">
        <f t="shared" si="5"/>
        <v>74900984.344758168</v>
      </c>
    </row>
    <row r="53" spans="1:14">
      <c r="A53" s="129" t="s">
        <v>142</v>
      </c>
      <c r="B53" s="168">
        <f>INDEX('Base Allocation'!$A$2:$AI$77,MATCH('District Specific SCFF'!$A53,'Base Allocation'!$A$2:$A$77,0),MATCH('District Specific SCFF'!B$1,'Base Allocation'!$A$2:$AI$2,0))</f>
        <v>38498094.854136832</v>
      </c>
      <c r="C53" s="168">
        <f>INDEX('Supplemental Allocation'!$A$2:$Q$76,MATCH('District Specific SCFF'!$A53,'Supplemental Allocation'!$A$2:$A$76,0),MATCH('District Specific SCFF'!C$1,'Supplemental Allocation'!$A$2:$Q$2,0))</f>
        <v>7995221.2241443247</v>
      </c>
      <c r="D53" s="168">
        <f>INDEX('Success Allocation'!$A$3:$EP$76,MATCH('District Specific SCFF'!$A53,'Success Allocation'!$A$3:$A$76,0),MATCH('District Specific SCFF'!D$1,'Success Allocation'!$A$3:$EP$3,0))</f>
        <v>6017921.3235816965</v>
      </c>
      <c r="E53" s="143">
        <f t="shared" si="6"/>
        <v>52511237.401862852</v>
      </c>
      <c r="F53" s="120">
        <v>49069768</v>
      </c>
      <c r="G53" s="125">
        <f>INDEX('Rate Assumptions'!$A$1:$C$34,MATCH('District Specific SCFF'!G$1,'Rate Assumptions'!$A$1:$A$34,0),2)</f>
        <v>2.7099999999999999E-2</v>
      </c>
      <c r="H53" s="125">
        <f>INDEX('Rate Assumptions'!$A$1:$C$34,MATCH('District Specific SCFF'!H$1,'Rate Assumptions'!$A$1:$A$34,0),2)</f>
        <v>3.2599999999999997E-2</v>
      </c>
      <c r="I53" s="168">
        <f t="shared" si="7"/>
        <v>52042584.326837271</v>
      </c>
      <c r="J53" s="126" t="str">
        <f t="shared" si="8"/>
        <v/>
      </c>
      <c r="K53" s="168">
        <f t="shared" si="9"/>
        <v>0</v>
      </c>
      <c r="L53" s="294"/>
      <c r="M53" s="126">
        <f t="shared" si="4"/>
        <v>0</v>
      </c>
      <c r="N53" s="295">
        <f t="shared" si="5"/>
        <v>52042584.326837271</v>
      </c>
    </row>
    <row r="54" spans="1:14">
      <c r="A54" s="129" t="s">
        <v>143</v>
      </c>
      <c r="B54" s="168">
        <f>INDEX('Base Allocation'!$A$2:$AI$77,MATCH('District Specific SCFF'!$A54,'Base Allocation'!$A$2:$A$77,0),MATCH('District Specific SCFF'!B$1,'Base Allocation'!$A$2:$AI$2,0))</f>
        <v>74755544.699401796</v>
      </c>
      <c r="C54" s="168">
        <f>INDEX('Supplemental Allocation'!$A$2:$Q$76,MATCH('District Specific SCFF'!$A54,'Supplemental Allocation'!$A$2:$A$76,0),MATCH('District Specific SCFF'!C$1,'Supplemental Allocation'!$A$2:$Q$2,0))</f>
        <v>13788293.967879638</v>
      </c>
      <c r="D54" s="168">
        <f>INDEX('Success Allocation'!$A$3:$EP$76,MATCH('District Specific SCFF'!$A54,'Success Allocation'!$A$3:$A$76,0),MATCH('District Specific SCFF'!D$1,'Success Allocation'!$A$3:$EP$3,0))</f>
        <v>11450122.473127665</v>
      </c>
      <c r="E54" s="143">
        <f t="shared" si="6"/>
        <v>99993961.140409097</v>
      </c>
      <c r="F54" s="120">
        <v>98289606</v>
      </c>
      <c r="G54" s="125">
        <f>INDEX('Rate Assumptions'!$A$1:$C$34,MATCH('District Specific SCFF'!G$1,'Rate Assumptions'!$A$1:$A$34,0),2)</f>
        <v>2.7099999999999999E-2</v>
      </c>
      <c r="H54" s="125">
        <f>INDEX('Rate Assumptions'!$A$1:$C$34,MATCH('District Specific SCFF'!H$1,'Rate Assumptions'!$A$1:$A$34,0),2)</f>
        <v>3.2599999999999997E-2</v>
      </c>
      <c r="I54" s="168">
        <f t="shared" si="7"/>
        <v>104244330.41351674</v>
      </c>
      <c r="J54" s="126" t="str">
        <f t="shared" si="8"/>
        <v>Y</v>
      </c>
      <c r="K54" s="168">
        <f t="shared" si="9"/>
        <v>4250369.2731076479</v>
      </c>
      <c r="L54" s="294" t="s">
        <v>176</v>
      </c>
      <c r="M54" s="126">
        <f t="shared" si="4"/>
        <v>0</v>
      </c>
      <c r="N54" s="295">
        <f t="shared" si="5"/>
        <v>104244330.41351674</v>
      </c>
    </row>
    <row r="55" spans="1:14">
      <c r="A55" s="129" t="s">
        <v>144</v>
      </c>
      <c r="B55" s="168">
        <f>INDEX('Base Allocation'!$A$2:$AI$77,MATCH('District Specific SCFF'!$A55,'Base Allocation'!$A$2:$A$77,0),MATCH('District Specific SCFF'!B$1,'Base Allocation'!$A$2:$AI$2,0))</f>
        <v>57719267.674581833</v>
      </c>
      <c r="C55" s="168">
        <f>INDEX('Supplemental Allocation'!$A$2:$Q$76,MATCH('District Specific SCFF'!$A55,'Supplemental Allocation'!$A$2:$A$76,0),MATCH('District Specific SCFF'!C$1,'Supplemental Allocation'!$A$2:$Q$2,0))</f>
        <v>12488756.789487153</v>
      </c>
      <c r="D55" s="168">
        <f>INDEX('Success Allocation'!$A$3:$EP$76,MATCH('District Specific SCFF'!$A55,'Success Allocation'!$A$3:$A$76,0),MATCH('District Specific SCFF'!D$1,'Success Allocation'!$A$3:$EP$3,0))</f>
        <v>8504950.7243739702</v>
      </c>
      <c r="E55" s="143">
        <f t="shared" si="6"/>
        <v>78712975.188442945</v>
      </c>
      <c r="F55" s="120">
        <v>72610515</v>
      </c>
      <c r="G55" s="125">
        <f>INDEX('Rate Assumptions'!$A$1:$C$34,MATCH('District Specific SCFF'!G$1,'Rate Assumptions'!$A$1:$A$34,0),2)</f>
        <v>2.7099999999999999E-2</v>
      </c>
      <c r="H55" s="125">
        <f>INDEX('Rate Assumptions'!$A$1:$C$34,MATCH('District Specific SCFF'!H$1,'Rate Assumptions'!$A$1:$A$34,0),2)</f>
        <v>3.2599999999999997E-2</v>
      </c>
      <c r="I55" s="168">
        <f t="shared" si="7"/>
        <v>77009511.231081888</v>
      </c>
      <c r="J55" s="126" t="str">
        <f t="shared" si="8"/>
        <v/>
      </c>
      <c r="K55" s="168">
        <f t="shared" si="9"/>
        <v>0</v>
      </c>
      <c r="L55" s="294"/>
      <c r="M55" s="126">
        <f t="shared" si="4"/>
        <v>0</v>
      </c>
      <c r="N55" s="295">
        <f t="shared" si="5"/>
        <v>77009511.231081888</v>
      </c>
    </row>
    <row r="56" spans="1:14">
      <c r="A56" s="129" t="s">
        <v>145</v>
      </c>
      <c r="B56" s="168">
        <f>INDEX('Base Allocation'!$A$2:$AI$77,MATCH('District Specific SCFF'!$A56,'Base Allocation'!$A$2:$A$77,0),MATCH('District Specific SCFF'!B$1,'Base Allocation'!$A$2:$AI$2,0))</f>
        <v>72979665.721705765</v>
      </c>
      <c r="C56" s="168">
        <f>INDEX('Supplemental Allocation'!$A$2:$Q$76,MATCH('District Specific SCFF'!$A56,'Supplemental Allocation'!$A$2:$A$76,0),MATCH('District Specific SCFF'!C$1,'Supplemental Allocation'!$A$2:$Q$2,0))</f>
        <v>13614464.602815695</v>
      </c>
      <c r="D56" s="168">
        <f>INDEX('Success Allocation'!$A$3:$EP$76,MATCH('District Specific SCFF'!$A56,'Success Allocation'!$A$3:$A$76,0),MATCH('District Specific SCFF'!D$1,'Success Allocation'!$A$3:$EP$3,0))</f>
        <v>13564937.273391904</v>
      </c>
      <c r="E56" s="143">
        <f t="shared" si="6"/>
        <v>100159067.59791335</v>
      </c>
      <c r="F56" s="120">
        <v>94448588</v>
      </c>
      <c r="G56" s="125">
        <f>INDEX('Rate Assumptions'!$A$1:$C$34,MATCH('District Specific SCFF'!G$1,'Rate Assumptions'!$A$1:$A$34,0),2)</f>
        <v>2.7099999999999999E-2</v>
      </c>
      <c r="H56" s="125">
        <f>INDEX('Rate Assumptions'!$A$1:$C$34,MATCH('District Specific SCFF'!H$1,'Rate Assumptions'!$A$1:$A$34,0),2)</f>
        <v>3.2599999999999997E-2</v>
      </c>
      <c r="I56" s="168">
        <f t="shared" si="7"/>
        <v>100170610.25315447</v>
      </c>
      <c r="J56" s="126" t="str">
        <f t="shared" si="8"/>
        <v>Y</v>
      </c>
      <c r="K56" s="168">
        <f t="shared" si="9"/>
        <v>11542.655241116881</v>
      </c>
      <c r="L56" s="294"/>
      <c r="M56" s="126">
        <f t="shared" si="4"/>
        <v>11542.655241116881</v>
      </c>
      <c r="N56" s="295">
        <f t="shared" si="5"/>
        <v>100182152.90839559</v>
      </c>
    </row>
    <row r="57" spans="1:14">
      <c r="A57" s="129" t="s">
        <v>146</v>
      </c>
      <c r="B57" s="168">
        <f>INDEX('Base Allocation'!$A$2:$AI$77,MATCH('District Specific SCFF'!$A57,'Base Allocation'!$A$2:$A$77,0),MATCH('District Specific SCFF'!B$1,'Base Allocation'!$A$2:$AI$2,0))</f>
        <v>86857394.414821088</v>
      </c>
      <c r="C57" s="168">
        <f>INDEX('Supplemental Allocation'!$A$2:$Q$76,MATCH('District Specific SCFF'!$A57,'Supplemental Allocation'!$A$2:$A$76,0),MATCH('District Specific SCFF'!C$1,'Supplemental Allocation'!$A$2:$Q$2,0))</f>
        <v>26195248.703219056</v>
      </c>
      <c r="D57" s="168">
        <f>INDEX('Success Allocation'!$A$3:$EP$76,MATCH('District Specific SCFF'!$A57,'Success Allocation'!$A$3:$A$76,0),MATCH('District Specific SCFF'!D$1,'Success Allocation'!$A$3:$EP$3,0))</f>
        <v>15569122.493123705</v>
      </c>
      <c r="E57" s="143">
        <f t="shared" si="6"/>
        <v>128621765.61116385</v>
      </c>
      <c r="F57" s="120">
        <v>129918589</v>
      </c>
      <c r="G57" s="125">
        <f>INDEX('Rate Assumptions'!$A$1:$C$34,MATCH('District Specific SCFF'!G$1,'Rate Assumptions'!$A$1:$A$34,0),2)</f>
        <v>2.7099999999999999E-2</v>
      </c>
      <c r="H57" s="125">
        <f>INDEX('Rate Assumptions'!$A$1:$C$34,MATCH('District Specific SCFF'!H$1,'Rate Assumptions'!$A$1:$A$34,0),2)</f>
        <v>3.2599999999999997E-2</v>
      </c>
      <c r="I57" s="168">
        <f t="shared" si="7"/>
        <v>137789506.63993794</v>
      </c>
      <c r="J57" s="126" t="str">
        <f t="shared" si="8"/>
        <v>Y</v>
      </c>
      <c r="K57" s="168">
        <f t="shared" si="9"/>
        <v>9167741.0287740827</v>
      </c>
      <c r="L57" s="294"/>
      <c r="M57" s="126">
        <f t="shared" si="4"/>
        <v>9167741.0287740827</v>
      </c>
      <c r="N57" s="295">
        <f t="shared" si="5"/>
        <v>146957247.66871202</v>
      </c>
    </row>
    <row r="58" spans="1:14">
      <c r="A58" s="129" t="s">
        <v>147</v>
      </c>
      <c r="B58" s="168">
        <f>INDEX('Base Allocation'!$A$2:$AI$77,MATCH('District Specific SCFF'!$A58,'Base Allocation'!$A$2:$A$77,0),MATCH('District Specific SCFF'!B$1,'Base Allocation'!$A$2:$AI$2,0))</f>
        <v>49432269.534090504</v>
      </c>
      <c r="C58" s="168">
        <f>INDEX('Supplemental Allocation'!$A$2:$Q$76,MATCH('District Specific SCFF'!$A58,'Supplemental Allocation'!$A$2:$A$76,0),MATCH('District Specific SCFF'!C$1,'Supplemental Allocation'!$A$2:$Q$2,0))</f>
        <v>15945823.146026246</v>
      </c>
      <c r="D58" s="168">
        <f>INDEX('Success Allocation'!$A$3:$EP$76,MATCH('District Specific SCFF'!$A58,'Success Allocation'!$A$3:$A$76,0),MATCH('District Specific SCFF'!D$1,'Success Allocation'!$A$3:$EP$3,0))</f>
        <v>8290263.6329477374</v>
      </c>
      <c r="E58" s="143">
        <f t="shared" si="6"/>
        <v>73668356.313064486</v>
      </c>
      <c r="F58" s="120">
        <v>61392655</v>
      </c>
      <c r="G58" s="125">
        <f>INDEX('Rate Assumptions'!$A$1:$C$34,MATCH('District Specific SCFF'!G$1,'Rate Assumptions'!$A$1:$A$34,0),2)</f>
        <v>2.7099999999999999E-2</v>
      </c>
      <c r="H58" s="125">
        <f>INDEX('Rate Assumptions'!$A$1:$C$34,MATCH('District Specific SCFF'!H$1,'Rate Assumptions'!$A$1:$A$34,0),2)</f>
        <v>3.2599999999999997E-2</v>
      </c>
      <c r="I58" s="168">
        <f t="shared" si="7"/>
        <v>65112034.458486296</v>
      </c>
      <c r="J58" s="126" t="str">
        <f t="shared" si="8"/>
        <v/>
      </c>
      <c r="K58" s="168">
        <f t="shared" si="9"/>
        <v>0</v>
      </c>
      <c r="L58" s="294"/>
      <c r="M58" s="126">
        <f t="shared" si="4"/>
        <v>0</v>
      </c>
      <c r="N58" s="295">
        <f t="shared" si="5"/>
        <v>65112034.458486296</v>
      </c>
    </row>
    <row r="59" spans="1:14">
      <c r="A59" s="129" t="s">
        <v>148</v>
      </c>
      <c r="B59" s="168">
        <f>INDEX('Base Allocation'!$A$2:$AI$77,MATCH('District Specific SCFF'!$A59,'Base Allocation'!$A$2:$A$77,0),MATCH('District Specific SCFF'!B$1,'Base Allocation'!$A$2:$AI$2,0))</f>
        <v>33210664.839896891</v>
      </c>
      <c r="C59" s="168">
        <f>INDEX('Supplemental Allocation'!$A$2:$Q$76,MATCH('District Specific SCFF'!$A59,'Supplemental Allocation'!$A$2:$A$76,0),MATCH('District Specific SCFF'!C$1,'Supplemental Allocation'!$A$2:$Q$2,0))</f>
        <v>12161548.572896199</v>
      </c>
      <c r="D59" s="168">
        <f>INDEX('Success Allocation'!$A$3:$EP$76,MATCH('District Specific SCFF'!$A59,'Success Allocation'!$A$3:$A$76,0),MATCH('District Specific SCFF'!D$1,'Success Allocation'!$A$3:$EP$3,0))</f>
        <v>6562690.4040416162</v>
      </c>
      <c r="E59" s="143">
        <f t="shared" si="6"/>
        <v>51934903.816834711</v>
      </c>
      <c r="F59" s="120">
        <v>41789199</v>
      </c>
      <c r="G59" s="125">
        <f>INDEX('Rate Assumptions'!$A$1:$C$34,MATCH('District Specific SCFF'!G$1,'Rate Assumptions'!$A$1:$A$34,0),2)</f>
        <v>2.7099999999999999E-2</v>
      </c>
      <c r="H59" s="125">
        <f>INDEX('Rate Assumptions'!$A$1:$C$34,MATCH('District Specific SCFF'!H$1,'Rate Assumptions'!$A$1:$A$34,0),2)</f>
        <v>3.2599999999999997E-2</v>
      </c>
      <c r="I59" s="168">
        <f t="shared" si="7"/>
        <v>44320933.266048536</v>
      </c>
      <c r="J59" s="126" t="str">
        <f t="shared" si="8"/>
        <v/>
      </c>
      <c r="K59" s="168">
        <f t="shared" si="9"/>
        <v>0</v>
      </c>
      <c r="L59" s="294"/>
      <c r="M59" s="126">
        <f t="shared" si="4"/>
        <v>0</v>
      </c>
      <c r="N59" s="295">
        <f t="shared" si="5"/>
        <v>44320933.266048536</v>
      </c>
    </row>
    <row r="60" spans="1:14">
      <c r="A60" s="129" t="s">
        <v>149</v>
      </c>
      <c r="B60" s="168">
        <f>INDEX('Base Allocation'!$A$2:$AI$77,MATCH('District Specific SCFF'!$A60,'Base Allocation'!$A$2:$A$77,0),MATCH('District Specific SCFF'!B$1,'Base Allocation'!$A$2:$AI$2,0))</f>
        <v>61536861.535429172</v>
      </c>
      <c r="C60" s="168">
        <f>INDEX('Supplemental Allocation'!$A$2:$Q$76,MATCH('District Specific SCFF'!$A60,'Supplemental Allocation'!$A$2:$A$76,0),MATCH('District Specific SCFF'!C$1,'Supplemental Allocation'!$A$2:$Q$2,0))</f>
        <v>16685759.908544429</v>
      </c>
      <c r="D60" s="168">
        <f>INDEX('Success Allocation'!$A$3:$EP$76,MATCH('District Specific SCFF'!$A60,'Success Allocation'!$A$3:$A$76,0),MATCH('District Specific SCFF'!D$1,'Success Allocation'!$A$3:$EP$3,0))</f>
        <v>12048574.296834899</v>
      </c>
      <c r="E60" s="143">
        <f t="shared" si="6"/>
        <v>90271195.740808502</v>
      </c>
      <c r="F60" s="120">
        <v>86569715</v>
      </c>
      <c r="G60" s="125">
        <f>INDEX('Rate Assumptions'!$A$1:$C$34,MATCH('District Specific SCFF'!G$1,'Rate Assumptions'!$A$1:$A$34,0),2)</f>
        <v>2.7099999999999999E-2</v>
      </c>
      <c r="H60" s="125">
        <f>INDEX('Rate Assumptions'!$A$1:$C$34,MATCH('District Specific SCFF'!H$1,'Rate Assumptions'!$A$1:$A$34,0),2)</f>
        <v>3.2599999999999997E-2</v>
      </c>
      <c r="I60" s="168">
        <f t="shared" si="7"/>
        <v>91814407.865913883</v>
      </c>
      <c r="J60" s="126" t="str">
        <f t="shared" si="8"/>
        <v>Y</v>
      </c>
      <c r="K60" s="168">
        <f t="shared" si="9"/>
        <v>1543212.125105381</v>
      </c>
      <c r="L60" s="294"/>
      <c r="M60" s="126">
        <f t="shared" si="4"/>
        <v>1543212.125105381</v>
      </c>
      <c r="N60" s="295">
        <f t="shared" si="5"/>
        <v>93357619.991019264</v>
      </c>
    </row>
    <row r="61" spans="1:14">
      <c r="A61" s="129" t="s">
        <v>150</v>
      </c>
      <c r="B61" s="168">
        <f>INDEX('Base Allocation'!$A$2:$AI$77,MATCH('District Specific SCFF'!$A61,'Base Allocation'!$A$2:$A$77,0),MATCH('District Specific SCFF'!B$1,'Base Allocation'!$A$2:$AI$2,0))</f>
        <v>15838522.108123712</v>
      </c>
      <c r="C61" s="168">
        <f>INDEX('Supplemental Allocation'!$A$2:$Q$76,MATCH('District Specific SCFF'!$A61,'Supplemental Allocation'!$A$2:$A$76,0),MATCH('District Specific SCFF'!C$1,'Supplemental Allocation'!$A$2:$Q$2,0))</f>
        <v>1979051.9690969964</v>
      </c>
      <c r="D61" s="168">
        <f>INDEX('Success Allocation'!$A$3:$EP$76,MATCH('District Specific SCFF'!$A61,'Success Allocation'!$A$3:$A$76,0),MATCH('District Specific SCFF'!D$1,'Success Allocation'!$A$3:$EP$3,0))</f>
        <v>1788939.3636849257</v>
      </c>
      <c r="E61" s="143">
        <f t="shared" si="6"/>
        <v>19606513.440905634</v>
      </c>
      <c r="F61" s="120">
        <v>18150995</v>
      </c>
      <c r="G61" s="125">
        <f>INDEX('Rate Assumptions'!$A$1:$C$34,MATCH('District Specific SCFF'!G$1,'Rate Assumptions'!$A$1:$A$34,0),2)</f>
        <v>2.7099999999999999E-2</v>
      </c>
      <c r="H61" s="125">
        <f>INDEX('Rate Assumptions'!$A$1:$C$34,MATCH('District Specific SCFF'!H$1,'Rate Assumptions'!$A$1:$A$34,0),2)</f>
        <v>3.2599999999999997E-2</v>
      </c>
      <c r="I61" s="168">
        <f t="shared" si="7"/>
        <v>19250645.079542696</v>
      </c>
      <c r="J61" s="126" t="str">
        <f t="shared" si="8"/>
        <v/>
      </c>
      <c r="K61" s="168">
        <f t="shared" si="9"/>
        <v>0</v>
      </c>
      <c r="L61" s="294"/>
      <c r="M61" s="126">
        <f t="shared" si="4"/>
        <v>0</v>
      </c>
      <c r="N61" s="295">
        <f t="shared" si="5"/>
        <v>19250645.079542696</v>
      </c>
    </row>
    <row r="62" spans="1:14">
      <c r="A62" s="129" t="s">
        <v>151</v>
      </c>
      <c r="B62" s="168">
        <f>INDEX('Base Allocation'!$A$2:$AI$77,MATCH('District Specific SCFF'!$A62,'Base Allocation'!$A$2:$A$77,0),MATCH('District Specific SCFF'!B$1,'Base Allocation'!$A$2:$AI$2,0))</f>
        <v>33397293.073196538</v>
      </c>
      <c r="C62" s="168">
        <f>INDEX('Supplemental Allocation'!$A$2:$Q$76,MATCH('District Specific SCFF'!$A62,'Supplemental Allocation'!$A$2:$A$76,0),MATCH('District Specific SCFF'!C$1,'Supplemental Allocation'!$A$2:$Q$2,0))</f>
        <v>7168834.5634927368</v>
      </c>
      <c r="D62" s="168">
        <f>INDEX('Success Allocation'!$A$3:$EP$76,MATCH('District Specific SCFF'!$A62,'Success Allocation'!$A$3:$A$76,0),MATCH('District Specific SCFF'!D$1,'Success Allocation'!$A$3:$EP$3,0))</f>
        <v>4740194.1544213938</v>
      </c>
      <c r="E62" s="143">
        <f t="shared" si="6"/>
        <v>45306321.791110672</v>
      </c>
      <c r="F62" s="120">
        <v>48526065</v>
      </c>
      <c r="G62" s="125">
        <f>INDEX('Rate Assumptions'!$A$1:$C$34,MATCH('District Specific SCFF'!G$1,'Rate Assumptions'!$A$1:$A$34,0),2)</f>
        <v>2.7099999999999999E-2</v>
      </c>
      <c r="H62" s="125">
        <f>INDEX('Rate Assumptions'!$A$1:$C$34,MATCH('District Specific SCFF'!H$1,'Rate Assumptions'!$A$1:$A$34,0),2)</f>
        <v>3.2599999999999997E-2</v>
      </c>
      <c r="I62" s="168">
        <f t="shared" si="7"/>
        <v>51465941.917884894</v>
      </c>
      <c r="J62" s="126" t="str">
        <f t="shared" si="8"/>
        <v>Y</v>
      </c>
      <c r="K62" s="168">
        <f t="shared" si="9"/>
        <v>6159620.1267742217</v>
      </c>
      <c r="L62" s="294"/>
      <c r="M62" s="126">
        <f t="shared" si="4"/>
        <v>6159620.1267742217</v>
      </c>
      <c r="N62" s="295">
        <f t="shared" si="5"/>
        <v>57625562.044659115</v>
      </c>
    </row>
    <row r="63" spans="1:14">
      <c r="A63" s="129" t="s">
        <v>152</v>
      </c>
      <c r="B63" s="168">
        <f>INDEX('Base Allocation'!$A$2:$AI$77,MATCH('District Specific SCFF'!$A63,'Base Allocation'!$A$2:$A$77,0),MATCH('District Specific SCFF'!B$1,'Base Allocation'!$A$2:$AI$2,0))</f>
        <v>89151389.168641657</v>
      </c>
      <c r="C63" s="168">
        <f>INDEX('Supplemental Allocation'!$A$2:$Q$76,MATCH('District Specific SCFF'!$A63,'Supplemental Allocation'!$A$2:$A$76,0),MATCH('District Specific SCFF'!C$1,'Supplemental Allocation'!$A$2:$Q$2,0))</f>
        <v>14494766.253701018</v>
      </c>
      <c r="D63" s="168">
        <f>INDEX('Success Allocation'!$A$3:$EP$76,MATCH('District Specific SCFF'!$A63,'Success Allocation'!$A$3:$A$76,0),MATCH('District Specific SCFF'!D$1,'Success Allocation'!$A$3:$EP$3,0))</f>
        <v>11811946.660586614</v>
      </c>
      <c r="E63" s="143">
        <f t="shared" si="6"/>
        <v>115458102.08292928</v>
      </c>
      <c r="F63" s="120">
        <v>106270424</v>
      </c>
      <c r="G63" s="125">
        <f>INDEX('Rate Assumptions'!$A$1:$C$34,MATCH('District Specific SCFF'!G$1,'Rate Assumptions'!$A$1:$A$34,0),2)</f>
        <v>2.7099999999999999E-2</v>
      </c>
      <c r="H63" s="125">
        <f>INDEX('Rate Assumptions'!$A$1:$C$34,MATCH('District Specific SCFF'!H$1,'Rate Assumptions'!$A$1:$A$34,0),2)</f>
        <v>3.2599999999999997E-2</v>
      </c>
      <c r="I63" s="168">
        <f t="shared" si="7"/>
        <v>112708653.98158702</v>
      </c>
      <c r="J63" s="126" t="str">
        <f t="shared" si="8"/>
        <v/>
      </c>
      <c r="K63" s="168">
        <f t="shared" si="9"/>
        <v>0</v>
      </c>
      <c r="L63" s="294"/>
      <c r="M63" s="126">
        <f t="shared" si="4"/>
        <v>0</v>
      </c>
      <c r="N63" s="295">
        <f t="shared" si="5"/>
        <v>112708653.98158702</v>
      </c>
    </row>
    <row r="64" spans="1:14">
      <c r="A64" s="129" t="s">
        <v>153</v>
      </c>
      <c r="B64" s="168">
        <f>INDEX('Base Allocation'!$A$2:$AI$77,MATCH('District Specific SCFF'!$A64,'Base Allocation'!$A$2:$A$77,0),MATCH('District Specific SCFF'!B$1,'Base Allocation'!$A$2:$AI$2,0))</f>
        <v>118386726.84956132</v>
      </c>
      <c r="C64" s="168">
        <f>INDEX('Supplemental Allocation'!$A$2:$Q$76,MATCH('District Specific SCFF'!$A64,'Supplemental Allocation'!$A$2:$A$76,0),MATCH('District Specific SCFF'!C$1,'Supplemental Allocation'!$A$2:$Q$2,0))</f>
        <v>18666671.015235692</v>
      </c>
      <c r="D64" s="168">
        <f>INDEX('Success Allocation'!$A$3:$EP$76,MATCH('District Specific SCFF'!$A64,'Success Allocation'!$A$3:$A$76,0),MATCH('District Specific SCFF'!D$1,'Success Allocation'!$A$3:$EP$3,0))</f>
        <v>19749448.385904148</v>
      </c>
      <c r="E64" s="143">
        <f t="shared" si="6"/>
        <v>156802846.25070113</v>
      </c>
      <c r="F64" s="120">
        <v>152673419</v>
      </c>
      <c r="G64" s="125">
        <f>INDEX('Rate Assumptions'!$A$1:$C$34,MATCH('District Specific SCFF'!G$1,'Rate Assumptions'!$A$1:$A$34,0),2)</f>
        <v>2.7099999999999999E-2</v>
      </c>
      <c r="H64" s="125">
        <f>INDEX('Rate Assumptions'!$A$1:$C$34,MATCH('District Specific SCFF'!H$1,'Rate Assumptions'!$A$1:$A$34,0),2)</f>
        <v>3.2599999999999997E-2</v>
      </c>
      <c r="I64" s="168">
        <f t="shared" si="7"/>
        <v>161922902.97304973</v>
      </c>
      <c r="J64" s="126" t="str">
        <f t="shared" si="8"/>
        <v>Y</v>
      </c>
      <c r="K64" s="168">
        <f t="shared" si="9"/>
        <v>5120056.7223486006</v>
      </c>
      <c r="L64" s="294" t="s">
        <v>176</v>
      </c>
      <c r="M64" s="126">
        <f t="shared" si="4"/>
        <v>0</v>
      </c>
      <c r="N64" s="295">
        <f t="shared" si="5"/>
        <v>161922902.97304973</v>
      </c>
    </row>
    <row r="65" spans="1:14">
      <c r="A65" s="129" t="s">
        <v>154</v>
      </c>
      <c r="B65" s="168">
        <f>INDEX('Base Allocation'!$A$2:$AI$77,MATCH('District Specific SCFF'!$A65,'Base Allocation'!$A$2:$A$77,0),MATCH('District Specific SCFF'!B$1,'Base Allocation'!$A$2:$AI$2,0))</f>
        <v>67325390.77874665</v>
      </c>
      <c r="C65" s="168">
        <f>INDEX('Supplemental Allocation'!$A$2:$Q$76,MATCH('District Specific SCFF'!$A65,'Supplemental Allocation'!$A$2:$A$76,0),MATCH('District Specific SCFF'!C$1,'Supplemental Allocation'!$A$2:$Q$2,0))</f>
        <v>20436570.004977673</v>
      </c>
      <c r="D65" s="168">
        <f>INDEX('Success Allocation'!$A$3:$EP$76,MATCH('District Specific SCFF'!$A65,'Success Allocation'!$A$3:$A$76,0),MATCH('District Specific SCFF'!D$1,'Success Allocation'!$A$3:$EP$3,0))</f>
        <v>9551040.6566345524</v>
      </c>
      <c r="E65" s="143">
        <f t="shared" si="6"/>
        <v>97313001.440358877</v>
      </c>
      <c r="F65" s="120">
        <v>92612800</v>
      </c>
      <c r="G65" s="125">
        <f>INDEX('Rate Assumptions'!$A$1:$C$34,MATCH('District Specific SCFF'!G$1,'Rate Assumptions'!$A$1:$A$34,0),2)</f>
        <v>2.7099999999999999E-2</v>
      </c>
      <c r="H65" s="125">
        <f>INDEX('Rate Assumptions'!$A$1:$C$34,MATCH('District Specific SCFF'!H$1,'Rate Assumptions'!$A$1:$A$34,0),2)</f>
        <v>3.2599999999999997E-2</v>
      </c>
      <c r="I65" s="168">
        <f t="shared" si="7"/>
        <v>98223603.864287987</v>
      </c>
      <c r="J65" s="126" t="str">
        <f t="shared" si="8"/>
        <v>Y</v>
      </c>
      <c r="K65" s="168">
        <f t="shared" si="9"/>
        <v>910602.42392911017</v>
      </c>
      <c r="L65" s="294"/>
      <c r="M65" s="126">
        <f t="shared" si="4"/>
        <v>910602.42392911017</v>
      </c>
      <c r="N65" s="295">
        <f t="shared" si="5"/>
        <v>99134206.288217098</v>
      </c>
    </row>
    <row r="66" spans="1:14">
      <c r="A66" s="129" t="s">
        <v>155</v>
      </c>
      <c r="B66" s="168">
        <f>INDEX('Base Allocation'!$A$2:$AI$77,MATCH('District Specific SCFF'!$A66,'Base Allocation'!$A$2:$A$77,0),MATCH('District Specific SCFF'!B$1,'Base Allocation'!$A$2:$AI$2,0))</f>
        <v>143447663.34288716</v>
      </c>
      <c r="C66" s="168">
        <f>INDEX('Supplemental Allocation'!$A$2:$Q$76,MATCH('District Specific SCFF'!$A66,'Supplemental Allocation'!$A$2:$A$76,0),MATCH('District Specific SCFF'!C$1,'Supplemental Allocation'!$A$2:$Q$2,0))</f>
        <v>47775188.3286708</v>
      </c>
      <c r="D66" s="168">
        <f>INDEX('Success Allocation'!$A$3:$EP$76,MATCH('District Specific SCFF'!$A66,'Success Allocation'!$A$3:$A$76,0),MATCH('District Specific SCFF'!D$1,'Success Allocation'!$A$3:$EP$3,0))</f>
        <v>27683385.291792892</v>
      </c>
      <c r="E66" s="143">
        <f t="shared" ref="E66:E73" si="10">SUM(B66:D66)</f>
        <v>218906236.96335086</v>
      </c>
      <c r="F66" s="120">
        <v>181156108</v>
      </c>
      <c r="G66" s="125">
        <f>INDEX('Rate Assumptions'!$A$1:$C$34,MATCH('District Specific SCFF'!G$1,'Rate Assumptions'!$A$1:$A$34,0),2)</f>
        <v>2.7099999999999999E-2</v>
      </c>
      <c r="H66" s="125">
        <f>INDEX('Rate Assumptions'!$A$1:$C$34,MATCH('District Specific SCFF'!H$1,'Rate Assumptions'!$A$1:$A$34,0),2)</f>
        <v>3.2599999999999997E-2</v>
      </c>
      <c r="I66" s="168">
        <f t="shared" ref="I66:I73" si="11">F66*(1+G66)*(1+H66)</f>
        <v>192131171.82277364</v>
      </c>
      <c r="J66" s="126" t="str">
        <f t="shared" ref="J66:J73" si="12">IF(I66&gt;E66,"Y","")</f>
        <v/>
      </c>
      <c r="K66" s="168">
        <f t="shared" ref="K66:K73" si="13">IF(J66="",0,I66-E66)</f>
        <v>0</v>
      </c>
      <c r="L66" s="294"/>
      <c r="M66" s="126">
        <f t="shared" si="4"/>
        <v>0</v>
      </c>
      <c r="N66" s="295">
        <f t="shared" si="5"/>
        <v>192131171.82277364</v>
      </c>
    </row>
    <row r="67" spans="1:14">
      <c r="A67" s="129" t="s">
        <v>156</v>
      </c>
      <c r="B67" s="168">
        <f>INDEX('Base Allocation'!$A$2:$AI$77,MATCH('District Specific SCFF'!$A67,'Base Allocation'!$A$2:$A$77,0),MATCH('District Specific SCFF'!B$1,'Base Allocation'!$A$2:$AI$2,0))</f>
        <v>121067890.20969549</v>
      </c>
      <c r="C67" s="168">
        <f>INDEX('Supplemental Allocation'!$A$2:$Q$76,MATCH('District Specific SCFF'!$A67,'Supplemental Allocation'!$A$2:$A$76,0),MATCH('District Specific SCFF'!C$1,'Supplemental Allocation'!$A$2:$Q$2,0))</f>
        <v>29932115.267695297</v>
      </c>
      <c r="D67" s="168">
        <f>INDEX('Success Allocation'!$A$3:$EP$76,MATCH('District Specific SCFF'!$A67,'Success Allocation'!$A$3:$A$76,0),MATCH('District Specific SCFF'!D$1,'Success Allocation'!$A$3:$EP$3,0))</f>
        <v>23814743.33558232</v>
      </c>
      <c r="E67" s="143">
        <f t="shared" si="10"/>
        <v>174814748.81297311</v>
      </c>
      <c r="F67" s="120">
        <v>153823885</v>
      </c>
      <c r="G67" s="125">
        <f>INDEX('Rate Assumptions'!$A$1:$C$34,MATCH('District Specific SCFF'!G$1,'Rate Assumptions'!$A$1:$A$34,0),2)</f>
        <v>2.7099999999999999E-2</v>
      </c>
      <c r="H67" s="125">
        <f>INDEX('Rate Assumptions'!$A$1:$C$34,MATCH('District Specific SCFF'!H$1,'Rate Assumptions'!$A$1:$A$34,0),2)</f>
        <v>3.2599999999999997E-2</v>
      </c>
      <c r="I67" s="168">
        <f t="shared" si="11"/>
        <v>163143068.18394208</v>
      </c>
      <c r="J67" s="126" t="str">
        <f t="shared" si="12"/>
        <v/>
      </c>
      <c r="K67" s="168">
        <f t="shared" si="13"/>
        <v>0</v>
      </c>
      <c r="L67" s="294"/>
      <c r="M67" s="126">
        <f t="shared" ref="M67:M73" si="14">IF(L67="x",0,K67)</f>
        <v>0</v>
      </c>
      <c r="N67" s="295">
        <f t="shared" ref="N67:N73" si="15">M67+I67</f>
        <v>163143068.18394208</v>
      </c>
    </row>
    <row r="68" spans="1:14">
      <c r="A68" s="129" t="s">
        <v>157</v>
      </c>
      <c r="B68" s="168">
        <f>INDEX('Base Allocation'!$A$2:$AI$77,MATCH('District Specific SCFF'!$A68,'Base Allocation'!$A$2:$A$77,0),MATCH('District Specific SCFF'!B$1,'Base Allocation'!$A$2:$AI$2,0))</f>
        <v>41743457.243532136</v>
      </c>
      <c r="C68" s="168">
        <f>INDEX('Supplemental Allocation'!$A$2:$Q$76,MATCH('District Specific SCFF'!$A68,'Supplemental Allocation'!$A$2:$A$76,0),MATCH('District Specific SCFF'!C$1,'Supplemental Allocation'!$A$2:$Q$2,0))</f>
        <v>17114291.124022923</v>
      </c>
      <c r="D68" s="168">
        <f>INDEX('Success Allocation'!$A$3:$EP$76,MATCH('District Specific SCFF'!$A68,'Success Allocation'!$A$3:$A$76,0),MATCH('District Specific SCFF'!D$1,'Success Allocation'!$A$3:$EP$3,0))</f>
        <v>6569004.4851233596</v>
      </c>
      <c r="E68" s="143">
        <f t="shared" si="10"/>
        <v>65426752.852678418</v>
      </c>
      <c r="F68" s="120">
        <v>54747776</v>
      </c>
      <c r="G68" s="125">
        <f>INDEX('Rate Assumptions'!$A$1:$C$34,MATCH('District Specific SCFF'!G$1,'Rate Assumptions'!$A$1:$A$34,0),2)</f>
        <v>2.7099999999999999E-2</v>
      </c>
      <c r="H68" s="125">
        <f>INDEX('Rate Assumptions'!$A$1:$C$34,MATCH('District Specific SCFF'!H$1,'Rate Assumptions'!$A$1:$A$34,0),2)</f>
        <v>3.2599999999999997E-2</v>
      </c>
      <c r="I68" s="168">
        <f t="shared" si="11"/>
        <v>58064585.697384953</v>
      </c>
      <c r="J68" s="126" t="str">
        <f t="shared" si="12"/>
        <v/>
      </c>
      <c r="K68" s="168">
        <f t="shared" si="13"/>
        <v>0</v>
      </c>
      <c r="L68" s="294"/>
      <c r="M68" s="126">
        <f t="shared" si="14"/>
        <v>0</v>
      </c>
      <c r="N68" s="295">
        <f t="shared" si="15"/>
        <v>58064585.697384953</v>
      </c>
    </row>
    <row r="69" spans="1:14">
      <c r="A69" s="129" t="s">
        <v>158</v>
      </c>
      <c r="B69" s="168">
        <f>INDEX('Base Allocation'!$A$2:$AI$77,MATCH('District Specific SCFF'!$A69,'Base Allocation'!$A$2:$A$77,0),MATCH('District Specific SCFF'!B$1,'Base Allocation'!$A$2:$AI$2,0))</f>
        <v>33160619.059875645</v>
      </c>
      <c r="C69" s="168">
        <f>INDEX('Supplemental Allocation'!$A$2:$Q$76,MATCH('District Specific SCFF'!$A69,'Supplemental Allocation'!$A$2:$A$76,0),MATCH('District Specific SCFF'!C$1,'Supplemental Allocation'!$A$2:$Q$2,0))</f>
        <v>8860649.7742755152</v>
      </c>
      <c r="D69" s="168">
        <f>INDEX('Success Allocation'!$A$3:$EP$76,MATCH('District Specific SCFF'!$A69,'Success Allocation'!$A$3:$A$76,0),MATCH('District Specific SCFF'!D$1,'Success Allocation'!$A$3:$EP$3,0))</f>
        <v>5180397.2285729768</v>
      </c>
      <c r="E69" s="143">
        <f t="shared" si="10"/>
        <v>47201666.062724143</v>
      </c>
      <c r="F69" s="120">
        <v>37644442</v>
      </c>
      <c r="G69" s="125">
        <f>INDEX('Rate Assumptions'!$A$1:$C$34,MATCH('District Specific SCFF'!G$1,'Rate Assumptions'!$A$1:$A$34,0),2)</f>
        <v>2.7099999999999999E-2</v>
      </c>
      <c r="H69" s="125">
        <f>INDEX('Rate Assumptions'!$A$1:$C$34,MATCH('District Specific SCFF'!H$1,'Rate Assumptions'!$A$1:$A$34,0),2)</f>
        <v>3.2599999999999997E-2</v>
      </c>
      <c r="I69" s="168">
        <f t="shared" si="11"/>
        <v>39925072.546129316</v>
      </c>
      <c r="J69" s="126" t="str">
        <f t="shared" si="12"/>
        <v/>
      </c>
      <c r="K69" s="168">
        <f t="shared" si="13"/>
        <v>0</v>
      </c>
      <c r="L69" s="294"/>
      <c r="M69" s="126">
        <f t="shared" si="14"/>
        <v>0</v>
      </c>
      <c r="N69" s="295">
        <f t="shared" si="15"/>
        <v>39925072.546129316</v>
      </c>
    </row>
    <row r="70" spans="1:14">
      <c r="A70" s="129" t="s">
        <v>159</v>
      </c>
      <c r="B70" s="168">
        <f>INDEX('Base Allocation'!$A$2:$AI$77,MATCH('District Specific SCFF'!$A70,'Base Allocation'!$A$2:$A$77,0),MATCH('District Specific SCFF'!B$1,'Base Allocation'!$A$2:$AI$2,0))</f>
        <v>17059177.008721665</v>
      </c>
      <c r="C70" s="168">
        <f>INDEX('Supplemental Allocation'!$A$2:$Q$76,MATCH('District Specific SCFF'!$A70,'Supplemental Allocation'!$A$2:$A$76,0),MATCH('District Specific SCFF'!C$1,'Supplemental Allocation'!$A$2:$Q$2,0))</f>
        <v>4768687.9292943133</v>
      </c>
      <c r="D70" s="168">
        <f>INDEX('Success Allocation'!$A$3:$EP$76,MATCH('District Specific SCFF'!$A70,'Success Allocation'!$A$3:$A$76,0),MATCH('District Specific SCFF'!D$1,'Success Allocation'!$A$3:$EP$3,0))</f>
        <v>4971930.2108230386</v>
      </c>
      <c r="E70" s="143">
        <f t="shared" si="10"/>
        <v>26799795.148839019</v>
      </c>
      <c r="F70" s="120">
        <v>24502556</v>
      </c>
      <c r="G70" s="125">
        <f>INDEX('Rate Assumptions'!$A$1:$C$34,MATCH('District Specific SCFF'!G$1,'Rate Assumptions'!$A$1:$A$34,0),2)</f>
        <v>2.7099999999999999E-2</v>
      </c>
      <c r="H70" s="125">
        <f>INDEX('Rate Assumptions'!$A$1:$C$34,MATCH('District Specific SCFF'!H$1,'Rate Assumptions'!$A$1:$A$34,0),2)</f>
        <v>3.2599999999999997E-2</v>
      </c>
      <c r="I70" s="168">
        <f t="shared" si="11"/>
        <v>25987005.621323757</v>
      </c>
      <c r="J70" s="126" t="str">
        <f t="shared" si="12"/>
        <v/>
      </c>
      <c r="K70" s="168">
        <f t="shared" si="13"/>
        <v>0</v>
      </c>
      <c r="L70" s="294"/>
      <c r="M70" s="126">
        <f t="shared" si="14"/>
        <v>0</v>
      </c>
      <c r="N70" s="295">
        <f t="shared" si="15"/>
        <v>25987005.621323757</v>
      </c>
    </row>
    <row r="71" spans="1:14" ht="18">
      <c r="A71" s="129" t="s">
        <v>204</v>
      </c>
      <c r="B71" s="168">
        <f>INDEX('Base Allocation'!$A$2:$AI$77,MATCH('District Specific SCFF'!$A71,'Base Allocation'!$A$2:$A$77,0),MATCH('District Specific SCFF'!B$1,'Base Allocation'!$A$2:$AI$2,0))</f>
        <v>53545639.713967487</v>
      </c>
      <c r="C71" s="168">
        <f>INDEX('Supplemental Allocation'!$A$2:$Q$76,MATCH('District Specific SCFF'!$A71,'Supplemental Allocation'!$A$2:$A$76,0),MATCH('District Specific SCFF'!C$1,'Supplemental Allocation'!$A$2:$Q$2,0))</f>
        <v>7280382.8191487445</v>
      </c>
      <c r="D71" s="168">
        <f>INDEX('Success Allocation'!$A$3:$EP$76,MATCH('District Specific SCFF'!$A71,'Success Allocation'!$A$3:$A$76,0),MATCH('District Specific SCFF'!D$1,'Success Allocation'!$A$3:$EP$3,0))</f>
        <v>7847252.6483982466</v>
      </c>
      <c r="E71" s="143">
        <f t="shared" si="10"/>
        <v>68673275.181514472</v>
      </c>
      <c r="F71" s="120">
        <v>73379536</v>
      </c>
      <c r="G71" s="125">
        <f>INDEX('Rate Assumptions'!$A$1:$C$34,MATCH('District Specific SCFF'!G$1,'Rate Assumptions'!$A$1:$A$34,0),2)</f>
        <v>2.7099999999999999E-2</v>
      </c>
      <c r="H71" s="125">
        <f>INDEX('Rate Assumptions'!$A$1:$C$34,MATCH('District Specific SCFF'!H$1,'Rate Assumptions'!$A$1:$A$34,0),2)</f>
        <v>3.2599999999999997E-2</v>
      </c>
      <c r="I71" s="168">
        <f t="shared" si="11"/>
        <v>77825122.184074551</v>
      </c>
      <c r="J71" s="126" t="str">
        <f t="shared" si="12"/>
        <v>Y</v>
      </c>
      <c r="K71" s="168">
        <f t="shared" si="13"/>
        <v>9151847.0025600791</v>
      </c>
      <c r="L71" s="294" t="s">
        <v>176</v>
      </c>
      <c r="M71" s="126">
        <f t="shared" si="14"/>
        <v>0</v>
      </c>
      <c r="N71" s="295">
        <f t="shared" si="15"/>
        <v>77825122.184074551</v>
      </c>
    </row>
    <row r="72" spans="1:14">
      <c r="A72" s="129" t="s">
        <v>160</v>
      </c>
      <c r="B72" s="168">
        <f>INDEX('Base Allocation'!$A$2:$AI$77,MATCH('District Specific SCFF'!$A72,'Base Allocation'!$A$2:$A$77,0),MATCH('District Specific SCFF'!B$1,'Base Allocation'!$A$2:$AI$2,0))</f>
        <v>75089323.81409511</v>
      </c>
      <c r="C72" s="168">
        <f>INDEX('Supplemental Allocation'!$A$2:$Q$76,MATCH('District Specific SCFF'!$A72,'Supplemental Allocation'!$A$2:$A$76,0),MATCH('District Specific SCFF'!C$1,'Supplemental Allocation'!$A$2:$Q$2,0))</f>
        <v>26171079.914493583</v>
      </c>
      <c r="D72" s="168">
        <f>INDEX('Success Allocation'!$A$3:$EP$76,MATCH('District Specific SCFF'!$A72,'Success Allocation'!$A$3:$A$76,0),MATCH('District Specific SCFF'!D$1,'Success Allocation'!$A$3:$EP$3,0))</f>
        <v>12082902.02050389</v>
      </c>
      <c r="E72" s="143">
        <f t="shared" si="10"/>
        <v>113343305.74909259</v>
      </c>
      <c r="F72" s="120">
        <v>95628458</v>
      </c>
      <c r="G72" s="125">
        <f>INDEX('Rate Assumptions'!$A$1:$C$34,MATCH('District Specific SCFF'!G$1,'Rate Assumptions'!$A$1:$A$34,0),2)</f>
        <v>2.7099999999999999E-2</v>
      </c>
      <c r="H72" s="125">
        <f>INDEX('Rate Assumptions'!$A$1:$C$34,MATCH('District Specific SCFF'!H$1,'Rate Assumptions'!$A$1:$A$34,0),2)</f>
        <v>3.2599999999999997E-2</v>
      </c>
      <c r="I72" s="168">
        <f t="shared" si="11"/>
        <v>101421960.86010467</v>
      </c>
      <c r="J72" s="126" t="str">
        <f t="shared" si="12"/>
        <v/>
      </c>
      <c r="K72" s="168">
        <f t="shared" si="13"/>
        <v>0</v>
      </c>
      <c r="L72" s="294"/>
      <c r="M72" s="126">
        <f t="shared" si="14"/>
        <v>0</v>
      </c>
      <c r="N72" s="295">
        <f t="shared" si="15"/>
        <v>101421960.86010467</v>
      </c>
    </row>
    <row r="73" spans="1:14">
      <c r="A73" s="129" t="s">
        <v>161</v>
      </c>
      <c r="B73" s="168">
        <f>INDEX('Base Allocation'!$A$2:$AI$77,MATCH('District Specific SCFF'!$A73,'Base Allocation'!$A$2:$A$77,0),MATCH('District Specific SCFF'!B$1,'Base Allocation'!$A$2:$AI$2,0))</f>
        <v>39976060.901742674</v>
      </c>
      <c r="C73" s="168">
        <f>INDEX('Supplemental Allocation'!$A$2:$Q$76,MATCH('District Specific SCFF'!$A73,'Supplemental Allocation'!$A$2:$A$76,0),MATCH('District Specific SCFF'!C$1,'Supplemental Allocation'!$A$2:$Q$2,0))</f>
        <v>10878743.632852115</v>
      </c>
      <c r="D73" s="168">
        <f>INDEX('Success Allocation'!$A$3:$EP$76,MATCH('District Specific SCFF'!$A73,'Success Allocation'!$A$3:$A$76,0),MATCH('District Specific SCFF'!D$1,'Success Allocation'!$A$3:$EP$3,0))</f>
        <v>6098543.5411363672</v>
      </c>
      <c r="E73" s="143">
        <f t="shared" si="10"/>
        <v>56953348.075731158</v>
      </c>
      <c r="F73" s="120">
        <v>49580375</v>
      </c>
      <c r="G73" s="125">
        <f>INDEX('Rate Assumptions'!$A$1:$C$34,MATCH('District Specific SCFF'!G$1,'Rate Assumptions'!$A$1:$A$34,0),2)</f>
        <v>2.7099999999999999E-2</v>
      </c>
      <c r="H73" s="125">
        <f>INDEX('Rate Assumptions'!$A$1:$C$34,MATCH('District Specific SCFF'!H$1,'Rate Assumptions'!$A$1:$A$34,0),2)</f>
        <v>3.2599999999999997E-2</v>
      </c>
      <c r="I73" s="168">
        <f t="shared" si="11"/>
        <v>52584125.665597491</v>
      </c>
      <c r="J73" s="126" t="str">
        <f t="shared" si="12"/>
        <v/>
      </c>
      <c r="K73" s="168">
        <f t="shared" si="13"/>
        <v>0</v>
      </c>
      <c r="L73" s="294"/>
      <c r="M73" s="126">
        <f t="shared" si="14"/>
        <v>0</v>
      </c>
      <c r="N73" s="295">
        <f t="shared" si="15"/>
        <v>52584125.665597491</v>
      </c>
    </row>
    <row r="74" spans="1:14" s="302" customFormat="1">
      <c r="A74" s="236" t="s">
        <v>207</v>
      </c>
      <c r="B74" s="295">
        <f>SUM(B2:B73)</f>
        <v>5204580647.7897825</v>
      </c>
      <c r="C74" s="303">
        <f>SUM(C2:C73)</f>
        <v>1367608571.8377664</v>
      </c>
      <c r="D74" s="303">
        <f>SUM(D2:D73)</f>
        <v>821986441.02902567</v>
      </c>
      <c r="E74" s="303">
        <f>SUM(E2:E73)</f>
        <v>7394175660.6565771</v>
      </c>
      <c r="F74" s="304">
        <f>SUM(F2:F73)</f>
        <v>6766922198</v>
      </c>
      <c r="G74" s="305"/>
      <c r="H74" s="305"/>
      <c r="I74" s="303">
        <f>SUM(I2:I73)</f>
        <v>7176885758.3056479</v>
      </c>
      <c r="J74" s="303"/>
      <c r="K74" s="303">
        <f>SUM(K2:K73)</f>
        <v>128979282.25764985</v>
      </c>
      <c r="L74" s="303"/>
      <c r="M74" s="303">
        <f>SUM(M2:M73)</f>
        <v>105765582.78050214</v>
      </c>
      <c r="N74" s="303">
        <f>SUM(N2:N73)</f>
        <v>7282651341.0861483</v>
      </c>
    </row>
  </sheetData>
  <autoFilter ref="A1:L74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"/>
  <sheetViews>
    <sheetView workbookViewId="0">
      <pane xSplit="1" ySplit="4" topLeftCell="V5" activePane="bottomRight" state="frozen"/>
      <selection pane="topRight" activeCell="B1" sqref="B1"/>
      <selection pane="bottomLeft" activeCell="A6" sqref="A6"/>
      <selection pane="bottomRight" activeCell="AI5" sqref="AI5"/>
    </sheetView>
  </sheetViews>
  <sheetFormatPr defaultColWidth="10.875" defaultRowHeight="15.75"/>
  <cols>
    <col min="1" max="1" width="20.875" style="127" customWidth="1"/>
    <col min="2" max="2" width="15" style="117" customWidth="1"/>
    <col min="3" max="3" width="15.875" style="117" customWidth="1"/>
    <col min="4" max="4" width="14.5" style="117" customWidth="1"/>
    <col min="5" max="5" width="14" style="117" customWidth="1"/>
    <col min="6" max="6" width="13.875" style="117" customWidth="1"/>
    <col min="7" max="7" width="16.125" style="177" customWidth="1"/>
    <col min="8" max="8" width="15" style="117" customWidth="1"/>
    <col min="9" max="9" width="15.875" style="117" customWidth="1"/>
    <col min="10" max="10" width="14.5" style="117" customWidth="1"/>
    <col min="11" max="11" width="14" style="117" customWidth="1"/>
    <col min="12" max="12" width="13.875" style="117" customWidth="1"/>
    <col min="13" max="13" width="16.125" style="177" customWidth="1"/>
    <col min="14" max="14" width="15" style="117" customWidth="1"/>
    <col min="15" max="15" width="15.875" style="117" customWidth="1"/>
    <col min="16" max="16" width="14.5" style="117" customWidth="1"/>
    <col min="17" max="17" width="14" style="117" customWidth="1"/>
    <col min="18" max="18" width="13.875" style="117" customWidth="1"/>
    <col min="19" max="19" width="16.125" style="177" customWidth="1"/>
    <col min="20" max="20" width="15" style="140" customWidth="1"/>
    <col min="21" max="21" width="15.875" style="140" customWidth="1"/>
    <col min="22" max="22" width="14.5" style="140" customWidth="1"/>
    <col min="23" max="24" width="14" style="140" customWidth="1"/>
    <col min="25" max="25" width="16.125" style="203" customWidth="1"/>
    <col min="26" max="26" width="11" style="140" bestFit="1" customWidth="1"/>
    <col min="27" max="29" width="14.75" style="140" bestFit="1" customWidth="1"/>
    <col min="30" max="30" width="12.625" style="117" bestFit="1" customWidth="1"/>
    <col min="31" max="31" width="23.75" style="125" bestFit="1" customWidth="1"/>
    <col min="32" max="34" width="11" style="125" bestFit="1" customWidth="1"/>
    <col min="35" max="35" width="16.125" style="126" bestFit="1" customWidth="1"/>
    <col min="36" max="16384" width="10.875" style="127"/>
  </cols>
  <sheetData>
    <row r="1" spans="1:37">
      <c r="A1" s="124"/>
      <c r="B1" s="182" t="s">
        <v>66</v>
      </c>
      <c r="C1" s="182"/>
      <c r="D1" s="182"/>
      <c r="E1" s="182"/>
      <c r="F1" s="182"/>
      <c r="G1" s="191"/>
      <c r="H1" s="182" t="s">
        <v>67</v>
      </c>
      <c r="I1" s="182"/>
      <c r="J1" s="182"/>
      <c r="K1" s="182"/>
      <c r="L1" s="182"/>
      <c r="M1" s="191"/>
      <c r="N1" s="174" t="s">
        <v>25</v>
      </c>
      <c r="O1" s="183"/>
      <c r="P1" s="183"/>
      <c r="Q1" s="183"/>
      <c r="R1" s="183"/>
      <c r="S1" s="199"/>
      <c r="T1" s="184" t="s">
        <v>77</v>
      </c>
      <c r="U1" s="185"/>
      <c r="V1" s="185"/>
      <c r="W1" s="185"/>
      <c r="X1" s="185"/>
      <c r="Y1" s="200"/>
      <c r="Z1" s="184" t="s">
        <v>85</v>
      </c>
      <c r="AA1" s="184"/>
      <c r="AB1" s="184"/>
      <c r="AC1" s="184"/>
      <c r="AD1" s="119"/>
      <c r="AE1" s="186" t="s">
        <v>164</v>
      </c>
      <c r="AF1" s="186"/>
      <c r="AG1" s="186"/>
      <c r="AH1" s="186"/>
      <c r="AI1" s="138"/>
    </row>
    <row r="2" spans="1:37" s="129" customFormat="1" ht="110.25">
      <c r="A2" s="108" t="s">
        <v>68</v>
      </c>
      <c r="B2" s="210" t="s">
        <v>78</v>
      </c>
      <c r="C2" s="210"/>
      <c r="D2" s="210"/>
      <c r="E2" s="118" t="s">
        <v>69</v>
      </c>
      <c r="F2" s="118" t="s">
        <v>70</v>
      </c>
      <c r="G2" s="197" t="s">
        <v>71</v>
      </c>
      <c r="H2" s="209" t="s">
        <v>78</v>
      </c>
      <c r="I2" s="210"/>
      <c r="J2" s="210"/>
      <c r="K2" s="118" t="s">
        <v>69</v>
      </c>
      <c r="L2" s="118" t="s">
        <v>70</v>
      </c>
      <c r="M2" s="197" t="s">
        <v>71</v>
      </c>
      <c r="N2" s="209" t="s">
        <v>78</v>
      </c>
      <c r="O2" s="210"/>
      <c r="P2" s="210"/>
      <c r="Q2" s="118" t="s">
        <v>69</v>
      </c>
      <c r="R2" s="118" t="s">
        <v>70</v>
      </c>
      <c r="S2" s="197" t="s">
        <v>71</v>
      </c>
      <c r="T2" s="208" t="s">
        <v>78</v>
      </c>
      <c r="U2" s="207"/>
      <c r="V2" s="206"/>
      <c r="W2" s="128" t="s">
        <v>69</v>
      </c>
      <c r="X2" s="128" t="s">
        <v>70</v>
      </c>
      <c r="Y2" s="201" t="s">
        <v>71</v>
      </c>
      <c r="Z2" s="128" t="s">
        <v>82</v>
      </c>
      <c r="AA2" s="128" t="s">
        <v>79</v>
      </c>
      <c r="AB2" s="128" t="s">
        <v>80</v>
      </c>
      <c r="AC2" s="128" t="s">
        <v>81</v>
      </c>
      <c r="AD2" s="118" t="s">
        <v>87</v>
      </c>
      <c r="AE2" s="145" t="s">
        <v>86</v>
      </c>
      <c r="AF2" s="145" t="s">
        <v>79</v>
      </c>
      <c r="AG2" s="145" t="s">
        <v>80</v>
      </c>
      <c r="AH2" s="145" t="s">
        <v>81</v>
      </c>
      <c r="AI2" s="146" t="s">
        <v>14</v>
      </c>
      <c r="AK2" s="150"/>
    </row>
    <row r="3" spans="1:37" s="130" customFormat="1">
      <c r="B3" s="131" t="s">
        <v>73</v>
      </c>
      <c r="C3" s="131" t="s">
        <v>74</v>
      </c>
      <c r="D3" s="131" t="s">
        <v>75</v>
      </c>
      <c r="E3" s="131" t="s">
        <v>73</v>
      </c>
      <c r="F3" s="132" t="s">
        <v>73</v>
      </c>
      <c r="G3" s="198" t="s">
        <v>73</v>
      </c>
      <c r="H3" s="131" t="s">
        <v>73</v>
      </c>
      <c r="I3" s="131" t="s">
        <v>74</v>
      </c>
      <c r="J3" s="131" t="s">
        <v>75</v>
      </c>
      <c r="K3" s="131" t="s">
        <v>73</v>
      </c>
      <c r="L3" s="132" t="s">
        <v>73</v>
      </c>
      <c r="M3" s="198" t="s">
        <v>73</v>
      </c>
      <c r="N3" s="131" t="s">
        <v>73</v>
      </c>
      <c r="O3" s="131" t="s">
        <v>74</v>
      </c>
      <c r="P3" s="131" t="s">
        <v>75</v>
      </c>
      <c r="Q3" s="131" t="s">
        <v>73</v>
      </c>
      <c r="R3" s="132" t="s">
        <v>73</v>
      </c>
      <c r="S3" s="198" t="s">
        <v>73</v>
      </c>
      <c r="T3" s="134" t="s">
        <v>73</v>
      </c>
      <c r="U3" s="134" t="s">
        <v>74</v>
      </c>
      <c r="V3" s="134" t="s">
        <v>75</v>
      </c>
      <c r="W3" s="134" t="s">
        <v>73</v>
      </c>
      <c r="X3" s="135" t="s">
        <v>73</v>
      </c>
      <c r="Y3" s="202" t="s">
        <v>73</v>
      </c>
      <c r="Z3" s="136"/>
      <c r="AA3" s="136"/>
      <c r="AB3" s="136"/>
      <c r="AC3" s="136"/>
      <c r="AD3" s="119"/>
      <c r="AE3" s="137"/>
      <c r="AF3" s="137"/>
      <c r="AG3" s="137"/>
      <c r="AH3" s="137"/>
      <c r="AI3" s="138"/>
    </row>
    <row r="4" spans="1:37">
      <c r="A4" s="133" t="s">
        <v>72</v>
      </c>
      <c r="B4" s="139"/>
      <c r="C4" s="139"/>
      <c r="D4" s="139"/>
      <c r="E4" s="139"/>
      <c r="F4" s="139"/>
      <c r="G4" s="192"/>
      <c r="H4" s="187"/>
      <c r="I4" s="139"/>
      <c r="J4" s="139"/>
      <c r="K4" s="139"/>
      <c r="L4" s="139"/>
      <c r="M4" s="192"/>
    </row>
    <row r="5" spans="1:37">
      <c r="A5" s="223" t="s">
        <v>92</v>
      </c>
      <c r="B5" s="110">
        <v>9202.61</v>
      </c>
      <c r="C5" s="110">
        <v>499.92</v>
      </c>
      <c r="D5" s="110">
        <v>319.04000000000002</v>
      </c>
      <c r="E5" s="110">
        <v>106.5</v>
      </c>
      <c r="F5" s="110">
        <v>425.76</v>
      </c>
      <c r="G5" s="193">
        <f t="shared" ref="G5:G68" si="0">B5-E5-F5</f>
        <v>8670.35</v>
      </c>
      <c r="H5" s="188">
        <v>7860.1600000000008</v>
      </c>
      <c r="I5" s="110">
        <v>431.70000000000005</v>
      </c>
      <c r="J5" s="110">
        <v>261.70000000000005</v>
      </c>
      <c r="K5" s="110">
        <v>83.47</v>
      </c>
      <c r="L5" s="110">
        <v>436.82</v>
      </c>
      <c r="M5" s="193">
        <f t="shared" ref="M5:M36" si="1">H5-K5-L5</f>
        <v>7339.8700000000008</v>
      </c>
      <c r="N5" s="111">
        <v>8984.08</v>
      </c>
      <c r="O5" s="111">
        <v>401.82</v>
      </c>
      <c r="P5" s="111">
        <v>255.44</v>
      </c>
      <c r="Q5" s="111">
        <v>73.67</v>
      </c>
      <c r="R5" s="111">
        <v>420.1</v>
      </c>
      <c r="S5" s="195">
        <f>N5-Q5-R5</f>
        <v>8490.31</v>
      </c>
      <c r="T5" s="109">
        <f t="shared" ref="T5:T36" si="2">IF((H5-B5)*(1/3)+(N5-H5)*(2/3) + N5&gt;0,N5+(H5-B5)*(1/3)+(N5-H5)*(2/3),N5)</f>
        <v>9285.8766666666652</v>
      </c>
      <c r="U5" s="109">
        <f t="shared" ref="U5:U36" si="3">IF((I5-C5)*(1/3)+(O5-I5)*(2/3) + O5&gt;0,O5+(I5-C5)*(1/3)+(O5-I5)*(2/3),O5)</f>
        <v>359.15999999999997</v>
      </c>
      <c r="V5" s="109">
        <f t="shared" ref="V5:V36" si="4">IF((J5-D5)*(1/3)+(P5-J5)*(2/3) + P5&gt;0,P5+(J5-D5)*(1/3)+(P5-J5)*(2/3),P5)</f>
        <v>232.15333333333331</v>
      </c>
      <c r="W5" s="109">
        <f t="shared" ref="W5:W36" si="5">IF((K5-E5)*(1/3)+(Q5-K5)*(2/3) + Q5&gt;0,Q5+(K5-E5)*(1/3)+(Q5-K5)*(2/3),Q5)</f>
        <v>59.460000000000008</v>
      </c>
      <c r="X5" s="109">
        <f t="shared" ref="X5:X36" si="6">IF((L5-F5)*(1/3)+(R5-L5)*(2/3) + R5&gt;0,R5+(L5-F5)*(1/3)+(R5-L5)*(2/3),R5)</f>
        <v>412.64000000000004</v>
      </c>
      <c r="Y5" s="204">
        <f>T5-W5-X5</f>
        <v>8813.7766666666666</v>
      </c>
      <c r="Z5" s="306">
        <f t="shared" ref="Z5:Z36" si="7">AVERAGE(Y5,S5,M5)</f>
        <v>8214.6522222222211</v>
      </c>
      <c r="AA5" s="306">
        <f>U5</f>
        <v>359.15999999999997</v>
      </c>
      <c r="AB5" s="306">
        <f>V5</f>
        <v>232.15333333333331</v>
      </c>
      <c r="AC5" s="306">
        <f>SUM(W5:X5)</f>
        <v>472.1</v>
      </c>
      <c r="AD5" s="120">
        <v>6742470.1229999997</v>
      </c>
      <c r="AE5" s="142">
        <f>INDEX('Rate Assumptions'!$A:$B,MATCH('Base Allocation'!AE$2,'Rate Assumptions'!$A:$A,0),2)</f>
        <v>3988.586178572119</v>
      </c>
      <c r="AF5" s="142">
        <f>INDEX('Rate Assumptions'!$A:$B,MATCH('Base Allocation'!AF$2,'Rate Assumptions'!$A:$A,0),2)</f>
        <v>3456.4414961399998</v>
      </c>
      <c r="AG5" s="142">
        <f>INDEX('Rate Assumptions'!$A:$B,MATCH('Base Allocation'!AG$2,'Rate Assumptions'!$A:$A,0),2)</f>
        <v>5634.5605750409004</v>
      </c>
      <c r="AH5" s="142">
        <f>INDEX('Rate Assumptions'!$A:$B,MATCH('Base Allocation'!AH$2,'Rate Assumptions'!$A:$A,0),2)</f>
        <v>5634.5605750409004</v>
      </c>
      <c r="AI5" s="143">
        <f t="shared" ref="AI5:AI36" si="8">AD5+SUMPRODUCT(Z5:AC5,AE5:AH5)</f>
        <v>44716892.032927066</v>
      </c>
    </row>
    <row r="6" spans="1:37">
      <c r="A6" s="223" t="s">
        <v>93</v>
      </c>
      <c r="B6" s="110">
        <v>10523.449999999999</v>
      </c>
      <c r="C6" s="110">
        <v>4.5</v>
      </c>
      <c r="D6" s="110">
        <v>39.28</v>
      </c>
      <c r="E6" s="110">
        <v>8.68</v>
      </c>
      <c r="F6" s="110">
        <v>302.60000000000002</v>
      </c>
      <c r="G6" s="193">
        <f t="shared" si="0"/>
        <v>10212.169999999998</v>
      </c>
      <c r="H6" s="188">
        <v>10527.039999999999</v>
      </c>
      <c r="I6" s="110">
        <v>7.9199660000000005</v>
      </c>
      <c r="J6" s="110">
        <v>80.880057999999991</v>
      </c>
      <c r="K6" s="110">
        <v>1.79</v>
      </c>
      <c r="L6" s="110">
        <v>308.01</v>
      </c>
      <c r="M6" s="193">
        <f t="shared" si="1"/>
        <v>10217.239999999998</v>
      </c>
      <c r="N6" s="111">
        <v>10968.8</v>
      </c>
      <c r="O6" s="111">
        <v>7.6099999999999994</v>
      </c>
      <c r="P6" s="111">
        <v>55.1</v>
      </c>
      <c r="Q6" s="111">
        <v>11.01</v>
      </c>
      <c r="R6" s="111">
        <v>341.84</v>
      </c>
      <c r="S6" s="195">
        <f t="shared" ref="S6:S69" si="9">N6-Q6-R6</f>
        <v>10615.949999999999</v>
      </c>
      <c r="T6" s="109">
        <f t="shared" si="2"/>
        <v>11264.503333333332</v>
      </c>
      <c r="U6" s="109">
        <f t="shared" si="3"/>
        <v>8.5433446666666661</v>
      </c>
      <c r="V6" s="109">
        <f t="shared" si="4"/>
        <v>51.779980666666674</v>
      </c>
      <c r="W6" s="109">
        <f t="shared" si="5"/>
        <v>14.86</v>
      </c>
      <c r="X6" s="109">
        <f t="shared" si="6"/>
        <v>366.19666666666666</v>
      </c>
      <c r="Y6" s="204">
        <f t="shared" ref="Y6:Y69" si="10">T6-W6-X6</f>
        <v>10883.446666666665</v>
      </c>
      <c r="Z6" s="141">
        <f t="shared" si="7"/>
        <v>10572.212222222221</v>
      </c>
      <c r="AA6" s="141">
        <f t="shared" ref="AA6:AA69" si="11">U6</f>
        <v>8.5433446666666661</v>
      </c>
      <c r="AB6" s="141">
        <f t="shared" ref="AB6:AB69" si="12">V6</f>
        <v>51.779980666666674</v>
      </c>
      <c r="AC6" s="141">
        <f t="shared" ref="AC6:AC69" si="13">SUM(W6:X6)</f>
        <v>381.05666666666667</v>
      </c>
      <c r="AD6" s="120">
        <v>6742470.1229999997</v>
      </c>
      <c r="AE6" s="142">
        <f>INDEX('Rate Assumptions'!$A:$B,MATCH('Base Allocation'!AE$2,'Rate Assumptions'!$A:$A,0),2)</f>
        <v>3988.586178572119</v>
      </c>
      <c r="AF6" s="142">
        <f>INDEX('Rate Assumptions'!$A:$B,MATCH('Base Allocation'!AF$2,'Rate Assumptions'!$A:$A,0),2)</f>
        <v>3456.4414961399998</v>
      </c>
      <c r="AG6" s="142">
        <f>INDEX('Rate Assumptions'!$A:$B,MATCH('Base Allocation'!AG$2,'Rate Assumptions'!$A:$A,0),2)</f>
        <v>5634.5605750409004</v>
      </c>
      <c r="AH6" s="142">
        <f>INDEX('Rate Assumptions'!$A:$B,MATCH('Base Allocation'!AH$2,'Rate Assumptions'!$A:$A,0),2)</f>
        <v>5634.5605750409004</v>
      </c>
      <c r="AI6" s="143">
        <f t="shared" si="8"/>
        <v>51379023.549005747</v>
      </c>
    </row>
    <row r="7" spans="1:37">
      <c r="A7" s="223" t="s">
        <v>94</v>
      </c>
      <c r="B7" s="110">
        <v>2565.1499069999995</v>
      </c>
      <c r="C7" s="110">
        <v>17.72</v>
      </c>
      <c r="D7" s="110">
        <v>0</v>
      </c>
      <c r="E7" s="110"/>
      <c r="F7" s="110">
        <v>39.21</v>
      </c>
      <c r="G7" s="193">
        <f t="shared" si="0"/>
        <v>2525.9399069999995</v>
      </c>
      <c r="H7" s="188">
        <v>2320.7099999999996</v>
      </c>
      <c r="I7" s="110">
        <v>29.82</v>
      </c>
      <c r="J7" s="110">
        <v>0</v>
      </c>
      <c r="K7" s="110"/>
      <c r="L7" s="110">
        <v>43.74</v>
      </c>
      <c r="M7" s="193">
        <f t="shared" si="1"/>
        <v>2276.9699999999998</v>
      </c>
      <c r="N7" s="111">
        <v>2552.27</v>
      </c>
      <c r="O7" s="111">
        <v>29.84</v>
      </c>
      <c r="P7" s="111">
        <v>0</v>
      </c>
      <c r="Q7" s="111">
        <v>0</v>
      </c>
      <c r="R7" s="111">
        <v>0</v>
      </c>
      <c r="S7" s="195">
        <f t="shared" si="9"/>
        <v>2552.27</v>
      </c>
      <c r="T7" s="109">
        <f t="shared" si="2"/>
        <v>2625.1633643333334</v>
      </c>
      <c r="U7" s="109">
        <f t="shared" si="3"/>
        <v>33.88666666666667</v>
      </c>
      <c r="V7" s="109">
        <f t="shared" si="4"/>
        <v>0</v>
      </c>
      <c r="W7" s="109">
        <f t="shared" si="5"/>
        <v>0</v>
      </c>
      <c r="X7" s="109">
        <f t="shared" si="6"/>
        <v>0</v>
      </c>
      <c r="Y7" s="204">
        <f t="shared" si="10"/>
        <v>2625.1633643333334</v>
      </c>
      <c r="Z7" s="141">
        <f t="shared" si="7"/>
        <v>2484.8011214444446</v>
      </c>
      <c r="AA7" s="141">
        <f t="shared" si="11"/>
        <v>33.88666666666667</v>
      </c>
      <c r="AB7" s="141">
        <f t="shared" si="12"/>
        <v>0</v>
      </c>
      <c r="AC7" s="141">
        <f t="shared" si="13"/>
        <v>0</v>
      </c>
      <c r="AD7" s="120">
        <v>5332192.5425999993</v>
      </c>
      <c r="AE7" s="142">
        <f>INDEX('Rate Assumptions'!$A:$B,MATCH('Base Allocation'!AE$2,'Rate Assumptions'!$A:$A,0),2)</f>
        <v>3988.586178572119</v>
      </c>
      <c r="AF7" s="142">
        <f>INDEX('Rate Assumptions'!$A:$B,MATCH('Base Allocation'!AF$2,'Rate Assumptions'!$A:$A,0),2)</f>
        <v>3456.4414961399998</v>
      </c>
      <c r="AG7" s="142">
        <f>INDEX('Rate Assumptions'!$A:$B,MATCH('Base Allocation'!AG$2,'Rate Assumptions'!$A:$A,0),2)</f>
        <v>5634.5605750409004</v>
      </c>
      <c r="AH7" s="142">
        <f>INDEX('Rate Assumptions'!$A:$B,MATCH('Base Allocation'!AH$2,'Rate Assumptions'!$A:$A,0),2)</f>
        <v>5634.5605750409004</v>
      </c>
      <c r="AI7" s="143">
        <f t="shared" si="8"/>
        <v>15360163.232926343</v>
      </c>
    </row>
    <row r="8" spans="1:37">
      <c r="A8" s="223" t="s">
        <v>95</v>
      </c>
      <c r="B8" s="110">
        <v>8717.9200000000019</v>
      </c>
      <c r="C8" s="110">
        <v>1245.24</v>
      </c>
      <c r="D8" s="110">
        <v>23.440000000000005</v>
      </c>
      <c r="E8" s="110"/>
      <c r="F8" s="110">
        <v>172.12</v>
      </c>
      <c r="G8" s="193">
        <f t="shared" si="0"/>
        <v>8545.8000000000011</v>
      </c>
      <c r="H8" s="188">
        <v>9162.4000920000017</v>
      </c>
      <c r="I8" s="110">
        <v>1195.77</v>
      </c>
      <c r="J8" s="110">
        <v>25.050000000000004</v>
      </c>
      <c r="K8" s="110"/>
      <c r="L8" s="110">
        <v>185.72</v>
      </c>
      <c r="M8" s="193">
        <f t="shared" si="1"/>
        <v>8976.6800920000023</v>
      </c>
      <c r="N8" s="111">
        <v>9162.4</v>
      </c>
      <c r="O8" s="111">
        <v>1195.77</v>
      </c>
      <c r="P8" s="111">
        <v>25.050000000000004</v>
      </c>
      <c r="Q8" s="111">
        <v>0</v>
      </c>
      <c r="R8" s="111">
        <v>185.72</v>
      </c>
      <c r="S8" s="195">
        <f t="shared" si="9"/>
        <v>8976.68</v>
      </c>
      <c r="T8" s="109">
        <f t="shared" si="2"/>
        <v>9310.5599693333315</v>
      </c>
      <c r="U8" s="109">
        <f t="shared" si="3"/>
        <v>1179.28</v>
      </c>
      <c r="V8" s="109">
        <f t="shared" si="4"/>
        <v>25.58666666666667</v>
      </c>
      <c r="W8" s="109">
        <f t="shared" si="5"/>
        <v>0</v>
      </c>
      <c r="X8" s="109">
        <f t="shared" si="6"/>
        <v>190.25333333333333</v>
      </c>
      <c r="Y8" s="204">
        <f t="shared" si="10"/>
        <v>9120.3066359999975</v>
      </c>
      <c r="Z8" s="141">
        <f t="shared" si="7"/>
        <v>9024.5555760000007</v>
      </c>
      <c r="AA8" s="141">
        <f t="shared" si="11"/>
        <v>1179.28</v>
      </c>
      <c r="AB8" s="141">
        <f t="shared" si="12"/>
        <v>25.58666666666667</v>
      </c>
      <c r="AC8" s="141">
        <f t="shared" si="13"/>
        <v>190.25333333333333</v>
      </c>
      <c r="AD8" s="120">
        <v>6742470.1229999997</v>
      </c>
      <c r="AE8" s="142">
        <f>INDEX('Rate Assumptions'!$A:$B,MATCH('Base Allocation'!AE$2,'Rate Assumptions'!$A:$A,0),2)</f>
        <v>3988.586178572119</v>
      </c>
      <c r="AF8" s="142">
        <f>INDEX('Rate Assumptions'!$A:$B,MATCH('Base Allocation'!AF$2,'Rate Assumptions'!$A:$A,0),2)</f>
        <v>3456.4414961399998</v>
      </c>
      <c r="AG8" s="142">
        <f>INDEX('Rate Assumptions'!$A:$B,MATCH('Base Allocation'!AG$2,'Rate Assumptions'!$A:$A,0),2)</f>
        <v>5634.5605750409004</v>
      </c>
      <c r="AH8" s="142">
        <f>INDEX('Rate Assumptions'!$A:$B,MATCH('Base Allocation'!AH$2,'Rate Assumptions'!$A:$A,0),2)</f>
        <v>5634.5605750409004</v>
      </c>
      <c r="AI8" s="143">
        <f t="shared" si="8"/>
        <v>48029963.643274367</v>
      </c>
    </row>
    <row r="9" spans="1:37">
      <c r="A9" s="223" t="s">
        <v>96</v>
      </c>
      <c r="B9" s="110">
        <v>10208.64</v>
      </c>
      <c r="C9" s="110">
        <v>181.85999999999999</v>
      </c>
      <c r="D9" s="110">
        <v>2.96</v>
      </c>
      <c r="E9" s="110"/>
      <c r="F9" s="110">
        <v>300.29000000000002</v>
      </c>
      <c r="G9" s="193">
        <f t="shared" si="0"/>
        <v>9908.3499999999985</v>
      </c>
      <c r="H9" s="188">
        <v>8791.82</v>
      </c>
      <c r="I9" s="110">
        <v>136.63</v>
      </c>
      <c r="J9" s="110">
        <v>15</v>
      </c>
      <c r="K9" s="110"/>
      <c r="L9" s="110">
        <v>285.12</v>
      </c>
      <c r="M9" s="193">
        <f t="shared" si="1"/>
        <v>8506.6999999999989</v>
      </c>
      <c r="N9" s="111">
        <v>9763.41</v>
      </c>
      <c r="O9" s="111">
        <v>481.52000000000004</v>
      </c>
      <c r="P9" s="111">
        <v>55.93</v>
      </c>
      <c r="Q9" s="111">
        <v>0</v>
      </c>
      <c r="R9" s="111">
        <v>234.9</v>
      </c>
      <c r="S9" s="195">
        <f t="shared" si="9"/>
        <v>9528.51</v>
      </c>
      <c r="T9" s="109">
        <f t="shared" si="2"/>
        <v>9938.8633333333346</v>
      </c>
      <c r="U9" s="109">
        <f t="shared" si="3"/>
        <v>696.37000000000012</v>
      </c>
      <c r="V9" s="109">
        <f t="shared" si="4"/>
        <v>87.23</v>
      </c>
      <c r="W9" s="109">
        <f t="shared" si="5"/>
        <v>0</v>
      </c>
      <c r="X9" s="109">
        <f t="shared" si="6"/>
        <v>196.36333333333334</v>
      </c>
      <c r="Y9" s="204">
        <f t="shared" si="10"/>
        <v>9742.5000000000018</v>
      </c>
      <c r="Z9" s="141">
        <f t="shared" si="7"/>
        <v>9259.2366666666658</v>
      </c>
      <c r="AA9" s="141">
        <f t="shared" si="11"/>
        <v>696.37000000000012</v>
      </c>
      <c r="AB9" s="141">
        <f t="shared" si="12"/>
        <v>87.23</v>
      </c>
      <c r="AC9" s="141">
        <f t="shared" si="13"/>
        <v>196.36333333333334</v>
      </c>
      <c r="AD9" s="120">
        <v>6742470.1229999997</v>
      </c>
      <c r="AE9" s="142">
        <f>INDEX('Rate Assumptions'!$A:$B,MATCH('Base Allocation'!AE$2,'Rate Assumptions'!$A:$A,0),2)</f>
        <v>3988.586178572119</v>
      </c>
      <c r="AF9" s="142">
        <f>INDEX('Rate Assumptions'!$A:$B,MATCH('Base Allocation'!AF$2,'Rate Assumptions'!$A:$A,0),2)</f>
        <v>3456.4414961399998</v>
      </c>
      <c r="AG9" s="142">
        <f>INDEX('Rate Assumptions'!$A:$B,MATCH('Base Allocation'!AG$2,'Rate Assumptions'!$A:$A,0),2)</f>
        <v>5634.5605750409004</v>
      </c>
      <c r="AH9" s="142">
        <f>INDEX('Rate Assumptions'!$A:$B,MATCH('Base Allocation'!AH$2,'Rate Assumptions'!$A:$A,0),2)</f>
        <v>5634.5605750409004</v>
      </c>
      <c r="AI9" s="143">
        <f t="shared" si="8"/>
        <v>47678619.495806277</v>
      </c>
    </row>
    <row r="10" spans="1:37">
      <c r="A10" s="223" t="s">
        <v>97</v>
      </c>
      <c r="B10" s="110">
        <v>16303.43</v>
      </c>
      <c r="C10" s="110">
        <v>138.5</v>
      </c>
      <c r="D10" s="110">
        <v>279.76</v>
      </c>
      <c r="E10" s="110"/>
      <c r="F10" s="110">
        <v>81.08</v>
      </c>
      <c r="G10" s="193">
        <f t="shared" si="0"/>
        <v>16222.35</v>
      </c>
      <c r="H10" s="188">
        <v>16254.429999999998</v>
      </c>
      <c r="I10" s="110">
        <v>273.90999999999997</v>
      </c>
      <c r="J10" s="110">
        <v>249.77</v>
      </c>
      <c r="K10" s="110"/>
      <c r="L10" s="110">
        <v>91</v>
      </c>
      <c r="M10" s="193">
        <f t="shared" si="1"/>
        <v>16163.429999999998</v>
      </c>
      <c r="N10" s="111">
        <v>15924.63</v>
      </c>
      <c r="O10" s="111">
        <v>273.90999999999997</v>
      </c>
      <c r="P10" s="111">
        <v>249.77</v>
      </c>
      <c r="Q10" s="111">
        <v>0</v>
      </c>
      <c r="R10" s="111">
        <v>106.49</v>
      </c>
      <c r="S10" s="195">
        <f t="shared" si="9"/>
        <v>15818.14</v>
      </c>
      <c r="T10" s="109">
        <f t="shared" si="2"/>
        <v>15688.429999999998</v>
      </c>
      <c r="U10" s="109">
        <f t="shared" si="3"/>
        <v>319.04666666666662</v>
      </c>
      <c r="V10" s="109">
        <f t="shared" si="4"/>
        <v>239.77333333333334</v>
      </c>
      <c r="W10" s="109">
        <f t="shared" si="5"/>
        <v>0</v>
      </c>
      <c r="X10" s="109">
        <f t="shared" si="6"/>
        <v>120.12333333333333</v>
      </c>
      <c r="Y10" s="204">
        <f t="shared" si="10"/>
        <v>15568.306666666665</v>
      </c>
      <c r="Z10" s="141">
        <f t="shared" si="7"/>
        <v>15849.958888888888</v>
      </c>
      <c r="AA10" s="141">
        <f t="shared" si="11"/>
        <v>319.04666666666662</v>
      </c>
      <c r="AB10" s="141">
        <f t="shared" si="12"/>
        <v>239.77333333333334</v>
      </c>
      <c r="AC10" s="141">
        <f t="shared" si="13"/>
        <v>120.12333333333333</v>
      </c>
      <c r="AD10" s="120">
        <v>5393976.0983999996</v>
      </c>
      <c r="AE10" s="142">
        <f>INDEX('Rate Assumptions'!$A:$B,MATCH('Base Allocation'!AE$2,'Rate Assumptions'!$A:$A,0),2)</f>
        <v>3988.586178572119</v>
      </c>
      <c r="AF10" s="142">
        <f>INDEX('Rate Assumptions'!$A:$B,MATCH('Base Allocation'!AF$2,'Rate Assumptions'!$A:$A,0),2)</f>
        <v>3456.4414961399998</v>
      </c>
      <c r="AG10" s="142">
        <f>INDEX('Rate Assumptions'!$A:$B,MATCH('Base Allocation'!AG$2,'Rate Assumptions'!$A:$A,0),2)</f>
        <v>5634.5605750409004</v>
      </c>
      <c r="AH10" s="142">
        <f>INDEX('Rate Assumptions'!$A:$B,MATCH('Base Allocation'!AH$2,'Rate Assumptions'!$A:$A,0),2)</f>
        <v>5634.5605750409004</v>
      </c>
      <c r="AI10" s="143">
        <f t="shared" si="8"/>
        <v>71743528.760518968</v>
      </c>
    </row>
    <row r="11" spans="1:37">
      <c r="A11" s="223" t="s">
        <v>98</v>
      </c>
      <c r="B11" s="110">
        <v>15460.45</v>
      </c>
      <c r="C11" s="110">
        <v>164.82999999999998</v>
      </c>
      <c r="D11" s="110">
        <v>0</v>
      </c>
      <c r="E11" s="110"/>
      <c r="F11" s="110">
        <v>212.72</v>
      </c>
      <c r="G11" s="193">
        <f t="shared" si="0"/>
        <v>15247.730000000001</v>
      </c>
      <c r="H11" s="188">
        <v>18651.602642000002</v>
      </c>
      <c r="I11" s="110">
        <v>171.54999999999998</v>
      </c>
      <c r="J11" s="110">
        <v>0</v>
      </c>
      <c r="K11" s="110"/>
      <c r="L11" s="110">
        <v>278.60000000000002</v>
      </c>
      <c r="M11" s="193">
        <f t="shared" si="1"/>
        <v>18373.002642000003</v>
      </c>
      <c r="N11" s="111">
        <v>15239.66</v>
      </c>
      <c r="O11" s="111">
        <v>179.03</v>
      </c>
      <c r="P11" s="111">
        <v>0</v>
      </c>
      <c r="Q11" s="111">
        <v>0</v>
      </c>
      <c r="R11" s="111">
        <v>366.03</v>
      </c>
      <c r="S11" s="195">
        <f t="shared" si="9"/>
        <v>14873.63</v>
      </c>
      <c r="T11" s="109">
        <f t="shared" si="2"/>
        <v>14028.749119333334</v>
      </c>
      <c r="U11" s="109">
        <f t="shared" si="3"/>
        <v>186.25666666666669</v>
      </c>
      <c r="V11" s="109">
        <f t="shared" si="4"/>
        <v>0</v>
      </c>
      <c r="W11" s="109">
        <f t="shared" si="5"/>
        <v>0</v>
      </c>
      <c r="X11" s="109">
        <f t="shared" si="6"/>
        <v>446.27666666666664</v>
      </c>
      <c r="Y11" s="204">
        <f t="shared" si="10"/>
        <v>13582.472452666667</v>
      </c>
      <c r="Z11" s="141">
        <f t="shared" si="7"/>
        <v>15609.701698222221</v>
      </c>
      <c r="AA11" s="141">
        <f t="shared" si="11"/>
        <v>186.25666666666669</v>
      </c>
      <c r="AB11" s="141">
        <f t="shared" si="12"/>
        <v>0</v>
      </c>
      <c r="AC11" s="141">
        <f t="shared" si="13"/>
        <v>446.27666666666664</v>
      </c>
      <c r="AD11" s="120">
        <v>8765209.6109999996</v>
      </c>
      <c r="AE11" s="142">
        <f>INDEX('Rate Assumptions'!$A:$B,MATCH('Base Allocation'!AE$2,'Rate Assumptions'!$A:$A,0),2)</f>
        <v>3988.586178572119</v>
      </c>
      <c r="AF11" s="142">
        <f>INDEX('Rate Assumptions'!$A:$B,MATCH('Base Allocation'!AF$2,'Rate Assumptions'!$A:$A,0),2)</f>
        <v>3456.4414961399998</v>
      </c>
      <c r="AG11" s="142">
        <f>INDEX('Rate Assumptions'!$A:$B,MATCH('Base Allocation'!AG$2,'Rate Assumptions'!$A:$A,0),2)</f>
        <v>5634.5605750409004</v>
      </c>
      <c r="AH11" s="142">
        <f>INDEX('Rate Assumptions'!$A:$B,MATCH('Base Allocation'!AH$2,'Rate Assumptions'!$A:$A,0),2)</f>
        <v>5634.5605750409004</v>
      </c>
      <c r="AI11" s="143">
        <f t="shared" si="8"/>
        <v>74184208.239322931</v>
      </c>
    </row>
    <row r="12" spans="1:37">
      <c r="A12" s="223" t="s">
        <v>99</v>
      </c>
      <c r="B12" s="110">
        <v>16000.019969999999</v>
      </c>
      <c r="C12" s="110">
        <v>385.28000000000003</v>
      </c>
      <c r="D12" s="110">
        <v>0</v>
      </c>
      <c r="E12" s="110"/>
      <c r="F12" s="110">
        <v>131.12</v>
      </c>
      <c r="G12" s="193">
        <f t="shared" si="0"/>
        <v>15868.899969999999</v>
      </c>
      <c r="H12" s="188">
        <v>14222.029999999999</v>
      </c>
      <c r="I12" s="110">
        <v>404.90000000000003</v>
      </c>
      <c r="J12" s="110">
        <v>0</v>
      </c>
      <c r="K12" s="110">
        <v>59.64</v>
      </c>
      <c r="L12" s="110">
        <v>182.02</v>
      </c>
      <c r="M12" s="193">
        <f t="shared" si="1"/>
        <v>13980.369999999999</v>
      </c>
      <c r="N12" s="111">
        <v>16545.68</v>
      </c>
      <c r="O12" s="111">
        <v>370.29</v>
      </c>
      <c r="P12" s="111">
        <v>0</v>
      </c>
      <c r="Q12" s="111">
        <v>47.26</v>
      </c>
      <c r="R12" s="111">
        <v>240.26</v>
      </c>
      <c r="S12" s="195">
        <f t="shared" si="9"/>
        <v>16258.160000000002</v>
      </c>
      <c r="T12" s="109">
        <f t="shared" si="2"/>
        <v>17502.116676666668</v>
      </c>
      <c r="U12" s="109">
        <f t="shared" si="3"/>
        <v>353.75666666666672</v>
      </c>
      <c r="V12" s="109">
        <f t="shared" si="4"/>
        <v>0</v>
      </c>
      <c r="W12" s="109">
        <f t="shared" si="5"/>
        <v>58.88666666666667</v>
      </c>
      <c r="X12" s="109">
        <f t="shared" si="6"/>
        <v>296.05333333333334</v>
      </c>
      <c r="Y12" s="204">
        <f t="shared" si="10"/>
        <v>17147.17667666667</v>
      </c>
      <c r="Z12" s="141">
        <f t="shared" si="7"/>
        <v>15795.235558888889</v>
      </c>
      <c r="AA12" s="141">
        <f t="shared" si="11"/>
        <v>353.75666666666672</v>
      </c>
      <c r="AB12" s="141">
        <f t="shared" si="12"/>
        <v>0</v>
      </c>
      <c r="AC12" s="141">
        <f t="shared" si="13"/>
        <v>354.94</v>
      </c>
      <c r="AD12" s="120">
        <v>8090964.1475999998</v>
      </c>
      <c r="AE12" s="142">
        <f>INDEX('Rate Assumptions'!$A:$B,MATCH('Base Allocation'!AE$2,'Rate Assumptions'!$A:$A,0),2)</f>
        <v>3988.586178572119</v>
      </c>
      <c r="AF12" s="142">
        <f>INDEX('Rate Assumptions'!$A:$B,MATCH('Base Allocation'!AF$2,'Rate Assumptions'!$A:$A,0),2)</f>
        <v>3456.4414961399998</v>
      </c>
      <c r="AG12" s="142">
        <f>INDEX('Rate Assumptions'!$A:$B,MATCH('Base Allocation'!AG$2,'Rate Assumptions'!$A:$A,0),2)</f>
        <v>5634.5605750409004</v>
      </c>
      <c r="AH12" s="142">
        <f>INDEX('Rate Assumptions'!$A:$B,MATCH('Base Allocation'!AH$2,'Rate Assumptions'!$A:$A,0),2)</f>
        <v>5634.5605750409004</v>
      </c>
      <c r="AI12" s="143">
        <f t="shared" si="8"/>
        <v>74314292.537782922</v>
      </c>
    </row>
    <row r="13" spans="1:37">
      <c r="A13" s="223" t="s">
        <v>100</v>
      </c>
      <c r="B13" s="110">
        <v>11468.249939000001</v>
      </c>
      <c r="C13" s="110">
        <v>219.1</v>
      </c>
      <c r="D13" s="110">
        <v>113.84</v>
      </c>
      <c r="E13" s="110"/>
      <c r="F13" s="110">
        <v>129.29</v>
      </c>
      <c r="G13" s="193">
        <f t="shared" si="0"/>
        <v>11338.959939</v>
      </c>
      <c r="H13" s="188">
        <v>11617.945227000002</v>
      </c>
      <c r="I13" s="110">
        <v>295.13</v>
      </c>
      <c r="J13" s="110">
        <v>99.64</v>
      </c>
      <c r="K13" s="110"/>
      <c r="L13" s="110">
        <v>208.13</v>
      </c>
      <c r="M13" s="193">
        <f t="shared" si="1"/>
        <v>11409.815227000003</v>
      </c>
      <c r="N13" s="111">
        <v>11053.78</v>
      </c>
      <c r="O13" s="111">
        <v>295.13</v>
      </c>
      <c r="P13" s="111">
        <v>99.64</v>
      </c>
      <c r="Q13" s="111">
        <v>0</v>
      </c>
      <c r="R13" s="111">
        <v>289.74</v>
      </c>
      <c r="S13" s="195">
        <f t="shared" si="9"/>
        <v>10764.04</v>
      </c>
      <c r="T13" s="109">
        <f t="shared" si="2"/>
        <v>10727.568278000001</v>
      </c>
      <c r="U13" s="109">
        <f t="shared" si="3"/>
        <v>320.47333333333336</v>
      </c>
      <c r="V13" s="109">
        <f t="shared" si="4"/>
        <v>94.906666666666666</v>
      </c>
      <c r="W13" s="109">
        <f t="shared" si="5"/>
        <v>0</v>
      </c>
      <c r="X13" s="109">
        <f t="shared" si="6"/>
        <v>370.42666666666668</v>
      </c>
      <c r="Y13" s="204">
        <f t="shared" si="10"/>
        <v>10357.141611333334</v>
      </c>
      <c r="Z13" s="141">
        <f t="shared" si="7"/>
        <v>10843.665612777779</v>
      </c>
      <c r="AA13" s="141">
        <f t="shared" si="11"/>
        <v>320.47333333333336</v>
      </c>
      <c r="AB13" s="141">
        <f t="shared" si="12"/>
        <v>94.906666666666666</v>
      </c>
      <c r="AC13" s="141">
        <f t="shared" si="13"/>
        <v>370.42666666666668</v>
      </c>
      <c r="AD13" s="120">
        <v>5393976.0983999996</v>
      </c>
      <c r="AE13" s="142">
        <f>INDEX('Rate Assumptions'!$A:$B,MATCH('Base Allocation'!AE$2,'Rate Assumptions'!$A:$A,0),2)</f>
        <v>3988.586178572119</v>
      </c>
      <c r="AF13" s="142">
        <f>INDEX('Rate Assumptions'!$A:$B,MATCH('Base Allocation'!AF$2,'Rate Assumptions'!$A:$A,0),2)</f>
        <v>3456.4414961399998</v>
      </c>
      <c r="AG13" s="142">
        <f>INDEX('Rate Assumptions'!$A:$B,MATCH('Base Allocation'!AG$2,'Rate Assumptions'!$A:$A,0),2)</f>
        <v>5634.5605750409004</v>
      </c>
      <c r="AH13" s="142">
        <f>INDEX('Rate Assumptions'!$A:$B,MATCH('Base Allocation'!AH$2,'Rate Assumptions'!$A:$A,0),2)</f>
        <v>5634.5605750409004</v>
      </c>
      <c r="AI13" s="143">
        <f t="shared" si="8"/>
        <v>52374517.068575211</v>
      </c>
    </row>
    <row r="14" spans="1:37">
      <c r="A14" s="223" t="s">
        <v>101</v>
      </c>
      <c r="B14" s="110">
        <v>29983.059999999994</v>
      </c>
      <c r="C14" s="110">
        <v>309.27</v>
      </c>
      <c r="D14" s="110">
        <v>0</v>
      </c>
      <c r="E14" s="110"/>
      <c r="F14" s="110">
        <v>78.42</v>
      </c>
      <c r="G14" s="193">
        <f t="shared" si="0"/>
        <v>29904.639999999996</v>
      </c>
      <c r="H14" s="188">
        <v>32276.789907999995</v>
      </c>
      <c r="I14" s="110">
        <v>349.01011299999999</v>
      </c>
      <c r="J14" s="110">
        <v>0</v>
      </c>
      <c r="K14" s="110">
        <v>201.08</v>
      </c>
      <c r="L14" s="110">
        <v>187.33</v>
      </c>
      <c r="M14" s="193">
        <f t="shared" si="1"/>
        <v>31888.379907999992</v>
      </c>
      <c r="N14" s="111">
        <v>30455.94</v>
      </c>
      <c r="O14" s="111">
        <v>47.380000000000052</v>
      </c>
      <c r="P14" s="111">
        <v>313.08999999999997</v>
      </c>
      <c r="Q14" s="111">
        <v>0</v>
      </c>
      <c r="R14" s="111">
        <v>174.29</v>
      </c>
      <c r="S14" s="195">
        <f t="shared" si="9"/>
        <v>30281.649999999998</v>
      </c>
      <c r="T14" s="109">
        <f t="shared" si="2"/>
        <v>30006.616697333335</v>
      </c>
      <c r="U14" s="109">
        <f t="shared" si="3"/>
        <v>47.380000000000052</v>
      </c>
      <c r="V14" s="109">
        <f t="shared" si="4"/>
        <v>521.81666666666661</v>
      </c>
      <c r="W14" s="109">
        <f t="shared" si="5"/>
        <v>0</v>
      </c>
      <c r="X14" s="109">
        <f t="shared" si="6"/>
        <v>201.89999999999998</v>
      </c>
      <c r="Y14" s="204">
        <f t="shared" si="10"/>
        <v>29804.716697333333</v>
      </c>
      <c r="Z14" s="141">
        <f t="shared" si="7"/>
        <v>30658.24886844444</v>
      </c>
      <c r="AA14" s="141">
        <f t="shared" si="11"/>
        <v>47.380000000000052</v>
      </c>
      <c r="AB14" s="141">
        <f t="shared" si="12"/>
        <v>521.81666666666661</v>
      </c>
      <c r="AC14" s="141">
        <f t="shared" si="13"/>
        <v>201.89999999999998</v>
      </c>
      <c r="AD14" s="120">
        <v>12810689.6196</v>
      </c>
      <c r="AE14" s="142">
        <f>INDEX('Rate Assumptions'!$A:$B,MATCH('Base Allocation'!AE$2,'Rate Assumptions'!$A:$A,0),2)</f>
        <v>3988.586178572119</v>
      </c>
      <c r="AF14" s="142">
        <f>INDEX('Rate Assumptions'!$A:$B,MATCH('Base Allocation'!AF$2,'Rate Assumptions'!$A:$A,0),2)</f>
        <v>3456.4414961399998</v>
      </c>
      <c r="AG14" s="142">
        <f>INDEX('Rate Assumptions'!$A:$B,MATCH('Base Allocation'!AG$2,'Rate Assumptions'!$A:$A,0),2)</f>
        <v>5634.5605750409004</v>
      </c>
      <c r="AH14" s="142">
        <f>INDEX('Rate Assumptions'!$A:$B,MATCH('Base Allocation'!AH$2,'Rate Assumptions'!$A:$A,0),2)</f>
        <v>5634.5605750409004</v>
      </c>
      <c r="AI14" s="143">
        <f t="shared" si="8"/>
        <v>139335348.91108894</v>
      </c>
    </row>
    <row r="15" spans="1:37">
      <c r="A15" s="223" t="s">
        <v>102</v>
      </c>
      <c r="B15" s="110">
        <v>5088.510000000002</v>
      </c>
      <c r="C15" s="110">
        <v>21.279999999999998</v>
      </c>
      <c r="D15" s="110">
        <v>0</v>
      </c>
      <c r="E15" s="110"/>
      <c r="F15" s="110">
        <v>195.16</v>
      </c>
      <c r="G15" s="193">
        <f t="shared" si="0"/>
        <v>4893.3500000000022</v>
      </c>
      <c r="H15" s="188">
        <v>5961.6899290000019</v>
      </c>
      <c r="I15" s="110">
        <v>18.52</v>
      </c>
      <c r="J15" s="110">
        <v>0</v>
      </c>
      <c r="K15" s="110"/>
      <c r="L15" s="110">
        <v>245.21</v>
      </c>
      <c r="M15" s="193">
        <f t="shared" si="1"/>
        <v>5716.4799290000019</v>
      </c>
      <c r="N15" s="111">
        <v>5961.69</v>
      </c>
      <c r="O15" s="111">
        <v>18.52</v>
      </c>
      <c r="P15" s="111">
        <v>0</v>
      </c>
      <c r="Q15" s="111">
        <v>0</v>
      </c>
      <c r="R15" s="111">
        <v>241.07041136638867</v>
      </c>
      <c r="S15" s="195">
        <f t="shared" si="9"/>
        <v>5720.6195886336109</v>
      </c>
      <c r="T15" s="109">
        <f t="shared" si="2"/>
        <v>6252.7500236666647</v>
      </c>
      <c r="U15" s="109">
        <f t="shared" si="3"/>
        <v>17.600000000000001</v>
      </c>
      <c r="V15" s="109">
        <f t="shared" si="4"/>
        <v>0</v>
      </c>
      <c r="W15" s="109">
        <f t="shared" si="5"/>
        <v>0</v>
      </c>
      <c r="X15" s="109">
        <f t="shared" si="6"/>
        <v>254.9940189439811</v>
      </c>
      <c r="Y15" s="204">
        <f t="shared" si="10"/>
        <v>5997.7560047226834</v>
      </c>
      <c r="Z15" s="141">
        <f t="shared" si="7"/>
        <v>5811.6185074520981</v>
      </c>
      <c r="AA15" s="141">
        <f t="shared" si="11"/>
        <v>17.600000000000001</v>
      </c>
      <c r="AB15" s="141">
        <f t="shared" si="12"/>
        <v>0</v>
      </c>
      <c r="AC15" s="141">
        <f t="shared" si="13"/>
        <v>254.9940189439811</v>
      </c>
      <c r="AD15" s="120">
        <v>4045480.0085999998</v>
      </c>
      <c r="AE15" s="142">
        <f>INDEX('Rate Assumptions'!$A:$B,MATCH('Base Allocation'!AE$2,'Rate Assumptions'!$A:$A,0),2)</f>
        <v>3988.586178572119</v>
      </c>
      <c r="AF15" s="142">
        <f>INDEX('Rate Assumptions'!$A:$B,MATCH('Base Allocation'!AF$2,'Rate Assumptions'!$A:$A,0),2)</f>
        <v>3456.4414961399998</v>
      </c>
      <c r="AG15" s="142">
        <f>INDEX('Rate Assumptions'!$A:$B,MATCH('Base Allocation'!AG$2,'Rate Assumptions'!$A:$A,0),2)</f>
        <v>5634.5605750409004</v>
      </c>
      <c r="AH15" s="142">
        <f>INDEX('Rate Assumptions'!$A:$B,MATCH('Base Allocation'!AH$2,'Rate Assumptions'!$A:$A,0),2)</f>
        <v>5634.5605750409004</v>
      </c>
      <c r="AI15" s="143">
        <f t="shared" si="8"/>
        <v>28723233.878902417</v>
      </c>
    </row>
    <row r="16" spans="1:37">
      <c r="A16" s="223" t="s">
        <v>103</v>
      </c>
      <c r="B16" s="110">
        <v>23962.510000000002</v>
      </c>
      <c r="C16" s="110">
        <v>153.79000000000002</v>
      </c>
      <c r="D16" s="110">
        <v>0</v>
      </c>
      <c r="E16" s="110"/>
      <c r="F16" s="110">
        <v>583.12</v>
      </c>
      <c r="G16" s="193">
        <f t="shared" si="0"/>
        <v>23379.390000000003</v>
      </c>
      <c r="H16" s="188">
        <v>29269.360051</v>
      </c>
      <c r="I16" s="110">
        <v>148.56</v>
      </c>
      <c r="J16" s="110">
        <v>0</v>
      </c>
      <c r="K16" s="110"/>
      <c r="L16" s="110">
        <v>1002.35</v>
      </c>
      <c r="M16" s="193">
        <f t="shared" si="1"/>
        <v>28267.010051000001</v>
      </c>
      <c r="N16" s="111">
        <v>25136.880000000001</v>
      </c>
      <c r="O16" s="111">
        <v>153.55000000000001</v>
      </c>
      <c r="P16" s="111">
        <v>0</v>
      </c>
      <c r="Q16" s="111">
        <v>0</v>
      </c>
      <c r="R16" s="111">
        <v>895.81</v>
      </c>
      <c r="S16" s="195">
        <f t="shared" si="9"/>
        <v>24241.07</v>
      </c>
      <c r="T16" s="109">
        <f t="shared" si="2"/>
        <v>24150.843316333336</v>
      </c>
      <c r="U16" s="109">
        <f t="shared" si="3"/>
        <v>155.13333333333335</v>
      </c>
      <c r="V16" s="109">
        <f t="shared" si="4"/>
        <v>0</v>
      </c>
      <c r="W16" s="109">
        <f t="shared" si="5"/>
        <v>0</v>
      </c>
      <c r="X16" s="109">
        <f t="shared" si="6"/>
        <v>964.52666666666653</v>
      </c>
      <c r="Y16" s="204">
        <f t="shared" si="10"/>
        <v>23186.316649666671</v>
      </c>
      <c r="Z16" s="141">
        <f t="shared" si="7"/>
        <v>25231.465566888892</v>
      </c>
      <c r="AA16" s="141">
        <f t="shared" si="11"/>
        <v>155.13333333333335</v>
      </c>
      <c r="AB16" s="141">
        <f t="shared" si="12"/>
        <v>0</v>
      </c>
      <c r="AC16" s="141">
        <f t="shared" si="13"/>
        <v>964.52666666666653</v>
      </c>
      <c r="AD16" s="120">
        <v>15507677.6688</v>
      </c>
      <c r="AE16" s="142">
        <f>INDEX('Rate Assumptions'!$A:$B,MATCH('Base Allocation'!AE$2,'Rate Assumptions'!$A:$A,0),2)</f>
        <v>3988.586178572119</v>
      </c>
      <c r="AF16" s="142">
        <f>INDEX('Rate Assumptions'!$A:$B,MATCH('Base Allocation'!AF$2,'Rate Assumptions'!$A:$A,0),2)</f>
        <v>3456.4414961399998</v>
      </c>
      <c r="AG16" s="142">
        <f>INDEX('Rate Assumptions'!$A:$B,MATCH('Base Allocation'!AG$2,'Rate Assumptions'!$A:$A,0),2)</f>
        <v>5634.5605750409004</v>
      </c>
      <c r="AH16" s="142">
        <f>INDEX('Rate Assumptions'!$A:$B,MATCH('Base Allocation'!AH$2,'Rate Assumptions'!$A:$A,0),2)</f>
        <v>5634.5605750409004</v>
      </c>
      <c r="AI16" s="143">
        <f t="shared" si="8"/>
        <v>122116445.71435484</v>
      </c>
    </row>
    <row r="17" spans="1:35">
      <c r="A17" s="223" t="s">
        <v>104</v>
      </c>
      <c r="B17" s="110">
        <v>1318.9300000000003</v>
      </c>
      <c r="C17" s="110">
        <v>91.78</v>
      </c>
      <c r="D17" s="110">
        <v>3.13</v>
      </c>
      <c r="E17" s="110"/>
      <c r="F17" s="110">
        <v>3.38</v>
      </c>
      <c r="G17" s="193">
        <f t="shared" si="0"/>
        <v>1315.5500000000002</v>
      </c>
      <c r="H17" s="188">
        <v>1431.8299930000003</v>
      </c>
      <c r="I17" s="110">
        <v>87.31</v>
      </c>
      <c r="J17" s="110">
        <v>2.98</v>
      </c>
      <c r="K17" s="110"/>
      <c r="L17" s="110">
        <v>3.64</v>
      </c>
      <c r="M17" s="193">
        <f t="shared" si="1"/>
        <v>1428.1899930000002</v>
      </c>
      <c r="N17" s="111">
        <v>1452.68</v>
      </c>
      <c r="O17" s="111">
        <v>66.606676631239722</v>
      </c>
      <c r="P17" s="111">
        <v>1.44</v>
      </c>
      <c r="Q17" s="111">
        <v>0</v>
      </c>
      <c r="R17" s="111">
        <v>0</v>
      </c>
      <c r="S17" s="195">
        <f t="shared" si="9"/>
        <v>1452.68</v>
      </c>
      <c r="T17" s="109">
        <f t="shared" si="2"/>
        <v>1504.2133356666666</v>
      </c>
      <c r="U17" s="109">
        <f t="shared" si="3"/>
        <v>51.314461052066207</v>
      </c>
      <c r="V17" s="109">
        <f t="shared" si="4"/>
        <v>0.36333333333333329</v>
      </c>
      <c r="W17" s="109">
        <f t="shared" si="5"/>
        <v>0</v>
      </c>
      <c r="X17" s="109">
        <f t="shared" si="6"/>
        <v>0</v>
      </c>
      <c r="Y17" s="204">
        <f t="shared" si="10"/>
        <v>1504.2133356666666</v>
      </c>
      <c r="Z17" s="141">
        <f t="shared" si="7"/>
        <v>1461.6944428888889</v>
      </c>
      <c r="AA17" s="141">
        <f t="shared" si="11"/>
        <v>51.314461052066207</v>
      </c>
      <c r="AB17" s="141">
        <f t="shared" si="12"/>
        <v>0.36333333333333329</v>
      </c>
      <c r="AC17" s="141">
        <f t="shared" si="13"/>
        <v>0</v>
      </c>
      <c r="AD17" s="120">
        <v>5332192.5425999993</v>
      </c>
      <c r="AE17" s="142">
        <f>INDEX('Rate Assumptions'!$A:$B,MATCH('Base Allocation'!AE$2,'Rate Assumptions'!$A:$A,0),2)</f>
        <v>3988.586178572119</v>
      </c>
      <c r="AF17" s="142">
        <f>INDEX('Rate Assumptions'!$A:$B,MATCH('Base Allocation'!AF$2,'Rate Assumptions'!$A:$A,0),2)</f>
        <v>3456.4414961399998</v>
      </c>
      <c r="AG17" s="142">
        <f>INDEX('Rate Assumptions'!$A:$B,MATCH('Base Allocation'!AG$2,'Rate Assumptions'!$A:$A,0),2)</f>
        <v>5634.5605750409004</v>
      </c>
      <c r="AH17" s="142">
        <f>INDEX('Rate Assumptions'!$A:$B,MATCH('Base Allocation'!AH$2,'Rate Assumptions'!$A:$A,0),2)</f>
        <v>5634.5605750409004</v>
      </c>
      <c r="AI17" s="143">
        <f t="shared" si="8"/>
        <v>11341699.451010315</v>
      </c>
    </row>
    <row r="18" spans="1:35">
      <c r="A18" s="223" t="s">
        <v>105</v>
      </c>
      <c r="B18" s="110">
        <v>7758.6100003561596</v>
      </c>
      <c r="C18" s="110">
        <v>40.669999999999959</v>
      </c>
      <c r="D18" s="110">
        <v>738.4</v>
      </c>
      <c r="E18" s="110"/>
      <c r="F18" s="110">
        <v>45.02</v>
      </c>
      <c r="G18" s="193">
        <f t="shared" si="0"/>
        <v>7713.5900003561592</v>
      </c>
      <c r="H18" s="188">
        <v>9398.6090733561596</v>
      </c>
      <c r="I18" s="110">
        <v>59.719999999999956</v>
      </c>
      <c r="J18" s="110">
        <v>668.2</v>
      </c>
      <c r="K18" s="110"/>
      <c r="L18" s="110">
        <v>298.45</v>
      </c>
      <c r="M18" s="193">
        <f t="shared" si="1"/>
        <v>9100.1590733561588</v>
      </c>
      <c r="N18" s="111">
        <v>8637.27</v>
      </c>
      <c r="O18" s="111">
        <v>303.89999999999986</v>
      </c>
      <c r="P18" s="111">
        <v>1465.7436389317008</v>
      </c>
      <c r="Q18" s="111">
        <v>0</v>
      </c>
      <c r="R18" s="111">
        <v>0</v>
      </c>
      <c r="S18" s="195">
        <f t="shared" si="9"/>
        <v>8637.27</v>
      </c>
      <c r="T18" s="109">
        <f t="shared" si="2"/>
        <v>8676.376975429228</v>
      </c>
      <c r="U18" s="109">
        <f t="shared" si="3"/>
        <v>473.03666666666646</v>
      </c>
      <c r="V18" s="109">
        <f t="shared" si="4"/>
        <v>1974.0393982195012</v>
      </c>
      <c r="W18" s="109">
        <f t="shared" si="5"/>
        <v>0</v>
      </c>
      <c r="X18" s="109">
        <f t="shared" si="6"/>
        <v>0</v>
      </c>
      <c r="Y18" s="204">
        <f t="shared" si="10"/>
        <v>8676.376975429228</v>
      </c>
      <c r="Z18" s="141">
        <f t="shared" si="7"/>
        <v>8804.6020162617951</v>
      </c>
      <c r="AA18" s="141">
        <f t="shared" si="11"/>
        <v>473.03666666666646</v>
      </c>
      <c r="AB18" s="141">
        <f t="shared" si="12"/>
        <v>1974.0393982195012</v>
      </c>
      <c r="AC18" s="141">
        <f t="shared" si="13"/>
        <v>0</v>
      </c>
      <c r="AD18" s="120">
        <v>6742470.1229999997</v>
      </c>
      <c r="AE18" s="142">
        <f>INDEX('Rate Assumptions'!$A:$B,MATCH('Base Allocation'!AE$2,'Rate Assumptions'!$A:$A,0),2)</f>
        <v>3988.586178572119</v>
      </c>
      <c r="AF18" s="142">
        <f>INDEX('Rate Assumptions'!$A:$B,MATCH('Base Allocation'!AF$2,'Rate Assumptions'!$A:$A,0),2)</f>
        <v>3456.4414961399998</v>
      </c>
      <c r="AG18" s="142">
        <f>INDEX('Rate Assumptions'!$A:$B,MATCH('Base Allocation'!AG$2,'Rate Assumptions'!$A:$A,0),2)</f>
        <v>5634.5605750409004</v>
      </c>
      <c r="AH18" s="142">
        <f>INDEX('Rate Assumptions'!$A:$B,MATCH('Base Allocation'!AH$2,'Rate Assumptions'!$A:$A,0),2)</f>
        <v>5634.5605750409004</v>
      </c>
      <c r="AI18" s="143">
        <f t="shared" si="8"/>
        <v>54618252.163537487</v>
      </c>
    </row>
    <row r="19" spans="1:35">
      <c r="A19" s="223" t="s">
        <v>106</v>
      </c>
      <c r="B19" s="110">
        <v>17898.23</v>
      </c>
      <c r="C19" s="110">
        <v>30.3</v>
      </c>
      <c r="D19" s="110">
        <v>0</v>
      </c>
      <c r="E19" s="110"/>
      <c r="F19" s="110">
        <v>233.94</v>
      </c>
      <c r="G19" s="193">
        <f t="shared" si="0"/>
        <v>17664.29</v>
      </c>
      <c r="H19" s="188">
        <v>19587.659949000001</v>
      </c>
      <c r="I19" s="110">
        <v>55.19</v>
      </c>
      <c r="J19" s="110">
        <v>0</v>
      </c>
      <c r="K19" s="110"/>
      <c r="L19" s="110">
        <v>360.76</v>
      </c>
      <c r="M19" s="193">
        <f t="shared" si="1"/>
        <v>19226.899949000002</v>
      </c>
      <c r="N19" s="111">
        <v>18479.54</v>
      </c>
      <c r="O19" s="111">
        <v>55.19</v>
      </c>
      <c r="P19" s="111">
        <v>0</v>
      </c>
      <c r="Q19" s="111">
        <v>0</v>
      </c>
      <c r="R19" s="111">
        <v>541.30999999999995</v>
      </c>
      <c r="S19" s="195">
        <f t="shared" si="9"/>
        <v>17938.23</v>
      </c>
      <c r="T19" s="109">
        <f t="shared" si="2"/>
        <v>18303.93668366667</v>
      </c>
      <c r="U19" s="109">
        <f t="shared" si="3"/>
        <v>63.486666666666665</v>
      </c>
      <c r="V19" s="109">
        <f t="shared" si="4"/>
        <v>0</v>
      </c>
      <c r="W19" s="109">
        <f t="shared" si="5"/>
        <v>0</v>
      </c>
      <c r="X19" s="109">
        <f t="shared" si="6"/>
        <v>703.94999999999993</v>
      </c>
      <c r="Y19" s="204">
        <f t="shared" si="10"/>
        <v>17599.98668366667</v>
      </c>
      <c r="Z19" s="141">
        <f t="shared" si="7"/>
        <v>18255.038877555558</v>
      </c>
      <c r="AA19" s="141">
        <f t="shared" si="11"/>
        <v>63.486666666666665</v>
      </c>
      <c r="AB19" s="141">
        <f t="shared" si="12"/>
        <v>0</v>
      </c>
      <c r="AC19" s="141">
        <f t="shared" si="13"/>
        <v>703.94999999999993</v>
      </c>
      <c r="AD19" s="120">
        <v>10787950.1316</v>
      </c>
      <c r="AE19" s="142">
        <f>INDEX('Rate Assumptions'!$A:$B,MATCH('Base Allocation'!AE$2,'Rate Assumptions'!$A:$A,0),2)</f>
        <v>3988.586178572119</v>
      </c>
      <c r="AF19" s="142">
        <f>INDEX('Rate Assumptions'!$A:$B,MATCH('Base Allocation'!AF$2,'Rate Assumptions'!$A:$A,0),2)</f>
        <v>3456.4414961399998</v>
      </c>
      <c r="AG19" s="142">
        <f>INDEX('Rate Assumptions'!$A:$B,MATCH('Base Allocation'!AG$2,'Rate Assumptions'!$A:$A,0),2)</f>
        <v>5634.5605750409004</v>
      </c>
      <c r="AH19" s="142">
        <f>INDEX('Rate Assumptions'!$A:$B,MATCH('Base Allocation'!AH$2,'Rate Assumptions'!$A:$A,0),2)</f>
        <v>5634.5605750409004</v>
      </c>
      <c r="AI19" s="143">
        <f t="shared" si="8"/>
        <v>87785632.753833085</v>
      </c>
    </row>
    <row r="20" spans="1:35">
      <c r="A20" s="223" t="s">
        <v>107</v>
      </c>
      <c r="B20" s="110">
        <v>1580.2900000000002</v>
      </c>
      <c r="C20" s="110">
        <v>33.300000000000011</v>
      </c>
      <c r="D20" s="110">
        <v>0</v>
      </c>
      <c r="E20" s="110">
        <v>273.92</v>
      </c>
      <c r="F20" s="110">
        <v>116.74</v>
      </c>
      <c r="G20" s="193">
        <f t="shared" si="0"/>
        <v>1189.6300000000001</v>
      </c>
      <c r="H20" s="188">
        <v>1599.3681070000002</v>
      </c>
      <c r="I20" s="110">
        <v>39.20000000000001</v>
      </c>
      <c r="J20" s="110">
        <v>0</v>
      </c>
      <c r="K20" s="110">
        <v>301.23</v>
      </c>
      <c r="L20" s="110">
        <v>92.89</v>
      </c>
      <c r="M20" s="193">
        <f t="shared" si="1"/>
        <v>1205.2481070000001</v>
      </c>
      <c r="N20" s="111">
        <v>1603.11</v>
      </c>
      <c r="O20" s="111">
        <v>37.07</v>
      </c>
      <c r="P20" s="111">
        <v>0</v>
      </c>
      <c r="Q20" s="111">
        <v>257.66214631127315</v>
      </c>
      <c r="R20" s="111">
        <v>0</v>
      </c>
      <c r="S20" s="195">
        <f t="shared" si="9"/>
        <v>1345.4478536887268</v>
      </c>
      <c r="T20" s="109">
        <f t="shared" si="2"/>
        <v>1611.963964333333</v>
      </c>
      <c r="U20" s="109">
        <f t="shared" si="3"/>
        <v>37.61666666666666</v>
      </c>
      <c r="V20" s="109">
        <f t="shared" si="4"/>
        <v>0</v>
      </c>
      <c r="W20" s="109">
        <f t="shared" si="5"/>
        <v>237.72024385212191</v>
      </c>
      <c r="X20" s="109">
        <f t="shared" si="6"/>
        <v>0</v>
      </c>
      <c r="Y20" s="204">
        <f t="shared" si="10"/>
        <v>1374.2437204812111</v>
      </c>
      <c r="Z20" s="141">
        <f t="shared" si="7"/>
        <v>1308.3132270566459</v>
      </c>
      <c r="AA20" s="141">
        <f t="shared" si="11"/>
        <v>37.61666666666666</v>
      </c>
      <c r="AB20" s="141">
        <f t="shared" si="12"/>
        <v>0</v>
      </c>
      <c r="AC20" s="141">
        <f t="shared" si="13"/>
        <v>237.72024385212191</v>
      </c>
      <c r="AD20" s="120">
        <v>5332192.5425999993</v>
      </c>
      <c r="AE20" s="142">
        <f>INDEX('Rate Assumptions'!$A:$B,MATCH('Base Allocation'!AE$2,'Rate Assumptions'!$A:$A,0),2)</f>
        <v>3988.586178572119</v>
      </c>
      <c r="AF20" s="142">
        <f>INDEX('Rate Assumptions'!$A:$B,MATCH('Base Allocation'!AF$2,'Rate Assumptions'!$A:$A,0),2)</f>
        <v>3456.4414961399998</v>
      </c>
      <c r="AG20" s="142">
        <f>INDEX('Rate Assumptions'!$A:$B,MATCH('Base Allocation'!AG$2,'Rate Assumptions'!$A:$A,0),2)</f>
        <v>5634.5605750409004</v>
      </c>
      <c r="AH20" s="142">
        <f>INDEX('Rate Assumptions'!$A:$B,MATCH('Base Allocation'!AH$2,'Rate Assumptions'!$A:$A,0),2)</f>
        <v>5634.5605750409004</v>
      </c>
      <c r="AI20" s="143">
        <f t="shared" si="8"/>
        <v>12019981.518792633</v>
      </c>
    </row>
    <row r="21" spans="1:35" ht="17.25">
      <c r="A21" s="223" t="s">
        <v>174</v>
      </c>
      <c r="B21" s="110">
        <v>25518.78</v>
      </c>
      <c r="C21" s="110">
        <v>264.28999999999996</v>
      </c>
      <c r="D21" s="110">
        <v>184.45000000000002</v>
      </c>
      <c r="E21" s="110"/>
      <c r="F21" s="110">
        <v>693.85</v>
      </c>
      <c r="G21" s="193">
        <f t="shared" si="0"/>
        <v>24824.93</v>
      </c>
      <c r="H21" s="188">
        <v>23961.87</v>
      </c>
      <c r="I21" s="110">
        <v>238.56999999999996</v>
      </c>
      <c r="J21" s="110">
        <v>283.28000000000003</v>
      </c>
      <c r="K21" s="110"/>
      <c r="L21" s="110">
        <v>575.87</v>
      </c>
      <c r="M21" s="193">
        <f t="shared" si="1"/>
        <v>23386</v>
      </c>
      <c r="N21" s="111">
        <v>22677.1</v>
      </c>
      <c r="O21" s="111">
        <v>238.56999999999996</v>
      </c>
      <c r="P21" s="111">
        <v>283.28000000000003</v>
      </c>
      <c r="Q21" s="111">
        <v>0</v>
      </c>
      <c r="R21" s="111">
        <v>755</v>
      </c>
      <c r="S21" s="195">
        <f t="shared" si="9"/>
        <v>21922.1</v>
      </c>
      <c r="T21" s="109">
        <f t="shared" si="2"/>
        <v>21301.616666666665</v>
      </c>
      <c r="U21" s="109">
        <f t="shared" si="3"/>
        <v>229.99666666666664</v>
      </c>
      <c r="V21" s="109">
        <f t="shared" si="4"/>
        <v>316.22333333333336</v>
      </c>
      <c r="W21" s="109">
        <f t="shared" si="5"/>
        <v>0</v>
      </c>
      <c r="X21" s="109">
        <f t="shared" si="6"/>
        <v>835.09333333333325</v>
      </c>
      <c r="Y21" s="204">
        <f t="shared" si="10"/>
        <v>20466.523333333331</v>
      </c>
      <c r="Z21" s="141">
        <f t="shared" si="7"/>
        <v>21924.874444444442</v>
      </c>
      <c r="AA21" s="141">
        <f t="shared" si="11"/>
        <v>229.99666666666664</v>
      </c>
      <c r="AB21" s="141">
        <f t="shared" si="12"/>
        <v>316.22333333333336</v>
      </c>
      <c r="AC21" s="141">
        <f t="shared" si="13"/>
        <v>835.09333333333325</v>
      </c>
      <c r="AD21" s="120">
        <v>10787952.196799999</v>
      </c>
      <c r="AE21" s="142">
        <f>INDEX('Rate Assumptions'!$A:$B,MATCH('Base Allocation'!AE$2,'Rate Assumptions'!$A:$A,0),2)</f>
        <v>3988.586178572119</v>
      </c>
      <c r="AF21" s="142">
        <f>INDEX('Rate Assumptions'!$A:$B,MATCH('Base Allocation'!AF$2,'Rate Assumptions'!$A:$A,0),2)</f>
        <v>3456.4414961399998</v>
      </c>
      <c r="AG21" s="142">
        <f>INDEX('Rate Assumptions'!$A:$B,MATCH('Base Allocation'!AG$2,'Rate Assumptions'!$A:$A,0),2)</f>
        <v>5634.5605750409004</v>
      </c>
      <c r="AH21" s="142">
        <f>INDEX('Rate Assumptions'!$A:$B,MATCH('Base Allocation'!AH$2,'Rate Assumptions'!$A:$A,0),2)</f>
        <v>5634.5605750409004</v>
      </c>
      <c r="AI21" s="143">
        <f t="shared" si="8"/>
        <v>105519336.89486821</v>
      </c>
    </row>
    <row r="22" spans="1:35">
      <c r="A22" s="223" t="s">
        <v>108</v>
      </c>
      <c r="B22" s="110">
        <v>4751.6037240000014</v>
      </c>
      <c r="C22" s="110">
        <v>454.97899999999993</v>
      </c>
      <c r="D22" s="110">
        <v>114.54</v>
      </c>
      <c r="E22" s="110">
        <v>0.54</v>
      </c>
      <c r="F22" s="110">
        <v>189.99</v>
      </c>
      <c r="G22" s="193">
        <f t="shared" si="0"/>
        <v>4561.0737240000017</v>
      </c>
      <c r="H22" s="188">
        <v>4106.6200000000017</v>
      </c>
      <c r="I22" s="110">
        <v>481.46999999999991</v>
      </c>
      <c r="J22" s="110">
        <v>117.69000000000001</v>
      </c>
      <c r="K22" s="110">
        <v>0.44</v>
      </c>
      <c r="L22" s="110">
        <v>187.71</v>
      </c>
      <c r="M22" s="193">
        <f t="shared" si="1"/>
        <v>3918.4700000000021</v>
      </c>
      <c r="N22" s="111">
        <v>4934.71</v>
      </c>
      <c r="O22" s="111">
        <v>292.21999999999997</v>
      </c>
      <c r="P22" s="111">
        <v>117.74</v>
      </c>
      <c r="Q22" s="111">
        <v>0</v>
      </c>
      <c r="R22" s="111">
        <v>220.04</v>
      </c>
      <c r="S22" s="195">
        <f t="shared" si="9"/>
        <v>4714.67</v>
      </c>
      <c r="T22" s="109">
        <f t="shared" si="2"/>
        <v>5271.7754253333324</v>
      </c>
      <c r="U22" s="109">
        <f t="shared" si="3"/>
        <v>174.88366666666667</v>
      </c>
      <c r="V22" s="109">
        <f t="shared" si="4"/>
        <v>118.82333333333331</v>
      </c>
      <c r="W22" s="109">
        <f t="shared" si="5"/>
        <v>0</v>
      </c>
      <c r="X22" s="109">
        <f t="shared" si="6"/>
        <v>240.83333333333331</v>
      </c>
      <c r="Y22" s="204">
        <f t="shared" si="10"/>
        <v>5030.9420919999993</v>
      </c>
      <c r="Z22" s="141">
        <f t="shared" si="7"/>
        <v>4554.6940306666665</v>
      </c>
      <c r="AA22" s="141">
        <f t="shared" si="11"/>
        <v>174.88366666666667</v>
      </c>
      <c r="AB22" s="141">
        <f t="shared" si="12"/>
        <v>118.82333333333331</v>
      </c>
      <c r="AC22" s="141">
        <f t="shared" si="13"/>
        <v>240.83333333333331</v>
      </c>
      <c r="AD22" s="120">
        <v>5332192.5425999993</v>
      </c>
      <c r="AE22" s="142">
        <f>INDEX('Rate Assumptions'!$A:$B,MATCH('Base Allocation'!AE$2,'Rate Assumptions'!$A:$A,0),2)</f>
        <v>3988.586178572119</v>
      </c>
      <c r="AF22" s="142">
        <f>INDEX('Rate Assumptions'!$A:$B,MATCH('Base Allocation'!AF$2,'Rate Assumptions'!$A:$A,0),2)</f>
        <v>3456.4414961399998</v>
      </c>
      <c r="AG22" s="142">
        <f>INDEX('Rate Assumptions'!$A:$B,MATCH('Base Allocation'!AG$2,'Rate Assumptions'!$A:$A,0),2)</f>
        <v>5634.5605750409004</v>
      </c>
      <c r="AH22" s="142">
        <f>INDEX('Rate Assumptions'!$A:$B,MATCH('Base Allocation'!AH$2,'Rate Assumptions'!$A:$A,0),2)</f>
        <v>5634.5605750409004</v>
      </c>
      <c r="AI22" s="143">
        <f t="shared" si="8"/>
        <v>26129964.637956403</v>
      </c>
    </row>
    <row r="23" spans="1:35">
      <c r="A23" s="223" t="s">
        <v>109</v>
      </c>
      <c r="B23" s="110">
        <v>12449.54</v>
      </c>
      <c r="C23" s="110">
        <v>243.84999999999991</v>
      </c>
      <c r="D23" s="110">
        <v>2847.21</v>
      </c>
      <c r="E23" s="110"/>
      <c r="F23" s="110">
        <v>230.88</v>
      </c>
      <c r="G23" s="193">
        <f t="shared" si="0"/>
        <v>12218.660000000002</v>
      </c>
      <c r="H23" s="188">
        <v>11026.53</v>
      </c>
      <c r="I23" s="110">
        <v>272.55999999999989</v>
      </c>
      <c r="J23" s="110">
        <v>2656.3</v>
      </c>
      <c r="K23" s="110"/>
      <c r="L23" s="110">
        <v>282.49</v>
      </c>
      <c r="M23" s="193">
        <f t="shared" si="1"/>
        <v>10744.04</v>
      </c>
      <c r="N23" s="111">
        <v>11143.41</v>
      </c>
      <c r="O23" s="111">
        <v>183.49376685325996</v>
      </c>
      <c r="P23" s="111">
        <v>2536.14</v>
      </c>
      <c r="Q23" s="111">
        <v>0</v>
      </c>
      <c r="R23" s="111">
        <v>299.60000000000002</v>
      </c>
      <c r="S23" s="195">
        <f t="shared" si="9"/>
        <v>10843.81</v>
      </c>
      <c r="T23" s="109">
        <f t="shared" si="2"/>
        <v>10746.993333333334</v>
      </c>
      <c r="U23" s="109">
        <f t="shared" si="3"/>
        <v>133.68627808876667</v>
      </c>
      <c r="V23" s="109">
        <f t="shared" si="4"/>
        <v>2392.3966666666661</v>
      </c>
      <c r="W23" s="109">
        <f t="shared" si="5"/>
        <v>0</v>
      </c>
      <c r="X23" s="109">
        <f t="shared" si="6"/>
        <v>328.21000000000004</v>
      </c>
      <c r="Y23" s="204">
        <f t="shared" si="10"/>
        <v>10418.783333333333</v>
      </c>
      <c r="Z23" s="141">
        <f t="shared" si="7"/>
        <v>10668.877777777778</v>
      </c>
      <c r="AA23" s="141">
        <f t="shared" si="11"/>
        <v>133.68627808876667</v>
      </c>
      <c r="AB23" s="141">
        <f t="shared" si="12"/>
        <v>2392.3966666666661</v>
      </c>
      <c r="AC23" s="141">
        <f t="shared" si="13"/>
        <v>328.21000000000004</v>
      </c>
      <c r="AD23" s="120">
        <v>6742470.1229999997</v>
      </c>
      <c r="AE23" s="142">
        <f>INDEX('Rate Assumptions'!$A:$B,MATCH('Base Allocation'!AE$2,'Rate Assumptions'!$A:$A,0),2)</f>
        <v>3988.586178572119</v>
      </c>
      <c r="AF23" s="142">
        <f>INDEX('Rate Assumptions'!$A:$B,MATCH('Base Allocation'!AF$2,'Rate Assumptions'!$A:$A,0),2)</f>
        <v>3456.4414961399998</v>
      </c>
      <c r="AG23" s="142">
        <f>INDEX('Rate Assumptions'!$A:$B,MATCH('Base Allocation'!AG$2,'Rate Assumptions'!$A:$A,0),2)</f>
        <v>5634.5605750409004</v>
      </c>
      <c r="AH23" s="142">
        <f>INDEX('Rate Assumptions'!$A:$B,MATCH('Base Allocation'!AH$2,'Rate Assumptions'!$A:$A,0),2)</f>
        <v>5634.5605750409004</v>
      </c>
      <c r="AI23" s="143">
        <f t="shared" si="8"/>
        <v>65087710.431563631</v>
      </c>
    </row>
    <row r="24" spans="1:35">
      <c r="A24" s="223" t="s">
        <v>110</v>
      </c>
      <c r="B24" s="110">
        <v>19064.970071000003</v>
      </c>
      <c r="C24" s="110">
        <v>20.18</v>
      </c>
      <c r="D24" s="110">
        <v>0</v>
      </c>
      <c r="E24" s="110"/>
      <c r="F24" s="110">
        <v>317.76</v>
      </c>
      <c r="G24" s="193">
        <f t="shared" si="0"/>
        <v>18747.210071000005</v>
      </c>
      <c r="H24" s="188">
        <v>17160.770000000004</v>
      </c>
      <c r="I24" s="110">
        <v>19.71</v>
      </c>
      <c r="J24" s="110">
        <v>0</v>
      </c>
      <c r="K24" s="110"/>
      <c r="L24" s="110">
        <v>334.9</v>
      </c>
      <c r="M24" s="193">
        <f t="shared" si="1"/>
        <v>16825.870000000003</v>
      </c>
      <c r="N24" s="111">
        <v>17730.400000000001</v>
      </c>
      <c r="O24" s="111">
        <v>17.02</v>
      </c>
      <c r="P24" s="111">
        <v>0</v>
      </c>
      <c r="Q24" s="111">
        <v>5.42</v>
      </c>
      <c r="R24" s="111">
        <v>298.79000000000002</v>
      </c>
      <c r="S24" s="195">
        <f t="shared" si="9"/>
        <v>17426.190000000002</v>
      </c>
      <c r="T24" s="109">
        <f t="shared" si="2"/>
        <v>17475.419976333331</v>
      </c>
      <c r="U24" s="109">
        <f t="shared" si="3"/>
        <v>15.069999999999999</v>
      </c>
      <c r="V24" s="109">
        <f t="shared" si="4"/>
        <v>0</v>
      </c>
      <c r="W24" s="109">
        <f t="shared" si="5"/>
        <v>9.0333333333333332</v>
      </c>
      <c r="X24" s="109">
        <f t="shared" si="6"/>
        <v>280.43</v>
      </c>
      <c r="Y24" s="204">
        <f t="shared" si="10"/>
        <v>17185.956642999998</v>
      </c>
      <c r="Z24" s="141">
        <f t="shared" si="7"/>
        <v>17146.005547666668</v>
      </c>
      <c r="AA24" s="141">
        <f t="shared" si="11"/>
        <v>15.069999999999999</v>
      </c>
      <c r="AB24" s="141">
        <f t="shared" si="12"/>
        <v>0</v>
      </c>
      <c r="AC24" s="141">
        <f t="shared" si="13"/>
        <v>289.46333333333337</v>
      </c>
      <c r="AD24" s="120">
        <v>8765209.6109999996</v>
      </c>
      <c r="AE24" s="142">
        <f>INDEX('Rate Assumptions'!$A:$B,MATCH('Base Allocation'!AE$2,'Rate Assumptions'!$A:$A,0),2)</f>
        <v>3988.586178572119</v>
      </c>
      <c r="AF24" s="142">
        <f>INDEX('Rate Assumptions'!$A:$B,MATCH('Base Allocation'!AF$2,'Rate Assumptions'!$A:$A,0),2)</f>
        <v>3456.4414961399998</v>
      </c>
      <c r="AG24" s="142">
        <f>INDEX('Rate Assumptions'!$A:$B,MATCH('Base Allocation'!AG$2,'Rate Assumptions'!$A:$A,0),2)</f>
        <v>5634.5605750409004</v>
      </c>
      <c r="AH24" s="142">
        <f>INDEX('Rate Assumptions'!$A:$B,MATCH('Base Allocation'!AH$2,'Rate Assumptions'!$A:$A,0),2)</f>
        <v>5634.5605750409004</v>
      </c>
      <c r="AI24" s="143">
        <f t="shared" si="8"/>
        <v>78836617.615410894</v>
      </c>
    </row>
    <row r="25" spans="1:35">
      <c r="A25" s="223" t="s">
        <v>111</v>
      </c>
      <c r="B25" s="110">
        <v>7340.3599370000002</v>
      </c>
      <c r="C25" s="110">
        <v>4.43</v>
      </c>
      <c r="D25" s="110">
        <v>0</v>
      </c>
      <c r="E25" s="110"/>
      <c r="F25" s="110">
        <v>33.53</v>
      </c>
      <c r="G25" s="193">
        <f t="shared" si="0"/>
        <v>7306.8299370000004</v>
      </c>
      <c r="H25" s="188">
        <v>7356.089911</v>
      </c>
      <c r="I25" s="110">
        <v>2.91</v>
      </c>
      <c r="J25" s="110">
        <v>0</v>
      </c>
      <c r="K25" s="110">
        <v>65.25</v>
      </c>
      <c r="L25" s="110">
        <v>48.47</v>
      </c>
      <c r="M25" s="193">
        <f t="shared" si="1"/>
        <v>7242.3699109999998</v>
      </c>
      <c r="N25" s="111">
        <v>7327.45</v>
      </c>
      <c r="O25" s="111">
        <v>14.44</v>
      </c>
      <c r="P25" s="111">
        <v>12.24</v>
      </c>
      <c r="Q25" s="111">
        <v>77.930000000000007</v>
      </c>
      <c r="R25" s="111">
        <v>50.386016690851328</v>
      </c>
      <c r="S25" s="195">
        <f t="shared" si="9"/>
        <v>7199.1339833091479</v>
      </c>
      <c r="T25" s="109">
        <f t="shared" si="2"/>
        <v>7313.6000506666669</v>
      </c>
      <c r="U25" s="109">
        <f t="shared" si="3"/>
        <v>21.619999999999997</v>
      </c>
      <c r="V25" s="109">
        <f t="shared" si="4"/>
        <v>20.399999999999999</v>
      </c>
      <c r="W25" s="109">
        <f t="shared" si="5"/>
        <v>108.13333333333334</v>
      </c>
      <c r="X25" s="109">
        <f t="shared" si="6"/>
        <v>56.64336115141888</v>
      </c>
      <c r="Y25" s="204">
        <f t="shared" si="10"/>
        <v>7148.8233561819152</v>
      </c>
      <c r="Z25" s="141">
        <f t="shared" si="7"/>
        <v>7196.7757501636879</v>
      </c>
      <c r="AA25" s="141">
        <f t="shared" si="11"/>
        <v>21.619999999999997</v>
      </c>
      <c r="AB25" s="141">
        <f t="shared" si="12"/>
        <v>20.399999999999999</v>
      </c>
      <c r="AC25" s="141">
        <f t="shared" si="13"/>
        <v>164.77669448475223</v>
      </c>
      <c r="AD25" s="120">
        <v>4382603.2566</v>
      </c>
      <c r="AE25" s="142">
        <f>INDEX('Rate Assumptions'!$A:$B,MATCH('Base Allocation'!AE$2,'Rate Assumptions'!$A:$A,0),2)</f>
        <v>3988.586178572119</v>
      </c>
      <c r="AF25" s="142">
        <f>INDEX('Rate Assumptions'!$A:$B,MATCH('Base Allocation'!AF$2,'Rate Assumptions'!$A:$A,0),2)</f>
        <v>3456.4414961399998</v>
      </c>
      <c r="AG25" s="142">
        <f>INDEX('Rate Assumptions'!$A:$B,MATCH('Base Allocation'!AG$2,'Rate Assumptions'!$A:$A,0),2)</f>
        <v>5634.5605750409004</v>
      </c>
      <c r="AH25" s="142">
        <f>INDEX('Rate Assumptions'!$A:$B,MATCH('Base Allocation'!AH$2,'Rate Assumptions'!$A:$A,0),2)</f>
        <v>5634.5605750409004</v>
      </c>
      <c r="AI25" s="143">
        <f t="shared" si="8"/>
        <v>34205681.111292608</v>
      </c>
    </row>
    <row r="26" spans="1:35">
      <c r="A26" s="223" t="s">
        <v>112</v>
      </c>
      <c r="B26" s="110">
        <v>6799.880000000001</v>
      </c>
      <c r="C26" s="110">
        <v>38.44</v>
      </c>
      <c r="D26" s="110">
        <v>15.96</v>
      </c>
      <c r="E26" s="110">
        <v>55.11</v>
      </c>
      <c r="F26" s="110">
        <v>21.49</v>
      </c>
      <c r="G26" s="193">
        <f t="shared" si="0"/>
        <v>6723.2800000000016</v>
      </c>
      <c r="H26" s="188">
        <v>7347.2481080000007</v>
      </c>
      <c r="I26" s="110">
        <v>24.1</v>
      </c>
      <c r="J26" s="110">
        <v>24.22</v>
      </c>
      <c r="K26" s="110">
        <v>167.75</v>
      </c>
      <c r="L26" s="110">
        <v>61.2</v>
      </c>
      <c r="M26" s="193">
        <f t="shared" si="1"/>
        <v>7118.2981080000009</v>
      </c>
      <c r="N26" s="111">
        <v>7403.73</v>
      </c>
      <c r="O26" s="111">
        <v>31.870000000000005</v>
      </c>
      <c r="P26" s="111">
        <v>14.4</v>
      </c>
      <c r="Q26" s="111">
        <v>219.04</v>
      </c>
      <c r="R26" s="111">
        <v>1.9395991617424897</v>
      </c>
      <c r="S26" s="195">
        <f t="shared" si="9"/>
        <v>7182.7504008382575</v>
      </c>
      <c r="T26" s="109">
        <f t="shared" si="2"/>
        <v>7623.8406306666648</v>
      </c>
      <c r="U26" s="109">
        <f t="shared" si="3"/>
        <v>32.27000000000001</v>
      </c>
      <c r="V26" s="109">
        <f t="shared" si="4"/>
        <v>10.606666666666667</v>
      </c>
      <c r="W26" s="109">
        <f t="shared" si="5"/>
        <v>290.77999999999997</v>
      </c>
      <c r="X26" s="109">
        <f t="shared" si="6"/>
        <v>1.9395991617424897</v>
      </c>
      <c r="Y26" s="204">
        <f t="shared" si="10"/>
        <v>7331.1210315049229</v>
      </c>
      <c r="Z26" s="141">
        <f t="shared" si="7"/>
        <v>7210.7231801143935</v>
      </c>
      <c r="AA26" s="141">
        <f t="shared" si="11"/>
        <v>32.27000000000001</v>
      </c>
      <c r="AB26" s="141">
        <f t="shared" si="12"/>
        <v>10.606666666666667</v>
      </c>
      <c r="AC26" s="141">
        <f t="shared" si="13"/>
        <v>292.71959916174245</v>
      </c>
      <c r="AD26" s="120">
        <v>4045480.0085999998</v>
      </c>
      <c r="AE26" s="142">
        <f>INDEX('Rate Assumptions'!$A:$B,MATCH('Base Allocation'!AE$2,'Rate Assumptions'!$A:$A,0),2)</f>
        <v>3988.586178572119</v>
      </c>
      <c r="AF26" s="142">
        <f>INDEX('Rate Assumptions'!$A:$B,MATCH('Base Allocation'!AF$2,'Rate Assumptions'!$A:$A,0),2)</f>
        <v>3456.4414961399998</v>
      </c>
      <c r="AG26" s="142">
        <f>INDEX('Rate Assumptions'!$A:$B,MATCH('Base Allocation'!AG$2,'Rate Assumptions'!$A:$A,0),2)</f>
        <v>5634.5605750409004</v>
      </c>
      <c r="AH26" s="142">
        <f>INDEX('Rate Assumptions'!$A:$B,MATCH('Base Allocation'!AH$2,'Rate Assumptions'!$A:$A,0),2)</f>
        <v>5634.5605750409004</v>
      </c>
      <c r="AI26" s="143">
        <f t="shared" si="8"/>
        <v>34626720.408205435</v>
      </c>
    </row>
    <row r="27" spans="1:35">
      <c r="A27" s="223" t="s">
        <v>113</v>
      </c>
      <c r="B27" s="110">
        <v>21647.559923000004</v>
      </c>
      <c r="C27" s="110">
        <v>74.239999999999995</v>
      </c>
      <c r="D27" s="110">
        <v>0</v>
      </c>
      <c r="E27" s="110">
        <v>3.88</v>
      </c>
      <c r="F27" s="110">
        <v>1141.01</v>
      </c>
      <c r="G27" s="193">
        <f t="shared" si="0"/>
        <v>20502.669923000005</v>
      </c>
      <c r="H27" s="188">
        <v>22475.839032000003</v>
      </c>
      <c r="I27" s="110">
        <v>26.64</v>
      </c>
      <c r="J27" s="110">
        <v>29.99</v>
      </c>
      <c r="K27" s="110">
        <v>476.99</v>
      </c>
      <c r="L27" s="110">
        <v>1325.59</v>
      </c>
      <c r="M27" s="193">
        <f t="shared" si="1"/>
        <v>20673.259032000002</v>
      </c>
      <c r="N27" s="111">
        <v>23271.77</v>
      </c>
      <c r="O27" s="111">
        <v>65.88</v>
      </c>
      <c r="P27" s="111">
        <v>40.97</v>
      </c>
      <c r="Q27" s="111">
        <v>735.11</v>
      </c>
      <c r="R27" s="111">
        <v>556.43719587542955</v>
      </c>
      <c r="S27" s="195">
        <f t="shared" si="9"/>
        <v>21980.222804124569</v>
      </c>
      <c r="T27" s="109">
        <f t="shared" si="2"/>
        <v>24078.483681666665</v>
      </c>
      <c r="U27" s="109">
        <f t="shared" si="3"/>
        <v>76.173333333333332</v>
      </c>
      <c r="V27" s="109">
        <f t="shared" si="4"/>
        <v>58.286666666666669</v>
      </c>
      <c r="W27" s="109">
        <f t="shared" si="5"/>
        <v>1064.8933333333332</v>
      </c>
      <c r="X27" s="109">
        <f t="shared" si="6"/>
        <v>105.19532645904928</v>
      </c>
      <c r="Y27" s="204">
        <f t="shared" si="10"/>
        <v>22908.395021874283</v>
      </c>
      <c r="Z27" s="141">
        <f t="shared" si="7"/>
        <v>21853.958952666286</v>
      </c>
      <c r="AA27" s="141">
        <f t="shared" si="11"/>
        <v>76.173333333333332</v>
      </c>
      <c r="AB27" s="141">
        <f t="shared" si="12"/>
        <v>58.286666666666669</v>
      </c>
      <c r="AC27" s="141">
        <f t="shared" si="13"/>
        <v>1170.0886597923825</v>
      </c>
      <c r="AD27" s="120">
        <v>17024735.382599998</v>
      </c>
      <c r="AE27" s="142">
        <f>INDEX('Rate Assumptions'!$A:$B,MATCH('Base Allocation'!AE$2,'Rate Assumptions'!$A:$A,0),2)</f>
        <v>3988.586178572119</v>
      </c>
      <c r="AF27" s="142">
        <f>INDEX('Rate Assumptions'!$A:$B,MATCH('Base Allocation'!AF$2,'Rate Assumptions'!$A:$A,0),2)</f>
        <v>3456.4414961399998</v>
      </c>
      <c r="AG27" s="142">
        <f>INDEX('Rate Assumptions'!$A:$B,MATCH('Base Allocation'!AG$2,'Rate Assumptions'!$A:$A,0),2)</f>
        <v>5634.5605750409004</v>
      </c>
      <c r="AH27" s="142">
        <f>INDEX('Rate Assumptions'!$A:$B,MATCH('Base Allocation'!AH$2,'Rate Assumptions'!$A:$A,0),2)</f>
        <v>5634.5605750409004</v>
      </c>
      <c r="AI27" s="143">
        <f t="shared" si="8"/>
        <v>111375777.86433895</v>
      </c>
    </row>
    <row r="28" spans="1:35">
      <c r="A28" s="223" t="s">
        <v>114</v>
      </c>
      <c r="B28" s="110">
        <v>1663.3</v>
      </c>
      <c r="C28" s="110">
        <v>56.419921000000002</v>
      </c>
      <c r="D28" s="110">
        <v>14.09</v>
      </c>
      <c r="E28" s="110">
        <v>690.1</v>
      </c>
      <c r="F28" s="110">
        <v>30.88</v>
      </c>
      <c r="G28" s="193">
        <f t="shared" si="0"/>
        <v>942.31999999999994</v>
      </c>
      <c r="H28" s="188">
        <v>1628.82</v>
      </c>
      <c r="I28" s="110">
        <v>40.14</v>
      </c>
      <c r="J28" s="110">
        <v>9.870000000000001</v>
      </c>
      <c r="K28" s="110">
        <v>741.25</v>
      </c>
      <c r="L28" s="110">
        <v>41.54</v>
      </c>
      <c r="M28" s="193">
        <f t="shared" si="1"/>
        <v>846.03</v>
      </c>
      <c r="N28" s="111">
        <v>1834.13</v>
      </c>
      <c r="O28" s="111">
        <v>52.89</v>
      </c>
      <c r="P28" s="111">
        <v>5.98</v>
      </c>
      <c r="Q28" s="111">
        <v>132.8498680089775</v>
      </c>
      <c r="R28" s="111">
        <v>0</v>
      </c>
      <c r="S28" s="195">
        <f t="shared" si="9"/>
        <v>1701.2801319910227</v>
      </c>
      <c r="T28" s="109">
        <f t="shared" si="2"/>
        <v>1959.5100000000002</v>
      </c>
      <c r="U28" s="109">
        <f t="shared" si="3"/>
        <v>55.963359666666669</v>
      </c>
      <c r="V28" s="109">
        <f t="shared" si="4"/>
        <v>1.9800000000000004</v>
      </c>
      <c r="W28" s="109">
        <f t="shared" si="5"/>
        <v>132.8498680089775</v>
      </c>
      <c r="X28" s="109">
        <f t="shared" si="6"/>
        <v>0</v>
      </c>
      <c r="Y28" s="204">
        <f t="shared" si="10"/>
        <v>1826.6601319910228</v>
      </c>
      <c r="Z28" s="141">
        <f t="shared" si="7"/>
        <v>1457.9900879940151</v>
      </c>
      <c r="AA28" s="141">
        <f t="shared" si="11"/>
        <v>55.963359666666669</v>
      </c>
      <c r="AB28" s="141">
        <f t="shared" si="12"/>
        <v>1.9800000000000004</v>
      </c>
      <c r="AC28" s="141">
        <f t="shared" si="13"/>
        <v>132.8498680089775</v>
      </c>
      <c r="AD28" s="120">
        <v>5332192.5425999993</v>
      </c>
      <c r="AE28" s="142">
        <f>INDEX('Rate Assumptions'!$A:$B,MATCH('Base Allocation'!AE$2,'Rate Assumptions'!$A:$A,0),2)</f>
        <v>3988.586178572119</v>
      </c>
      <c r="AF28" s="142">
        <f>INDEX('Rate Assumptions'!$A:$B,MATCH('Base Allocation'!AF$2,'Rate Assumptions'!$A:$A,0),2)</f>
        <v>3456.4414961399998</v>
      </c>
      <c r="AG28" s="142">
        <f>INDEX('Rate Assumptions'!$A:$B,MATCH('Base Allocation'!AG$2,'Rate Assumptions'!$A:$A,0),2)</f>
        <v>5634.5605750409004</v>
      </c>
      <c r="AH28" s="142">
        <f>INDEX('Rate Assumptions'!$A:$B,MATCH('Base Allocation'!AH$2,'Rate Assumptions'!$A:$A,0),2)</f>
        <v>5634.5605750409004</v>
      </c>
      <c r="AI28" s="143">
        <f t="shared" si="8"/>
        <v>12100652.793304702</v>
      </c>
    </row>
    <row r="29" spans="1:35">
      <c r="A29" s="223" t="s">
        <v>115</v>
      </c>
      <c r="B29" s="110">
        <v>1570.5699300000001</v>
      </c>
      <c r="C29" s="110">
        <v>23.93</v>
      </c>
      <c r="D29" s="110">
        <v>1.62</v>
      </c>
      <c r="E29" s="110">
        <v>497</v>
      </c>
      <c r="F29" s="110">
        <v>35.5</v>
      </c>
      <c r="G29" s="193">
        <f t="shared" si="0"/>
        <v>1038.0699300000001</v>
      </c>
      <c r="H29" s="188">
        <v>1341.9</v>
      </c>
      <c r="I29" s="110">
        <v>12.959999999999999</v>
      </c>
      <c r="J29" s="110">
        <v>2.6</v>
      </c>
      <c r="K29" s="110">
        <v>613.04</v>
      </c>
      <c r="L29" s="110">
        <v>88.43</v>
      </c>
      <c r="M29" s="193">
        <f t="shared" si="1"/>
        <v>640.43000000000006</v>
      </c>
      <c r="N29" s="111">
        <v>1581.71</v>
      </c>
      <c r="O29" s="111">
        <v>10.280000000000001</v>
      </c>
      <c r="P29" s="111">
        <v>2.0499999999999998</v>
      </c>
      <c r="Q29" s="111">
        <v>761.86121529308264</v>
      </c>
      <c r="R29" s="111">
        <v>0</v>
      </c>
      <c r="S29" s="195">
        <f t="shared" si="9"/>
        <v>819.8487847069174</v>
      </c>
      <c r="T29" s="109">
        <f t="shared" si="2"/>
        <v>1665.3600233333332</v>
      </c>
      <c r="U29" s="109">
        <f t="shared" si="3"/>
        <v>4.8366666666666696</v>
      </c>
      <c r="V29" s="109">
        <f t="shared" si="4"/>
        <v>2.0099999999999998</v>
      </c>
      <c r="W29" s="109">
        <f t="shared" si="5"/>
        <v>899.75535882180441</v>
      </c>
      <c r="X29" s="109">
        <f t="shared" si="6"/>
        <v>0</v>
      </c>
      <c r="Y29" s="204">
        <f t="shared" si="10"/>
        <v>765.60466451152877</v>
      </c>
      <c r="Z29" s="141">
        <f t="shared" si="7"/>
        <v>741.96114973948204</v>
      </c>
      <c r="AA29" s="141">
        <f t="shared" si="11"/>
        <v>4.8366666666666696</v>
      </c>
      <c r="AB29" s="141">
        <f t="shared" si="12"/>
        <v>2.0099999999999998</v>
      </c>
      <c r="AC29" s="141">
        <f t="shared" si="13"/>
        <v>899.75535882180441</v>
      </c>
      <c r="AD29" s="120">
        <v>5332192.5425999993</v>
      </c>
      <c r="AE29" s="142">
        <f>INDEX('Rate Assumptions'!$A:$B,MATCH('Base Allocation'!AE$2,'Rate Assumptions'!$A:$A,0),2)</f>
        <v>3988.586178572119</v>
      </c>
      <c r="AF29" s="142">
        <f>INDEX('Rate Assumptions'!$A:$B,MATCH('Base Allocation'!AF$2,'Rate Assumptions'!$A:$A,0),2)</f>
        <v>3456.4414961399998</v>
      </c>
      <c r="AG29" s="142">
        <f>INDEX('Rate Assumptions'!$A:$B,MATCH('Base Allocation'!AG$2,'Rate Assumptions'!$A:$A,0),2)</f>
        <v>5634.5605750409004</v>
      </c>
      <c r="AH29" s="142">
        <f>INDEX('Rate Assumptions'!$A:$B,MATCH('Base Allocation'!AH$2,'Rate Assumptions'!$A:$A,0),2)</f>
        <v>5634.5605750409004</v>
      </c>
      <c r="AI29" s="143">
        <f t="shared" si="8"/>
        <v>13389337.72361299</v>
      </c>
    </row>
    <row r="30" spans="1:35">
      <c r="A30" s="223" t="s">
        <v>116</v>
      </c>
      <c r="B30" s="110">
        <v>20580.630004999999</v>
      </c>
      <c r="C30" s="110">
        <v>108.52</v>
      </c>
      <c r="D30" s="110">
        <v>386.81</v>
      </c>
      <c r="E30" s="110"/>
      <c r="F30" s="110">
        <v>105.44</v>
      </c>
      <c r="G30" s="193">
        <f t="shared" si="0"/>
        <v>20475.190005</v>
      </c>
      <c r="H30" s="188">
        <v>18388.579999999998</v>
      </c>
      <c r="I30" s="110">
        <v>100.53</v>
      </c>
      <c r="J30" s="110">
        <v>407.61</v>
      </c>
      <c r="K30" s="110"/>
      <c r="L30" s="110">
        <v>76.14</v>
      </c>
      <c r="M30" s="193">
        <f t="shared" si="1"/>
        <v>18312.439999999999</v>
      </c>
      <c r="N30" s="111">
        <v>18747.16</v>
      </c>
      <c r="O30" s="111">
        <v>60.889999999999986</v>
      </c>
      <c r="P30" s="111">
        <v>395.54</v>
      </c>
      <c r="Q30" s="111">
        <v>0</v>
      </c>
      <c r="R30" s="111">
        <v>157.24</v>
      </c>
      <c r="S30" s="195">
        <f t="shared" si="9"/>
        <v>18589.919999999998</v>
      </c>
      <c r="T30" s="109">
        <f t="shared" si="2"/>
        <v>18255.529998333332</v>
      </c>
      <c r="U30" s="109">
        <f t="shared" si="3"/>
        <v>31.799999999999976</v>
      </c>
      <c r="V30" s="109">
        <f t="shared" si="4"/>
        <v>394.42666666666668</v>
      </c>
      <c r="W30" s="109">
        <f t="shared" si="5"/>
        <v>0</v>
      </c>
      <c r="X30" s="109">
        <f t="shared" si="6"/>
        <v>201.54000000000002</v>
      </c>
      <c r="Y30" s="204">
        <f t="shared" si="10"/>
        <v>18053.989998333331</v>
      </c>
      <c r="Z30" s="141">
        <f t="shared" si="7"/>
        <v>18318.783332777777</v>
      </c>
      <c r="AA30" s="141">
        <f t="shared" si="11"/>
        <v>31.799999999999976</v>
      </c>
      <c r="AB30" s="141">
        <f t="shared" si="12"/>
        <v>394.42666666666668</v>
      </c>
      <c r="AC30" s="141">
        <f t="shared" si="13"/>
        <v>201.54000000000002</v>
      </c>
      <c r="AD30" s="120">
        <v>8090964.1475999998</v>
      </c>
      <c r="AE30" s="142">
        <f>INDEX('Rate Assumptions'!$A:$B,MATCH('Base Allocation'!AE$2,'Rate Assumptions'!$A:$A,0),2)</f>
        <v>3988.586178572119</v>
      </c>
      <c r="AF30" s="142">
        <f>INDEX('Rate Assumptions'!$A:$B,MATCH('Base Allocation'!AF$2,'Rate Assumptions'!$A:$A,0),2)</f>
        <v>3456.4414961399998</v>
      </c>
      <c r="AG30" s="142">
        <f>INDEX('Rate Assumptions'!$A:$B,MATCH('Base Allocation'!AG$2,'Rate Assumptions'!$A:$A,0),2)</f>
        <v>5634.5605750409004</v>
      </c>
      <c r="AH30" s="142">
        <f>INDEX('Rate Assumptions'!$A:$B,MATCH('Base Allocation'!AH$2,'Rate Assumptions'!$A:$A,0),2)</f>
        <v>5634.5605750409004</v>
      </c>
      <c r="AI30" s="143">
        <f t="shared" si="8"/>
        <v>84624935.280590534</v>
      </c>
    </row>
    <row r="31" spans="1:35">
      <c r="A31" s="223" t="s">
        <v>117</v>
      </c>
      <c r="B31" s="110">
        <v>101333.9319</v>
      </c>
      <c r="C31" s="110">
        <v>2226.65</v>
      </c>
      <c r="D31" s="110">
        <v>4423.7</v>
      </c>
      <c r="E31" s="110">
        <f>41.86+13.74</f>
        <v>55.6</v>
      </c>
      <c r="F31" s="110">
        <v>5149.3999999999996</v>
      </c>
      <c r="G31" s="193">
        <f t="shared" si="0"/>
        <v>96128.931899999996</v>
      </c>
      <c r="H31" s="188">
        <v>93053.62</v>
      </c>
      <c r="I31" s="110">
        <v>2917.27</v>
      </c>
      <c r="J31" s="110">
        <v>4074.5899999999997</v>
      </c>
      <c r="K31" s="110">
        <v>27.630000000000003</v>
      </c>
      <c r="L31" s="110">
        <v>5496.54</v>
      </c>
      <c r="M31" s="193">
        <f t="shared" si="1"/>
        <v>87529.45</v>
      </c>
      <c r="N31" s="111">
        <v>90768.6</v>
      </c>
      <c r="O31" s="111">
        <v>2719.16</v>
      </c>
      <c r="P31" s="111">
        <v>4512.28</v>
      </c>
      <c r="Q31" s="111">
        <v>20</v>
      </c>
      <c r="R31" s="111">
        <v>5496.54</v>
      </c>
      <c r="S31" s="195">
        <f t="shared" si="9"/>
        <v>85252.060000000012</v>
      </c>
      <c r="T31" s="109">
        <f t="shared" si="2"/>
        <v>86485.149366666679</v>
      </c>
      <c r="U31" s="109">
        <f t="shared" si="3"/>
        <v>2817.2933333333331</v>
      </c>
      <c r="V31" s="109">
        <f t="shared" si="4"/>
        <v>4687.7033333333329</v>
      </c>
      <c r="W31" s="109">
        <f t="shared" si="5"/>
        <v>5.59</v>
      </c>
      <c r="X31" s="109">
        <f t="shared" si="6"/>
        <v>5612.2533333333331</v>
      </c>
      <c r="Y31" s="204">
        <f t="shared" si="10"/>
        <v>80867.306033333356</v>
      </c>
      <c r="Z31" s="141">
        <f t="shared" si="7"/>
        <v>84549.605344444455</v>
      </c>
      <c r="AA31" s="141">
        <f t="shared" si="11"/>
        <v>2817.2933333333331</v>
      </c>
      <c r="AB31" s="141">
        <f t="shared" si="12"/>
        <v>4687.7033333333329</v>
      </c>
      <c r="AC31" s="141">
        <f t="shared" si="13"/>
        <v>5617.8433333333332</v>
      </c>
      <c r="AD31" s="120">
        <v>40454813.509800002</v>
      </c>
      <c r="AE31" s="142">
        <f>INDEX('Rate Assumptions'!$A:$B,MATCH('Base Allocation'!AE$2,'Rate Assumptions'!$A:$A,0),2)</f>
        <v>3988.586178572119</v>
      </c>
      <c r="AF31" s="142">
        <f>INDEX('Rate Assumptions'!$A:$B,MATCH('Base Allocation'!AF$2,'Rate Assumptions'!$A:$A,0),2)</f>
        <v>3456.4414961399998</v>
      </c>
      <c r="AG31" s="142">
        <f>INDEX('Rate Assumptions'!$A:$B,MATCH('Base Allocation'!AG$2,'Rate Assumptions'!$A:$A,0),2)</f>
        <v>5634.5605750409004</v>
      </c>
      <c r="AH31" s="142">
        <f>INDEX('Rate Assumptions'!$A:$B,MATCH('Base Allocation'!AH$2,'Rate Assumptions'!$A:$A,0),2)</f>
        <v>5634.5605750409004</v>
      </c>
      <c r="AI31" s="143">
        <f t="shared" si="8"/>
        <v>445493237.32675457</v>
      </c>
    </row>
    <row r="32" spans="1:35">
      <c r="A32" s="223" t="s">
        <v>118</v>
      </c>
      <c r="B32" s="110">
        <v>52402.089926000001</v>
      </c>
      <c r="C32" s="110">
        <v>237.67</v>
      </c>
      <c r="D32" s="110">
        <v>0</v>
      </c>
      <c r="E32" s="110"/>
      <c r="F32" s="110">
        <v>358.34</v>
      </c>
      <c r="G32" s="193">
        <f t="shared" si="0"/>
        <v>52043.749926000004</v>
      </c>
      <c r="H32" s="188">
        <v>44183.24</v>
      </c>
      <c r="I32" s="110">
        <v>129.82</v>
      </c>
      <c r="J32" s="110">
        <v>0</v>
      </c>
      <c r="K32" s="110">
        <v>60.8</v>
      </c>
      <c r="L32" s="110">
        <v>449.12</v>
      </c>
      <c r="M32" s="193">
        <f t="shared" si="1"/>
        <v>43673.319999999992</v>
      </c>
      <c r="N32" s="111">
        <v>52019.38</v>
      </c>
      <c r="O32" s="111">
        <v>240.84</v>
      </c>
      <c r="P32" s="111">
        <v>0</v>
      </c>
      <c r="Q32" s="111">
        <v>93.53</v>
      </c>
      <c r="R32" s="111">
        <v>545.42999999999995</v>
      </c>
      <c r="S32" s="195">
        <f t="shared" si="9"/>
        <v>51380.42</v>
      </c>
      <c r="T32" s="109">
        <f t="shared" si="2"/>
        <v>54503.856691333327</v>
      </c>
      <c r="U32" s="109">
        <f t="shared" si="3"/>
        <v>278.90333333333336</v>
      </c>
      <c r="V32" s="109">
        <f t="shared" si="4"/>
        <v>0</v>
      </c>
      <c r="W32" s="109">
        <f t="shared" si="5"/>
        <v>135.61666666666667</v>
      </c>
      <c r="X32" s="109">
        <f t="shared" si="6"/>
        <v>639.89666666666653</v>
      </c>
      <c r="Y32" s="204">
        <f t="shared" si="10"/>
        <v>53728.343357999991</v>
      </c>
      <c r="Z32" s="141">
        <f t="shared" si="7"/>
        <v>49594.027785999991</v>
      </c>
      <c r="AA32" s="141">
        <f t="shared" si="11"/>
        <v>278.90333333333336</v>
      </c>
      <c r="AB32" s="141">
        <f t="shared" si="12"/>
        <v>0</v>
      </c>
      <c r="AC32" s="141">
        <f t="shared" si="13"/>
        <v>775.51333333333321</v>
      </c>
      <c r="AD32" s="120">
        <v>26295630.898199998</v>
      </c>
      <c r="AE32" s="142">
        <f>INDEX('Rate Assumptions'!$A:$B,MATCH('Base Allocation'!AE$2,'Rate Assumptions'!$A:$A,0),2)</f>
        <v>3988.586178572119</v>
      </c>
      <c r="AF32" s="142">
        <f>INDEX('Rate Assumptions'!$A:$B,MATCH('Base Allocation'!AF$2,'Rate Assumptions'!$A:$A,0),2)</f>
        <v>3456.4414961399998</v>
      </c>
      <c r="AG32" s="142">
        <f>INDEX('Rate Assumptions'!$A:$B,MATCH('Base Allocation'!AG$2,'Rate Assumptions'!$A:$A,0),2)</f>
        <v>5634.5605750409004</v>
      </c>
      <c r="AH32" s="142">
        <f>INDEX('Rate Assumptions'!$A:$B,MATCH('Base Allocation'!AH$2,'Rate Assumptions'!$A:$A,0),2)</f>
        <v>5634.5605750409004</v>
      </c>
      <c r="AI32" s="143">
        <f t="shared" si="8"/>
        <v>229439374.57332486</v>
      </c>
    </row>
    <row r="33" spans="1:35">
      <c r="A33" s="223" t="s">
        <v>119</v>
      </c>
      <c r="B33" s="110">
        <v>3452.6599999999994</v>
      </c>
      <c r="C33" s="110">
        <v>270.67</v>
      </c>
      <c r="D33" s="110">
        <v>0</v>
      </c>
      <c r="E33" s="110"/>
      <c r="F33" s="110">
        <v>150.63999999999999</v>
      </c>
      <c r="G33" s="193">
        <f t="shared" si="0"/>
        <v>3302.0199999999995</v>
      </c>
      <c r="H33" s="188">
        <v>3439.7299999999996</v>
      </c>
      <c r="I33" s="110">
        <v>284.79000000000002</v>
      </c>
      <c r="J33" s="110">
        <v>0</v>
      </c>
      <c r="K33" s="110"/>
      <c r="L33" s="110">
        <v>201.12</v>
      </c>
      <c r="M33" s="193">
        <f t="shared" si="1"/>
        <v>3238.6099999999997</v>
      </c>
      <c r="N33" s="111">
        <v>3090.03</v>
      </c>
      <c r="O33" s="111">
        <v>284.79000000000002</v>
      </c>
      <c r="P33" s="111">
        <v>0</v>
      </c>
      <c r="Q33" s="111">
        <v>0</v>
      </c>
      <c r="R33" s="111">
        <v>156.55000000000001</v>
      </c>
      <c r="S33" s="195">
        <f t="shared" si="9"/>
        <v>2933.48</v>
      </c>
      <c r="T33" s="109">
        <f t="shared" si="2"/>
        <v>2852.5866666666675</v>
      </c>
      <c r="U33" s="109">
        <f t="shared" si="3"/>
        <v>289.49666666666667</v>
      </c>
      <c r="V33" s="109">
        <f t="shared" si="4"/>
        <v>0</v>
      </c>
      <c r="W33" s="109">
        <f t="shared" si="5"/>
        <v>0</v>
      </c>
      <c r="X33" s="109">
        <f t="shared" si="6"/>
        <v>143.66333333333336</v>
      </c>
      <c r="Y33" s="204">
        <f t="shared" si="10"/>
        <v>2708.9233333333341</v>
      </c>
      <c r="Z33" s="141">
        <f t="shared" si="7"/>
        <v>2960.3377777777773</v>
      </c>
      <c r="AA33" s="141">
        <f t="shared" si="11"/>
        <v>289.49666666666667</v>
      </c>
      <c r="AB33" s="141">
        <f t="shared" si="12"/>
        <v>0</v>
      </c>
      <c r="AC33" s="141">
        <f t="shared" si="13"/>
        <v>143.66333333333336</v>
      </c>
      <c r="AD33" s="120">
        <v>4045480.0085999998</v>
      </c>
      <c r="AE33" s="142">
        <f>INDEX('Rate Assumptions'!$A:$B,MATCH('Base Allocation'!AE$2,'Rate Assumptions'!$A:$A,0),2)</f>
        <v>3988.586178572119</v>
      </c>
      <c r="AF33" s="142">
        <f>INDEX('Rate Assumptions'!$A:$B,MATCH('Base Allocation'!AF$2,'Rate Assumptions'!$A:$A,0),2)</f>
        <v>3456.4414961399998</v>
      </c>
      <c r="AG33" s="142">
        <f>INDEX('Rate Assumptions'!$A:$B,MATCH('Base Allocation'!AG$2,'Rate Assumptions'!$A:$A,0),2)</f>
        <v>5634.5605750409004</v>
      </c>
      <c r="AH33" s="142">
        <f>INDEX('Rate Assumptions'!$A:$B,MATCH('Base Allocation'!AH$2,'Rate Assumptions'!$A:$A,0),2)</f>
        <v>5634.5605750409004</v>
      </c>
      <c r="AI33" s="143">
        <f t="shared" si="8"/>
        <v>17663150.398689181</v>
      </c>
    </row>
    <row r="34" spans="1:35">
      <c r="A34" s="223" t="s">
        <v>120</v>
      </c>
      <c r="B34" s="110">
        <v>2983.3100019999997</v>
      </c>
      <c r="C34" s="110">
        <v>42.120000000000005</v>
      </c>
      <c r="D34" s="110">
        <v>39.6</v>
      </c>
      <c r="E34" s="110"/>
      <c r="F34" s="110">
        <v>398.58</v>
      </c>
      <c r="G34" s="193">
        <f t="shared" si="0"/>
        <v>2584.7300019999998</v>
      </c>
      <c r="H34" s="188">
        <v>2369.96</v>
      </c>
      <c r="I34" s="110">
        <v>36.400000000000006</v>
      </c>
      <c r="J34" s="110">
        <v>49.79</v>
      </c>
      <c r="K34" s="110"/>
      <c r="L34" s="110">
        <v>205.79</v>
      </c>
      <c r="M34" s="193">
        <f t="shared" si="1"/>
        <v>2164.17</v>
      </c>
      <c r="N34" s="111">
        <v>2803.41</v>
      </c>
      <c r="O34" s="111">
        <v>31.980000000000004</v>
      </c>
      <c r="P34" s="111">
        <v>56.25</v>
      </c>
      <c r="Q34" s="111">
        <v>0</v>
      </c>
      <c r="R34" s="111">
        <v>288.98</v>
      </c>
      <c r="S34" s="195">
        <f t="shared" si="9"/>
        <v>2514.4299999999998</v>
      </c>
      <c r="T34" s="109">
        <f t="shared" si="2"/>
        <v>2887.9266659999998</v>
      </c>
      <c r="U34" s="109">
        <f t="shared" si="3"/>
        <v>27.126666666666669</v>
      </c>
      <c r="V34" s="109">
        <f t="shared" si="4"/>
        <v>63.953333333333333</v>
      </c>
      <c r="W34" s="109">
        <f t="shared" si="5"/>
        <v>0</v>
      </c>
      <c r="X34" s="109">
        <f t="shared" si="6"/>
        <v>280.17666666666673</v>
      </c>
      <c r="Y34" s="204">
        <f t="shared" si="10"/>
        <v>2607.7499993333331</v>
      </c>
      <c r="Z34" s="141">
        <f t="shared" si="7"/>
        <v>2428.783333111111</v>
      </c>
      <c r="AA34" s="141">
        <f t="shared" si="11"/>
        <v>27.126666666666669</v>
      </c>
      <c r="AB34" s="141">
        <f t="shared" si="12"/>
        <v>63.953333333333333</v>
      </c>
      <c r="AC34" s="141">
        <f t="shared" si="13"/>
        <v>280.17666666666673</v>
      </c>
      <c r="AD34" s="120">
        <v>6343562.2866000002</v>
      </c>
      <c r="AE34" s="142">
        <f>INDEX('Rate Assumptions'!$A:$B,MATCH('Base Allocation'!AE$2,'Rate Assumptions'!$A:$A,0),2)</f>
        <v>3988.586178572119</v>
      </c>
      <c r="AF34" s="142">
        <f>INDEX('Rate Assumptions'!$A:$B,MATCH('Base Allocation'!AF$2,'Rate Assumptions'!$A:$A,0),2)</f>
        <v>3456.4414961399998</v>
      </c>
      <c r="AG34" s="142">
        <f>INDEX('Rate Assumptions'!$A:$B,MATCH('Base Allocation'!AG$2,'Rate Assumptions'!$A:$A,0),2)</f>
        <v>5634.5605750409004</v>
      </c>
      <c r="AH34" s="142">
        <f>INDEX('Rate Assumptions'!$A:$B,MATCH('Base Allocation'!AH$2,'Rate Assumptions'!$A:$A,0),2)</f>
        <v>5634.5605750409004</v>
      </c>
      <c r="AI34" s="143">
        <f t="shared" si="8"/>
        <v>18063756.986800749</v>
      </c>
    </row>
    <row r="35" spans="1:35">
      <c r="A35" s="223" t="s">
        <v>121</v>
      </c>
      <c r="B35" s="110">
        <v>8760.9799640000019</v>
      </c>
      <c r="C35" s="110">
        <v>228.52999999999997</v>
      </c>
      <c r="D35" s="110">
        <v>560.37</v>
      </c>
      <c r="E35" s="110">
        <v>45.26</v>
      </c>
      <c r="F35" s="110">
        <v>357.36</v>
      </c>
      <c r="G35" s="193">
        <f t="shared" si="0"/>
        <v>8358.3599640000011</v>
      </c>
      <c r="H35" s="188">
        <v>8379.0300000000025</v>
      </c>
      <c r="I35" s="110">
        <v>183.31999999999996</v>
      </c>
      <c r="J35" s="110">
        <v>690.09</v>
      </c>
      <c r="K35" s="110">
        <v>75</v>
      </c>
      <c r="L35" s="110">
        <v>519.14</v>
      </c>
      <c r="M35" s="193">
        <f t="shared" si="1"/>
        <v>7784.8900000000021</v>
      </c>
      <c r="N35" s="111">
        <v>8971.49</v>
      </c>
      <c r="O35" s="111">
        <v>365.69999999999993</v>
      </c>
      <c r="P35" s="111">
        <v>663.84</v>
      </c>
      <c r="Q35" s="111">
        <v>147.21</v>
      </c>
      <c r="R35" s="111">
        <v>72.941232431869736</v>
      </c>
      <c r="S35" s="195">
        <f t="shared" si="9"/>
        <v>8751.3387675681315</v>
      </c>
      <c r="T35" s="109">
        <f t="shared" si="2"/>
        <v>9239.1466786666642</v>
      </c>
      <c r="U35" s="109">
        <f t="shared" si="3"/>
        <v>472.21666666666658</v>
      </c>
      <c r="V35" s="109">
        <f t="shared" si="4"/>
        <v>689.58</v>
      </c>
      <c r="W35" s="109">
        <f t="shared" si="5"/>
        <v>205.26333333333332</v>
      </c>
      <c r="X35" s="109">
        <f t="shared" si="6"/>
        <v>72.941232431869736</v>
      </c>
      <c r="Y35" s="204">
        <f t="shared" si="10"/>
        <v>8960.9421129014627</v>
      </c>
      <c r="Z35" s="141">
        <f t="shared" si="7"/>
        <v>8499.056960156533</v>
      </c>
      <c r="AA35" s="141">
        <f t="shared" si="11"/>
        <v>472.21666666666658</v>
      </c>
      <c r="AB35" s="141">
        <f t="shared" si="12"/>
        <v>689.58</v>
      </c>
      <c r="AC35" s="141">
        <f t="shared" si="13"/>
        <v>278.20456576520303</v>
      </c>
      <c r="AD35" s="120">
        <v>5393974.0331999995</v>
      </c>
      <c r="AE35" s="142">
        <f>INDEX('Rate Assumptions'!$A:$B,MATCH('Base Allocation'!AE$2,'Rate Assumptions'!$A:$A,0),2)</f>
        <v>3988.586178572119</v>
      </c>
      <c r="AF35" s="142">
        <f>INDEX('Rate Assumptions'!$A:$B,MATCH('Base Allocation'!AF$2,'Rate Assumptions'!$A:$A,0),2)</f>
        <v>3456.4414961399998</v>
      </c>
      <c r="AG35" s="142">
        <f>INDEX('Rate Assumptions'!$A:$B,MATCH('Base Allocation'!AG$2,'Rate Assumptions'!$A:$A,0),2)</f>
        <v>5634.5605750409004</v>
      </c>
      <c r="AH35" s="142">
        <f>INDEX('Rate Assumptions'!$A:$B,MATCH('Base Allocation'!AH$2,'Rate Assumptions'!$A:$A,0),2)</f>
        <v>5634.5605750409004</v>
      </c>
      <c r="AI35" s="143">
        <f t="shared" si="8"/>
        <v>46378425.196606785</v>
      </c>
    </row>
    <row r="36" spans="1:35">
      <c r="A36" s="223" t="s">
        <v>122</v>
      </c>
      <c r="B36" s="110">
        <v>10299.250000000002</v>
      </c>
      <c r="C36" s="110">
        <v>782.45</v>
      </c>
      <c r="D36" s="110">
        <v>0</v>
      </c>
      <c r="E36" s="110"/>
      <c r="F36" s="110">
        <v>151.13</v>
      </c>
      <c r="G36" s="193">
        <f t="shared" si="0"/>
        <v>10148.120000000003</v>
      </c>
      <c r="H36" s="188">
        <v>10274.230000000001</v>
      </c>
      <c r="I36" s="110">
        <v>759.88</v>
      </c>
      <c r="J36" s="110">
        <v>0</v>
      </c>
      <c r="K36" s="110"/>
      <c r="L36" s="110">
        <v>150.49</v>
      </c>
      <c r="M36" s="193">
        <f t="shared" si="1"/>
        <v>10123.740000000002</v>
      </c>
      <c r="N36" s="111">
        <v>9249.7099999999991</v>
      </c>
      <c r="O36" s="111">
        <v>759.88</v>
      </c>
      <c r="P36" s="111">
        <v>0</v>
      </c>
      <c r="Q36" s="111">
        <v>0</v>
      </c>
      <c r="R36" s="111">
        <v>122.55</v>
      </c>
      <c r="S36" s="195">
        <f t="shared" si="9"/>
        <v>9127.16</v>
      </c>
      <c r="T36" s="109">
        <f t="shared" si="2"/>
        <v>8558.3566666666648</v>
      </c>
      <c r="U36" s="109">
        <f t="shared" si="3"/>
        <v>752.35666666666668</v>
      </c>
      <c r="V36" s="109">
        <f t="shared" si="4"/>
        <v>0</v>
      </c>
      <c r="W36" s="109">
        <f t="shared" si="5"/>
        <v>0</v>
      </c>
      <c r="X36" s="109">
        <f t="shared" si="6"/>
        <v>103.71000000000001</v>
      </c>
      <c r="Y36" s="204">
        <f t="shared" si="10"/>
        <v>8454.6466666666656</v>
      </c>
      <c r="Z36" s="141">
        <f t="shared" si="7"/>
        <v>9235.1822222222218</v>
      </c>
      <c r="AA36" s="141">
        <f t="shared" si="11"/>
        <v>752.35666666666668</v>
      </c>
      <c r="AB36" s="141">
        <f t="shared" si="12"/>
        <v>0</v>
      </c>
      <c r="AC36" s="141">
        <f t="shared" si="13"/>
        <v>103.71000000000001</v>
      </c>
      <c r="AD36" s="120">
        <v>6742470.1229999997</v>
      </c>
      <c r="AE36" s="142">
        <f>INDEX('Rate Assumptions'!$A:$B,MATCH('Base Allocation'!AE$2,'Rate Assumptions'!$A:$A,0),2)</f>
        <v>3988.586178572119</v>
      </c>
      <c r="AF36" s="142">
        <f>INDEX('Rate Assumptions'!$A:$B,MATCH('Base Allocation'!AF$2,'Rate Assumptions'!$A:$A,0),2)</f>
        <v>3456.4414961399998</v>
      </c>
      <c r="AG36" s="142">
        <f>INDEX('Rate Assumptions'!$A:$B,MATCH('Base Allocation'!AG$2,'Rate Assumptions'!$A:$A,0),2)</f>
        <v>5634.5605750409004</v>
      </c>
      <c r="AH36" s="142">
        <f>INDEX('Rate Assumptions'!$A:$B,MATCH('Base Allocation'!AH$2,'Rate Assumptions'!$A:$A,0),2)</f>
        <v>5634.5605750409004</v>
      </c>
      <c r="AI36" s="143">
        <f t="shared" si="8"/>
        <v>46762627.370952219</v>
      </c>
    </row>
    <row r="37" spans="1:35">
      <c r="A37" s="223" t="s">
        <v>123</v>
      </c>
      <c r="B37" s="110">
        <v>6258.5700600000009</v>
      </c>
      <c r="C37" s="110">
        <v>355.89999999999992</v>
      </c>
      <c r="D37" s="110">
        <v>82.58</v>
      </c>
      <c r="E37" s="110"/>
      <c r="F37" s="110">
        <v>120.21</v>
      </c>
      <c r="G37" s="193">
        <f t="shared" si="0"/>
        <v>6138.3600600000009</v>
      </c>
      <c r="H37" s="188">
        <v>5956.3000000000011</v>
      </c>
      <c r="I37" s="110">
        <v>230.01999999999992</v>
      </c>
      <c r="J37" s="110">
        <v>87.89</v>
      </c>
      <c r="K37" s="110"/>
      <c r="L37" s="110">
        <v>140.1</v>
      </c>
      <c r="M37" s="193">
        <f t="shared" ref="M37:M68" si="14">H37-K37-L37</f>
        <v>5816.2000000000007</v>
      </c>
      <c r="N37" s="111">
        <v>5968.8</v>
      </c>
      <c r="O37" s="111">
        <v>293.83</v>
      </c>
      <c r="P37" s="111">
        <v>37.24</v>
      </c>
      <c r="Q37" s="111">
        <v>0</v>
      </c>
      <c r="R37" s="111">
        <v>149.9</v>
      </c>
      <c r="S37" s="195">
        <f t="shared" si="9"/>
        <v>5818.9000000000005</v>
      </c>
      <c r="T37" s="109">
        <f t="shared" ref="T37:T68" si="15">IF((H37-B37)*(1/3)+(N37-H37)*(2/3) + N37&gt;0,N37+(H37-B37)*(1/3)+(N37-H37)*(2/3),N37)</f>
        <v>5876.3766466666666</v>
      </c>
      <c r="U37" s="109">
        <f t="shared" ref="U37:U68" si="16">IF((I37-C37)*(1/3)+(O37-I37)*(2/3) + O37&gt;0,O37+(I37-C37)*(1/3)+(O37-I37)*(2/3),O37)</f>
        <v>294.41000000000003</v>
      </c>
      <c r="V37" s="109">
        <f t="shared" ref="V37:V68" si="17">IF((J37-D37)*(1/3)+(P37-J37)*(2/3) + P37&gt;0,P37+(J37-D37)*(1/3)+(P37-J37)*(2/3),P37)</f>
        <v>5.2433333333333394</v>
      </c>
      <c r="W37" s="109">
        <f t="shared" ref="W37:W68" si="18">IF((K37-E37)*(1/3)+(Q37-K37)*(2/3) + Q37&gt;0,Q37+(K37-E37)*(1/3)+(Q37-K37)*(2/3),Q37)</f>
        <v>0</v>
      </c>
      <c r="X37" s="109">
        <f t="shared" ref="X37:X68" si="19">IF((L37-F37)*(1/3)+(R37-L37)*(2/3) + R37&gt;0,R37+(L37-F37)*(1/3)+(R37-L37)*(2/3),R37)</f>
        <v>163.06333333333333</v>
      </c>
      <c r="Y37" s="204">
        <f t="shared" si="10"/>
        <v>5713.3133133333331</v>
      </c>
      <c r="Z37" s="141">
        <f t="shared" ref="Z37:Z68" si="20">AVERAGE(Y37,S37,M37)</f>
        <v>5782.8044377777778</v>
      </c>
      <c r="AA37" s="141">
        <f t="shared" si="11"/>
        <v>294.41000000000003</v>
      </c>
      <c r="AB37" s="141">
        <f t="shared" si="12"/>
        <v>5.2433333333333394</v>
      </c>
      <c r="AC37" s="141">
        <f t="shared" si="13"/>
        <v>163.06333333333333</v>
      </c>
      <c r="AD37" s="120">
        <v>4382603.2566</v>
      </c>
      <c r="AE37" s="142">
        <f>INDEX('Rate Assumptions'!$A:$B,MATCH('Base Allocation'!AE$2,'Rate Assumptions'!$A:$A,0),2)</f>
        <v>3988.586178572119</v>
      </c>
      <c r="AF37" s="142">
        <f>INDEX('Rate Assumptions'!$A:$B,MATCH('Base Allocation'!AF$2,'Rate Assumptions'!$A:$A,0),2)</f>
        <v>3456.4414961399998</v>
      </c>
      <c r="AG37" s="142">
        <f>INDEX('Rate Assumptions'!$A:$B,MATCH('Base Allocation'!AG$2,'Rate Assumptions'!$A:$A,0),2)</f>
        <v>5634.5605750409004</v>
      </c>
      <c r="AH37" s="142">
        <f>INDEX('Rate Assumptions'!$A:$B,MATCH('Base Allocation'!AH$2,'Rate Assumptions'!$A:$A,0),2)</f>
        <v>5634.5605750409004</v>
      </c>
      <c r="AI37" s="143">
        <f t="shared" ref="AI37:AI68" si="21">AD37+SUMPRODUCT(Z37:AC37,AE37:AH37)</f>
        <v>29413762.159901083</v>
      </c>
    </row>
    <row r="38" spans="1:35">
      <c r="A38" s="223" t="s">
        <v>124</v>
      </c>
      <c r="B38" s="110">
        <v>24240.05</v>
      </c>
      <c r="C38" s="110">
        <v>1697.1799999999998</v>
      </c>
      <c r="D38" s="110">
        <v>5080.4000000000005</v>
      </c>
      <c r="E38" s="110"/>
      <c r="F38" s="110">
        <v>24.49</v>
      </c>
      <c r="G38" s="193">
        <f t="shared" si="0"/>
        <v>24215.559999999998</v>
      </c>
      <c r="H38" s="188">
        <v>24977.134903999999</v>
      </c>
      <c r="I38" s="110">
        <v>1557.8100000000004</v>
      </c>
      <c r="J38" s="110">
        <v>6169.3700000000008</v>
      </c>
      <c r="K38" s="110"/>
      <c r="L38" s="110">
        <v>108.69</v>
      </c>
      <c r="M38" s="193">
        <f t="shared" si="14"/>
        <v>24868.444904</v>
      </c>
      <c r="N38" s="111">
        <v>24957.29</v>
      </c>
      <c r="O38" s="111">
        <v>1636.0300000000007</v>
      </c>
      <c r="P38" s="111">
        <v>6299.98</v>
      </c>
      <c r="Q38" s="111">
        <v>0</v>
      </c>
      <c r="R38" s="111">
        <v>57.30697723485217</v>
      </c>
      <c r="S38" s="195">
        <f t="shared" si="9"/>
        <v>24899.983022765147</v>
      </c>
      <c r="T38" s="109">
        <f t="shared" si="15"/>
        <v>25189.755032000001</v>
      </c>
      <c r="U38" s="109">
        <f t="shared" si="16"/>
        <v>1641.7200000000009</v>
      </c>
      <c r="V38" s="109">
        <f t="shared" si="17"/>
        <v>6750.0433333333322</v>
      </c>
      <c r="W38" s="109">
        <f t="shared" si="18"/>
        <v>0</v>
      </c>
      <c r="X38" s="109">
        <f t="shared" si="19"/>
        <v>51.118295391420283</v>
      </c>
      <c r="Y38" s="204">
        <f t="shared" si="10"/>
        <v>25138.63673660858</v>
      </c>
      <c r="Z38" s="141">
        <f t="shared" si="20"/>
        <v>24969.021554457911</v>
      </c>
      <c r="AA38" s="141">
        <f t="shared" si="11"/>
        <v>1641.7200000000009</v>
      </c>
      <c r="AB38" s="141">
        <f t="shared" si="12"/>
        <v>6750.0433333333322</v>
      </c>
      <c r="AC38" s="141">
        <f t="shared" si="13"/>
        <v>51.118295391420283</v>
      </c>
      <c r="AD38" s="120">
        <v>6742470.1229999997</v>
      </c>
      <c r="AE38" s="142">
        <f>INDEX('Rate Assumptions'!$A:$B,MATCH('Base Allocation'!AE$2,'Rate Assumptions'!$A:$A,0),2)</f>
        <v>3988.586178572119</v>
      </c>
      <c r="AF38" s="142">
        <f>INDEX('Rate Assumptions'!$A:$B,MATCH('Base Allocation'!AF$2,'Rate Assumptions'!$A:$A,0),2)</f>
        <v>3456.4414961399998</v>
      </c>
      <c r="AG38" s="142">
        <f>INDEX('Rate Assumptions'!$A:$B,MATCH('Base Allocation'!AG$2,'Rate Assumptions'!$A:$A,0),2)</f>
        <v>5634.5605750409004</v>
      </c>
      <c r="AH38" s="142">
        <f>INDEX('Rate Assumptions'!$A:$B,MATCH('Base Allocation'!AH$2,'Rate Assumptions'!$A:$A,0),2)</f>
        <v>5634.5605750409004</v>
      </c>
      <c r="AI38" s="143">
        <f t="shared" si="21"/>
        <v>150329630.69831654</v>
      </c>
    </row>
    <row r="39" spans="1:35">
      <c r="A39" s="223" t="s">
        <v>125</v>
      </c>
      <c r="B39" s="110">
        <v>11828.490023</v>
      </c>
      <c r="C39" s="110">
        <v>320.34000000000003</v>
      </c>
      <c r="D39" s="110">
        <v>271.38</v>
      </c>
      <c r="E39" s="110"/>
      <c r="F39" s="110">
        <v>100.61</v>
      </c>
      <c r="G39" s="193">
        <f t="shared" si="0"/>
        <v>11727.880023</v>
      </c>
      <c r="H39" s="188">
        <v>10195.460000000001</v>
      </c>
      <c r="I39" s="110">
        <v>367.36</v>
      </c>
      <c r="J39" s="110">
        <v>242.17</v>
      </c>
      <c r="K39" s="110"/>
      <c r="L39" s="110">
        <v>79.69</v>
      </c>
      <c r="M39" s="193">
        <f t="shared" si="14"/>
        <v>10115.77</v>
      </c>
      <c r="N39" s="111">
        <v>11454.47</v>
      </c>
      <c r="O39" s="111">
        <v>274.04000000000002</v>
      </c>
      <c r="P39" s="111">
        <v>260.8</v>
      </c>
      <c r="Q39" s="111">
        <v>0</v>
      </c>
      <c r="R39" s="111">
        <v>141.21</v>
      </c>
      <c r="S39" s="195">
        <f t="shared" si="9"/>
        <v>11313.26</v>
      </c>
      <c r="T39" s="109">
        <f t="shared" si="15"/>
        <v>11749.466658999998</v>
      </c>
      <c r="U39" s="109">
        <f t="shared" si="16"/>
        <v>227.50000000000006</v>
      </c>
      <c r="V39" s="109">
        <f t="shared" si="17"/>
        <v>263.48333333333335</v>
      </c>
      <c r="W39" s="109">
        <f t="shared" si="18"/>
        <v>0</v>
      </c>
      <c r="X39" s="109">
        <f t="shared" si="19"/>
        <v>175.25</v>
      </c>
      <c r="Y39" s="204">
        <f t="shared" si="10"/>
        <v>11574.216658999998</v>
      </c>
      <c r="Z39" s="141">
        <f t="shared" si="20"/>
        <v>11001.082219666665</v>
      </c>
      <c r="AA39" s="141">
        <f t="shared" si="11"/>
        <v>227.50000000000006</v>
      </c>
      <c r="AB39" s="141">
        <f t="shared" si="12"/>
        <v>263.48333333333335</v>
      </c>
      <c r="AC39" s="141">
        <f t="shared" si="13"/>
        <v>175.25</v>
      </c>
      <c r="AD39" s="120">
        <v>6742470.1229999997</v>
      </c>
      <c r="AE39" s="142">
        <f>INDEX('Rate Assumptions'!$A:$B,MATCH('Base Allocation'!AE$2,'Rate Assumptions'!$A:$A,0),2)</f>
        <v>3988.586178572119</v>
      </c>
      <c r="AF39" s="142">
        <f>INDEX('Rate Assumptions'!$A:$B,MATCH('Base Allocation'!AF$2,'Rate Assumptions'!$A:$A,0),2)</f>
        <v>3456.4414961399998</v>
      </c>
      <c r="AG39" s="142">
        <f>INDEX('Rate Assumptions'!$A:$B,MATCH('Base Allocation'!AG$2,'Rate Assumptions'!$A:$A,0),2)</f>
        <v>5634.5605750409004</v>
      </c>
      <c r="AH39" s="142">
        <f>INDEX('Rate Assumptions'!$A:$B,MATCH('Base Allocation'!AH$2,'Rate Assumptions'!$A:$A,0),2)</f>
        <v>5634.5605750409004</v>
      </c>
      <c r="AI39" s="143">
        <f t="shared" si="21"/>
        <v>53879644.59702608</v>
      </c>
    </row>
    <row r="40" spans="1:35">
      <c r="A40" s="223" t="s">
        <v>126</v>
      </c>
      <c r="B40" s="110">
        <v>4840.9999999999991</v>
      </c>
      <c r="C40" s="110">
        <v>453.46000000000004</v>
      </c>
      <c r="D40" s="110">
        <v>11.99</v>
      </c>
      <c r="E40" s="110"/>
      <c r="F40" s="110">
        <v>129.38999999999999</v>
      </c>
      <c r="G40" s="193">
        <f t="shared" si="0"/>
        <v>4711.6099999999988</v>
      </c>
      <c r="H40" s="188">
        <v>4749.6299999999992</v>
      </c>
      <c r="I40" s="110">
        <v>418.75000000000006</v>
      </c>
      <c r="J40" s="110">
        <v>5.7700000000000005</v>
      </c>
      <c r="K40" s="110"/>
      <c r="L40" s="110">
        <v>185.77</v>
      </c>
      <c r="M40" s="193">
        <f t="shared" si="14"/>
        <v>4563.8599999999988</v>
      </c>
      <c r="N40" s="111">
        <v>4597.67</v>
      </c>
      <c r="O40" s="111">
        <v>418.75000000000006</v>
      </c>
      <c r="P40" s="111">
        <v>5.7700000000000005</v>
      </c>
      <c r="Q40" s="111">
        <v>0</v>
      </c>
      <c r="R40" s="111">
        <v>143.47</v>
      </c>
      <c r="S40" s="195">
        <f t="shared" si="9"/>
        <v>4454.2</v>
      </c>
      <c r="T40" s="109">
        <f t="shared" si="15"/>
        <v>4465.9066666666668</v>
      </c>
      <c r="U40" s="109">
        <f t="shared" si="16"/>
        <v>407.18000000000006</v>
      </c>
      <c r="V40" s="109">
        <f t="shared" si="17"/>
        <v>3.6966666666666672</v>
      </c>
      <c r="W40" s="109">
        <f t="shared" si="18"/>
        <v>0</v>
      </c>
      <c r="X40" s="109">
        <f t="shared" si="19"/>
        <v>134.06333333333333</v>
      </c>
      <c r="Y40" s="204">
        <f t="shared" si="10"/>
        <v>4331.8433333333332</v>
      </c>
      <c r="Z40" s="141">
        <f t="shared" si="20"/>
        <v>4449.967777777777</v>
      </c>
      <c r="AA40" s="141">
        <f t="shared" si="11"/>
        <v>407.18000000000006</v>
      </c>
      <c r="AB40" s="141">
        <f t="shared" si="12"/>
        <v>3.6966666666666672</v>
      </c>
      <c r="AC40" s="141">
        <f t="shared" si="13"/>
        <v>134.06333333333333</v>
      </c>
      <c r="AD40" s="120">
        <v>4719726.5045999996</v>
      </c>
      <c r="AE40" s="142">
        <f>INDEX('Rate Assumptions'!$A:$B,MATCH('Base Allocation'!AE$2,'Rate Assumptions'!$A:$A,0),2)</f>
        <v>3988.586178572119</v>
      </c>
      <c r="AF40" s="142">
        <f>INDEX('Rate Assumptions'!$A:$B,MATCH('Base Allocation'!AF$2,'Rate Assumptions'!$A:$A,0),2)</f>
        <v>3456.4414961399998</v>
      </c>
      <c r="AG40" s="142">
        <f>INDEX('Rate Assumptions'!$A:$B,MATCH('Base Allocation'!AG$2,'Rate Assumptions'!$A:$A,0),2)</f>
        <v>5634.5605750409004</v>
      </c>
      <c r="AH40" s="142">
        <f>INDEX('Rate Assumptions'!$A:$B,MATCH('Base Allocation'!AH$2,'Rate Assumptions'!$A:$A,0),2)</f>
        <v>5634.5605750409004</v>
      </c>
      <c r="AI40" s="143">
        <f t="shared" si="21"/>
        <v>24652417.391351648</v>
      </c>
    </row>
    <row r="41" spans="1:35">
      <c r="A41" s="223" t="s">
        <v>127</v>
      </c>
      <c r="B41" s="110">
        <v>32051.030064999999</v>
      </c>
      <c r="C41" s="110">
        <v>2631.7900000000004</v>
      </c>
      <c r="D41" s="110">
        <v>2565.56</v>
      </c>
      <c r="E41" s="110"/>
      <c r="F41" s="110">
        <v>263.70999999999998</v>
      </c>
      <c r="G41" s="193">
        <f t="shared" si="0"/>
        <v>31787.320065</v>
      </c>
      <c r="H41" s="188">
        <v>27208.32</v>
      </c>
      <c r="I41" s="110">
        <v>2573.5700000000006</v>
      </c>
      <c r="J41" s="110">
        <v>2664.91</v>
      </c>
      <c r="K41" s="110"/>
      <c r="L41" s="110">
        <v>251.8</v>
      </c>
      <c r="M41" s="193">
        <f t="shared" si="14"/>
        <v>26956.52</v>
      </c>
      <c r="N41" s="111">
        <v>28054.18</v>
      </c>
      <c r="O41" s="111">
        <v>4039.74</v>
      </c>
      <c r="P41" s="111">
        <v>1066.1400000000001</v>
      </c>
      <c r="Q41" s="111">
        <v>0</v>
      </c>
      <c r="R41" s="111">
        <v>504.2</v>
      </c>
      <c r="S41" s="195">
        <f t="shared" si="9"/>
        <v>27549.98</v>
      </c>
      <c r="T41" s="109">
        <f t="shared" si="15"/>
        <v>27003.849978333332</v>
      </c>
      <c r="U41" s="109">
        <f t="shared" si="16"/>
        <v>4997.7799999999988</v>
      </c>
      <c r="V41" s="109">
        <f t="shared" si="17"/>
        <v>33.410000000000309</v>
      </c>
      <c r="W41" s="109">
        <f t="shared" si="18"/>
        <v>0</v>
      </c>
      <c r="X41" s="109">
        <f t="shared" si="19"/>
        <v>668.49666666666667</v>
      </c>
      <c r="Y41" s="204">
        <f t="shared" si="10"/>
        <v>26335.353311666666</v>
      </c>
      <c r="Z41" s="141">
        <f t="shared" si="20"/>
        <v>26947.284437222221</v>
      </c>
      <c r="AA41" s="141">
        <f t="shared" si="11"/>
        <v>4997.7799999999988</v>
      </c>
      <c r="AB41" s="141">
        <f t="shared" si="12"/>
        <v>33.410000000000309</v>
      </c>
      <c r="AC41" s="141">
        <f t="shared" si="13"/>
        <v>668.49666666666667</v>
      </c>
      <c r="AD41" s="120">
        <v>10787952.196799999</v>
      </c>
      <c r="AE41" s="142">
        <f>INDEX('Rate Assumptions'!$A:$B,MATCH('Base Allocation'!AE$2,'Rate Assumptions'!$A:$A,0),2)</f>
        <v>3988.586178572119</v>
      </c>
      <c r="AF41" s="142">
        <f>INDEX('Rate Assumptions'!$A:$B,MATCH('Base Allocation'!AF$2,'Rate Assumptions'!$A:$A,0),2)</f>
        <v>3456.4414961399998</v>
      </c>
      <c r="AG41" s="142">
        <f>INDEX('Rate Assumptions'!$A:$B,MATCH('Base Allocation'!AG$2,'Rate Assumptions'!$A:$A,0),2)</f>
        <v>5634.5605750409004</v>
      </c>
      <c r="AH41" s="142">
        <f>INDEX('Rate Assumptions'!$A:$B,MATCH('Base Allocation'!AH$2,'Rate Assumptions'!$A:$A,0),2)</f>
        <v>5634.5605750409004</v>
      </c>
      <c r="AI41" s="143">
        <f t="shared" si="21"/>
        <v>139498988.26509303</v>
      </c>
    </row>
    <row r="42" spans="1:35">
      <c r="A42" s="223" t="s">
        <v>128</v>
      </c>
      <c r="B42" s="110">
        <v>8239.9999019999996</v>
      </c>
      <c r="C42" s="110">
        <v>0</v>
      </c>
      <c r="D42" s="110">
        <v>0</v>
      </c>
      <c r="E42" s="110"/>
      <c r="F42" s="110">
        <v>1307.92</v>
      </c>
      <c r="G42" s="193">
        <f t="shared" si="0"/>
        <v>6932.0799019999995</v>
      </c>
      <c r="H42" s="188">
        <v>6833.4599999999991</v>
      </c>
      <c r="I42" s="110">
        <v>0</v>
      </c>
      <c r="J42" s="110">
        <v>0</v>
      </c>
      <c r="K42" s="110"/>
      <c r="L42" s="110">
        <v>943.95</v>
      </c>
      <c r="M42" s="193">
        <f t="shared" si="14"/>
        <v>5889.5099999999993</v>
      </c>
      <c r="N42" s="111">
        <v>7850.49</v>
      </c>
      <c r="O42" s="111">
        <v>3.0000000000000027E-2</v>
      </c>
      <c r="P42" s="111">
        <v>1.48</v>
      </c>
      <c r="Q42" s="111">
        <v>0</v>
      </c>
      <c r="R42" s="111">
        <v>492.6</v>
      </c>
      <c r="S42" s="195">
        <f t="shared" si="9"/>
        <v>7357.8899999999994</v>
      </c>
      <c r="T42" s="109">
        <f t="shared" si="15"/>
        <v>8059.6633659999998</v>
      </c>
      <c r="U42" s="109">
        <f t="shared" si="16"/>
        <v>5.0000000000000044E-2</v>
      </c>
      <c r="V42" s="109">
        <f t="shared" si="17"/>
        <v>2.4666666666666668</v>
      </c>
      <c r="W42" s="109">
        <f t="shared" si="18"/>
        <v>0</v>
      </c>
      <c r="X42" s="109">
        <f t="shared" si="19"/>
        <v>70.376666666666722</v>
      </c>
      <c r="Y42" s="204">
        <f t="shared" si="10"/>
        <v>7989.2866993333328</v>
      </c>
      <c r="Z42" s="141">
        <f t="shared" si="20"/>
        <v>7078.8955664444438</v>
      </c>
      <c r="AA42" s="141">
        <f t="shared" si="11"/>
        <v>5.0000000000000044E-2</v>
      </c>
      <c r="AB42" s="141">
        <f t="shared" si="12"/>
        <v>2.4666666666666668</v>
      </c>
      <c r="AC42" s="141">
        <f t="shared" si="13"/>
        <v>70.376666666666722</v>
      </c>
      <c r="AD42" s="120">
        <v>5393974.0331999995</v>
      </c>
      <c r="AE42" s="142">
        <f>INDEX('Rate Assumptions'!$A:$B,MATCH('Base Allocation'!AE$2,'Rate Assumptions'!$A:$A,0),2)</f>
        <v>3988.586178572119</v>
      </c>
      <c r="AF42" s="142">
        <f>INDEX('Rate Assumptions'!$A:$B,MATCH('Base Allocation'!AF$2,'Rate Assumptions'!$A:$A,0),2)</f>
        <v>3456.4414961399998</v>
      </c>
      <c r="AG42" s="142">
        <f>INDEX('Rate Assumptions'!$A:$B,MATCH('Base Allocation'!AG$2,'Rate Assumptions'!$A:$A,0),2)</f>
        <v>5634.5605750409004</v>
      </c>
      <c r="AH42" s="142">
        <f>INDEX('Rate Assumptions'!$A:$B,MATCH('Base Allocation'!AH$2,'Rate Assumptions'!$A:$A,0),2)</f>
        <v>5634.5605750409004</v>
      </c>
      <c r="AI42" s="143">
        <f t="shared" si="21"/>
        <v>34039372.045305133</v>
      </c>
    </row>
    <row r="43" spans="1:35">
      <c r="A43" s="223" t="s">
        <v>129</v>
      </c>
      <c r="B43" s="110">
        <v>1957.9300189999997</v>
      </c>
      <c r="C43" s="110">
        <v>21.959999999999994</v>
      </c>
      <c r="D43" s="110">
        <v>115.11</v>
      </c>
      <c r="E43" s="110">
        <v>890.02</v>
      </c>
      <c r="F43" s="110">
        <v>58.77</v>
      </c>
      <c r="G43" s="193">
        <f t="shared" si="0"/>
        <v>1009.1400189999997</v>
      </c>
      <c r="H43" s="188">
        <v>2051.5482519999996</v>
      </c>
      <c r="I43" s="110">
        <v>12.510000000000005</v>
      </c>
      <c r="J43" s="110">
        <v>101.02</v>
      </c>
      <c r="K43" s="110">
        <v>816.79</v>
      </c>
      <c r="L43" s="110">
        <v>50.25</v>
      </c>
      <c r="M43" s="193">
        <f t="shared" si="14"/>
        <v>1184.5082519999996</v>
      </c>
      <c r="N43" s="111">
        <v>2067.14</v>
      </c>
      <c r="O43" s="111">
        <v>23.48</v>
      </c>
      <c r="P43" s="111">
        <v>6.019999999999996</v>
      </c>
      <c r="Q43" s="111">
        <v>723.94755290616342</v>
      </c>
      <c r="R43" s="111">
        <v>0</v>
      </c>
      <c r="S43" s="195">
        <f t="shared" si="9"/>
        <v>1343.1924470938366</v>
      </c>
      <c r="T43" s="109">
        <f t="shared" si="15"/>
        <v>2108.7405763333336</v>
      </c>
      <c r="U43" s="109">
        <f t="shared" si="16"/>
        <v>27.643333333333334</v>
      </c>
      <c r="V43" s="109">
        <f t="shared" si="17"/>
        <v>6.019999999999996</v>
      </c>
      <c r="W43" s="109">
        <f t="shared" si="18"/>
        <v>637.64258817693906</v>
      </c>
      <c r="X43" s="109">
        <f t="shared" si="19"/>
        <v>0</v>
      </c>
      <c r="Y43" s="204">
        <f t="shared" si="10"/>
        <v>1471.0979881563944</v>
      </c>
      <c r="Z43" s="141">
        <f t="shared" si="20"/>
        <v>1332.9328957500768</v>
      </c>
      <c r="AA43" s="141">
        <f t="shared" si="11"/>
        <v>27.643333333333334</v>
      </c>
      <c r="AB43" s="141">
        <f t="shared" si="12"/>
        <v>6.019999999999996</v>
      </c>
      <c r="AC43" s="141">
        <f t="shared" si="13"/>
        <v>637.64258817693906</v>
      </c>
      <c r="AD43" s="120">
        <v>5500755.1991999997</v>
      </c>
      <c r="AE43" s="142">
        <f>INDEX('Rate Assumptions'!$A:$B,MATCH('Base Allocation'!AE$2,'Rate Assumptions'!$A:$A,0),2)</f>
        <v>3988.586178572119</v>
      </c>
      <c r="AF43" s="142">
        <f>INDEX('Rate Assumptions'!$A:$B,MATCH('Base Allocation'!AF$2,'Rate Assumptions'!$A:$A,0),2)</f>
        <v>3456.4414961399998</v>
      </c>
      <c r="AG43" s="142">
        <f>INDEX('Rate Assumptions'!$A:$B,MATCH('Base Allocation'!AG$2,'Rate Assumptions'!$A:$A,0),2)</f>
        <v>5634.5605750409004</v>
      </c>
      <c r="AH43" s="142">
        <f>INDEX('Rate Assumptions'!$A:$B,MATCH('Base Allocation'!AH$2,'Rate Assumptions'!$A:$A,0),2)</f>
        <v>5634.5605750409004</v>
      </c>
      <c r="AI43" s="143">
        <f t="shared" si="21"/>
        <v>14539576.3315484</v>
      </c>
    </row>
    <row r="44" spans="1:35">
      <c r="A44" s="223" t="s">
        <v>130</v>
      </c>
      <c r="B44" s="110">
        <v>17424.789972000002</v>
      </c>
      <c r="C44" s="110">
        <v>289.81</v>
      </c>
      <c r="D44" s="110">
        <v>504.25</v>
      </c>
      <c r="E44" s="110"/>
      <c r="F44" s="110">
        <v>453.88</v>
      </c>
      <c r="G44" s="193">
        <f t="shared" si="0"/>
        <v>16970.909972000001</v>
      </c>
      <c r="H44" s="188">
        <v>18449.839941000002</v>
      </c>
      <c r="I44" s="110">
        <v>276.86</v>
      </c>
      <c r="J44" s="110">
        <v>422.24</v>
      </c>
      <c r="K44" s="110">
        <v>1.52</v>
      </c>
      <c r="L44" s="110">
        <v>522.44000000000005</v>
      </c>
      <c r="M44" s="193">
        <f t="shared" si="14"/>
        <v>17925.879941000003</v>
      </c>
      <c r="N44" s="111">
        <v>17225.78</v>
      </c>
      <c r="O44" s="111">
        <v>276.86</v>
      </c>
      <c r="P44" s="111">
        <v>422.24</v>
      </c>
      <c r="Q44" s="111">
        <v>13.22</v>
      </c>
      <c r="R44" s="111">
        <v>495</v>
      </c>
      <c r="S44" s="195">
        <f t="shared" si="9"/>
        <v>16717.559999999998</v>
      </c>
      <c r="T44" s="109">
        <f t="shared" si="15"/>
        <v>16751.423362333331</v>
      </c>
      <c r="U44" s="109">
        <f t="shared" si="16"/>
        <v>272.54333333333335</v>
      </c>
      <c r="V44" s="109">
        <f t="shared" si="17"/>
        <v>394.90333333333336</v>
      </c>
      <c r="W44" s="109">
        <f t="shared" si="18"/>
        <v>21.526666666666667</v>
      </c>
      <c r="X44" s="109">
        <f t="shared" si="19"/>
        <v>499.56</v>
      </c>
      <c r="Y44" s="204">
        <f t="shared" si="10"/>
        <v>16230.336695666663</v>
      </c>
      <c r="Z44" s="141">
        <f t="shared" si="20"/>
        <v>16957.925545555554</v>
      </c>
      <c r="AA44" s="141">
        <f t="shared" si="11"/>
        <v>272.54333333333335</v>
      </c>
      <c r="AB44" s="141">
        <f t="shared" si="12"/>
        <v>394.90333333333336</v>
      </c>
      <c r="AC44" s="141">
        <f t="shared" si="13"/>
        <v>521.0866666666667</v>
      </c>
      <c r="AD44" s="120">
        <v>6742470.1229999997</v>
      </c>
      <c r="AE44" s="142">
        <f>INDEX('Rate Assumptions'!$A:$B,MATCH('Base Allocation'!AE$2,'Rate Assumptions'!$A:$A,0),2)</f>
        <v>3988.586178572119</v>
      </c>
      <c r="AF44" s="142">
        <f>INDEX('Rate Assumptions'!$A:$B,MATCH('Base Allocation'!AF$2,'Rate Assumptions'!$A:$A,0),2)</f>
        <v>3456.4414961399998</v>
      </c>
      <c r="AG44" s="142">
        <f>INDEX('Rate Assumptions'!$A:$B,MATCH('Base Allocation'!AG$2,'Rate Assumptions'!$A:$A,0),2)</f>
        <v>5634.5605750409004</v>
      </c>
      <c r="AH44" s="142">
        <f>INDEX('Rate Assumptions'!$A:$B,MATCH('Base Allocation'!AH$2,'Rate Assumptions'!$A:$A,0),2)</f>
        <v>5634.5605750409004</v>
      </c>
      <c r="AI44" s="143">
        <f t="shared" si="21"/>
        <v>80483848.799219295</v>
      </c>
    </row>
    <row r="45" spans="1:35">
      <c r="A45" s="223" t="s">
        <v>131</v>
      </c>
      <c r="B45" s="110">
        <v>22765.300016000001</v>
      </c>
      <c r="C45" s="110">
        <v>166.57000000000016</v>
      </c>
      <c r="D45" s="110">
        <v>1056.3499999999999</v>
      </c>
      <c r="E45" s="110"/>
      <c r="F45" s="110">
        <v>252.26</v>
      </c>
      <c r="G45" s="193">
        <f t="shared" si="0"/>
        <v>22513.040016000003</v>
      </c>
      <c r="H45" s="188">
        <v>22801.970091000003</v>
      </c>
      <c r="I45" s="110">
        <v>152.76999999999998</v>
      </c>
      <c r="J45" s="110">
        <v>1033.81</v>
      </c>
      <c r="K45" s="110"/>
      <c r="L45" s="110">
        <v>206.91</v>
      </c>
      <c r="M45" s="193">
        <f t="shared" si="14"/>
        <v>22595.060091000003</v>
      </c>
      <c r="N45" s="111">
        <v>22816.07</v>
      </c>
      <c r="O45" s="111">
        <v>147.35620612397321</v>
      </c>
      <c r="P45" s="111">
        <v>943.76</v>
      </c>
      <c r="Q45" s="111">
        <v>0</v>
      </c>
      <c r="R45" s="111">
        <v>264.18</v>
      </c>
      <c r="S45" s="195">
        <f t="shared" si="9"/>
        <v>22551.89</v>
      </c>
      <c r="T45" s="109">
        <f t="shared" si="15"/>
        <v>22837.693297666665</v>
      </c>
      <c r="U45" s="109">
        <f t="shared" si="16"/>
        <v>139.14701020662199</v>
      </c>
      <c r="V45" s="109">
        <f t="shared" si="17"/>
        <v>876.21333333333337</v>
      </c>
      <c r="W45" s="109">
        <f t="shared" si="18"/>
        <v>0</v>
      </c>
      <c r="X45" s="109">
        <f t="shared" si="19"/>
        <v>287.24333333333334</v>
      </c>
      <c r="Y45" s="204">
        <f t="shared" si="10"/>
        <v>22550.449964333333</v>
      </c>
      <c r="Z45" s="141">
        <f t="shared" si="20"/>
        <v>22565.800018444443</v>
      </c>
      <c r="AA45" s="141">
        <f t="shared" si="11"/>
        <v>139.14701020662199</v>
      </c>
      <c r="AB45" s="141">
        <f t="shared" si="12"/>
        <v>876.21333333333337</v>
      </c>
      <c r="AC45" s="141">
        <f t="shared" si="13"/>
        <v>287.24333333333334</v>
      </c>
      <c r="AD45" s="120">
        <v>8090964.1475999998</v>
      </c>
      <c r="AE45" s="142">
        <f>INDEX('Rate Assumptions'!$A:$B,MATCH('Base Allocation'!AE$2,'Rate Assumptions'!$A:$A,0),2)</f>
        <v>3988.586178572119</v>
      </c>
      <c r="AF45" s="142">
        <f>INDEX('Rate Assumptions'!$A:$B,MATCH('Base Allocation'!AF$2,'Rate Assumptions'!$A:$A,0),2)</f>
        <v>3456.4414961399998</v>
      </c>
      <c r="AG45" s="142">
        <f>INDEX('Rate Assumptions'!$A:$B,MATCH('Base Allocation'!AG$2,'Rate Assumptions'!$A:$A,0),2)</f>
        <v>5634.5605750409004</v>
      </c>
      <c r="AH45" s="142">
        <f>INDEX('Rate Assumptions'!$A:$B,MATCH('Base Allocation'!AH$2,'Rate Assumptions'!$A:$A,0),2)</f>
        <v>5634.5605750409004</v>
      </c>
      <c r="AI45" s="143">
        <f t="shared" si="21"/>
        <v>105133122.77450046</v>
      </c>
    </row>
    <row r="46" spans="1:35">
      <c r="A46" s="223" t="s">
        <v>132</v>
      </c>
      <c r="B46" s="110">
        <v>15624.749999999996</v>
      </c>
      <c r="C46" s="110">
        <v>143.57</v>
      </c>
      <c r="D46" s="110">
        <v>0</v>
      </c>
      <c r="E46" s="110"/>
      <c r="F46" s="110">
        <v>1093.24</v>
      </c>
      <c r="G46" s="193">
        <f t="shared" si="0"/>
        <v>14531.509999999997</v>
      </c>
      <c r="H46" s="188">
        <v>18684.530063999995</v>
      </c>
      <c r="I46" s="110">
        <v>117.31</v>
      </c>
      <c r="J46" s="110">
        <v>0</v>
      </c>
      <c r="K46" s="110"/>
      <c r="L46" s="110">
        <v>0</v>
      </c>
      <c r="M46" s="193">
        <f t="shared" si="14"/>
        <v>18684.530063999995</v>
      </c>
      <c r="N46" s="111">
        <v>16601.38</v>
      </c>
      <c r="O46" s="111">
        <v>117.31</v>
      </c>
      <c r="P46" s="111">
        <v>0</v>
      </c>
      <c r="Q46" s="111">
        <v>0</v>
      </c>
      <c r="R46" s="111">
        <v>881.32</v>
      </c>
      <c r="S46" s="195">
        <f t="shared" si="9"/>
        <v>15720.060000000001</v>
      </c>
      <c r="T46" s="109">
        <f t="shared" si="15"/>
        <v>16232.539978666671</v>
      </c>
      <c r="U46" s="109">
        <f t="shared" si="16"/>
        <v>108.55666666666667</v>
      </c>
      <c r="V46" s="109">
        <f t="shared" si="17"/>
        <v>0</v>
      </c>
      <c r="W46" s="109">
        <f t="shared" si="18"/>
        <v>0</v>
      </c>
      <c r="X46" s="109">
        <f t="shared" si="19"/>
        <v>1104.4533333333334</v>
      </c>
      <c r="Y46" s="204">
        <f t="shared" si="10"/>
        <v>15128.086645333338</v>
      </c>
      <c r="Z46" s="141">
        <f t="shared" si="20"/>
        <v>16510.892236444444</v>
      </c>
      <c r="AA46" s="141">
        <f t="shared" si="11"/>
        <v>108.55666666666667</v>
      </c>
      <c r="AB46" s="141">
        <f t="shared" si="12"/>
        <v>0</v>
      </c>
      <c r="AC46" s="141">
        <f t="shared" si="13"/>
        <v>1104.4533333333334</v>
      </c>
      <c r="AD46" s="120">
        <v>16181921.067</v>
      </c>
      <c r="AE46" s="142">
        <f>INDEX('Rate Assumptions'!$A:$B,MATCH('Base Allocation'!AE$2,'Rate Assumptions'!$A:$A,0),2)</f>
        <v>3988.586178572119</v>
      </c>
      <c r="AF46" s="142">
        <f>INDEX('Rate Assumptions'!$A:$B,MATCH('Base Allocation'!AF$2,'Rate Assumptions'!$A:$A,0),2)</f>
        <v>3456.4414961399998</v>
      </c>
      <c r="AG46" s="142">
        <f>INDEX('Rate Assumptions'!$A:$B,MATCH('Base Allocation'!AG$2,'Rate Assumptions'!$A:$A,0),2)</f>
        <v>5634.5605750409004</v>
      </c>
      <c r="AH46" s="142">
        <f>INDEX('Rate Assumptions'!$A:$B,MATCH('Base Allocation'!AH$2,'Rate Assumptions'!$A:$A,0),2)</f>
        <v>5634.5605750409004</v>
      </c>
      <c r="AI46" s="143">
        <f t="shared" si="21"/>
        <v>88635366.613497823</v>
      </c>
    </row>
    <row r="47" spans="1:35">
      <c r="A47" s="223" t="s">
        <v>133</v>
      </c>
      <c r="B47" s="110">
        <v>21499.15</v>
      </c>
      <c r="C47" s="110">
        <v>854.66000000000031</v>
      </c>
      <c r="D47" s="110">
        <v>5163.5000000000009</v>
      </c>
      <c r="E47" s="110">
        <v>6.72</v>
      </c>
      <c r="F47" s="110">
        <v>1944.53</v>
      </c>
      <c r="G47" s="193">
        <f t="shared" si="0"/>
        <v>19547.900000000001</v>
      </c>
      <c r="H47" s="188">
        <v>23301.942965000002</v>
      </c>
      <c r="I47" s="110">
        <v>1092.2800000000002</v>
      </c>
      <c r="J47" s="110">
        <v>4981.71</v>
      </c>
      <c r="K47" s="110"/>
      <c r="L47" s="110">
        <v>2196.94</v>
      </c>
      <c r="M47" s="193">
        <f t="shared" si="14"/>
        <v>21105.002965000003</v>
      </c>
      <c r="N47" s="111">
        <v>21492.12</v>
      </c>
      <c r="O47" s="111">
        <v>1092.2800000000002</v>
      </c>
      <c r="P47" s="111">
        <v>4981.71</v>
      </c>
      <c r="Q47" s="111">
        <v>0</v>
      </c>
      <c r="R47" s="111">
        <v>2583.27</v>
      </c>
      <c r="S47" s="195">
        <f t="shared" si="9"/>
        <v>18908.849999999999</v>
      </c>
      <c r="T47" s="109">
        <f t="shared" si="15"/>
        <v>20886.502344999997</v>
      </c>
      <c r="U47" s="109">
        <f t="shared" si="16"/>
        <v>1171.4866666666669</v>
      </c>
      <c r="V47" s="109">
        <f t="shared" si="17"/>
        <v>4921.1133333333328</v>
      </c>
      <c r="W47" s="109">
        <f t="shared" si="18"/>
        <v>0</v>
      </c>
      <c r="X47" s="109">
        <f t="shared" si="19"/>
        <v>2924.96</v>
      </c>
      <c r="Y47" s="204">
        <f t="shared" si="10"/>
        <v>17961.542344999998</v>
      </c>
      <c r="Z47" s="141">
        <f t="shared" si="20"/>
        <v>19325.131770000004</v>
      </c>
      <c r="AA47" s="141">
        <f t="shared" si="11"/>
        <v>1171.4866666666669</v>
      </c>
      <c r="AB47" s="141">
        <f t="shared" si="12"/>
        <v>4921.1133333333328</v>
      </c>
      <c r="AC47" s="141">
        <f t="shared" si="13"/>
        <v>2924.96</v>
      </c>
      <c r="AD47" s="120">
        <v>12136444.156199999</v>
      </c>
      <c r="AE47" s="142">
        <f>INDEX('Rate Assumptions'!$A:$B,MATCH('Base Allocation'!AE$2,'Rate Assumptions'!$A:$A,0),2)</f>
        <v>3988.586178572119</v>
      </c>
      <c r="AF47" s="142">
        <f>INDEX('Rate Assumptions'!$A:$B,MATCH('Base Allocation'!AF$2,'Rate Assumptions'!$A:$A,0),2)</f>
        <v>3456.4414961399998</v>
      </c>
      <c r="AG47" s="142">
        <f>INDEX('Rate Assumptions'!$A:$B,MATCH('Base Allocation'!AG$2,'Rate Assumptions'!$A:$A,0),2)</f>
        <v>5634.5605750409004</v>
      </c>
      <c r="AH47" s="142">
        <f>INDEX('Rate Assumptions'!$A:$B,MATCH('Base Allocation'!AH$2,'Rate Assumptions'!$A:$A,0),2)</f>
        <v>5634.5605750409004</v>
      </c>
      <c r="AI47" s="143">
        <f t="shared" si="21"/>
        <v>137474748.23282811</v>
      </c>
    </row>
    <row r="48" spans="1:35">
      <c r="A48" s="223" t="s">
        <v>134</v>
      </c>
      <c r="B48" s="110">
        <v>3900.8599999999997</v>
      </c>
      <c r="C48" s="110">
        <v>31.840000000000003</v>
      </c>
      <c r="D48" s="110">
        <v>85.85</v>
      </c>
      <c r="E48" s="110"/>
      <c r="F48" s="110">
        <v>209.78</v>
      </c>
      <c r="G48" s="193">
        <f t="shared" si="0"/>
        <v>3691.0799999999995</v>
      </c>
      <c r="H48" s="188">
        <v>3477.4500000000003</v>
      </c>
      <c r="I48" s="110">
        <v>87</v>
      </c>
      <c r="J48" s="110">
        <v>83.5</v>
      </c>
      <c r="K48" s="110"/>
      <c r="L48" s="110">
        <v>165.43</v>
      </c>
      <c r="M48" s="193">
        <f t="shared" si="14"/>
        <v>3312.0200000000004</v>
      </c>
      <c r="N48" s="111">
        <v>3470.29</v>
      </c>
      <c r="O48" s="111">
        <v>89.19</v>
      </c>
      <c r="P48" s="111">
        <v>65.180000000000007</v>
      </c>
      <c r="Q48" s="111">
        <v>116.57</v>
      </c>
      <c r="R48" s="111">
        <v>190.75</v>
      </c>
      <c r="S48" s="195">
        <f t="shared" si="9"/>
        <v>3162.97</v>
      </c>
      <c r="T48" s="109">
        <f t="shared" si="15"/>
        <v>3324.38</v>
      </c>
      <c r="U48" s="109">
        <f t="shared" si="16"/>
        <v>109.03666666666665</v>
      </c>
      <c r="V48" s="109">
        <f t="shared" si="17"/>
        <v>52.183333333333351</v>
      </c>
      <c r="W48" s="109">
        <f t="shared" si="18"/>
        <v>194.2833333333333</v>
      </c>
      <c r="X48" s="109">
        <f t="shared" si="19"/>
        <v>192.84666666666666</v>
      </c>
      <c r="Y48" s="204">
        <f t="shared" si="10"/>
        <v>2937.25</v>
      </c>
      <c r="Z48" s="141">
        <f t="shared" si="20"/>
        <v>3137.4133333333334</v>
      </c>
      <c r="AA48" s="141">
        <f t="shared" si="11"/>
        <v>109.03666666666665</v>
      </c>
      <c r="AB48" s="141">
        <f t="shared" si="12"/>
        <v>52.183333333333351</v>
      </c>
      <c r="AC48" s="141">
        <f t="shared" si="13"/>
        <v>387.13</v>
      </c>
      <c r="AD48" s="120">
        <v>6006439.0385999996</v>
      </c>
      <c r="AE48" s="142">
        <f>INDEX('Rate Assumptions'!$A:$B,MATCH('Base Allocation'!AE$2,'Rate Assumptions'!$A:$A,0),2)</f>
        <v>3988.586178572119</v>
      </c>
      <c r="AF48" s="142">
        <f>INDEX('Rate Assumptions'!$A:$B,MATCH('Base Allocation'!AF$2,'Rate Assumptions'!$A:$A,0),2)</f>
        <v>3456.4414961399998</v>
      </c>
      <c r="AG48" s="142">
        <f>INDEX('Rate Assumptions'!$A:$B,MATCH('Base Allocation'!AG$2,'Rate Assumptions'!$A:$A,0),2)</f>
        <v>5634.5605750409004</v>
      </c>
      <c r="AH48" s="142">
        <f>INDEX('Rate Assumptions'!$A:$B,MATCH('Base Allocation'!AH$2,'Rate Assumptions'!$A:$A,0),2)</f>
        <v>5634.5605750409004</v>
      </c>
      <c r="AI48" s="143">
        <f t="shared" si="21"/>
        <v>21372498.943758465</v>
      </c>
    </row>
    <row r="49" spans="1:35">
      <c r="A49" s="223" t="s">
        <v>135</v>
      </c>
      <c r="B49" s="110">
        <v>11122.72</v>
      </c>
      <c r="C49" s="110">
        <v>462.45000000000005</v>
      </c>
      <c r="D49" s="110">
        <v>34.290000000000006</v>
      </c>
      <c r="E49" s="110"/>
      <c r="F49" s="110">
        <v>197.97</v>
      </c>
      <c r="G49" s="193">
        <f t="shared" si="0"/>
        <v>10924.75</v>
      </c>
      <c r="H49" s="188">
        <v>12782.115179999999</v>
      </c>
      <c r="I49" s="110">
        <v>452.83</v>
      </c>
      <c r="J49" s="110">
        <v>36.490000000000009</v>
      </c>
      <c r="K49" s="110"/>
      <c r="L49" s="110">
        <v>442.48</v>
      </c>
      <c r="M49" s="193">
        <f t="shared" si="14"/>
        <v>12339.635179999999</v>
      </c>
      <c r="N49" s="111">
        <v>12504.11</v>
      </c>
      <c r="O49" s="111">
        <v>452.83</v>
      </c>
      <c r="P49" s="111">
        <v>36.490000000000009</v>
      </c>
      <c r="Q49" s="111">
        <v>0</v>
      </c>
      <c r="R49" s="111">
        <v>360.98</v>
      </c>
      <c r="S49" s="195">
        <f t="shared" si="9"/>
        <v>12143.130000000001</v>
      </c>
      <c r="T49" s="109">
        <f t="shared" si="15"/>
        <v>12871.904940000002</v>
      </c>
      <c r="U49" s="109">
        <f t="shared" si="16"/>
        <v>449.62333333333328</v>
      </c>
      <c r="V49" s="109">
        <f t="shared" si="17"/>
        <v>37.223333333333343</v>
      </c>
      <c r="W49" s="109">
        <f t="shared" si="18"/>
        <v>0</v>
      </c>
      <c r="X49" s="109">
        <f t="shared" si="19"/>
        <v>388.15000000000003</v>
      </c>
      <c r="Y49" s="204">
        <f t="shared" si="10"/>
        <v>12483.754940000003</v>
      </c>
      <c r="Z49" s="141">
        <f t="shared" si="20"/>
        <v>12322.173373333333</v>
      </c>
      <c r="AA49" s="141">
        <f t="shared" si="11"/>
        <v>449.62333333333328</v>
      </c>
      <c r="AB49" s="141">
        <f t="shared" si="12"/>
        <v>37.223333333333343</v>
      </c>
      <c r="AC49" s="141">
        <f t="shared" si="13"/>
        <v>388.15000000000003</v>
      </c>
      <c r="AD49" s="120">
        <v>5393976.0983999996</v>
      </c>
      <c r="AE49" s="142">
        <f>INDEX('Rate Assumptions'!$A:$B,MATCH('Base Allocation'!AE$2,'Rate Assumptions'!$A:$A,0),2)</f>
        <v>3988.586178572119</v>
      </c>
      <c r="AF49" s="142">
        <f>INDEX('Rate Assumptions'!$A:$B,MATCH('Base Allocation'!AF$2,'Rate Assumptions'!$A:$A,0),2)</f>
        <v>3456.4414961399998</v>
      </c>
      <c r="AG49" s="142">
        <f>INDEX('Rate Assumptions'!$A:$B,MATCH('Base Allocation'!AG$2,'Rate Assumptions'!$A:$A,0),2)</f>
        <v>5634.5605750409004</v>
      </c>
      <c r="AH49" s="142">
        <f>INDEX('Rate Assumptions'!$A:$B,MATCH('Base Allocation'!AH$2,'Rate Assumptions'!$A:$A,0),2)</f>
        <v>5634.5605750409004</v>
      </c>
      <c r="AI49" s="143">
        <f t="shared" si="21"/>
        <v>58492915.065886572</v>
      </c>
    </row>
    <row r="50" spans="1:35">
      <c r="A50" s="223" t="s">
        <v>136</v>
      </c>
      <c r="B50" s="110">
        <v>29578.890019999995</v>
      </c>
      <c r="C50" s="110">
        <v>73.45</v>
      </c>
      <c r="D50" s="110">
        <v>0</v>
      </c>
      <c r="E50" s="110"/>
      <c r="F50" s="110">
        <v>712.52</v>
      </c>
      <c r="G50" s="193">
        <f t="shared" si="0"/>
        <v>28866.370019999995</v>
      </c>
      <c r="H50" s="188">
        <v>30445.289231999996</v>
      </c>
      <c r="I50" s="110">
        <v>82.070000000000007</v>
      </c>
      <c r="J50" s="110">
        <v>0</v>
      </c>
      <c r="K50" s="110">
        <v>34.909999999999997</v>
      </c>
      <c r="L50" s="110">
        <v>802.83</v>
      </c>
      <c r="M50" s="193">
        <f t="shared" si="14"/>
        <v>29607.549231999994</v>
      </c>
      <c r="N50" s="111">
        <v>29802.73</v>
      </c>
      <c r="O50" s="111">
        <v>145.31</v>
      </c>
      <c r="P50" s="111">
        <v>0</v>
      </c>
      <c r="Q50" s="111">
        <v>83</v>
      </c>
      <c r="R50" s="111">
        <v>850</v>
      </c>
      <c r="S50" s="195">
        <f t="shared" si="9"/>
        <v>28869.73</v>
      </c>
      <c r="T50" s="109">
        <f t="shared" si="15"/>
        <v>29663.156916000004</v>
      </c>
      <c r="U50" s="109">
        <f t="shared" si="16"/>
        <v>190.34333333333333</v>
      </c>
      <c r="V50" s="109">
        <f t="shared" si="17"/>
        <v>0</v>
      </c>
      <c r="W50" s="109">
        <f t="shared" si="18"/>
        <v>126.69666666666667</v>
      </c>
      <c r="X50" s="109">
        <f t="shared" si="19"/>
        <v>911.55</v>
      </c>
      <c r="Y50" s="204">
        <f t="shared" si="10"/>
        <v>28624.910249333338</v>
      </c>
      <c r="Z50" s="141">
        <f t="shared" si="20"/>
        <v>29034.063160444446</v>
      </c>
      <c r="AA50" s="141">
        <f t="shared" si="11"/>
        <v>190.34333333333333</v>
      </c>
      <c r="AB50" s="141">
        <f t="shared" si="12"/>
        <v>0</v>
      </c>
      <c r="AC50" s="141">
        <f t="shared" si="13"/>
        <v>1038.2466666666667</v>
      </c>
      <c r="AD50" s="120">
        <v>12810689.6196</v>
      </c>
      <c r="AE50" s="142">
        <f>INDEX('Rate Assumptions'!$A:$B,MATCH('Base Allocation'!AE$2,'Rate Assumptions'!$A:$A,0),2)</f>
        <v>3988.586178572119</v>
      </c>
      <c r="AF50" s="142">
        <f>INDEX('Rate Assumptions'!$A:$B,MATCH('Base Allocation'!AF$2,'Rate Assumptions'!$A:$A,0),2)</f>
        <v>3456.4414961399998</v>
      </c>
      <c r="AG50" s="142">
        <f>INDEX('Rate Assumptions'!$A:$B,MATCH('Base Allocation'!AG$2,'Rate Assumptions'!$A:$A,0),2)</f>
        <v>5634.5605750409004</v>
      </c>
      <c r="AH50" s="142">
        <f>INDEX('Rate Assumptions'!$A:$B,MATCH('Base Allocation'!AH$2,'Rate Assumptions'!$A:$A,0),2)</f>
        <v>5634.5605750409004</v>
      </c>
      <c r="AI50" s="143">
        <f t="shared" si="21"/>
        <v>135123526.98015323</v>
      </c>
    </row>
    <row r="51" spans="1:35">
      <c r="A51" s="223" t="s">
        <v>137</v>
      </c>
      <c r="B51" s="110">
        <v>14114.1</v>
      </c>
      <c r="C51" s="110">
        <v>139.13</v>
      </c>
      <c r="D51" s="110">
        <v>0</v>
      </c>
      <c r="E51" s="110"/>
      <c r="F51" s="110">
        <v>117.7</v>
      </c>
      <c r="G51" s="193">
        <f t="shared" si="0"/>
        <v>13996.4</v>
      </c>
      <c r="H51" s="188">
        <v>15066.38991</v>
      </c>
      <c r="I51" s="110">
        <v>162.569987</v>
      </c>
      <c r="J51" s="110">
        <v>75.200006999999999</v>
      </c>
      <c r="K51" s="110"/>
      <c r="L51" s="110">
        <v>229.32</v>
      </c>
      <c r="M51" s="193">
        <f t="shared" si="14"/>
        <v>14837.06991</v>
      </c>
      <c r="N51" s="111">
        <v>15138.77</v>
      </c>
      <c r="O51" s="111">
        <v>294.24</v>
      </c>
      <c r="P51" s="111">
        <v>46.34</v>
      </c>
      <c r="Q51" s="111">
        <v>0</v>
      </c>
      <c r="R51" s="111">
        <v>348.40757244557352</v>
      </c>
      <c r="S51" s="195">
        <f t="shared" si="9"/>
        <v>14790.362427554426</v>
      </c>
      <c r="T51" s="109">
        <f t="shared" si="15"/>
        <v>15504.453363333334</v>
      </c>
      <c r="U51" s="109">
        <f t="shared" si="16"/>
        <v>389.83333766666669</v>
      </c>
      <c r="V51" s="109">
        <f t="shared" si="17"/>
        <v>52.16666433333333</v>
      </c>
      <c r="W51" s="109">
        <f t="shared" si="18"/>
        <v>0</v>
      </c>
      <c r="X51" s="109">
        <f t="shared" si="19"/>
        <v>465.00595407595586</v>
      </c>
      <c r="Y51" s="204">
        <f t="shared" si="10"/>
        <v>15039.447409257378</v>
      </c>
      <c r="Z51" s="141">
        <f t="shared" si="20"/>
        <v>14888.959915603935</v>
      </c>
      <c r="AA51" s="141">
        <f t="shared" si="11"/>
        <v>389.83333766666669</v>
      </c>
      <c r="AB51" s="141">
        <f t="shared" si="12"/>
        <v>52.16666433333333</v>
      </c>
      <c r="AC51" s="141">
        <f t="shared" si="13"/>
        <v>465.00595407595586</v>
      </c>
      <c r="AD51" s="120">
        <v>8765209.6109999996</v>
      </c>
      <c r="AE51" s="142">
        <f>INDEX('Rate Assumptions'!$A:$B,MATCH('Base Allocation'!AE$2,'Rate Assumptions'!$A:$A,0),2)</f>
        <v>3988.586178572119</v>
      </c>
      <c r="AF51" s="142">
        <f>INDEX('Rate Assumptions'!$A:$B,MATCH('Base Allocation'!AF$2,'Rate Assumptions'!$A:$A,0),2)</f>
        <v>3456.4414961399998</v>
      </c>
      <c r="AG51" s="142">
        <f>INDEX('Rate Assumptions'!$A:$B,MATCH('Base Allocation'!AG$2,'Rate Assumptions'!$A:$A,0),2)</f>
        <v>5634.5605750409004</v>
      </c>
      <c r="AH51" s="142">
        <f>INDEX('Rate Assumptions'!$A:$B,MATCH('Base Allocation'!AH$2,'Rate Assumptions'!$A:$A,0),2)</f>
        <v>5634.5605750409004</v>
      </c>
      <c r="AI51" s="143">
        <f t="shared" si="21"/>
        <v>72412585.914761633</v>
      </c>
    </row>
    <row r="52" spans="1:35">
      <c r="A52" s="223" t="s">
        <v>138</v>
      </c>
      <c r="B52" s="110">
        <v>34927.689990999999</v>
      </c>
      <c r="C52" s="110">
        <v>2061.91</v>
      </c>
      <c r="D52" s="110">
        <v>6532.08</v>
      </c>
      <c r="E52" s="110"/>
      <c r="F52" s="110">
        <v>630.17999999999995</v>
      </c>
      <c r="G52" s="193">
        <f t="shared" si="0"/>
        <v>34297.509990999999</v>
      </c>
      <c r="H52" s="188">
        <v>35115.99</v>
      </c>
      <c r="I52" s="110">
        <v>2049.8999999999996</v>
      </c>
      <c r="J52" s="110">
        <v>6114.8099999999995</v>
      </c>
      <c r="K52" s="110"/>
      <c r="L52" s="110">
        <v>864.16</v>
      </c>
      <c r="M52" s="193">
        <f t="shared" si="14"/>
        <v>34251.829999999994</v>
      </c>
      <c r="N52" s="111">
        <v>32509.53</v>
      </c>
      <c r="O52" s="111">
        <v>2049.8999999999996</v>
      </c>
      <c r="P52" s="111">
        <v>6114.8099999999995</v>
      </c>
      <c r="Q52" s="111">
        <v>0</v>
      </c>
      <c r="R52" s="111">
        <v>992.19</v>
      </c>
      <c r="S52" s="195">
        <f t="shared" si="9"/>
        <v>31517.34</v>
      </c>
      <c r="T52" s="109">
        <f t="shared" si="15"/>
        <v>30834.656669666667</v>
      </c>
      <c r="U52" s="109">
        <f t="shared" si="16"/>
        <v>2045.8966666666663</v>
      </c>
      <c r="V52" s="109">
        <f t="shared" si="17"/>
        <v>5975.7199999999993</v>
      </c>
      <c r="W52" s="109">
        <f t="shared" si="18"/>
        <v>0</v>
      </c>
      <c r="X52" s="109">
        <f t="shared" si="19"/>
        <v>1155.5366666666669</v>
      </c>
      <c r="Y52" s="204">
        <f t="shared" si="10"/>
        <v>29679.120003</v>
      </c>
      <c r="Z52" s="141">
        <f t="shared" si="20"/>
        <v>31816.096667666669</v>
      </c>
      <c r="AA52" s="141">
        <f t="shared" si="11"/>
        <v>2045.8966666666663</v>
      </c>
      <c r="AB52" s="141">
        <f t="shared" si="12"/>
        <v>5975.7199999999993</v>
      </c>
      <c r="AC52" s="141">
        <f t="shared" si="13"/>
        <v>1155.5366666666669</v>
      </c>
      <c r="AD52" s="120">
        <v>20901657.897599999</v>
      </c>
      <c r="AE52" s="142">
        <f>INDEX('Rate Assumptions'!$A:$B,MATCH('Base Allocation'!AE$2,'Rate Assumptions'!$A:$A,0),2)</f>
        <v>3988.586178572119</v>
      </c>
      <c r="AF52" s="142">
        <f>INDEX('Rate Assumptions'!$A:$B,MATCH('Base Allocation'!AF$2,'Rate Assumptions'!$A:$A,0),2)</f>
        <v>3456.4414961399998</v>
      </c>
      <c r="AG52" s="142">
        <f>INDEX('Rate Assumptions'!$A:$B,MATCH('Base Allocation'!AG$2,'Rate Assumptions'!$A:$A,0),2)</f>
        <v>5634.5605750409004</v>
      </c>
      <c r="AH52" s="142">
        <f>INDEX('Rate Assumptions'!$A:$B,MATCH('Base Allocation'!AH$2,'Rate Assumptions'!$A:$A,0),2)</f>
        <v>5634.5605750409004</v>
      </c>
      <c r="AI52" s="143">
        <f t="shared" si="21"/>
        <v>195055921.12234849</v>
      </c>
    </row>
    <row r="53" spans="1:35">
      <c r="A53" s="223" t="s">
        <v>139</v>
      </c>
      <c r="B53" s="110">
        <v>14108.980000199999</v>
      </c>
      <c r="C53" s="110">
        <v>1699.39</v>
      </c>
      <c r="D53" s="110">
        <v>4713.1500000000005</v>
      </c>
      <c r="E53" s="110">
        <v>3.5900000000000003</v>
      </c>
      <c r="F53" s="110">
        <v>203.6</v>
      </c>
      <c r="G53" s="193">
        <f t="shared" si="0"/>
        <v>13901.790000199999</v>
      </c>
      <c r="H53" s="188">
        <v>16031.3399082</v>
      </c>
      <c r="I53" s="110">
        <v>1734.96</v>
      </c>
      <c r="J53" s="110">
        <v>4542.28</v>
      </c>
      <c r="K53" s="110">
        <v>7.68</v>
      </c>
      <c r="L53" s="110">
        <v>305.14999999999998</v>
      </c>
      <c r="M53" s="193">
        <f t="shared" si="14"/>
        <v>15718.5099082</v>
      </c>
      <c r="N53" s="111">
        <v>16460.46</v>
      </c>
      <c r="O53" s="111">
        <v>1695.9582946937273</v>
      </c>
      <c r="P53" s="111">
        <v>4177.63</v>
      </c>
      <c r="Q53" s="111">
        <v>19.91</v>
      </c>
      <c r="R53" s="111">
        <v>271.83999999999997</v>
      </c>
      <c r="S53" s="195">
        <f t="shared" si="9"/>
        <v>16168.71</v>
      </c>
      <c r="T53" s="109">
        <f t="shared" si="15"/>
        <v>17387.326697199998</v>
      </c>
      <c r="U53" s="109">
        <f t="shared" si="16"/>
        <v>1681.8138244895454</v>
      </c>
      <c r="V53" s="109">
        <f t="shared" si="17"/>
        <v>3877.5733333333333</v>
      </c>
      <c r="W53" s="109">
        <f t="shared" si="18"/>
        <v>29.426666666666666</v>
      </c>
      <c r="X53" s="109">
        <f t="shared" si="19"/>
        <v>283.48333333333329</v>
      </c>
      <c r="Y53" s="204">
        <f t="shared" si="10"/>
        <v>17074.416697199998</v>
      </c>
      <c r="Z53" s="141">
        <f t="shared" si="20"/>
        <v>16320.545535133335</v>
      </c>
      <c r="AA53" s="141">
        <f t="shared" si="11"/>
        <v>1681.8138244895454</v>
      </c>
      <c r="AB53" s="141">
        <f t="shared" si="12"/>
        <v>3877.5733333333333</v>
      </c>
      <c r="AC53" s="141">
        <f t="shared" si="13"/>
        <v>312.90999999999997</v>
      </c>
      <c r="AD53" s="120">
        <v>13653501.869999999</v>
      </c>
      <c r="AE53" s="142">
        <f>INDEX('Rate Assumptions'!$A:$B,MATCH('Base Allocation'!AE$2,'Rate Assumptions'!$A:$A,0),2)</f>
        <v>3988.586178572119</v>
      </c>
      <c r="AF53" s="142">
        <f>INDEX('Rate Assumptions'!$A:$B,MATCH('Base Allocation'!AF$2,'Rate Assumptions'!$A:$A,0),2)</f>
        <v>3456.4414961399998</v>
      </c>
      <c r="AG53" s="142">
        <f>INDEX('Rate Assumptions'!$A:$B,MATCH('Base Allocation'!AG$2,'Rate Assumptions'!$A:$A,0),2)</f>
        <v>5634.5605750409004</v>
      </c>
      <c r="AH53" s="142">
        <f>INDEX('Rate Assumptions'!$A:$B,MATCH('Base Allocation'!AH$2,'Rate Assumptions'!$A:$A,0),2)</f>
        <v>5634.5605750409004</v>
      </c>
      <c r="AI53" s="143">
        <f t="shared" si="21"/>
        <v>108174027.49030329</v>
      </c>
    </row>
    <row r="54" spans="1:35">
      <c r="A54" s="223" t="s">
        <v>140</v>
      </c>
      <c r="B54" s="110">
        <v>13337.72</v>
      </c>
      <c r="C54" s="110">
        <v>175.48999999999998</v>
      </c>
      <c r="D54" s="110">
        <v>0</v>
      </c>
      <c r="E54" s="110"/>
      <c r="F54" s="110">
        <v>425.5</v>
      </c>
      <c r="G54" s="193">
        <f t="shared" si="0"/>
        <v>12912.22</v>
      </c>
      <c r="H54" s="188">
        <v>15729.639937</v>
      </c>
      <c r="I54" s="110">
        <v>170.36</v>
      </c>
      <c r="J54" s="110">
        <v>0</v>
      </c>
      <c r="K54" s="110">
        <v>20.09</v>
      </c>
      <c r="L54" s="110">
        <v>481.3</v>
      </c>
      <c r="M54" s="193">
        <f t="shared" si="14"/>
        <v>15228.249937000001</v>
      </c>
      <c r="N54" s="111">
        <v>14732.93</v>
      </c>
      <c r="O54" s="111">
        <v>170.36</v>
      </c>
      <c r="P54" s="111">
        <v>0</v>
      </c>
      <c r="Q54" s="111">
        <v>13.44</v>
      </c>
      <c r="R54" s="111">
        <v>528.41999999999996</v>
      </c>
      <c r="S54" s="195">
        <f t="shared" si="9"/>
        <v>14191.07</v>
      </c>
      <c r="T54" s="109">
        <f t="shared" si="15"/>
        <v>14865.763354333334</v>
      </c>
      <c r="U54" s="109">
        <f t="shared" si="16"/>
        <v>168.65000000000003</v>
      </c>
      <c r="V54" s="109">
        <f t="shared" si="17"/>
        <v>0</v>
      </c>
      <c r="W54" s="109">
        <f t="shared" si="18"/>
        <v>15.703333333333333</v>
      </c>
      <c r="X54" s="109">
        <f t="shared" si="19"/>
        <v>578.43333333333328</v>
      </c>
      <c r="Y54" s="204">
        <f t="shared" si="10"/>
        <v>14271.626687666669</v>
      </c>
      <c r="Z54" s="141">
        <f t="shared" si="20"/>
        <v>14563.64887488889</v>
      </c>
      <c r="AA54" s="141">
        <f t="shared" si="11"/>
        <v>168.65000000000003</v>
      </c>
      <c r="AB54" s="141">
        <f t="shared" si="12"/>
        <v>0</v>
      </c>
      <c r="AC54" s="141">
        <f t="shared" si="13"/>
        <v>594.13666666666666</v>
      </c>
      <c r="AD54" s="120">
        <v>6742470.1229999997</v>
      </c>
      <c r="AE54" s="142">
        <f>INDEX('Rate Assumptions'!$A:$B,MATCH('Base Allocation'!AE$2,'Rate Assumptions'!$A:$A,0),2)</f>
        <v>3988.586178572119</v>
      </c>
      <c r="AF54" s="142">
        <f>INDEX('Rate Assumptions'!$A:$B,MATCH('Base Allocation'!AF$2,'Rate Assumptions'!$A:$A,0),2)</f>
        <v>3456.4414961399998</v>
      </c>
      <c r="AG54" s="142">
        <f>INDEX('Rate Assumptions'!$A:$B,MATCH('Base Allocation'!AG$2,'Rate Assumptions'!$A:$A,0),2)</f>
        <v>5634.5605750409004</v>
      </c>
      <c r="AH54" s="142">
        <f>INDEX('Rate Assumptions'!$A:$B,MATCH('Base Allocation'!AH$2,'Rate Assumptions'!$A:$A,0),2)</f>
        <v>5634.5605750409004</v>
      </c>
      <c r="AI54" s="143">
        <f t="shared" si="21"/>
        <v>68761466.631469443</v>
      </c>
    </row>
    <row r="55" spans="1:35">
      <c r="A55" s="223" t="s">
        <v>141</v>
      </c>
      <c r="B55" s="110">
        <v>11234.879999999997</v>
      </c>
      <c r="C55" s="110">
        <v>116.72</v>
      </c>
      <c r="D55" s="110">
        <v>0</v>
      </c>
      <c r="E55" s="110"/>
      <c r="F55" s="110">
        <v>193.38</v>
      </c>
      <c r="G55" s="193">
        <f t="shared" si="0"/>
        <v>11041.499999999998</v>
      </c>
      <c r="H55" s="188">
        <v>11715.929990999997</v>
      </c>
      <c r="I55" s="110">
        <v>197.11002100000002</v>
      </c>
      <c r="J55" s="110">
        <v>0</v>
      </c>
      <c r="K55" s="110"/>
      <c r="L55" s="110">
        <v>308.31</v>
      </c>
      <c r="M55" s="193">
        <f>H55-K55-L55</f>
        <v>11407.619990999998</v>
      </c>
      <c r="N55" s="111">
        <v>12055.63</v>
      </c>
      <c r="O55" s="111">
        <v>213.42</v>
      </c>
      <c r="P55" s="111">
        <v>0</v>
      </c>
      <c r="Q55" s="111">
        <v>0</v>
      </c>
      <c r="R55" s="111">
        <v>262.19</v>
      </c>
      <c r="S55" s="195">
        <f t="shared" si="9"/>
        <v>11793.439999999999</v>
      </c>
      <c r="T55" s="109">
        <f t="shared" si="15"/>
        <v>12442.446669666666</v>
      </c>
      <c r="U55" s="109">
        <f t="shared" si="16"/>
        <v>251.08999299999996</v>
      </c>
      <c r="V55" s="109">
        <f t="shared" si="17"/>
        <v>0</v>
      </c>
      <c r="W55" s="109">
        <f t="shared" si="18"/>
        <v>0</v>
      </c>
      <c r="X55" s="109">
        <f t="shared" si="19"/>
        <v>269.75333333333333</v>
      </c>
      <c r="Y55" s="204">
        <f t="shared" si="10"/>
        <v>12172.693336333332</v>
      </c>
      <c r="Z55" s="141">
        <f t="shared" si="20"/>
        <v>11791.25110911111</v>
      </c>
      <c r="AA55" s="141">
        <f t="shared" si="11"/>
        <v>251.08999299999996</v>
      </c>
      <c r="AB55" s="141">
        <f t="shared" si="12"/>
        <v>0</v>
      </c>
      <c r="AC55" s="141">
        <f t="shared" si="13"/>
        <v>269.75333333333333</v>
      </c>
      <c r="AD55" s="120">
        <v>8090961.0498000002</v>
      </c>
      <c r="AE55" s="142">
        <f>INDEX('Rate Assumptions'!$A:$B,MATCH('Base Allocation'!AE$2,'Rate Assumptions'!$A:$A,0),2)</f>
        <v>3988.586178572119</v>
      </c>
      <c r="AF55" s="142">
        <f>INDEX('Rate Assumptions'!$A:$B,MATCH('Base Allocation'!AF$2,'Rate Assumptions'!$A:$A,0),2)</f>
        <v>3456.4414961399998</v>
      </c>
      <c r="AG55" s="142">
        <f>INDEX('Rate Assumptions'!$A:$B,MATCH('Base Allocation'!AG$2,'Rate Assumptions'!$A:$A,0),2)</f>
        <v>5634.5605750409004</v>
      </c>
      <c r="AH55" s="142">
        <f>INDEX('Rate Assumptions'!$A:$B,MATCH('Base Allocation'!AH$2,'Rate Assumptions'!$A:$A,0),2)</f>
        <v>5634.5605750409004</v>
      </c>
      <c r="AI55" s="143">
        <f t="shared" si="21"/>
        <v>57509201.619730316</v>
      </c>
    </row>
    <row r="56" spans="1:35">
      <c r="A56" s="223" t="s">
        <v>142</v>
      </c>
      <c r="B56" s="110">
        <v>6739.4199999999983</v>
      </c>
      <c r="C56" s="110">
        <v>149.56</v>
      </c>
      <c r="D56" s="110">
        <v>239.43</v>
      </c>
      <c r="E56" s="110">
        <v>20.799999999999997</v>
      </c>
      <c r="F56" s="110">
        <v>562.09</v>
      </c>
      <c r="G56" s="193">
        <f t="shared" si="0"/>
        <v>6156.5299999999979</v>
      </c>
      <c r="H56" s="188">
        <v>7933.1099999999979</v>
      </c>
      <c r="I56" s="110">
        <v>337.21000000000004</v>
      </c>
      <c r="J56" s="110">
        <v>161.71</v>
      </c>
      <c r="K56" s="110">
        <v>39.18</v>
      </c>
      <c r="L56" s="110">
        <v>769.85</v>
      </c>
      <c r="M56" s="193">
        <f t="shared" si="14"/>
        <v>7124.0799999999972</v>
      </c>
      <c r="N56" s="111">
        <v>6801.35</v>
      </c>
      <c r="O56" s="111">
        <v>370.1</v>
      </c>
      <c r="P56" s="111">
        <v>217.1</v>
      </c>
      <c r="Q56" s="111">
        <v>110.22</v>
      </c>
      <c r="R56" s="111">
        <v>772.89</v>
      </c>
      <c r="S56" s="195">
        <f t="shared" si="9"/>
        <v>5918.24</v>
      </c>
      <c r="T56" s="109">
        <f t="shared" si="15"/>
        <v>6444.7400000000016</v>
      </c>
      <c r="U56" s="109">
        <f t="shared" si="16"/>
        <v>454.57666666666671</v>
      </c>
      <c r="V56" s="109">
        <f t="shared" si="17"/>
        <v>228.11999999999998</v>
      </c>
      <c r="W56" s="109">
        <f t="shared" si="18"/>
        <v>163.70666666666665</v>
      </c>
      <c r="X56" s="109">
        <f t="shared" si="19"/>
        <v>844.17</v>
      </c>
      <c r="Y56" s="204">
        <f t="shared" si="10"/>
        <v>5436.8633333333346</v>
      </c>
      <c r="Z56" s="141">
        <f t="shared" si="20"/>
        <v>6159.7277777777772</v>
      </c>
      <c r="AA56" s="141">
        <f t="shared" si="11"/>
        <v>454.57666666666671</v>
      </c>
      <c r="AB56" s="141">
        <f t="shared" si="12"/>
        <v>228.11999999999998</v>
      </c>
      <c r="AC56" s="141">
        <f t="shared" si="13"/>
        <v>1007.8766666666666</v>
      </c>
      <c r="AD56" s="120">
        <v>5393974.0331999995</v>
      </c>
      <c r="AE56" s="142">
        <f>INDEX('Rate Assumptions'!$A:$B,MATCH('Base Allocation'!AE$2,'Rate Assumptions'!$A:$A,0),2)</f>
        <v>3988.586178572119</v>
      </c>
      <c r="AF56" s="142">
        <f>INDEX('Rate Assumptions'!$A:$B,MATCH('Base Allocation'!AF$2,'Rate Assumptions'!$A:$A,0),2)</f>
        <v>3456.4414961399998</v>
      </c>
      <c r="AG56" s="142">
        <f>INDEX('Rate Assumptions'!$A:$B,MATCH('Base Allocation'!AG$2,'Rate Assumptions'!$A:$A,0),2)</f>
        <v>5634.5605750409004</v>
      </c>
      <c r="AH56" s="142">
        <f>INDEX('Rate Assumptions'!$A:$B,MATCH('Base Allocation'!AH$2,'Rate Assumptions'!$A:$A,0),2)</f>
        <v>5634.5605750409004</v>
      </c>
      <c r="AI56" s="143">
        <f t="shared" si="21"/>
        <v>38498094.854136832</v>
      </c>
    </row>
    <row r="57" spans="1:35">
      <c r="A57" s="223" t="s">
        <v>143</v>
      </c>
      <c r="B57" s="110">
        <v>16348.829999999998</v>
      </c>
      <c r="C57" s="110">
        <v>57.88000000000001</v>
      </c>
      <c r="D57" s="110">
        <v>0</v>
      </c>
      <c r="E57" s="110">
        <v>4.5999999999999996</v>
      </c>
      <c r="F57" s="110">
        <v>563.44000000000005</v>
      </c>
      <c r="G57" s="193">
        <f t="shared" si="0"/>
        <v>15780.789999999997</v>
      </c>
      <c r="H57" s="188">
        <v>15680.999999999998</v>
      </c>
      <c r="I57" s="110">
        <v>41.480000000000011</v>
      </c>
      <c r="J57" s="110">
        <v>0</v>
      </c>
      <c r="K57" s="110"/>
      <c r="L57" s="110">
        <v>847.58</v>
      </c>
      <c r="M57" s="193">
        <f t="shared" si="14"/>
        <v>14833.419999999998</v>
      </c>
      <c r="N57" s="111">
        <v>15232.02</v>
      </c>
      <c r="O57" s="111">
        <v>41.480000000000011</v>
      </c>
      <c r="P57" s="111">
        <v>0</v>
      </c>
      <c r="Q57" s="111">
        <v>3.26</v>
      </c>
      <c r="R57" s="111">
        <v>851.36</v>
      </c>
      <c r="S57" s="195">
        <f t="shared" si="9"/>
        <v>14377.4</v>
      </c>
      <c r="T57" s="109">
        <f t="shared" si="15"/>
        <v>14710.090000000002</v>
      </c>
      <c r="U57" s="109">
        <f t="shared" si="16"/>
        <v>36.013333333333343</v>
      </c>
      <c r="V57" s="109">
        <f t="shared" si="17"/>
        <v>0</v>
      </c>
      <c r="W57" s="109">
        <f t="shared" si="18"/>
        <v>3.8999999999999995</v>
      </c>
      <c r="X57" s="109">
        <f t="shared" si="19"/>
        <v>948.59333333333336</v>
      </c>
      <c r="Y57" s="204">
        <f t="shared" si="10"/>
        <v>13757.596666666668</v>
      </c>
      <c r="Z57" s="141">
        <f t="shared" si="20"/>
        <v>14322.805555555555</v>
      </c>
      <c r="AA57" s="141">
        <f t="shared" si="11"/>
        <v>36.013333333333343</v>
      </c>
      <c r="AB57" s="141">
        <f t="shared" si="12"/>
        <v>0</v>
      </c>
      <c r="AC57" s="141">
        <f t="shared" si="13"/>
        <v>952.49333333333334</v>
      </c>
      <c r="AD57" s="120">
        <v>12136441.0584</v>
      </c>
      <c r="AE57" s="142">
        <f>INDEX('Rate Assumptions'!$A:$B,MATCH('Base Allocation'!AE$2,'Rate Assumptions'!$A:$A,0),2)</f>
        <v>3988.586178572119</v>
      </c>
      <c r="AF57" s="142">
        <f>INDEX('Rate Assumptions'!$A:$B,MATCH('Base Allocation'!AF$2,'Rate Assumptions'!$A:$A,0),2)</f>
        <v>3456.4414961399998</v>
      </c>
      <c r="AG57" s="142">
        <f>INDEX('Rate Assumptions'!$A:$B,MATCH('Base Allocation'!AG$2,'Rate Assumptions'!$A:$A,0),2)</f>
        <v>5634.5605750409004</v>
      </c>
      <c r="AH57" s="142">
        <f>INDEX('Rate Assumptions'!$A:$B,MATCH('Base Allocation'!AH$2,'Rate Assumptions'!$A:$A,0),2)</f>
        <v>5634.5605750409004</v>
      </c>
      <c r="AI57" s="143">
        <f t="shared" si="21"/>
        <v>74755544.699401796</v>
      </c>
    </row>
    <row r="58" spans="1:35">
      <c r="A58" s="223" t="s">
        <v>144</v>
      </c>
      <c r="B58" s="110">
        <v>11805.670000000002</v>
      </c>
      <c r="C58" s="110">
        <v>2.7400000000000375</v>
      </c>
      <c r="D58" s="110">
        <v>571.46</v>
      </c>
      <c r="E58" s="110"/>
      <c r="F58" s="110">
        <v>709.7</v>
      </c>
      <c r="G58" s="193">
        <f t="shared" si="0"/>
        <v>11095.970000000001</v>
      </c>
      <c r="H58" s="188">
        <v>11660.820000000002</v>
      </c>
      <c r="I58" s="110">
        <v>294.71000000000004</v>
      </c>
      <c r="J58" s="110">
        <v>489.98</v>
      </c>
      <c r="K58" s="110">
        <v>3.25</v>
      </c>
      <c r="L58" s="110">
        <v>726.33</v>
      </c>
      <c r="M58" s="193">
        <f t="shared" si="14"/>
        <v>10931.240000000002</v>
      </c>
      <c r="N58" s="111">
        <v>11437.29</v>
      </c>
      <c r="O58" s="111">
        <v>698.44</v>
      </c>
      <c r="P58" s="111">
        <v>413.72</v>
      </c>
      <c r="Q58" s="111">
        <v>4.05</v>
      </c>
      <c r="R58" s="111">
        <v>357.25</v>
      </c>
      <c r="S58" s="195">
        <f t="shared" si="9"/>
        <v>11075.990000000002</v>
      </c>
      <c r="T58" s="109">
        <f t="shared" si="15"/>
        <v>11239.986666666668</v>
      </c>
      <c r="U58" s="109">
        <f t="shared" si="16"/>
        <v>1064.9166666666667</v>
      </c>
      <c r="V58" s="109">
        <f t="shared" si="17"/>
        <v>335.72</v>
      </c>
      <c r="W58" s="109">
        <f t="shared" si="18"/>
        <v>5.6666666666666661</v>
      </c>
      <c r="X58" s="109">
        <f t="shared" si="19"/>
        <v>116.74000000000001</v>
      </c>
      <c r="Y58" s="204">
        <f t="shared" si="10"/>
        <v>11117.580000000002</v>
      </c>
      <c r="Z58" s="141">
        <f t="shared" si="20"/>
        <v>11041.603333333334</v>
      </c>
      <c r="AA58" s="141">
        <f t="shared" si="11"/>
        <v>1064.9166666666667</v>
      </c>
      <c r="AB58" s="141">
        <f t="shared" si="12"/>
        <v>335.72</v>
      </c>
      <c r="AC58" s="141">
        <f t="shared" si="13"/>
        <v>122.40666666666668</v>
      </c>
      <c r="AD58" s="120">
        <v>7416716.6189999999</v>
      </c>
      <c r="AE58" s="142">
        <f>INDEX('Rate Assumptions'!$A:$B,MATCH('Base Allocation'!AE$2,'Rate Assumptions'!$A:$A,0),2)</f>
        <v>3988.586178572119</v>
      </c>
      <c r="AF58" s="142">
        <f>INDEX('Rate Assumptions'!$A:$B,MATCH('Base Allocation'!AF$2,'Rate Assumptions'!$A:$A,0),2)</f>
        <v>3456.4414961399998</v>
      </c>
      <c r="AG58" s="142">
        <f>INDEX('Rate Assumptions'!$A:$B,MATCH('Base Allocation'!AG$2,'Rate Assumptions'!$A:$A,0),2)</f>
        <v>5634.5605750409004</v>
      </c>
      <c r="AH58" s="142">
        <f>INDEX('Rate Assumptions'!$A:$B,MATCH('Base Allocation'!AH$2,'Rate Assumptions'!$A:$A,0),2)</f>
        <v>5634.5605750409004</v>
      </c>
      <c r="AI58" s="143">
        <f t="shared" si="21"/>
        <v>57719267.674581833</v>
      </c>
    </row>
    <row r="59" spans="1:35">
      <c r="A59" s="223" t="s">
        <v>145</v>
      </c>
      <c r="B59" s="110">
        <v>16098.699926000001</v>
      </c>
      <c r="C59" s="110">
        <v>221.51999999999998</v>
      </c>
      <c r="D59" s="110">
        <v>123.86</v>
      </c>
      <c r="E59" s="110">
        <v>2.39</v>
      </c>
      <c r="F59" s="110">
        <v>675.23</v>
      </c>
      <c r="G59" s="193">
        <f t="shared" si="0"/>
        <v>15421.079926000002</v>
      </c>
      <c r="H59" s="188">
        <v>16308.519304000001</v>
      </c>
      <c r="I59" s="110">
        <v>237.73999999999998</v>
      </c>
      <c r="J59" s="110">
        <v>167</v>
      </c>
      <c r="K59" s="110">
        <v>27.8</v>
      </c>
      <c r="L59" s="110">
        <v>983.67</v>
      </c>
      <c r="M59" s="193">
        <f t="shared" si="14"/>
        <v>15297.049304000002</v>
      </c>
      <c r="N59" s="111">
        <v>15732.13</v>
      </c>
      <c r="O59" s="111">
        <v>237.73999999999998</v>
      </c>
      <c r="P59" s="111">
        <v>167</v>
      </c>
      <c r="Q59" s="111">
        <v>22.73</v>
      </c>
      <c r="R59" s="111">
        <v>840.5</v>
      </c>
      <c r="S59" s="195">
        <f t="shared" si="9"/>
        <v>14868.9</v>
      </c>
      <c r="T59" s="109">
        <f t="shared" si="15"/>
        <v>15417.810256666664</v>
      </c>
      <c r="U59" s="109">
        <f t="shared" si="16"/>
        <v>243.14666666666665</v>
      </c>
      <c r="V59" s="109">
        <f t="shared" si="17"/>
        <v>181.38</v>
      </c>
      <c r="W59" s="109">
        <f t="shared" si="18"/>
        <v>27.82</v>
      </c>
      <c r="X59" s="109">
        <f t="shared" si="19"/>
        <v>847.86666666666667</v>
      </c>
      <c r="Y59" s="204">
        <f t="shared" si="10"/>
        <v>14542.123589999997</v>
      </c>
      <c r="Z59" s="141">
        <f t="shared" si="20"/>
        <v>14902.690964666666</v>
      </c>
      <c r="AA59" s="141">
        <f t="shared" si="11"/>
        <v>243.14666666666665</v>
      </c>
      <c r="AB59" s="141">
        <f t="shared" si="12"/>
        <v>181.38</v>
      </c>
      <c r="AC59" s="141">
        <f t="shared" si="13"/>
        <v>875.68666666666672</v>
      </c>
      <c r="AD59" s="120">
        <v>6742470.1229999997</v>
      </c>
      <c r="AE59" s="142">
        <f>INDEX('Rate Assumptions'!$A:$B,MATCH('Base Allocation'!AE$2,'Rate Assumptions'!$A:$A,0),2)</f>
        <v>3988.586178572119</v>
      </c>
      <c r="AF59" s="142">
        <f>INDEX('Rate Assumptions'!$A:$B,MATCH('Base Allocation'!AF$2,'Rate Assumptions'!$A:$A,0),2)</f>
        <v>3456.4414961399998</v>
      </c>
      <c r="AG59" s="142">
        <f>INDEX('Rate Assumptions'!$A:$B,MATCH('Base Allocation'!AG$2,'Rate Assumptions'!$A:$A,0),2)</f>
        <v>5634.5605750409004</v>
      </c>
      <c r="AH59" s="142">
        <f>INDEX('Rate Assumptions'!$A:$B,MATCH('Base Allocation'!AH$2,'Rate Assumptions'!$A:$A,0),2)</f>
        <v>5634.5605750409004</v>
      </c>
      <c r="AI59" s="143">
        <f t="shared" si="21"/>
        <v>72979665.721705765</v>
      </c>
    </row>
    <row r="60" spans="1:35">
      <c r="A60" s="223" t="s">
        <v>146</v>
      </c>
      <c r="B60" s="110">
        <v>22257.879993000002</v>
      </c>
      <c r="C60" s="110">
        <v>584.5</v>
      </c>
      <c r="D60" s="110">
        <v>167.47</v>
      </c>
      <c r="E60" s="110"/>
      <c r="F60" s="110">
        <v>247.18</v>
      </c>
      <c r="G60" s="193">
        <f t="shared" si="0"/>
        <v>22010.699993000002</v>
      </c>
      <c r="H60" s="188">
        <v>17871.400000000001</v>
      </c>
      <c r="I60" s="110">
        <v>599.80999999999995</v>
      </c>
      <c r="J60" s="110">
        <v>157.57</v>
      </c>
      <c r="K60" s="110"/>
      <c r="L60" s="110">
        <v>273.43</v>
      </c>
      <c r="M60" s="193">
        <f t="shared" si="14"/>
        <v>17597.97</v>
      </c>
      <c r="N60" s="111">
        <v>19636.32</v>
      </c>
      <c r="O60" s="111">
        <v>622.78</v>
      </c>
      <c r="P60" s="111">
        <v>119.98</v>
      </c>
      <c r="Q60" s="111">
        <v>0</v>
      </c>
      <c r="R60" s="111">
        <v>263.89999999999998</v>
      </c>
      <c r="S60" s="195">
        <f t="shared" si="9"/>
        <v>19372.419999999998</v>
      </c>
      <c r="T60" s="109">
        <f t="shared" si="15"/>
        <v>19350.773335666665</v>
      </c>
      <c r="U60" s="109">
        <f t="shared" si="16"/>
        <v>643.19666666666672</v>
      </c>
      <c r="V60" s="109">
        <f t="shared" si="17"/>
        <v>91.620000000000019</v>
      </c>
      <c r="W60" s="109">
        <f t="shared" si="18"/>
        <v>0</v>
      </c>
      <c r="X60" s="109">
        <f t="shared" si="19"/>
        <v>266.29666666666662</v>
      </c>
      <c r="Y60" s="204">
        <f t="shared" si="10"/>
        <v>19084.476669</v>
      </c>
      <c r="Z60" s="141">
        <f t="shared" si="20"/>
        <v>18684.955556333331</v>
      </c>
      <c r="AA60" s="141">
        <f t="shared" si="11"/>
        <v>643.19666666666672</v>
      </c>
      <c r="AB60" s="141">
        <f t="shared" si="12"/>
        <v>91.620000000000019</v>
      </c>
      <c r="AC60" s="141">
        <f t="shared" si="13"/>
        <v>266.29666666666662</v>
      </c>
      <c r="AD60" s="120">
        <v>8090964.1475999998</v>
      </c>
      <c r="AE60" s="142">
        <f>INDEX('Rate Assumptions'!$A:$B,MATCH('Base Allocation'!AE$2,'Rate Assumptions'!$A:$A,0),2)</f>
        <v>3988.586178572119</v>
      </c>
      <c r="AF60" s="142">
        <f>INDEX('Rate Assumptions'!$A:$B,MATCH('Base Allocation'!AF$2,'Rate Assumptions'!$A:$A,0),2)</f>
        <v>3456.4414961399998</v>
      </c>
      <c r="AG60" s="142">
        <f>INDEX('Rate Assumptions'!$A:$B,MATCH('Base Allocation'!AG$2,'Rate Assumptions'!$A:$A,0),2)</f>
        <v>5634.5605750409004</v>
      </c>
      <c r="AH60" s="142">
        <f>INDEX('Rate Assumptions'!$A:$B,MATCH('Base Allocation'!AH$2,'Rate Assumptions'!$A:$A,0),2)</f>
        <v>5634.5605750409004</v>
      </c>
      <c r="AI60" s="143">
        <f t="shared" si="21"/>
        <v>86857394.414821088</v>
      </c>
    </row>
    <row r="61" spans="1:35">
      <c r="A61" s="223" t="s">
        <v>147</v>
      </c>
      <c r="B61" s="110">
        <v>9141.4800400000022</v>
      </c>
      <c r="C61" s="110">
        <v>392.17000000000007</v>
      </c>
      <c r="D61" s="110">
        <v>166.56</v>
      </c>
      <c r="E61" s="110"/>
      <c r="F61" s="110">
        <v>335.52</v>
      </c>
      <c r="G61" s="193">
        <f t="shared" si="0"/>
        <v>8805.9600400000018</v>
      </c>
      <c r="H61" s="188">
        <v>9685.2526810000018</v>
      </c>
      <c r="I61" s="110">
        <v>472.08000000000004</v>
      </c>
      <c r="J61" s="110">
        <v>173.46</v>
      </c>
      <c r="K61" s="110"/>
      <c r="L61" s="110">
        <v>443.21</v>
      </c>
      <c r="M61" s="193">
        <f t="shared" si="14"/>
        <v>9242.0426810000026</v>
      </c>
      <c r="N61" s="111">
        <v>9707.5</v>
      </c>
      <c r="O61" s="111">
        <v>344.8</v>
      </c>
      <c r="P61" s="111">
        <v>109.19</v>
      </c>
      <c r="Q61" s="111">
        <v>0</v>
      </c>
      <c r="R61" s="111">
        <v>465.38</v>
      </c>
      <c r="S61" s="195">
        <f t="shared" si="9"/>
        <v>9242.1200000000008</v>
      </c>
      <c r="T61" s="109">
        <f t="shared" si="15"/>
        <v>9903.5890929999987</v>
      </c>
      <c r="U61" s="109">
        <f t="shared" si="16"/>
        <v>286.58333333333331</v>
      </c>
      <c r="V61" s="109">
        <f t="shared" si="17"/>
        <v>68.643333333333317</v>
      </c>
      <c r="W61" s="109">
        <f t="shared" si="18"/>
        <v>0</v>
      </c>
      <c r="X61" s="109">
        <f t="shared" si="19"/>
        <v>516.05666666666662</v>
      </c>
      <c r="Y61" s="204">
        <f t="shared" si="10"/>
        <v>9387.5324263333314</v>
      </c>
      <c r="Z61" s="141">
        <f t="shared" si="20"/>
        <v>9290.5650357777795</v>
      </c>
      <c r="AA61" s="141">
        <f t="shared" si="11"/>
        <v>286.58333333333331</v>
      </c>
      <c r="AB61" s="141">
        <f t="shared" si="12"/>
        <v>68.643333333333317</v>
      </c>
      <c r="AC61" s="141">
        <f t="shared" si="13"/>
        <v>516.05666666666662</v>
      </c>
      <c r="AD61" s="120">
        <v>8090964.1475999998</v>
      </c>
      <c r="AE61" s="142">
        <f>INDEX('Rate Assumptions'!$A:$B,MATCH('Base Allocation'!AE$2,'Rate Assumptions'!$A:$A,0),2)</f>
        <v>3988.586178572119</v>
      </c>
      <c r="AF61" s="142">
        <f>INDEX('Rate Assumptions'!$A:$B,MATCH('Base Allocation'!AF$2,'Rate Assumptions'!$A:$A,0),2)</f>
        <v>3456.4414961399998</v>
      </c>
      <c r="AG61" s="142">
        <f>INDEX('Rate Assumptions'!$A:$B,MATCH('Base Allocation'!AG$2,'Rate Assumptions'!$A:$A,0),2)</f>
        <v>5634.5605750409004</v>
      </c>
      <c r="AH61" s="142">
        <f>INDEX('Rate Assumptions'!$A:$B,MATCH('Base Allocation'!AH$2,'Rate Assumptions'!$A:$A,0),2)</f>
        <v>5634.5605750409004</v>
      </c>
      <c r="AI61" s="143">
        <f t="shared" si="21"/>
        <v>49432269.534090504</v>
      </c>
    </row>
    <row r="62" spans="1:35">
      <c r="A62" s="223" t="s">
        <v>148</v>
      </c>
      <c r="B62" s="110">
        <v>7040.1499189999986</v>
      </c>
      <c r="C62" s="110">
        <v>148.20999999999998</v>
      </c>
      <c r="D62" s="110">
        <v>34.699999999999996</v>
      </c>
      <c r="E62" s="110"/>
      <c r="F62" s="110">
        <v>627.39</v>
      </c>
      <c r="G62" s="193">
        <f t="shared" si="0"/>
        <v>6412.7599189999983</v>
      </c>
      <c r="H62" s="188">
        <v>6089.4699999999984</v>
      </c>
      <c r="I62" s="110">
        <v>135.30999999999997</v>
      </c>
      <c r="J62" s="110">
        <v>32.809999999999995</v>
      </c>
      <c r="K62" s="110"/>
      <c r="L62" s="110">
        <v>701.11</v>
      </c>
      <c r="M62" s="193">
        <f t="shared" si="14"/>
        <v>5388.3599999999988</v>
      </c>
      <c r="N62" s="111">
        <v>7053.81</v>
      </c>
      <c r="O62" s="111">
        <v>125.16</v>
      </c>
      <c r="P62" s="111">
        <v>19.22</v>
      </c>
      <c r="Q62" s="111">
        <v>0.86</v>
      </c>
      <c r="R62" s="111">
        <v>729.55356525881143</v>
      </c>
      <c r="S62" s="195">
        <f t="shared" si="9"/>
        <v>6323.3964347411893</v>
      </c>
      <c r="T62" s="109">
        <f t="shared" si="15"/>
        <v>7379.8100270000014</v>
      </c>
      <c r="U62" s="109">
        <f t="shared" si="16"/>
        <v>114.09333333333335</v>
      </c>
      <c r="V62" s="109">
        <f t="shared" si="17"/>
        <v>9.5300000000000029</v>
      </c>
      <c r="W62" s="109">
        <f t="shared" si="18"/>
        <v>1.4333333333333331</v>
      </c>
      <c r="X62" s="109">
        <f t="shared" si="19"/>
        <v>773.08927543135246</v>
      </c>
      <c r="Y62" s="204">
        <f t="shared" si="10"/>
        <v>6605.2874182353153</v>
      </c>
      <c r="Z62" s="141">
        <f t="shared" si="20"/>
        <v>6105.6812843255002</v>
      </c>
      <c r="AA62" s="141">
        <f t="shared" si="11"/>
        <v>114.09333333333335</v>
      </c>
      <c r="AB62" s="141">
        <f t="shared" si="12"/>
        <v>9.5300000000000029</v>
      </c>
      <c r="AC62" s="141">
        <f t="shared" si="13"/>
        <v>774.52260876468574</v>
      </c>
      <c r="AD62" s="120">
        <v>4045480.0085999998</v>
      </c>
      <c r="AE62" s="142">
        <f>INDEX('Rate Assumptions'!$A:$B,MATCH('Base Allocation'!AE$2,'Rate Assumptions'!$A:$A,0),2)</f>
        <v>3988.586178572119</v>
      </c>
      <c r="AF62" s="142">
        <f>INDEX('Rate Assumptions'!$A:$B,MATCH('Base Allocation'!AF$2,'Rate Assumptions'!$A:$A,0),2)</f>
        <v>3456.4414961399998</v>
      </c>
      <c r="AG62" s="142">
        <f>INDEX('Rate Assumptions'!$A:$B,MATCH('Base Allocation'!AG$2,'Rate Assumptions'!$A:$A,0),2)</f>
        <v>5634.5605750409004</v>
      </c>
      <c r="AH62" s="142">
        <f>INDEX('Rate Assumptions'!$A:$B,MATCH('Base Allocation'!AH$2,'Rate Assumptions'!$A:$A,0),2)</f>
        <v>5634.5605750409004</v>
      </c>
      <c r="AI62" s="143">
        <f t="shared" si="21"/>
        <v>33210664.839896891</v>
      </c>
    </row>
    <row r="63" spans="1:35">
      <c r="A63" s="223" t="s">
        <v>149</v>
      </c>
      <c r="B63" s="110">
        <v>12366.82</v>
      </c>
      <c r="C63" s="110">
        <v>274.82</v>
      </c>
      <c r="D63" s="110">
        <v>0</v>
      </c>
      <c r="E63" s="110"/>
      <c r="F63" s="110">
        <v>214.52</v>
      </c>
      <c r="G63" s="193">
        <f t="shared" si="0"/>
        <v>12152.3</v>
      </c>
      <c r="H63" s="188">
        <v>14916.480178999998</v>
      </c>
      <c r="I63" s="110">
        <v>308.75</v>
      </c>
      <c r="J63" s="110">
        <v>0</v>
      </c>
      <c r="K63" s="110"/>
      <c r="L63" s="110">
        <v>407.66</v>
      </c>
      <c r="M63" s="193">
        <f t="shared" si="14"/>
        <v>14508.820178999998</v>
      </c>
      <c r="N63" s="111">
        <v>12537.92</v>
      </c>
      <c r="O63" s="111">
        <v>345.66</v>
      </c>
      <c r="P63" s="111">
        <v>7.7</v>
      </c>
      <c r="Q63" s="111">
        <v>0</v>
      </c>
      <c r="R63" s="111">
        <v>423.71</v>
      </c>
      <c r="S63" s="195">
        <f t="shared" si="9"/>
        <v>12114.210000000001</v>
      </c>
      <c r="T63" s="109">
        <f t="shared" si="15"/>
        <v>11802.099940333334</v>
      </c>
      <c r="U63" s="109">
        <f t="shared" si="16"/>
        <v>381.57666666666671</v>
      </c>
      <c r="V63" s="109">
        <f t="shared" si="17"/>
        <v>12.833333333333332</v>
      </c>
      <c r="W63" s="109">
        <f t="shared" si="18"/>
        <v>0</v>
      </c>
      <c r="X63" s="109">
        <f t="shared" si="19"/>
        <v>498.78999999999996</v>
      </c>
      <c r="Y63" s="204">
        <f t="shared" si="10"/>
        <v>11303.309940333333</v>
      </c>
      <c r="Z63" s="141">
        <f t="shared" si="20"/>
        <v>12642.113373111109</v>
      </c>
      <c r="AA63" s="141">
        <f t="shared" si="11"/>
        <v>381.57666666666671</v>
      </c>
      <c r="AB63" s="141">
        <f t="shared" si="12"/>
        <v>12.833333333333332</v>
      </c>
      <c r="AC63" s="141">
        <f t="shared" si="13"/>
        <v>498.78999999999996</v>
      </c>
      <c r="AD63" s="120">
        <v>6911032.7796</v>
      </c>
      <c r="AE63" s="142">
        <f>INDEX('Rate Assumptions'!$A:$B,MATCH('Base Allocation'!AE$2,'Rate Assumptions'!$A:$A,0),2)</f>
        <v>3988.586178572119</v>
      </c>
      <c r="AF63" s="142">
        <f>INDEX('Rate Assumptions'!$A:$B,MATCH('Base Allocation'!AF$2,'Rate Assumptions'!$A:$A,0),2)</f>
        <v>3456.4414961399998</v>
      </c>
      <c r="AG63" s="142">
        <f>INDEX('Rate Assumptions'!$A:$B,MATCH('Base Allocation'!AG$2,'Rate Assumptions'!$A:$A,0),2)</f>
        <v>5634.5605750409004</v>
      </c>
      <c r="AH63" s="142">
        <f>INDEX('Rate Assumptions'!$A:$B,MATCH('Base Allocation'!AH$2,'Rate Assumptions'!$A:$A,0),2)</f>
        <v>5634.5605750409004</v>
      </c>
      <c r="AI63" s="143">
        <f t="shared" si="21"/>
        <v>61536861.535429172</v>
      </c>
    </row>
    <row r="64" spans="1:35">
      <c r="A64" s="223" t="s">
        <v>150</v>
      </c>
      <c r="B64" s="110">
        <v>1935.6400000000003</v>
      </c>
      <c r="C64" s="110">
        <v>58.109999999999964</v>
      </c>
      <c r="D64" s="110">
        <v>505.14</v>
      </c>
      <c r="E64" s="110"/>
      <c r="F64" s="110">
        <v>94.43</v>
      </c>
      <c r="G64" s="193">
        <f t="shared" si="0"/>
        <v>1841.2100000000003</v>
      </c>
      <c r="H64" s="188">
        <v>1780.3400000000004</v>
      </c>
      <c r="I64" s="110">
        <v>80.459999999999965</v>
      </c>
      <c r="J64" s="110">
        <v>592.54</v>
      </c>
      <c r="K64" s="110"/>
      <c r="L64" s="110">
        <v>88.75</v>
      </c>
      <c r="M64" s="193">
        <f t="shared" si="14"/>
        <v>1691.5900000000004</v>
      </c>
      <c r="N64" s="111">
        <v>1421.93</v>
      </c>
      <c r="O64" s="111">
        <v>102.13999999999999</v>
      </c>
      <c r="P64" s="111">
        <v>679.83</v>
      </c>
      <c r="Q64" s="111">
        <v>0</v>
      </c>
      <c r="R64" s="111">
        <v>64.040000000000006</v>
      </c>
      <c r="S64" s="195">
        <f t="shared" si="9"/>
        <v>1357.89</v>
      </c>
      <c r="T64" s="109">
        <f t="shared" si="15"/>
        <v>1131.2233333333331</v>
      </c>
      <c r="U64" s="109">
        <f t="shared" si="16"/>
        <v>124.04333333333334</v>
      </c>
      <c r="V64" s="109">
        <f t="shared" si="17"/>
        <v>767.15666666666675</v>
      </c>
      <c r="W64" s="109">
        <f t="shared" si="18"/>
        <v>0</v>
      </c>
      <c r="X64" s="109">
        <f t="shared" si="19"/>
        <v>45.673333333333339</v>
      </c>
      <c r="Y64" s="204">
        <f t="shared" si="10"/>
        <v>1085.5499999999997</v>
      </c>
      <c r="Z64" s="141">
        <f t="shared" si="20"/>
        <v>1378.3433333333332</v>
      </c>
      <c r="AA64" s="141">
        <f t="shared" si="11"/>
        <v>124.04333333333334</v>
      </c>
      <c r="AB64" s="141">
        <f t="shared" si="12"/>
        <v>767.15666666666675</v>
      </c>
      <c r="AC64" s="141">
        <f t="shared" si="13"/>
        <v>45.673333333333339</v>
      </c>
      <c r="AD64" s="120">
        <v>5332192.5425999993</v>
      </c>
      <c r="AE64" s="142">
        <f>INDEX('Rate Assumptions'!$A:$B,MATCH('Base Allocation'!AE$2,'Rate Assumptions'!$A:$A,0),2)</f>
        <v>3988.586178572119</v>
      </c>
      <c r="AF64" s="142">
        <f>INDEX('Rate Assumptions'!$A:$B,MATCH('Base Allocation'!AF$2,'Rate Assumptions'!$A:$A,0),2)</f>
        <v>3456.4414961399998</v>
      </c>
      <c r="AG64" s="142">
        <f>INDEX('Rate Assumptions'!$A:$B,MATCH('Base Allocation'!AG$2,'Rate Assumptions'!$A:$A,0),2)</f>
        <v>5634.5605750409004</v>
      </c>
      <c r="AH64" s="142">
        <f>INDEX('Rate Assumptions'!$A:$B,MATCH('Base Allocation'!AH$2,'Rate Assumptions'!$A:$A,0),2)</f>
        <v>5634.5605750409004</v>
      </c>
      <c r="AI64" s="143">
        <f t="shared" si="21"/>
        <v>15838522.108123712</v>
      </c>
    </row>
    <row r="65" spans="1:35">
      <c r="A65" s="223" t="s">
        <v>151</v>
      </c>
      <c r="B65" s="110">
        <v>6447.5199999999986</v>
      </c>
      <c r="C65" s="110">
        <v>37.480000000000004</v>
      </c>
      <c r="D65" s="110">
        <v>0</v>
      </c>
      <c r="E65" s="110">
        <v>91.04</v>
      </c>
      <c r="F65" s="110">
        <v>266.87</v>
      </c>
      <c r="G65" s="193">
        <f t="shared" si="0"/>
        <v>6089.6099999999988</v>
      </c>
      <c r="H65" s="188">
        <v>7907.2699999999986</v>
      </c>
      <c r="I65" s="110">
        <v>79.639883999999995</v>
      </c>
      <c r="J65" s="110">
        <v>0</v>
      </c>
      <c r="K65" s="110">
        <v>74.87</v>
      </c>
      <c r="L65" s="110">
        <v>476.15</v>
      </c>
      <c r="M65" s="193">
        <f t="shared" si="14"/>
        <v>7356.2499999999991</v>
      </c>
      <c r="N65" s="111">
        <v>6150.89</v>
      </c>
      <c r="O65" s="111">
        <v>79.639883999999995</v>
      </c>
      <c r="P65" s="111">
        <v>0</v>
      </c>
      <c r="Q65" s="111">
        <v>81.77</v>
      </c>
      <c r="R65" s="111">
        <v>330.38</v>
      </c>
      <c r="S65" s="195">
        <f t="shared" si="9"/>
        <v>5738.74</v>
      </c>
      <c r="T65" s="109">
        <f t="shared" si="15"/>
        <v>5466.5533333333351</v>
      </c>
      <c r="U65" s="109">
        <f t="shared" si="16"/>
        <v>93.693178666666654</v>
      </c>
      <c r="V65" s="109">
        <f t="shared" si="17"/>
        <v>0</v>
      </c>
      <c r="W65" s="109">
        <f t="shared" si="18"/>
        <v>80.97999999999999</v>
      </c>
      <c r="X65" s="109">
        <f t="shared" si="19"/>
        <v>302.96000000000004</v>
      </c>
      <c r="Y65" s="204">
        <f t="shared" si="10"/>
        <v>5082.6133333333355</v>
      </c>
      <c r="Z65" s="141">
        <f t="shared" si="20"/>
        <v>6059.2011111111124</v>
      </c>
      <c r="AA65" s="141">
        <f t="shared" si="11"/>
        <v>93.693178666666654</v>
      </c>
      <c r="AB65" s="141">
        <f t="shared" si="12"/>
        <v>0</v>
      </c>
      <c r="AC65" s="141">
        <f t="shared" si="13"/>
        <v>383.94000000000005</v>
      </c>
      <c r="AD65" s="120">
        <v>6742469.0904000001</v>
      </c>
      <c r="AE65" s="142">
        <f>INDEX('Rate Assumptions'!$A:$B,MATCH('Base Allocation'!AE$2,'Rate Assumptions'!$A:$A,0),2)</f>
        <v>3988.586178572119</v>
      </c>
      <c r="AF65" s="142">
        <f>INDEX('Rate Assumptions'!$A:$B,MATCH('Base Allocation'!AF$2,'Rate Assumptions'!$A:$A,0),2)</f>
        <v>3456.4414961399998</v>
      </c>
      <c r="AG65" s="142">
        <f>INDEX('Rate Assumptions'!$A:$B,MATCH('Base Allocation'!AG$2,'Rate Assumptions'!$A:$A,0),2)</f>
        <v>5634.5605750409004</v>
      </c>
      <c r="AH65" s="142">
        <f>INDEX('Rate Assumptions'!$A:$B,MATCH('Base Allocation'!AH$2,'Rate Assumptions'!$A:$A,0),2)</f>
        <v>5634.5605750409004</v>
      </c>
      <c r="AI65" s="143">
        <f t="shared" si="21"/>
        <v>33397293.073196538</v>
      </c>
    </row>
    <row r="66" spans="1:35">
      <c r="A66" s="223" t="s">
        <v>152</v>
      </c>
      <c r="B66" s="110">
        <v>13615.209999999995</v>
      </c>
      <c r="C66" s="110">
        <v>2409.2800000000002</v>
      </c>
      <c r="D66" s="110">
        <v>567.70000000000005</v>
      </c>
      <c r="E66" s="110">
        <v>4.75</v>
      </c>
      <c r="F66" s="110">
        <v>418.19</v>
      </c>
      <c r="G66" s="193">
        <f t="shared" si="0"/>
        <v>13192.269999999995</v>
      </c>
      <c r="H66" s="188">
        <v>16040.469999999996</v>
      </c>
      <c r="I66" s="110">
        <v>2860.299978</v>
      </c>
      <c r="J66" s="110">
        <v>550.23</v>
      </c>
      <c r="K66" s="110">
        <v>2.59</v>
      </c>
      <c r="L66" s="110">
        <v>523.80999999999995</v>
      </c>
      <c r="M66" s="193">
        <f t="shared" si="14"/>
        <v>15514.069999999996</v>
      </c>
      <c r="N66" s="111">
        <v>16239</v>
      </c>
      <c r="O66" s="111">
        <v>2574</v>
      </c>
      <c r="P66" s="111">
        <v>638</v>
      </c>
      <c r="Q66" s="111">
        <v>10.1</v>
      </c>
      <c r="R66" s="111">
        <v>508.41</v>
      </c>
      <c r="S66" s="195">
        <f t="shared" si="9"/>
        <v>15720.49</v>
      </c>
      <c r="T66" s="109">
        <f t="shared" si="15"/>
        <v>17179.773333333334</v>
      </c>
      <c r="U66" s="109">
        <f t="shared" si="16"/>
        <v>2533.4733406666664</v>
      </c>
      <c r="V66" s="109">
        <f t="shared" si="17"/>
        <v>690.68999999999994</v>
      </c>
      <c r="W66" s="109">
        <f t="shared" si="18"/>
        <v>14.386666666666665</v>
      </c>
      <c r="X66" s="109">
        <f t="shared" si="19"/>
        <v>533.35</v>
      </c>
      <c r="Y66" s="204">
        <f t="shared" si="10"/>
        <v>16632.03666666667</v>
      </c>
      <c r="Z66" s="141">
        <f t="shared" si="20"/>
        <v>15955.532222222222</v>
      </c>
      <c r="AA66" s="141">
        <f t="shared" si="11"/>
        <v>2533.4733406666664</v>
      </c>
      <c r="AB66" s="141">
        <f t="shared" si="12"/>
        <v>690.68999999999994</v>
      </c>
      <c r="AC66" s="141">
        <f t="shared" si="13"/>
        <v>547.73666666666668</v>
      </c>
      <c r="AD66" s="120">
        <v>9776581.4201999996</v>
      </c>
      <c r="AE66" s="142">
        <f>INDEX('Rate Assumptions'!$A:$B,MATCH('Base Allocation'!AE$2,'Rate Assumptions'!$A:$A,0),2)</f>
        <v>3988.586178572119</v>
      </c>
      <c r="AF66" s="142">
        <f>INDEX('Rate Assumptions'!$A:$B,MATCH('Base Allocation'!AF$2,'Rate Assumptions'!$A:$A,0),2)</f>
        <v>3456.4414961399998</v>
      </c>
      <c r="AG66" s="142">
        <f>INDEX('Rate Assumptions'!$A:$B,MATCH('Base Allocation'!AG$2,'Rate Assumptions'!$A:$A,0),2)</f>
        <v>5634.5605750409004</v>
      </c>
      <c r="AH66" s="142">
        <f>INDEX('Rate Assumptions'!$A:$B,MATCH('Base Allocation'!AH$2,'Rate Assumptions'!$A:$A,0),2)</f>
        <v>5634.5605750409004</v>
      </c>
      <c r="AI66" s="143">
        <f t="shared" si="21"/>
        <v>89151389.168641657</v>
      </c>
    </row>
    <row r="67" spans="1:35">
      <c r="A67" s="223" t="s">
        <v>153</v>
      </c>
      <c r="B67" s="110">
        <v>24706.37</v>
      </c>
      <c r="C67" s="110">
        <v>2243.0898389999998</v>
      </c>
      <c r="D67" s="110">
        <v>415.98</v>
      </c>
      <c r="E67" s="110"/>
      <c r="F67" s="110">
        <v>593.07000000000005</v>
      </c>
      <c r="G67" s="193">
        <f t="shared" si="0"/>
        <v>24113.3</v>
      </c>
      <c r="H67" s="188">
        <v>23956.44</v>
      </c>
      <c r="I67" s="110">
        <v>2042.1199999999997</v>
      </c>
      <c r="J67" s="110">
        <v>977.03</v>
      </c>
      <c r="K67" s="110"/>
      <c r="L67" s="110">
        <v>693.52</v>
      </c>
      <c r="M67" s="193">
        <f t="shared" si="14"/>
        <v>23262.92</v>
      </c>
      <c r="N67" s="111">
        <v>23248.43</v>
      </c>
      <c r="O67" s="111">
        <v>2104.67</v>
      </c>
      <c r="P67" s="111">
        <v>1070.21</v>
      </c>
      <c r="Q67" s="111">
        <v>0</v>
      </c>
      <c r="R67" s="111">
        <v>750.08</v>
      </c>
      <c r="S67" s="195">
        <f t="shared" si="9"/>
        <v>22498.35</v>
      </c>
      <c r="T67" s="109">
        <f t="shared" si="15"/>
        <v>22526.44666666667</v>
      </c>
      <c r="U67" s="109">
        <f t="shared" si="16"/>
        <v>2079.3800536666668</v>
      </c>
      <c r="V67" s="109">
        <f t="shared" si="17"/>
        <v>1319.3466666666668</v>
      </c>
      <c r="W67" s="109">
        <f t="shared" si="18"/>
        <v>0</v>
      </c>
      <c r="X67" s="109">
        <f t="shared" si="19"/>
        <v>821.2700000000001</v>
      </c>
      <c r="Y67" s="204">
        <f t="shared" si="10"/>
        <v>21705.17666666667</v>
      </c>
      <c r="Z67" s="141">
        <f t="shared" si="20"/>
        <v>22488.815555555557</v>
      </c>
      <c r="AA67" s="141">
        <f t="shared" si="11"/>
        <v>2079.3800536666668</v>
      </c>
      <c r="AB67" s="141">
        <f t="shared" si="12"/>
        <v>1319.3466666666668</v>
      </c>
      <c r="AC67" s="141">
        <f t="shared" si="13"/>
        <v>821.2700000000001</v>
      </c>
      <c r="AD67" s="120">
        <v>9439458.1721999999</v>
      </c>
      <c r="AE67" s="142">
        <f>INDEX('Rate Assumptions'!$A:$B,MATCH('Base Allocation'!AE$2,'Rate Assumptions'!$A:$A,0),2)</f>
        <v>3988.586178572119</v>
      </c>
      <c r="AF67" s="142">
        <f>INDEX('Rate Assumptions'!$A:$B,MATCH('Base Allocation'!AF$2,'Rate Assumptions'!$A:$A,0),2)</f>
        <v>3456.4414961399998</v>
      </c>
      <c r="AG67" s="142">
        <f>INDEX('Rate Assumptions'!$A:$B,MATCH('Base Allocation'!AG$2,'Rate Assumptions'!$A:$A,0),2)</f>
        <v>5634.5605750409004</v>
      </c>
      <c r="AH67" s="142">
        <f>INDEX('Rate Assumptions'!$A:$B,MATCH('Base Allocation'!AH$2,'Rate Assumptions'!$A:$A,0),2)</f>
        <v>5634.5605750409004</v>
      </c>
      <c r="AI67" s="143">
        <f t="shared" si="21"/>
        <v>118386726.84956132</v>
      </c>
    </row>
    <row r="68" spans="1:35">
      <c r="A68" s="223" t="s">
        <v>154</v>
      </c>
      <c r="B68" s="110">
        <v>15625.789987</v>
      </c>
      <c r="C68" s="110">
        <v>212.31</v>
      </c>
      <c r="D68" s="110">
        <v>38.970000000000006</v>
      </c>
      <c r="E68" s="110">
        <v>28.75</v>
      </c>
      <c r="F68" s="110">
        <v>154.74</v>
      </c>
      <c r="G68" s="193">
        <f t="shared" si="0"/>
        <v>15442.299987</v>
      </c>
      <c r="H68" s="188">
        <v>13083.04</v>
      </c>
      <c r="I68" s="110">
        <v>196.28</v>
      </c>
      <c r="J68" s="110">
        <v>38.400000000000006</v>
      </c>
      <c r="K68" s="110">
        <v>72.45</v>
      </c>
      <c r="L68" s="110">
        <v>232.12</v>
      </c>
      <c r="M68" s="193">
        <f t="shared" si="14"/>
        <v>12778.47</v>
      </c>
      <c r="N68" s="111">
        <v>14539.77</v>
      </c>
      <c r="O68" s="111">
        <v>252.73999999999998</v>
      </c>
      <c r="P68" s="111">
        <v>21.97</v>
      </c>
      <c r="Q68" s="111">
        <v>62.87</v>
      </c>
      <c r="R68" s="111">
        <v>232.12</v>
      </c>
      <c r="S68" s="195">
        <f t="shared" si="9"/>
        <v>14244.779999999999</v>
      </c>
      <c r="T68" s="109">
        <f t="shared" si="15"/>
        <v>14663.340004333335</v>
      </c>
      <c r="U68" s="109">
        <f t="shared" si="16"/>
        <v>285.03666666666663</v>
      </c>
      <c r="V68" s="109">
        <f t="shared" si="17"/>
        <v>10.826666666666661</v>
      </c>
      <c r="W68" s="109">
        <f t="shared" si="18"/>
        <v>71.05</v>
      </c>
      <c r="X68" s="109">
        <f t="shared" si="19"/>
        <v>257.91333333333336</v>
      </c>
      <c r="Y68" s="204">
        <f t="shared" si="10"/>
        <v>14334.376671000002</v>
      </c>
      <c r="Z68" s="141">
        <f t="shared" si="20"/>
        <v>13785.875556999999</v>
      </c>
      <c r="AA68" s="141">
        <f t="shared" si="11"/>
        <v>285.03666666666663</v>
      </c>
      <c r="AB68" s="141">
        <f t="shared" si="12"/>
        <v>10.826666666666661</v>
      </c>
      <c r="AC68" s="141">
        <f t="shared" si="13"/>
        <v>328.96333333333337</v>
      </c>
      <c r="AD68" s="120">
        <v>9439458.1721999999</v>
      </c>
      <c r="AE68" s="142">
        <f>INDEX('Rate Assumptions'!$A:$B,MATCH('Base Allocation'!AE$2,'Rate Assumptions'!$A:$A,0),2)</f>
        <v>3988.586178572119</v>
      </c>
      <c r="AF68" s="142">
        <f>INDEX('Rate Assumptions'!$A:$B,MATCH('Base Allocation'!AF$2,'Rate Assumptions'!$A:$A,0),2)</f>
        <v>3456.4414961399998</v>
      </c>
      <c r="AG68" s="142">
        <f>INDEX('Rate Assumptions'!$A:$B,MATCH('Base Allocation'!AG$2,'Rate Assumptions'!$A:$A,0),2)</f>
        <v>5634.5605750409004</v>
      </c>
      <c r="AH68" s="142">
        <f>INDEX('Rate Assumptions'!$A:$B,MATCH('Base Allocation'!AH$2,'Rate Assumptions'!$A:$A,0),2)</f>
        <v>5634.5605750409004</v>
      </c>
      <c r="AI68" s="143">
        <f t="shared" si="21"/>
        <v>67325390.77874665</v>
      </c>
    </row>
    <row r="69" spans="1:35">
      <c r="A69" s="223" t="s">
        <v>155</v>
      </c>
      <c r="B69" s="110">
        <v>26963.420000000006</v>
      </c>
      <c r="C69" s="110">
        <v>231</v>
      </c>
      <c r="D69" s="110">
        <v>129.60000000000002</v>
      </c>
      <c r="E69" s="110"/>
      <c r="F69" s="110">
        <v>951.28</v>
      </c>
      <c r="G69" s="193">
        <f t="shared" ref="G69:G76" si="22">B69-E69-F69</f>
        <v>26012.140000000007</v>
      </c>
      <c r="H69" s="188">
        <v>31058.822104000006</v>
      </c>
      <c r="I69" s="110">
        <v>310.10000000000002</v>
      </c>
      <c r="J69" s="110">
        <v>171.51000000000002</v>
      </c>
      <c r="K69" s="110"/>
      <c r="L69" s="110">
        <v>1450.43</v>
      </c>
      <c r="M69" s="193">
        <f t="shared" ref="M69:M76" si="23">H69-K69-L69</f>
        <v>29608.392104000006</v>
      </c>
      <c r="N69" s="111">
        <v>29862.79</v>
      </c>
      <c r="O69" s="111">
        <v>310.10000000000002</v>
      </c>
      <c r="P69" s="111">
        <v>171.51000000000002</v>
      </c>
      <c r="Q69" s="111">
        <v>0</v>
      </c>
      <c r="R69" s="111">
        <v>1651.08</v>
      </c>
      <c r="S69" s="195">
        <f t="shared" si="9"/>
        <v>28211.71</v>
      </c>
      <c r="T69" s="109">
        <f t="shared" ref="T69:T76" si="24">IF((H69-B69)*(1/3)+(N69-H69)*(2/3) + N69&gt;0,N69+(H69-B69)*(1/3)+(N69-H69)*(2/3),N69)</f>
        <v>30430.569298666662</v>
      </c>
      <c r="U69" s="109">
        <f t="shared" ref="U69:U76" si="25">IF((I69-C69)*(1/3)+(O69-I69)*(2/3) + O69&gt;0,O69+(I69-C69)*(1/3)+(O69-I69)*(2/3),O69)</f>
        <v>336.4666666666667</v>
      </c>
      <c r="V69" s="109">
        <f t="shared" ref="V69:V76" si="26">IF((J69-D69)*(1/3)+(P69-J69)*(2/3) + P69&gt;0,P69+(J69-D69)*(1/3)+(P69-J69)*(2/3),P69)</f>
        <v>185.48000000000002</v>
      </c>
      <c r="W69" s="109">
        <f t="shared" ref="W69:W76" si="27">IF((K69-E69)*(1/3)+(Q69-K69)*(2/3) + Q69&gt;0,Q69+(K69-E69)*(1/3)+(Q69-K69)*(2/3),Q69)</f>
        <v>0</v>
      </c>
      <c r="X69" s="109">
        <f t="shared" ref="X69:X76" si="28">IF((L69-F69)*(1/3)+(R69-L69)*(2/3) + R69&gt;0,R69+(L69-F69)*(1/3)+(R69-L69)*(2/3),R69)</f>
        <v>1951.23</v>
      </c>
      <c r="Y69" s="204">
        <f t="shared" si="10"/>
        <v>28479.339298666662</v>
      </c>
      <c r="Z69" s="141">
        <f t="shared" ref="Z69:Z76" si="29">AVERAGE(Y69,S69,M69)</f>
        <v>28766.480467555561</v>
      </c>
      <c r="AA69" s="141">
        <f t="shared" si="11"/>
        <v>336.4666666666667</v>
      </c>
      <c r="AB69" s="141">
        <f t="shared" si="12"/>
        <v>185.48000000000002</v>
      </c>
      <c r="AC69" s="141">
        <f t="shared" si="13"/>
        <v>1951.23</v>
      </c>
      <c r="AD69" s="120">
        <v>15507677.6688</v>
      </c>
      <c r="AE69" s="142">
        <f>INDEX('Rate Assumptions'!$A:$B,MATCH('Base Allocation'!AE$2,'Rate Assumptions'!$A:$A,0),2)</f>
        <v>3988.586178572119</v>
      </c>
      <c r="AF69" s="142">
        <f>INDEX('Rate Assumptions'!$A:$B,MATCH('Base Allocation'!AF$2,'Rate Assumptions'!$A:$A,0),2)</f>
        <v>3456.4414961399998</v>
      </c>
      <c r="AG69" s="142">
        <f>INDEX('Rate Assumptions'!$A:$B,MATCH('Base Allocation'!AG$2,'Rate Assumptions'!$A:$A,0),2)</f>
        <v>5634.5605750409004</v>
      </c>
      <c r="AH69" s="142">
        <f>INDEX('Rate Assumptions'!$A:$B,MATCH('Base Allocation'!AH$2,'Rate Assumptions'!$A:$A,0),2)</f>
        <v>5634.5605750409004</v>
      </c>
      <c r="AI69" s="143">
        <f t="shared" ref="AI69:AI76" si="30">AD69+SUMPRODUCT(Z69:AC69,AE69:AH69)</f>
        <v>143447663.34288716</v>
      </c>
    </row>
    <row r="70" spans="1:35">
      <c r="A70" s="223" t="s">
        <v>156</v>
      </c>
      <c r="B70" s="110">
        <v>25334.640000000007</v>
      </c>
      <c r="C70" s="110">
        <v>72.22999999999999</v>
      </c>
      <c r="D70" s="110">
        <v>0</v>
      </c>
      <c r="E70" s="110"/>
      <c r="F70" s="110">
        <v>592.75</v>
      </c>
      <c r="G70" s="193">
        <f t="shared" si="22"/>
        <v>24741.890000000007</v>
      </c>
      <c r="H70" s="188">
        <v>26548.327543000007</v>
      </c>
      <c r="I70" s="110">
        <v>116.97</v>
      </c>
      <c r="J70" s="110">
        <v>1.69</v>
      </c>
      <c r="K70" s="110"/>
      <c r="L70" s="110">
        <v>749.34</v>
      </c>
      <c r="M70" s="193">
        <f t="shared" si="23"/>
        <v>25798.987543000007</v>
      </c>
      <c r="N70" s="111">
        <v>24971.89</v>
      </c>
      <c r="O70" s="111">
        <v>113.94999999999999</v>
      </c>
      <c r="P70" s="111">
        <v>3.65</v>
      </c>
      <c r="Q70" s="111">
        <v>4.76</v>
      </c>
      <c r="R70" s="111">
        <v>1568.5</v>
      </c>
      <c r="S70" s="195">
        <f t="shared" ref="S70:S76" si="31">N70-Q70-R70</f>
        <v>23398.63</v>
      </c>
      <c r="T70" s="109">
        <f t="shared" si="24"/>
        <v>24325.494152333329</v>
      </c>
      <c r="U70" s="109">
        <f t="shared" si="25"/>
        <v>126.84999999999998</v>
      </c>
      <c r="V70" s="109">
        <f t="shared" si="26"/>
        <v>5.52</v>
      </c>
      <c r="W70" s="109">
        <f t="shared" si="27"/>
        <v>7.9333333333333327</v>
      </c>
      <c r="X70" s="109">
        <f t="shared" si="28"/>
        <v>2166.8033333333333</v>
      </c>
      <c r="Y70" s="204">
        <f t="shared" ref="Y70:Y76" si="32">T70-W70-X70</f>
        <v>22150.757485666662</v>
      </c>
      <c r="Z70" s="141">
        <f t="shared" si="29"/>
        <v>23782.791676222227</v>
      </c>
      <c r="AA70" s="141">
        <f t="shared" ref="AA70:AA76" si="33">U70</f>
        <v>126.84999999999998</v>
      </c>
      <c r="AB70" s="141">
        <f t="shared" ref="AB70:AB76" si="34">V70</f>
        <v>5.52</v>
      </c>
      <c r="AC70" s="141">
        <f t="shared" ref="AC70:AC76" si="35">SUM(W70:X70)</f>
        <v>2174.7366666666667</v>
      </c>
      <c r="AD70" s="120">
        <v>13484938.1808</v>
      </c>
      <c r="AE70" s="142">
        <f>INDEX('Rate Assumptions'!$A:$B,MATCH('Base Allocation'!AE$2,'Rate Assumptions'!$A:$A,0),2)</f>
        <v>3988.586178572119</v>
      </c>
      <c r="AF70" s="142">
        <f>INDEX('Rate Assumptions'!$A:$B,MATCH('Base Allocation'!AF$2,'Rate Assumptions'!$A:$A,0),2)</f>
        <v>3456.4414961399998</v>
      </c>
      <c r="AG70" s="142">
        <f>INDEX('Rate Assumptions'!$A:$B,MATCH('Base Allocation'!AG$2,'Rate Assumptions'!$A:$A,0),2)</f>
        <v>5634.5605750409004</v>
      </c>
      <c r="AH70" s="142">
        <f>INDEX('Rate Assumptions'!$A:$B,MATCH('Base Allocation'!AH$2,'Rate Assumptions'!$A:$A,0),2)</f>
        <v>5634.5605750409004</v>
      </c>
      <c r="AI70" s="143">
        <f t="shared" si="30"/>
        <v>121067890.20969549</v>
      </c>
    </row>
    <row r="71" spans="1:35">
      <c r="A71" s="223" t="s">
        <v>157</v>
      </c>
      <c r="B71" s="110">
        <v>9420.2099219999982</v>
      </c>
      <c r="C71" s="110">
        <v>54.72</v>
      </c>
      <c r="D71" s="110">
        <v>0</v>
      </c>
      <c r="E71" s="110"/>
      <c r="F71" s="110">
        <v>994.72</v>
      </c>
      <c r="G71" s="193">
        <f t="shared" si="22"/>
        <v>8425.4899219999988</v>
      </c>
      <c r="H71" s="188">
        <v>9561.0413739999985</v>
      </c>
      <c r="I71" s="110">
        <v>79.12</v>
      </c>
      <c r="J71" s="110">
        <v>0</v>
      </c>
      <c r="K71" s="110"/>
      <c r="L71" s="110">
        <v>560.21</v>
      </c>
      <c r="M71" s="193">
        <f t="shared" si="23"/>
        <v>9000.8313739999976</v>
      </c>
      <c r="N71" s="111">
        <v>9596.02</v>
      </c>
      <c r="O71" s="111">
        <v>57.68</v>
      </c>
      <c r="P71" s="111">
        <v>0</v>
      </c>
      <c r="Q71" s="111">
        <v>0</v>
      </c>
      <c r="R71" s="111">
        <v>372.01</v>
      </c>
      <c r="S71" s="195">
        <f t="shared" si="31"/>
        <v>9224.01</v>
      </c>
      <c r="T71" s="109">
        <f t="shared" si="24"/>
        <v>9666.2829013333339</v>
      </c>
      <c r="U71" s="109">
        <f t="shared" si="25"/>
        <v>51.519999999999996</v>
      </c>
      <c r="V71" s="109">
        <f t="shared" si="26"/>
        <v>0</v>
      </c>
      <c r="W71" s="109">
        <f t="shared" si="27"/>
        <v>0</v>
      </c>
      <c r="X71" s="109">
        <f t="shared" si="28"/>
        <v>101.70666666666665</v>
      </c>
      <c r="Y71" s="204">
        <f t="shared" si="32"/>
        <v>9564.576234666667</v>
      </c>
      <c r="Z71" s="141">
        <f t="shared" si="29"/>
        <v>9263.1392028888895</v>
      </c>
      <c r="AA71" s="141">
        <f t="shared" si="33"/>
        <v>51.519999999999996</v>
      </c>
      <c r="AB71" s="141">
        <f t="shared" si="34"/>
        <v>0</v>
      </c>
      <c r="AC71" s="141">
        <f t="shared" si="35"/>
        <v>101.70666666666665</v>
      </c>
      <c r="AD71" s="120">
        <v>4045480.0085999998</v>
      </c>
      <c r="AE71" s="142">
        <f>INDEX('Rate Assumptions'!$A:$B,MATCH('Base Allocation'!AE$2,'Rate Assumptions'!$A:$A,0),2)</f>
        <v>3988.586178572119</v>
      </c>
      <c r="AF71" s="142">
        <f>INDEX('Rate Assumptions'!$A:$B,MATCH('Base Allocation'!AF$2,'Rate Assumptions'!$A:$A,0),2)</f>
        <v>3456.4414961399998</v>
      </c>
      <c r="AG71" s="142">
        <f>INDEX('Rate Assumptions'!$A:$B,MATCH('Base Allocation'!AG$2,'Rate Assumptions'!$A:$A,0),2)</f>
        <v>5634.5605750409004</v>
      </c>
      <c r="AH71" s="142">
        <f>INDEX('Rate Assumptions'!$A:$B,MATCH('Base Allocation'!AH$2,'Rate Assumptions'!$A:$A,0),2)</f>
        <v>5634.5605750409004</v>
      </c>
      <c r="AI71" s="143">
        <f t="shared" si="30"/>
        <v>41743457.243532136</v>
      </c>
    </row>
    <row r="72" spans="1:35">
      <c r="A72" s="223" t="s">
        <v>158</v>
      </c>
      <c r="B72" s="110">
        <v>5148.6799360000005</v>
      </c>
      <c r="C72" s="110">
        <v>351.54999999999995</v>
      </c>
      <c r="D72" s="110">
        <v>0</v>
      </c>
      <c r="E72" s="110"/>
      <c r="F72" s="110">
        <v>340.41</v>
      </c>
      <c r="G72" s="193">
        <f t="shared" si="22"/>
        <v>4808.2699360000006</v>
      </c>
      <c r="H72" s="188">
        <v>5384.0108210000008</v>
      </c>
      <c r="I72" s="110">
        <v>363.34999999999997</v>
      </c>
      <c r="J72" s="110">
        <v>0</v>
      </c>
      <c r="K72" s="110">
        <v>44.489999999999995</v>
      </c>
      <c r="L72" s="110">
        <v>512.37</v>
      </c>
      <c r="M72" s="193">
        <f t="shared" si="23"/>
        <v>4827.1508210000011</v>
      </c>
      <c r="N72" s="111">
        <v>5791.4</v>
      </c>
      <c r="O72" s="111">
        <v>319.88</v>
      </c>
      <c r="P72" s="111">
        <v>0</v>
      </c>
      <c r="Q72" s="111">
        <v>148.04</v>
      </c>
      <c r="R72" s="111">
        <v>316.95987423270151</v>
      </c>
      <c r="S72" s="195">
        <f t="shared" si="31"/>
        <v>5326.4001257672981</v>
      </c>
      <c r="T72" s="109">
        <f t="shared" si="24"/>
        <v>6141.4364143333323</v>
      </c>
      <c r="U72" s="109">
        <f t="shared" si="25"/>
        <v>294.83333333333337</v>
      </c>
      <c r="V72" s="109">
        <f t="shared" si="26"/>
        <v>0</v>
      </c>
      <c r="W72" s="109">
        <f t="shared" si="27"/>
        <v>231.90333333333334</v>
      </c>
      <c r="X72" s="109">
        <f t="shared" si="28"/>
        <v>244.0064570545025</v>
      </c>
      <c r="Y72" s="204">
        <f t="shared" si="32"/>
        <v>5665.5266239454959</v>
      </c>
      <c r="Z72" s="141">
        <f t="shared" si="29"/>
        <v>5273.0258569042653</v>
      </c>
      <c r="AA72" s="141">
        <f t="shared" si="33"/>
        <v>294.83333333333337</v>
      </c>
      <c r="AB72" s="141">
        <f t="shared" si="34"/>
        <v>0</v>
      </c>
      <c r="AC72" s="141">
        <f t="shared" si="35"/>
        <v>475.90979038783587</v>
      </c>
      <c r="AD72" s="120">
        <v>8428084.2977999989</v>
      </c>
      <c r="AE72" s="142">
        <f>INDEX('Rate Assumptions'!$A:$B,MATCH('Base Allocation'!AE$2,'Rate Assumptions'!$A:$A,0),2)</f>
        <v>3988.586178572119</v>
      </c>
      <c r="AF72" s="142">
        <f>INDEX('Rate Assumptions'!$A:$B,MATCH('Base Allocation'!AF$2,'Rate Assumptions'!$A:$A,0),2)</f>
        <v>3456.4414961399998</v>
      </c>
      <c r="AG72" s="142">
        <f>INDEX('Rate Assumptions'!$A:$B,MATCH('Base Allocation'!AG$2,'Rate Assumptions'!$A:$A,0),2)</f>
        <v>5634.5605750409004</v>
      </c>
      <c r="AH72" s="142">
        <f>INDEX('Rate Assumptions'!$A:$B,MATCH('Base Allocation'!AH$2,'Rate Assumptions'!$A:$A,0),2)</f>
        <v>5634.5605750409004</v>
      </c>
      <c r="AI72" s="143">
        <f t="shared" si="30"/>
        <v>33160619.059875645</v>
      </c>
    </row>
    <row r="73" spans="1:35">
      <c r="A73" s="223" t="s">
        <v>159</v>
      </c>
      <c r="B73" s="110">
        <v>2609.5800659999995</v>
      </c>
      <c r="C73" s="110">
        <v>31.34</v>
      </c>
      <c r="D73" s="110">
        <v>0</v>
      </c>
      <c r="E73" s="110">
        <v>58.7</v>
      </c>
      <c r="F73" s="110">
        <v>17.57</v>
      </c>
      <c r="G73" s="193">
        <f t="shared" si="22"/>
        <v>2533.3100659999996</v>
      </c>
      <c r="H73" s="188">
        <v>2827.0941699999994</v>
      </c>
      <c r="I73" s="110">
        <v>0.42000000000000171</v>
      </c>
      <c r="J73" s="110">
        <v>0</v>
      </c>
      <c r="K73" s="110">
        <v>44.040000000000006</v>
      </c>
      <c r="L73" s="110">
        <v>17.420000000000002</v>
      </c>
      <c r="M73" s="193">
        <f t="shared" si="23"/>
        <v>2765.6341699999994</v>
      </c>
      <c r="N73" s="111">
        <v>2909.06</v>
      </c>
      <c r="O73" s="111">
        <v>0</v>
      </c>
      <c r="P73" s="111">
        <v>0</v>
      </c>
      <c r="Q73" s="111">
        <v>50.127583295720932</v>
      </c>
      <c r="R73" s="111">
        <v>0</v>
      </c>
      <c r="S73" s="195">
        <f t="shared" si="31"/>
        <v>2858.9324167042791</v>
      </c>
      <c r="T73" s="109">
        <f t="shared" si="24"/>
        <v>3036.2085880000004</v>
      </c>
      <c r="U73" s="109">
        <f t="shared" si="25"/>
        <v>0</v>
      </c>
      <c r="V73" s="109">
        <f t="shared" si="26"/>
        <v>0</v>
      </c>
      <c r="W73" s="109">
        <f t="shared" si="27"/>
        <v>49.299305492868221</v>
      </c>
      <c r="X73" s="109">
        <f t="shared" si="28"/>
        <v>0</v>
      </c>
      <c r="Y73" s="204">
        <f t="shared" si="32"/>
        <v>2986.909282507132</v>
      </c>
      <c r="Z73" s="141">
        <f t="shared" si="29"/>
        <v>2870.4919564038032</v>
      </c>
      <c r="AA73" s="141">
        <f t="shared" si="33"/>
        <v>0</v>
      </c>
      <c r="AB73" s="141">
        <f t="shared" si="34"/>
        <v>0</v>
      </c>
      <c r="AC73" s="141">
        <f t="shared" si="35"/>
        <v>49.299305492868221</v>
      </c>
      <c r="AD73" s="120">
        <v>5332192.5425999993</v>
      </c>
      <c r="AE73" s="142">
        <f>INDEX('Rate Assumptions'!$A:$B,MATCH('Base Allocation'!AE$2,'Rate Assumptions'!$A:$A,0),2)</f>
        <v>3988.586178572119</v>
      </c>
      <c r="AF73" s="142">
        <f>INDEX('Rate Assumptions'!$A:$B,MATCH('Base Allocation'!AF$2,'Rate Assumptions'!$A:$A,0),2)</f>
        <v>3456.4414961399998</v>
      </c>
      <c r="AG73" s="142">
        <f>INDEX('Rate Assumptions'!$A:$B,MATCH('Base Allocation'!AG$2,'Rate Assumptions'!$A:$A,0),2)</f>
        <v>5634.5605750409004</v>
      </c>
      <c r="AH73" s="142">
        <f>INDEX('Rate Assumptions'!$A:$B,MATCH('Base Allocation'!AH$2,'Rate Assumptions'!$A:$A,0),2)</f>
        <v>5634.5605750409004</v>
      </c>
      <c r="AI73" s="143">
        <f t="shared" si="30"/>
        <v>17059177.008721665</v>
      </c>
    </row>
    <row r="74" spans="1:35" ht="17.25">
      <c r="A74" s="223" t="s">
        <v>175</v>
      </c>
      <c r="B74" s="110">
        <v>11784.29</v>
      </c>
      <c r="C74" s="110">
        <v>1030.4400000000003</v>
      </c>
      <c r="D74" s="110">
        <v>0</v>
      </c>
      <c r="E74" s="110"/>
      <c r="F74" s="110">
        <v>293.69</v>
      </c>
      <c r="G74" s="193">
        <f t="shared" si="22"/>
        <v>11490.6</v>
      </c>
      <c r="H74" s="188">
        <v>11473.35</v>
      </c>
      <c r="I74" s="110">
        <v>1198.9900000000002</v>
      </c>
      <c r="J74" s="110">
        <v>0</v>
      </c>
      <c r="K74" s="110">
        <v>0.87000000000000011</v>
      </c>
      <c r="L74" s="110">
        <v>497.63</v>
      </c>
      <c r="M74" s="193">
        <f t="shared" si="23"/>
        <v>10974.85</v>
      </c>
      <c r="N74" s="111">
        <v>10022.19</v>
      </c>
      <c r="O74" s="111">
        <v>1198.9900000000002</v>
      </c>
      <c r="P74" s="111">
        <v>3.8018210856508343</v>
      </c>
      <c r="Q74" s="111">
        <v>0</v>
      </c>
      <c r="R74" s="111">
        <v>410.43</v>
      </c>
      <c r="S74" s="195">
        <f t="shared" si="31"/>
        <v>9611.76</v>
      </c>
      <c r="T74" s="109">
        <f t="shared" si="24"/>
        <v>8951.1033333333326</v>
      </c>
      <c r="U74" s="109">
        <f t="shared" si="25"/>
        <v>1255.1733333333336</v>
      </c>
      <c r="V74" s="109">
        <f t="shared" si="26"/>
        <v>6.3363684760847239</v>
      </c>
      <c r="W74" s="109">
        <f t="shared" si="27"/>
        <v>0</v>
      </c>
      <c r="X74" s="109">
        <f t="shared" si="28"/>
        <v>420.27666666666664</v>
      </c>
      <c r="Y74" s="204">
        <f t="shared" si="32"/>
        <v>8530.8266666666659</v>
      </c>
      <c r="Z74" s="141">
        <f t="shared" si="29"/>
        <v>9705.8122222222228</v>
      </c>
      <c r="AA74" s="141">
        <f t="shared" si="33"/>
        <v>1255.1733333333336</v>
      </c>
      <c r="AB74" s="141">
        <f t="shared" si="34"/>
        <v>6.3363684760847239</v>
      </c>
      <c r="AC74" s="141">
        <f>SUM(W74:X74)</f>
        <v>420.27666666666664</v>
      </c>
      <c r="AD74" s="120">
        <v>8090961.0498000002</v>
      </c>
      <c r="AE74" s="142">
        <f>INDEX('Rate Assumptions'!$A:$B,MATCH('Base Allocation'!AE$2,'Rate Assumptions'!$A:$A,0),2)</f>
        <v>3988.586178572119</v>
      </c>
      <c r="AF74" s="142">
        <f>INDEX('Rate Assumptions'!$A:$B,MATCH('Base Allocation'!AF$2,'Rate Assumptions'!$A:$A,0),2)</f>
        <v>3456.4414961399998</v>
      </c>
      <c r="AG74" s="142">
        <f>INDEX('Rate Assumptions'!$A:$B,MATCH('Base Allocation'!AG$2,'Rate Assumptions'!$A:$A,0),2)</f>
        <v>5634.5605750409004</v>
      </c>
      <c r="AH74" s="142">
        <f>INDEX('Rate Assumptions'!$A:$B,MATCH('Base Allocation'!AH$2,'Rate Assumptions'!$A:$A,0),2)</f>
        <v>5634.5605750409004</v>
      </c>
      <c r="AI74" s="143">
        <f t="shared" si="30"/>
        <v>53545639.713967487</v>
      </c>
    </row>
    <row r="75" spans="1:35">
      <c r="A75" s="223" t="s">
        <v>160</v>
      </c>
      <c r="B75" s="110">
        <v>15038.760000000002</v>
      </c>
      <c r="C75" s="110">
        <v>203.32999999999998</v>
      </c>
      <c r="D75" s="110">
        <v>186.56</v>
      </c>
      <c r="E75" s="110">
        <v>32.369999999999997</v>
      </c>
      <c r="F75" s="110">
        <v>209.8</v>
      </c>
      <c r="G75" s="193">
        <f t="shared" si="22"/>
        <v>14796.590000000002</v>
      </c>
      <c r="H75" s="188">
        <v>16104.270000000002</v>
      </c>
      <c r="I75" s="110">
        <v>238.450108</v>
      </c>
      <c r="J75" s="110">
        <v>233.61</v>
      </c>
      <c r="K75" s="110">
        <v>76.53</v>
      </c>
      <c r="L75" s="110">
        <v>282.12</v>
      </c>
      <c r="M75" s="193">
        <f t="shared" si="23"/>
        <v>15745.62</v>
      </c>
      <c r="N75" s="111">
        <v>15515.44</v>
      </c>
      <c r="O75" s="111">
        <v>275.23</v>
      </c>
      <c r="P75" s="111">
        <v>256.14</v>
      </c>
      <c r="Q75" s="111">
        <v>89.13</v>
      </c>
      <c r="R75" s="111">
        <v>313.32</v>
      </c>
      <c r="S75" s="195">
        <f t="shared" si="31"/>
        <v>15112.990000000002</v>
      </c>
      <c r="T75" s="109">
        <f t="shared" si="24"/>
        <v>15478.056666666665</v>
      </c>
      <c r="U75" s="109">
        <f t="shared" si="25"/>
        <v>311.45663066666668</v>
      </c>
      <c r="V75" s="109">
        <f t="shared" si="26"/>
        <v>286.84333333333331</v>
      </c>
      <c r="W75" s="109">
        <f t="shared" si="27"/>
        <v>112.24999999999999</v>
      </c>
      <c r="X75" s="109">
        <f t="shared" si="28"/>
        <v>358.22666666666669</v>
      </c>
      <c r="Y75" s="204">
        <f t="shared" si="32"/>
        <v>15007.579999999998</v>
      </c>
      <c r="Z75" s="141">
        <f t="shared" si="29"/>
        <v>15288.730000000001</v>
      </c>
      <c r="AA75" s="141">
        <f t="shared" si="33"/>
        <v>311.45663066666668</v>
      </c>
      <c r="AB75" s="141">
        <f t="shared" si="34"/>
        <v>286.84333333333331</v>
      </c>
      <c r="AC75" s="141">
        <f t="shared" si="35"/>
        <v>470.47666666666669</v>
      </c>
      <c r="AD75" s="120">
        <v>8765209.6109999996</v>
      </c>
      <c r="AE75" s="142">
        <f>INDEX('Rate Assumptions'!$A:$B,MATCH('Base Allocation'!AE$2,'Rate Assumptions'!$A:$A,0),2)</f>
        <v>3988.586178572119</v>
      </c>
      <c r="AF75" s="142">
        <f>INDEX('Rate Assumptions'!$A:$B,MATCH('Base Allocation'!AF$2,'Rate Assumptions'!$A:$A,0),2)</f>
        <v>3456.4414961399998</v>
      </c>
      <c r="AG75" s="142">
        <f>INDEX('Rate Assumptions'!$A:$B,MATCH('Base Allocation'!AG$2,'Rate Assumptions'!$A:$A,0),2)</f>
        <v>5634.5605750409004</v>
      </c>
      <c r="AH75" s="142">
        <f>INDEX('Rate Assumptions'!$A:$B,MATCH('Base Allocation'!AH$2,'Rate Assumptions'!$A:$A,0),2)</f>
        <v>5634.5605750409004</v>
      </c>
      <c r="AI75" s="143">
        <f t="shared" si="30"/>
        <v>75089323.81409511</v>
      </c>
    </row>
    <row r="76" spans="1:35">
      <c r="A76" s="223" t="s">
        <v>161</v>
      </c>
      <c r="B76" s="112">
        <v>7446.38</v>
      </c>
      <c r="C76" s="112">
        <v>179.63000000000002</v>
      </c>
      <c r="D76" s="112">
        <v>0</v>
      </c>
      <c r="E76" s="112"/>
      <c r="F76" s="110">
        <v>339.94</v>
      </c>
      <c r="G76" s="193">
        <f t="shared" si="22"/>
        <v>7106.4400000000005</v>
      </c>
      <c r="H76" s="189">
        <v>7424.91</v>
      </c>
      <c r="I76" s="112">
        <v>197.27000000000004</v>
      </c>
      <c r="J76" s="112">
        <v>3.82</v>
      </c>
      <c r="K76" s="112"/>
      <c r="L76" s="112">
        <v>397.51</v>
      </c>
      <c r="M76" s="193">
        <f t="shared" si="23"/>
        <v>7027.4</v>
      </c>
      <c r="N76" s="111">
        <v>7477.98</v>
      </c>
      <c r="O76" s="111">
        <v>145.92000000000002</v>
      </c>
      <c r="P76" s="111">
        <v>2.1</v>
      </c>
      <c r="Q76" s="111">
        <v>0</v>
      </c>
      <c r="R76" s="111">
        <v>211.55791869461183</v>
      </c>
      <c r="S76" s="195">
        <f t="shared" si="31"/>
        <v>7266.422081305388</v>
      </c>
      <c r="T76" s="109">
        <f t="shared" si="24"/>
        <v>7506.2033333333329</v>
      </c>
      <c r="U76" s="109">
        <f t="shared" si="25"/>
        <v>117.56666666666666</v>
      </c>
      <c r="V76" s="109">
        <f t="shared" si="26"/>
        <v>2.2266666666666666</v>
      </c>
      <c r="W76" s="109">
        <f t="shared" si="27"/>
        <v>0</v>
      </c>
      <c r="X76" s="109">
        <f t="shared" si="28"/>
        <v>106.77986449101972</v>
      </c>
      <c r="Y76" s="204">
        <f t="shared" si="32"/>
        <v>7399.423468842313</v>
      </c>
      <c r="Z76" s="141">
        <f t="shared" si="29"/>
        <v>7231.0818500492342</v>
      </c>
      <c r="AA76" s="141">
        <f t="shared" si="33"/>
        <v>117.56666666666666</v>
      </c>
      <c r="AB76" s="141">
        <f t="shared" si="34"/>
        <v>2.2266666666666666</v>
      </c>
      <c r="AC76" s="141">
        <f t="shared" si="35"/>
        <v>106.77986449101972</v>
      </c>
      <c r="AD76" s="120">
        <v>10113701.5704</v>
      </c>
      <c r="AE76" s="142">
        <f>INDEX('Rate Assumptions'!$A:$B,MATCH('Base Allocation'!AE$2,'Rate Assumptions'!$A:$A,0),2)</f>
        <v>3988.586178572119</v>
      </c>
      <c r="AF76" s="142">
        <f>INDEX('Rate Assumptions'!$A:$B,MATCH('Base Allocation'!AF$2,'Rate Assumptions'!$A:$A,0),2)</f>
        <v>3456.4414961399998</v>
      </c>
      <c r="AG76" s="142">
        <f>INDEX('Rate Assumptions'!$A:$B,MATCH('Base Allocation'!AG$2,'Rate Assumptions'!$A:$A,0),2)</f>
        <v>5634.5605750409004</v>
      </c>
      <c r="AH76" s="142">
        <f>INDEX('Rate Assumptions'!$A:$B,MATCH('Base Allocation'!AH$2,'Rate Assumptions'!$A:$A,0),2)</f>
        <v>5634.5605750409004</v>
      </c>
      <c r="AI76" s="143">
        <f t="shared" si="30"/>
        <v>39976060.901742674</v>
      </c>
    </row>
    <row r="77" spans="1:35">
      <c r="A77" s="144" t="s">
        <v>76</v>
      </c>
      <c r="B77" s="123">
        <f t="shared" ref="B77:G77" si="36">SUM(B5:B76)</f>
        <v>1055591.8150555561</v>
      </c>
      <c r="C77" s="123">
        <f t="shared" si="36"/>
        <v>29256.238760000011</v>
      </c>
      <c r="D77" s="123">
        <f t="shared" si="36"/>
        <v>39472.119999999995</v>
      </c>
      <c r="E77" s="123">
        <f t="shared" si="36"/>
        <v>2880.3199999999993</v>
      </c>
      <c r="F77" s="123">
        <f t="shared" si="36"/>
        <v>30057.919999999991</v>
      </c>
      <c r="G77" s="194">
        <f t="shared" si="36"/>
        <v>1022653.5750555563</v>
      </c>
      <c r="H77" s="190">
        <f t="shared" ref="H77:AB77" si="37">SUM(H5:H76)</f>
        <v>1054297.2405735559</v>
      </c>
      <c r="I77" s="123">
        <f t="shared" si="37"/>
        <v>31162.510056999996</v>
      </c>
      <c r="J77" s="123">
        <f t="shared" si="37"/>
        <v>40061.780065000014</v>
      </c>
      <c r="K77" s="123">
        <f t="shared" si="37"/>
        <v>4142.42</v>
      </c>
      <c r="L77" s="123">
        <f t="shared" si="37"/>
        <v>34174.070000000007</v>
      </c>
      <c r="M77" s="194">
        <f t="shared" si="37"/>
        <v>1015980.7505735559</v>
      </c>
      <c r="N77" s="121">
        <f t="shared" si="37"/>
        <v>1041120.9800000002</v>
      </c>
      <c r="O77" s="121">
        <f t="shared" si="37"/>
        <v>33039.0548283022</v>
      </c>
      <c r="P77" s="121">
        <f t="shared" si="37"/>
        <v>39528.625460017356</v>
      </c>
      <c r="Q77" s="121">
        <f t="shared" si="37"/>
        <v>4140.5583658152173</v>
      </c>
      <c r="R77" s="121">
        <f t="shared" si="37"/>
        <v>34010.65036339283</v>
      </c>
      <c r="S77" s="196">
        <f t="shared" si="37"/>
        <v>1002969.7712707918</v>
      </c>
      <c r="T77" s="116">
        <f t="shared" si="37"/>
        <v>1031905.2814569625</v>
      </c>
      <c r="U77" s="116">
        <f t="shared" si="37"/>
        <v>35123.935145837015</v>
      </c>
      <c r="V77" s="116">
        <f t="shared" si="37"/>
        <v>39437.772411695594</v>
      </c>
      <c r="W77" s="116">
        <f t="shared" si="37"/>
        <v>5018.450697686043</v>
      </c>
      <c r="X77" s="116">
        <f t="shared" si="37"/>
        <v>35871.373384592313</v>
      </c>
      <c r="Y77" s="205">
        <f t="shared" si="37"/>
        <v>991015.45737468393</v>
      </c>
      <c r="Z77" s="116">
        <f t="shared" si="37"/>
        <v>1003321.9930730107</v>
      </c>
      <c r="AA77" s="116">
        <f t="shared" si="37"/>
        <v>35123.935145837015</v>
      </c>
      <c r="AB77" s="116">
        <f t="shared" si="37"/>
        <v>39437.772411695594</v>
      </c>
      <c r="AC77" s="116">
        <f>SUM(AC5:AC76)</f>
        <v>40889.824082278348</v>
      </c>
      <c r="AD77" s="121">
        <f>SUM(AD5:AD76)</f>
        <v>628729878.32280004</v>
      </c>
      <c r="AE77" s="142"/>
      <c r="AF77" s="142"/>
      <c r="AG77" s="142"/>
      <c r="AH77" s="142"/>
      <c r="AI77" s="122">
        <f>SUM(AI5:AI76)</f>
        <v>5204580647.7897825</v>
      </c>
    </row>
    <row r="79" spans="1:35">
      <c r="A79" s="129" t="s">
        <v>211</v>
      </c>
      <c r="W79" s="320">
        <v>5312.6988940982537</v>
      </c>
      <c r="X79" s="320">
        <v>5312.6988940982537</v>
      </c>
      <c r="AA79" s="320">
        <v>3259</v>
      </c>
      <c r="AB79" s="320">
        <v>5312.6988940982537</v>
      </c>
      <c r="AC79" s="320">
        <v>5312.6988940982537</v>
      </c>
    </row>
    <row r="80" spans="1:35">
      <c r="W80" s="318">
        <f>W81*W77</f>
        <v>28276764.448968269</v>
      </c>
      <c r="X80" s="318">
        <f>X81*X77</f>
        <v>202119426.24539524</v>
      </c>
      <c r="AA80" s="315">
        <f>AA77*AA81</f>
        <v>121403826.94580121</v>
      </c>
      <c r="AB80" s="315">
        <f>AB77*AB81</f>
        <v>222214517.59837562</v>
      </c>
      <c r="AC80" s="315">
        <f>AC77*AC81</f>
        <v>230396190.69436347</v>
      </c>
    </row>
    <row r="81" spans="1:29">
      <c r="A81" s="129" t="s">
        <v>212</v>
      </c>
      <c r="W81" s="140">
        <f>W79*1.0271*1.0326</f>
        <v>5634.5605750408986</v>
      </c>
      <c r="X81" s="140">
        <f>X79*1.0271*1.0326</f>
        <v>5634.5605750408986</v>
      </c>
      <c r="AA81" s="140">
        <f>AA79*1.0271*1.0326</f>
        <v>3456.4414961399998</v>
      </c>
      <c r="AB81" s="140">
        <f>AB79*1.0271*1.0326</f>
        <v>5634.5605750408986</v>
      </c>
      <c r="AC81" s="140">
        <f>AC79*1.0271*1.0326</f>
        <v>5634.5605750408986</v>
      </c>
    </row>
  </sheetData>
  <autoFilter ref="A4:AI4"/>
  <pageMargins left="0.75" right="0.75" top="1" bottom="1" header="0.5" footer="0.5"/>
  <pageSetup orientation="portrait" horizontalDpi="4294967292" verticalDpi="4294967292"/>
  <ignoredErrors>
    <ignoredError sqref="W7:Y76 AJ7:XFD75 AE5:AH6 AJ76:XFD76 AE7:AH76 AD7:AD76 Z7:AC73 Z75:AC76 Z74:AB74" emptyCellReferenc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4" sqref="N4"/>
    </sheetView>
  </sheetViews>
  <sheetFormatPr defaultColWidth="8.625" defaultRowHeight="15.75"/>
  <cols>
    <col min="1" max="1" width="18.5" style="129" bestFit="1" customWidth="1"/>
    <col min="2" max="2" width="11" style="148" bestFit="1" customWidth="1"/>
    <col min="3" max="3" width="10" style="148" bestFit="1" customWidth="1"/>
    <col min="4" max="4" width="11" style="177" bestFit="1" customWidth="1"/>
    <col min="5" max="5" width="11" style="148" bestFit="1" customWidth="1"/>
    <col min="6" max="6" width="10" style="148" bestFit="1" customWidth="1"/>
    <col min="7" max="7" width="11" style="177" bestFit="1" customWidth="1"/>
    <col min="8" max="8" width="11" style="148" bestFit="1" customWidth="1"/>
    <col min="9" max="9" width="10" style="148" bestFit="1" customWidth="1"/>
    <col min="10" max="10" width="11" style="177" bestFit="1" customWidth="1"/>
    <col min="11" max="11" width="11" style="151" bestFit="1" customWidth="1"/>
    <col min="12" max="12" width="10" style="151" bestFit="1" customWidth="1"/>
    <col min="13" max="13" width="11" style="203" bestFit="1" customWidth="1"/>
    <col min="14" max="14" width="11" style="153" bestFit="1" customWidth="1"/>
    <col min="15" max="15" width="10" style="153" bestFit="1" customWidth="1"/>
    <col min="16" max="16" width="11" style="218" bestFit="1" customWidth="1"/>
    <col min="17" max="17" width="16.625" style="168" bestFit="1" customWidth="1"/>
    <col min="18" max="16384" width="8.625" style="129"/>
  </cols>
  <sheetData>
    <row r="1" spans="1:17" s="211" customFormat="1">
      <c r="B1" s="174" t="s">
        <v>66</v>
      </c>
      <c r="C1" s="174"/>
      <c r="D1" s="175"/>
      <c r="E1" s="174" t="s">
        <v>67</v>
      </c>
      <c r="F1" s="174"/>
      <c r="G1" s="175"/>
      <c r="H1" s="174" t="s">
        <v>25</v>
      </c>
      <c r="I1" s="174"/>
      <c r="J1" s="175"/>
      <c r="K1" s="184" t="s">
        <v>77</v>
      </c>
      <c r="L1" s="184"/>
      <c r="M1" s="213"/>
      <c r="N1" s="186" t="s">
        <v>164</v>
      </c>
      <c r="O1" s="186"/>
      <c r="P1" s="216"/>
      <c r="Q1" s="212"/>
    </row>
    <row r="2" spans="1:17" s="157" customFormat="1" ht="78.75">
      <c r="B2" s="158" t="s">
        <v>90</v>
      </c>
      <c r="C2" s="159" t="s">
        <v>171</v>
      </c>
      <c r="D2" s="176" t="s">
        <v>91</v>
      </c>
      <c r="E2" s="158" t="s">
        <v>90</v>
      </c>
      <c r="F2" s="159" t="s">
        <v>171</v>
      </c>
      <c r="G2" s="176" t="s">
        <v>91</v>
      </c>
      <c r="H2" s="158" t="s">
        <v>90</v>
      </c>
      <c r="I2" s="159" t="s">
        <v>171</v>
      </c>
      <c r="J2" s="176" t="s">
        <v>91</v>
      </c>
      <c r="K2" s="160" t="s">
        <v>90</v>
      </c>
      <c r="L2" s="160" t="s">
        <v>171</v>
      </c>
      <c r="M2" s="214" t="s">
        <v>91</v>
      </c>
      <c r="N2" s="161" t="s">
        <v>49</v>
      </c>
      <c r="O2" s="161" t="s">
        <v>48</v>
      </c>
      <c r="P2" s="217" t="s">
        <v>50</v>
      </c>
      <c r="Q2" s="169" t="s">
        <v>16</v>
      </c>
    </row>
    <row r="3" spans="1:17">
      <c r="A3" s="162" t="s">
        <v>72</v>
      </c>
      <c r="B3" s="147"/>
      <c r="D3" s="179"/>
      <c r="E3" s="147"/>
      <c r="G3" s="179"/>
      <c r="Q3" s="170"/>
    </row>
    <row r="4" spans="1:17">
      <c r="A4" s="129" t="s">
        <v>92</v>
      </c>
      <c r="B4" s="117">
        <v>2927</v>
      </c>
      <c r="C4" s="163">
        <v>855</v>
      </c>
      <c r="D4" s="177">
        <v>9027</v>
      </c>
      <c r="E4" s="149">
        <v>2815</v>
      </c>
      <c r="F4" s="149">
        <v>766</v>
      </c>
      <c r="G4" s="180">
        <v>8840</v>
      </c>
      <c r="H4" s="326" t="s">
        <v>163</v>
      </c>
      <c r="I4" s="327"/>
      <c r="J4" s="328"/>
      <c r="K4" s="152">
        <f>E4+(E4-B4)</f>
        <v>2703</v>
      </c>
      <c r="L4" s="152">
        <f t="shared" ref="L4:M4" si="0">F4+(F4-C4)</f>
        <v>677</v>
      </c>
      <c r="M4" s="152">
        <f t="shared" si="0"/>
        <v>8653</v>
      </c>
      <c r="N4" s="142">
        <f>INDEX('Rate Assumptions'!$A:$B,MATCH(N$2,'Rate Assumptions'!$A:$A,0),2)</f>
        <v>929.56879713339436</v>
      </c>
      <c r="O4" s="220">
        <f>INDEX('Rate Assumptions'!$A:$B,MATCH(O$2,'Rate Assumptions'!$A:$A,0),2)</f>
        <v>929.56879713339436</v>
      </c>
      <c r="P4" s="219">
        <f>INDEX('Rate Assumptions'!$A:$B,MATCH(P$2,'Rate Assumptions'!$A:$A,0),2)</f>
        <v>929.56879713339436</v>
      </c>
      <c r="Q4" s="168">
        <f t="shared" ref="Q4:Q35" si="1">SUMPRODUCT(K4:M4,N4:P4)</f>
        <v>11185501.335906135</v>
      </c>
    </row>
    <row r="5" spans="1:17">
      <c r="A5" s="129" t="s">
        <v>93</v>
      </c>
      <c r="B5" s="117">
        <v>7779</v>
      </c>
      <c r="C5" s="163">
        <v>510</v>
      </c>
      <c r="D5" s="177">
        <v>13873</v>
      </c>
      <c r="E5" s="149">
        <v>7896</v>
      </c>
      <c r="F5" s="149">
        <v>515</v>
      </c>
      <c r="G5" s="180">
        <v>13978</v>
      </c>
      <c r="H5" s="326"/>
      <c r="I5" s="327"/>
      <c r="J5" s="328"/>
      <c r="K5" s="152">
        <f t="shared" ref="K5:K68" si="2">E5+(E5-B5)</f>
        <v>8013</v>
      </c>
      <c r="L5" s="152">
        <f t="shared" ref="L5:L68" si="3">F5+(F5-C5)</f>
        <v>520</v>
      </c>
      <c r="M5" s="152">
        <f t="shared" ref="M5:M68" si="4">G5+(G5-D5)</f>
        <v>14083</v>
      </c>
      <c r="N5" s="142">
        <f>INDEX('Rate Assumptions'!$A:$B,MATCH(N$2,'Rate Assumptions'!$A:$A,0),2)</f>
        <v>929.56879713339436</v>
      </c>
      <c r="O5" s="220">
        <f>INDEX('Rate Assumptions'!$A:$B,MATCH(O$2,'Rate Assumptions'!$A:$A,0),2)</f>
        <v>929.56879713339436</v>
      </c>
      <c r="P5" s="219">
        <f>INDEX('Rate Assumptions'!$A:$B,MATCH(P$2,'Rate Assumptions'!$A:$A,0),2)</f>
        <v>929.56879713339436</v>
      </c>
      <c r="Q5" s="168">
        <f t="shared" si="1"/>
        <v>21023127.915968847</v>
      </c>
    </row>
    <row r="6" spans="1:17">
      <c r="A6" s="129" t="s">
        <v>94</v>
      </c>
      <c r="B6" s="117">
        <v>2196</v>
      </c>
      <c r="C6" s="163">
        <v>59</v>
      </c>
      <c r="D6" s="177">
        <v>3580</v>
      </c>
      <c r="E6" s="149">
        <v>2130</v>
      </c>
      <c r="F6" s="149">
        <v>68</v>
      </c>
      <c r="G6" s="180">
        <v>3333</v>
      </c>
      <c r="H6" s="326"/>
      <c r="I6" s="327"/>
      <c r="J6" s="328"/>
      <c r="K6" s="152">
        <f t="shared" si="2"/>
        <v>2064</v>
      </c>
      <c r="L6" s="152">
        <f t="shared" si="3"/>
        <v>77</v>
      </c>
      <c r="M6" s="152">
        <f t="shared" si="4"/>
        <v>3086</v>
      </c>
      <c r="N6" s="142">
        <f>INDEX('Rate Assumptions'!$A:$B,MATCH(N$2,'Rate Assumptions'!$A:$A,0),2)</f>
        <v>929.56879713339436</v>
      </c>
      <c r="O6" s="220">
        <f>INDEX('Rate Assumptions'!$A:$B,MATCH(O$2,'Rate Assumptions'!$A:$A,0),2)</f>
        <v>929.56879713339436</v>
      </c>
      <c r="P6" s="219">
        <f>INDEX('Rate Assumptions'!$A:$B,MATCH(P$2,'Rate Assumptions'!$A:$A,0),2)</f>
        <v>929.56879713339436</v>
      </c>
      <c r="Q6" s="168">
        <f t="shared" si="1"/>
        <v>4858856.1026162524</v>
      </c>
    </row>
    <row r="7" spans="1:17">
      <c r="A7" s="129" t="s">
        <v>95</v>
      </c>
      <c r="B7" s="117">
        <v>5586</v>
      </c>
      <c r="C7" s="163">
        <v>305</v>
      </c>
      <c r="D7" s="177">
        <v>8577</v>
      </c>
      <c r="E7" s="149">
        <v>5206</v>
      </c>
      <c r="F7" s="149">
        <v>303</v>
      </c>
      <c r="G7" s="180">
        <v>8205</v>
      </c>
      <c r="H7" s="326"/>
      <c r="I7" s="327"/>
      <c r="J7" s="328"/>
      <c r="K7" s="152">
        <f t="shared" si="2"/>
        <v>4826</v>
      </c>
      <c r="L7" s="152">
        <f t="shared" si="3"/>
        <v>301</v>
      </c>
      <c r="M7" s="152">
        <f t="shared" si="4"/>
        <v>7833</v>
      </c>
      <c r="N7" s="142">
        <f>INDEX('Rate Assumptions'!$A:$B,MATCH(N$2,'Rate Assumptions'!$A:$A,0),2)</f>
        <v>929.56879713339436</v>
      </c>
      <c r="O7" s="220">
        <f>INDEX('Rate Assumptions'!$A:$B,MATCH(O$2,'Rate Assumptions'!$A:$A,0),2)</f>
        <v>929.56879713339436</v>
      </c>
      <c r="P7" s="219">
        <f>INDEX('Rate Assumptions'!$A:$B,MATCH(P$2,'Rate Assumptions'!$A:$A,0),2)</f>
        <v>929.56879713339436</v>
      </c>
      <c r="Q7" s="168">
        <f t="shared" si="1"/>
        <v>12047211.610848792</v>
      </c>
    </row>
    <row r="8" spans="1:17">
      <c r="A8" s="129" t="s">
        <v>96</v>
      </c>
      <c r="B8" s="117">
        <v>3086</v>
      </c>
      <c r="C8" s="163">
        <v>521</v>
      </c>
      <c r="D8" s="177">
        <v>7142</v>
      </c>
      <c r="E8" s="149">
        <v>2886</v>
      </c>
      <c r="F8" s="149">
        <v>513</v>
      </c>
      <c r="G8" s="180">
        <v>6737</v>
      </c>
      <c r="H8" s="326"/>
      <c r="I8" s="327"/>
      <c r="J8" s="328"/>
      <c r="K8" s="152">
        <f t="shared" si="2"/>
        <v>2686</v>
      </c>
      <c r="L8" s="152">
        <f t="shared" si="3"/>
        <v>505</v>
      </c>
      <c r="M8" s="152">
        <f t="shared" si="4"/>
        <v>6332</v>
      </c>
      <c r="N8" s="142">
        <f>INDEX('Rate Assumptions'!$A:$B,MATCH(N$2,'Rate Assumptions'!$A:$A,0),2)</f>
        <v>929.56879713339436</v>
      </c>
      <c r="O8" s="220">
        <f>INDEX('Rate Assumptions'!$A:$B,MATCH(O$2,'Rate Assumptions'!$A:$A,0),2)</f>
        <v>929.56879713339436</v>
      </c>
      <c r="P8" s="219">
        <f>INDEX('Rate Assumptions'!$A:$B,MATCH(P$2,'Rate Assumptions'!$A:$A,0),2)</f>
        <v>929.56879713339436</v>
      </c>
      <c r="Q8" s="168">
        <f t="shared" si="1"/>
        <v>8852283.6551013142</v>
      </c>
    </row>
    <row r="9" spans="1:17">
      <c r="A9" s="129" t="s">
        <v>97</v>
      </c>
      <c r="B9" s="117">
        <v>10754</v>
      </c>
      <c r="C9" s="163">
        <v>1610</v>
      </c>
      <c r="D9" s="177">
        <v>18971</v>
      </c>
      <c r="E9" s="149">
        <v>10455</v>
      </c>
      <c r="F9" s="149">
        <v>1586</v>
      </c>
      <c r="G9" s="180">
        <v>18362</v>
      </c>
      <c r="H9" s="326"/>
      <c r="I9" s="327"/>
      <c r="J9" s="328"/>
      <c r="K9" s="152">
        <f t="shared" si="2"/>
        <v>10156</v>
      </c>
      <c r="L9" s="152">
        <f t="shared" si="3"/>
        <v>1562</v>
      </c>
      <c r="M9" s="152">
        <f t="shared" si="4"/>
        <v>17753</v>
      </c>
      <c r="N9" s="142">
        <f>INDEX('Rate Assumptions'!$A:$B,MATCH(N$2,'Rate Assumptions'!$A:$A,0),2)</f>
        <v>929.56879713339436</v>
      </c>
      <c r="O9" s="220">
        <f>INDEX('Rate Assumptions'!$A:$B,MATCH(O$2,'Rate Assumptions'!$A:$A,0),2)</f>
        <v>929.56879713339436</v>
      </c>
      <c r="P9" s="219">
        <f>INDEX('Rate Assumptions'!$A:$B,MATCH(P$2,'Rate Assumptions'!$A:$A,0),2)</f>
        <v>929.56879713339436</v>
      </c>
      <c r="Q9" s="168">
        <f t="shared" si="1"/>
        <v>27395322.020318266</v>
      </c>
    </row>
    <row r="10" spans="1:17">
      <c r="A10" s="129" t="s">
        <v>98</v>
      </c>
      <c r="B10" s="117">
        <v>5107</v>
      </c>
      <c r="C10" s="163">
        <v>283</v>
      </c>
      <c r="D10" s="177">
        <v>11658</v>
      </c>
      <c r="E10" s="149">
        <v>4787</v>
      </c>
      <c r="F10" s="149">
        <v>696</v>
      </c>
      <c r="G10" s="180">
        <v>11272</v>
      </c>
      <c r="H10" s="326"/>
      <c r="I10" s="327"/>
      <c r="J10" s="328"/>
      <c r="K10" s="152">
        <f t="shared" si="2"/>
        <v>4467</v>
      </c>
      <c r="L10" s="152">
        <f t="shared" si="3"/>
        <v>1109</v>
      </c>
      <c r="M10" s="152">
        <f t="shared" si="4"/>
        <v>10886</v>
      </c>
      <c r="N10" s="142">
        <f>INDEX('Rate Assumptions'!$A:$B,MATCH(N$2,'Rate Assumptions'!$A:$A,0),2)</f>
        <v>929.56879713339436</v>
      </c>
      <c r="O10" s="220">
        <f>INDEX('Rate Assumptions'!$A:$B,MATCH(O$2,'Rate Assumptions'!$A:$A,0),2)</f>
        <v>929.56879713339436</v>
      </c>
      <c r="P10" s="219">
        <f>INDEX('Rate Assumptions'!$A:$B,MATCH(P$2,'Rate Assumptions'!$A:$A,0),2)</f>
        <v>929.56879713339436</v>
      </c>
      <c r="Q10" s="168">
        <f t="shared" si="1"/>
        <v>15302561.538409937</v>
      </c>
    </row>
    <row r="11" spans="1:17">
      <c r="A11" s="129" t="s">
        <v>99</v>
      </c>
      <c r="B11" s="117">
        <v>8812</v>
      </c>
      <c r="C11" s="163">
        <v>884</v>
      </c>
      <c r="D11" s="177">
        <v>17781</v>
      </c>
      <c r="E11" s="149">
        <v>8010</v>
      </c>
      <c r="F11" s="149">
        <v>1343</v>
      </c>
      <c r="G11" s="180">
        <v>18275</v>
      </c>
      <c r="H11" s="326"/>
      <c r="I11" s="327"/>
      <c r="J11" s="328"/>
      <c r="K11" s="152">
        <f t="shared" si="2"/>
        <v>7208</v>
      </c>
      <c r="L11" s="152">
        <f t="shared" si="3"/>
        <v>1802</v>
      </c>
      <c r="M11" s="152">
        <f t="shared" si="4"/>
        <v>18769</v>
      </c>
      <c r="N11" s="142">
        <f>INDEX('Rate Assumptions'!$A:$B,MATCH(N$2,'Rate Assumptions'!$A:$A,0),2)</f>
        <v>929.56879713339436</v>
      </c>
      <c r="O11" s="220">
        <f>INDEX('Rate Assumptions'!$A:$B,MATCH(O$2,'Rate Assumptions'!$A:$A,0),2)</f>
        <v>929.56879713339436</v>
      </c>
      <c r="P11" s="219">
        <f>INDEX('Rate Assumptions'!$A:$B,MATCH(P$2,'Rate Assumptions'!$A:$A,0),2)</f>
        <v>929.56879713339436</v>
      </c>
      <c r="Q11" s="168">
        <f t="shared" si="1"/>
        <v>25822491.615568563</v>
      </c>
    </row>
    <row r="12" spans="1:17">
      <c r="A12" s="129" t="s">
        <v>100</v>
      </c>
      <c r="B12" s="117">
        <v>4898</v>
      </c>
      <c r="C12" s="163">
        <v>457</v>
      </c>
      <c r="D12" s="177">
        <v>10958</v>
      </c>
      <c r="E12" s="149">
        <v>5010</v>
      </c>
      <c r="F12" s="149">
        <v>501</v>
      </c>
      <c r="G12" s="180">
        <v>11058</v>
      </c>
      <c r="H12" s="326"/>
      <c r="I12" s="327"/>
      <c r="J12" s="328"/>
      <c r="K12" s="152">
        <f t="shared" si="2"/>
        <v>5122</v>
      </c>
      <c r="L12" s="152">
        <f t="shared" si="3"/>
        <v>545</v>
      </c>
      <c r="M12" s="152">
        <f t="shared" si="4"/>
        <v>11158</v>
      </c>
      <c r="N12" s="142">
        <f>INDEX('Rate Assumptions'!$A:$B,MATCH(N$2,'Rate Assumptions'!$A:$A,0),2)</f>
        <v>929.56879713339436</v>
      </c>
      <c r="O12" s="220">
        <f>INDEX('Rate Assumptions'!$A:$B,MATCH(O$2,'Rate Assumptions'!$A:$A,0),2)</f>
        <v>929.56879713339436</v>
      </c>
      <c r="P12" s="219">
        <f>INDEX('Rate Assumptions'!$A:$B,MATCH(P$2,'Rate Assumptions'!$A:$A,0),2)</f>
        <v>929.56879713339436</v>
      </c>
      <c r="Q12" s="168">
        <f t="shared" si="1"/>
        <v>15639995.011769362</v>
      </c>
    </row>
    <row r="13" spans="1:17">
      <c r="A13" s="129" t="s">
        <v>101</v>
      </c>
      <c r="B13" s="117">
        <v>12015</v>
      </c>
      <c r="C13" s="163">
        <v>1280</v>
      </c>
      <c r="D13" s="177">
        <v>31151</v>
      </c>
      <c r="E13" s="149">
        <v>11222</v>
      </c>
      <c r="F13" s="149">
        <v>1342</v>
      </c>
      <c r="G13" s="180">
        <v>32107</v>
      </c>
      <c r="H13" s="326"/>
      <c r="I13" s="327"/>
      <c r="J13" s="328"/>
      <c r="K13" s="152">
        <f t="shared" si="2"/>
        <v>10429</v>
      </c>
      <c r="L13" s="152">
        <f t="shared" si="3"/>
        <v>1404</v>
      </c>
      <c r="M13" s="152">
        <f t="shared" si="4"/>
        <v>33063</v>
      </c>
      <c r="N13" s="142">
        <f>INDEX('Rate Assumptions'!$A:$B,MATCH(N$2,'Rate Assumptions'!$A:$A,0),2)</f>
        <v>929.56879713339436</v>
      </c>
      <c r="O13" s="220">
        <f>INDEX('Rate Assumptions'!$A:$B,MATCH(O$2,'Rate Assumptions'!$A:$A,0),2)</f>
        <v>929.56879713339436</v>
      </c>
      <c r="P13" s="219">
        <f>INDEX('Rate Assumptions'!$A:$B,MATCH(P$2,'Rate Assumptions'!$A:$A,0),2)</f>
        <v>929.56879713339436</v>
      </c>
      <c r="Q13" s="168">
        <f t="shared" si="1"/>
        <v>41733920.716100872</v>
      </c>
    </row>
    <row r="14" spans="1:17">
      <c r="A14" s="129" t="s">
        <v>102</v>
      </c>
      <c r="B14" s="117">
        <v>2838</v>
      </c>
      <c r="C14" s="163">
        <v>788</v>
      </c>
      <c r="D14" s="177">
        <v>5544</v>
      </c>
      <c r="E14" s="149">
        <v>2459</v>
      </c>
      <c r="F14" s="149">
        <v>341</v>
      </c>
      <c r="G14" s="180">
        <v>5230</v>
      </c>
      <c r="H14" s="326"/>
      <c r="I14" s="327"/>
      <c r="J14" s="328"/>
      <c r="K14" s="152">
        <f t="shared" si="2"/>
        <v>2080</v>
      </c>
      <c r="L14" s="152">
        <f t="shared" si="3"/>
        <v>-106</v>
      </c>
      <c r="M14" s="152">
        <f t="shared" si="4"/>
        <v>4916</v>
      </c>
      <c r="N14" s="142">
        <f>INDEX('Rate Assumptions'!$A:$B,MATCH(N$2,'Rate Assumptions'!$A:$A,0),2)</f>
        <v>929.56879713339436</v>
      </c>
      <c r="O14" s="220">
        <f>INDEX('Rate Assumptions'!$A:$B,MATCH(O$2,'Rate Assumptions'!$A:$A,0),2)</f>
        <v>929.56879713339436</v>
      </c>
      <c r="P14" s="219">
        <f>INDEX('Rate Assumptions'!$A:$B,MATCH(P$2,'Rate Assumptions'!$A:$A,0),2)</f>
        <v>929.56879713339436</v>
      </c>
      <c r="Q14" s="168">
        <f t="shared" si="1"/>
        <v>6404729.012249087</v>
      </c>
    </row>
    <row r="15" spans="1:17">
      <c r="A15" s="129" t="s">
        <v>103</v>
      </c>
      <c r="B15" s="117">
        <v>9025</v>
      </c>
      <c r="C15" s="163">
        <v>2275</v>
      </c>
      <c r="D15" s="177">
        <v>18504</v>
      </c>
      <c r="E15" s="149">
        <v>8978</v>
      </c>
      <c r="F15" s="149">
        <v>1245</v>
      </c>
      <c r="G15" s="180">
        <v>18682</v>
      </c>
      <c r="H15" s="326"/>
      <c r="I15" s="327"/>
      <c r="J15" s="328"/>
      <c r="K15" s="152">
        <f t="shared" si="2"/>
        <v>8931</v>
      </c>
      <c r="L15" s="152">
        <f t="shared" si="3"/>
        <v>215</v>
      </c>
      <c r="M15" s="152">
        <f t="shared" si="4"/>
        <v>18860</v>
      </c>
      <c r="N15" s="142">
        <f>INDEX('Rate Assumptions'!$A:$B,MATCH(N$2,'Rate Assumptions'!$A:$A,0),2)</f>
        <v>929.56879713339436</v>
      </c>
      <c r="O15" s="220">
        <f>INDEX('Rate Assumptions'!$A:$B,MATCH(O$2,'Rate Assumptions'!$A:$A,0),2)</f>
        <v>929.56879713339436</v>
      </c>
      <c r="P15" s="219">
        <f>INDEX('Rate Assumptions'!$A:$B,MATCH(P$2,'Rate Assumptions'!$A:$A,0),2)</f>
        <v>929.56879713339436</v>
      </c>
      <c r="Q15" s="168">
        <f t="shared" si="1"/>
        <v>26033503.732517846</v>
      </c>
    </row>
    <row r="16" spans="1:17">
      <c r="A16" s="129" t="s">
        <v>104</v>
      </c>
      <c r="B16" s="117">
        <v>1087</v>
      </c>
      <c r="C16" s="163">
        <v>60</v>
      </c>
      <c r="D16" s="177">
        <v>1843</v>
      </c>
      <c r="E16" s="149">
        <v>1133</v>
      </c>
      <c r="F16" s="149">
        <v>22</v>
      </c>
      <c r="G16" s="180">
        <v>1948</v>
      </c>
      <c r="H16" s="326"/>
      <c r="I16" s="327"/>
      <c r="J16" s="328"/>
      <c r="K16" s="152">
        <f t="shared" si="2"/>
        <v>1179</v>
      </c>
      <c r="L16" s="152">
        <f t="shared" si="3"/>
        <v>-16</v>
      </c>
      <c r="M16" s="152">
        <f t="shared" si="4"/>
        <v>2053</v>
      </c>
      <c r="N16" s="142">
        <f>INDEX('Rate Assumptions'!$A:$B,MATCH(N$2,'Rate Assumptions'!$A:$A,0),2)</f>
        <v>929.56879713339436</v>
      </c>
      <c r="O16" s="220">
        <f>INDEX('Rate Assumptions'!$A:$B,MATCH(O$2,'Rate Assumptions'!$A:$A,0),2)</f>
        <v>929.56879713339436</v>
      </c>
      <c r="P16" s="219">
        <f>INDEX('Rate Assumptions'!$A:$B,MATCH(P$2,'Rate Assumptions'!$A:$A,0),2)</f>
        <v>929.56879713339436</v>
      </c>
      <c r="Q16" s="168">
        <f t="shared" si="1"/>
        <v>2989493.2515809964</v>
      </c>
    </row>
    <row r="17" spans="1:17">
      <c r="A17" s="129" t="s">
        <v>105</v>
      </c>
      <c r="B17" s="117">
        <v>4889</v>
      </c>
      <c r="C17" s="163">
        <v>791</v>
      </c>
      <c r="D17" s="177">
        <v>9150</v>
      </c>
      <c r="E17" s="149">
        <v>5259</v>
      </c>
      <c r="F17" s="149">
        <v>559</v>
      </c>
      <c r="G17" s="180">
        <v>9811</v>
      </c>
      <c r="H17" s="326"/>
      <c r="I17" s="327"/>
      <c r="J17" s="328"/>
      <c r="K17" s="152">
        <f t="shared" si="2"/>
        <v>5629</v>
      </c>
      <c r="L17" s="152">
        <f t="shared" si="3"/>
        <v>327</v>
      </c>
      <c r="M17" s="152">
        <f t="shared" si="4"/>
        <v>10472</v>
      </c>
      <c r="N17" s="142">
        <f>INDEX('Rate Assumptions'!$A:$B,MATCH(N$2,'Rate Assumptions'!$A:$A,0),2)</f>
        <v>929.56879713339436</v>
      </c>
      <c r="O17" s="220">
        <f>INDEX('Rate Assumptions'!$A:$B,MATCH(O$2,'Rate Assumptions'!$A:$A,0),2)</f>
        <v>929.56879713339436</v>
      </c>
      <c r="P17" s="219">
        <f>INDEX('Rate Assumptions'!$A:$B,MATCH(P$2,'Rate Assumptions'!$A:$A,0),2)</f>
        <v>929.56879713339436</v>
      </c>
      <c r="Q17" s="168">
        <f t="shared" si="1"/>
        <v>15270956.199307401</v>
      </c>
    </row>
    <row r="18" spans="1:17">
      <c r="A18" s="129" t="s">
        <v>106</v>
      </c>
      <c r="B18" s="117">
        <v>8731</v>
      </c>
      <c r="C18" s="163">
        <v>3079</v>
      </c>
      <c r="D18" s="177">
        <v>17587</v>
      </c>
      <c r="E18" s="149">
        <v>8472</v>
      </c>
      <c r="F18" s="149">
        <v>1306</v>
      </c>
      <c r="G18" s="180">
        <v>17070</v>
      </c>
      <c r="H18" s="326"/>
      <c r="I18" s="327"/>
      <c r="J18" s="328"/>
      <c r="K18" s="152">
        <f t="shared" si="2"/>
        <v>8213</v>
      </c>
      <c r="L18" s="152">
        <f t="shared" si="3"/>
        <v>-467</v>
      </c>
      <c r="M18" s="152">
        <f t="shared" si="4"/>
        <v>16553</v>
      </c>
      <c r="N18" s="142">
        <f>INDEX('Rate Assumptions'!$A:$B,MATCH(N$2,'Rate Assumptions'!$A:$A,0),2)</f>
        <v>929.56879713339436</v>
      </c>
      <c r="O18" s="220">
        <f>INDEX('Rate Assumptions'!$A:$B,MATCH(O$2,'Rate Assumptions'!$A:$A,0),2)</f>
        <v>929.56879713339436</v>
      </c>
      <c r="P18" s="219">
        <f>INDEX('Rate Assumptions'!$A:$B,MATCH(P$2,'Rate Assumptions'!$A:$A,0),2)</f>
        <v>929.56879713339436</v>
      </c>
      <c r="Q18" s="168">
        <f t="shared" si="1"/>
        <v>22587592.201544348</v>
      </c>
    </row>
    <row r="19" spans="1:17">
      <c r="A19" s="129" t="s">
        <v>107</v>
      </c>
      <c r="B19" s="117">
        <v>407</v>
      </c>
      <c r="C19" s="163">
        <v>18</v>
      </c>
      <c r="D19" s="177">
        <v>1471</v>
      </c>
      <c r="E19" s="149">
        <v>387</v>
      </c>
      <c r="F19" s="149">
        <v>18</v>
      </c>
      <c r="G19" s="180">
        <v>1752</v>
      </c>
      <c r="H19" s="326"/>
      <c r="I19" s="327"/>
      <c r="J19" s="328"/>
      <c r="K19" s="152">
        <f t="shared" si="2"/>
        <v>367</v>
      </c>
      <c r="L19" s="152">
        <f t="shared" si="3"/>
        <v>18</v>
      </c>
      <c r="M19" s="152">
        <f t="shared" si="4"/>
        <v>2033</v>
      </c>
      <c r="N19" s="142">
        <f>INDEX('Rate Assumptions'!$A:$B,MATCH(N$2,'Rate Assumptions'!$A:$A,0),2)</f>
        <v>929.56879713339436</v>
      </c>
      <c r="O19" s="220">
        <f>INDEX('Rate Assumptions'!$A:$B,MATCH(O$2,'Rate Assumptions'!$A:$A,0),2)</f>
        <v>929.56879713339436</v>
      </c>
      <c r="P19" s="219">
        <f>INDEX('Rate Assumptions'!$A:$B,MATCH(P$2,'Rate Assumptions'!$A:$A,0),2)</f>
        <v>929.56879713339436</v>
      </c>
      <c r="Q19" s="168">
        <f t="shared" si="1"/>
        <v>2247697.3514685472</v>
      </c>
    </row>
    <row r="20" spans="1:17" ht="18">
      <c r="A20" s="129" t="s">
        <v>165</v>
      </c>
      <c r="B20" s="117">
        <v>5843</v>
      </c>
      <c r="C20" s="163">
        <v>1864</v>
      </c>
      <c r="D20" s="177">
        <v>15397</v>
      </c>
      <c r="E20" s="149">
        <v>5706</v>
      </c>
      <c r="F20" s="149">
        <v>1877</v>
      </c>
      <c r="G20" s="180">
        <v>14261</v>
      </c>
      <c r="H20" s="326"/>
      <c r="I20" s="327"/>
      <c r="J20" s="328"/>
      <c r="K20" s="152">
        <f t="shared" si="2"/>
        <v>5569</v>
      </c>
      <c r="L20" s="152">
        <f t="shared" si="3"/>
        <v>1890</v>
      </c>
      <c r="M20" s="152">
        <f t="shared" si="4"/>
        <v>13125</v>
      </c>
      <c r="N20" s="142">
        <f>INDEX('Rate Assumptions'!$A:$B,MATCH(N$2,'Rate Assumptions'!$A:$A,0),2)</f>
        <v>929.56879713339436</v>
      </c>
      <c r="O20" s="220">
        <f>INDEX('Rate Assumptions'!$A:$B,MATCH(O$2,'Rate Assumptions'!$A:$A,0),2)</f>
        <v>929.56879713339436</v>
      </c>
      <c r="P20" s="219">
        <f>INDEX('Rate Assumptions'!$A:$B,MATCH(P$2,'Rate Assumptions'!$A:$A,0),2)</f>
        <v>929.56879713339436</v>
      </c>
      <c r="Q20" s="168">
        <f t="shared" si="1"/>
        <v>19134244.120193791</v>
      </c>
    </row>
    <row r="21" spans="1:17">
      <c r="A21" s="129" t="s">
        <v>108</v>
      </c>
      <c r="B21" s="117">
        <v>1756</v>
      </c>
      <c r="C21" s="163">
        <v>271</v>
      </c>
      <c r="D21" s="177">
        <v>3398</v>
      </c>
      <c r="E21" s="149">
        <v>1731</v>
      </c>
      <c r="F21" s="149">
        <v>256</v>
      </c>
      <c r="G21" s="180">
        <v>3330</v>
      </c>
      <c r="H21" s="326"/>
      <c r="I21" s="327"/>
      <c r="J21" s="328"/>
      <c r="K21" s="152">
        <f t="shared" si="2"/>
        <v>1706</v>
      </c>
      <c r="L21" s="152">
        <f t="shared" si="3"/>
        <v>241</v>
      </c>
      <c r="M21" s="152">
        <f t="shared" si="4"/>
        <v>3262</v>
      </c>
      <c r="N21" s="142">
        <f>INDEX('Rate Assumptions'!$A:$B,MATCH(N$2,'Rate Assumptions'!$A:$A,0),2)</f>
        <v>929.56879713339436</v>
      </c>
      <c r="O21" s="220">
        <f>INDEX('Rate Assumptions'!$A:$B,MATCH(O$2,'Rate Assumptions'!$A:$A,0),2)</f>
        <v>929.56879713339436</v>
      </c>
      <c r="P21" s="219">
        <f>INDEX('Rate Assumptions'!$A:$B,MATCH(P$2,'Rate Assumptions'!$A:$A,0),2)</f>
        <v>929.56879713339436</v>
      </c>
      <c r="Q21" s="168">
        <f t="shared" si="1"/>
        <v>4842123.8642678512</v>
      </c>
    </row>
    <row r="22" spans="1:17">
      <c r="A22" s="129" t="s">
        <v>109</v>
      </c>
      <c r="B22" s="117">
        <v>6409</v>
      </c>
      <c r="C22" s="163">
        <v>652</v>
      </c>
      <c r="D22" s="177">
        <v>12155</v>
      </c>
      <c r="E22" s="149">
        <v>6190</v>
      </c>
      <c r="F22" s="149">
        <v>581</v>
      </c>
      <c r="G22" s="180">
        <v>11485</v>
      </c>
      <c r="H22" s="326"/>
      <c r="I22" s="327"/>
      <c r="J22" s="328"/>
      <c r="K22" s="152">
        <f t="shared" si="2"/>
        <v>5971</v>
      </c>
      <c r="L22" s="152">
        <f t="shared" si="3"/>
        <v>510</v>
      </c>
      <c r="M22" s="152">
        <f t="shared" si="4"/>
        <v>10815</v>
      </c>
      <c r="N22" s="142">
        <f>INDEX('Rate Assumptions'!$A:$B,MATCH(N$2,'Rate Assumptions'!$A:$A,0),2)</f>
        <v>929.56879713339436</v>
      </c>
      <c r="O22" s="220">
        <f>INDEX('Rate Assumptions'!$A:$B,MATCH(O$2,'Rate Assumptions'!$A:$A,0),2)</f>
        <v>929.56879713339436</v>
      </c>
      <c r="P22" s="219">
        <f>INDEX('Rate Assumptions'!$A:$B,MATCH(P$2,'Rate Assumptions'!$A:$A,0),2)</f>
        <v>929.56879713339436</v>
      </c>
      <c r="Q22" s="168">
        <f t="shared" si="1"/>
        <v>16077821.915219188</v>
      </c>
    </row>
    <row r="23" spans="1:17">
      <c r="A23" s="129" t="s">
        <v>110</v>
      </c>
      <c r="B23" s="117">
        <v>8689</v>
      </c>
      <c r="C23" s="163">
        <v>581</v>
      </c>
      <c r="D23" s="177">
        <v>19171</v>
      </c>
      <c r="E23" s="149">
        <v>8567</v>
      </c>
      <c r="F23" s="149">
        <v>639</v>
      </c>
      <c r="G23" s="180">
        <v>19022</v>
      </c>
      <c r="H23" s="326"/>
      <c r="I23" s="327"/>
      <c r="J23" s="328"/>
      <c r="K23" s="152">
        <f t="shared" si="2"/>
        <v>8445</v>
      </c>
      <c r="L23" s="152">
        <f t="shared" si="3"/>
        <v>697</v>
      </c>
      <c r="M23" s="152">
        <f t="shared" si="4"/>
        <v>18873</v>
      </c>
      <c r="N23" s="142">
        <f>INDEX('Rate Assumptions'!$A:$B,MATCH(N$2,'Rate Assumptions'!$A:$A,0),2)</f>
        <v>929.56879713339436</v>
      </c>
      <c r="O23" s="220">
        <f>INDEX('Rate Assumptions'!$A:$B,MATCH(O$2,'Rate Assumptions'!$A:$A,0),2)</f>
        <v>929.56879713339436</v>
      </c>
      <c r="P23" s="219">
        <f>INDEX('Rate Assumptions'!$A:$B,MATCH(P$2,'Rate Assumptions'!$A:$A,0),2)</f>
        <v>929.56879713339436</v>
      </c>
      <c r="Q23" s="168">
        <f t="shared" si="1"/>
        <v>26041869.851692043</v>
      </c>
    </row>
    <row r="24" spans="1:17">
      <c r="A24" s="129" t="s">
        <v>111</v>
      </c>
      <c r="B24" s="117">
        <v>2977</v>
      </c>
      <c r="C24" s="163">
        <v>880</v>
      </c>
      <c r="D24" s="177">
        <v>7721</v>
      </c>
      <c r="E24" s="149">
        <v>3090</v>
      </c>
      <c r="F24" s="149">
        <v>797</v>
      </c>
      <c r="G24" s="180">
        <v>7623</v>
      </c>
      <c r="H24" s="326"/>
      <c r="I24" s="327"/>
      <c r="J24" s="328"/>
      <c r="K24" s="152">
        <f t="shared" si="2"/>
        <v>3203</v>
      </c>
      <c r="L24" s="152">
        <f t="shared" si="3"/>
        <v>714</v>
      </c>
      <c r="M24" s="152">
        <f t="shared" si="4"/>
        <v>7525</v>
      </c>
      <c r="N24" s="142">
        <f>INDEX('Rate Assumptions'!$A:$B,MATCH(N$2,'Rate Assumptions'!$A:$A,0),2)</f>
        <v>929.56879713339436</v>
      </c>
      <c r="O24" s="220">
        <f>INDEX('Rate Assumptions'!$A:$B,MATCH(O$2,'Rate Assumptions'!$A:$A,0),2)</f>
        <v>929.56879713339436</v>
      </c>
      <c r="P24" s="219">
        <f>INDEX('Rate Assumptions'!$A:$B,MATCH(P$2,'Rate Assumptions'!$A:$A,0),2)</f>
        <v>929.56879713339436</v>
      </c>
      <c r="Q24" s="168">
        <f t="shared" si="1"/>
        <v>10636126.176800299</v>
      </c>
    </row>
    <row r="25" spans="1:17">
      <c r="A25" s="129" t="s">
        <v>112</v>
      </c>
      <c r="B25" s="117">
        <v>4840</v>
      </c>
      <c r="C25" s="163">
        <v>367</v>
      </c>
      <c r="D25" s="177">
        <v>7827</v>
      </c>
      <c r="E25" s="149">
        <v>5274</v>
      </c>
      <c r="F25" s="149">
        <v>411</v>
      </c>
      <c r="G25" s="180">
        <v>8041</v>
      </c>
      <c r="H25" s="326"/>
      <c r="I25" s="327"/>
      <c r="J25" s="328"/>
      <c r="K25" s="152">
        <f t="shared" si="2"/>
        <v>5708</v>
      </c>
      <c r="L25" s="152">
        <f t="shared" si="3"/>
        <v>455</v>
      </c>
      <c r="M25" s="152">
        <f t="shared" si="4"/>
        <v>8255</v>
      </c>
      <c r="N25" s="142">
        <f>INDEX('Rate Assumptions'!$A:$B,MATCH(N$2,'Rate Assumptions'!$A:$A,0),2)</f>
        <v>929.56879713339436</v>
      </c>
      <c r="O25" s="220">
        <f>INDEX('Rate Assumptions'!$A:$B,MATCH(O$2,'Rate Assumptions'!$A:$A,0),2)</f>
        <v>929.56879713339436</v>
      </c>
      <c r="P25" s="219">
        <f>INDEX('Rate Assumptions'!$A:$B,MATCH(P$2,'Rate Assumptions'!$A:$A,0),2)</f>
        <v>929.56879713339436</v>
      </c>
      <c r="Q25" s="168">
        <f t="shared" si="1"/>
        <v>13402522.917069279</v>
      </c>
    </row>
    <row r="26" spans="1:17">
      <c r="A26" s="129" t="s">
        <v>113</v>
      </c>
      <c r="B26" s="117">
        <v>12932</v>
      </c>
      <c r="C26" s="163">
        <v>1548</v>
      </c>
      <c r="D26" s="177">
        <v>22728</v>
      </c>
      <c r="E26" s="149">
        <v>12657</v>
      </c>
      <c r="F26" s="149">
        <v>1643</v>
      </c>
      <c r="G26" s="180">
        <v>24199</v>
      </c>
      <c r="H26" s="326"/>
      <c r="I26" s="327"/>
      <c r="J26" s="328"/>
      <c r="K26" s="152">
        <f t="shared" si="2"/>
        <v>12382</v>
      </c>
      <c r="L26" s="152">
        <f t="shared" si="3"/>
        <v>1738</v>
      </c>
      <c r="M26" s="152">
        <f t="shared" si="4"/>
        <v>25670</v>
      </c>
      <c r="N26" s="142">
        <f>INDEX('Rate Assumptions'!$A:$B,MATCH(N$2,'Rate Assumptions'!$A:$A,0),2)</f>
        <v>929.56879713339436</v>
      </c>
      <c r="O26" s="220">
        <f>INDEX('Rate Assumptions'!$A:$B,MATCH(O$2,'Rate Assumptions'!$A:$A,0),2)</f>
        <v>929.56879713339436</v>
      </c>
      <c r="P26" s="219">
        <f>INDEX('Rate Assumptions'!$A:$B,MATCH(P$2,'Rate Assumptions'!$A:$A,0),2)</f>
        <v>929.56879713339436</v>
      </c>
      <c r="Q26" s="168">
        <f t="shared" si="1"/>
        <v>36987542.437937766</v>
      </c>
    </row>
    <row r="27" spans="1:17">
      <c r="A27" s="129" t="s">
        <v>114</v>
      </c>
      <c r="B27" s="117">
        <v>518</v>
      </c>
      <c r="C27" s="163">
        <v>287</v>
      </c>
      <c r="D27" s="177">
        <v>1832</v>
      </c>
      <c r="E27" s="149">
        <v>489</v>
      </c>
      <c r="F27" s="149">
        <v>294</v>
      </c>
      <c r="G27" s="180">
        <v>1931</v>
      </c>
      <c r="H27" s="326"/>
      <c r="I27" s="327"/>
      <c r="J27" s="328"/>
      <c r="K27" s="152">
        <f t="shared" si="2"/>
        <v>460</v>
      </c>
      <c r="L27" s="152">
        <f t="shared" si="3"/>
        <v>301</v>
      </c>
      <c r="M27" s="152">
        <f t="shared" si="4"/>
        <v>2030</v>
      </c>
      <c r="N27" s="142">
        <f>INDEX('Rate Assumptions'!$A:$B,MATCH(N$2,'Rate Assumptions'!$A:$A,0),2)</f>
        <v>929.56879713339436</v>
      </c>
      <c r="O27" s="220">
        <f>INDEX('Rate Assumptions'!$A:$B,MATCH(O$2,'Rate Assumptions'!$A:$A,0),2)</f>
        <v>929.56879713339436</v>
      </c>
      <c r="P27" s="219">
        <f>INDEX('Rate Assumptions'!$A:$B,MATCH(P$2,'Rate Assumptions'!$A:$A,0),2)</f>
        <v>929.56879713339436</v>
      </c>
      <c r="Q27" s="168">
        <f t="shared" si="1"/>
        <v>2594426.5127993035</v>
      </c>
    </row>
    <row r="28" spans="1:17">
      <c r="A28" s="129" t="s">
        <v>115</v>
      </c>
      <c r="B28" s="117">
        <v>349</v>
      </c>
      <c r="C28" s="163">
        <v>144</v>
      </c>
      <c r="D28" s="177">
        <v>2681</v>
      </c>
      <c r="E28" s="149">
        <v>341</v>
      </c>
      <c r="F28" s="149">
        <v>32</v>
      </c>
      <c r="G28" s="180">
        <v>3052</v>
      </c>
      <c r="H28" s="326"/>
      <c r="I28" s="327"/>
      <c r="J28" s="328"/>
      <c r="K28" s="152">
        <f t="shared" si="2"/>
        <v>333</v>
      </c>
      <c r="L28" s="152">
        <f t="shared" si="3"/>
        <v>-80</v>
      </c>
      <c r="M28" s="152">
        <f t="shared" si="4"/>
        <v>3423</v>
      </c>
      <c r="N28" s="142">
        <f>INDEX('Rate Assumptions'!$A:$B,MATCH(N$2,'Rate Assumptions'!$A:$A,0),2)</f>
        <v>929.56879713339436</v>
      </c>
      <c r="O28" s="220">
        <f>INDEX('Rate Assumptions'!$A:$B,MATCH(O$2,'Rate Assumptions'!$A:$A,0),2)</f>
        <v>929.56879713339436</v>
      </c>
      <c r="P28" s="219">
        <f>INDEX('Rate Assumptions'!$A:$B,MATCH(P$2,'Rate Assumptions'!$A:$A,0),2)</f>
        <v>929.56879713339436</v>
      </c>
      <c r="Q28" s="168">
        <f t="shared" si="1"/>
        <v>3417094.8982623573</v>
      </c>
    </row>
    <row r="29" spans="1:17">
      <c r="A29" s="129" t="s">
        <v>116</v>
      </c>
      <c r="B29" s="117">
        <v>10102</v>
      </c>
      <c r="C29" s="163">
        <v>1330</v>
      </c>
      <c r="D29" s="177">
        <v>21020</v>
      </c>
      <c r="E29" s="149">
        <v>10280</v>
      </c>
      <c r="F29" s="149">
        <v>1379</v>
      </c>
      <c r="G29" s="180">
        <v>20263</v>
      </c>
      <c r="H29" s="326"/>
      <c r="I29" s="327"/>
      <c r="J29" s="328"/>
      <c r="K29" s="152">
        <f t="shared" si="2"/>
        <v>10458</v>
      </c>
      <c r="L29" s="152">
        <f t="shared" si="3"/>
        <v>1428</v>
      </c>
      <c r="M29" s="152">
        <f t="shared" si="4"/>
        <v>19506</v>
      </c>
      <c r="N29" s="142">
        <f>INDEX('Rate Assumptions'!$A:$B,MATCH(N$2,'Rate Assumptions'!$A:$A,0),2)</f>
        <v>929.56879713339436</v>
      </c>
      <c r="O29" s="220">
        <f>INDEX('Rate Assumptions'!$A:$B,MATCH(O$2,'Rate Assumptions'!$A:$A,0),2)</f>
        <v>929.56879713339436</v>
      </c>
      <c r="P29" s="219">
        <f>INDEX('Rate Assumptions'!$A:$B,MATCH(P$2,'Rate Assumptions'!$A:$A,0),2)</f>
        <v>929.56879713339436</v>
      </c>
      <c r="Q29" s="168">
        <f t="shared" si="1"/>
        <v>29181023.679611515</v>
      </c>
    </row>
    <row r="30" spans="1:17">
      <c r="A30" s="129" t="s">
        <v>117</v>
      </c>
      <c r="B30" s="117">
        <v>48433</v>
      </c>
      <c r="C30" s="163">
        <v>7917</v>
      </c>
      <c r="D30" s="177">
        <v>97109</v>
      </c>
      <c r="E30" s="149">
        <v>41287</v>
      </c>
      <c r="F30" s="149">
        <v>6940</v>
      </c>
      <c r="G30" s="180">
        <v>93093</v>
      </c>
      <c r="H30" s="326"/>
      <c r="I30" s="327"/>
      <c r="J30" s="328"/>
      <c r="K30" s="152">
        <f t="shared" si="2"/>
        <v>34141</v>
      </c>
      <c r="L30" s="152">
        <f t="shared" si="3"/>
        <v>5963</v>
      </c>
      <c r="M30" s="152">
        <f t="shared" si="4"/>
        <v>89077</v>
      </c>
      <c r="N30" s="142">
        <f>INDEX('Rate Assumptions'!$A:$B,MATCH(N$2,'Rate Assumptions'!$A:$A,0),2)</f>
        <v>929.56879713339436</v>
      </c>
      <c r="O30" s="220">
        <f>INDEX('Rate Assumptions'!$A:$B,MATCH(O$2,'Rate Assumptions'!$A:$A,0),2)</f>
        <v>929.56879713339436</v>
      </c>
      <c r="P30" s="219">
        <f>INDEX('Rate Assumptions'!$A:$B,MATCH(P$2,'Rate Assumptions'!$A:$A,0),2)</f>
        <v>929.56879713339436</v>
      </c>
      <c r="Q30" s="168">
        <f t="shared" si="1"/>
        <v>120082626.78248902</v>
      </c>
    </row>
    <row r="31" spans="1:17">
      <c r="A31" s="129" t="s">
        <v>118</v>
      </c>
      <c r="B31" s="117">
        <v>21700</v>
      </c>
      <c r="C31" s="163">
        <v>1900</v>
      </c>
      <c r="D31" s="177">
        <v>53302</v>
      </c>
      <c r="E31" s="149">
        <v>20826</v>
      </c>
      <c r="F31" s="149">
        <v>2479</v>
      </c>
      <c r="G31" s="180">
        <v>50784</v>
      </c>
      <c r="H31" s="326"/>
      <c r="I31" s="327"/>
      <c r="J31" s="328"/>
      <c r="K31" s="152">
        <f t="shared" si="2"/>
        <v>19952</v>
      </c>
      <c r="L31" s="152">
        <f t="shared" si="3"/>
        <v>3058</v>
      </c>
      <c r="M31" s="152">
        <f t="shared" si="4"/>
        <v>48266</v>
      </c>
      <c r="N31" s="142">
        <f>INDEX('Rate Assumptions'!$A:$B,MATCH(N$2,'Rate Assumptions'!$A:$A,0),2)</f>
        <v>929.56879713339436</v>
      </c>
      <c r="O31" s="220">
        <f>INDEX('Rate Assumptions'!$A:$B,MATCH(O$2,'Rate Assumptions'!$A:$A,0),2)</f>
        <v>929.56879713339436</v>
      </c>
      <c r="P31" s="219">
        <f>INDEX('Rate Assumptions'!$A:$B,MATCH(P$2,'Rate Assumptions'!$A:$A,0),2)</f>
        <v>929.56879713339436</v>
      </c>
      <c r="Q31" s="168">
        <f t="shared" si="1"/>
        <v>66255945.584479809</v>
      </c>
    </row>
    <row r="32" spans="1:17">
      <c r="A32" s="129" t="s">
        <v>119</v>
      </c>
      <c r="B32" s="117">
        <v>878</v>
      </c>
      <c r="C32" s="163">
        <v>451</v>
      </c>
      <c r="D32" s="177">
        <v>2396</v>
      </c>
      <c r="E32" s="149">
        <v>908</v>
      </c>
      <c r="F32" s="149">
        <v>443</v>
      </c>
      <c r="G32" s="180">
        <v>2088</v>
      </c>
      <c r="H32" s="326"/>
      <c r="I32" s="327"/>
      <c r="J32" s="328"/>
      <c r="K32" s="152">
        <f t="shared" si="2"/>
        <v>938</v>
      </c>
      <c r="L32" s="152">
        <f t="shared" si="3"/>
        <v>435</v>
      </c>
      <c r="M32" s="152">
        <f t="shared" si="4"/>
        <v>1780</v>
      </c>
      <c r="N32" s="142">
        <f>INDEX('Rate Assumptions'!$A:$B,MATCH(N$2,'Rate Assumptions'!$A:$A,0),2)</f>
        <v>929.56879713339436</v>
      </c>
      <c r="O32" s="220">
        <f>INDEX('Rate Assumptions'!$A:$B,MATCH(O$2,'Rate Assumptions'!$A:$A,0),2)</f>
        <v>929.56879713339436</v>
      </c>
      <c r="P32" s="219">
        <f>INDEX('Rate Assumptions'!$A:$B,MATCH(P$2,'Rate Assumptions'!$A:$A,0),2)</f>
        <v>929.56879713339436</v>
      </c>
      <c r="Q32" s="168">
        <f t="shared" si="1"/>
        <v>2930930.4173615919</v>
      </c>
    </row>
    <row r="33" spans="1:17">
      <c r="A33" s="129" t="s">
        <v>120</v>
      </c>
      <c r="B33" s="117">
        <v>1358</v>
      </c>
      <c r="C33" s="163">
        <v>98</v>
      </c>
      <c r="D33" s="177">
        <v>3113</v>
      </c>
      <c r="E33" s="149">
        <v>1341</v>
      </c>
      <c r="F33" s="149">
        <v>102</v>
      </c>
      <c r="G33" s="180">
        <v>2889</v>
      </c>
      <c r="H33" s="326"/>
      <c r="I33" s="327"/>
      <c r="J33" s="328"/>
      <c r="K33" s="152">
        <f t="shared" si="2"/>
        <v>1324</v>
      </c>
      <c r="L33" s="152">
        <f t="shared" si="3"/>
        <v>106</v>
      </c>
      <c r="M33" s="152">
        <f t="shared" si="4"/>
        <v>2665</v>
      </c>
      <c r="N33" s="142">
        <f>INDEX('Rate Assumptions'!$A:$B,MATCH(N$2,'Rate Assumptions'!$A:$A,0),2)</f>
        <v>929.56879713339436</v>
      </c>
      <c r="O33" s="220">
        <f>INDEX('Rate Assumptions'!$A:$B,MATCH(O$2,'Rate Assumptions'!$A:$A,0),2)</f>
        <v>929.56879713339436</v>
      </c>
      <c r="P33" s="219">
        <f>INDEX('Rate Assumptions'!$A:$B,MATCH(P$2,'Rate Assumptions'!$A:$A,0),2)</f>
        <v>929.56879713339436</v>
      </c>
      <c r="Q33" s="168">
        <f t="shared" si="1"/>
        <v>3806584.2242612499</v>
      </c>
    </row>
    <row r="34" spans="1:17">
      <c r="A34" s="129" t="s">
        <v>121</v>
      </c>
      <c r="B34" s="117">
        <v>5101</v>
      </c>
      <c r="C34" s="163">
        <v>582</v>
      </c>
      <c r="D34" s="177">
        <v>9191</v>
      </c>
      <c r="E34" s="149">
        <v>4890</v>
      </c>
      <c r="F34" s="149">
        <v>559</v>
      </c>
      <c r="G34" s="180">
        <v>9132</v>
      </c>
      <c r="H34" s="326"/>
      <c r="I34" s="327"/>
      <c r="J34" s="328"/>
      <c r="K34" s="152">
        <f t="shared" si="2"/>
        <v>4679</v>
      </c>
      <c r="L34" s="152">
        <f t="shared" si="3"/>
        <v>536</v>
      </c>
      <c r="M34" s="152">
        <f t="shared" si="4"/>
        <v>9073</v>
      </c>
      <c r="N34" s="142">
        <f>INDEX('Rate Assumptions'!$A:$B,MATCH(N$2,'Rate Assumptions'!$A:$A,0),2)</f>
        <v>929.56879713339436</v>
      </c>
      <c r="O34" s="220">
        <f>INDEX('Rate Assumptions'!$A:$B,MATCH(O$2,'Rate Assumptions'!$A:$A,0),2)</f>
        <v>929.56879713339436</v>
      </c>
      <c r="P34" s="219">
        <f>INDEX('Rate Assumptions'!$A:$B,MATCH(P$2,'Rate Assumptions'!$A:$A,0),2)</f>
        <v>929.56879713339436</v>
      </c>
      <c r="Q34" s="168">
        <f t="shared" si="1"/>
        <v>13281678.973441938</v>
      </c>
    </row>
    <row r="35" spans="1:17">
      <c r="A35" s="129" t="s">
        <v>122</v>
      </c>
      <c r="B35" s="117">
        <v>4648</v>
      </c>
      <c r="C35" s="163">
        <v>203</v>
      </c>
      <c r="D35" s="177">
        <v>9435</v>
      </c>
      <c r="E35" s="149">
        <v>4607</v>
      </c>
      <c r="F35" s="149">
        <v>227</v>
      </c>
      <c r="G35" s="180">
        <v>9394</v>
      </c>
      <c r="H35" s="326"/>
      <c r="I35" s="327"/>
      <c r="J35" s="328"/>
      <c r="K35" s="152">
        <f t="shared" si="2"/>
        <v>4566</v>
      </c>
      <c r="L35" s="152">
        <f t="shared" si="3"/>
        <v>251</v>
      </c>
      <c r="M35" s="152">
        <f t="shared" si="4"/>
        <v>9353</v>
      </c>
      <c r="N35" s="142">
        <f>INDEX('Rate Assumptions'!$A:$B,MATCH(N$2,'Rate Assumptions'!$A:$A,0),2)</f>
        <v>929.56879713339436</v>
      </c>
      <c r="O35" s="220">
        <f>INDEX('Rate Assumptions'!$A:$B,MATCH(O$2,'Rate Assumptions'!$A:$A,0),2)</f>
        <v>929.56879713339436</v>
      </c>
      <c r="P35" s="219">
        <f>INDEX('Rate Assumptions'!$A:$B,MATCH(P$2,'Rate Assumptions'!$A:$A,0),2)</f>
        <v>929.56879713339436</v>
      </c>
      <c r="Q35" s="168">
        <f t="shared" si="1"/>
        <v>13171989.8553802</v>
      </c>
    </row>
    <row r="36" spans="1:17">
      <c r="A36" s="129" t="s">
        <v>123</v>
      </c>
      <c r="B36" s="117">
        <v>1703</v>
      </c>
      <c r="C36" s="163">
        <v>326</v>
      </c>
      <c r="D36" s="177">
        <v>3785</v>
      </c>
      <c r="E36" s="149">
        <v>1859</v>
      </c>
      <c r="F36" s="149">
        <v>319</v>
      </c>
      <c r="G36" s="180">
        <v>4510</v>
      </c>
      <c r="H36" s="326"/>
      <c r="I36" s="327"/>
      <c r="J36" s="328"/>
      <c r="K36" s="152">
        <f t="shared" si="2"/>
        <v>2015</v>
      </c>
      <c r="L36" s="152">
        <f t="shared" si="3"/>
        <v>312</v>
      </c>
      <c r="M36" s="152">
        <f t="shared" si="4"/>
        <v>5235</v>
      </c>
      <c r="N36" s="142">
        <f>INDEX('Rate Assumptions'!$A:$B,MATCH(N$2,'Rate Assumptions'!$A:$A,0),2)</f>
        <v>929.56879713339436</v>
      </c>
      <c r="O36" s="220">
        <f>INDEX('Rate Assumptions'!$A:$B,MATCH(O$2,'Rate Assumptions'!$A:$A,0),2)</f>
        <v>929.56879713339436</v>
      </c>
      <c r="P36" s="219">
        <f>INDEX('Rate Assumptions'!$A:$B,MATCH(P$2,'Rate Assumptions'!$A:$A,0),2)</f>
        <v>929.56879713339436</v>
      </c>
      <c r="Q36" s="168">
        <f t="shared" ref="Q36:Q67" si="5">SUMPRODUCT(K36:M36,N36:P36)</f>
        <v>7029399.2439227281</v>
      </c>
    </row>
    <row r="37" spans="1:17">
      <c r="A37" s="129" t="s">
        <v>124</v>
      </c>
      <c r="B37" s="117">
        <v>11423</v>
      </c>
      <c r="C37" s="163">
        <v>1510</v>
      </c>
      <c r="D37" s="177">
        <v>24585</v>
      </c>
      <c r="E37" s="149">
        <v>11919</v>
      </c>
      <c r="F37" s="149">
        <v>1604</v>
      </c>
      <c r="G37" s="180">
        <v>24533</v>
      </c>
      <c r="H37" s="326"/>
      <c r="I37" s="327"/>
      <c r="J37" s="328"/>
      <c r="K37" s="152">
        <f t="shared" si="2"/>
        <v>12415</v>
      </c>
      <c r="L37" s="152">
        <f t="shared" si="3"/>
        <v>1698</v>
      </c>
      <c r="M37" s="152">
        <f t="shared" si="4"/>
        <v>24481</v>
      </c>
      <c r="N37" s="142">
        <f>INDEX('Rate Assumptions'!$A:$B,MATCH(N$2,'Rate Assumptions'!$A:$A,0),2)</f>
        <v>929.56879713339436</v>
      </c>
      <c r="O37" s="220">
        <f>INDEX('Rate Assumptions'!$A:$B,MATCH(O$2,'Rate Assumptions'!$A:$A,0),2)</f>
        <v>929.56879713339436</v>
      </c>
      <c r="P37" s="219">
        <f>INDEX('Rate Assumptions'!$A:$B,MATCH(P$2,'Rate Assumptions'!$A:$A,0),2)</f>
        <v>929.56879713339436</v>
      </c>
      <c r="Q37" s="168">
        <f t="shared" si="5"/>
        <v>35875778.156566218</v>
      </c>
    </row>
    <row r="38" spans="1:17">
      <c r="A38" s="129" t="s">
        <v>125</v>
      </c>
      <c r="B38" s="117">
        <v>6655</v>
      </c>
      <c r="C38" s="163">
        <v>541</v>
      </c>
      <c r="D38" s="177">
        <v>13694</v>
      </c>
      <c r="E38" s="149">
        <v>6662</v>
      </c>
      <c r="F38" s="149">
        <v>532</v>
      </c>
      <c r="G38" s="180">
        <v>14174</v>
      </c>
      <c r="H38" s="326"/>
      <c r="I38" s="327"/>
      <c r="J38" s="328"/>
      <c r="K38" s="152">
        <f t="shared" si="2"/>
        <v>6669</v>
      </c>
      <c r="L38" s="152">
        <f t="shared" si="3"/>
        <v>523</v>
      </c>
      <c r="M38" s="152">
        <f t="shared" si="4"/>
        <v>14654</v>
      </c>
      <c r="N38" s="142">
        <f>INDEX('Rate Assumptions'!$A:$B,MATCH(N$2,'Rate Assumptions'!$A:$A,0),2)</f>
        <v>929.56879713339436</v>
      </c>
      <c r="O38" s="220">
        <f>INDEX('Rate Assumptions'!$A:$B,MATCH(O$2,'Rate Assumptions'!$A:$A,0),2)</f>
        <v>929.56879713339436</v>
      </c>
      <c r="P38" s="219">
        <f>INDEX('Rate Assumptions'!$A:$B,MATCH(P$2,'Rate Assumptions'!$A:$A,0),2)</f>
        <v>929.56879713339436</v>
      </c>
      <c r="Q38" s="168">
        <f t="shared" si="5"/>
        <v>20307359.942176133</v>
      </c>
    </row>
    <row r="39" spans="1:17">
      <c r="A39" s="129" t="s">
        <v>126</v>
      </c>
      <c r="B39" s="117">
        <v>1459</v>
      </c>
      <c r="C39" s="163">
        <v>341</v>
      </c>
      <c r="D39" s="177">
        <v>3950</v>
      </c>
      <c r="E39" s="149">
        <v>1361</v>
      </c>
      <c r="F39" s="149">
        <v>353</v>
      </c>
      <c r="G39" s="180">
        <v>3941</v>
      </c>
      <c r="H39" s="326"/>
      <c r="I39" s="327"/>
      <c r="J39" s="328"/>
      <c r="K39" s="152">
        <f t="shared" si="2"/>
        <v>1263</v>
      </c>
      <c r="L39" s="152">
        <f t="shared" si="3"/>
        <v>365</v>
      </c>
      <c r="M39" s="152">
        <f t="shared" si="4"/>
        <v>3932</v>
      </c>
      <c r="N39" s="142">
        <f>INDEX('Rate Assumptions'!$A:$B,MATCH(N$2,'Rate Assumptions'!$A:$A,0),2)</f>
        <v>929.56879713339436</v>
      </c>
      <c r="O39" s="220">
        <f>INDEX('Rate Assumptions'!$A:$B,MATCH(O$2,'Rate Assumptions'!$A:$A,0),2)</f>
        <v>929.56879713339436</v>
      </c>
      <c r="P39" s="219">
        <f>INDEX('Rate Assumptions'!$A:$B,MATCH(P$2,'Rate Assumptions'!$A:$A,0),2)</f>
        <v>929.56879713339436</v>
      </c>
      <c r="Q39" s="168">
        <f t="shared" si="5"/>
        <v>5168402.5120616723</v>
      </c>
    </row>
    <row r="40" spans="1:17">
      <c r="A40" s="129" t="s">
        <v>127</v>
      </c>
      <c r="B40" s="117">
        <v>11898</v>
      </c>
      <c r="C40" s="163">
        <v>2189</v>
      </c>
      <c r="D40" s="177">
        <v>26887</v>
      </c>
      <c r="E40" s="149">
        <v>11801</v>
      </c>
      <c r="F40" s="149">
        <v>1717</v>
      </c>
      <c r="G40" s="180">
        <v>25720</v>
      </c>
      <c r="H40" s="326"/>
      <c r="I40" s="327"/>
      <c r="J40" s="328"/>
      <c r="K40" s="152">
        <f t="shared" si="2"/>
        <v>11704</v>
      </c>
      <c r="L40" s="152">
        <f t="shared" si="3"/>
        <v>1245</v>
      </c>
      <c r="M40" s="152">
        <f t="shared" si="4"/>
        <v>24553</v>
      </c>
      <c r="N40" s="142">
        <f>INDEX('Rate Assumptions'!$A:$B,MATCH(N$2,'Rate Assumptions'!$A:$A,0),2)</f>
        <v>929.56879713339436</v>
      </c>
      <c r="O40" s="220">
        <f>INDEX('Rate Assumptions'!$A:$B,MATCH(O$2,'Rate Assumptions'!$A:$A,0),2)</f>
        <v>929.56879713339436</v>
      </c>
      <c r="P40" s="219">
        <f>INDEX('Rate Assumptions'!$A:$B,MATCH(P$2,'Rate Assumptions'!$A:$A,0),2)</f>
        <v>929.56879713339436</v>
      </c>
      <c r="Q40" s="168">
        <f t="shared" si="5"/>
        <v>34860689.030096553</v>
      </c>
    </row>
    <row r="41" spans="1:17">
      <c r="A41" s="129" t="s">
        <v>128</v>
      </c>
      <c r="B41" s="117">
        <v>1689</v>
      </c>
      <c r="C41" s="163">
        <v>151</v>
      </c>
      <c r="D41" s="177">
        <v>4158</v>
      </c>
      <c r="E41" s="149">
        <v>1638</v>
      </c>
      <c r="F41" s="149">
        <v>134</v>
      </c>
      <c r="G41" s="180">
        <v>3756</v>
      </c>
      <c r="H41" s="326"/>
      <c r="I41" s="327"/>
      <c r="J41" s="328"/>
      <c r="K41" s="152">
        <f t="shared" si="2"/>
        <v>1587</v>
      </c>
      <c r="L41" s="152">
        <f t="shared" si="3"/>
        <v>117</v>
      </c>
      <c r="M41" s="152">
        <f t="shared" si="4"/>
        <v>3354</v>
      </c>
      <c r="N41" s="142">
        <f>INDEX('Rate Assumptions'!$A:$B,MATCH(N$2,'Rate Assumptions'!$A:$A,0),2)</f>
        <v>929.56879713339436</v>
      </c>
      <c r="O41" s="220">
        <f>INDEX('Rate Assumptions'!$A:$B,MATCH(O$2,'Rate Assumptions'!$A:$A,0),2)</f>
        <v>929.56879713339436</v>
      </c>
      <c r="P41" s="219">
        <f>INDEX('Rate Assumptions'!$A:$B,MATCH(P$2,'Rate Assumptions'!$A:$A,0),2)</f>
        <v>929.56879713339436</v>
      </c>
      <c r="Q41" s="168">
        <f t="shared" si="5"/>
        <v>4701758.9759007087</v>
      </c>
    </row>
    <row r="42" spans="1:17">
      <c r="A42" s="129" t="s">
        <v>129</v>
      </c>
      <c r="B42" s="117">
        <v>264</v>
      </c>
      <c r="C42" s="163">
        <v>24</v>
      </c>
      <c r="D42" s="177">
        <v>3169</v>
      </c>
      <c r="E42" s="149">
        <v>262</v>
      </c>
      <c r="F42" s="149">
        <v>27</v>
      </c>
      <c r="G42" s="180">
        <v>3265</v>
      </c>
      <c r="H42" s="326"/>
      <c r="I42" s="327"/>
      <c r="J42" s="328"/>
      <c r="K42" s="152">
        <f t="shared" si="2"/>
        <v>260</v>
      </c>
      <c r="L42" s="152">
        <f t="shared" si="3"/>
        <v>30</v>
      </c>
      <c r="M42" s="152">
        <f t="shared" si="4"/>
        <v>3361</v>
      </c>
      <c r="N42" s="142">
        <f>INDEX('Rate Assumptions'!$A:$B,MATCH(N$2,'Rate Assumptions'!$A:$A,0),2)</f>
        <v>929.56879713339436</v>
      </c>
      <c r="O42" s="220">
        <f>INDEX('Rate Assumptions'!$A:$B,MATCH(O$2,'Rate Assumptions'!$A:$A,0),2)</f>
        <v>929.56879713339436</v>
      </c>
      <c r="P42" s="219">
        <f>INDEX('Rate Assumptions'!$A:$B,MATCH(P$2,'Rate Assumptions'!$A:$A,0),2)</f>
        <v>929.56879713339436</v>
      </c>
      <c r="Q42" s="168">
        <f t="shared" si="5"/>
        <v>3393855.6783340229</v>
      </c>
    </row>
    <row r="43" spans="1:17">
      <c r="A43" s="129" t="s">
        <v>130</v>
      </c>
      <c r="B43" s="117">
        <v>4933</v>
      </c>
      <c r="C43" s="163">
        <v>685</v>
      </c>
      <c r="D43" s="177">
        <v>13689</v>
      </c>
      <c r="E43" s="149">
        <v>5090</v>
      </c>
      <c r="F43" s="149">
        <v>668</v>
      </c>
      <c r="G43" s="180">
        <v>14536</v>
      </c>
      <c r="H43" s="326"/>
      <c r="I43" s="327"/>
      <c r="J43" s="328"/>
      <c r="K43" s="152">
        <f t="shared" si="2"/>
        <v>5247</v>
      </c>
      <c r="L43" s="152">
        <f t="shared" si="3"/>
        <v>651</v>
      </c>
      <c r="M43" s="152">
        <f t="shared" si="4"/>
        <v>15383</v>
      </c>
      <c r="N43" s="142">
        <f>INDEX('Rate Assumptions'!$A:$B,MATCH(N$2,'Rate Assumptions'!$A:$A,0),2)</f>
        <v>929.56879713339436</v>
      </c>
      <c r="O43" s="220">
        <f>INDEX('Rate Assumptions'!$A:$B,MATCH(O$2,'Rate Assumptions'!$A:$A,0),2)</f>
        <v>929.56879713339436</v>
      </c>
      <c r="P43" s="219">
        <f>INDEX('Rate Assumptions'!$A:$B,MATCH(P$2,'Rate Assumptions'!$A:$A,0),2)</f>
        <v>929.56879713339436</v>
      </c>
      <c r="Q43" s="168">
        <f t="shared" si="5"/>
        <v>19782153.571795765</v>
      </c>
    </row>
    <row r="44" spans="1:17">
      <c r="A44" s="129" t="s">
        <v>131</v>
      </c>
      <c r="B44" s="117">
        <v>9744</v>
      </c>
      <c r="C44" s="163">
        <v>1114</v>
      </c>
      <c r="D44" s="177">
        <v>21037</v>
      </c>
      <c r="E44" s="149">
        <v>9872</v>
      </c>
      <c r="F44" s="149">
        <v>1143</v>
      </c>
      <c r="G44" s="180">
        <v>20091</v>
      </c>
      <c r="H44" s="326"/>
      <c r="I44" s="327"/>
      <c r="J44" s="328"/>
      <c r="K44" s="152">
        <f t="shared" si="2"/>
        <v>10000</v>
      </c>
      <c r="L44" s="152">
        <f t="shared" si="3"/>
        <v>1172</v>
      </c>
      <c r="M44" s="152">
        <f t="shared" si="4"/>
        <v>19145</v>
      </c>
      <c r="N44" s="142">
        <f>INDEX('Rate Assumptions'!$A:$B,MATCH(N$2,'Rate Assumptions'!$A:$A,0),2)</f>
        <v>929.56879713339436</v>
      </c>
      <c r="O44" s="220">
        <f>INDEX('Rate Assumptions'!$A:$B,MATCH(O$2,'Rate Assumptions'!$A:$A,0),2)</f>
        <v>929.56879713339436</v>
      </c>
      <c r="P44" s="219">
        <f>INDEX('Rate Assumptions'!$A:$B,MATCH(P$2,'Rate Assumptions'!$A:$A,0),2)</f>
        <v>929.56879713339436</v>
      </c>
      <c r="Q44" s="168">
        <f t="shared" si="5"/>
        <v>28181737.222693115</v>
      </c>
    </row>
    <row r="45" spans="1:17">
      <c r="A45" s="129" t="s">
        <v>132</v>
      </c>
      <c r="B45" s="117">
        <v>7672</v>
      </c>
      <c r="C45" s="163">
        <v>510</v>
      </c>
      <c r="D45" s="177">
        <v>15967</v>
      </c>
      <c r="E45" s="149">
        <v>7528</v>
      </c>
      <c r="F45" s="149">
        <v>629</v>
      </c>
      <c r="G45" s="180">
        <v>15475</v>
      </c>
      <c r="H45" s="326"/>
      <c r="I45" s="327"/>
      <c r="J45" s="328"/>
      <c r="K45" s="152">
        <f t="shared" si="2"/>
        <v>7384</v>
      </c>
      <c r="L45" s="152">
        <f t="shared" si="3"/>
        <v>748</v>
      </c>
      <c r="M45" s="152">
        <f t="shared" si="4"/>
        <v>14983</v>
      </c>
      <c r="N45" s="142">
        <f>INDEX('Rate Assumptions'!$A:$B,MATCH(N$2,'Rate Assumptions'!$A:$A,0),2)</f>
        <v>929.56879713339436</v>
      </c>
      <c r="O45" s="220">
        <f>INDEX('Rate Assumptions'!$A:$B,MATCH(O$2,'Rate Assumptions'!$A:$A,0),2)</f>
        <v>929.56879713339436</v>
      </c>
      <c r="P45" s="219">
        <f>INDEX('Rate Assumptions'!$A:$B,MATCH(P$2,'Rate Assumptions'!$A:$A,0),2)</f>
        <v>929.56879713339436</v>
      </c>
      <c r="Q45" s="168">
        <f t="shared" si="5"/>
        <v>21486982.745738409</v>
      </c>
    </row>
    <row r="46" spans="1:17">
      <c r="A46" s="129" t="s">
        <v>133</v>
      </c>
      <c r="B46" s="117">
        <v>5388</v>
      </c>
      <c r="C46" s="163">
        <v>2360</v>
      </c>
      <c r="D46" s="177">
        <v>18405</v>
      </c>
      <c r="E46" s="149">
        <v>6177</v>
      </c>
      <c r="F46" s="149">
        <v>2317</v>
      </c>
      <c r="G46" s="180">
        <v>18546</v>
      </c>
      <c r="H46" s="326"/>
      <c r="I46" s="327"/>
      <c r="J46" s="328"/>
      <c r="K46" s="152">
        <f t="shared" si="2"/>
        <v>6966</v>
      </c>
      <c r="L46" s="152">
        <f t="shared" si="3"/>
        <v>2274</v>
      </c>
      <c r="M46" s="152">
        <f t="shared" si="4"/>
        <v>18687</v>
      </c>
      <c r="N46" s="142">
        <f>INDEX('Rate Assumptions'!$A:$B,MATCH(N$2,'Rate Assumptions'!$A:$A,0),2)</f>
        <v>929.56879713339436</v>
      </c>
      <c r="O46" s="220">
        <f>INDEX('Rate Assumptions'!$A:$B,MATCH(O$2,'Rate Assumptions'!$A:$A,0),2)</f>
        <v>929.56879713339436</v>
      </c>
      <c r="P46" s="219">
        <f>INDEX('Rate Assumptions'!$A:$B,MATCH(P$2,'Rate Assumptions'!$A:$A,0),2)</f>
        <v>929.56879713339436</v>
      </c>
      <c r="Q46" s="168">
        <f t="shared" si="5"/>
        <v>25960067.797544304</v>
      </c>
    </row>
    <row r="47" spans="1:17">
      <c r="A47" s="129" t="s">
        <v>134</v>
      </c>
      <c r="B47" s="117">
        <v>2167</v>
      </c>
      <c r="C47" s="163">
        <v>272</v>
      </c>
      <c r="D47" s="177">
        <v>3703</v>
      </c>
      <c r="E47" s="149">
        <v>2007</v>
      </c>
      <c r="F47" s="149">
        <v>231</v>
      </c>
      <c r="G47" s="180">
        <v>3626</v>
      </c>
      <c r="H47" s="326"/>
      <c r="I47" s="327"/>
      <c r="J47" s="328"/>
      <c r="K47" s="152">
        <f t="shared" si="2"/>
        <v>1847</v>
      </c>
      <c r="L47" s="152">
        <f t="shared" si="3"/>
        <v>190</v>
      </c>
      <c r="M47" s="152">
        <f t="shared" si="4"/>
        <v>3549</v>
      </c>
      <c r="N47" s="142">
        <f>INDEX('Rate Assumptions'!$A:$B,MATCH(N$2,'Rate Assumptions'!$A:$A,0),2)</f>
        <v>929.56879713339436</v>
      </c>
      <c r="O47" s="220">
        <f>INDEX('Rate Assumptions'!$A:$B,MATCH(O$2,'Rate Assumptions'!$A:$A,0),2)</f>
        <v>929.56879713339436</v>
      </c>
      <c r="P47" s="219">
        <f>INDEX('Rate Assumptions'!$A:$B,MATCH(P$2,'Rate Assumptions'!$A:$A,0),2)</f>
        <v>929.56879713339436</v>
      </c>
      <c r="Q47" s="168">
        <f t="shared" si="5"/>
        <v>5192571.3007871406</v>
      </c>
    </row>
    <row r="48" spans="1:17">
      <c r="A48" s="129" t="s">
        <v>135</v>
      </c>
      <c r="B48" s="117">
        <v>5509</v>
      </c>
      <c r="C48" s="163">
        <v>262</v>
      </c>
      <c r="D48" s="177">
        <v>12408</v>
      </c>
      <c r="E48" s="149">
        <v>5583</v>
      </c>
      <c r="F48" s="149">
        <v>274</v>
      </c>
      <c r="G48" s="180">
        <v>12227</v>
      </c>
      <c r="H48" s="326"/>
      <c r="I48" s="327"/>
      <c r="J48" s="328"/>
      <c r="K48" s="152">
        <f t="shared" si="2"/>
        <v>5657</v>
      </c>
      <c r="L48" s="152">
        <f t="shared" si="3"/>
        <v>286</v>
      </c>
      <c r="M48" s="152">
        <f t="shared" si="4"/>
        <v>12046</v>
      </c>
      <c r="N48" s="142">
        <f>INDEX('Rate Assumptions'!$A:$B,MATCH(N$2,'Rate Assumptions'!$A:$A,0),2)</f>
        <v>929.56879713339436</v>
      </c>
      <c r="O48" s="220">
        <f>INDEX('Rate Assumptions'!$A:$B,MATCH(O$2,'Rate Assumptions'!$A:$A,0),2)</f>
        <v>929.56879713339436</v>
      </c>
      <c r="P48" s="219">
        <f>INDEX('Rate Assumptions'!$A:$B,MATCH(P$2,'Rate Assumptions'!$A:$A,0),2)</f>
        <v>929.56879713339436</v>
      </c>
      <c r="Q48" s="168">
        <f t="shared" si="5"/>
        <v>16722013.091632631</v>
      </c>
    </row>
    <row r="49" spans="1:17">
      <c r="A49" s="129" t="s">
        <v>136</v>
      </c>
      <c r="B49" s="117">
        <v>13993</v>
      </c>
      <c r="C49" s="163">
        <v>1457</v>
      </c>
      <c r="D49" s="177">
        <v>29065</v>
      </c>
      <c r="E49" s="149">
        <v>14692</v>
      </c>
      <c r="F49" s="149">
        <v>1493</v>
      </c>
      <c r="G49" s="180">
        <v>29602</v>
      </c>
      <c r="H49" s="326"/>
      <c r="I49" s="327"/>
      <c r="J49" s="328"/>
      <c r="K49" s="152">
        <f t="shared" si="2"/>
        <v>15391</v>
      </c>
      <c r="L49" s="152">
        <f t="shared" si="3"/>
        <v>1529</v>
      </c>
      <c r="M49" s="152">
        <f t="shared" si="4"/>
        <v>30139</v>
      </c>
      <c r="N49" s="142">
        <f>INDEX('Rate Assumptions'!$A:$B,MATCH(N$2,'Rate Assumptions'!$A:$A,0),2)</f>
        <v>929.56879713339436</v>
      </c>
      <c r="O49" s="220">
        <f>INDEX('Rate Assumptions'!$A:$B,MATCH(O$2,'Rate Assumptions'!$A:$A,0),2)</f>
        <v>929.56879713339436</v>
      </c>
      <c r="P49" s="219">
        <f>INDEX('Rate Assumptions'!$A:$B,MATCH(P$2,'Rate Assumptions'!$A:$A,0),2)</f>
        <v>929.56879713339436</v>
      </c>
      <c r="Q49" s="168">
        <f t="shared" si="5"/>
        <v>43744578.024300404</v>
      </c>
    </row>
    <row r="50" spans="1:17">
      <c r="A50" s="129" t="s">
        <v>137</v>
      </c>
      <c r="B50" s="117">
        <v>6300</v>
      </c>
      <c r="C50" s="163">
        <v>959</v>
      </c>
      <c r="D50" s="177">
        <v>16826</v>
      </c>
      <c r="E50" s="149">
        <v>6145</v>
      </c>
      <c r="F50" s="149">
        <v>1003</v>
      </c>
      <c r="G50" s="180">
        <v>17228</v>
      </c>
      <c r="H50" s="326"/>
      <c r="I50" s="327"/>
      <c r="J50" s="328"/>
      <c r="K50" s="152">
        <f t="shared" si="2"/>
        <v>5990</v>
      </c>
      <c r="L50" s="152">
        <f t="shared" si="3"/>
        <v>1047</v>
      </c>
      <c r="M50" s="152">
        <f t="shared" si="4"/>
        <v>17630</v>
      </c>
      <c r="N50" s="142">
        <f>INDEX('Rate Assumptions'!$A:$B,MATCH(N$2,'Rate Assumptions'!$A:$A,0),2)</f>
        <v>929.56879713339436</v>
      </c>
      <c r="O50" s="220">
        <f>INDEX('Rate Assumptions'!$A:$B,MATCH(O$2,'Rate Assumptions'!$A:$A,0),2)</f>
        <v>929.56879713339436</v>
      </c>
      <c r="P50" s="219">
        <f>INDEX('Rate Assumptions'!$A:$B,MATCH(P$2,'Rate Assumptions'!$A:$A,0),2)</f>
        <v>929.56879713339436</v>
      </c>
      <c r="Q50" s="168">
        <f t="shared" si="5"/>
        <v>22929673.518889438</v>
      </c>
    </row>
    <row r="51" spans="1:17">
      <c r="A51" s="129" t="s">
        <v>138</v>
      </c>
      <c r="B51" s="117">
        <v>14498</v>
      </c>
      <c r="C51" s="163">
        <v>1684</v>
      </c>
      <c r="D51" s="177">
        <v>33604</v>
      </c>
      <c r="E51" s="149">
        <v>14043</v>
      </c>
      <c r="F51" s="149">
        <v>1807</v>
      </c>
      <c r="G51" s="180">
        <v>32446</v>
      </c>
      <c r="H51" s="326"/>
      <c r="I51" s="327"/>
      <c r="J51" s="328"/>
      <c r="K51" s="152">
        <f t="shared" si="2"/>
        <v>13588</v>
      </c>
      <c r="L51" s="152">
        <f t="shared" si="3"/>
        <v>1930</v>
      </c>
      <c r="M51" s="152">
        <f t="shared" si="4"/>
        <v>31288</v>
      </c>
      <c r="N51" s="142">
        <f>INDEX('Rate Assumptions'!$A:$B,MATCH(N$2,'Rate Assumptions'!$A:$A,0),2)</f>
        <v>929.56879713339436</v>
      </c>
      <c r="O51" s="220">
        <f>INDEX('Rate Assumptions'!$A:$B,MATCH(O$2,'Rate Assumptions'!$A:$A,0),2)</f>
        <v>929.56879713339436</v>
      </c>
      <c r="P51" s="219">
        <f>INDEX('Rate Assumptions'!$A:$B,MATCH(P$2,'Rate Assumptions'!$A:$A,0),2)</f>
        <v>929.56879713339436</v>
      </c>
      <c r="Q51" s="168">
        <f t="shared" si="5"/>
        <v>43509397.118625656</v>
      </c>
    </row>
    <row r="52" spans="1:17">
      <c r="A52" s="129" t="s">
        <v>139</v>
      </c>
      <c r="B52" s="117">
        <v>4460</v>
      </c>
      <c r="C52" s="163">
        <v>652</v>
      </c>
      <c r="D52" s="177">
        <v>11981</v>
      </c>
      <c r="E52" s="149">
        <v>4131</v>
      </c>
      <c r="F52" s="149">
        <v>676</v>
      </c>
      <c r="G52" s="180">
        <v>12511</v>
      </c>
      <c r="H52" s="326"/>
      <c r="I52" s="327"/>
      <c r="J52" s="328"/>
      <c r="K52" s="152">
        <f t="shared" si="2"/>
        <v>3802</v>
      </c>
      <c r="L52" s="152">
        <f t="shared" si="3"/>
        <v>700</v>
      </c>
      <c r="M52" s="152">
        <f t="shared" si="4"/>
        <v>13041</v>
      </c>
      <c r="N52" s="142">
        <f>INDEX('Rate Assumptions'!$A:$B,MATCH(N$2,'Rate Assumptions'!$A:$A,0),2)</f>
        <v>929.56879713339436</v>
      </c>
      <c r="O52" s="220">
        <f>INDEX('Rate Assumptions'!$A:$B,MATCH(O$2,'Rate Assumptions'!$A:$A,0),2)</f>
        <v>929.56879713339436</v>
      </c>
      <c r="P52" s="219">
        <f>INDEX('Rate Assumptions'!$A:$B,MATCH(P$2,'Rate Assumptions'!$A:$A,0),2)</f>
        <v>929.56879713339436</v>
      </c>
      <c r="Q52" s="168">
        <f t="shared" si="5"/>
        <v>16307425.408111136</v>
      </c>
    </row>
    <row r="53" spans="1:17">
      <c r="A53" s="129" t="s">
        <v>140</v>
      </c>
      <c r="B53" s="117">
        <v>6649</v>
      </c>
      <c r="C53" s="163">
        <v>707</v>
      </c>
      <c r="D53" s="177">
        <v>16119</v>
      </c>
      <c r="E53" s="149">
        <v>6538</v>
      </c>
      <c r="F53" s="149">
        <v>761</v>
      </c>
      <c r="G53" s="180">
        <v>15668</v>
      </c>
      <c r="H53" s="326"/>
      <c r="I53" s="327"/>
      <c r="J53" s="328"/>
      <c r="K53" s="152">
        <f t="shared" si="2"/>
        <v>6427</v>
      </c>
      <c r="L53" s="152">
        <f t="shared" si="3"/>
        <v>815</v>
      </c>
      <c r="M53" s="152">
        <f t="shared" si="4"/>
        <v>15217</v>
      </c>
      <c r="N53" s="142">
        <f>INDEX('Rate Assumptions'!$A:$B,MATCH(N$2,'Rate Assumptions'!$A:$A,0),2)</f>
        <v>929.56879713339436</v>
      </c>
      <c r="O53" s="220">
        <f>INDEX('Rate Assumptions'!$A:$B,MATCH(O$2,'Rate Assumptions'!$A:$A,0),2)</f>
        <v>929.56879713339436</v>
      </c>
      <c r="P53" s="219">
        <f>INDEX('Rate Assumptions'!$A:$B,MATCH(P$2,'Rate Assumptions'!$A:$A,0),2)</f>
        <v>929.56879713339436</v>
      </c>
      <c r="Q53" s="168">
        <f t="shared" si="5"/>
        <v>20877185.614818905</v>
      </c>
    </row>
    <row r="54" spans="1:17">
      <c r="A54" s="129" t="s">
        <v>141</v>
      </c>
      <c r="B54" s="117">
        <v>4867</v>
      </c>
      <c r="C54" s="163">
        <v>735</v>
      </c>
      <c r="D54" s="177">
        <v>11273</v>
      </c>
      <c r="E54" s="149">
        <v>4995</v>
      </c>
      <c r="F54" s="149">
        <v>844</v>
      </c>
      <c r="G54" s="180">
        <v>11170</v>
      </c>
      <c r="H54" s="326"/>
      <c r="I54" s="327"/>
      <c r="J54" s="328"/>
      <c r="K54" s="152">
        <f t="shared" si="2"/>
        <v>5123</v>
      </c>
      <c r="L54" s="152">
        <f t="shared" si="3"/>
        <v>953</v>
      </c>
      <c r="M54" s="152">
        <f t="shared" si="4"/>
        <v>11067</v>
      </c>
      <c r="N54" s="142">
        <f>INDEX('Rate Assumptions'!$A:$B,MATCH(N$2,'Rate Assumptions'!$A:$A,0),2)</f>
        <v>929.56879713339436</v>
      </c>
      <c r="O54" s="220">
        <f>INDEX('Rate Assumptions'!$A:$B,MATCH(O$2,'Rate Assumptions'!$A:$A,0),2)</f>
        <v>929.56879713339436</v>
      </c>
      <c r="P54" s="219">
        <f>INDEX('Rate Assumptions'!$A:$B,MATCH(P$2,'Rate Assumptions'!$A:$A,0),2)</f>
        <v>929.56879713339436</v>
      </c>
      <c r="Q54" s="168">
        <f t="shared" si="5"/>
        <v>15935597.889257779</v>
      </c>
    </row>
    <row r="55" spans="1:17">
      <c r="A55" s="129" t="s">
        <v>142</v>
      </c>
      <c r="B55" s="117">
        <v>2415</v>
      </c>
      <c r="C55" s="163">
        <v>289</v>
      </c>
      <c r="D55" s="177">
        <v>5183</v>
      </c>
      <c r="E55" s="149">
        <v>2615</v>
      </c>
      <c r="F55" s="149">
        <v>267</v>
      </c>
      <c r="G55" s="180">
        <v>5362</v>
      </c>
      <c r="H55" s="326"/>
      <c r="I55" s="327"/>
      <c r="J55" s="328"/>
      <c r="K55" s="152">
        <f t="shared" si="2"/>
        <v>2815</v>
      </c>
      <c r="L55" s="152">
        <f t="shared" si="3"/>
        <v>245</v>
      </c>
      <c r="M55" s="152">
        <f t="shared" si="4"/>
        <v>5541</v>
      </c>
      <c r="N55" s="142">
        <f>INDEX('Rate Assumptions'!$A:$B,MATCH(N$2,'Rate Assumptions'!$A:$A,0),2)</f>
        <v>929.56879713339436</v>
      </c>
      <c r="O55" s="220">
        <f>INDEX('Rate Assumptions'!$A:$B,MATCH(O$2,'Rate Assumptions'!$A:$A,0),2)</f>
        <v>929.56879713339436</v>
      </c>
      <c r="P55" s="219">
        <f>INDEX('Rate Assumptions'!$A:$B,MATCH(P$2,'Rate Assumptions'!$A:$A,0),2)</f>
        <v>929.56879713339436</v>
      </c>
      <c r="Q55" s="168">
        <f t="shared" si="5"/>
        <v>7995221.2241443247</v>
      </c>
    </row>
    <row r="56" spans="1:17">
      <c r="A56" s="129" t="s">
        <v>143</v>
      </c>
      <c r="B56" s="117">
        <v>4020</v>
      </c>
      <c r="C56" s="163">
        <v>824</v>
      </c>
      <c r="D56" s="177">
        <v>12169</v>
      </c>
      <c r="E56" s="149">
        <v>3724</v>
      </c>
      <c r="F56" s="149">
        <v>762</v>
      </c>
      <c r="G56" s="180">
        <v>11437</v>
      </c>
      <c r="H56" s="326"/>
      <c r="I56" s="327"/>
      <c r="J56" s="328"/>
      <c r="K56" s="152">
        <f t="shared" si="2"/>
        <v>3428</v>
      </c>
      <c r="L56" s="152">
        <f t="shared" si="3"/>
        <v>700</v>
      </c>
      <c r="M56" s="152">
        <f t="shared" si="4"/>
        <v>10705</v>
      </c>
      <c r="N56" s="142">
        <f>INDEX('Rate Assumptions'!$A:$B,MATCH(N$2,'Rate Assumptions'!$A:$A,0),2)</f>
        <v>929.56879713339436</v>
      </c>
      <c r="O56" s="220">
        <f>INDEX('Rate Assumptions'!$A:$B,MATCH(O$2,'Rate Assumptions'!$A:$A,0),2)</f>
        <v>929.56879713339436</v>
      </c>
      <c r="P56" s="219">
        <f>INDEX('Rate Assumptions'!$A:$B,MATCH(P$2,'Rate Assumptions'!$A:$A,0),2)</f>
        <v>929.56879713339436</v>
      </c>
      <c r="Q56" s="168">
        <f t="shared" si="5"/>
        <v>13788293.967879638</v>
      </c>
    </row>
    <row r="57" spans="1:17">
      <c r="A57" s="129" t="s">
        <v>144</v>
      </c>
      <c r="B57" s="117">
        <v>4184</v>
      </c>
      <c r="C57" s="163">
        <v>507</v>
      </c>
      <c r="D57" s="177">
        <v>9910</v>
      </c>
      <c r="E57" s="149">
        <v>4013</v>
      </c>
      <c r="F57" s="149">
        <v>533</v>
      </c>
      <c r="G57" s="180">
        <v>9472</v>
      </c>
      <c r="H57" s="326"/>
      <c r="I57" s="327"/>
      <c r="J57" s="328"/>
      <c r="K57" s="152">
        <f t="shared" si="2"/>
        <v>3842</v>
      </c>
      <c r="L57" s="152">
        <f t="shared" si="3"/>
        <v>559</v>
      </c>
      <c r="M57" s="152">
        <f t="shared" si="4"/>
        <v>9034</v>
      </c>
      <c r="N57" s="142">
        <f>INDEX('Rate Assumptions'!$A:$B,MATCH(N$2,'Rate Assumptions'!$A:$A,0),2)</f>
        <v>929.56879713339436</v>
      </c>
      <c r="O57" s="220">
        <f>INDEX('Rate Assumptions'!$A:$B,MATCH(O$2,'Rate Assumptions'!$A:$A,0),2)</f>
        <v>929.56879713339436</v>
      </c>
      <c r="P57" s="219">
        <f>INDEX('Rate Assumptions'!$A:$B,MATCH(P$2,'Rate Assumptions'!$A:$A,0),2)</f>
        <v>929.56879713339436</v>
      </c>
      <c r="Q57" s="168">
        <f t="shared" si="5"/>
        <v>12488756.789487153</v>
      </c>
    </row>
    <row r="58" spans="1:17">
      <c r="A58" s="129" t="s">
        <v>145</v>
      </c>
      <c r="B58" s="117">
        <v>4823</v>
      </c>
      <c r="C58" s="163">
        <v>663</v>
      </c>
      <c r="D58" s="177">
        <v>11606</v>
      </c>
      <c r="E58" s="149">
        <v>4150</v>
      </c>
      <c r="F58" s="149">
        <v>679</v>
      </c>
      <c r="G58" s="180">
        <v>11040</v>
      </c>
      <c r="H58" s="326"/>
      <c r="I58" s="327"/>
      <c r="J58" s="328"/>
      <c r="K58" s="152">
        <f t="shared" si="2"/>
        <v>3477</v>
      </c>
      <c r="L58" s="152">
        <f t="shared" si="3"/>
        <v>695</v>
      </c>
      <c r="M58" s="152">
        <f t="shared" si="4"/>
        <v>10474</v>
      </c>
      <c r="N58" s="142">
        <f>INDEX('Rate Assumptions'!$A:$B,MATCH(N$2,'Rate Assumptions'!$A:$A,0),2)</f>
        <v>929.56879713339436</v>
      </c>
      <c r="O58" s="220">
        <f>INDEX('Rate Assumptions'!$A:$B,MATCH(O$2,'Rate Assumptions'!$A:$A,0),2)</f>
        <v>929.56879713339436</v>
      </c>
      <c r="P58" s="219">
        <f>INDEX('Rate Assumptions'!$A:$B,MATCH(P$2,'Rate Assumptions'!$A:$A,0),2)</f>
        <v>929.56879713339436</v>
      </c>
      <c r="Q58" s="168">
        <f t="shared" si="5"/>
        <v>13614464.602815695</v>
      </c>
    </row>
    <row r="59" spans="1:17">
      <c r="A59" s="129" t="s">
        <v>146</v>
      </c>
      <c r="B59" s="117">
        <v>8036</v>
      </c>
      <c r="C59" s="163">
        <v>1372</v>
      </c>
      <c r="D59" s="177">
        <v>20226</v>
      </c>
      <c r="E59" s="149">
        <v>8117</v>
      </c>
      <c r="F59" s="149">
        <v>1427</v>
      </c>
      <c r="G59" s="180">
        <v>19363</v>
      </c>
      <c r="H59" s="326"/>
      <c r="I59" s="327"/>
      <c r="J59" s="328"/>
      <c r="K59" s="152">
        <f t="shared" si="2"/>
        <v>8198</v>
      </c>
      <c r="L59" s="152">
        <f t="shared" si="3"/>
        <v>1482</v>
      </c>
      <c r="M59" s="152">
        <f t="shared" si="4"/>
        <v>18500</v>
      </c>
      <c r="N59" s="142">
        <f>INDEX('Rate Assumptions'!$A:$B,MATCH(N$2,'Rate Assumptions'!$A:$A,0),2)</f>
        <v>929.56879713339436</v>
      </c>
      <c r="O59" s="220">
        <f>INDEX('Rate Assumptions'!$A:$B,MATCH(O$2,'Rate Assumptions'!$A:$A,0),2)</f>
        <v>929.56879713339436</v>
      </c>
      <c r="P59" s="219">
        <f>INDEX('Rate Assumptions'!$A:$B,MATCH(P$2,'Rate Assumptions'!$A:$A,0),2)</f>
        <v>929.56879713339436</v>
      </c>
      <c r="Q59" s="168">
        <f t="shared" si="5"/>
        <v>26195248.703219056</v>
      </c>
    </row>
    <row r="60" spans="1:17">
      <c r="A60" s="129" t="s">
        <v>147</v>
      </c>
      <c r="B60" s="117">
        <v>5773</v>
      </c>
      <c r="C60" s="163">
        <v>518</v>
      </c>
      <c r="D60" s="177">
        <v>9951</v>
      </c>
      <c r="E60" s="149">
        <v>6080</v>
      </c>
      <c r="F60" s="149">
        <v>525</v>
      </c>
      <c r="G60" s="180">
        <v>10093</v>
      </c>
      <c r="H60" s="326"/>
      <c r="I60" s="327"/>
      <c r="J60" s="328"/>
      <c r="K60" s="152">
        <f t="shared" si="2"/>
        <v>6387</v>
      </c>
      <c r="L60" s="152">
        <f t="shared" si="3"/>
        <v>532</v>
      </c>
      <c r="M60" s="152">
        <f t="shared" si="4"/>
        <v>10235</v>
      </c>
      <c r="N60" s="142">
        <f>INDEX('Rate Assumptions'!$A:$B,MATCH(N$2,'Rate Assumptions'!$A:$A,0),2)</f>
        <v>929.56879713339436</v>
      </c>
      <c r="O60" s="220">
        <f>INDEX('Rate Assumptions'!$A:$B,MATCH(O$2,'Rate Assumptions'!$A:$A,0),2)</f>
        <v>929.56879713339436</v>
      </c>
      <c r="P60" s="219">
        <f>INDEX('Rate Assumptions'!$A:$B,MATCH(P$2,'Rate Assumptions'!$A:$A,0),2)</f>
        <v>929.56879713339436</v>
      </c>
      <c r="Q60" s="168">
        <f t="shared" si="5"/>
        <v>15945823.146026246</v>
      </c>
    </row>
    <row r="61" spans="1:17">
      <c r="A61" s="129" t="s">
        <v>148</v>
      </c>
      <c r="B61" s="117">
        <v>3770</v>
      </c>
      <c r="C61" s="163">
        <v>171</v>
      </c>
      <c r="D61" s="177">
        <v>6322</v>
      </c>
      <c r="E61" s="149">
        <v>3795</v>
      </c>
      <c r="F61" s="149">
        <v>250</v>
      </c>
      <c r="G61" s="180">
        <v>7628</v>
      </c>
      <c r="H61" s="326"/>
      <c r="I61" s="327"/>
      <c r="J61" s="328"/>
      <c r="K61" s="152">
        <f t="shared" si="2"/>
        <v>3820</v>
      </c>
      <c r="L61" s="152">
        <f t="shared" si="3"/>
        <v>329</v>
      </c>
      <c r="M61" s="152">
        <f t="shared" si="4"/>
        <v>8934</v>
      </c>
      <c r="N61" s="142">
        <f>INDEX('Rate Assumptions'!$A:$B,MATCH(N$2,'Rate Assumptions'!$A:$A,0),2)</f>
        <v>929.56879713339436</v>
      </c>
      <c r="O61" s="220">
        <f>INDEX('Rate Assumptions'!$A:$B,MATCH(O$2,'Rate Assumptions'!$A:$A,0),2)</f>
        <v>929.56879713339436</v>
      </c>
      <c r="P61" s="219">
        <f>INDEX('Rate Assumptions'!$A:$B,MATCH(P$2,'Rate Assumptions'!$A:$A,0),2)</f>
        <v>929.56879713339436</v>
      </c>
      <c r="Q61" s="168">
        <f t="shared" si="5"/>
        <v>12161548.572896199</v>
      </c>
    </row>
    <row r="62" spans="1:17">
      <c r="A62" s="129" t="s">
        <v>149</v>
      </c>
      <c r="B62" s="117">
        <v>6047</v>
      </c>
      <c r="C62" s="163">
        <v>696</v>
      </c>
      <c r="D62" s="177">
        <v>11723</v>
      </c>
      <c r="E62" s="149">
        <v>5736</v>
      </c>
      <c r="F62" s="149">
        <v>902</v>
      </c>
      <c r="G62" s="180">
        <v>11570</v>
      </c>
      <c r="H62" s="326"/>
      <c r="I62" s="327"/>
      <c r="J62" s="328"/>
      <c r="K62" s="152">
        <f t="shared" si="2"/>
        <v>5425</v>
      </c>
      <c r="L62" s="152">
        <f t="shared" si="3"/>
        <v>1108</v>
      </c>
      <c r="M62" s="152">
        <f t="shared" si="4"/>
        <v>11417</v>
      </c>
      <c r="N62" s="142">
        <f>INDEX('Rate Assumptions'!$A:$B,MATCH(N$2,'Rate Assumptions'!$A:$A,0),2)</f>
        <v>929.56879713339436</v>
      </c>
      <c r="O62" s="220">
        <f>INDEX('Rate Assumptions'!$A:$B,MATCH(O$2,'Rate Assumptions'!$A:$A,0),2)</f>
        <v>929.56879713339436</v>
      </c>
      <c r="P62" s="219">
        <f>INDEX('Rate Assumptions'!$A:$B,MATCH(P$2,'Rate Assumptions'!$A:$A,0),2)</f>
        <v>929.56879713339436</v>
      </c>
      <c r="Q62" s="168">
        <f t="shared" si="5"/>
        <v>16685759.908544429</v>
      </c>
    </row>
    <row r="63" spans="1:17">
      <c r="A63" s="129" t="s">
        <v>150</v>
      </c>
      <c r="B63" s="117">
        <v>827</v>
      </c>
      <c r="C63" s="163">
        <v>25</v>
      </c>
      <c r="D63" s="177">
        <v>1257</v>
      </c>
      <c r="E63" s="149">
        <v>837</v>
      </c>
      <c r="F63" s="149">
        <v>40</v>
      </c>
      <c r="G63" s="180">
        <v>1242</v>
      </c>
      <c r="H63" s="326"/>
      <c r="I63" s="327"/>
      <c r="J63" s="328"/>
      <c r="K63" s="152">
        <f t="shared" si="2"/>
        <v>847</v>
      </c>
      <c r="L63" s="152">
        <f t="shared" si="3"/>
        <v>55</v>
      </c>
      <c r="M63" s="152">
        <f t="shared" si="4"/>
        <v>1227</v>
      </c>
      <c r="N63" s="142">
        <f>INDEX('Rate Assumptions'!$A:$B,MATCH(N$2,'Rate Assumptions'!$A:$A,0),2)</f>
        <v>929.56879713339436</v>
      </c>
      <c r="O63" s="220">
        <f>INDEX('Rate Assumptions'!$A:$B,MATCH(O$2,'Rate Assumptions'!$A:$A,0),2)</f>
        <v>929.56879713339436</v>
      </c>
      <c r="P63" s="219">
        <f>INDEX('Rate Assumptions'!$A:$B,MATCH(P$2,'Rate Assumptions'!$A:$A,0),2)</f>
        <v>929.56879713339436</v>
      </c>
      <c r="Q63" s="168">
        <f t="shared" si="5"/>
        <v>1979051.9690969964</v>
      </c>
    </row>
    <row r="64" spans="1:17">
      <c r="A64" s="129" t="s">
        <v>151</v>
      </c>
      <c r="B64" s="117">
        <v>2329</v>
      </c>
      <c r="C64" s="163">
        <v>40</v>
      </c>
      <c r="D64" s="177">
        <v>6265</v>
      </c>
      <c r="E64" s="149">
        <v>1986</v>
      </c>
      <c r="F64" s="149">
        <v>207</v>
      </c>
      <c r="G64" s="180">
        <v>5980</v>
      </c>
      <c r="H64" s="326"/>
      <c r="I64" s="327"/>
      <c r="J64" s="328"/>
      <c r="K64" s="152">
        <f t="shared" si="2"/>
        <v>1643</v>
      </c>
      <c r="L64" s="152">
        <f t="shared" si="3"/>
        <v>374</v>
      </c>
      <c r="M64" s="152">
        <f t="shared" si="4"/>
        <v>5695</v>
      </c>
      <c r="N64" s="142">
        <f>INDEX('Rate Assumptions'!$A:$B,MATCH(N$2,'Rate Assumptions'!$A:$A,0),2)</f>
        <v>929.56879713339436</v>
      </c>
      <c r="O64" s="220">
        <f>INDEX('Rate Assumptions'!$A:$B,MATCH(O$2,'Rate Assumptions'!$A:$A,0),2)</f>
        <v>929.56879713339436</v>
      </c>
      <c r="P64" s="219">
        <f>INDEX('Rate Assumptions'!$A:$B,MATCH(P$2,'Rate Assumptions'!$A:$A,0),2)</f>
        <v>929.56879713339436</v>
      </c>
      <c r="Q64" s="168">
        <f t="shared" si="5"/>
        <v>7168834.5634927368</v>
      </c>
    </row>
    <row r="65" spans="1:17">
      <c r="A65" s="129" t="s">
        <v>152</v>
      </c>
      <c r="B65" s="117">
        <v>3750</v>
      </c>
      <c r="C65" s="163">
        <v>982</v>
      </c>
      <c r="D65" s="177">
        <v>10017</v>
      </c>
      <c r="E65" s="149">
        <v>4052</v>
      </c>
      <c r="F65" s="149">
        <v>953</v>
      </c>
      <c r="G65" s="180">
        <v>10166</v>
      </c>
      <c r="H65" s="326"/>
      <c r="I65" s="327"/>
      <c r="J65" s="328"/>
      <c r="K65" s="152">
        <f t="shared" si="2"/>
        <v>4354</v>
      </c>
      <c r="L65" s="152">
        <f t="shared" si="3"/>
        <v>924</v>
      </c>
      <c r="M65" s="152">
        <f t="shared" si="4"/>
        <v>10315</v>
      </c>
      <c r="N65" s="142">
        <f>INDEX('Rate Assumptions'!$A:$B,MATCH(N$2,'Rate Assumptions'!$A:$A,0),2)</f>
        <v>929.56879713339436</v>
      </c>
      <c r="O65" s="220">
        <f>INDEX('Rate Assumptions'!$A:$B,MATCH(O$2,'Rate Assumptions'!$A:$A,0),2)</f>
        <v>929.56879713339436</v>
      </c>
      <c r="P65" s="219">
        <f>INDEX('Rate Assumptions'!$A:$B,MATCH(P$2,'Rate Assumptions'!$A:$A,0),2)</f>
        <v>929.56879713339436</v>
      </c>
      <c r="Q65" s="168">
        <f t="shared" si="5"/>
        <v>14494766.253701018</v>
      </c>
    </row>
    <row r="66" spans="1:17">
      <c r="A66" s="129" t="s">
        <v>153</v>
      </c>
      <c r="B66" s="117">
        <v>6332</v>
      </c>
      <c r="C66" s="163">
        <v>1405</v>
      </c>
      <c r="D66" s="177">
        <v>16096</v>
      </c>
      <c r="E66" s="149">
        <v>5670</v>
      </c>
      <c r="F66" s="149">
        <v>1364</v>
      </c>
      <c r="G66" s="180">
        <v>14923</v>
      </c>
      <c r="H66" s="326"/>
      <c r="I66" s="327"/>
      <c r="J66" s="328"/>
      <c r="K66" s="152">
        <f t="shared" si="2"/>
        <v>5008</v>
      </c>
      <c r="L66" s="152">
        <f t="shared" si="3"/>
        <v>1323</v>
      </c>
      <c r="M66" s="152">
        <f t="shared" si="4"/>
        <v>13750</v>
      </c>
      <c r="N66" s="142">
        <f>INDEX('Rate Assumptions'!$A:$B,MATCH(N$2,'Rate Assumptions'!$A:$A,0),2)</f>
        <v>929.56879713339436</v>
      </c>
      <c r="O66" s="220">
        <f>INDEX('Rate Assumptions'!$A:$B,MATCH(O$2,'Rate Assumptions'!$A:$A,0),2)</f>
        <v>929.56879713339436</v>
      </c>
      <c r="P66" s="219">
        <f>INDEX('Rate Assumptions'!$A:$B,MATCH(P$2,'Rate Assumptions'!$A:$A,0),2)</f>
        <v>929.56879713339436</v>
      </c>
      <c r="Q66" s="168">
        <f t="shared" si="5"/>
        <v>18666671.015235692</v>
      </c>
    </row>
    <row r="67" spans="1:17">
      <c r="A67" s="129" t="s">
        <v>154</v>
      </c>
      <c r="B67" s="117">
        <v>6930</v>
      </c>
      <c r="C67" s="163">
        <v>665</v>
      </c>
      <c r="D67" s="177">
        <v>15756</v>
      </c>
      <c r="E67" s="149">
        <v>6752</v>
      </c>
      <c r="F67" s="149">
        <v>742</v>
      </c>
      <c r="G67" s="180">
        <v>15174</v>
      </c>
      <c r="H67" s="326"/>
      <c r="I67" s="327"/>
      <c r="J67" s="328"/>
      <c r="K67" s="152">
        <f t="shared" si="2"/>
        <v>6574</v>
      </c>
      <c r="L67" s="152">
        <f t="shared" si="3"/>
        <v>819</v>
      </c>
      <c r="M67" s="152">
        <f t="shared" si="4"/>
        <v>14592</v>
      </c>
      <c r="N67" s="142">
        <f>INDEX('Rate Assumptions'!$A:$B,MATCH(N$2,'Rate Assumptions'!$A:$A,0),2)</f>
        <v>929.56879713339436</v>
      </c>
      <c r="O67" s="220">
        <f>INDEX('Rate Assumptions'!$A:$B,MATCH(O$2,'Rate Assumptions'!$A:$A,0),2)</f>
        <v>929.56879713339436</v>
      </c>
      <c r="P67" s="219">
        <f>INDEX('Rate Assumptions'!$A:$B,MATCH(P$2,'Rate Assumptions'!$A:$A,0),2)</f>
        <v>929.56879713339436</v>
      </c>
      <c r="Q67" s="168">
        <f t="shared" si="5"/>
        <v>20436570.004977673</v>
      </c>
    </row>
    <row r="68" spans="1:17">
      <c r="A68" s="129" t="s">
        <v>155</v>
      </c>
      <c r="B68" s="117">
        <v>15775</v>
      </c>
      <c r="C68" s="163">
        <v>1905</v>
      </c>
      <c r="D68" s="177">
        <v>30797</v>
      </c>
      <c r="E68" s="149">
        <v>16377</v>
      </c>
      <c r="F68" s="149">
        <v>1994</v>
      </c>
      <c r="G68" s="180">
        <v>31565</v>
      </c>
      <c r="H68" s="326"/>
      <c r="I68" s="327"/>
      <c r="J68" s="328"/>
      <c r="K68" s="152">
        <f t="shared" si="2"/>
        <v>16979</v>
      </c>
      <c r="L68" s="152">
        <f t="shared" si="3"/>
        <v>2083</v>
      </c>
      <c r="M68" s="152">
        <f t="shared" si="4"/>
        <v>32333</v>
      </c>
      <c r="N68" s="142">
        <f>INDEX('Rate Assumptions'!$A:$B,MATCH(N$2,'Rate Assumptions'!$A:$A,0),2)</f>
        <v>929.56879713339436</v>
      </c>
      <c r="O68" s="220">
        <f>INDEX('Rate Assumptions'!$A:$B,MATCH(O$2,'Rate Assumptions'!$A:$A,0),2)</f>
        <v>929.56879713339436</v>
      </c>
      <c r="P68" s="219">
        <f>INDEX('Rate Assumptions'!$A:$B,MATCH(P$2,'Rate Assumptions'!$A:$A,0),2)</f>
        <v>929.56879713339436</v>
      </c>
      <c r="Q68" s="168">
        <f t="shared" ref="Q68:Q75" si="6">SUMPRODUCT(K68:M68,N68:P68)</f>
        <v>47775188.3286708</v>
      </c>
    </row>
    <row r="69" spans="1:17">
      <c r="A69" s="129" t="s">
        <v>156</v>
      </c>
      <c r="B69" s="117">
        <v>9497</v>
      </c>
      <c r="C69" s="163">
        <v>1123</v>
      </c>
      <c r="D69" s="177">
        <v>22356</v>
      </c>
      <c r="E69" s="149">
        <v>9814</v>
      </c>
      <c r="F69" s="149">
        <v>1172</v>
      </c>
      <c r="G69" s="180">
        <v>21602</v>
      </c>
      <c r="H69" s="326"/>
      <c r="I69" s="327"/>
      <c r="J69" s="328"/>
      <c r="K69" s="152">
        <f t="shared" ref="K69:K75" si="7">E69+(E69-B69)</f>
        <v>10131</v>
      </c>
      <c r="L69" s="152">
        <f t="shared" ref="L69:L75" si="8">F69+(F69-C69)</f>
        <v>1221</v>
      </c>
      <c r="M69" s="152">
        <f t="shared" ref="M69:M75" si="9">G69+(G69-D69)</f>
        <v>20848</v>
      </c>
      <c r="N69" s="142">
        <f>INDEX('Rate Assumptions'!$A:$B,MATCH(N$2,'Rate Assumptions'!$A:$A,0),2)</f>
        <v>929.56879713339436</v>
      </c>
      <c r="O69" s="220">
        <f>INDEX('Rate Assumptions'!$A:$B,MATCH(O$2,'Rate Assumptions'!$A:$A,0),2)</f>
        <v>929.56879713339436</v>
      </c>
      <c r="P69" s="219">
        <f>INDEX('Rate Assumptions'!$A:$B,MATCH(P$2,'Rate Assumptions'!$A:$A,0),2)</f>
        <v>929.56879713339436</v>
      </c>
      <c r="Q69" s="168">
        <f t="shared" si="6"/>
        <v>29932115.267695297</v>
      </c>
    </row>
    <row r="70" spans="1:17">
      <c r="A70" s="129" t="s">
        <v>157</v>
      </c>
      <c r="B70" s="117">
        <v>7190</v>
      </c>
      <c r="C70" s="163">
        <v>352</v>
      </c>
      <c r="D70" s="177">
        <v>12057</v>
      </c>
      <c r="E70" s="149">
        <v>6938</v>
      </c>
      <c r="F70" s="149">
        <v>308</v>
      </c>
      <c r="G70" s="180">
        <v>11759</v>
      </c>
      <c r="H70" s="326"/>
      <c r="I70" s="327"/>
      <c r="J70" s="328"/>
      <c r="K70" s="152">
        <f t="shared" si="7"/>
        <v>6686</v>
      </c>
      <c r="L70" s="152">
        <f t="shared" si="8"/>
        <v>264</v>
      </c>
      <c r="M70" s="152">
        <f t="shared" si="9"/>
        <v>11461</v>
      </c>
      <c r="N70" s="142">
        <f>INDEX('Rate Assumptions'!$A:$B,MATCH(N$2,'Rate Assumptions'!$A:$A,0),2)</f>
        <v>929.56879713339436</v>
      </c>
      <c r="O70" s="220">
        <f>INDEX('Rate Assumptions'!$A:$B,MATCH(O$2,'Rate Assumptions'!$A:$A,0),2)</f>
        <v>929.56879713339436</v>
      </c>
      <c r="P70" s="219">
        <f>INDEX('Rate Assumptions'!$A:$B,MATCH(P$2,'Rate Assumptions'!$A:$A,0),2)</f>
        <v>929.56879713339436</v>
      </c>
      <c r="Q70" s="168">
        <f t="shared" si="6"/>
        <v>17114291.124022923</v>
      </c>
    </row>
    <row r="71" spans="1:17">
      <c r="A71" s="129" t="s">
        <v>158</v>
      </c>
      <c r="B71" s="117">
        <v>3250</v>
      </c>
      <c r="C71" s="163">
        <v>378</v>
      </c>
      <c r="D71" s="177">
        <v>6156</v>
      </c>
      <c r="E71" s="149">
        <v>3224</v>
      </c>
      <c r="F71" s="149">
        <v>342</v>
      </c>
      <c r="G71" s="180">
        <v>6092</v>
      </c>
      <c r="H71" s="326"/>
      <c r="I71" s="327"/>
      <c r="J71" s="328"/>
      <c r="K71" s="152">
        <f t="shared" si="7"/>
        <v>3198</v>
      </c>
      <c r="L71" s="152">
        <f t="shared" si="8"/>
        <v>306</v>
      </c>
      <c r="M71" s="152">
        <f t="shared" si="9"/>
        <v>6028</v>
      </c>
      <c r="N71" s="142">
        <f>INDEX('Rate Assumptions'!$A:$B,MATCH(N$2,'Rate Assumptions'!$A:$A,0),2)</f>
        <v>929.56879713339436</v>
      </c>
      <c r="O71" s="220">
        <f>INDEX('Rate Assumptions'!$A:$B,MATCH(O$2,'Rate Assumptions'!$A:$A,0),2)</f>
        <v>929.56879713339436</v>
      </c>
      <c r="P71" s="219">
        <f>INDEX('Rate Assumptions'!$A:$B,MATCH(P$2,'Rate Assumptions'!$A:$A,0),2)</f>
        <v>929.56879713339436</v>
      </c>
      <c r="Q71" s="168">
        <f t="shared" si="6"/>
        <v>8860649.7742755152</v>
      </c>
    </row>
    <row r="72" spans="1:17">
      <c r="A72" s="129" t="s">
        <v>159</v>
      </c>
      <c r="B72" s="117">
        <v>1381</v>
      </c>
      <c r="C72" s="163">
        <v>124</v>
      </c>
      <c r="D72" s="177">
        <v>3017</v>
      </c>
      <c r="E72" s="149">
        <v>1506</v>
      </c>
      <c r="F72" s="149">
        <v>143</v>
      </c>
      <c r="G72" s="180">
        <v>3177</v>
      </c>
      <c r="H72" s="326"/>
      <c r="I72" s="327"/>
      <c r="J72" s="328"/>
      <c r="K72" s="152">
        <f t="shared" si="7"/>
        <v>1631</v>
      </c>
      <c r="L72" s="152">
        <f t="shared" si="8"/>
        <v>162</v>
      </c>
      <c r="M72" s="152">
        <f t="shared" si="9"/>
        <v>3337</v>
      </c>
      <c r="N72" s="142">
        <f>INDEX('Rate Assumptions'!$A:$B,MATCH(N$2,'Rate Assumptions'!$A:$A,0),2)</f>
        <v>929.56879713339436</v>
      </c>
      <c r="O72" s="220">
        <f>INDEX('Rate Assumptions'!$A:$B,MATCH(O$2,'Rate Assumptions'!$A:$A,0),2)</f>
        <v>929.56879713339436</v>
      </c>
      <c r="P72" s="219">
        <f>INDEX('Rate Assumptions'!$A:$B,MATCH(P$2,'Rate Assumptions'!$A:$A,0),2)</f>
        <v>929.56879713339436</v>
      </c>
      <c r="Q72" s="168">
        <f t="shared" si="6"/>
        <v>4768687.9292943133</v>
      </c>
    </row>
    <row r="73" spans="1:17" ht="18">
      <c r="A73" s="129" t="s">
        <v>166</v>
      </c>
      <c r="B73" s="117">
        <v>2916</v>
      </c>
      <c r="C73" s="163">
        <v>342</v>
      </c>
      <c r="D73" s="177">
        <v>7008</v>
      </c>
      <c r="E73" s="149">
        <v>2780</v>
      </c>
      <c r="F73" s="149">
        <v>215</v>
      </c>
      <c r="G73" s="180">
        <v>6054</v>
      </c>
      <c r="H73" s="326"/>
      <c r="I73" s="327"/>
      <c r="J73" s="328"/>
      <c r="K73" s="152">
        <f t="shared" si="7"/>
        <v>2644</v>
      </c>
      <c r="L73" s="152">
        <f t="shared" si="8"/>
        <v>88</v>
      </c>
      <c r="M73" s="152">
        <f t="shared" si="9"/>
        <v>5100</v>
      </c>
      <c r="N73" s="142">
        <f>INDEX('Rate Assumptions'!$A:$B,MATCH(N$2,'Rate Assumptions'!$A:$A,0),2)</f>
        <v>929.56879713339436</v>
      </c>
      <c r="O73" s="220">
        <f>INDEX('Rate Assumptions'!$A:$B,MATCH(O$2,'Rate Assumptions'!$A:$A,0),2)</f>
        <v>929.56879713339436</v>
      </c>
      <c r="P73" s="219">
        <f>INDEX('Rate Assumptions'!$A:$B,MATCH(P$2,'Rate Assumptions'!$A:$A,0),2)</f>
        <v>929.56879713339436</v>
      </c>
      <c r="Q73" s="168">
        <f t="shared" si="6"/>
        <v>7280382.8191487445</v>
      </c>
    </row>
    <row r="74" spans="1:17">
      <c r="A74" s="129" t="s">
        <v>160</v>
      </c>
      <c r="B74" s="117">
        <v>9065</v>
      </c>
      <c r="C74" s="163">
        <v>914</v>
      </c>
      <c r="D74" s="177">
        <v>18081</v>
      </c>
      <c r="E74" s="149">
        <v>9094</v>
      </c>
      <c r="F74" s="149">
        <v>1000</v>
      </c>
      <c r="G74" s="180">
        <v>18013</v>
      </c>
      <c r="H74" s="326"/>
      <c r="I74" s="327"/>
      <c r="J74" s="328"/>
      <c r="K74" s="152">
        <f t="shared" si="7"/>
        <v>9123</v>
      </c>
      <c r="L74" s="152">
        <f t="shared" si="8"/>
        <v>1086</v>
      </c>
      <c r="M74" s="152">
        <f t="shared" si="9"/>
        <v>17945</v>
      </c>
      <c r="N74" s="142">
        <f>INDEX('Rate Assumptions'!$A:$B,MATCH(N$2,'Rate Assumptions'!$A:$A,0),2)</f>
        <v>929.56879713339436</v>
      </c>
      <c r="O74" s="220">
        <f>INDEX('Rate Assumptions'!$A:$B,MATCH(O$2,'Rate Assumptions'!$A:$A,0),2)</f>
        <v>929.56879713339436</v>
      </c>
      <c r="P74" s="219">
        <f>INDEX('Rate Assumptions'!$A:$B,MATCH(P$2,'Rate Assumptions'!$A:$A,0),2)</f>
        <v>929.56879713339436</v>
      </c>
      <c r="Q74" s="168">
        <f t="shared" si="6"/>
        <v>26171079.914493583</v>
      </c>
    </row>
    <row r="75" spans="1:17">
      <c r="A75" s="129" t="s">
        <v>161</v>
      </c>
      <c r="B75" s="117">
        <v>4370</v>
      </c>
      <c r="C75" s="163">
        <v>382</v>
      </c>
      <c r="D75" s="177">
        <v>8067</v>
      </c>
      <c r="E75" s="149">
        <v>4137</v>
      </c>
      <c r="F75" s="149">
        <v>360</v>
      </c>
      <c r="G75" s="180">
        <v>7764</v>
      </c>
      <c r="H75" s="326"/>
      <c r="I75" s="327"/>
      <c r="J75" s="328"/>
      <c r="K75" s="152">
        <f t="shared" si="7"/>
        <v>3904</v>
      </c>
      <c r="L75" s="152">
        <f t="shared" si="8"/>
        <v>338</v>
      </c>
      <c r="M75" s="152">
        <f t="shared" si="9"/>
        <v>7461</v>
      </c>
      <c r="N75" s="142">
        <f>INDEX('Rate Assumptions'!$A:$B,MATCH(N$2,'Rate Assumptions'!$A:$A,0),2)</f>
        <v>929.56879713339436</v>
      </c>
      <c r="O75" s="220">
        <f>INDEX('Rate Assumptions'!$A:$B,MATCH(O$2,'Rate Assumptions'!$A:$A,0),2)</f>
        <v>929.56879713339436</v>
      </c>
      <c r="P75" s="219">
        <f>INDEX('Rate Assumptions'!$A:$B,MATCH(P$2,'Rate Assumptions'!$A:$A,0),2)</f>
        <v>929.56879713339436</v>
      </c>
      <c r="Q75" s="168">
        <f t="shared" si="6"/>
        <v>10878743.632852115</v>
      </c>
    </row>
    <row r="76" spans="1:17" s="150" customFormat="1">
      <c r="A76" s="164" t="s">
        <v>162</v>
      </c>
      <c r="B76" s="165">
        <f t="shared" ref="B76:G76" si="10">SUM(B4:B75)</f>
        <v>460621</v>
      </c>
      <c r="C76" s="165">
        <f t="shared" si="10"/>
        <v>63006</v>
      </c>
      <c r="D76" s="181">
        <f t="shared" si="10"/>
        <v>1003618</v>
      </c>
      <c r="E76" s="165">
        <f t="shared" si="10"/>
        <v>448989</v>
      </c>
      <c r="F76" s="165">
        <f t="shared" si="10"/>
        <v>60500</v>
      </c>
      <c r="G76" s="181">
        <f t="shared" si="10"/>
        <v>989748</v>
      </c>
      <c r="H76" s="166"/>
      <c r="I76" s="166"/>
      <c r="J76" s="178"/>
      <c r="K76" s="167">
        <f>SUM(K4:K75)</f>
        <v>437357</v>
      </c>
      <c r="L76" s="167">
        <f>SUM(L4:L75)</f>
        <v>57994</v>
      </c>
      <c r="M76" s="215">
        <f>SUM(M4:M75)</f>
        <v>975878</v>
      </c>
      <c r="N76" s="142"/>
      <c r="O76" s="220"/>
      <c r="P76" s="219"/>
      <c r="Q76" s="171">
        <f>SUM(Q4:Q75)</f>
        <v>1367608571.8377664</v>
      </c>
    </row>
  </sheetData>
  <autoFilter ref="A3:Q3"/>
  <mergeCells count="1">
    <mergeCell ref="H4:J75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0"/>
  <sheetViews>
    <sheetView workbookViewId="0">
      <pane xSplit="1" ySplit="3" topLeftCell="BP55" activePane="bottomRight" state="frozen"/>
      <selection pane="topRight" activeCell="B1" sqref="B1"/>
      <selection pane="bottomLeft" activeCell="A4" sqref="A4"/>
      <selection pane="bottomRight" activeCell="CC80" sqref="CC80"/>
    </sheetView>
  </sheetViews>
  <sheetFormatPr defaultColWidth="7.75" defaultRowHeight="15.75"/>
  <cols>
    <col min="1" max="1" width="16.375" style="223" bestFit="1" customWidth="1"/>
    <col min="2" max="3" width="9" style="226" customWidth="1"/>
    <col min="4" max="4" width="12.75" style="226" customWidth="1"/>
    <col min="5" max="5" width="11.25" style="226" customWidth="1"/>
    <col min="6" max="8" width="9" style="226" customWidth="1"/>
    <col min="9" max="9" width="9" style="228" customWidth="1"/>
    <col min="10" max="11" width="9" style="226" customWidth="1"/>
    <col min="12" max="12" width="12.75" style="226" customWidth="1"/>
    <col min="13" max="13" width="11.25" style="226" customWidth="1"/>
    <col min="14" max="16" width="9" style="226" customWidth="1"/>
    <col min="17" max="17" width="9" style="228" customWidth="1"/>
    <col min="18" max="19" width="9" style="226" customWidth="1"/>
    <col min="20" max="20" width="12.75" style="226" customWidth="1"/>
    <col min="21" max="21" width="11.25" style="226" customWidth="1"/>
    <col min="22" max="24" width="9" style="226" customWidth="1"/>
    <col min="25" max="25" width="9" style="234" customWidth="1"/>
    <col min="26" max="27" width="9" style="226" customWidth="1"/>
    <col min="28" max="28" width="12.75" style="226" customWidth="1"/>
    <col min="29" max="29" width="11.25" style="226" customWidth="1"/>
    <col min="30" max="32" width="9" style="226" customWidth="1"/>
    <col min="33" max="33" width="9" style="228" customWidth="1"/>
    <col min="34" max="35" width="9" style="226" customWidth="1"/>
    <col min="36" max="36" width="12.75" style="226" customWidth="1"/>
    <col min="37" max="37" width="11.25" style="226" customWidth="1"/>
    <col min="38" max="40" width="9" style="226" customWidth="1"/>
    <col min="41" max="41" width="9" style="228" customWidth="1"/>
    <col min="42" max="43" width="9" style="226" customWidth="1"/>
    <col min="44" max="44" width="12.75" style="226" customWidth="1"/>
    <col min="45" max="45" width="11.25" style="226" customWidth="1"/>
    <col min="46" max="48" width="9" style="226" customWidth="1"/>
    <col min="49" max="49" width="9" style="234" customWidth="1"/>
    <col min="50" max="51" width="9" style="226" customWidth="1"/>
    <col min="52" max="52" width="12.75" style="226" customWidth="1"/>
    <col min="53" max="53" width="11.25" style="226" customWidth="1"/>
    <col min="54" max="56" width="9" style="226" customWidth="1"/>
    <col min="57" max="57" width="9" style="228" customWidth="1"/>
    <col min="58" max="59" width="9" style="226" customWidth="1"/>
    <col min="60" max="60" width="12.75" style="226" customWidth="1"/>
    <col min="61" max="61" width="11.25" style="226" customWidth="1"/>
    <col min="62" max="64" width="9" style="226" customWidth="1"/>
    <col min="65" max="65" width="9" style="228" customWidth="1"/>
    <col min="66" max="67" width="9" style="226" customWidth="1"/>
    <col min="68" max="68" width="12.75" style="226" customWidth="1"/>
    <col min="69" max="69" width="11.25" style="226" customWidth="1"/>
    <col min="70" max="72" width="9" style="226" customWidth="1"/>
    <col min="73" max="73" width="9" style="234" customWidth="1"/>
    <col min="74" max="75" width="9" style="264" customWidth="1"/>
    <col min="76" max="76" width="12.75" style="264" customWidth="1"/>
    <col min="77" max="77" width="11.25" style="264" customWidth="1"/>
    <col min="78" max="80" width="9" style="264" customWidth="1"/>
    <col min="81" max="81" width="10.125" style="265" bestFit="1" customWidth="1"/>
    <col min="82" max="83" width="9" style="264" customWidth="1"/>
    <col min="84" max="84" width="12.75" style="264" customWidth="1"/>
    <col min="85" max="85" width="11.25" style="264" customWidth="1"/>
    <col min="86" max="88" width="9" style="264" customWidth="1"/>
    <col min="89" max="89" width="9" style="265" customWidth="1"/>
    <col min="90" max="91" width="9" style="264" customWidth="1"/>
    <col min="92" max="92" width="12.75" style="264" customWidth="1"/>
    <col min="93" max="93" width="11.25" style="264" customWidth="1"/>
    <col min="94" max="96" width="9" style="264" customWidth="1"/>
    <col min="97" max="97" width="9" style="266" customWidth="1"/>
    <col min="98" max="99" width="9" style="264" customWidth="1"/>
    <col min="100" max="100" width="12.75" style="264" customWidth="1"/>
    <col min="101" max="101" width="11.25" style="264" customWidth="1"/>
    <col min="102" max="104" width="9" style="264" customWidth="1"/>
    <col min="105" max="105" width="10.125" style="265" bestFit="1" customWidth="1"/>
    <col min="106" max="107" width="9" style="264" customWidth="1"/>
    <col min="108" max="108" width="12.75" style="264" customWidth="1"/>
    <col min="109" max="109" width="11.25" style="264" customWidth="1"/>
    <col min="110" max="112" width="9" style="264" customWidth="1"/>
    <col min="113" max="113" width="9" style="265" customWidth="1"/>
    <col min="114" max="115" width="9" style="264" customWidth="1"/>
    <col min="116" max="116" width="12.75" style="264" customWidth="1"/>
    <col min="117" max="117" width="11.25" style="264" customWidth="1"/>
    <col min="118" max="121" width="9" style="264" customWidth="1"/>
    <col min="122" max="123" width="9" style="279" customWidth="1"/>
    <col min="124" max="124" width="12.75" style="279" customWidth="1"/>
    <col min="125" max="125" width="11.25" style="279" customWidth="1"/>
    <col min="126" max="128" width="9" style="279" customWidth="1"/>
    <col min="129" max="129" width="9" style="280" customWidth="1"/>
    <col min="130" max="130" width="22.75" style="279" bestFit="1" customWidth="1"/>
    <col min="131" max="131" width="9" style="279" customWidth="1"/>
    <col min="132" max="132" width="12.75" style="279" customWidth="1"/>
    <col min="133" max="133" width="11.25" style="279" customWidth="1"/>
    <col min="134" max="136" width="9" style="279" customWidth="1"/>
    <col min="137" max="137" width="9" style="280" customWidth="1"/>
    <col min="138" max="139" width="9" style="279" customWidth="1"/>
    <col min="140" max="140" width="12.75" style="279" customWidth="1"/>
    <col min="141" max="141" width="11.25" style="279" customWidth="1"/>
    <col min="142" max="144" width="9" style="279" customWidth="1"/>
    <col min="145" max="145" width="9" style="281" customWidth="1"/>
    <col min="146" max="146" width="16.625" style="301" bestFit="1" customWidth="1"/>
    <col min="147" max="16384" width="7.75" style="221"/>
  </cols>
  <sheetData>
    <row r="1" spans="1:146" s="252" customFormat="1">
      <c r="A1" s="251"/>
      <c r="B1" s="230" t="s">
        <v>66</v>
      </c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3"/>
      <c r="Z1" s="230" t="s">
        <v>67</v>
      </c>
      <c r="AA1" s="231"/>
      <c r="AB1" s="231"/>
      <c r="AC1" s="231"/>
      <c r="AD1" s="231"/>
      <c r="AE1" s="231"/>
      <c r="AF1" s="231"/>
      <c r="AG1" s="232"/>
      <c r="AH1" s="231"/>
      <c r="AI1" s="231"/>
      <c r="AJ1" s="231"/>
      <c r="AK1" s="231"/>
      <c r="AL1" s="231"/>
      <c r="AM1" s="231"/>
      <c r="AN1" s="231"/>
      <c r="AO1" s="232"/>
      <c r="AP1" s="231"/>
      <c r="AQ1" s="231"/>
      <c r="AR1" s="231"/>
      <c r="AS1" s="231"/>
      <c r="AT1" s="231"/>
      <c r="AU1" s="231"/>
      <c r="AV1" s="231"/>
      <c r="AW1" s="233"/>
      <c r="AX1" s="230" t="s">
        <v>25</v>
      </c>
      <c r="AY1" s="231"/>
      <c r="AZ1" s="231"/>
      <c r="BA1" s="231"/>
      <c r="BB1" s="231"/>
      <c r="BC1" s="231"/>
      <c r="BD1" s="231"/>
      <c r="BE1" s="232"/>
      <c r="BF1" s="231"/>
      <c r="BG1" s="231"/>
      <c r="BH1" s="231"/>
      <c r="BI1" s="231"/>
      <c r="BJ1" s="231"/>
      <c r="BK1" s="231"/>
      <c r="BL1" s="231"/>
      <c r="BM1" s="232"/>
      <c r="BN1" s="231"/>
      <c r="BO1" s="231"/>
      <c r="BP1" s="231"/>
      <c r="BQ1" s="231"/>
      <c r="BR1" s="231"/>
      <c r="BS1" s="231"/>
      <c r="BT1" s="231"/>
      <c r="BU1" s="233"/>
      <c r="BV1" s="253" t="s">
        <v>77</v>
      </c>
      <c r="BW1" s="253"/>
      <c r="BX1" s="253"/>
      <c r="BY1" s="253"/>
      <c r="BZ1" s="253"/>
      <c r="CA1" s="253"/>
      <c r="CB1" s="253"/>
      <c r="CC1" s="254"/>
      <c r="CD1" s="253"/>
      <c r="CE1" s="253"/>
      <c r="CF1" s="253"/>
      <c r="CG1" s="253"/>
      <c r="CH1" s="253"/>
      <c r="CI1" s="253"/>
      <c r="CJ1" s="253"/>
      <c r="CK1" s="254"/>
      <c r="CL1" s="253"/>
      <c r="CM1" s="253"/>
      <c r="CN1" s="253"/>
      <c r="CO1" s="253"/>
      <c r="CP1" s="253"/>
      <c r="CQ1" s="253"/>
      <c r="CR1" s="253"/>
      <c r="CS1" s="255"/>
      <c r="CT1" s="253" t="s">
        <v>177</v>
      </c>
      <c r="CU1" s="253"/>
      <c r="CV1" s="253"/>
      <c r="CW1" s="253"/>
      <c r="CX1" s="253"/>
      <c r="CY1" s="253"/>
      <c r="CZ1" s="253"/>
      <c r="DA1" s="254"/>
      <c r="DB1" s="253"/>
      <c r="DC1" s="253"/>
      <c r="DD1" s="253"/>
      <c r="DE1" s="253"/>
      <c r="DF1" s="253"/>
      <c r="DG1" s="253"/>
      <c r="DH1" s="253"/>
      <c r="DI1" s="254"/>
      <c r="DJ1" s="253"/>
      <c r="DK1" s="253"/>
      <c r="DL1" s="253"/>
      <c r="DM1" s="253"/>
      <c r="DN1" s="253"/>
      <c r="DO1" s="253"/>
      <c r="DP1" s="253"/>
      <c r="DQ1" s="255"/>
      <c r="DR1" s="270" t="s">
        <v>169</v>
      </c>
      <c r="DS1" s="270"/>
      <c r="DT1" s="270"/>
      <c r="DU1" s="270"/>
      <c r="DV1" s="270"/>
      <c r="DW1" s="270"/>
      <c r="DX1" s="270"/>
      <c r="DY1" s="271"/>
      <c r="DZ1" s="270"/>
      <c r="EA1" s="270"/>
      <c r="EB1" s="270"/>
      <c r="EC1" s="270"/>
      <c r="ED1" s="270"/>
      <c r="EE1" s="270"/>
      <c r="EF1" s="270"/>
      <c r="EG1" s="271"/>
      <c r="EH1" s="270"/>
      <c r="EI1" s="270"/>
      <c r="EJ1" s="270"/>
      <c r="EK1" s="270"/>
      <c r="EL1" s="270"/>
      <c r="EM1" s="270"/>
      <c r="EN1" s="270"/>
      <c r="EO1" s="272"/>
      <c r="EP1" s="297"/>
    </row>
    <row r="2" spans="1:146" s="243" customFormat="1" ht="18.75">
      <c r="A2" s="224"/>
      <c r="B2" s="240" t="s">
        <v>55</v>
      </c>
      <c r="C2" s="240"/>
      <c r="D2" s="240"/>
      <c r="E2" s="240"/>
      <c r="F2" s="240"/>
      <c r="G2" s="240"/>
      <c r="H2" s="240"/>
      <c r="I2" s="241"/>
      <c r="J2" s="240" t="s">
        <v>172</v>
      </c>
      <c r="K2" s="240"/>
      <c r="L2" s="240"/>
      <c r="M2" s="240"/>
      <c r="N2" s="240"/>
      <c r="O2" s="240"/>
      <c r="P2" s="240"/>
      <c r="Q2" s="241"/>
      <c r="R2" s="240" t="s">
        <v>173</v>
      </c>
      <c r="S2" s="240"/>
      <c r="T2" s="240"/>
      <c r="U2" s="240"/>
      <c r="V2" s="240"/>
      <c r="W2" s="240"/>
      <c r="X2" s="240"/>
      <c r="Y2" s="242"/>
      <c r="Z2" s="240" t="s">
        <v>55</v>
      </c>
      <c r="AA2" s="240"/>
      <c r="AB2" s="240"/>
      <c r="AC2" s="240"/>
      <c r="AD2" s="240"/>
      <c r="AE2" s="240"/>
      <c r="AF2" s="240"/>
      <c r="AG2" s="241"/>
      <c r="AH2" s="240" t="s">
        <v>172</v>
      </c>
      <c r="AI2" s="240"/>
      <c r="AJ2" s="240"/>
      <c r="AK2" s="240"/>
      <c r="AL2" s="240"/>
      <c r="AM2" s="240"/>
      <c r="AN2" s="240"/>
      <c r="AO2" s="241"/>
      <c r="AP2" s="240" t="s">
        <v>173</v>
      </c>
      <c r="AQ2" s="240"/>
      <c r="AR2" s="240"/>
      <c r="AS2" s="240"/>
      <c r="AT2" s="240"/>
      <c r="AU2" s="240"/>
      <c r="AV2" s="240"/>
      <c r="AW2" s="242"/>
      <c r="AX2" s="240" t="s">
        <v>55</v>
      </c>
      <c r="AY2" s="240"/>
      <c r="AZ2" s="240"/>
      <c r="BA2" s="240"/>
      <c r="BB2" s="240"/>
      <c r="BC2" s="240"/>
      <c r="BD2" s="240"/>
      <c r="BE2" s="241"/>
      <c r="BF2" s="240" t="s">
        <v>172</v>
      </c>
      <c r="BG2" s="240"/>
      <c r="BH2" s="240"/>
      <c r="BI2" s="240"/>
      <c r="BJ2" s="240"/>
      <c r="BK2" s="240"/>
      <c r="BL2" s="240"/>
      <c r="BM2" s="241"/>
      <c r="BN2" s="240" t="s">
        <v>173</v>
      </c>
      <c r="BO2" s="240"/>
      <c r="BP2" s="240"/>
      <c r="BQ2" s="240"/>
      <c r="BR2" s="240"/>
      <c r="BS2" s="240"/>
      <c r="BT2" s="240"/>
      <c r="BU2" s="242"/>
      <c r="BV2" s="256" t="s">
        <v>55</v>
      </c>
      <c r="BW2" s="256"/>
      <c r="BX2" s="256"/>
      <c r="BY2" s="256"/>
      <c r="BZ2" s="256"/>
      <c r="CA2" s="256"/>
      <c r="CB2" s="256"/>
      <c r="CC2" s="257"/>
      <c r="CD2" s="256" t="s">
        <v>172</v>
      </c>
      <c r="CE2" s="256"/>
      <c r="CF2" s="256"/>
      <c r="CG2" s="256"/>
      <c r="CH2" s="256"/>
      <c r="CI2" s="256"/>
      <c r="CJ2" s="256"/>
      <c r="CK2" s="257"/>
      <c r="CL2" s="256" t="s">
        <v>173</v>
      </c>
      <c r="CM2" s="256"/>
      <c r="CN2" s="256"/>
      <c r="CO2" s="256"/>
      <c r="CP2" s="256"/>
      <c r="CQ2" s="256"/>
      <c r="CR2" s="256"/>
      <c r="CS2" s="258"/>
      <c r="CT2" s="256" t="s">
        <v>55</v>
      </c>
      <c r="CU2" s="256"/>
      <c r="CV2" s="256"/>
      <c r="CW2" s="256"/>
      <c r="CX2" s="256"/>
      <c r="CY2" s="256"/>
      <c r="CZ2" s="256"/>
      <c r="DA2" s="257"/>
      <c r="DB2" s="256" t="s">
        <v>172</v>
      </c>
      <c r="DC2" s="256"/>
      <c r="DD2" s="256"/>
      <c r="DE2" s="256"/>
      <c r="DF2" s="256"/>
      <c r="DG2" s="256"/>
      <c r="DH2" s="256"/>
      <c r="DI2" s="257"/>
      <c r="DJ2" s="256" t="s">
        <v>173</v>
      </c>
      <c r="DK2" s="256"/>
      <c r="DL2" s="256"/>
      <c r="DM2" s="256"/>
      <c r="DN2" s="256"/>
      <c r="DO2" s="256"/>
      <c r="DP2" s="256"/>
      <c r="DQ2" s="258"/>
      <c r="DR2" s="273" t="s">
        <v>55</v>
      </c>
      <c r="DS2" s="273"/>
      <c r="DT2" s="273"/>
      <c r="DU2" s="273"/>
      <c r="DV2" s="273"/>
      <c r="DX2" s="273"/>
      <c r="DY2" s="274"/>
      <c r="DZ2" s="273" t="s">
        <v>172</v>
      </c>
      <c r="EA2" s="273"/>
      <c r="EB2" s="273"/>
      <c r="EC2" s="273"/>
      <c r="ED2" s="273"/>
      <c r="EE2" s="276"/>
      <c r="EF2" s="276"/>
      <c r="EG2" s="274"/>
      <c r="EH2" s="273" t="s">
        <v>173</v>
      </c>
      <c r="EI2" s="273"/>
      <c r="EJ2" s="273"/>
      <c r="EK2" s="273"/>
      <c r="EL2" s="273"/>
      <c r="EM2" s="276"/>
      <c r="EN2" s="276"/>
      <c r="EO2" s="275"/>
      <c r="EP2" s="298"/>
    </row>
    <row r="3" spans="1:146" s="250" customFormat="1" ht="94.5">
      <c r="A3" s="244" t="s">
        <v>72</v>
      </c>
      <c r="B3" s="245" t="s">
        <v>56</v>
      </c>
      <c r="C3" s="245" t="s">
        <v>57</v>
      </c>
      <c r="D3" s="245" t="s">
        <v>58</v>
      </c>
      <c r="E3" s="246" t="s">
        <v>59</v>
      </c>
      <c r="F3" s="247" t="s">
        <v>60</v>
      </c>
      <c r="G3" s="247" t="s">
        <v>62</v>
      </c>
      <c r="H3" s="247" t="s">
        <v>61</v>
      </c>
      <c r="I3" s="248" t="s">
        <v>63</v>
      </c>
      <c r="J3" s="245" t="s">
        <v>56</v>
      </c>
      <c r="K3" s="245" t="s">
        <v>57</v>
      </c>
      <c r="L3" s="245" t="s">
        <v>58</v>
      </c>
      <c r="M3" s="246" t="s">
        <v>59</v>
      </c>
      <c r="N3" s="247" t="s">
        <v>60</v>
      </c>
      <c r="O3" s="247" t="s">
        <v>62</v>
      </c>
      <c r="P3" s="247" t="s">
        <v>61</v>
      </c>
      <c r="Q3" s="248" t="s">
        <v>63</v>
      </c>
      <c r="R3" s="245" t="s">
        <v>56</v>
      </c>
      <c r="S3" s="245" t="s">
        <v>57</v>
      </c>
      <c r="T3" s="245" t="s">
        <v>58</v>
      </c>
      <c r="U3" s="246" t="s">
        <v>59</v>
      </c>
      <c r="V3" s="247" t="s">
        <v>60</v>
      </c>
      <c r="W3" s="247" t="s">
        <v>62</v>
      </c>
      <c r="X3" s="247" t="s">
        <v>61</v>
      </c>
      <c r="Y3" s="249" t="s">
        <v>63</v>
      </c>
      <c r="Z3" s="245" t="s">
        <v>56</v>
      </c>
      <c r="AA3" s="245" t="s">
        <v>57</v>
      </c>
      <c r="AB3" s="245" t="s">
        <v>58</v>
      </c>
      <c r="AC3" s="246" t="s">
        <v>59</v>
      </c>
      <c r="AD3" s="247" t="s">
        <v>60</v>
      </c>
      <c r="AE3" s="247" t="s">
        <v>62</v>
      </c>
      <c r="AF3" s="247" t="s">
        <v>61</v>
      </c>
      <c r="AG3" s="248" t="s">
        <v>63</v>
      </c>
      <c r="AH3" s="245" t="s">
        <v>56</v>
      </c>
      <c r="AI3" s="245" t="s">
        <v>57</v>
      </c>
      <c r="AJ3" s="245" t="s">
        <v>58</v>
      </c>
      <c r="AK3" s="246" t="s">
        <v>59</v>
      </c>
      <c r="AL3" s="247" t="s">
        <v>60</v>
      </c>
      <c r="AM3" s="247" t="s">
        <v>62</v>
      </c>
      <c r="AN3" s="247" t="s">
        <v>61</v>
      </c>
      <c r="AO3" s="248" t="s">
        <v>63</v>
      </c>
      <c r="AP3" s="245" t="s">
        <v>56</v>
      </c>
      <c r="AQ3" s="245" t="s">
        <v>57</v>
      </c>
      <c r="AR3" s="245" t="s">
        <v>58</v>
      </c>
      <c r="AS3" s="246" t="s">
        <v>59</v>
      </c>
      <c r="AT3" s="247" t="s">
        <v>60</v>
      </c>
      <c r="AU3" s="247" t="s">
        <v>62</v>
      </c>
      <c r="AV3" s="247" t="s">
        <v>61</v>
      </c>
      <c r="AW3" s="249" t="s">
        <v>63</v>
      </c>
      <c r="AX3" s="245" t="s">
        <v>56</v>
      </c>
      <c r="AY3" s="245" t="s">
        <v>57</v>
      </c>
      <c r="AZ3" s="245" t="s">
        <v>58</v>
      </c>
      <c r="BA3" s="246" t="s">
        <v>59</v>
      </c>
      <c r="BB3" s="247" t="s">
        <v>60</v>
      </c>
      <c r="BC3" s="247" t="s">
        <v>62</v>
      </c>
      <c r="BD3" s="247" t="s">
        <v>61</v>
      </c>
      <c r="BE3" s="248" t="s">
        <v>63</v>
      </c>
      <c r="BF3" s="245" t="s">
        <v>56</v>
      </c>
      <c r="BG3" s="245" t="s">
        <v>57</v>
      </c>
      <c r="BH3" s="245" t="s">
        <v>58</v>
      </c>
      <c r="BI3" s="246" t="s">
        <v>59</v>
      </c>
      <c r="BJ3" s="247" t="s">
        <v>60</v>
      </c>
      <c r="BK3" s="247" t="s">
        <v>62</v>
      </c>
      <c r="BL3" s="247" t="s">
        <v>61</v>
      </c>
      <c r="BM3" s="248" t="s">
        <v>63</v>
      </c>
      <c r="BN3" s="245" t="s">
        <v>56</v>
      </c>
      <c r="BO3" s="245" t="s">
        <v>57</v>
      </c>
      <c r="BP3" s="245" t="s">
        <v>58</v>
      </c>
      <c r="BQ3" s="246" t="s">
        <v>59</v>
      </c>
      <c r="BR3" s="247" t="s">
        <v>60</v>
      </c>
      <c r="BS3" s="247" t="s">
        <v>62</v>
      </c>
      <c r="BT3" s="247" t="s">
        <v>61</v>
      </c>
      <c r="BU3" s="249" t="s">
        <v>63</v>
      </c>
      <c r="BV3" s="259" t="s">
        <v>56</v>
      </c>
      <c r="BW3" s="259" t="s">
        <v>57</v>
      </c>
      <c r="BX3" s="259" t="s">
        <v>58</v>
      </c>
      <c r="BY3" s="260" t="s">
        <v>59</v>
      </c>
      <c r="BZ3" s="261" t="s">
        <v>60</v>
      </c>
      <c r="CA3" s="261" t="s">
        <v>62</v>
      </c>
      <c r="CB3" s="261" t="s">
        <v>61</v>
      </c>
      <c r="CC3" s="262" t="s">
        <v>63</v>
      </c>
      <c r="CD3" s="259" t="s">
        <v>56</v>
      </c>
      <c r="CE3" s="259" t="s">
        <v>57</v>
      </c>
      <c r="CF3" s="259" t="s">
        <v>58</v>
      </c>
      <c r="CG3" s="260" t="s">
        <v>59</v>
      </c>
      <c r="CH3" s="261" t="s">
        <v>60</v>
      </c>
      <c r="CI3" s="261" t="s">
        <v>62</v>
      </c>
      <c r="CJ3" s="261" t="s">
        <v>61</v>
      </c>
      <c r="CK3" s="262" t="s">
        <v>63</v>
      </c>
      <c r="CL3" s="259" t="s">
        <v>56</v>
      </c>
      <c r="CM3" s="259" t="s">
        <v>57</v>
      </c>
      <c r="CN3" s="259" t="s">
        <v>58</v>
      </c>
      <c r="CO3" s="260" t="s">
        <v>59</v>
      </c>
      <c r="CP3" s="261" t="s">
        <v>60</v>
      </c>
      <c r="CQ3" s="261" t="s">
        <v>62</v>
      </c>
      <c r="CR3" s="261" t="s">
        <v>61</v>
      </c>
      <c r="CS3" s="263" t="s">
        <v>63</v>
      </c>
      <c r="CT3" s="259" t="s">
        <v>56</v>
      </c>
      <c r="CU3" s="259" t="s">
        <v>57</v>
      </c>
      <c r="CV3" s="259" t="s">
        <v>58</v>
      </c>
      <c r="CW3" s="260" t="s">
        <v>59</v>
      </c>
      <c r="CX3" s="261" t="s">
        <v>60</v>
      </c>
      <c r="CY3" s="261" t="s">
        <v>62</v>
      </c>
      <c r="CZ3" s="261" t="s">
        <v>61</v>
      </c>
      <c r="DA3" s="262" t="s">
        <v>63</v>
      </c>
      <c r="DB3" s="259" t="s">
        <v>56</v>
      </c>
      <c r="DC3" s="259" t="s">
        <v>57</v>
      </c>
      <c r="DD3" s="259" t="s">
        <v>58</v>
      </c>
      <c r="DE3" s="260" t="s">
        <v>59</v>
      </c>
      <c r="DF3" s="261" t="s">
        <v>60</v>
      </c>
      <c r="DG3" s="261" t="s">
        <v>62</v>
      </c>
      <c r="DH3" s="261" t="s">
        <v>61</v>
      </c>
      <c r="DI3" s="262" t="s">
        <v>63</v>
      </c>
      <c r="DJ3" s="259" t="s">
        <v>56</v>
      </c>
      <c r="DK3" s="259" t="s">
        <v>57</v>
      </c>
      <c r="DL3" s="259" t="s">
        <v>58</v>
      </c>
      <c r="DM3" s="260" t="s">
        <v>59</v>
      </c>
      <c r="DN3" s="261" t="s">
        <v>60</v>
      </c>
      <c r="DO3" s="261" t="s">
        <v>62</v>
      </c>
      <c r="DP3" s="261" t="s">
        <v>61</v>
      </c>
      <c r="DQ3" s="263" t="s">
        <v>63</v>
      </c>
      <c r="DR3" s="276" t="s">
        <v>56</v>
      </c>
      <c r="DS3" s="276" t="s">
        <v>57</v>
      </c>
      <c r="DT3" s="276" t="s">
        <v>58</v>
      </c>
      <c r="DU3" s="276" t="s">
        <v>59</v>
      </c>
      <c r="DV3" s="276" t="s">
        <v>60</v>
      </c>
      <c r="DW3" s="276" t="s">
        <v>62</v>
      </c>
      <c r="DX3" s="276" t="s">
        <v>61</v>
      </c>
      <c r="DY3" s="277" t="s">
        <v>63</v>
      </c>
      <c r="DZ3" s="276" t="s">
        <v>178</v>
      </c>
      <c r="EA3" s="276" t="s">
        <v>179</v>
      </c>
      <c r="EB3" s="276" t="s">
        <v>180</v>
      </c>
      <c r="EC3" s="276" t="s">
        <v>181</v>
      </c>
      <c r="ED3" s="276" t="s">
        <v>182</v>
      </c>
      <c r="EE3" s="276" t="s">
        <v>184</v>
      </c>
      <c r="EF3" s="276" t="s">
        <v>183</v>
      </c>
      <c r="EG3" s="277" t="s">
        <v>185</v>
      </c>
      <c r="EH3" s="276" t="s">
        <v>186</v>
      </c>
      <c r="EI3" s="276" t="s">
        <v>187</v>
      </c>
      <c r="EJ3" s="276" t="s">
        <v>188</v>
      </c>
      <c r="EK3" s="276" t="s">
        <v>189</v>
      </c>
      <c r="EL3" s="276" t="s">
        <v>190</v>
      </c>
      <c r="EM3" s="276" t="s">
        <v>192</v>
      </c>
      <c r="EN3" s="276" t="s">
        <v>191</v>
      </c>
      <c r="EO3" s="278" t="s">
        <v>193</v>
      </c>
      <c r="EP3" s="299" t="s">
        <v>194</v>
      </c>
    </row>
    <row r="4" spans="1:146">
      <c r="A4" s="223" t="s">
        <v>92</v>
      </c>
      <c r="B4" s="226">
        <v>247</v>
      </c>
      <c r="C4" s="226">
        <v>643</v>
      </c>
      <c r="D4" s="226">
        <v>0</v>
      </c>
      <c r="E4" s="226">
        <v>259</v>
      </c>
      <c r="F4" s="226">
        <v>216</v>
      </c>
      <c r="G4" s="227">
        <v>1933</v>
      </c>
      <c r="H4" s="226">
        <v>803</v>
      </c>
      <c r="I4" s="228">
        <v>2511</v>
      </c>
      <c r="J4" s="226">
        <v>133</v>
      </c>
      <c r="K4" s="226">
        <v>346</v>
      </c>
      <c r="L4" s="226">
        <v>0</v>
      </c>
      <c r="M4" s="226">
        <v>120</v>
      </c>
      <c r="N4" s="226">
        <v>93</v>
      </c>
      <c r="O4" s="227">
        <v>877</v>
      </c>
      <c r="P4" s="226">
        <v>289</v>
      </c>
      <c r="Q4" s="228">
        <v>435</v>
      </c>
      <c r="R4" s="226">
        <v>195</v>
      </c>
      <c r="S4" s="226">
        <v>520</v>
      </c>
      <c r="T4" s="226">
        <v>0</v>
      </c>
      <c r="U4" s="226">
        <v>194</v>
      </c>
      <c r="V4" s="226">
        <v>156</v>
      </c>
      <c r="W4" s="227">
        <v>1417</v>
      </c>
      <c r="X4" s="226">
        <v>467</v>
      </c>
      <c r="Y4" s="234">
        <v>919</v>
      </c>
      <c r="Z4" s="237">
        <v>272</v>
      </c>
      <c r="AA4" s="237">
        <v>577</v>
      </c>
      <c r="AB4" s="237">
        <v>0</v>
      </c>
      <c r="AC4" s="237">
        <v>244</v>
      </c>
      <c r="AD4" s="237">
        <v>190</v>
      </c>
      <c r="AE4" s="237">
        <v>1915</v>
      </c>
      <c r="AF4" s="237">
        <v>865</v>
      </c>
      <c r="AG4" s="228">
        <v>2224</v>
      </c>
      <c r="AH4" s="237">
        <v>161</v>
      </c>
      <c r="AI4" s="237">
        <v>311</v>
      </c>
      <c r="AJ4" s="237">
        <v>0</v>
      </c>
      <c r="AK4" s="237">
        <v>126</v>
      </c>
      <c r="AL4" s="237">
        <v>83</v>
      </c>
      <c r="AM4" s="237">
        <v>793</v>
      </c>
      <c r="AN4" s="237">
        <v>328</v>
      </c>
      <c r="AO4" s="228">
        <v>447</v>
      </c>
      <c r="AP4" s="237">
        <v>225</v>
      </c>
      <c r="AQ4" s="237">
        <v>475</v>
      </c>
      <c r="AR4" s="237">
        <v>0</v>
      </c>
      <c r="AS4" s="237">
        <v>193</v>
      </c>
      <c r="AT4" s="237">
        <v>136</v>
      </c>
      <c r="AU4" s="238">
        <v>1366</v>
      </c>
      <c r="AV4" s="237">
        <v>551</v>
      </c>
      <c r="AW4" s="234">
        <v>943</v>
      </c>
      <c r="AX4" s="237"/>
      <c r="AY4" s="237"/>
      <c r="AZ4" s="237"/>
      <c r="BA4" s="237"/>
      <c r="BB4" s="237"/>
      <c r="BC4" s="237"/>
      <c r="BD4" s="237"/>
      <c r="BF4" s="237"/>
      <c r="BG4" s="237"/>
      <c r="BH4" s="237"/>
      <c r="BI4" s="237"/>
      <c r="BJ4" s="237"/>
      <c r="BK4" s="237"/>
      <c r="BL4" s="237"/>
      <c r="BN4" s="237"/>
      <c r="BO4" s="237"/>
      <c r="BP4" s="237"/>
      <c r="BQ4" s="237"/>
      <c r="BR4" s="237"/>
      <c r="BS4" s="238"/>
      <c r="BT4" s="237"/>
      <c r="BV4" s="264">
        <f>Z4+(Z4-B4)</f>
        <v>297</v>
      </c>
      <c r="BW4" s="264">
        <f t="shared" ref="BW4:CS4" si="0">AA4+(AA4-C4)</f>
        <v>511</v>
      </c>
      <c r="BX4" s="264">
        <f t="shared" si="0"/>
        <v>0</v>
      </c>
      <c r="BY4" s="264">
        <f t="shared" si="0"/>
        <v>229</v>
      </c>
      <c r="BZ4" s="264">
        <f t="shared" si="0"/>
        <v>164</v>
      </c>
      <c r="CA4" s="264">
        <f t="shared" si="0"/>
        <v>1897</v>
      </c>
      <c r="CB4" s="264">
        <f t="shared" si="0"/>
        <v>927</v>
      </c>
      <c r="CC4" s="265">
        <f t="shared" si="0"/>
        <v>1937</v>
      </c>
      <c r="CD4" s="264">
        <f t="shared" si="0"/>
        <v>189</v>
      </c>
      <c r="CE4" s="264">
        <f t="shared" si="0"/>
        <v>276</v>
      </c>
      <c r="CF4" s="264">
        <f t="shared" si="0"/>
        <v>0</v>
      </c>
      <c r="CG4" s="264">
        <f t="shared" si="0"/>
        <v>132</v>
      </c>
      <c r="CH4" s="264">
        <f t="shared" si="0"/>
        <v>73</v>
      </c>
      <c r="CI4" s="264">
        <f t="shared" si="0"/>
        <v>709</v>
      </c>
      <c r="CJ4" s="264">
        <f t="shared" si="0"/>
        <v>367</v>
      </c>
      <c r="CK4" s="265">
        <f t="shared" si="0"/>
        <v>459</v>
      </c>
      <c r="CL4" s="264">
        <f t="shared" si="0"/>
        <v>255</v>
      </c>
      <c r="CM4" s="264">
        <f t="shared" si="0"/>
        <v>430</v>
      </c>
      <c r="CN4" s="264">
        <f t="shared" si="0"/>
        <v>0</v>
      </c>
      <c r="CO4" s="264">
        <f t="shared" si="0"/>
        <v>192</v>
      </c>
      <c r="CP4" s="264">
        <f t="shared" si="0"/>
        <v>116</v>
      </c>
      <c r="CQ4" s="264">
        <f t="shared" si="0"/>
        <v>1315</v>
      </c>
      <c r="CR4" s="264">
        <f t="shared" si="0"/>
        <v>635</v>
      </c>
      <c r="CS4" s="266">
        <f t="shared" si="0"/>
        <v>967</v>
      </c>
      <c r="CT4" s="264">
        <f>AVERAGE(BV4,Z4,B4)</f>
        <v>272</v>
      </c>
      <c r="CU4" s="264">
        <f t="shared" ref="CU4:DQ4" si="1">AVERAGE(BW4,AA4,C4)</f>
        <v>577</v>
      </c>
      <c r="CV4" s="264">
        <f t="shared" si="1"/>
        <v>0</v>
      </c>
      <c r="CW4" s="264">
        <f t="shared" si="1"/>
        <v>244</v>
      </c>
      <c r="CX4" s="264">
        <f t="shared" si="1"/>
        <v>190</v>
      </c>
      <c r="CY4" s="264">
        <f t="shared" si="1"/>
        <v>1915</v>
      </c>
      <c r="CZ4" s="264">
        <f t="shared" si="1"/>
        <v>865</v>
      </c>
      <c r="DA4" s="265">
        <f t="shared" si="1"/>
        <v>2224</v>
      </c>
      <c r="DB4" s="264">
        <f t="shared" si="1"/>
        <v>161</v>
      </c>
      <c r="DC4" s="264">
        <f t="shared" si="1"/>
        <v>311</v>
      </c>
      <c r="DD4" s="264">
        <f t="shared" si="1"/>
        <v>0</v>
      </c>
      <c r="DE4" s="264">
        <f t="shared" si="1"/>
        <v>126</v>
      </c>
      <c r="DF4" s="264">
        <f t="shared" si="1"/>
        <v>83</v>
      </c>
      <c r="DG4" s="264">
        <f t="shared" si="1"/>
        <v>793</v>
      </c>
      <c r="DH4" s="264">
        <f t="shared" si="1"/>
        <v>328</v>
      </c>
      <c r="DI4" s="265">
        <f t="shared" si="1"/>
        <v>447</v>
      </c>
      <c r="DJ4" s="264">
        <f t="shared" si="1"/>
        <v>225</v>
      </c>
      <c r="DK4" s="264">
        <f t="shared" si="1"/>
        <v>475</v>
      </c>
      <c r="DL4" s="264">
        <f t="shared" si="1"/>
        <v>0</v>
      </c>
      <c r="DM4" s="264">
        <f t="shared" si="1"/>
        <v>193</v>
      </c>
      <c r="DN4" s="264">
        <f t="shared" si="1"/>
        <v>136</v>
      </c>
      <c r="DO4" s="264">
        <f t="shared" si="1"/>
        <v>1366</v>
      </c>
      <c r="DP4" s="264">
        <f t="shared" si="1"/>
        <v>551</v>
      </c>
      <c r="DQ4" s="266">
        <f t="shared" si="1"/>
        <v>943</v>
      </c>
      <c r="DR4" s="279">
        <f>INDEX('Rate Assumptions'!$A$1:$C$32,MATCH('Success Allocation'!DR$3,'Rate Assumptions'!$A$1:$A$32,0),MATCH($DR$1,'Rate Assumptions'!$A$1:$C$1,0))</f>
        <v>2291.7551696336809</v>
      </c>
      <c r="DS4" s="279">
        <f>INDEX('Rate Assumptions'!$A$1:$C$32,MATCH('Success Allocation'!DS$3,'Rate Assumptions'!$A$1:$A$32,0),MATCH($DR$1,'Rate Assumptions'!$A$1:$C$1,0))</f>
        <v>1718.8163772252606</v>
      </c>
      <c r="DT4" s="279">
        <f>INDEX('Rate Assumptions'!$A$1:$C$32,MATCH('Success Allocation'!DT$3,'Rate Assumptions'!$A$1:$A$32,0),MATCH($DR$1,'Rate Assumptions'!$A$1:$C$1,0))</f>
        <v>1718.8163772252606</v>
      </c>
      <c r="DU4" s="279">
        <f>INDEX('Rate Assumptions'!$A$1:$C$32,MATCH('Success Allocation'!DU$3,'Rate Assumptions'!$A$1:$A$32,0),MATCH($DR$1,'Rate Assumptions'!$A$1:$C$1,0))</f>
        <v>1145.8775848168405</v>
      </c>
      <c r="DV4" s="279">
        <f>INDEX('Rate Assumptions'!$A$1:$C$32,MATCH('Success Allocation'!DV$3,'Rate Assumptions'!$A$1:$A$32,0),MATCH($DR$1,'Rate Assumptions'!$A$1:$C$1,0))</f>
        <v>1145.8775848168405</v>
      </c>
      <c r="DW4" s="279">
        <f>INDEX('Rate Assumptions'!$A$1:$C$32,MATCH('Success Allocation'!DW$3,'Rate Assumptions'!$A$1:$A$32,0),MATCH($DR$1,'Rate Assumptions'!$A$1:$C$1,0))</f>
        <v>572.93879240842023</v>
      </c>
      <c r="DX4" s="279">
        <f>INDEX('Rate Assumptions'!$A$1:$C$32,MATCH('Success Allocation'!DX$3,'Rate Assumptions'!$A$1:$A$32,0),MATCH($DR$1,'Rate Assumptions'!$A$1:$C$1,0))</f>
        <v>859.40818861263028</v>
      </c>
      <c r="DY4" s="280">
        <f>INDEX('Rate Assumptions'!$A$1:$C$32,MATCH('Success Allocation'!DY$3,'Rate Assumptions'!$A$1:$A$32,0),MATCH($DR$1,'Rate Assumptions'!$A$1:$C$1,0))</f>
        <v>572.93879240842023</v>
      </c>
      <c r="DZ4" s="309">
        <f>INDEX('Rate Assumptions'!$A$1:$C$32,MATCH('Success Allocation'!DZ$3,'Rate Assumptions'!$A$1:$A$32,0),MATCH($DR$1,'Rate Assumptions'!$A$1:$C$1,0))</f>
        <v>866.31570658079204</v>
      </c>
      <c r="EA4" s="279">
        <f>INDEX('Rate Assumptions'!$A$1:$C$32,MATCH('Success Allocation'!EA$3,'Rate Assumptions'!$A$1:$A$32,0),MATCH($DR$1,'Rate Assumptions'!$A$1:$C$1,0))</f>
        <v>649.73677993559397</v>
      </c>
      <c r="EB4" s="279">
        <f>INDEX('Rate Assumptions'!$A$1:$C$32,MATCH('Success Allocation'!EB$3,'Rate Assumptions'!$A$1:$A$32,0),MATCH($DR$1,'Rate Assumptions'!$A$1:$C$1,0))</f>
        <v>649.73677993559397</v>
      </c>
      <c r="EC4" s="279">
        <f>INDEX('Rate Assumptions'!$A$1:$C$32,MATCH('Success Allocation'!EC$3,'Rate Assumptions'!$A$1:$A$32,0),MATCH($DR$1,'Rate Assumptions'!$A$1:$C$1,0))</f>
        <v>433.15785329039602</v>
      </c>
      <c r="ED4" s="279">
        <f>INDEX('Rate Assumptions'!$A$1:$C$32,MATCH('Success Allocation'!ED$3,'Rate Assumptions'!$A$1:$A$32,0),MATCH($DR$1,'Rate Assumptions'!$A$1:$C$1,0))</f>
        <v>433.15785329039602</v>
      </c>
      <c r="EE4" s="279">
        <f>INDEX('Rate Assumptions'!$A$1:$C$32,MATCH('Success Allocation'!EE$3,'Rate Assumptions'!$A$1:$A$32,0),MATCH($DR$1,'Rate Assumptions'!$A$1:$C$1,0))</f>
        <v>216.57892664519801</v>
      </c>
      <c r="EF4" s="279">
        <f>INDEX('Rate Assumptions'!$A$1:$C$32,MATCH('Success Allocation'!EF$3,'Rate Assumptions'!$A$1:$A$32,0),MATCH($DR$1,'Rate Assumptions'!$A$1:$C$1,0))</f>
        <v>324.86838996779699</v>
      </c>
      <c r="EG4" s="280">
        <f>INDEX('Rate Assumptions'!$A$1:$C$32,MATCH('Success Allocation'!EG$3,'Rate Assumptions'!$A$1:$A$32,0),MATCH($DR$1,'Rate Assumptions'!$A$1:$C$1,0))</f>
        <v>216.57892664519801</v>
      </c>
      <c r="EH4" s="279">
        <f>INDEX('Rate Assumptions'!$A$1:$C$32,MATCH('Success Allocation'!EH$3,'Rate Assumptions'!$A$1:$A$32,0),MATCH($DR$1,'Rate Assumptions'!$A$1:$C$1,0))</f>
        <v>577.54380438719465</v>
      </c>
      <c r="EI4" s="279">
        <f>INDEX('Rate Assumptions'!$A$1:$C$32,MATCH('Success Allocation'!EI$3,'Rate Assumptions'!$A$1:$A$32,0),MATCH($DR$1,'Rate Assumptions'!$A$1:$C$1,0))</f>
        <v>433.15785329039602</v>
      </c>
      <c r="EJ4" s="279">
        <f>INDEX('Rate Assumptions'!$A$1:$C$32,MATCH('Success Allocation'!EJ$3,'Rate Assumptions'!$A$1:$A$32,0),MATCH($DR$1,'Rate Assumptions'!$A$1:$C$1,0))</f>
        <v>433.15785329039602</v>
      </c>
      <c r="EK4" s="279">
        <f>INDEX('Rate Assumptions'!$A$1:$C$32,MATCH('Success Allocation'!EK$3,'Rate Assumptions'!$A$1:$A$32,0),MATCH($DR$1,'Rate Assumptions'!$A$1:$C$1,0))</f>
        <v>288.77190219359733</v>
      </c>
      <c r="EL4" s="279">
        <f>INDEX('Rate Assumptions'!$A$1:$C$32,MATCH('Success Allocation'!EL$3,'Rate Assumptions'!$A$1:$A$32,0),MATCH($DR$1,'Rate Assumptions'!$A$1:$C$1,0))</f>
        <v>288.77190219359733</v>
      </c>
      <c r="EM4" s="279">
        <f>INDEX('Rate Assumptions'!$A$1:$C$32,MATCH('Success Allocation'!EM$3,'Rate Assumptions'!$A$1:$A$32,0),MATCH($DR$1,'Rate Assumptions'!$A$1:$C$1,0))</f>
        <v>144.38595109679866</v>
      </c>
      <c r="EN4" s="279">
        <f>INDEX('Rate Assumptions'!$A$1:$C$32,MATCH('Success Allocation'!EN$3,'Rate Assumptions'!$A$1:$A$32,0),MATCH($DR$1,'Rate Assumptions'!$A$1:$C$1,0))</f>
        <v>216.57892664519801</v>
      </c>
      <c r="EO4" s="281">
        <f>INDEX('Rate Assumptions'!$A$1:$C$32,MATCH('Success Allocation'!EO$3,'Rate Assumptions'!$A$1:$A$32,0),MATCH($DR$1,'Rate Assumptions'!$A$1:$C$1,0))</f>
        <v>144.38595109679866</v>
      </c>
      <c r="EP4" s="170">
        <f>SUMPRODUCT(BV4:CS4,DR4:EO4)</f>
        <v>6696153.9828162463</v>
      </c>
    </row>
    <row r="5" spans="1:146">
      <c r="A5" s="223" t="s">
        <v>93</v>
      </c>
      <c r="B5" s="226">
        <v>406</v>
      </c>
      <c r="C5" s="226">
        <v>775</v>
      </c>
      <c r="D5" s="226">
        <v>0</v>
      </c>
      <c r="E5" s="226">
        <v>191</v>
      </c>
      <c r="F5" s="226">
        <v>206</v>
      </c>
      <c r="G5" s="227">
        <v>2138</v>
      </c>
      <c r="H5" s="226">
        <v>966</v>
      </c>
      <c r="I5" s="228">
        <v>1001</v>
      </c>
      <c r="J5" s="226">
        <v>286</v>
      </c>
      <c r="K5" s="226">
        <v>512</v>
      </c>
      <c r="L5" s="226">
        <v>0</v>
      </c>
      <c r="M5" s="226">
        <v>135</v>
      </c>
      <c r="N5" s="226">
        <v>122</v>
      </c>
      <c r="O5" s="227">
        <v>1421</v>
      </c>
      <c r="P5" s="226">
        <v>549</v>
      </c>
      <c r="Q5" s="228">
        <v>502</v>
      </c>
      <c r="R5" s="226">
        <v>347</v>
      </c>
      <c r="S5" s="226">
        <v>640</v>
      </c>
      <c r="T5" s="226">
        <v>0</v>
      </c>
      <c r="U5" s="226">
        <v>162</v>
      </c>
      <c r="V5" s="226">
        <v>157</v>
      </c>
      <c r="W5" s="227">
        <v>1796</v>
      </c>
      <c r="X5" s="226">
        <v>771</v>
      </c>
      <c r="Y5" s="234">
        <v>724</v>
      </c>
      <c r="Z5" s="237">
        <v>485</v>
      </c>
      <c r="AA5" s="237">
        <v>676</v>
      </c>
      <c r="AB5" s="237">
        <v>0</v>
      </c>
      <c r="AC5" s="237">
        <v>254</v>
      </c>
      <c r="AD5" s="237">
        <v>187</v>
      </c>
      <c r="AE5" s="237">
        <v>2033</v>
      </c>
      <c r="AF5" s="237">
        <v>992</v>
      </c>
      <c r="AG5" s="228">
        <v>1147</v>
      </c>
      <c r="AH5" s="237">
        <v>340</v>
      </c>
      <c r="AI5" s="237">
        <v>458</v>
      </c>
      <c r="AJ5" s="237">
        <v>0</v>
      </c>
      <c r="AK5" s="237">
        <v>164</v>
      </c>
      <c r="AL5" s="237">
        <v>97</v>
      </c>
      <c r="AM5" s="237">
        <v>1318</v>
      </c>
      <c r="AN5" s="237">
        <v>568</v>
      </c>
      <c r="AO5" s="228">
        <v>595</v>
      </c>
      <c r="AP5" s="237">
        <v>415</v>
      </c>
      <c r="AQ5" s="237">
        <v>564</v>
      </c>
      <c r="AR5" s="237">
        <v>0</v>
      </c>
      <c r="AS5" s="237">
        <v>207</v>
      </c>
      <c r="AT5" s="237">
        <v>139</v>
      </c>
      <c r="AU5" s="238">
        <v>1693</v>
      </c>
      <c r="AV5" s="237">
        <v>788</v>
      </c>
      <c r="AW5" s="234">
        <v>874</v>
      </c>
      <c r="AX5" s="237"/>
      <c r="AY5" s="237"/>
      <c r="AZ5" s="237"/>
      <c r="BA5" s="237"/>
      <c r="BB5" s="237"/>
      <c r="BC5" s="237"/>
      <c r="BD5" s="237"/>
      <c r="BF5" s="237"/>
      <c r="BG5" s="237"/>
      <c r="BH5" s="237"/>
      <c r="BI5" s="237"/>
      <c r="BJ5" s="237"/>
      <c r="BK5" s="237"/>
      <c r="BL5" s="237"/>
      <c r="BN5" s="237"/>
      <c r="BO5" s="237"/>
      <c r="BP5" s="237"/>
      <c r="BQ5" s="237"/>
      <c r="BR5" s="237"/>
      <c r="BS5" s="238"/>
      <c r="BT5" s="237"/>
      <c r="BV5" s="264">
        <f t="shared" ref="BV5:BV68" si="2">Z5+(Z5-B5)</f>
        <v>564</v>
      </c>
      <c r="BW5" s="264">
        <f t="shared" ref="BW5:BW68" si="3">AA5+(AA5-C5)</f>
        <v>577</v>
      </c>
      <c r="BX5" s="264">
        <f t="shared" ref="BX5:BX68" si="4">AB5+(AB5-D5)</f>
        <v>0</v>
      </c>
      <c r="BY5" s="264">
        <f t="shared" ref="BY5:BY68" si="5">AC5+(AC5-E5)</f>
        <v>317</v>
      </c>
      <c r="BZ5" s="264">
        <f t="shared" ref="BZ5:BZ68" si="6">AD5+(AD5-F5)</f>
        <v>168</v>
      </c>
      <c r="CA5" s="264">
        <f t="shared" ref="CA5:CA68" si="7">AE5+(AE5-G5)</f>
        <v>1928</v>
      </c>
      <c r="CB5" s="264">
        <f t="shared" ref="CB5:CB68" si="8">AF5+(AF5-H5)</f>
        <v>1018</v>
      </c>
      <c r="CC5" s="265">
        <f t="shared" ref="CC5:CC68" si="9">AG5+(AG5-I5)</f>
        <v>1293</v>
      </c>
      <c r="CD5" s="264">
        <f t="shared" ref="CD5:CD68" si="10">AH5+(AH5-J5)</f>
        <v>394</v>
      </c>
      <c r="CE5" s="264">
        <f t="shared" ref="CE5:CE68" si="11">AI5+(AI5-K5)</f>
        <v>404</v>
      </c>
      <c r="CF5" s="264">
        <f t="shared" ref="CF5:CF68" si="12">AJ5+(AJ5-L5)</f>
        <v>0</v>
      </c>
      <c r="CG5" s="264">
        <f t="shared" ref="CG5:CG68" si="13">AK5+(AK5-M5)</f>
        <v>193</v>
      </c>
      <c r="CH5" s="264">
        <f t="shared" ref="CH5:CH68" si="14">AL5+(AL5-N5)</f>
        <v>72</v>
      </c>
      <c r="CI5" s="264">
        <f t="shared" ref="CI5:CI68" si="15">AM5+(AM5-O5)</f>
        <v>1215</v>
      </c>
      <c r="CJ5" s="264">
        <f t="shared" ref="CJ5:CJ68" si="16">AN5+(AN5-P5)</f>
        <v>587</v>
      </c>
      <c r="CK5" s="265">
        <f t="shared" ref="CK5:CK68" si="17">AO5+(AO5-Q5)</f>
        <v>688</v>
      </c>
      <c r="CL5" s="264">
        <f t="shared" ref="CL5:CL68" si="18">AP5+(AP5-R5)</f>
        <v>483</v>
      </c>
      <c r="CM5" s="264">
        <f t="shared" ref="CM5:CM68" si="19">AQ5+(AQ5-S5)</f>
        <v>488</v>
      </c>
      <c r="CN5" s="264">
        <f t="shared" ref="CN5:CN68" si="20">AR5+(AR5-T5)</f>
        <v>0</v>
      </c>
      <c r="CO5" s="264">
        <f t="shared" ref="CO5:CO68" si="21">AS5+(AS5-U5)</f>
        <v>252</v>
      </c>
      <c r="CP5" s="264">
        <f t="shared" ref="CP5:CP68" si="22">AT5+(AT5-V5)</f>
        <v>121</v>
      </c>
      <c r="CQ5" s="264">
        <f t="shared" ref="CQ5:CQ68" si="23">AU5+(AU5-W5)</f>
        <v>1590</v>
      </c>
      <c r="CR5" s="264">
        <f t="shared" ref="CR5:CR68" si="24">AV5+(AV5-X5)</f>
        <v>805</v>
      </c>
      <c r="CS5" s="266">
        <f t="shared" ref="CS5:CS68" si="25">AW5+(AW5-Y5)</f>
        <v>1024</v>
      </c>
      <c r="CT5" s="264">
        <f t="shared" ref="CT5:CT68" si="26">AVERAGE(BV5,Z5,B5)</f>
        <v>485</v>
      </c>
      <c r="CU5" s="264">
        <f t="shared" ref="CU5:CU68" si="27">AVERAGE(BW5,AA5,C5)</f>
        <v>676</v>
      </c>
      <c r="CV5" s="264">
        <f t="shared" ref="CV5:CV68" si="28">AVERAGE(BX5,AB5,D5)</f>
        <v>0</v>
      </c>
      <c r="CW5" s="264">
        <f t="shared" ref="CW5:CW68" si="29">AVERAGE(BY5,AC5,E5)</f>
        <v>254</v>
      </c>
      <c r="CX5" s="264">
        <f t="shared" ref="CX5:CX68" si="30">AVERAGE(BZ5,AD5,F5)</f>
        <v>187</v>
      </c>
      <c r="CY5" s="264">
        <f t="shared" ref="CY5:CY68" si="31">AVERAGE(CA5,AE5,G5)</f>
        <v>2033</v>
      </c>
      <c r="CZ5" s="264">
        <f t="shared" ref="CZ5:CZ68" si="32">AVERAGE(CB5,AF5,H5)</f>
        <v>992</v>
      </c>
      <c r="DA5" s="265">
        <f t="shared" ref="DA5:DA68" si="33">AVERAGE(CC5,AG5,I5)</f>
        <v>1147</v>
      </c>
      <c r="DB5" s="264">
        <f t="shared" ref="DB5:DB68" si="34">AVERAGE(CD5,AH5,J5)</f>
        <v>340</v>
      </c>
      <c r="DC5" s="264">
        <f t="shared" ref="DC5:DC68" si="35">AVERAGE(CE5,AI5,K5)</f>
        <v>458</v>
      </c>
      <c r="DD5" s="264">
        <f t="shared" ref="DD5:DD68" si="36">AVERAGE(CF5,AJ5,L5)</f>
        <v>0</v>
      </c>
      <c r="DE5" s="264">
        <f t="shared" ref="DE5:DE68" si="37">AVERAGE(CG5,AK5,M5)</f>
        <v>164</v>
      </c>
      <c r="DF5" s="264">
        <f t="shared" ref="DF5:DF68" si="38">AVERAGE(CH5,AL5,N5)</f>
        <v>97</v>
      </c>
      <c r="DG5" s="264">
        <f t="shared" ref="DG5:DG68" si="39">AVERAGE(CI5,AM5,O5)</f>
        <v>1318</v>
      </c>
      <c r="DH5" s="264">
        <f t="shared" ref="DH5:DH68" si="40">AVERAGE(CJ5,AN5,P5)</f>
        <v>568</v>
      </c>
      <c r="DI5" s="265">
        <f t="shared" ref="DI5:DI68" si="41">AVERAGE(CK5,AO5,Q5)</f>
        <v>595</v>
      </c>
      <c r="DJ5" s="264">
        <f t="shared" ref="DJ5:DJ68" si="42">AVERAGE(CL5,AP5,R5)</f>
        <v>415</v>
      </c>
      <c r="DK5" s="264">
        <f t="shared" ref="DK5:DK68" si="43">AVERAGE(CM5,AQ5,S5)</f>
        <v>564</v>
      </c>
      <c r="DL5" s="264">
        <f t="shared" ref="DL5:DL68" si="44">AVERAGE(CN5,AR5,T5)</f>
        <v>0</v>
      </c>
      <c r="DM5" s="264">
        <f t="shared" ref="DM5:DM68" si="45">AVERAGE(CO5,AS5,U5)</f>
        <v>207</v>
      </c>
      <c r="DN5" s="264">
        <f t="shared" ref="DN5:DN68" si="46">AVERAGE(CP5,AT5,V5)</f>
        <v>139</v>
      </c>
      <c r="DO5" s="264">
        <f t="shared" ref="DO5:DO68" si="47">AVERAGE(CQ5,AU5,W5)</f>
        <v>1693</v>
      </c>
      <c r="DP5" s="264">
        <f t="shared" ref="DP5:DP68" si="48">AVERAGE(CR5,AV5,X5)</f>
        <v>788</v>
      </c>
      <c r="DQ5" s="266">
        <f t="shared" ref="DQ5:DQ68" si="49">AVERAGE(CS5,AW5,Y5)</f>
        <v>874</v>
      </c>
      <c r="DR5" s="279">
        <f>INDEX('Rate Assumptions'!$A$1:$C$32,MATCH('Success Allocation'!DR$3,'Rate Assumptions'!$A$1:$A$32,0),MATCH($DR$1,'Rate Assumptions'!$A$1:$C$1,0))</f>
        <v>2291.7551696336809</v>
      </c>
      <c r="DS5" s="279">
        <f>INDEX('Rate Assumptions'!$A$1:$C$32,MATCH('Success Allocation'!DS$3,'Rate Assumptions'!$A$1:$A$32,0),MATCH($DR$1,'Rate Assumptions'!$A$1:$C$1,0))</f>
        <v>1718.8163772252606</v>
      </c>
      <c r="DT5" s="279">
        <f>INDEX('Rate Assumptions'!$A$1:$C$32,MATCH('Success Allocation'!DT$3,'Rate Assumptions'!$A$1:$A$32,0),MATCH($DR$1,'Rate Assumptions'!$A$1:$C$1,0))</f>
        <v>1718.8163772252606</v>
      </c>
      <c r="DU5" s="279">
        <f>INDEX('Rate Assumptions'!$A$1:$C$32,MATCH('Success Allocation'!DU$3,'Rate Assumptions'!$A$1:$A$32,0),MATCH($DR$1,'Rate Assumptions'!$A$1:$C$1,0))</f>
        <v>1145.8775848168405</v>
      </c>
      <c r="DV5" s="279">
        <f>INDEX('Rate Assumptions'!$A$1:$C$32,MATCH('Success Allocation'!DV$3,'Rate Assumptions'!$A$1:$A$32,0),MATCH($DR$1,'Rate Assumptions'!$A$1:$C$1,0))</f>
        <v>1145.8775848168405</v>
      </c>
      <c r="DW5" s="279">
        <f>INDEX('Rate Assumptions'!$A$1:$C$32,MATCH('Success Allocation'!DW$3,'Rate Assumptions'!$A$1:$A$32,0),MATCH($DR$1,'Rate Assumptions'!$A$1:$C$1,0))</f>
        <v>572.93879240842023</v>
      </c>
      <c r="DX5" s="279">
        <f>INDEX('Rate Assumptions'!$A$1:$C$32,MATCH('Success Allocation'!DX$3,'Rate Assumptions'!$A$1:$A$32,0),MATCH($DR$1,'Rate Assumptions'!$A$1:$C$1,0))</f>
        <v>859.40818861263028</v>
      </c>
      <c r="DY5" s="280">
        <f>INDEX('Rate Assumptions'!$A$1:$C$32,MATCH('Success Allocation'!DY$3,'Rate Assumptions'!$A$1:$A$32,0),MATCH($DR$1,'Rate Assumptions'!$A$1:$C$1,0))</f>
        <v>572.93879240842023</v>
      </c>
      <c r="DZ5" s="279">
        <f>INDEX('Rate Assumptions'!$A$1:$C$32,MATCH('Success Allocation'!DZ$3,'Rate Assumptions'!$A$1:$A$32,0),MATCH($DR$1,'Rate Assumptions'!$A$1:$C$1,0))</f>
        <v>866.31570658079204</v>
      </c>
      <c r="EA5" s="279">
        <f>INDEX('Rate Assumptions'!$A$1:$C$32,MATCH('Success Allocation'!EA$3,'Rate Assumptions'!$A$1:$A$32,0),MATCH($DR$1,'Rate Assumptions'!$A$1:$C$1,0))</f>
        <v>649.73677993559397</v>
      </c>
      <c r="EB5" s="279">
        <f>INDEX('Rate Assumptions'!$A$1:$C$32,MATCH('Success Allocation'!EB$3,'Rate Assumptions'!$A$1:$A$32,0),MATCH($DR$1,'Rate Assumptions'!$A$1:$C$1,0))</f>
        <v>649.73677993559397</v>
      </c>
      <c r="EC5" s="279">
        <f>INDEX('Rate Assumptions'!$A$1:$C$32,MATCH('Success Allocation'!EC$3,'Rate Assumptions'!$A$1:$A$32,0),MATCH($DR$1,'Rate Assumptions'!$A$1:$C$1,0))</f>
        <v>433.15785329039602</v>
      </c>
      <c r="ED5" s="279">
        <f>INDEX('Rate Assumptions'!$A$1:$C$32,MATCH('Success Allocation'!ED$3,'Rate Assumptions'!$A$1:$A$32,0),MATCH($DR$1,'Rate Assumptions'!$A$1:$C$1,0))</f>
        <v>433.15785329039602</v>
      </c>
      <c r="EE5" s="279">
        <f>INDEX('Rate Assumptions'!$A$1:$C$32,MATCH('Success Allocation'!EE$3,'Rate Assumptions'!$A$1:$A$32,0),MATCH($DR$1,'Rate Assumptions'!$A$1:$C$1,0))</f>
        <v>216.57892664519801</v>
      </c>
      <c r="EF5" s="279">
        <f>INDEX('Rate Assumptions'!$A$1:$C$32,MATCH('Success Allocation'!EF$3,'Rate Assumptions'!$A$1:$A$32,0),MATCH($DR$1,'Rate Assumptions'!$A$1:$C$1,0))</f>
        <v>324.86838996779699</v>
      </c>
      <c r="EG5" s="280">
        <f>INDEX('Rate Assumptions'!$A$1:$C$32,MATCH('Success Allocation'!EG$3,'Rate Assumptions'!$A$1:$A$32,0),MATCH($DR$1,'Rate Assumptions'!$A$1:$C$1,0))</f>
        <v>216.57892664519801</v>
      </c>
      <c r="EH5" s="279">
        <f>INDEX('Rate Assumptions'!$A$1:$C$32,MATCH('Success Allocation'!EH$3,'Rate Assumptions'!$A$1:$A$32,0),MATCH($DR$1,'Rate Assumptions'!$A$1:$C$1,0))</f>
        <v>577.54380438719465</v>
      </c>
      <c r="EI5" s="279">
        <f>INDEX('Rate Assumptions'!$A$1:$C$32,MATCH('Success Allocation'!EI$3,'Rate Assumptions'!$A$1:$A$32,0),MATCH($DR$1,'Rate Assumptions'!$A$1:$C$1,0))</f>
        <v>433.15785329039602</v>
      </c>
      <c r="EJ5" s="279">
        <f>INDEX('Rate Assumptions'!$A$1:$C$32,MATCH('Success Allocation'!EJ$3,'Rate Assumptions'!$A$1:$A$32,0),MATCH($DR$1,'Rate Assumptions'!$A$1:$C$1,0))</f>
        <v>433.15785329039602</v>
      </c>
      <c r="EK5" s="279">
        <f>INDEX('Rate Assumptions'!$A$1:$C$32,MATCH('Success Allocation'!EK$3,'Rate Assumptions'!$A$1:$A$32,0),MATCH($DR$1,'Rate Assumptions'!$A$1:$C$1,0))</f>
        <v>288.77190219359733</v>
      </c>
      <c r="EL5" s="279">
        <f>INDEX('Rate Assumptions'!$A$1:$C$32,MATCH('Success Allocation'!EL$3,'Rate Assumptions'!$A$1:$A$32,0),MATCH($DR$1,'Rate Assumptions'!$A$1:$C$1,0))</f>
        <v>288.77190219359733</v>
      </c>
      <c r="EM5" s="279">
        <f>INDEX('Rate Assumptions'!$A$1:$C$32,MATCH('Success Allocation'!EM$3,'Rate Assumptions'!$A$1:$A$32,0),MATCH($DR$1,'Rate Assumptions'!$A$1:$C$1,0))</f>
        <v>144.38595109679866</v>
      </c>
      <c r="EN5" s="279">
        <f>INDEX('Rate Assumptions'!$A$1:$C$32,MATCH('Success Allocation'!EN$3,'Rate Assumptions'!$A$1:$A$32,0),MATCH($DR$1,'Rate Assumptions'!$A$1:$C$1,0))</f>
        <v>216.57892664519801</v>
      </c>
      <c r="EO5" s="281">
        <f>INDEX('Rate Assumptions'!$A$1:$C$32,MATCH('Success Allocation'!EO$3,'Rate Assumptions'!$A$1:$A$32,0),MATCH($DR$1,'Rate Assumptions'!$A$1:$C$1,0))</f>
        <v>144.38595109679866</v>
      </c>
      <c r="EP5" s="170">
        <f t="shared" ref="EP5:EP68" si="50">SUMPRODUCT(BV5:CS5,DR5:EO5)</f>
        <v>8031644.8228087509</v>
      </c>
    </row>
    <row r="6" spans="1:146">
      <c r="A6" s="223" t="s">
        <v>94</v>
      </c>
      <c r="B6" s="226">
        <v>73</v>
      </c>
      <c r="C6" s="226">
        <v>216</v>
      </c>
      <c r="D6" s="226">
        <v>0</v>
      </c>
      <c r="E6" s="226">
        <v>7</v>
      </c>
      <c r="F6" s="226">
        <v>25</v>
      </c>
      <c r="G6" s="227">
        <v>421</v>
      </c>
      <c r="H6" s="226">
        <v>358</v>
      </c>
      <c r="I6" s="228">
        <v>460</v>
      </c>
      <c r="J6" s="226">
        <v>57</v>
      </c>
      <c r="K6" s="226">
        <v>160</v>
      </c>
      <c r="L6" s="226">
        <v>0</v>
      </c>
      <c r="M6" s="226">
        <v>7</v>
      </c>
      <c r="N6" s="226">
        <v>20</v>
      </c>
      <c r="O6" s="227">
        <v>312</v>
      </c>
      <c r="P6" s="226">
        <v>164</v>
      </c>
      <c r="Q6" s="228">
        <v>186</v>
      </c>
      <c r="R6" s="226">
        <v>66</v>
      </c>
      <c r="S6" s="226">
        <v>192</v>
      </c>
      <c r="T6" s="226">
        <v>0</v>
      </c>
      <c r="U6" s="226">
        <v>7</v>
      </c>
      <c r="V6" s="226">
        <v>23</v>
      </c>
      <c r="W6" s="227">
        <v>374</v>
      </c>
      <c r="X6" s="226">
        <v>241</v>
      </c>
      <c r="Y6" s="234">
        <v>285</v>
      </c>
      <c r="Z6" s="237">
        <v>67</v>
      </c>
      <c r="AA6" s="237">
        <v>252</v>
      </c>
      <c r="AB6" s="237">
        <v>0</v>
      </c>
      <c r="AC6" s="237">
        <v>17</v>
      </c>
      <c r="AD6" s="237">
        <v>57</v>
      </c>
      <c r="AE6" s="237">
        <v>374</v>
      </c>
      <c r="AF6" s="237">
        <v>330</v>
      </c>
      <c r="AG6" s="228">
        <v>516</v>
      </c>
      <c r="AH6" s="237">
        <v>58</v>
      </c>
      <c r="AI6" s="237">
        <v>198</v>
      </c>
      <c r="AJ6" s="237">
        <v>0</v>
      </c>
      <c r="AK6" s="237">
        <v>16</v>
      </c>
      <c r="AL6" s="237">
        <v>32</v>
      </c>
      <c r="AM6" s="237">
        <v>272</v>
      </c>
      <c r="AN6" s="237">
        <v>149</v>
      </c>
      <c r="AO6" s="228">
        <v>215</v>
      </c>
      <c r="AP6" s="237">
        <v>63</v>
      </c>
      <c r="AQ6" s="237">
        <v>230</v>
      </c>
      <c r="AR6" s="237">
        <v>0</v>
      </c>
      <c r="AS6" s="237">
        <v>17</v>
      </c>
      <c r="AT6" s="237">
        <v>42</v>
      </c>
      <c r="AU6" s="238">
        <v>328</v>
      </c>
      <c r="AV6" s="237">
        <v>221</v>
      </c>
      <c r="AW6" s="234">
        <v>338</v>
      </c>
      <c r="AX6" s="237"/>
      <c r="AY6" s="237"/>
      <c r="AZ6" s="237"/>
      <c r="BA6" s="237"/>
      <c r="BB6" s="237"/>
      <c r="BC6" s="237"/>
      <c r="BD6" s="237"/>
      <c r="BF6" s="237"/>
      <c r="BG6" s="237"/>
      <c r="BH6" s="237"/>
      <c r="BI6" s="237"/>
      <c r="BJ6" s="237"/>
      <c r="BK6" s="237"/>
      <c r="BL6" s="237"/>
      <c r="BN6" s="237"/>
      <c r="BO6" s="237"/>
      <c r="BP6" s="237"/>
      <c r="BQ6" s="237"/>
      <c r="BR6" s="237"/>
      <c r="BS6" s="238"/>
      <c r="BT6" s="237"/>
      <c r="BV6" s="264">
        <f t="shared" si="2"/>
        <v>61</v>
      </c>
      <c r="BW6" s="264">
        <f t="shared" si="3"/>
        <v>288</v>
      </c>
      <c r="BX6" s="264">
        <f t="shared" si="4"/>
        <v>0</v>
      </c>
      <c r="BY6" s="264">
        <f t="shared" si="5"/>
        <v>27</v>
      </c>
      <c r="BZ6" s="264">
        <f t="shared" si="6"/>
        <v>89</v>
      </c>
      <c r="CA6" s="264">
        <f t="shared" si="7"/>
        <v>327</v>
      </c>
      <c r="CB6" s="264">
        <f t="shared" si="8"/>
        <v>302</v>
      </c>
      <c r="CC6" s="265">
        <f t="shared" si="9"/>
        <v>572</v>
      </c>
      <c r="CD6" s="264">
        <f t="shared" si="10"/>
        <v>59</v>
      </c>
      <c r="CE6" s="264">
        <f t="shared" si="11"/>
        <v>236</v>
      </c>
      <c r="CF6" s="264">
        <f t="shared" si="12"/>
        <v>0</v>
      </c>
      <c r="CG6" s="264">
        <f t="shared" si="13"/>
        <v>25</v>
      </c>
      <c r="CH6" s="264">
        <f t="shared" si="14"/>
        <v>44</v>
      </c>
      <c r="CI6" s="264">
        <f t="shared" si="15"/>
        <v>232</v>
      </c>
      <c r="CJ6" s="264">
        <f t="shared" si="16"/>
        <v>134</v>
      </c>
      <c r="CK6" s="265">
        <f t="shared" si="17"/>
        <v>244</v>
      </c>
      <c r="CL6" s="264">
        <f t="shared" si="18"/>
        <v>60</v>
      </c>
      <c r="CM6" s="264">
        <f t="shared" si="19"/>
        <v>268</v>
      </c>
      <c r="CN6" s="264">
        <f t="shared" si="20"/>
        <v>0</v>
      </c>
      <c r="CO6" s="264">
        <f t="shared" si="21"/>
        <v>27</v>
      </c>
      <c r="CP6" s="264">
        <f t="shared" si="22"/>
        <v>61</v>
      </c>
      <c r="CQ6" s="264">
        <f t="shared" si="23"/>
        <v>282</v>
      </c>
      <c r="CR6" s="264">
        <f t="shared" si="24"/>
        <v>201</v>
      </c>
      <c r="CS6" s="266">
        <f t="shared" si="25"/>
        <v>391</v>
      </c>
      <c r="CT6" s="264">
        <f t="shared" si="26"/>
        <v>67</v>
      </c>
      <c r="CU6" s="264">
        <f t="shared" si="27"/>
        <v>252</v>
      </c>
      <c r="CV6" s="264">
        <f t="shared" si="28"/>
        <v>0</v>
      </c>
      <c r="CW6" s="264">
        <f t="shared" si="29"/>
        <v>17</v>
      </c>
      <c r="CX6" s="264">
        <f t="shared" si="30"/>
        <v>57</v>
      </c>
      <c r="CY6" s="264">
        <f t="shared" si="31"/>
        <v>374</v>
      </c>
      <c r="CZ6" s="264">
        <f t="shared" si="32"/>
        <v>330</v>
      </c>
      <c r="DA6" s="265">
        <f t="shared" si="33"/>
        <v>516</v>
      </c>
      <c r="DB6" s="264">
        <f t="shared" si="34"/>
        <v>58</v>
      </c>
      <c r="DC6" s="264">
        <f t="shared" si="35"/>
        <v>198</v>
      </c>
      <c r="DD6" s="264">
        <f t="shared" si="36"/>
        <v>0</v>
      </c>
      <c r="DE6" s="264">
        <f t="shared" si="37"/>
        <v>16</v>
      </c>
      <c r="DF6" s="264">
        <f t="shared" si="38"/>
        <v>32</v>
      </c>
      <c r="DG6" s="264">
        <f t="shared" si="39"/>
        <v>272</v>
      </c>
      <c r="DH6" s="264">
        <f t="shared" si="40"/>
        <v>149</v>
      </c>
      <c r="DI6" s="265">
        <f t="shared" si="41"/>
        <v>215</v>
      </c>
      <c r="DJ6" s="264">
        <f t="shared" si="42"/>
        <v>63</v>
      </c>
      <c r="DK6" s="264">
        <f t="shared" si="43"/>
        <v>230</v>
      </c>
      <c r="DL6" s="264">
        <f t="shared" si="44"/>
        <v>0</v>
      </c>
      <c r="DM6" s="264">
        <f t="shared" si="45"/>
        <v>17</v>
      </c>
      <c r="DN6" s="264">
        <f t="shared" si="46"/>
        <v>42</v>
      </c>
      <c r="DO6" s="264">
        <f t="shared" si="47"/>
        <v>328</v>
      </c>
      <c r="DP6" s="264">
        <f t="shared" si="48"/>
        <v>221</v>
      </c>
      <c r="DQ6" s="266">
        <f t="shared" si="49"/>
        <v>338</v>
      </c>
      <c r="DR6" s="279">
        <f>INDEX('Rate Assumptions'!$A$1:$C$32,MATCH('Success Allocation'!DR$3,'Rate Assumptions'!$A$1:$A$32,0),MATCH($DR$1,'Rate Assumptions'!$A$1:$C$1,0))</f>
        <v>2291.7551696336809</v>
      </c>
      <c r="DS6" s="279">
        <f>INDEX('Rate Assumptions'!$A$1:$C$32,MATCH('Success Allocation'!DS$3,'Rate Assumptions'!$A$1:$A$32,0),MATCH($DR$1,'Rate Assumptions'!$A$1:$C$1,0))</f>
        <v>1718.8163772252606</v>
      </c>
      <c r="DT6" s="279">
        <f>INDEX('Rate Assumptions'!$A$1:$C$32,MATCH('Success Allocation'!DT$3,'Rate Assumptions'!$A$1:$A$32,0),MATCH($DR$1,'Rate Assumptions'!$A$1:$C$1,0))</f>
        <v>1718.8163772252606</v>
      </c>
      <c r="DU6" s="279">
        <f>INDEX('Rate Assumptions'!$A$1:$C$32,MATCH('Success Allocation'!DU$3,'Rate Assumptions'!$A$1:$A$32,0),MATCH($DR$1,'Rate Assumptions'!$A$1:$C$1,0))</f>
        <v>1145.8775848168405</v>
      </c>
      <c r="DV6" s="279">
        <f>INDEX('Rate Assumptions'!$A$1:$C$32,MATCH('Success Allocation'!DV$3,'Rate Assumptions'!$A$1:$A$32,0),MATCH($DR$1,'Rate Assumptions'!$A$1:$C$1,0))</f>
        <v>1145.8775848168405</v>
      </c>
      <c r="DW6" s="279">
        <f>INDEX('Rate Assumptions'!$A$1:$C$32,MATCH('Success Allocation'!DW$3,'Rate Assumptions'!$A$1:$A$32,0),MATCH($DR$1,'Rate Assumptions'!$A$1:$C$1,0))</f>
        <v>572.93879240842023</v>
      </c>
      <c r="DX6" s="279">
        <f>INDEX('Rate Assumptions'!$A$1:$C$32,MATCH('Success Allocation'!DX$3,'Rate Assumptions'!$A$1:$A$32,0),MATCH($DR$1,'Rate Assumptions'!$A$1:$C$1,0))</f>
        <v>859.40818861263028</v>
      </c>
      <c r="DY6" s="280">
        <f>INDEX('Rate Assumptions'!$A$1:$C$32,MATCH('Success Allocation'!DY$3,'Rate Assumptions'!$A$1:$A$32,0),MATCH($DR$1,'Rate Assumptions'!$A$1:$C$1,0))</f>
        <v>572.93879240842023</v>
      </c>
      <c r="DZ6" s="279">
        <f>INDEX('Rate Assumptions'!$A$1:$C$32,MATCH('Success Allocation'!DZ$3,'Rate Assumptions'!$A$1:$A$32,0),MATCH($DR$1,'Rate Assumptions'!$A$1:$C$1,0))</f>
        <v>866.31570658079204</v>
      </c>
      <c r="EA6" s="279">
        <f>INDEX('Rate Assumptions'!$A$1:$C$32,MATCH('Success Allocation'!EA$3,'Rate Assumptions'!$A$1:$A$32,0),MATCH($DR$1,'Rate Assumptions'!$A$1:$C$1,0))</f>
        <v>649.73677993559397</v>
      </c>
      <c r="EB6" s="279">
        <f>INDEX('Rate Assumptions'!$A$1:$C$32,MATCH('Success Allocation'!EB$3,'Rate Assumptions'!$A$1:$A$32,0),MATCH($DR$1,'Rate Assumptions'!$A$1:$C$1,0))</f>
        <v>649.73677993559397</v>
      </c>
      <c r="EC6" s="279">
        <f>INDEX('Rate Assumptions'!$A$1:$C$32,MATCH('Success Allocation'!EC$3,'Rate Assumptions'!$A$1:$A$32,0),MATCH($DR$1,'Rate Assumptions'!$A$1:$C$1,0))</f>
        <v>433.15785329039602</v>
      </c>
      <c r="ED6" s="279">
        <f>INDEX('Rate Assumptions'!$A$1:$C$32,MATCH('Success Allocation'!ED$3,'Rate Assumptions'!$A$1:$A$32,0),MATCH($DR$1,'Rate Assumptions'!$A$1:$C$1,0))</f>
        <v>433.15785329039602</v>
      </c>
      <c r="EE6" s="279">
        <f>INDEX('Rate Assumptions'!$A$1:$C$32,MATCH('Success Allocation'!EE$3,'Rate Assumptions'!$A$1:$A$32,0),MATCH($DR$1,'Rate Assumptions'!$A$1:$C$1,0))</f>
        <v>216.57892664519801</v>
      </c>
      <c r="EF6" s="279">
        <f>INDEX('Rate Assumptions'!$A$1:$C$32,MATCH('Success Allocation'!EF$3,'Rate Assumptions'!$A$1:$A$32,0),MATCH($DR$1,'Rate Assumptions'!$A$1:$C$1,0))</f>
        <v>324.86838996779699</v>
      </c>
      <c r="EG6" s="280">
        <f>INDEX('Rate Assumptions'!$A$1:$C$32,MATCH('Success Allocation'!EG$3,'Rate Assumptions'!$A$1:$A$32,0),MATCH($DR$1,'Rate Assumptions'!$A$1:$C$1,0))</f>
        <v>216.57892664519801</v>
      </c>
      <c r="EH6" s="279">
        <f>INDEX('Rate Assumptions'!$A$1:$C$32,MATCH('Success Allocation'!EH$3,'Rate Assumptions'!$A$1:$A$32,0),MATCH($DR$1,'Rate Assumptions'!$A$1:$C$1,0))</f>
        <v>577.54380438719465</v>
      </c>
      <c r="EI6" s="279">
        <f>INDEX('Rate Assumptions'!$A$1:$C$32,MATCH('Success Allocation'!EI$3,'Rate Assumptions'!$A$1:$A$32,0),MATCH($DR$1,'Rate Assumptions'!$A$1:$C$1,0))</f>
        <v>433.15785329039602</v>
      </c>
      <c r="EJ6" s="279">
        <f>INDEX('Rate Assumptions'!$A$1:$C$32,MATCH('Success Allocation'!EJ$3,'Rate Assumptions'!$A$1:$A$32,0),MATCH($DR$1,'Rate Assumptions'!$A$1:$C$1,0))</f>
        <v>433.15785329039602</v>
      </c>
      <c r="EK6" s="279">
        <f>INDEX('Rate Assumptions'!$A$1:$C$32,MATCH('Success Allocation'!EK$3,'Rate Assumptions'!$A$1:$A$32,0),MATCH($DR$1,'Rate Assumptions'!$A$1:$C$1,0))</f>
        <v>288.77190219359733</v>
      </c>
      <c r="EL6" s="279">
        <f>INDEX('Rate Assumptions'!$A$1:$C$32,MATCH('Success Allocation'!EL$3,'Rate Assumptions'!$A$1:$A$32,0),MATCH($DR$1,'Rate Assumptions'!$A$1:$C$1,0))</f>
        <v>288.77190219359733</v>
      </c>
      <c r="EM6" s="279">
        <f>INDEX('Rate Assumptions'!$A$1:$C$32,MATCH('Success Allocation'!EM$3,'Rate Assumptions'!$A$1:$A$32,0),MATCH($DR$1,'Rate Assumptions'!$A$1:$C$1,0))</f>
        <v>144.38595109679866</v>
      </c>
      <c r="EN6" s="279">
        <f>INDEX('Rate Assumptions'!$A$1:$C$32,MATCH('Success Allocation'!EN$3,'Rate Assumptions'!$A$1:$A$32,0),MATCH($DR$1,'Rate Assumptions'!$A$1:$C$1,0))</f>
        <v>216.57892664519801</v>
      </c>
      <c r="EO6" s="281">
        <f>INDEX('Rate Assumptions'!$A$1:$C$32,MATCH('Success Allocation'!EO$3,'Rate Assumptions'!$A$1:$A$32,0),MATCH($DR$1,'Rate Assumptions'!$A$1:$C$1,0))</f>
        <v>144.38595109679866</v>
      </c>
      <c r="EP6" s="170">
        <f t="shared" si="50"/>
        <v>2240168.5308142952</v>
      </c>
    </row>
    <row r="7" spans="1:146">
      <c r="A7" s="223" t="s">
        <v>95</v>
      </c>
      <c r="B7" s="226">
        <v>279</v>
      </c>
      <c r="C7" s="226">
        <v>753</v>
      </c>
      <c r="D7" s="226">
        <v>0</v>
      </c>
      <c r="E7" s="226">
        <v>334</v>
      </c>
      <c r="F7" s="226">
        <v>232</v>
      </c>
      <c r="G7" s="227">
        <v>2260</v>
      </c>
      <c r="H7" s="226">
        <v>1237</v>
      </c>
      <c r="I7" s="228">
        <v>1585</v>
      </c>
      <c r="J7" s="226">
        <v>184</v>
      </c>
      <c r="K7" s="226">
        <v>509</v>
      </c>
      <c r="L7" s="226">
        <v>0</v>
      </c>
      <c r="M7" s="226">
        <v>152</v>
      </c>
      <c r="N7" s="226">
        <v>107</v>
      </c>
      <c r="O7" s="227">
        <v>1279</v>
      </c>
      <c r="P7" s="226">
        <v>658</v>
      </c>
      <c r="Q7" s="228">
        <v>762</v>
      </c>
      <c r="R7" s="226">
        <v>222</v>
      </c>
      <c r="S7" s="226">
        <v>618</v>
      </c>
      <c r="T7" s="226">
        <v>0</v>
      </c>
      <c r="U7" s="226">
        <v>208</v>
      </c>
      <c r="V7" s="226">
        <v>140</v>
      </c>
      <c r="W7" s="227">
        <v>1677</v>
      </c>
      <c r="X7" s="226">
        <v>859</v>
      </c>
      <c r="Y7" s="234">
        <v>1029</v>
      </c>
      <c r="Z7" s="237">
        <v>304</v>
      </c>
      <c r="AA7" s="237">
        <v>730</v>
      </c>
      <c r="AB7" s="237">
        <v>0</v>
      </c>
      <c r="AC7" s="237">
        <v>331</v>
      </c>
      <c r="AD7" s="237">
        <v>268</v>
      </c>
      <c r="AE7" s="237">
        <v>2192</v>
      </c>
      <c r="AF7" s="237">
        <v>1201</v>
      </c>
      <c r="AG7" s="228">
        <v>1674</v>
      </c>
      <c r="AH7" s="237">
        <v>183</v>
      </c>
      <c r="AI7" s="237">
        <v>491</v>
      </c>
      <c r="AJ7" s="237">
        <v>0</v>
      </c>
      <c r="AK7" s="237">
        <v>131</v>
      </c>
      <c r="AL7" s="237">
        <v>134</v>
      </c>
      <c r="AM7" s="237">
        <v>1161</v>
      </c>
      <c r="AN7" s="237">
        <v>616</v>
      </c>
      <c r="AO7" s="228">
        <v>783</v>
      </c>
      <c r="AP7" s="237">
        <v>231</v>
      </c>
      <c r="AQ7" s="237">
        <v>597</v>
      </c>
      <c r="AR7" s="237">
        <v>0</v>
      </c>
      <c r="AS7" s="237">
        <v>176</v>
      </c>
      <c r="AT7" s="237">
        <v>170</v>
      </c>
      <c r="AU7" s="238">
        <v>1575</v>
      </c>
      <c r="AV7" s="237">
        <v>806</v>
      </c>
      <c r="AW7" s="234">
        <v>1076</v>
      </c>
      <c r="AX7" s="237"/>
      <c r="AY7" s="237"/>
      <c r="AZ7" s="237"/>
      <c r="BA7" s="237"/>
      <c r="BB7" s="237"/>
      <c r="BC7" s="237"/>
      <c r="BD7" s="237"/>
      <c r="BF7" s="237"/>
      <c r="BG7" s="237"/>
      <c r="BH7" s="237"/>
      <c r="BI7" s="237"/>
      <c r="BJ7" s="237"/>
      <c r="BK7" s="237"/>
      <c r="BL7" s="237"/>
      <c r="BN7" s="237"/>
      <c r="BO7" s="237"/>
      <c r="BP7" s="237"/>
      <c r="BQ7" s="237"/>
      <c r="BR7" s="237"/>
      <c r="BS7" s="238"/>
      <c r="BT7" s="237"/>
      <c r="BV7" s="264">
        <f t="shared" si="2"/>
        <v>329</v>
      </c>
      <c r="BW7" s="264">
        <f t="shared" si="3"/>
        <v>707</v>
      </c>
      <c r="BX7" s="264">
        <f t="shared" si="4"/>
        <v>0</v>
      </c>
      <c r="BY7" s="264">
        <f t="shared" si="5"/>
        <v>328</v>
      </c>
      <c r="BZ7" s="264">
        <f t="shared" si="6"/>
        <v>304</v>
      </c>
      <c r="CA7" s="264">
        <f t="shared" si="7"/>
        <v>2124</v>
      </c>
      <c r="CB7" s="264">
        <f t="shared" si="8"/>
        <v>1165</v>
      </c>
      <c r="CC7" s="265">
        <f t="shared" si="9"/>
        <v>1763</v>
      </c>
      <c r="CD7" s="264">
        <f t="shared" si="10"/>
        <v>182</v>
      </c>
      <c r="CE7" s="264">
        <f t="shared" si="11"/>
        <v>473</v>
      </c>
      <c r="CF7" s="264">
        <f t="shared" si="12"/>
        <v>0</v>
      </c>
      <c r="CG7" s="264">
        <f t="shared" si="13"/>
        <v>110</v>
      </c>
      <c r="CH7" s="264">
        <f t="shared" si="14"/>
        <v>161</v>
      </c>
      <c r="CI7" s="264">
        <f t="shared" si="15"/>
        <v>1043</v>
      </c>
      <c r="CJ7" s="264">
        <f t="shared" si="16"/>
        <v>574</v>
      </c>
      <c r="CK7" s="265">
        <f t="shared" si="17"/>
        <v>804</v>
      </c>
      <c r="CL7" s="264">
        <f t="shared" si="18"/>
        <v>240</v>
      </c>
      <c r="CM7" s="264">
        <f t="shared" si="19"/>
        <v>576</v>
      </c>
      <c r="CN7" s="264">
        <f t="shared" si="20"/>
        <v>0</v>
      </c>
      <c r="CO7" s="264">
        <f t="shared" si="21"/>
        <v>144</v>
      </c>
      <c r="CP7" s="264">
        <f t="shared" si="22"/>
        <v>200</v>
      </c>
      <c r="CQ7" s="264">
        <f t="shared" si="23"/>
        <v>1473</v>
      </c>
      <c r="CR7" s="264">
        <f t="shared" si="24"/>
        <v>753</v>
      </c>
      <c r="CS7" s="266">
        <f t="shared" si="25"/>
        <v>1123</v>
      </c>
      <c r="CT7" s="264">
        <f t="shared" si="26"/>
        <v>304</v>
      </c>
      <c r="CU7" s="264">
        <f t="shared" si="27"/>
        <v>730</v>
      </c>
      <c r="CV7" s="264">
        <f t="shared" si="28"/>
        <v>0</v>
      </c>
      <c r="CW7" s="264">
        <f t="shared" si="29"/>
        <v>331</v>
      </c>
      <c r="CX7" s="264">
        <f t="shared" si="30"/>
        <v>268</v>
      </c>
      <c r="CY7" s="264">
        <f t="shared" si="31"/>
        <v>2192</v>
      </c>
      <c r="CZ7" s="264">
        <f t="shared" si="32"/>
        <v>1201</v>
      </c>
      <c r="DA7" s="265">
        <f t="shared" si="33"/>
        <v>1674</v>
      </c>
      <c r="DB7" s="264">
        <f t="shared" si="34"/>
        <v>183</v>
      </c>
      <c r="DC7" s="264">
        <f t="shared" si="35"/>
        <v>491</v>
      </c>
      <c r="DD7" s="264">
        <f t="shared" si="36"/>
        <v>0</v>
      </c>
      <c r="DE7" s="264">
        <f t="shared" si="37"/>
        <v>131</v>
      </c>
      <c r="DF7" s="264">
        <f t="shared" si="38"/>
        <v>134</v>
      </c>
      <c r="DG7" s="264">
        <f t="shared" si="39"/>
        <v>1161</v>
      </c>
      <c r="DH7" s="264">
        <f t="shared" si="40"/>
        <v>616</v>
      </c>
      <c r="DI7" s="265">
        <f t="shared" si="41"/>
        <v>783</v>
      </c>
      <c r="DJ7" s="264">
        <f t="shared" si="42"/>
        <v>231</v>
      </c>
      <c r="DK7" s="264">
        <f t="shared" si="43"/>
        <v>597</v>
      </c>
      <c r="DL7" s="264">
        <f t="shared" si="44"/>
        <v>0</v>
      </c>
      <c r="DM7" s="264">
        <f t="shared" si="45"/>
        <v>176</v>
      </c>
      <c r="DN7" s="264">
        <f t="shared" si="46"/>
        <v>170</v>
      </c>
      <c r="DO7" s="264">
        <f t="shared" si="47"/>
        <v>1575</v>
      </c>
      <c r="DP7" s="264">
        <f t="shared" si="48"/>
        <v>806</v>
      </c>
      <c r="DQ7" s="266">
        <f t="shared" si="49"/>
        <v>1076</v>
      </c>
      <c r="DR7" s="279">
        <f>INDEX('Rate Assumptions'!$A$1:$C$32,MATCH('Success Allocation'!DR$3,'Rate Assumptions'!$A$1:$A$32,0),MATCH($DR$1,'Rate Assumptions'!$A$1:$C$1,0))</f>
        <v>2291.7551696336809</v>
      </c>
      <c r="DS7" s="279">
        <f>INDEX('Rate Assumptions'!$A$1:$C$32,MATCH('Success Allocation'!DS$3,'Rate Assumptions'!$A$1:$A$32,0),MATCH($DR$1,'Rate Assumptions'!$A$1:$C$1,0))</f>
        <v>1718.8163772252606</v>
      </c>
      <c r="DT7" s="279">
        <f>INDEX('Rate Assumptions'!$A$1:$C$32,MATCH('Success Allocation'!DT$3,'Rate Assumptions'!$A$1:$A$32,0),MATCH($DR$1,'Rate Assumptions'!$A$1:$C$1,0))</f>
        <v>1718.8163772252606</v>
      </c>
      <c r="DU7" s="279">
        <f>INDEX('Rate Assumptions'!$A$1:$C$32,MATCH('Success Allocation'!DU$3,'Rate Assumptions'!$A$1:$A$32,0),MATCH($DR$1,'Rate Assumptions'!$A$1:$C$1,0))</f>
        <v>1145.8775848168405</v>
      </c>
      <c r="DV7" s="279">
        <f>INDEX('Rate Assumptions'!$A$1:$C$32,MATCH('Success Allocation'!DV$3,'Rate Assumptions'!$A$1:$A$32,0),MATCH($DR$1,'Rate Assumptions'!$A$1:$C$1,0))</f>
        <v>1145.8775848168405</v>
      </c>
      <c r="DW7" s="279">
        <f>INDEX('Rate Assumptions'!$A$1:$C$32,MATCH('Success Allocation'!DW$3,'Rate Assumptions'!$A$1:$A$32,0),MATCH($DR$1,'Rate Assumptions'!$A$1:$C$1,0))</f>
        <v>572.93879240842023</v>
      </c>
      <c r="DX7" s="279">
        <f>INDEX('Rate Assumptions'!$A$1:$C$32,MATCH('Success Allocation'!DX$3,'Rate Assumptions'!$A$1:$A$32,0),MATCH($DR$1,'Rate Assumptions'!$A$1:$C$1,0))</f>
        <v>859.40818861263028</v>
      </c>
      <c r="DY7" s="280">
        <f>INDEX('Rate Assumptions'!$A$1:$C$32,MATCH('Success Allocation'!DY$3,'Rate Assumptions'!$A$1:$A$32,0),MATCH($DR$1,'Rate Assumptions'!$A$1:$C$1,0))</f>
        <v>572.93879240842023</v>
      </c>
      <c r="DZ7" s="279">
        <f>INDEX('Rate Assumptions'!$A$1:$C$32,MATCH('Success Allocation'!DZ$3,'Rate Assumptions'!$A$1:$A$32,0),MATCH($DR$1,'Rate Assumptions'!$A$1:$C$1,0))</f>
        <v>866.31570658079204</v>
      </c>
      <c r="EA7" s="279">
        <f>INDEX('Rate Assumptions'!$A$1:$C$32,MATCH('Success Allocation'!EA$3,'Rate Assumptions'!$A$1:$A$32,0),MATCH($DR$1,'Rate Assumptions'!$A$1:$C$1,0))</f>
        <v>649.73677993559397</v>
      </c>
      <c r="EB7" s="279">
        <f>INDEX('Rate Assumptions'!$A$1:$C$32,MATCH('Success Allocation'!EB$3,'Rate Assumptions'!$A$1:$A$32,0),MATCH($DR$1,'Rate Assumptions'!$A$1:$C$1,0))</f>
        <v>649.73677993559397</v>
      </c>
      <c r="EC7" s="279">
        <f>INDEX('Rate Assumptions'!$A$1:$C$32,MATCH('Success Allocation'!EC$3,'Rate Assumptions'!$A$1:$A$32,0),MATCH($DR$1,'Rate Assumptions'!$A$1:$C$1,0))</f>
        <v>433.15785329039602</v>
      </c>
      <c r="ED7" s="279">
        <f>INDEX('Rate Assumptions'!$A$1:$C$32,MATCH('Success Allocation'!ED$3,'Rate Assumptions'!$A$1:$A$32,0),MATCH($DR$1,'Rate Assumptions'!$A$1:$C$1,0))</f>
        <v>433.15785329039602</v>
      </c>
      <c r="EE7" s="279">
        <f>INDEX('Rate Assumptions'!$A$1:$C$32,MATCH('Success Allocation'!EE$3,'Rate Assumptions'!$A$1:$A$32,0),MATCH($DR$1,'Rate Assumptions'!$A$1:$C$1,0))</f>
        <v>216.57892664519801</v>
      </c>
      <c r="EF7" s="279">
        <f>INDEX('Rate Assumptions'!$A$1:$C$32,MATCH('Success Allocation'!EF$3,'Rate Assumptions'!$A$1:$A$32,0),MATCH($DR$1,'Rate Assumptions'!$A$1:$C$1,0))</f>
        <v>324.86838996779699</v>
      </c>
      <c r="EG7" s="280">
        <f>INDEX('Rate Assumptions'!$A$1:$C$32,MATCH('Success Allocation'!EG$3,'Rate Assumptions'!$A$1:$A$32,0),MATCH($DR$1,'Rate Assumptions'!$A$1:$C$1,0))</f>
        <v>216.57892664519801</v>
      </c>
      <c r="EH7" s="279">
        <f>INDEX('Rate Assumptions'!$A$1:$C$32,MATCH('Success Allocation'!EH$3,'Rate Assumptions'!$A$1:$A$32,0),MATCH($DR$1,'Rate Assumptions'!$A$1:$C$1,0))</f>
        <v>577.54380438719465</v>
      </c>
      <c r="EI7" s="279">
        <f>INDEX('Rate Assumptions'!$A$1:$C$32,MATCH('Success Allocation'!EI$3,'Rate Assumptions'!$A$1:$A$32,0),MATCH($DR$1,'Rate Assumptions'!$A$1:$C$1,0))</f>
        <v>433.15785329039602</v>
      </c>
      <c r="EJ7" s="279">
        <f>INDEX('Rate Assumptions'!$A$1:$C$32,MATCH('Success Allocation'!EJ$3,'Rate Assumptions'!$A$1:$A$32,0),MATCH($DR$1,'Rate Assumptions'!$A$1:$C$1,0))</f>
        <v>433.15785329039602</v>
      </c>
      <c r="EK7" s="279">
        <f>INDEX('Rate Assumptions'!$A$1:$C$32,MATCH('Success Allocation'!EK$3,'Rate Assumptions'!$A$1:$A$32,0),MATCH($DR$1,'Rate Assumptions'!$A$1:$C$1,0))</f>
        <v>288.77190219359733</v>
      </c>
      <c r="EL7" s="279">
        <f>INDEX('Rate Assumptions'!$A$1:$C$32,MATCH('Success Allocation'!EL$3,'Rate Assumptions'!$A$1:$A$32,0),MATCH($DR$1,'Rate Assumptions'!$A$1:$C$1,0))</f>
        <v>288.77190219359733</v>
      </c>
      <c r="EM7" s="279">
        <f>INDEX('Rate Assumptions'!$A$1:$C$32,MATCH('Success Allocation'!EM$3,'Rate Assumptions'!$A$1:$A$32,0),MATCH($DR$1,'Rate Assumptions'!$A$1:$C$1,0))</f>
        <v>144.38595109679866</v>
      </c>
      <c r="EN7" s="279">
        <f>INDEX('Rate Assumptions'!$A$1:$C$32,MATCH('Success Allocation'!EN$3,'Rate Assumptions'!$A$1:$A$32,0),MATCH($DR$1,'Rate Assumptions'!$A$1:$C$1,0))</f>
        <v>216.57892664519801</v>
      </c>
      <c r="EO7" s="281">
        <f>INDEX('Rate Assumptions'!$A$1:$C$32,MATCH('Success Allocation'!EO$3,'Rate Assumptions'!$A$1:$A$32,0),MATCH($DR$1,'Rate Assumptions'!$A$1:$C$1,0))</f>
        <v>144.38595109679866</v>
      </c>
      <c r="EP7" s="170">
        <f t="shared" si="50"/>
        <v>8115842.1877552783</v>
      </c>
    </row>
    <row r="8" spans="1:146">
      <c r="A8" s="223" t="s">
        <v>96</v>
      </c>
      <c r="B8" s="226">
        <v>219</v>
      </c>
      <c r="C8" s="226">
        <v>654</v>
      </c>
      <c r="D8" s="226">
        <v>0</v>
      </c>
      <c r="E8" s="226">
        <v>78</v>
      </c>
      <c r="F8" s="226">
        <v>150</v>
      </c>
      <c r="G8" s="227">
        <v>1174</v>
      </c>
      <c r="H8" s="226">
        <v>955</v>
      </c>
      <c r="I8" s="228">
        <v>1405</v>
      </c>
      <c r="J8" s="226">
        <v>103</v>
      </c>
      <c r="K8" s="226">
        <v>364</v>
      </c>
      <c r="L8" s="226">
        <v>0</v>
      </c>
      <c r="M8" s="226">
        <v>49</v>
      </c>
      <c r="N8" s="226">
        <v>37</v>
      </c>
      <c r="O8" s="227">
        <v>595</v>
      </c>
      <c r="P8" s="226">
        <v>383</v>
      </c>
      <c r="Q8" s="228">
        <v>355</v>
      </c>
      <c r="R8" s="226">
        <v>156</v>
      </c>
      <c r="S8" s="226">
        <v>482</v>
      </c>
      <c r="T8" s="226">
        <v>0</v>
      </c>
      <c r="U8" s="226">
        <v>71</v>
      </c>
      <c r="V8" s="226">
        <v>65</v>
      </c>
      <c r="W8" s="227">
        <v>846</v>
      </c>
      <c r="X8" s="226">
        <v>561</v>
      </c>
      <c r="Y8" s="234">
        <v>622</v>
      </c>
      <c r="Z8" s="237">
        <v>253</v>
      </c>
      <c r="AA8" s="237">
        <v>700</v>
      </c>
      <c r="AB8" s="237">
        <v>0</v>
      </c>
      <c r="AC8" s="237">
        <v>59</v>
      </c>
      <c r="AD8" s="237">
        <v>134</v>
      </c>
      <c r="AE8" s="237">
        <v>1135</v>
      </c>
      <c r="AF8" s="237">
        <v>1016</v>
      </c>
      <c r="AG8" s="228">
        <v>1650</v>
      </c>
      <c r="AH8" s="237">
        <v>117</v>
      </c>
      <c r="AI8" s="237">
        <v>356</v>
      </c>
      <c r="AJ8" s="237">
        <v>0</v>
      </c>
      <c r="AK8" s="237">
        <v>39</v>
      </c>
      <c r="AL8" s="237">
        <v>47</v>
      </c>
      <c r="AM8" s="237">
        <v>538</v>
      </c>
      <c r="AN8" s="237">
        <v>386</v>
      </c>
      <c r="AO8" s="228">
        <v>395</v>
      </c>
      <c r="AP8" s="237">
        <v>173</v>
      </c>
      <c r="AQ8" s="237">
        <v>485</v>
      </c>
      <c r="AR8" s="237">
        <v>0</v>
      </c>
      <c r="AS8" s="237">
        <v>50</v>
      </c>
      <c r="AT8" s="237">
        <v>63</v>
      </c>
      <c r="AU8" s="238">
        <v>788</v>
      </c>
      <c r="AV8" s="237">
        <v>585</v>
      </c>
      <c r="AW8" s="234">
        <v>707</v>
      </c>
      <c r="AX8" s="237"/>
      <c r="AY8" s="237"/>
      <c r="AZ8" s="237"/>
      <c r="BA8" s="237"/>
      <c r="BB8" s="237"/>
      <c r="BC8" s="237"/>
      <c r="BD8" s="237"/>
      <c r="BF8" s="237"/>
      <c r="BG8" s="237"/>
      <c r="BH8" s="237"/>
      <c r="BI8" s="237"/>
      <c r="BJ8" s="237"/>
      <c r="BK8" s="237"/>
      <c r="BL8" s="237"/>
      <c r="BN8" s="237"/>
      <c r="BO8" s="237"/>
      <c r="BP8" s="237"/>
      <c r="BQ8" s="237"/>
      <c r="BR8" s="237"/>
      <c r="BS8" s="238"/>
      <c r="BT8" s="237"/>
      <c r="BV8" s="264">
        <f t="shared" si="2"/>
        <v>287</v>
      </c>
      <c r="BW8" s="264">
        <f t="shared" si="3"/>
        <v>746</v>
      </c>
      <c r="BX8" s="264">
        <f t="shared" si="4"/>
        <v>0</v>
      </c>
      <c r="BY8" s="264">
        <f t="shared" si="5"/>
        <v>40</v>
      </c>
      <c r="BZ8" s="264">
        <f t="shared" si="6"/>
        <v>118</v>
      </c>
      <c r="CA8" s="264">
        <f t="shared" si="7"/>
        <v>1096</v>
      </c>
      <c r="CB8" s="264">
        <f t="shared" si="8"/>
        <v>1077</v>
      </c>
      <c r="CC8" s="265">
        <f t="shared" si="9"/>
        <v>1895</v>
      </c>
      <c r="CD8" s="264">
        <f t="shared" si="10"/>
        <v>131</v>
      </c>
      <c r="CE8" s="264">
        <f t="shared" si="11"/>
        <v>348</v>
      </c>
      <c r="CF8" s="264">
        <f t="shared" si="12"/>
        <v>0</v>
      </c>
      <c r="CG8" s="264">
        <f t="shared" si="13"/>
        <v>29</v>
      </c>
      <c r="CH8" s="264">
        <f t="shared" si="14"/>
        <v>57</v>
      </c>
      <c r="CI8" s="264">
        <f t="shared" si="15"/>
        <v>481</v>
      </c>
      <c r="CJ8" s="264">
        <f t="shared" si="16"/>
        <v>389</v>
      </c>
      <c r="CK8" s="265">
        <f t="shared" si="17"/>
        <v>435</v>
      </c>
      <c r="CL8" s="264">
        <f t="shared" si="18"/>
        <v>190</v>
      </c>
      <c r="CM8" s="264">
        <f t="shared" si="19"/>
        <v>488</v>
      </c>
      <c r="CN8" s="264">
        <f t="shared" si="20"/>
        <v>0</v>
      </c>
      <c r="CO8" s="264">
        <f t="shared" si="21"/>
        <v>29</v>
      </c>
      <c r="CP8" s="264">
        <f t="shared" si="22"/>
        <v>61</v>
      </c>
      <c r="CQ8" s="264">
        <f t="shared" si="23"/>
        <v>730</v>
      </c>
      <c r="CR8" s="264">
        <f t="shared" si="24"/>
        <v>609</v>
      </c>
      <c r="CS8" s="266">
        <f t="shared" si="25"/>
        <v>792</v>
      </c>
      <c r="CT8" s="264">
        <f t="shared" si="26"/>
        <v>253</v>
      </c>
      <c r="CU8" s="264">
        <f t="shared" si="27"/>
        <v>700</v>
      </c>
      <c r="CV8" s="264">
        <f t="shared" si="28"/>
        <v>0</v>
      </c>
      <c r="CW8" s="264">
        <f t="shared" si="29"/>
        <v>59</v>
      </c>
      <c r="CX8" s="264">
        <f t="shared" si="30"/>
        <v>134</v>
      </c>
      <c r="CY8" s="264">
        <f t="shared" si="31"/>
        <v>1135</v>
      </c>
      <c r="CZ8" s="264">
        <f t="shared" si="32"/>
        <v>1016</v>
      </c>
      <c r="DA8" s="265">
        <f t="shared" si="33"/>
        <v>1650</v>
      </c>
      <c r="DB8" s="264">
        <f t="shared" si="34"/>
        <v>117</v>
      </c>
      <c r="DC8" s="264">
        <f t="shared" si="35"/>
        <v>356</v>
      </c>
      <c r="DD8" s="264">
        <f t="shared" si="36"/>
        <v>0</v>
      </c>
      <c r="DE8" s="264">
        <f t="shared" si="37"/>
        <v>39</v>
      </c>
      <c r="DF8" s="264">
        <f t="shared" si="38"/>
        <v>47</v>
      </c>
      <c r="DG8" s="264">
        <f t="shared" si="39"/>
        <v>538</v>
      </c>
      <c r="DH8" s="264">
        <f t="shared" si="40"/>
        <v>386</v>
      </c>
      <c r="DI8" s="265">
        <f t="shared" si="41"/>
        <v>395</v>
      </c>
      <c r="DJ8" s="264">
        <f t="shared" si="42"/>
        <v>173</v>
      </c>
      <c r="DK8" s="264">
        <f t="shared" si="43"/>
        <v>485</v>
      </c>
      <c r="DL8" s="264">
        <f t="shared" si="44"/>
        <v>0</v>
      </c>
      <c r="DM8" s="264">
        <f t="shared" si="45"/>
        <v>50</v>
      </c>
      <c r="DN8" s="264">
        <f t="shared" si="46"/>
        <v>63</v>
      </c>
      <c r="DO8" s="264">
        <f t="shared" si="47"/>
        <v>788</v>
      </c>
      <c r="DP8" s="264">
        <f t="shared" si="48"/>
        <v>585</v>
      </c>
      <c r="DQ8" s="266">
        <f t="shared" si="49"/>
        <v>707</v>
      </c>
      <c r="DR8" s="279">
        <f>INDEX('Rate Assumptions'!$A$1:$C$32,MATCH('Success Allocation'!DR$3,'Rate Assumptions'!$A$1:$A$32,0),MATCH($DR$1,'Rate Assumptions'!$A$1:$C$1,0))</f>
        <v>2291.7551696336809</v>
      </c>
      <c r="DS8" s="279">
        <f>INDEX('Rate Assumptions'!$A$1:$C$32,MATCH('Success Allocation'!DS$3,'Rate Assumptions'!$A$1:$A$32,0),MATCH($DR$1,'Rate Assumptions'!$A$1:$C$1,0))</f>
        <v>1718.8163772252606</v>
      </c>
      <c r="DT8" s="279">
        <f>INDEX('Rate Assumptions'!$A$1:$C$32,MATCH('Success Allocation'!DT$3,'Rate Assumptions'!$A$1:$A$32,0),MATCH($DR$1,'Rate Assumptions'!$A$1:$C$1,0))</f>
        <v>1718.8163772252606</v>
      </c>
      <c r="DU8" s="279">
        <f>INDEX('Rate Assumptions'!$A$1:$C$32,MATCH('Success Allocation'!DU$3,'Rate Assumptions'!$A$1:$A$32,0),MATCH($DR$1,'Rate Assumptions'!$A$1:$C$1,0))</f>
        <v>1145.8775848168405</v>
      </c>
      <c r="DV8" s="279">
        <f>INDEX('Rate Assumptions'!$A$1:$C$32,MATCH('Success Allocation'!DV$3,'Rate Assumptions'!$A$1:$A$32,0),MATCH($DR$1,'Rate Assumptions'!$A$1:$C$1,0))</f>
        <v>1145.8775848168405</v>
      </c>
      <c r="DW8" s="279">
        <f>INDEX('Rate Assumptions'!$A$1:$C$32,MATCH('Success Allocation'!DW$3,'Rate Assumptions'!$A$1:$A$32,0),MATCH($DR$1,'Rate Assumptions'!$A$1:$C$1,0))</f>
        <v>572.93879240842023</v>
      </c>
      <c r="DX8" s="279">
        <f>INDEX('Rate Assumptions'!$A$1:$C$32,MATCH('Success Allocation'!DX$3,'Rate Assumptions'!$A$1:$A$32,0),MATCH($DR$1,'Rate Assumptions'!$A$1:$C$1,0))</f>
        <v>859.40818861263028</v>
      </c>
      <c r="DY8" s="280">
        <f>INDEX('Rate Assumptions'!$A$1:$C$32,MATCH('Success Allocation'!DY$3,'Rate Assumptions'!$A$1:$A$32,0),MATCH($DR$1,'Rate Assumptions'!$A$1:$C$1,0))</f>
        <v>572.93879240842023</v>
      </c>
      <c r="DZ8" s="279">
        <f>INDEX('Rate Assumptions'!$A$1:$C$32,MATCH('Success Allocation'!DZ$3,'Rate Assumptions'!$A$1:$A$32,0),MATCH($DR$1,'Rate Assumptions'!$A$1:$C$1,0))</f>
        <v>866.31570658079204</v>
      </c>
      <c r="EA8" s="279">
        <f>INDEX('Rate Assumptions'!$A$1:$C$32,MATCH('Success Allocation'!EA$3,'Rate Assumptions'!$A$1:$A$32,0),MATCH($DR$1,'Rate Assumptions'!$A$1:$C$1,0))</f>
        <v>649.73677993559397</v>
      </c>
      <c r="EB8" s="279">
        <f>INDEX('Rate Assumptions'!$A$1:$C$32,MATCH('Success Allocation'!EB$3,'Rate Assumptions'!$A$1:$A$32,0),MATCH($DR$1,'Rate Assumptions'!$A$1:$C$1,0))</f>
        <v>649.73677993559397</v>
      </c>
      <c r="EC8" s="279">
        <f>INDEX('Rate Assumptions'!$A$1:$C$32,MATCH('Success Allocation'!EC$3,'Rate Assumptions'!$A$1:$A$32,0),MATCH($DR$1,'Rate Assumptions'!$A$1:$C$1,0))</f>
        <v>433.15785329039602</v>
      </c>
      <c r="ED8" s="279">
        <f>INDEX('Rate Assumptions'!$A$1:$C$32,MATCH('Success Allocation'!ED$3,'Rate Assumptions'!$A$1:$A$32,0),MATCH($DR$1,'Rate Assumptions'!$A$1:$C$1,0))</f>
        <v>433.15785329039602</v>
      </c>
      <c r="EE8" s="279">
        <f>INDEX('Rate Assumptions'!$A$1:$C$32,MATCH('Success Allocation'!EE$3,'Rate Assumptions'!$A$1:$A$32,0),MATCH($DR$1,'Rate Assumptions'!$A$1:$C$1,0))</f>
        <v>216.57892664519801</v>
      </c>
      <c r="EF8" s="279">
        <f>INDEX('Rate Assumptions'!$A$1:$C$32,MATCH('Success Allocation'!EF$3,'Rate Assumptions'!$A$1:$A$32,0),MATCH($DR$1,'Rate Assumptions'!$A$1:$C$1,0))</f>
        <v>324.86838996779699</v>
      </c>
      <c r="EG8" s="280">
        <f>INDEX('Rate Assumptions'!$A$1:$C$32,MATCH('Success Allocation'!EG$3,'Rate Assumptions'!$A$1:$A$32,0),MATCH($DR$1,'Rate Assumptions'!$A$1:$C$1,0))</f>
        <v>216.57892664519801</v>
      </c>
      <c r="EH8" s="279">
        <f>INDEX('Rate Assumptions'!$A$1:$C$32,MATCH('Success Allocation'!EH$3,'Rate Assumptions'!$A$1:$A$32,0),MATCH($DR$1,'Rate Assumptions'!$A$1:$C$1,0))</f>
        <v>577.54380438719465</v>
      </c>
      <c r="EI8" s="279">
        <f>INDEX('Rate Assumptions'!$A$1:$C$32,MATCH('Success Allocation'!EI$3,'Rate Assumptions'!$A$1:$A$32,0),MATCH($DR$1,'Rate Assumptions'!$A$1:$C$1,0))</f>
        <v>433.15785329039602</v>
      </c>
      <c r="EJ8" s="279">
        <f>INDEX('Rate Assumptions'!$A$1:$C$32,MATCH('Success Allocation'!EJ$3,'Rate Assumptions'!$A$1:$A$32,0),MATCH($DR$1,'Rate Assumptions'!$A$1:$C$1,0))</f>
        <v>433.15785329039602</v>
      </c>
      <c r="EK8" s="279">
        <f>INDEX('Rate Assumptions'!$A$1:$C$32,MATCH('Success Allocation'!EK$3,'Rate Assumptions'!$A$1:$A$32,0),MATCH($DR$1,'Rate Assumptions'!$A$1:$C$1,0))</f>
        <v>288.77190219359733</v>
      </c>
      <c r="EL8" s="279">
        <f>INDEX('Rate Assumptions'!$A$1:$C$32,MATCH('Success Allocation'!EL$3,'Rate Assumptions'!$A$1:$A$32,0),MATCH($DR$1,'Rate Assumptions'!$A$1:$C$1,0))</f>
        <v>288.77190219359733</v>
      </c>
      <c r="EM8" s="279">
        <f>INDEX('Rate Assumptions'!$A$1:$C$32,MATCH('Success Allocation'!EM$3,'Rate Assumptions'!$A$1:$A$32,0),MATCH($DR$1,'Rate Assumptions'!$A$1:$C$1,0))</f>
        <v>144.38595109679866</v>
      </c>
      <c r="EN8" s="279">
        <f>INDEX('Rate Assumptions'!$A$1:$C$32,MATCH('Success Allocation'!EN$3,'Rate Assumptions'!$A$1:$A$32,0),MATCH($DR$1,'Rate Assumptions'!$A$1:$C$1,0))</f>
        <v>216.57892664519801</v>
      </c>
      <c r="EO8" s="281">
        <f>INDEX('Rate Assumptions'!$A$1:$C$32,MATCH('Success Allocation'!EO$3,'Rate Assumptions'!$A$1:$A$32,0),MATCH($DR$1,'Rate Assumptions'!$A$1:$C$1,0))</f>
        <v>144.38595109679866</v>
      </c>
      <c r="EP8" s="170">
        <f t="shared" si="50"/>
        <v>6160625.1999254366</v>
      </c>
    </row>
    <row r="9" spans="1:146">
      <c r="A9" s="223" t="s">
        <v>97</v>
      </c>
      <c r="B9" s="226">
        <v>595</v>
      </c>
      <c r="C9" s="226">
        <v>816</v>
      </c>
      <c r="D9" s="226">
        <v>0</v>
      </c>
      <c r="E9" s="226">
        <v>585</v>
      </c>
      <c r="F9" s="226">
        <v>156</v>
      </c>
      <c r="G9" s="227">
        <v>3846</v>
      </c>
      <c r="H9" s="226">
        <v>1377</v>
      </c>
      <c r="I9" s="228">
        <v>2486</v>
      </c>
      <c r="J9" s="226">
        <v>440</v>
      </c>
      <c r="K9" s="226">
        <v>541</v>
      </c>
      <c r="L9" s="226">
        <v>0</v>
      </c>
      <c r="M9" s="226">
        <v>256</v>
      </c>
      <c r="N9" s="226">
        <v>70</v>
      </c>
      <c r="O9" s="227">
        <v>2095</v>
      </c>
      <c r="P9" s="226">
        <v>900</v>
      </c>
      <c r="Q9" s="228">
        <v>812</v>
      </c>
      <c r="R9" s="226">
        <v>531</v>
      </c>
      <c r="S9" s="226">
        <v>695</v>
      </c>
      <c r="T9" s="226">
        <v>0</v>
      </c>
      <c r="U9" s="226">
        <v>363</v>
      </c>
      <c r="V9" s="226">
        <v>102</v>
      </c>
      <c r="W9" s="227">
        <v>2804</v>
      </c>
      <c r="X9" s="226">
        <v>1103</v>
      </c>
      <c r="Y9" s="234">
        <v>1268</v>
      </c>
      <c r="Z9" s="237">
        <v>690</v>
      </c>
      <c r="AA9" s="237">
        <v>907</v>
      </c>
      <c r="AB9" s="237">
        <v>0</v>
      </c>
      <c r="AC9" s="237">
        <v>668</v>
      </c>
      <c r="AD9" s="237">
        <v>204</v>
      </c>
      <c r="AE9" s="237">
        <v>3738</v>
      </c>
      <c r="AF9" s="237">
        <v>1344</v>
      </c>
      <c r="AG9" s="228">
        <v>2879</v>
      </c>
      <c r="AH9" s="237">
        <v>500</v>
      </c>
      <c r="AI9" s="237">
        <v>603</v>
      </c>
      <c r="AJ9" s="237">
        <v>0</v>
      </c>
      <c r="AK9" s="237">
        <v>323</v>
      </c>
      <c r="AL9" s="237">
        <v>101</v>
      </c>
      <c r="AM9" s="237">
        <v>1956</v>
      </c>
      <c r="AN9" s="237">
        <v>880</v>
      </c>
      <c r="AO9" s="228">
        <v>858</v>
      </c>
      <c r="AP9" s="237">
        <v>611</v>
      </c>
      <c r="AQ9" s="237">
        <v>766</v>
      </c>
      <c r="AR9" s="237">
        <v>0</v>
      </c>
      <c r="AS9" s="237">
        <v>443</v>
      </c>
      <c r="AT9" s="237">
        <v>142</v>
      </c>
      <c r="AU9" s="238">
        <v>2698</v>
      </c>
      <c r="AV9" s="237">
        <v>1102</v>
      </c>
      <c r="AW9" s="234">
        <v>1348</v>
      </c>
      <c r="AX9" s="237"/>
      <c r="AY9" s="237"/>
      <c r="AZ9" s="237"/>
      <c r="BA9" s="237"/>
      <c r="BB9" s="237"/>
      <c r="BC9" s="237"/>
      <c r="BD9" s="237"/>
      <c r="BF9" s="237"/>
      <c r="BG9" s="237"/>
      <c r="BH9" s="237"/>
      <c r="BI9" s="237"/>
      <c r="BJ9" s="237"/>
      <c r="BK9" s="237"/>
      <c r="BL9" s="237"/>
      <c r="BN9" s="237"/>
      <c r="BO9" s="237"/>
      <c r="BP9" s="237"/>
      <c r="BQ9" s="237"/>
      <c r="BR9" s="237"/>
      <c r="BS9" s="238"/>
      <c r="BT9" s="237"/>
      <c r="BV9" s="264">
        <f t="shared" si="2"/>
        <v>785</v>
      </c>
      <c r="BW9" s="264">
        <f t="shared" si="3"/>
        <v>998</v>
      </c>
      <c r="BX9" s="264">
        <f t="shared" si="4"/>
        <v>0</v>
      </c>
      <c r="BY9" s="264">
        <f t="shared" si="5"/>
        <v>751</v>
      </c>
      <c r="BZ9" s="264">
        <f t="shared" si="6"/>
        <v>252</v>
      </c>
      <c r="CA9" s="264">
        <f t="shared" si="7"/>
        <v>3630</v>
      </c>
      <c r="CB9" s="264">
        <f t="shared" si="8"/>
        <v>1311</v>
      </c>
      <c r="CC9" s="265">
        <f t="shared" si="9"/>
        <v>3272</v>
      </c>
      <c r="CD9" s="264">
        <f t="shared" si="10"/>
        <v>560</v>
      </c>
      <c r="CE9" s="264">
        <f t="shared" si="11"/>
        <v>665</v>
      </c>
      <c r="CF9" s="264">
        <f t="shared" si="12"/>
        <v>0</v>
      </c>
      <c r="CG9" s="264">
        <f t="shared" si="13"/>
        <v>390</v>
      </c>
      <c r="CH9" s="264">
        <f t="shared" si="14"/>
        <v>132</v>
      </c>
      <c r="CI9" s="264">
        <f t="shared" si="15"/>
        <v>1817</v>
      </c>
      <c r="CJ9" s="264">
        <f t="shared" si="16"/>
        <v>860</v>
      </c>
      <c r="CK9" s="265">
        <f t="shared" si="17"/>
        <v>904</v>
      </c>
      <c r="CL9" s="264">
        <f t="shared" si="18"/>
        <v>691</v>
      </c>
      <c r="CM9" s="264">
        <f t="shared" si="19"/>
        <v>837</v>
      </c>
      <c r="CN9" s="264">
        <f t="shared" si="20"/>
        <v>0</v>
      </c>
      <c r="CO9" s="264">
        <f t="shared" si="21"/>
        <v>523</v>
      </c>
      <c r="CP9" s="264">
        <f t="shared" si="22"/>
        <v>182</v>
      </c>
      <c r="CQ9" s="264">
        <f t="shared" si="23"/>
        <v>2592</v>
      </c>
      <c r="CR9" s="264">
        <f t="shared" si="24"/>
        <v>1101</v>
      </c>
      <c r="CS9" s="266">
        <f t="shared" si="25"/>
        <v>1428</v>
      </c>
      <c r="CT9" s="264">
        <f t="shared" si="26"/>
        <v>690</v>
      </c>
      <c r="CU9" s="264">
        <f t="shared" si="27"/>
        <v>907</v>
      </c>
      <c r="CV9" s="264">
        <f t="shared" si="28"/>
        <v>0</v>
      </c>
      <c r="CW9" s="264">
        <f t="shared" si="29"/>
        <v>668</v>
      </c>
      <c r="CX9" s="264">
        <f t="shared" si="30"/>
        <v>204</v>
      </c>
      <c r="CY9" s="264">
        <f t="shared" si="31"/>
        <v>3738</v>
      </c>
      <c r="CZ9" s="264">
        <f t="shared" si="32"/>
        <v>1344</v>
      </c>
      <c r="DA9" s="265">
        <f t="shared" si="33"/>
        <v>2879</v>
      </c>
      <c r="DB9" s="264">
        <f t="shared" si="34"/>
        <v>500</v>
      </c>
      <c r="DC9" s="264">
        <f t="shared" si="35"/>
        <v>603</v>
      </c>
      <c r="DD9" s="264">
        <f t="shared" si="36"/>
        <v>0</v>
      </c>
      <c r="DE9" s="264">
        <f t="shared" si="37"/>
        <v>323</v>
      </c>
      <c r="DF9" s="264">
        <f t="shared" si="38"/>
        <v>101</v>
      </c>
      <c r="DG9" s="264">
        <f t="shared" si="39"/>
        <v>1956</v>
      </c>
      <c r="DH9" s="264">
        <f t="shared" si="40"/>
        <v>880</v>
      </c>
      <c r="DI9" s="265">
        <f t="shared" si="41"/>
        <v>858</v>
      </c>
      <c r="DJ9" s="264">
        <f t="shared" si="42"/>
        <v>611</v>
      </c>
      <c r="DK9" s="264">
        <f t="shared" si="43"/>
        <v>766</v>
      </c>
      <c r="DL9" s="264">
        <f t="shared" si="44"/>
        <v>0</v>
      </c>
      <c r="DM9" s="264">
        <f t="shared" si="45"/>
        <v>443</v>
      </c>
      <c r="DN9" s="264">
        <f t="shared" si="46"/>
        <v>142</v>
      </c>
      <c r="DO9" s="264">
        <f t="shared" si="47"/>
        <v>2698</v>
      </c>
      <c r="DP9" s="264">
        <f t="shared" si="48"/>
        <v>1102</v>
      </c>
      <c r="DQ9" s="266">
        <f t="shared" si="49"/>
        <v>1348</v>
      </c>
      <c r="DR9" s="279">
        <f>INDEX('Rate Assumptions'!$A$1:$C$32,MATCH('Success Allocation'!DR$3,'Rate Assumptions'!$A$1:$A$32,0),MATCH($DR$1,'Rate Assumptions'!$A$1:$C$1,0))</f>
        <v>2291.7551696336809</v>
      </c>
      <c r="DS9" s="279">
        <f>INDEX('Rate Assumptions'!$A$1:$C$32,MATCH('Success Allocation'!DS$3,'Rate Assumptions'!$A$1:$A$32,0),MATCH($DR$1,'Rate Assumptions'!$A$1:$C$1,0))</f>
        <v>1718.8163772252606</v>
      </c>
      <c r="DT9" s="279">
        <f>INDEX('Rate Assumptions'!$A$1:$C$32,MATCH('Success Allocation'!DT$3,'Rate Assumptions'!$A$1:$A$32,0),MATCH($DR$1,'Rate Assumptions'!$A$1:$C$1,0))</f>
        <v>1718.8163772252606</v>
      </c>
      <c r="DU9" s="279">
        <f>INDEX('Rate Assumptions'!$A$1:$C$32,MATCH('Success Allocation'!DU$3,'Rate Assumptions'!$A$1:$A$32,0),MATCH($DR$1,'Rate Assumptions'!$A$1:$C$1,0))</f>
        <v>1145.8775848168405</v>
      </c>
      <c r="DV9" s="279">
        <f>INDEX('Rate Assumptions'!$A$1:$C$32,MATCH('Success Allocation'!DV$3,'Rate Assumptions'!$A$1:$A$32,0),MATCH($DR$1,'Rate Assumptions'!$A$1:$C$1,0))</f>
        <v>1145.8775848168405</v>
      </c>
      <c r="DW9" s="279">
        <f>INDEX('Rate Assumptions'!$A$1:$C$32,MATCH('Success Allocation'!DW$3,'Rate Assumptions'!$A$1:$A$32,0),MATCH($DR$1,'Rate Assumptions'!$A$1:$C$1,0))</f>
        <v>572.93879240842023</v>
      </c>
      <c r="DX9" s="279">
        <f>INDEX('Rate Assumptions'!$A$1:$C$32,MATCH('Success Allocation'!DX$3,'Rate Assumptions'!$A$1:$A$32,0),MATCH($DR$1,'Rate Assumptions'!$A$1:$C$1,0))</f>
        <v>859.40818861263028</v>
      </c>
      <c r="DY9" s="280">
        <f>INDEX('Rate Assumptions'!$A$1:$C$32,MATCH('Success Allocation'!DY$3,'Rate Assumptions'!$A$1:$A$32,0),MATCH($DR$1,'Rate Assumptions'!$A$1:$C$1,0))</f>
        <v>572.93879240842023</v>
      </c>
      <c r="DZ9" s="279">
        <f>INDEX('Rate Assumptions'!$A$1:$C$32,MATCH('Success Allocation'!DZ$3,'Rate Assumptions'!$A$1:$A$32,0),MATCH($DR$1,'Rate Assumptions'!$A$1:$C$1,0))</f>
        <v>866.31570658079204</v>
      </c>
      <c r="EA9" s="279">
        <f>INDEX('Rate Assumptions'!$A$1:$C$32,MATCH('Success Allocation'!EA$3,'Rate Assumptions'!$A$1:$A$32,0),MATCH($DR$1,'Rate Assumptions'!$A$1:$C$1,0))</f>
        <v>649.73677993559397</v>
      </c>
      <c r="EB9" s="279">
        <f>INDEX('Rate Assumptions'!$A$1:$C$32,MATCH('Success Allocation'!EB$3,'Rate Assumptions'!$A$1:$A$32,0),MATCH($DR$1,'Rate Assumptions'!$A$1:$C$1,0))</f>
        <v>649.73677993559397</v>
      </c>
      <c r="EC9" s="279">
        <f>INDEX('Rate Assumptions'!$A$1:$C$32,MATCH('Success Allocation'!EC$3,'Rate Assumptions'!$A$1:$A$32,0),MATCH($DR$1,'Rate Assumptions'!$A$1:$C$1,0))</f>
        <v>433.15785329039602</v>
      </c>
      <c r="ED9" s="279">
        <f>INDEX('Rate Assumptions'!$A$1:$C$32,MATCH('Success Allocation'!ED$3,'Rate Assumptions'!$A$1:$A$32,0),MATCH($DR$1,'Rate Assumptions'!$A$1:$C$1,0))</f>
        <v>433.15785329039602</v>
      </c>
      <c r="EE9" s="279">
        <f>INDEX('Rate Assumptions'!$A$1:$C$32,MATCH('Success Allocation'!EE$3,'Rate Assumptions'!$A$1:$A$32,0),MATCH($DR$1,'Rate Assumptions'!$A$1:$C$1,0))</f>
        <v>216.57892664519801</v>
      </c>
      <c r="EF9" s="279">
        <f>INDEX('Rate Assumptions'!$A$1:$C$32,MATCH('Success Allocation'!EF$3,'Rate Assumptions'!$A$1:$A$32,0),MATCH($DR$1,'Rate Assumptions'!$A$1:$C$1,0))</f>
        <v>324.86838996779699</v>
      </c>
      <c r="EG9" s="280">
        <f>INDEX('Rate Assumptions'!$A$1:$C$32,MATCH('Success Allocation'!EG$3,'Rate Assumptions'!$A$1:$A$32,0),MATCH($DR$1,'Rate Assumptions'!$A$1:$C$1,0))</f>
        <v>216.57892664519801</v>
      </c>
      <c r="EH9" s="279">
        <f>INDEX('Rate Assumptions'!$A$1:$C$32,MATCH('Success Allocation'!EH$3,'Rate Assumptions'!$A$1:$A$32,0),MATCH($DR$1,'Rate Assumptions'!$A$1:$C$1,0))</f>
        <v>577.54380438719465</v>
      </c>
      <c r="EI9" s="279">
        <f>INDEX('Rate Assumptions'!$A$1:$C$32,MATCH('Success Allocation'!EI$3,'Rate Assumptions'!$A$1:$A$32,0),MATCH($DR$1,'Rate Assumptions'!$A$1:$C$1,0))</f>
        <v>433.15785329039602</v>
      </c>
      <c r="EJ9" s="279">
        <f>INDEX('Rate Assumptions'!$A$1:$C$32,MATCH('Success Allocation'!EJ$3,'Rate Assumptions'!$A$1:$A$32,0),MATCH($DR$1,'Rate Assumptions'!$A$1:$C$1,0))</f>
        <v>433.15785329039602</v>
      </c>
      <c r="EK9" s="279">
        <f>INDEX('Rate Assumptions'!$A$1:$C$32,MATCH('Success Allocation'!EK$3,'Rate Assumptions'!$A$1:$A$32,0),MATCH($DR$1,'Rate Assumptions'!$A$1:$C$1,0))</f>
        <v>288.77190219359733</v>
      </c>
      <c r="EL9" s="279">
        <f>INDEX('Rate Assumptions'!$A$1:$C$32,MATCH('Success Allocation'!EL$3,'Rate Assumptions'!$A$1:$A$32,0),MATCH($DR$1,'Rate Assumptions'!$A$1:$C$1,0))</f>
        <v>288.77190219359733</v>
      </c>
      <c r="EM9" s="279">
        <f>INDEX('Rate Assumptions'!$A$1:$C$32,MATCH('Success Allocation'!EM$3,'Rate Assumptions'!$A$1:$A$32,0),MATCH($DR$1,'Rate Assumptions'!$A$1:$C$1,0))</f>
        <v>144.38595109679866</v>
      </c>
      <c r="EN9" s="279">
        <f>INDEX('Rate Assumptions'!$A$1:$C$32,MATCH('Success Allocation'!EN$3,'Rate Assumptions'!$A$1:$A$32,0),MATCH($DR$1,'Rate Assumptions'!$A$1:$C$1,0))</f>
        <v>216.57892664519801</v>
      </c>
      <c r="EO9" s="281">
        <f>INDEX('Rate Assumptions'!$A$1:$C$32,MATCH('Success Allocation'!EO$3,'Rate Assumptions'!$A$1:$A$32,0),MATCH($DR$1,'Rate Assumptions'!$A$1:$C$1,0))</f>
        <v>144.38595109679866</v>
      </c>
      <c r="EP9" s="170">
        <f t="shared" si="50"/>
        <v>13540952.683940096</v>
      </c>
    </row>
    <row r="10" spans="1:146">
      <c r="A10" s="223" t="s">
        <v>98</v>
      </c>
      <c r="B10" s="226">
        <v>504</v>
      </c>
      <c r="C10" s="226">
        <v>865</v>
      </c>
      <c r="D10" s="226">
        <v>0</v>
      </c>
      <c r="E10" s="226">
        <v>208</v>
      </c>
      <c r="F10" s="226">
        <v>474</v>
      </c>
      <c r="G10" s="227">
        <v>2582</v>
      </c>
      <c r="H10" s="226">
        <v>1905</v>
      </c>
      <c r="I10" s="228">
        <v>2293</v>
      </c>
      <c r="J10" s="226">
        <v>239</v>
      </c>
      <c r="K10" s="226">
        <v>400</v>
      </c>
      <c r="L10" s="226">
        <v>0</v>
      </c>
      <c r="M10" s="226">
        <v>70</v>
      </c>
      <c r="N10" s="226">
        <v>132</v>
      </c>
      <c r="O10" s="227">
        <v>838</v>
      </c>
      <c r="P10" s="226">
        <v>747</v>
      </c>
      <c r="Q10" s="228">
        <v>483</v>
      </c>
      <c r="R10" s="226">
        <v>328</v>
      </c>
      <c r="S10" s="226">
        <v>564</v>
      </c>
      <c r="T10" s="226">
        <v>0</v>
      </c>
      <c r="U10" s="226">
        <v>113</v>
      </c>
      <c r="V10" s="226">
        <v>194</v>
      </c>
      <c r="W10" s="227">
        <v>1320</v>
      </c>
      <c r="X10" s="226">
        <v>1103</v>
      </c>
      <c r="Y10" s="234">
        <v>887</v>
      </c>
      <c r="Z10" s="237">
        <v>623</v>
      </c>
      <c r="AA10" s="237">
        <v>862</v>
      </c>
      <c r="AB10" s="237">
        <v>0</v>
      </c>
      <c r="AC10" s="237">
        <v>270</v>
      </c>
      <c r="AD10" s="237">
        <v>470</v>
      </c>
      <c r="AE10" s="237">
        <v>2718</v>
      </c>
      <c r="AF10" s="237">
        <v>2089</v>
      </c>
      <c r="AG10" s="228">
        <v>2555</v>
      </c>
      <c r="AH10" s="237">
        <v>273</v>
      </c>
      <c r="AI10" s="237">
        <v>355</v>
      </c>
      <c r="AJ10" s="237">
        <v>0</v>
      </c>
      <c r="AK10" s="237">
        <v>92</v>
      </c>
      <c r="AL10" s="237">
        <v>126</v>
      </c>
      <c r="AM10" s="237">
        <v>783</v>
      </c>
      <c r="AN10" s="237">
        <v>754</v>
      </c>
      <c r="AO10" s="228">
        <v>490</v>
      </c>
      <c r="AP10" s="237">
        <v>392</v>
      </c>
      <c r="AQ10" s="237">
        <v>531</v>
      </c>
      <c r="AR10" s="237">
        <v>0</v>
      </c>
      <c r="AS10" s="237">
        <v>137</v>
      </c>
      <c r="AT10" s="237">
        <v>193</v>
      </c>
      <c r="AU10" s="238">
        <v>1260</v>
      </c>
      <c r="AV10" s="237">
        <v>1122</v>
      </c>
      <c r="AW10" s="234">
        <v>958</v>
      </c>
      <c r="AX10" s="237"/>
      <c r="AY10" s="237"/>
      <c r="AZ10" s="237"/>
      <c r="BA10" s="237"/>
      <c r="BB10" s="237"/>
      <c r="BC10" s="237"/>
      <c r="BD10" s="237"/>
      <c r="BF10" s="237"/>
      <c r="BG10" s="237"/>
      <c r="BH10" s="237"/>
      <c r="BI10" s="237"/>
      <c r="BJ10" s="237"/>
      <c r="BK10" s="237"/>
      <c r="BL10" s="237"/>
      <c r="BN10" s="237"/>
      <c r="BO10" s="237"/>
      <c r="BP10" s="237"/>
      <c r="BQ10" s="237"/>
      <c r="BR10" s="237"/>
      <c r="BS10" s="238"/>
      <c r="BT10" s="237"/>
      <c r="BV10" s="264">
        <f t="shared" si="2"/>
        <v>742</v>
      </c>
      <c r="BW10" s="264">
        <f t="shared" si="3"/>
        <v>859</v>
      </c>
      <c r="BX10" s="264">
        <f t="shared" si="4"/>
        <v>0</v>
      </c>
      <c r="BY10" s="264">
        <f t="shared" si="5"/>
        <v>332</v>
      </c>
      <c r="BZ10" s="264">
        <f t="shared" si="6"/>
        <v>466</v>
      </c>
      <c r="CA10" s="264">
        <f t="shared" si="7"/>
        <v>2854</v>
      </c>
      <c r="CB10" s="264">
        <f t="shared" si="8"/>
        <v>2273</v>
      </c>
      <c r="CC10" s="265">
        <f t="shared" si="9"/>
        <v>2817</v>
      </c>
      <c r="CD10" s="264">
        <f t="shared" si="10"/>
        <v>307</v>
      </c>
      <c r="CE10" s="264">
        <f t="shared" si="11"/>
        <v>310</v>
      </c>
      <c r="CF10" s="264">
        <f t="shared" si="12"/>
        <v>0</v>
      </c>
      <c r="CG10" s="264">
        <f t="shared" si="13"/>
        <v>114</v>
      </c>
      <c r="CH10" s="264">
        <f t="shared" si="14"/>
        <v>120</v>
      </c>
      <c r="CI10" s="264">
        <f t="shared" si="15"/>
        <v>728</v>
      </c>
      <c r="CJ10" s="264">
        <f t="shared" si="16"/>
        <v>761</v>
      </c>
      <c r="CK10" s="265">
        <f t="shared" si="17"/>
        <v>497</v>
      </c>
      <c r="CL10" s="264">
        <f t="shared" si="18"/>
        <v>456</v>
      </c>
      <c r="CM10" s="264">
        <f t="shared" si="19"/>
        <v>498</v>
      </c>
      <c r="CN10" s="264">
        <f t="shared" si="20"/>
        <v>0</v>
      </c>
      <c r="CO10" s="264">
        <f t="shared" si="21"/>
        <v>161</v>
      </c>
      <c r="CP10" s="264">
        <f t="shared" si="22"/>
        <v>192</v>
      </c>
      <c r="CQ10" s="264">
        <f t="shared" si="23"/>
        <v>1200</v>
      </c>
      <c r="CR10" s="264">
        <f t="shared" si="24"/>
        <v>1141</v>
      </c>
      <c r="CS10" s="266">
        <f t="shared" si="25"/>
        <v>1029</v>
      </c>
      <c r="CT10" s="264">
        <f t="shared" si="26"/>
        <v>623</v>
      </c>
      <c r="CU10" s="264">
        <f t="shared" si="27"/>
        <v>862</v>
      </c>
      <c r="CV10" s="264">
        <f t="shared" si="28"/>
        <v>0</v>
      </c>
      <c r="CW10" s="264">
        <f t="shared" si="29"/>
        <v>270</v>
      </c>
      <c r="CX10" s="264">
        <f t="shared" si="30"/>
        <v>470</v>
      </c>
      <c r="CY10" s="264">
        <f t="shared" si="31"/>
        <v>2718</v>
      </c>
      <c r="CZ10" s="264">
        <f t="shared" si="32"/>
        <v>2089</v>
      </c>
      <c r="DA10" s="265">
        <f t="shared" si="33"/>
        <v>2555</v>
      </c>
      <c r="DB10" s="264">
        <f t="shared" si="34"/>
        <v>273</v>
      </c>
      <c r="DC10" s="264">
        <f t="shared" si="35"/>
        <v>355</v>
      </c>
      <c r="DD10" s="264">
        <f t="shared" si="36"/>
        <v>0</v>
      </c>
      <c r="DE10" s="264">
        <f t="shared" si="37"/>
        <v>92</v>
      </c>
      <c r="DF10" s="264">
        <f t="shared" si="38"/>
        <v>126</v>
      </c>
      <c r="DG10" s="264">
        <f t="shared" si="39"/>
        <v>783</v>
      </c>
      <c r="DH10" s="264">
        <f t="shared" si="40"/>
        <v>754</v>
      </c>
      <c r="DI10" s="265">
        <f t="shared" si="41"/>
        <v>490</v>
      </c>
      <c r="DJ10" s="264">
        <f t="shared" si="42"/>
        <v>392</v>
      </c>
      <c r="DK10" s="264">
        <f t="shared" si="43"/>
        <v>531</v>
      </c>
      <c r="DL10" s="264">
        <f t="shared" si="44"/>
        <v>0</v>
      </c>
      <c r="DM10" s="264">
        <f t="shared" si="45"/>
        <v>137</v>
      </c>
      <c r="DN10" s="264">
        <f t="shared" si="46"/>
        <v>193</v>
      </c>
      <c r="DO10" s="264">
        <f t="shared" si="47"/>
        <v>1260</v>
      </c>
      <c r="DP10" s="264">
        <f t="shared" si="48"/>
        <v>1122</v>
      </c>
      <c r="DQ10" s="266">
        <f t="shared" si="49"/>
        <v>958</v>
      </c>
      <c r="DR10" s="279">
        <f>INDEX('Rate Assumptions'!$A$1:$C$32,MATCH('Success Allocation'!DR$3,'Rate Assumptions'!$A$1:$A$32,0),MATCH($DR$1,'Rate Assumptions'!$A$1:$C$1,0))</f>
        <v>2291.7551696336809</v>
      </c>
      <c r="DS10" s="279">
        <f>INDEX('Rate Assumptions'!$A$1:$C$32,MATCH('Success Allocation'!DS$3,'Rate Assumptions'!$A$1:$A$32,0),MATCH($DR$1,'Rate Assumptions'!$A$1:$C$1,0))</f>
        <v>1718.8163772252606</v>
      </c>
      <c r="DT10" s="279">
        <f>INDEX('Rate Assumptions'!$A$1:$C$32,MATCH('Success Allocation'!DT$3,'Rate Assumptions'!$A$1:$A$32,0),MATCH($DR$1,'Rate Assumptions'!$A$1:$C$1,0))</f>
        <v>1718.8163772252606</v>
      </c>
      <c r="DU10" s="279">
        <f>INDEX('Rate Assumptions'!$A$1:$C$32,MATCH('Success Allocation'!DU$3,'Rate Assumptions'!$A$1:$A$32,0),MATCH($DR$1,'Rate Assumptions'!$A$1:$C$1,0))</f>
        <v>1145.8775848168405</v>
      </c>
      <c r="DV10" s="279">
        <f>INDEX('Rate Assumptions'!$A$1:$C$32,MATCH('Success Allocation'!DV$3,'Rate Assumptions'!$A$1:$A$32,0),MATCH($DR$1,'Rate Assumptions'!$A$1:$C$1,0))</f>
        <v>1145.8775848168405</v>
      </c>
      <c r="DW10" s="279">
        <f>INDEX('Rate Assumptions'!$A$1:$C$32,MATCH('Success Allocation'!DW$3,'Rate Assumptions'!$A$1:$A$32,0),MATCH($DR$1,'Rate Assumptions'!$A$1:$C$1,0))</f>
        <v>572.93879240842023</v>
      </c>
      <c r="DX10" s="279">
        <f>INDEX('Rate Assumptions'!$A$1:$C$32,MATCH('Success Allocation'!DX$3,'Rate Assumptions'!$A$1:$A$32,0),MATCH($DR$1,'Rate Assumptions'!$A$1:$C$1,0))</f>
        <v>859.40818861263028</v>
      </c>
      <c r="DY10" s="280">
        <f>INDEX('Rate Assumptions'!$A$1:$C$32,MATCH('Success Allocation'!DY$3,'Rate Assumptions'!$A$1:$A$32,0),MATCH($DR$1,'Rate Assumptions'!$A$1:$C$1,0))</f>
        <v>572.93879240842023</v>
      </c>
      <c r="DZ10" s="279">
        <f>INDEX('Rate Assumptions'!$A$1:$C$32,MATCH('Success Allocation'!DZ$3,'Rate Assumptions'!$A$1:$A$32,0),MATCH($DR$1,'Rate Assumptions'!$A$1:$C$1,0))</f>
        <v>866.31570658079204</v>
      </c>
      <c r="EA10" s="279">
        <f>INDEX('Rate Assumptions'!$A$1:$C$32,MATCH('Success Allocation'!EA$3,'Rate Assumptions'!$A$1:$A$32,0),MATCH($DR$1,'Rate Assumptions'!$A$1:$C$1,0))</f>
        <v>649.73677993559397</v>
      </c>
      <c r="EB10" s="279">
        <f>INDEX('Rate Assumptions'!$A$1:$C$32,MATCH('Success Allocation'!EB$3,'Rate Assumptions'!$A$1:$A$32,0),MATCH($DR$1,'Rate Assumptions'!$A$1:$C$1,0))</f>
        <v>649.73677993559397</v>
      </c>
      <c r="EC10" s="279">
        <f>INDEX('Rate Assumptions'!$A$1:$C$32,MATCH('Success Allocation'!EC$3,'Rate Assumptions'!$A$1:$A$32,0),MATCH($DR$1,'Rate Assumptions'!$A$1:$C$1,0))</f>
        <v>433.15785329039602</v>
      </c>
      <c r="ED10" s="279">
        <f>INDEX('Rate Assumptions'!$A$1:$C$32,MATCH('Success Allocation'!ED$3,'Rate Assumptions'!$A$1:$A$32,0),MATCH($DR$1,'Rate Assumptions'!$A$1:$C$1,0))</f>
        <v>433.15785329039602</v>
      </c>
      <c r="EE10" s="279">
        <f>INDEX('Rate Assumptions'!$A$1:$C$32,MATCH('Success Allocation'!EE$3,'Rate Assumptions'!$A$1:$A$32,0),MATCH($DR$1,'Rate Assumptions'!$A$1:$C$1,0))</f>
        <v>216.57892664519801</v>
      </c>
      <c r="EF10" s="279">
        <f>INDEX('Rate Assumptions'!$A$1:$C$32,MATCH('Success Allocation'!EF$3,'Rate Assumptions'!$A$1:$A$32,0),MATCH($DR$1,'Rate Assumptions'!$A$1:$C$1,0))</f>
        <v>324.86838996779699</v>
      </c>
      <c r="EG10" s="280">
        <f>INDEX('Rate Assumptions'!$A$1:$C$32,MATCH('Success Allocation'!EG$3,'Rate Assumptions'!$A$1:$A$32,0),MATCH($DR$1,'Rate Assumptions'!$A$1:$C$1,0))</f>
        <v>216.57892664519801</v>
      </c>
      <c r="EH10" s="279">
        <f>INDEX('Rate Assumptions'!$A$1:$C$32,MATCH('Success Allocation'!EH$3,'Rate Assumptions'!$A$1:$A$32,0),MATCH($DR$1,'Rate Assumptions'!$A$1:$C$1,0))</f>
        <v>577.54380438719465</v>
      </c>
      <c r="EI10" s="279">
        <f>INDEX('Rate Assumptions'!$A$1:$C$32,MATCH('Success Allocation'!EI$3,'Rate Assumptions'!$A$1:$A$32,0),MATCH($DR$1,'Rate Assumptions'!$A$1:$C$1,0))</f>
        <v>433.15785329039602</v>
      </c>
      <c r="EJ10" s="279">
        <f>INDEX('Rate Assumptions'!$A$1:$C$32,MATCH('Success Allocation'!EJ$3,'Rate Assumptions'!$A$1:$A$32,0),MATCH($DR$1,'Rate Assumptions'!$A$1:$C$1,0))</f>
        <v>433.15785329039602</v>
      </c>
      <c r="EK10" s="279">
        <f>INDEX('Rate Assumptions'!$A$1:$C$32,MATCH('Success Allocation'!EK$3,'Rate Assumptions'!$A$1:$A$32,0),MATCH($DR$1,'Rate Assumptions'!$A$1:$C$1,0))</f>
        <v>288.77190219359733</v>
      </c>
      <c r="EL10" s="279">
        <f>INDEX('Rate Assumptions'!$A$1:$C$32,MATCH('Success Allocation'!EL$3,'Rate Assumptions'!$A$1:$A$32,0),MATCH($DR$1,'Rate Assumptions'!$A$1:$C$1,0))</f>
        <v>288.77190219359733</v>
      </c>
      <c r="EM10" s="279">
        <f>INDEX('Rate Assumptions'!$A$1:$C$32,MATCH('Success Allocation'!EM$3,'Rate Assumptions'!$A$1:$A$32,0),MATCH($DR$1,'Rate Assumptions'!$A$1:$C$1,0))</f>
        <v>144.38595109679866</v>
      </c>
      <c r="EN10" s="279">
        <f>INDEX('Rate Assumptions'!$A$1:$C$32,MATCH('Success Allocation'!EN$3,'Rate Assumptions'!$A$1:$A$32,0),MATCH($DR$1,'Rate Assumptions'!$A$1:$C$1,0))</f>
        <v>216.57892664519801</v>
      </c>
      <c r="EO10" s="281">
        <f>INDEX('Rate Assumptions'!$A$1:$C$32,MATCH('Success Allocation'!EO$3,'Rate Assumptions'!$A$1:$A$32,0),MATCH($DR$1,'Rate Assumptions'!$A$1:$C$1,0))</f>
        <v>144.38595109679866</v>
      </c>
      <c r="EP10" s="170">
        <f t="shared" si="50"/>
        <v>11525158.819839792</v>
      </c>
    </row>
    <row r="11" spans="1:146">
      <c r="A11" s="223" t="s">
        <v>99</v>
      </c>
      <c r="B11" s="226">
        <v>641</v>
      </c>
      <c r="C11" s="226">
        <v>743</v>
      </c>
      <c r="D11" s="226">
        <v>0</v>
      </c>
      <c r="E11" s="226">
        <v>215</v>
      </c>
      <c r="F11" s="226">
        <v>254</v>
      </c>
      <c r="G11" s="227">
        <v>2442</v>
      </c>
      <c r="H11" s="226">
        <v>1467</v>
      </c>
      <c r="I11" s="228">
        <v>2521</v>
      </c>
      <c r="J11" s="226">
        <v>382</v>
      </c>
      <c r="K11" s="226">
        <v>455</v>
      </c>
      <c r="L11" s="226">
        <v>0</v>
      </c>
      <c r="M11" s="226">
        <v>113</v>
      </c>
      <c r="N11" s="226">
        <v>96</v>
      </c>
      <c r="O11" s="227">
        <v>1285</v>
      </c>
      <c r="P11" s="226">
        <v>822</v>
      </c>
      <c r="Q11" s="228">
        <v>1089</v>
      </c>
      <c r="R11" s="226">
        <v>517</v>
      </c>
      <c r="S11" s="226">
        <v>614</v>
      </c>
      <c r="T11" s="226">
        <v>0</v>
      </c>
      <c r="U11" s="226">
        <v>161</v>
      </c>
      <c r="V11" s="226">
        <v>143</v>
      </c>
      <c r="W11" s="227">
        <v>1873</v>
      </c>
      <c r="X11" s="226">
        <v>1101</v>
      </c>
      <c r="Y11" s="234">
        <v>1837</v>
      </c>
      <c r="Z11" s="237">
        <v>856</v>
      </c>
      <c r="AA11" s="237">
        <v>862</v>
      </c>
      <c r="AB11" s="237">
        <v>0</v>
      </c>
      <c r="AC11" s="237">
        <v>403</v>
      </c>
      <c r="AD11" s="237">
        <v>263</v>
      </c>
      <c r="AE11" s="237">
        <v>2382</v>
      </c>
      <c r="AF11" s="237">
        <v>1413</v>
      </c>
      <c r="AG11" s="228">
        <v>2781</v>
      </c>
      <c r="AH11" s="237">
        <v>511</v>
      </c>
      <c r="AI11" s="237">
        <v>498</v>
      </c>
      <c r="AJ11" s="237">
        <v>0</v>
      </c>
      <c r="AK11" s="237">
        <v>194</v>
      </c>
      <c r="AL11" s="237">
        <v>86</v>
      </c>
      <c r="AM11" s="237">
        <v>1202</v>
      </c>
      <c r="AN11" s="237">
        <v>731</v>
      </c>
      <c r="AO11" s="228">
        <v>1187</v>
      </c>
      <c r="AP11" s="237">
        <v>679</v>
      </c>
      <c r="AQ11" s="237">
        <v>680</v>
      </c>
      <c r="AR11" s="237">
        <v>0</v>
      </c>
      <c r="AS11" s="237">
        <v>321</v>
      </c>
      <c r="AT11" s="237">
        <v>142</v>
      </c>
      <c r="AU11" s="238">
        <v>1772</v>
      </c>
      <c r="AV11" s="237">
        <v>1061</v>
      </c>
      <c r="AW11" s="234">
        <v>2030</v>
      </c>
      <c r="AX11" s="237"/>
      <c r="AY11" s="237"/>
      <c r="AZ11" s="237"/>
      <c r="BA11" s="237"/>
      <c r="BB11" s="237"/>
      <c r="BC11" s="237"/>
      <c r="BD11" s="237"/>
      <c r="BF11" s="237"/>
      <c r="BG11" s="237"/>
      <c r="BH11" s="237"/>
      <c r="BI11" s="237"/>
      <c r="BJ11" s="237"/>
      <c r="BK11" s="237"/>
      <c r="BL11" s="237"/>
      <c r="BN11" s="237"/>
      <c r="BO11" s="237"/>
      <c r="BP11" s="237"/>
      <c r="BQ11" s="237"/>
      <c r="BR11" s="237"/>
      <c r="BS11" s="238"/>
      <c r="BT11" s="237"/>
      <c r="BV11" s="264">
        <f t="shared" si="2"/>
        <v>1071</v>
      </c>
      <c r="BW11" s="264">
        <f t="shared" si="3"/>
        <v>981</v>
      </c>
      <c r="BX11" s="264">
        <f t="shared" si="4"/>
        <v>0</v>
      </c>
      <c r="BY11" s="264">
        <f t="shared" si="5"/>
        <v>591</v>
      </c>
      <c r="BZ11" s="264">
        <f t="shared" si="6"/>
        <v>272</v>
      </c>
      <c r="CA11" s="264">
        <f t="shared" si="7"/>
        <v>2322</v>
      </c>
      <c r="CB11" s="264">
        <f t="shared" si="8"/>
        <v>1359</v>
      </c>
      <c r="CC11" s="265">
        <f t="shared" si="9"/>
        <v>3041</v>
      </c>
      <c r="CD11" s="264">
        <f t="shared" si="10"/>
        <v>640</v>
      </c>
      <c r="CE11" s="264">
        <f t="shared" si="11"/>
        <v>541</v>
      </c>
      <c r="CF11" s="264">
        <f t="shared" si="12"/>
        <v>0</v>
      </c>
      <c r="CG11" s="264">
        <f t="shared" si="13"/>
        <v>275</v>
      </c>
      <c r="CH11" s="264">
        <f t="shared" si="14"/>
        <v>76</v>
      </c>
      <c r="CI11" s="264">
        <f t="shared" si="15"/>
        <v>1119</v>
      </c>
      <c r="CJ11" s="264">
        <f t="shared" si="16"/>
        <v>640</v>
      </c>
      <c r="CK11" s="265">
        <f t="shared" si="17"/>
        <v>1285</v>
      </c>
      <c r="CL11" s="264">
        <f t="shared" si="18"/>
        <v>841</v>
      </c>
      <c r="CM11" s="264">
        <f t="shared" si="19"/>
        <v>746</v>
      </c>
      <c r="CN11" s="264">
        <f t="shared" si="20"/>
        <v>0</v>
      </c>
      <c r="CO11" s="264">
        <f t="shared" si="21"/>
        <v>481</v>
      </c>
      <c r="CP11" s="264">
        <f t="shared" si="22"/>
        <v>141</v>
      </c>
      <c r="CQ11" s="264">
        <f t="shared" si="23"/>
        <v>1671</v>
      </c>
      <c r="CR11" s="264">
        <f t="shared" si="24"/>
        <v>1021</v>
      </c>
      <c r="CS11" s="266">
        <f t="shared" si="25"/>
        <v>2223</v>
      </c>
      <c r="CT11" s="264">
        <f t="shared" si="26"/>
        <v>856</v>
      </c>
      <c r="CU11" s="264">
        <f t="shared" si="27"/>
        <v>862</v>
      </c>
      <c r="CV11" s="264">
        <f t="shared" si="28"/>
        <v>0</v>
      </c>
      <c r="CW11" s="264">
        <f t="shared" si="29"/>
        <v>403</v>
      </c>
      <c r="CX11" s="264">
        <f t="shared" si="30"/>
        <v>263</v>
      </c>
      <c r="CY11" s="264">
        <f t="shared" si="31"/>
        <v>2382</v>
      </c>
      <c r="CZ11" s="264">
        <f t="shared" si="32"/>
        <v>1413</v>
      </c>
      <c r="DA11" s="265">
        <f t="shared" si="33"/>
        <v>2781</v>
      </c>
      <c r="DB11" s="264">
        <f t="shared" si="34"/>
        <v>511</v>
      </c>
      <c r="DC11" s="264">
        <f t="shared" si="35"/>
        <v>498</v>
      </c>
      <c r="DD11" s="264">
        <f t="shared" si="36"/>
        <v>0</v>
      </c>
      <c r="DE11" s="264">
        <f t="shared" si="37"/>
        <v>194</v>
      </c>
      <c r="DF11" s="264">
        <f t="shared" si="38"/>
        <v>86</v>
      </c>
      <c r="DG11" s="264">
        <f t="shared" si="39"/>
        <v>1202</v>
      </c>
      <c r="DH11" s="264">
        <f t="shared" si="40"/>
        <v>731</v>
      </c>
      <c r="DI11" s="265">
        <f t="shared" si="41"/>
        <v>1187</v>
      </c>
      <c r="DJ11" s="264">
        <f t="shared" si="42"/>
        <v>679</v>
      </c>
      <c r="DK11" s="264">
        <f t="shared" si="43"/>
        <v>680</v>
      </c>
      <c r="DL11" s="264">
        <f t="shared" si="44"/>
        <v>0</v>
      </c>
      <c r="DM11" s="264">
        <f t="shared" si="45"/>
        <v>321</v>
      </c>
      <c r="DN11" s="264">
        <f t="shared" si="46"/>
        <v>142</v>
      </c>
      <c r="DO11" s="264">
        <f t="shared" si="47"/>
        <v>1772</v>
      </c>
      <c r="DP11" s="264">
        <f t="shared" si="48"/>
        <v>1061</v>
      </c>
      <c r="DQ11" s="266">
        <f t="shared" si="49"/>
        <v>2030</v>
      </c>
      <c r="DR11" s="279">
        <f>INDEX('Rate Assumptions'!$A$1:$C$32,MATCH('Success Allocation'!DR$3,'Rate Assumptions'!$A$1:$A$32,0),MATCH($DR$1,'Rate Assumptions'!$A$1:$C$1,0))</f>
        <v>2291.7551696336809</v>
      </c>
      <c r="DS11" s="279">
        <f>INDEX('Rate Assumptions'!$A$1:$C$32,MATCH('Success Allocation'!DS$3,'Rate Assumptions'!$A$1:$A$32,0),MATCH($DR$1,'Rate Assumptions'!$A$1:$C$1,0))</f>
        <v>1718.8163772252606</v>
      </c>
      <c r="DT11" s="279">
        <f>INDEX('Rate Assumptions'!$A$1:$C$32,MATCH('Success Allocation'!DT$3,'Rate Assumptions'!$A$1:$A$32,0),MATCH($DR$1,'Rate Assumptions'!$A$1:$C$1,0))</f>
        <v>1718.8163772252606</v>
      </c>
      <c r="DU11" s="279">
        <f>INDEX('Rate Assumptions'!$A$1:$C$32,MATCH('Success Allocation'!DU$3,'Rate Assumptions'!$A$1:$A$32,0),MATCH($DR$1,'Rate Assumptions'!$A$1:$C$1,0))</f>
        <v>1145.8775848168405</v>
      </c>
      <c r="DV11" s="279">
        <f>INDEX('Rate Assumptions'!$A$1:$C$32,MATCH('Success Allocation'!DV$3,'Rate Assumptions'!$A$1:$A$32,0),MATCH($DR$1,'Rate Assumptions'!$A$1:$C$1,0))</f>
        <v>1145.8775848168405</v>
      </c>
      <c r="DW11" s="279">
        <f>INDEX('Rate Assumptions'!$A$1:$C$32,MATCH('Success Allocation'!DW$3,'Rate Assumptions'!$A$1:$A$32,0),MATCH($DR$1,'Rate Assumptions'!$A$1:$C$1,0))</f>
        <v>572.93879240842023</v>
      </c>
      <c r="DX11" s="279">
        <f>INDEX('Rate Assumptions'!$A$1:$C$32,MATCH('Success Allocation'!DX$3,'Rate Assumptions'!$A$1:$A$32,0),MATCH($DR$1,'Rate Assumptions'!$A$1:$C$1,0))</f>
        <v>859.40818861263028</v>
      </c>
      <c r="DY11" s="280">
        <f>INDEX('Rate Assumptions'!$A$1:$C$32,MATCH('Success Allocation'!DY$3,'Rate Assumptions'!$A$1:$A$32,0),MATCH($DR$1,'Rate Assumptions'!$A$1:$C$1,0))</f>
        <v>572.93879240842023</v>
      </c>
      <c r="DZ11" s="279">
        <f>INDEX('Rate Assumptions'!$A$1:$C$32,MATCH('Success Allocation'!DZ$3,'Rate Assumptions'!$A$1:$A$32,0),MATCH($DR$1,'Rate Assumptions'!$A$1:$C$1,0))</f>
        <v>866.31570658079204</v>
      </c>
      <c r="EA11" s="279">
        <f>INDEX('Rate Assumptions'!$A$1:$C$32,MATCH('Success Allocation'!EA$3,'Rate Assumptions'!$A$1:$A$32,0),MATCH($DR$1,'Rate Assumptions'!$A$1:$C$1,0))</f>
        <v>649.73677993559397</v>
      </c>
      <c r="EB11" s="279">
        <f>INDEX('Rate Assumptions'!$A$1:$C$32,MATCH('Success Allocation'!EB$3,'Rate Assumptions'!$A$1:$A$32,0),MATCH($DR$1,'Rate Assumptions'!$A$1:$C$1,0))</f>
        <v>649.73677993559397</v>
      </c>
      <c r="EC11" s="279">
        <f>INDEX('Rate Assumptions'!$A$1:$C$32,MATCH('Success Allocation'!EC$3,'Rate Assumptions'!$A$1:$A$32,0),MATCH($DR$1,'Rate Assumptions'!$A$1:$C$1,0))</f>
        <v>433.15785329039602</v>
      </c>
      <c r="ED11" s="279">
        <f>INDEX('Rate Assumptions'!$A$1:$C$32,MATCH('Success Allocation'!ED$3,'Rate Assumptions'!$A$1:$A$32,0),MATCH($DR$1,'Rate Assumptions'!$A$1:$C$1,0))</f>
        <v>433.15785329039602</v>
      </c>
      <c r="EE11" s="279">
        <f>INDEX('Rate Assumptions'!$A$1:$C$32,MATCH('Success Allocation'!EE$3,'Rate Assumptions'!$A$1:$A$32,0),MATCH($DR$1,'Rate Assumptions'!$A$1:$C$1,0))</f>
        <v>216.57892664519801</v>
      </c>
      <c r="EF11" s="279">
        <f>INDEX('Rate Assumptions'!$A$1:$C$32,MATCH('Success Allocation'!EF$3,'Rate Assumptions'!$A$1:$A$32,0),MATCH($DR$1,'Rate Assumptions'!$A$1:$C$1,0))</f>
        <v>324.86838996779699</v>
      </c>
      <c r="EG11" s="280">
        <f>INDEX('Rate Assumptions'!$A$1:$C$32,MATCH('Success Allocation'!EG$3,'Rate Assumptions'!$A$1:$A$32,0),MATCH($DR$1,'Rate Assumptions'!$A$1:$C$1,0))</f>
        <v>216.57892664519801</v>
      </c>
      <c r="EH11" s="279">
        <f>INDEX('Rate Assumptions'!$A$1:$C$32,MATCH('Success Allocation'!EH$3,'Rate Assumptions'!$A$1:$A$32,0),MATCH($DR$1,'Rate Assumptions'!$A$1:$C$1,0))</f>
        <v>577.54380438719465</v>
      </c>
      <c r="EI11" s="279">
        <f>INDEX('Rate Assumptions'!$A$1:$C$32,MATCH('Success Allocation'!EI$3,'Rate Assumptions'!$A$1:$A$32,0),MATCH($DR$1,'Rate Assumptions'!$A$1:$C$1,0))</f>
        <v>433.15785329039602</v>
      </c>
      <c r="EJ11" s="279">
        <f>INDEX('Rate Assumptions'!$A$1:$C$32,MATCH('Success Allocation'!EJ$3,'Rate Assumptions'!$A$1:$A$32,0),MATCH($DR$1,'Rate Assumptions'!$A$1:$C$1,0))</f>
        <v>433.15785329039602</v>
      </c>
      <c r="EK11" s="279">
        <f>INDEX('Rate Assumptions'!$A$1:$C$32,MATCH('Success Allocation'!EK$3,'Rate Assumptions'!$A$1:$A$32,0),MATCH($DR$1,'Rate Assumptions'!$A$1:$C$1,0))</f>
        <v>288.77190219359733</v>
      </c>
      <c r="EL11" s="279">
        <f>INDEX('Rate Assumptions'!$A$1:$C$32,MATCH('Success Allocation'!EL$3,'Rate Assumptions'!$A$1:$A$32,0),MATCH($DR$1,'Rate Assumptions'!$A$1:$C$1,0))</f>
        <v>288.77190219359733</v>
      </c>
      <c r="EM11" s="279">
        <f>INDEX('Rate Assumptions'!$A$1:$C$32,MATCH('Success Allocation'!EM$3,'Rate Assumptions'!$A$1:$A$32,0),MATCH($DR$1,'Rate Assumptions'!$A$1:$C$1,0))</f>
        <v>144.38595109679866</v>
      </c>
      <c r="EN11" s="279">
        <f>INDEX('Rate Assumptions'!$A$1:$C$32,MATCH('Success Allocation'!EN$3,'Rate Assumptions'!$A$1:$A$32,0),MATCH($DR$1,'Rate Assumptions'!$A$1:$C$1,0))</f>
        <v>216.57892664519801</v>
      </c>
      <c r="EO11" s="281">
        <f>INDEX('Rate Assumptions'!$A$1:$C$32,MATCH('Success Allocation'!EO$3,'Rate Assumptions'!$A$1:$A$32,0),MATCH($DR$1,'Rate Assumptions'!$A$1:$C$1,0))</f>
        <v>144.38595109679866</v>
      </c>
      <c r="EP11" s="170">
        <f t="shared" si="50"/>
        <v>12928519.245224111</v>
      </c>
    </row>
    <row r="12" spans="1:146">
      <c r="A12" s="223" t="s">
        <v>100</v>
      </c>
      <c r="B12" s="226">
        <v>717</v>
      </c>
      <c r="C12" s="226">
        <v>551</v>
      </c>
      <c r="D12" s="226">
        <v>0</v>
      </c>
      <c r="E12" s="226">
        <v>311</v>
      </c>
      <c r="F12" s="226">
        <v>223</v>
      </c>
      <c r="G12" s="227">
        <v>1919</v>
      </c>
      <c r="H12" s="226">
        <v>1315</v>
      </c>
      <c r="I12" s="228">
        <v>992</v>
      </c>
      <c r="J12" s="226">
        <v>409</v>
      </c>
      <c r="K12" s="226">
        <v>294</v>
      </c>
      <c r="L12" s="226">
        <v>0</v>
      </c>
      <c r="M12" s="226">
        <v>168</v>
      </c>
      <c r="N12" s="226">
        <v>70</v>
      </c>
      <c r="O12" s="227">
        <v>946</v>
      </c>
      <c r="P12" s="226">
        <v>606</v>
      </c>
      <c r="Q12" s="228">
        <v>360</v>
      </c>
      <c r="R12" s="226">
        <v>548</v>
      </c>
      <c r="S12" s="226">
        <v>390</v>
      </c>
      <c r="T12" s="226">
        <v>0</v>
      </c>
      <c r="U12" s="226">
        <v>224</v>
      </c>
      <c r="V12" s="226">
        <v>121</v>
      </c>
      <c r="W12" s="227">
        <v>1374</v>
      </c>
      <c r="X12" s="226">
        <v>878</v>
      </c>
      <c r="Y12" s="234">
        <v>600</v>
      </c>
      <c r="Z12" s="237">
        <v>876</v>
      </c>
      <c r="AA12" s="237">
        <v>562</v>
      </c>
      <c r="AB12" s="237">
        <v>0</v>
      </c>
      <c r="AC12" s="237">
        <v>396</v>
      </c>
      <c r="AD12" s="237">
        <v>324</v>
      </c>
      <c r="AE12" s="237">
        <v>1728</v>
      </c>
      <c r="AF12" s="237">
        <v>1399</v>
      </c>
      <c r="AG12" s="228">
        <v>1150</v>
      </c>
      <c r="AH12" s="237">
        <v>511</v>
      </c>
      <c r="AI12" s="237">
        <v>298</v>
      </c>
      <c r="AJ12" s="237">
        <v>0</v>
      </c>
      <c r="AK12" s="237">
        <v>211</v>
      </c>
      <c r="AL12" s="237">
        <v>121</v>
      </c>
      <c r="AM12" s="237">
        <v>854</v>
      </c>
      <c r="AN12" s="237">
        <v>648</v>
      </c>
      <c r="AO12" s="228">
        <v>373</v>
      </c>
      <c r="AP12" s="237">
        <v>671</v>
      </c>
      <c r="AQ12" s="237">
        <v>401</v>
      </c>
      <c r="AR12" s="237">
        <v>0</v>
      </c>
      <c r="AS12" s="237">
        <v>302</v>
      </c>
      <c r="AT12" s="237">
        <v>180</v>
      </c>
      <c r="AU12" s="238">
        <v>1252</v>
      </c>
      <c r="AV12" s="237">
        <v>958</v>
      </c>
      <c r="AW12" s="234">
        <v>669</v>
      </c>
      <c r="AX12" s="237"/>
      <c r="AY12" s="237"/>
      <c r="AZ12" s="237"/>
      <c r="BA12" s="237"/>
      <c r="BB12" s="237"/>
      <c r="BC12" s="237"/>
      <c r="BD12" s="237"/>
      <c r="BF12" s="237"/>
      <c r="BG12" s="237"/>
      <c r="BH12" s="237"/>
      <c r="BI12" s="237"/>
      <c r="BJ12" s="237"/>
      <c r="BK12" s="237"/>
      <c r="BL12" s="237"/>
      <c r="BN12" s="237"/>
      <c r="BO12" s="237"/>
      <c r="BP12" s="237"/>
      <c r="BQ12" s="237"/>
      <c r="BR12" s="237"/>
      <c r="BS12" s="238"/>
      <c r="BT12" s="237"/>
      <c r="BV12" s="264">
        <f t="shared" si="2"/>
        <v>1035</v>
      </c>
      <c r="BW12" s="264">
        <f t="shared" si="3"/>
        <v>573</v>
      </c>
      <c r="BX12" s="264">
        <f t="shared" si="4"/>
        <v>0</v>
      </c>
      <c r="BY12" s="264">
        <f t="shared" si="5"/>
        <v>481</v>
      </c>
      <c r="BZ12" s="264">
        <f t="shared" si="6"/>
        <v>425</v>
      </c>
      <c r="CA12" s="264">
        <f t="shared" si="7"/>
        <v>1537</v>
      </c>
      <c r="CB12" s="264">
        <f t="shared" si="8"/>
        <v>1483</v>
      </c>
      <c r="CC12" s="265">
        <f t="shared" si="9"/>
        <v>1308</v>
      </c>
      <c r="CD12" s="264">
        <f t="shared" si="10"/>
        <v>613</v>
      </c>
      <c r="CE12" s="264">
        <f t="shared" si="11"/>
        <v>302</v>
      </c>
      <c r="CF12" s="264">
        <f t="shared" si="12"/>
        <v>0</v>
      </c>
      <c r="CG12" s="264">
        <f t="shared" si="13"/>
        <v>254</v>
      </c>
      <c r="CH12" s="264">
        <f t="shared" si="14"/>
        <v>172</v>
      </c>
      <c r="CI12" s="264">
        <f t="shared" si="15"/>
        <v>762</v>
      </c>
      <c r="CJ12" s="264">
        <f t="shared" si="16"/>
        <v>690</v>
      </c>
      <c r="CK12" s="265">
        <f t="shared" si="17"/>
        <v>386</v>
      </c>
      <c r="CL12" s="264">
        <f t="shared" si="18"/>
        <v>794</v>
      </c>
      <c r="CM12" s="264">
        <f t="shared" si="19"/>
        <v>412</v>
      </c>
      <c r="CN12" s="264">
        <f t="shared" si="20"/>
        <v>0</v>
      </c>
      <c r="CO12" s="264">
        <f t="shared" si="21"/>
        <v>380</v>
      </c>
      <c r="CP12" s="264">
        <f t="shared" si="22"/>
        <v>239</v>
      </c>
      <c r="CQ12" s="264">
        <f t="shared" si="23"/>
        <v>1130</v>
      </c>
      <c r="CR12" s="264">
        <f t="shared" si="24"/>
        <v>1038</v>
      </c>
      <c r="CS12" s="266">
        <f t="shared" si="25"/>
        <v>738</v>
      </c>
      <c r="CT12" s="264">
        <f t="shared" si="26"/>
        <v>876</v>
      </c>
      <c r="CU12" s="264">
        <f t="shared" si="27"/>
        <v>562</v>
      </c>
      <c r="CV12" s="264">
        <f t="shared" si="28"/>
        <v>0</v>
      </c>
      <c r="CW12" s="264">
        <f t="shared" si="29"/>
        <v>396</v>
      </c>
      <c r="CX12" s="264">
        <f t="shared" si="30"/>
        <v>324</v>
      </c>
      <c r="CY12" s="264">
        <f t="shared" si="31"/>
        <v>1728</v>
      </c>
      <c r="CZ12" s="264">
        <f t="shared" si="32"/>
        <v>1399</v>
      </c>
      <c r="DA12" s="265">
        <f t="shared" si="33"/>
        <v>1150</v>
      </c>
      <c r="DB12" s="264">
        <f t="shared" si="34"/>
        <v>511</v>
      </c>
      <c r="DC12" s="264">
        <f t="shared" si="35"/>
        <v>298</v>
      </c>
      <c r="DD12" s="264">
        <f t="shared" si="36"/>
        <v>0</v>
      </c>
      <c r="DE12" s="264">
        <f t="shared" si="37"/>
        <v>211</v>
      </c>
      <c r="DF12" s="264">
        <f t="shared" si="38"/>
        <v>121</v>
      </c>
      <c r="DG12" s="264">
        <f t="shared" si="39"/>
        <v>854</v>
      </c>
      <c r="DH12" s="264">
        <f t="shared" si="40"/>
        <v>648</v>
      </c>
      <c r="DI12" s="265">
        <f t="shared" si="41"/>
        <v>373</v>
      </c>
      <c r="DJ12" s="264">
        <f t="shared" si="42"/>
        <v>671</v>
      </c>
      <c r="DK12" s="264">
        <f t="shared" si="43"/>
        <v>401</v>
      </c>
      <c r="DL12" s="264">
        <f t="shared" si="44"/>
        <v>0</v>
      </c>
      <c r="DM12" s="264">
        <f t="shared" si="45"/>
        <v>302</v>
      </c>
      <c r="DN12" s="264">
        <f t="shared" si="46"/>
        <v>180</v>
      </c>
      <c r="DO12" s="264">
        <f t="shared" si="47"/>
        <v>1252</v>
      </c>
      <c r="DP12" s="264">
        <f t="shared" si="48"/>
        <v>958</v>
      </c>
      <c r="DQ12" s="266">
        <f t="shared" si="49"/>
        <v>669</v>
      </c>
      <c r="DR12" s="279">
        <f>INDEX('Rate Assumptions'!$A$1:$C$32,MATCH('Success Allocation'!DR$3,'Rate Assumptions'!$A$1:$A$32,0),MATCH($DR$1,'Rate Assumptions'!$A$1:$C$1,0))</f>
        <v>2291.7551696336809</v>
      </c>
      <c r="DS12" s="279">
        <f>INDEX('Rate Assumptions'!$A$1:$C$32,MATCH('Success Allocation'!DS$3,'Rate Assumptions'!$A$1:$A$32,0),MATCH($DR$1,'Rate Assumptions'!$A$1:$C$1,0))</f>
        <v>1718.8163772252606</v>
      </c>
      <c r="DT12" s="279">
        <f>INDEX('Rate Assumptions'!$A$1:$C$32,MATCH('Success Allocation'!DT$3,'Rate Assumptions'!$A$1:$A$32,0),MATCH($DR$1,'Rate Assumptions'!$A$1:$C$1,0))</f>
        <v>1718.8163772252606</v>
      </c>
      <c r="DU12" s="279">
        <f>INDEX('Rate Assumptions'!$A$1:$C$32,MATCH('Success Allocation'!DU$3,'Rate Assumptions'!$A$1:$A$32,0),MATCH($DR$1,'Rate Assumptions'!$A$1:$C$1,0))</f>
        <v>1145.8775848168405</v>
      </c>
      <c r="DV12" s="279">
        <f>INDEX('Rate Assumptions'!$A$1:$C$32,MATCH('Success Allocation'!DV$3,'Rate Assumptions'!$A$1:$A$32,0),MATCH($DR$1,'Rate Assumptions'!$A$1:$C$1,0))</f>
        <v>1145.8775848168405</v>
      </c>
      <c r="DW12" s="279">
        <f>INDEX('Rate Assumptions'!$A$1:$C$32,MATCH('Success Allocation'!DW$3,'Rate Assumptions'!$A$1:$A$32,0),MATCH($DR$1,'Rate Assumptions'!$A$1:$C$1,0))</f>
        <v>572.93879240842023</v>
      </c>
      <c r="DX12" s="279">
        <f>INDEX('Rate Assumptions'!$A$1:$C$32,MATCH('Success Allocation'!DX$3,'Rate Assumptions'!$A$1:$A$32,0),MATCH($DR$1,'Rate Assumptions'!$A$1:$C$1,0))</f>
        <v>859.40818861263028</v>
      </c>
      <c r="DY12" s="280">
        <f>INDEX('Rate Assumptions'!$A$1:$C$32,MATCH('Success Allocation'!DY$3,'Rate Assumptions'!$A$1:$A$32,0),MATCH($DR$1,'Rate Assumptions'!$A$1:$C$1,0))</f>
        <v>572.93879240842023</v>
      </c>
      <c r="DZ12" s="279">
        <f>INDEX('Rate Assumptions'!$A$1:$C$32,MATCH('Success Allocation'!DZ$3,'Rate Assumptions'!$A$1:$A$32,0),MATCH($DR$1,'Rate Assumptions'!$A$1:$C$1,0))</f>
        <v>866.31570658079204</v>
      </c>
      <c r="EA12" s="279">
        <f>INDEX('Rate Assumptions'!$A$1:$C$32,MATCH('Success Allocation'!EA$3,'Rate Assumptions'!$A$1:$A$32,0),MATCH($DR$1,'Rate Assumptions'!$A$1:$C$1,0))</f>
        <v>649.73677993559397</v>
      </c>
      <c r="EB12" s="279">
        <f>INDEX('Rate Assumptions'!$A$1:$C$32,MATCH('Success Allocation'!EB$3,'Rate Assumptions'!$A$1:$A$32,0),MATCH($DR$1,'Rate Assumptions'!$A$1:$C$1,0))</f>
        <v>649.73677993559397</v>
      </c>
      <c r="EC12" s="279">
        <f>INDEX('Rate Assumptions'!$A$1:$C$32,MATCH('Success Allocation'!EC$3,'Rate Assumptions'!$A$1:$A$32,0),MATCH($DR$1,'Rate Assumptions'!$A$1:$C$1,0))</f>
        <v>433.15785329039602</v>
      </c>
      <c r="ED12" s="279">
        <f>INDEX('Rate Assumptions'!$A$1:$C$32,MATCH('Success Allocation'!ED$3,'Rate Assumptions'!$A$1:$A$32,0),MATCH($DR$1,'Rate Assumptions'!$A$1:$C$1,0))</f>
        <v>433.15785329039602</v>
      </c>
      <c r="EE12" s="279">
        <f>INDEX('Rate Assumptions'!$A$1:$C$32,MATCH('Success Allocation'!EE$3,'Rate Assumptions'!$A$1:$A$32,0),MATCH($DR$1,'Rate Assumptions'!$A$1:$C$1,0))</f>
        <v>216.57892664519801</v>
      </c>
      <c r="EF12" s="279">
        <f>INDEX('Rate Assumptions'!$A$1:$C$32,MATCH('Success Allocation'!EF$3,'Rate Assumptions'!$A$1:$A$32,0),MATCH($DR$1,'Rate Assumptions'!$A$1:$C$1,0))</f>
        <v>324.86838996779699</v>
      </c>
      <c r="EG12" s="280">
        <f>INDEX('Rate Assumptions'!$A$1:$C$32,MATCH('Success Allocation'!EG$3,'Rate Assumptions'!$A$1:$A$32,0),MATCH($DR$1,'Rate Assumptions'!$A$1:$C$1,0))</f>
        <v>216.57892664519801</v>
      </c>
      <c r="EH12" s="279">
        <f>INDEX('Rate Assumptions'!$A$1:$C$32,MATCH('Success Allocation'!EH$3,'Rate Assumptions'!$A$1:$A$32,0),MATCH($DR$1,'Rate Assumptions'!$A$1:$C$1,0))</f>
        <v>577.54380438719465</v>
      </c>
      <c r="EI12" s="279">
        <f>INDEX('Rate Assumptions'!$A$1:$C$32,MATCH('Success Allocation'!EI$3,'Rate Assumptions'!$A$1:$A$32,0),MATCH($DR$1,'Rate Assumptions'!$A$1:$C$1,0))</f>
        <v>433.15785329039602</v>
      </c>
      <c r="EJ12" s="279">
        <f>INDEX('Rate Assumptions'!$A$1:$C$32,MATCH('Success Allocation'!EJ$3,'Rate Assumptions'!$A$1:$A$32,0),MATCH($DR$1,'Rate Assumptions'!$A$1:$C$1,0))</f>
        <v>433.15785329039602</v>
      </c>
      <c r="EK12" s="279">
        <f>INDEX('Rate Assumptions'!$A$1:$C$32,MATCH('Success Allocation'!EK$3,'Rate Assumptions'!$A$1:$A$32,0),MATCH($DR$1,'Rate Assumptions'!$A$1:$C$1,0))</f>
        <v>288.77190219359733</v>
      </c>
      <c r="EL12" s="279">
        <f>INDEX('Rate Assumptions'!$A$1:$C$32,MATCH('Success Allocation'!EL$3,'Rate Assumptions'!$A$1:$A$32,0),MATCH($DR$1,'Rate Assumptions'!$A$1:$C$1,0))</f>
        <v>288.77190219359733</v>
      </c>
      <c r="EM12" s="279">
        <f>INDEX('Rate Assumptions'!$A$1:$C$32,MATCH('Success Allocation'!EM$3,'Rate Assumptions'!$A$1:$A$32,0),MATCH($DR$1,'Rate Assumptions'!$A$1:$C$1,0))</f>
        <v>144.38595109679866</v>
      </c>
      <c r="EN12" s="279">
        <f>INDEX('Rate Assumptions'!$A$1:$C$32,MATCH('Success Allocation'!EN$3,'Rate Assumptions'!$A$1:$A$32,0),MATCH($DR$1,'Rate Assumptions'!$A$1:$C$1,0))</f>
        <v>216.57892664519801</v>
      </c>
      <c r="EO12" s="281">
        <f>INDEX('Rate Assumptions'!$A$1:$C$32,MATCH('Success Allocation'!EO$3,'Rate Assumptions'!$A$1:$A$32,0),MATCH($DR$1,'Rate Assumptions'!$A$1:$C$1,0))</f>
        <v>144.38595109679866</v>
      </c>
      <c r="EP12" s="170">
        <f t="shared" si="50"/>
        <v>9994418.268925678</v>
      </c>
    </row>
    <row r="13" spans="1:146">
      <c r="A13" s="223" t="s">
        <v>101</v>
      </c>
      <c r="B13" s="226">
        <v>1494</v>
      </c>
      <c r="C13" s="226">
        <v>2606</v>
      </c>
      <c r="D13" s="226">
        <v>0</v>
      </c>
      <c r="E13" s="226">
        <v>742</v>
      </c>
      <c r="F13" s="226">
        <v>928</v>
      </c>
      <c r="G13" s="227">
        <v>5849</v>
      </c>
      <c r="H13" s="226">
        <v>4943</v>
      </c>
      <c r="I13" s="228">
        <v>3868</v>
      </c>
      <c r="J13" s="226">
        <v>781</v>
      </c>
      <c r="K13" s="226">
        <v>1061</v>
      </c>
      <c r="L13" s="226">
        <v>0</v>
      </c>
      <c r="M13" s="226">
        <v>275</v>
      </c>
      <c r="N13" s="226">
        <v>345</v>
      </c>
      <c r="O13" s="227">
        <v>2287</v>
      </c>
      <c r="P13" s="226">
        <v>2028</v>
      </c>
      <c r="Q13" s="228">
        <v>726</v>
      </c>
      <c r="R13" s="226">
        <v>1050</v>
      </c>
      <c r="S13" s="226">
        <v>1418</v>
      </c>
      <c r="T13" s="226">
        <v>0</v>
      </c>
      <c r="U13" s="226">
        <v>486</v>
      </c>
      <c r="V13" s="226">
        <v>491</v>
      </c>
      <c r="W13" s="227">
        <v>3476</v>
      </c>
      <c r="X13" s="226">
        <v>2871</v>
      </c>
      <c r="Y13" s="234">
        <v>1694</v>
      </c>
      <c r="Z13" s="237">
        <v>1594</v>
      </c>
      <c r="AA13" s="237">
        <v>2620</v>
      </c>
      <c r="AB13" s="237">
        <v>0</v>
      </c>
      <c r="AC13" s="237">
        <v>851</v>
      </c>
      <c r="AD13" s="237">
        <v>1146</v>
      </c>
      <c r="AE13" s="237">
        <v>5575</v>
      </c>
      <c r="AF13" s="237">
        <v>4938</v>
      </c>
      <c r="AG13" s="228">
        <v>4003</v>
      </c>
      <c r="AH13" s="237">
        <v>815</v>
      </c>
      <c r="AI13" s="237">
        <v>1003</v>
      </c>
      <c r="AJ13" s="237">
        <v>0</v>
      </c>
      <c r="AK13" s="237">
        <v>324</v>
      </c>
      <c r="AL13" s="237">
        <v>437</v>
      </c>
      <c r="AM13" s="237">
        <v>2008</v>
      </c>
      <c r="AN13" s="237">
        <v>1972</v>
      </c>
      <c r="AO13" s="228">
        <v>736</v>
      </c>
      <c r="AP13" s="237">
        <v>1097</v>
      </c>
      <c r="AQ13" s="237">
        <v>1562</v>
      </c>
      <c r="AR13" s="237">
        <v>0</v>
      </c>
      <c r="AS13" s="237">
        <v>551</v>
      </c>
      <c r="AT13" s="237">
        <v>587</v>
      </c>
      <c r="AU13" s="238">
        <v>3317</v>
      </c>
      <c r="AV13" s="237">
        <v>2813</v>
      </c>
      <c r="AW13" s="234">
        <v>1735</v>
      </c>
      <c r="AX13" s="237"/>
      <c r="AY13" s="237"/>
      <c r="AZ13" s="237"/>
      <c r="BA13" s="237"/>
      <c r="BB13" s="237"/>
      <c r="BC13" s="237"/>
      <c r="BD13" s="237"/>
      <c r="BF13" s="237"/>
      <c r="BG13" s="237"/>
      <c r="BH13" s="237"/>
      <c r="BI13" s="237"/>
      <c r="BJ13" s="237"/>
      <c r="BK13" s="237"/>
      <c r="BL13" s="237"/>
      <c r="BN13" s="237"/>
      <c r="BO13" s="237"/>
      <c r="BP13" s="237"/>
      <c r="BQ13" s="237"/>
      <c r="BR13" s="237"/>
      <c r="BS13" s="238"/>
      <c r="BT13" s="237"/>
      <c r="BV13" s="264">
        <f t="shared" si="2"/>
        <v>1694</v>
      </c>
      <c r="BW13" s="264">
        <f t="shared" si="3"/>
        <v>2634</v>
      </c>
      <c r="BX13" s="264">
        <f t="shared" si="4"/>
        <v>0</v>
      </c>
      <c r="BY13" s="264">
        <f t="shared" si="5"/>
        <v>960</v>
      </c>
      <c r="BZ13" s="264">
        <f t="shared" si="6"/>
        <v>1364</v>
      </c>
      <c r="CA13" s="264">
        <f t="shared" si="7"/>
        <v>5301</v>
      </c>
      <c r="CB13" s="264">
        <f t="shared" si="8"/>
        <v>4933</v>
      </c>
      <c r="CC13" s="265">
        <f t="shared" si="9"/>
        <v>4138</v>
      </c>
      <c r="CD13" s="264">
        <f t="shared" si="10"/>
        <v>849</v>
      </c>
      <c r="CE13" s="264">
        <f t="shared" si="11"/>
        <v>945</v>
      </c>
      <c r="CF13" s="264">
        <f t="shared" si="12"/>
        <v>0</v>
      </c>
      <c r="CG13" s="264">
        <f t="shared" si="13"/>
        <v>373</v>
      </c>
      <c r="CH13" s="264">
        <f t="shared" si="14"/>
        <v>529</v>
      </c>
      <c r="CI13" s="264">
        <f t="shared" si="15"/>
        <v>1729</v>
      </c>
      <c r="CJ13" s="264">
        <f t="shared" si="16"/>
        <v>1916</v>
      </c>
      <c r="CK13" s="265">
        <f t="shared" si="17"/>
        <v>746</v>
      </c>
      <c r="CL13" s="264">
        <f t="shared" si="18"/>
        <v>1144</v>
      </c>
      <c r="CM13" s="264">
        <f t="shared" si="19"/>
        <v>1706</v>
      </c>
      <c r="CN13" s="264">
        <f t="shared" si="20"/>
        <v>0</v>
      </c>
      <c r="CO13" s="264">
        <f t="shared" si="21"/>
        <v>616</v>
      </c>
      <c r="CP13" s="264">
        <f t="shared" si="22"/>
        <v>683</v>
      </c>
      <c r="CQ13" s="264">
        <f t="shared" si="23"/>
        <v>3158</v>
      </c>
      <c r="CR13" s="264">
        <f t="shared" si="24"/>
        <v>2755</v>
      </c>
      <c r="CS13" s="266">
        <f t="shared" si="25"/>
        <v>1776</v>
      </c>
      <c r="CT13" s="264">
        <f t="shared" si="26"/>
        <v>1594</v>
      </c>
      <c r="CU13" s="264">
        <f t="shared" si="27"/>
        <v>2620</v>
      </c>
      <c r="CV13" s="264">
        <f t="shared" si="28"/>
        <v>0</v>
      </c>
      <c r="CW13" s="264">
        <f t="shared" si="29"/>
        <v>851</v>
      </c>
      <c r="CX13" s="264">
        <f t="shared" si="30"/>
        <v>1146</v>
      </c>
      <c r="CY13" s="264">
        <f t="shared" si="31"/>
        <v>5575</v>
      </c>
      <c r="CZ13" s="264">
        <f t="shared" si="32"/>
        <v>4938</v>
      </c>
      <c r="DA13" s="265">
        <f t="shared" si="33"/>
        <v>4003</v>
      </c>
      <c r="DB13" s="264">
        <f t="shared" si="34"/>
        <v>815</v>
      </c>
      <c r="DC13" s="264">
        <f t="shared" si="35"/>
        <v>1003</v>
      </c>
      <c r="DD13" s="264">
        <f t="shared" si="36"/>
        <v>0</v>
      </c>
      <c r="DE13" s="264">
        <f t="shared" si="37"/>
        <v>324</v>
      </c>
      <c r="DF13" s="264">
        <f t="shared" si="38"/>
        <v>437</v>
      </c>
      <c r="DG13" s="264">
        <f t="shared" si="39"/>
        <v>2008</v>
      </c>
      <c r="DH13" s="264">
        <f t="shared" si="40"/>
        <v>1972</v>
      </c>
      <c r="DI13" s="265">
        <f t="shared" si="41"/>
        <v>736</v>
      </c>
      <c r="DJ13" s="264">
        <f t="shared" si="42"/>
        <v>1097</v>
      </c>
      <c r="DK13" s="264">
        <f t="shared" si="43"/>
        <v>1562</v>
      </c>
      <c r="DL13" s="264">
        <f t="shared" si="44"/>
        <v>0</v>
      </c>
      <c r="DM13" s="264">
        <f t="shared" si="45"/>
        <v>551</v>
      </c>
      <c r="DN13" s="264">
        <f t="shared" si="46"/>
        <v>587</v>
      </c>
      <c r="DO13" s="264">
        <f t="shared" si="47"/>
        <v>3317</v>
      </c>
      <c r="DP13" s="264">
        <f t="shared" si="48"/>
        <v>2813</v>
      </c>
      <c r="DQ13" s="266">
        <f t="shared" si="49"/>
        <v>1735</v>
      </c>
      <c r="DR13" s="279">
        <f>INDEX('Rate Assumptions'!$A$1:$C$32,MATCH('Success Allocation'!DR$3,'Rate Assumptions'!$A$1:$A$32,0),MATCH($DR$1,'Rate Assumptions'!$A$1:$C$1,0))</f>
        <v>2291.7551696336809</v>
      </c>
      <c r="DS13" s="279">
        <f>INDEX('Rate Assumptions'!$A$1:$C$32,MATCH('Success Allocation'!DS$3,'Rate Assumptions'!$A$1:$A$32,0),MATCH($DR$1,'Rate Assumptions'!$A$1:$C$1,0))</f>
        <v>1718.8163772252606</v>
      </c>
      <c r="DT13" s="279">
        <f>INDEX('Rate Assumptions'!$A$1:$C$32,MATCH('Success Allocation'!DT$3,'Rate Assumptions'!$A$1:$A$32,0),MATCH($DR$1,'Rate Assumptions'!$A$1:$C$1,0))</f>
        <v>1718.8163772252606</v>
      </c>
      <c r="DU13" s="279">
        <f>INDEX('Rate Assumptions'!$A$1:$C$32,MATCH('Success Allocation'!DU$3,'Rate Assumptions'!$A$1:$A$32,0),MATCH($DR$1,'Rate Assumptions'!$A$1:$C$1,0))</f>
        <v>1145.8775848168405</v>
      </c>
      <c r="DV13" s="279">
        <f>INDEX('Rate Assumptions'!$A$1:$C$32,MATCH('Success Allocation'!DV$3,'Rate Assumptions'!$A$1:$A$32,0),MATCH($DR$1,'Rate Assumptions'!$A$1:$C$1,0))</f>
        <v>1145.8775848168405</v>
      </c>
      <c r="DW13" s="279">
        <f>INDEX('Rate Assumptions'!$A$1:$C$32,MATCH('Success Allocation'!DW$3,'Rate Assumptions'!$A$1:$A$32,0),MATCH($DR$1,'Rate Assumptions'!$A$1:$C$1,0))</f>
        <v>572.93879240842023</v>
      </c>
      <c r="DX13" s="279">
        <f>INDEX('Rate Assumptions'!$A$1:$C$32,MATCH('Success Allocation'!DX$3,'Rate Assumptions'!$A$1:$A$32,0),MATCH($DR$1,'Rate Assumptions'!$A$1:$C$1,0))</f>
        <v>859.40818861263028</v>
      </c>
      <c r="DY13" s="280">
        <f>INDEX('Rate Assumptions'!$A$1:$C$32,MATCH('Success Allocation'!DY$3,'Rate Assumptions'!$A$1:$A$32,0),MATCH($DR$1,'Rate Assumptions'!$A$1:$C$1,0))</f>
        <v>572.93879240842023</v>
      </c>
      <c r="DZ13" s="279">
        <f>INDEX('Rate Assumptions'!$A$1:$C$32,MATCH('Success Allocation'!DZ$3,'Rate Assumptions'!$A$1:$A$32,0),MATCH($DR$1,'Rate Assumptions'!$A$1:$C$1,0))</f>
        <v>866.31570658079204</v>
      </c>
      <c r="EA13" s="279">
        <f>INDEX('Rate Assumptions'!$A$1:$C$32,MATCH('Success Allocation'!EA$3,'Rate Assumptions'!$A$1:$A$32,0),MATCH($DR$1,'Rate Assumptions'!$A$1:$C$1,0))</f>
        <v>649.73677993559397</v>
      </c>
      <c r="EB13" s="279">
        <f>INDEX('Rate Assumptions'!$A$1:$C$32,MATCH('Success Allocation'!EB$3,'Rate Assumptions'!$A$1:$A$32,0),MATCH($DR$1,'Rate Assumptions'!$A$1:$C$1,0))</f>
        <v>649.73677993559397</v>
      </c>
      <c r="EC13" s="279">
        <f>INDEX('Rate Assumptions'!$A$1:$C$32,MATCH('Success Allocation'!EC$3,'Rate Assumptions'!$A$1:$A$32,0),MATCH($DR$1,'Rate Assumptions'!$A$1:$C$1,0))</f>
        <v>433.15785329039602</v>
      </c>
      <c r="ED13" s="279">
        <f>INDEX('Rate Assumptions'!$A$1:$C$32,MATCH('Success Allocation'!ED$3,'Rate Assumptions'!$A$1:$A$32,0),MATCH($DR$1,'Rate Assumptions'!$A$1:$C$1,0))</f>
        <v>433.15785329039602</v>
      </c>
      <c r="EE13" s="279">
        <f>INDEX('Rate Assumptions'!$A$1:$C$32,MATCH('Success Allocation'!EE$3,'Rate Assumptions'!$A$1:$A$32,0),MATCH($DR$1,'Rate Assumptions'!$A$1:$C$1,0))</f>
        <v>216.57892664519801</v>
      </c>
      <c r="EF13" s="279">
        <f>INDEX('Rate Assumptions'!$A$1:$C$32,MATCH('Success Allocation'!EF$3,'Rate Assumptions'!$A$1:$A$32,0),MATCH($DR$1,'Rate Assumptions'!$A$1:$C$1,0))</f>
        <v>324.86838996779699</v>
      </c>
      <c r="EG13" s="280">
        <f>INDEX('Rate Assumptions'!$A$1:$C$32,MATCH('Success Allocation'!EG$3,'Rate Assumptions'!$A$1:$A$32,0),MATCH($DR$1,'Rate Assumptions'!$A$1:$C$1,0))</f>
        <v>216.57892664519801</v>
      </c>
      <c r="EH13" s="279">
        <f>INDEX('Rate Assumptions'!$A$1:$C$32,MATCH('Success Allocation'!EH$3,'Rate Assumptions'!$A$1:$A$32,0),MATCH($DR$1,'Rate Assumptions'!$A$1:$C$1,0))</f>
        <v>577.54380438719465</v>
      </c>
      <c r="EI13" s="279">
        <f>INDEX('Rate Assumptions'!$A$1:$C$32,MATCH('Success Allocation'!EI$3,'Rate Assumptions'!$A$1:$A$32,0),MATCH($DR$1,'Rate Assumptions'!$A$1:$C$1,0))</f>
        <v>433.15785329039602</v>
      </c>
      <c r="EJ13" s="279">
        <f>INDEX('Rate Assumptions'!$A$1:$C$32,MATCH('Success Allocation'!EJ$3,'Rate Assumptions'!$A$1:$A$32,0),MATCH($DR$1,'Rate Assumptions'!$A$1:$C$1,0))</f>
        <v>433.15785329039602</v>
      </c>
      <c r="EK13" s="279">
        <f>INDEX('Rate Assumptions'!$A$1:$C$32,MATCH('Success Allocation'!EK$3,'Rate Assumptions'!$A$1:$A$32,0),MATCH($DR$1,'Rate Assumptions'!$A$1:$C$1,0))</f>
        <v>288.77190219359733</v>
      </c>
      <c r="EL13" s="279">
        <f>INDEX('Rate Assumptions'!$A$1:$C$32,MATCH('Success Allocation'!EL$3,'Rate Assumptions'!$A$1:$A$32,0),MATCH($DR$1,'Rate Assumptions'!$A$1:$C$1,0))</f>
        <v>288.77190219359733</v>
      </c>
      <c r="EM13" s="279">
        <f>INDEX('Rate Assumptions'!$A$1:$C$32,MATCH('Success Allocation'!EM$3,'Rate Assumptions'!$A$1:$A$32,0),MATCH($DR$1,'Rate Assumptions'!$A$1:$C$1,0))</f>
        <v>144.38595109679866</v>
      </c>
      <c r="EN13" s="279">
        <f>INDEX('Rate Assumptions'!$A$1:$C$32,MATCH('Success Allocation'!EN$3,'Rate Assumptions'!$A$1:$A$32,0),MATCH($DR$1,'Rate Assumptions'!$A$1:$C$1,0))</f>
        <v>216.57892664519801</v>
      </c>
      <c r="EO13" s="281">
        <f>INDEX('Rate Assumptions'!$A$1:$C$32,MATCH('Success Allocation'!EO$3,'Rate Assumptions'!$A$1:$A$32,0),MATCH($DR$1,'Rate Assumptions'!$A$1:$C$1,0))</f>
        <v>144.38595109679866</v>
      </c>
      <c r="EP13" s="170">
        <f t="shared" si="50"/>
        <v>26702604.648774616</v>
      </c>
    </row>
    <row r="14" spans="1:146">
      <c r="A14" s="223" t="s">
        <v>102</v>
      </c>
      <c r="B14" s="226">
        <v>0</v>
      </c>
      <c r="C14" s="226">
        <v>364</v>
      </c>
      <c r="D14" s="226">
        <v>0</v>
      </c>
      <c r="E14" s="226">
        <v>63</v>
      </c>
      <c r="F14" s="226">
        <v>33</v>
      </c>
      <c r="G14" s="227">
        <v>559</v>
      </c>
      <c r="H14" s="226">
        <v>503</v>
      </c>
      <c r="I14" s="228">
        <v>739</v>
      </c>
      <c r="J14" s="226">
        <v>0</v>
      </c>
      <c r="K14" s="226">
        <v>281</v>
      </c>
      <c r="L14" s="226">
        <v>0</v>
      </c>
      <c r="M14" s="226">
        <v>40</v>
      </c>
      <c r="N14" s="226">
        <v>19</v>
      </c>
      <c r="O14" s="227">
        <v>330</v>
      </c>
      <c r="P14" s="226">
        <v>205</v>
      </c>
      <c r="Q14" s="228">
        <v>203</v>
      </c>
      <c r="R14" s="226">
        <v>0</v>
      </c>
      <c r="S14" s="226">
        <v>344</v>
      </c>
      <c r="T14" s="226">
        <v>0</v>
      </c>
      <c r="U14" s="226">
        <v>61</v>
      </c>
      <c r="V14" s="226">
        <v>28</v>
      </c>
      <c r="W14" s="227">
        <v>441</v>
      </c>
      <c r="X14" s="226">
        <v>282</v>
      </c>
      <c r="Y14" s="234">
        <v>344</v>
      </c>
      <c r="Z14" s="237">
        <v>0</v>
      </c>
      <c r="AA14" s="237">
        <v>432</v>
      </c>
      <c r="AB14" s="237">
        <v>0</v>
      </c>
      <c r="AC14" s="237">
        <v>48</v>
      </c>
      <c r="AD14" s="237">
        <v>25</v>
      </c>
      <c r="AE14" s="237">
        <v>555</v>
      </c>
      <c r="AF14" s="237">
        <v>489</v>
      </c>
      <c r="AG14" s="228">
        <v>777</v>
      </c>
      <c r="AH14" s="237">
        <v>0</v>
      </c>
      <c r="AI14" s="237">
        <v>323</v>
      </c>
      <c r="AJ14" s="237">
        <v>0</v>
      </c>
      <c r="AK14" s="237">
        <v>36</v>
      </c>
      <c r="AL14" s="237">
        <v>11</v>
      </c>
      <c r="AM14" s="237">
        <v>313</v>
      </c>
      <c r="AN14" s="237">
        <v>227</v>
      </c>
      <c r="AO14" s="228">
        <v>219</v>
      </c>
      <c r="AP14" s="237">
        <v>0</v>
      </c>
      <c r="AQ14" s="237">
        <v>408</v>
      </c>
      <c r="AR14" s="237">
        <v>0</v>
      </c>
      <c r="AS14" s="237">
        <v>42</v>
      </c>
      <c r="AT14" s="237">
        <v>19</v>
      </c>
      <c r="AU14" s="238">
        <v>420</v>
      </c>
      <c r="AV14" s="237">
        <v>299</v>
      </c>
      <c r="AW14" s="234">
        <v>367</v>
      </c>
      <c r="AX14" s="237"/>
      <c r="AY14" s="237"/>
      <c r="AZ14" s="237"/>
      <c r="BA14" s="237"/>
      <c r="BB14" s="237"/>
      <c r="BC14" s="237"/>
      <c r="BD14" s="237"/>
      <c r="BF14" s="237"/>
      <c r="BG14" s="237"/>
      <c r="BH14" s="237"/>
      <c r="BI14" s="237"/>
      <c r="BJ14" s="237"/>
      <c r="BK14" s="237"/>
      <c r="BL14" s="237"/>
      <c r="BN14" s="237"/>
      <c r="BO14" s="237"/>
      <c r="BP14" s="237"/>
      <c r="BQ14" s="237"/>
      <c r="BR14" s="237"/>
      <c r="BS14" s="238"/>
      <c r="BT14" s="237"/>
      <c r="BV14" s="264">
        <f t="shared" si="2"/>
        <v>0</v>
      </c>
      <c r="BW14" s="264">
        <f t="shared" si="3"/>
        <v>500</v>
      </c>
      <c r="BX14" s="264">
        <f t="shared" si="4"/>
        <v>0</v>
      </c>
      <c r="BY14" s="264">
        <f t="shared" si="5"/>
        <v>33</v>
      </c>
      <c r="BZ14" s="264">
        <f t="shared" si="6"/>
        <v>17</v>
      </c>
      <c r="CA14" s="264">
        <f t="shared" si="7"/>
        <v>551</v>
      </c>
      <c r="CB14" s="264">
        <f t="shared" si="8"/>
        <v>475</v>
      </c>
      <c r="CC14" s="265">
        <f t="shared" si="9"/>
        <v>815</v>
      </c>
      <c r="CD14" s="264">
        <f t="shared" si="10"/>
        <v>0</v>
      </c>
      <c r="CE14" s="264">
        <f t="shared" si="11"/>
        <v>365</v>
      </c>
      <c r="CF14" s="264">
        <f t="shared" si="12"/>
        <v>0</v>
      </c>
      <c r="CG14" s="264">
        <f t="shared" si="13"/>
        <v>32</v>
      </c>
      <c r="CH14" s="264">
        <f t="shared" si="14"/>
        <v>3</v>
      </c>
      <c r="CI14" s="264">
        <f t="shared" si="15"/>
        <v>296</v>
      </c>
      <c r="CJ14" s="264">
        <f t="shared" si="16"/>
        <v>249</v>
      </c>
      <c r="CK14" s="265">
        <f t="shared" si="17"/>
        <v>235</v>
      </c>
      <c r="CL14" s="264">
        <f t="shared" si="18"/>
        <v>0</v>
      </c>
      <c r="CM14" s="264">
        <f t="shared" si="19"/>
        <v>472</v>
      </c>
      <c r="CN14" s="264">
        <f t="shared" si="20"/>
        <v>0</v>
      </c>
      <c r="CO14" s="264">
        <f t="shared" si="21"/>
        <v>23</v>
      </c>
      <c r="CP14" s="264">
        <f t="shared" si="22"/>
        <v>10</v>
      </c>
      <c r="CQ14" s="264">
        <f t="shared" si="23"/>
        <v>399</v>
      </c>
      <c r="CR14" s="264">
        <f t="shared" si="24"/>
        <v>316</v>
      </c>
      <c r="CS14" s="266">
        <f t="shared" si="25"/>
        <v>390</v>
      </c>
      <c r="CT14" s="264">
        <f t="shared" si="26"/>
        <v>0</v>
      </c>
      <c r="CU14" s="264">
        <f t="shared" si="27"/>
        <v>432</v>
      </c>
      <c r="CV14" s="264">
        <f t="shared" si="28"/>
        <v>0</v>
      </c>
      <c r="CW14" s="264">
        <f t="shared" si="29"/>
        <v>48</v>
      </c>
      <c r="CX14" s="264">
        <f t="shared" si="30"/>
        <v>25</v>
      </c>
      <c r="CY14" s="264">
        <f t="shared" si="31"/>
        <v>555</v>
      </c>
      <c r="CZ14" s="264">
        <f t="shared" si="32"/>
        <v>489</v>
      </c>
      <c r="DA14" s="265">
        <f t="shared" si="33"/>
        <v>777</v>
      </c>
      <c r="DB14" s="264">
        <f t="shared" si="34"/>
        <v>0</v>
      </c>
      <c r="DC14" s="264">
        <f t="shared" si="35"/>
        <v>323</v>
      </c>
      <c r="DD14" s="264">
        <f t="shared" si="36"/>
        <v>0</v>
      </c>
      <c r="DE14" s="264">
        <f t="shared" si="37"/>
        <v>36</v>
      </c>
      <c r="DF14" s="264">
        <f t="shared" si="38"/>
        <v>11</v>
      </c>
      <c r="DG14" s="264">
        <f t="shared" si="39"/>
        <v>313</v>
      </c>
      <c r="DH14" s="264">
        <f t="shared" si="40"/>
        <v>227</v>
      </c>
      <c r="DI14" s="265">
        <f t="shared" si="41"/>
        <v>219</v>
      </c>
      <c r="DJ14" s="264">
        <f t="shared" si="42"/>
        <v>0</v>
      </c>
      <c r="DK14" s="264">
        <f t="shared" si="43"/>
        <v>408</v>
      </c>
      <c r="DL14" s="264">
        <f t="shared" si="44"/>
        <v>0</v>
      </c>
      <c r="DM14" s="264">
        <f t="shared" si="45"/>
        <v>42</v>
      </c>
      <c r="DN14" s="264">
        <f t="shared" si="46"/>
        <v>19</v>
      </c>
      <c r="DO14" s="264">
        <f t="shared" si="47"/>
        <v>420</v>
      </c>
      <c r="DP14" s="264">
        <f t="shared" si="48"/>
        <v>299</v>
      </c>
      <c r="DQ14" s="266">
        <f t="shared" si="49"/>
        <v>367</v>
      </c>
      <c r="DR14" s="279">
        <f>INDEX('Rate Assumptions'!$A$1:$C$32,MATCH('Success Allocation'!DR$3,'Rate Assumptions'!$A$1:$A$32,0),MATCH($DR$1,'Rate Assumptions'!$A$1:$C$1,0))</f>
        <v>2291.7551696336809</v>
      </c>
      <c r="DS14" s="279">
        <f>INDEX('Rate Assumptions'!$A$1:$C$32,MATCH('Success Allocation'!DS$3,'Rate Assumptions'!$A$1:$A$32,0),MATCH($DR$1,'Rate Assumptions'!$A$1:$C$1,0))</f>
        <v>1718.8163772252606</v>
      </c>
      <c r="DT14" s="279">
        <f>INDEX('Rate Assumptions'!$A$1:$C$32,MATCH('Success Allocation'!DT$3,'Rate Assumptions'!$A$1:$A$32,0),MATCH($DR$1,'Rate Assumptions'!$A$1:$C$1,0))</f>
        <v>1718.8163772252606</v>
      </c>
      <c r="DU14" s="279">
        <f>INDEX('Rate Assumptions'!$A$1:$C$32,MATCH('Success Allocation'!DU$3,'Rate Assumptions'!$A$1:$A$32,0),MATCH($DR$1,'Rate Assumptions'!$A$1:$C$1,0))</f>
        <v>1145.8775848168405</v>
      </c>
      <c r="DV14" s="279">
        <f>INDEX('Rate Assumptions'!$A$1:$C$32,MATCH('Success Allocation'!DV$3,'Rate Assumptions'!$A$1:$A$32,0),MATCH($DR$1,'Rate Assumptions'!$A$1:$C$1,0))</f>
        <v>1145.8775848168405</v>
      </c>
      <c r="DW14" s="279">
        <f>INDEX('Rate Assumptions'!$A$1:$C$32,MATCH('Success Allocation'!DW$3,'Rate Assumptions'!$A$1:$A$32,0),MATCH($DR$1,'Rate Assumptions'!$A$1:$C$1,0))</f>
        <v>572.93879240842023</v>
      </c>
      <c r="DX14" s="279">
        <f>INDEX('Rate Assumptions'!$A$1:$C$32,MATCH('Success Allocation'!DX$3,'Rate Assumptions'!$A$1:$A$32,0),MATCH($DR$1,'Rate Assumptions'!$A$1:$C$1,0))</f>
        <v>859.40818861263028</v>
      </c>
      <c r="DY14" s="280">
        <f>INDEX('Rate Assumptions'!$A$1:$C$32,MATCH('Success Allocation'!DY$3,'Rate Assumptions'!$A$1:$A$32,0),MATCH($DR$1,'Rate Assumptions'!$A$1:$C$1,0))</f>
        <v>572.93879240842023</v>
      </c>
      <c r="DZ14" s="279">
        <f>INDEX('Rate Assumptions'!$A$1:$C$32,MATCH('Success Allocation'!DZ$3,'Rate Assumptions'!$A$1:$A$32,0),MATCH($DR$1,'Rate Assumptions'!$A$1:$C$1,0))</f>
        <v>866.31570658079204</v>
      </c>
      <c r="EA14" s="279">
        <f>INDEX('Rate Assumptions'!$A$1:$C$32,MATCH('Success Allocation'!EA$3,'Rate Assumptions'!$A$1:$A$32,0),MATCH($DR$1,'Rate Assumptions'!$A$1:$C$1,0))</f>
        <v>649.73677993559397</v>
      </c>
      <c r="EB14" s="279">
        <f>INDEX('Rate Assumptions'!$A$1:$C$32,MATCH('Success Allocation'!EB$3,'Rate Assumptions'!$A$1:$A$32,0),MATCH($DR$1,'Rate Assumptions'!$A$1:$C$1,0))</f>
        <v>649.73677993559397</v>
      </c>
      <c r="EC14" s="279">
        <f>INDEX('Rate Assumptions'!$A$1:$C$32,MATCH('Success Allocation'!EC$3,'Rate Assumptions'!$A$1:$A$32,0),MATCH($DR$1,'Rate Assumptions'!$A$1:$C$1,0))</f>
        <v>433.15785329039602</v>
      </c>
      <c r="ED14" s="279">
        <f>INDEX('Rate Assumptions'!$A$1:$C$32,MATCH('Success Allocation'!ED$3,'Rate Assumptions'!$A$1:$A$32,0),MATCH($DR$1,'Rate Assumptions'!$A$1:$C$1,0))</f>
        <v>433.15785329039602</v>
      </c>
      <c r="EE14" s="279">
        <f>INDEX('Rate Assumptions'!$A$1:$C$32,MATCH('Success Allocation'!EE$3,'Rate Assumptions'!$A$1:$A$32,0),MATCH($DR$1,'Rate Assumptions'!$A$1:$C$1,0))</f>
        <v>216.57892664519801</v>
      </c>
      <c r="EF14" s="279">
        <f>INDEX('Rate Assumptions'!$A$1:$C$32,MATCH('Success Allocation'!EF$3,'Rate Assumptions'!$A$1:$A$32,0),MATCH($DR$1,'Rate Assumptions'!$A$1:$C$1,0))</f>
        <v>324.86838996779699</v>
      </c>
      <c r="EG14" s="280">
        <f>INDEX('Rate Assumptions'!$A$1:$C$32,MATCH('Success Allocation'!EG$3,'Rate Assumptions'!$A$1:$A$32,0),MATCH($DR$1,'Rate Assumptions'!$A$1:$C$1,0))</f>
        <v>216.57892664519801</v>
      </c>
      <c r="EH14" s="279">
        <f>INDEX('Rate Assumptions'!$A$1:$C$32,MATCH('Success Allocation'!EH$3,'Rate Assumptions'!$A$1:$A$32,0),MATCH($DR$1,'Rate Assumptions'!$A$1:$C$1,0))</f>
        <v>577.54380438719465</v>
      </c>
      <c r="EI14" s="279">
        <f>INDEX('Rate Assumptions'!$A$1:$C$32,MATCH('Success Allocation'!EI$3,'Rate Assumptions'!$A$1:$A$32,0),MATCH($DR$1,'Rate Assumptions'!$A$1:$C$1,0))</f>
        <v>433.15785329039602</v>
      </c>
      <c r="EJ14" s="279">
        <f>INDEX('Rate Assumptions'!$A$1:$C$32,MATCH('Success Allocation'!EJ$3,'Rate Assumptions'!$A$1:$A$32,0),MATCH($DR$1,'Rate Assumptions'!$A$1:$C$1,0))</f>
        <v>433.15785329039602</v>
      </c>
      <c r="EK14" s="279">
        <f>INDEX('Rate Assumptions'!$A$1:$C$32,MATCH('Success Allocation'!EK$3,'Rate Assumptions'!$A$1:$A$32,0),MATCH($DR$1,'Rate Assumptions'!$A$1:$C$1,0))</f>
        <v>288.77190219359733</v>
      </c>
      <c r="EL14" s="279">
        <f>INDEX('Rate Assumptions'!$A$1:$C$32,MATCH('Success Allocation'!EL$3,'Rate Assumptions'!$A$1:$A$32,0),MATCH($DR$1,'Rate Assumptions'!$A$1:$C$1,0))</f>
        <v>288.77190219359733</v>
      </c>
      <c r="EM14" s="279">
        <f>INDEX('Rate Assumptions'!$A$1:$C$32,MATCH('Success Allocation'!EM$3,'Rate Assumptions'!$A$1:$A$32,0),MATCH($DR$1,'Rate Assumptions'!$A$1:$C$1,0))</f>
        <v>144.38595109679866</v>
      </c>
      <c r="EN14" s="279">
        <f>INDEX('Rate Assumptions'!$A$1:$C$32,MATCH('Success Allocation'!EN$3,'Rate Assumptions'!$A$1:$A$32,0),MATCH($DR$1,'Rate Assumptions'!$A$1:$C$1,0))</f>
        <v>216.57892664519801</v>
      </c>
      <c r="EO14" s="281">
        <f>INDEX('Rate Assumptions'!$A$1:$C$32,MATCH('Success Allocation'!EO$3,'Rate Assumptions'!$A$1:$A$32,0),MATCH($DR$1,'Rate Assumptions'!$A$1:$C$1,0))</f>
        <v>144.38595109679866</v>
      </c>
      <c r="EP14" s="170">
        <f t="shared" si="50"/>
        <v>2952104.8723273235</v>
      </c>
    </row>
    <row r="15" spans="1:146">
      <c r="A15" s="223" t="s">
        <v>103</v>
      </c>
      <c r="B15" s="226">
        <v>1115</v>
      </c>
      <c r="C15" s="226">
        <v>1375</v>
      </c>
      <c r="D15" s="226">
        <v>0</v>
      </c>
      <c r="E15" s="226">
        <v>480</v>
      </c>
      <c r="F15" s="226">
        <v>815</v>
      </c>
      <c r="G15" s="227">
        <v>4526</v>
      </c>
      <c r="H15" s="226">
        <v>3580</v>
      </c>
      <c r="I15" s="228">
        <v>2613</v>
      </c>
      <c r="J15" s="226">
        <v>430</v>
      </c>
      <c r="K15" s="226">
        <v>631</v>
      </c>
      <c r="L15" s="226">
        <v>0</v>
      </c>
      <c r="M15" s="226">
        <v>157</v>
      </c>
      <c r="N15" s="226">
        <v>174</v>
      </c>
      <c r="O15" s="227">
        <v>1647</v>
      </c>
      <c r="P15" s="226">
        <v>1151</v>
      </c>
      <c r="Q15" s="228">
        <v>516</v>
      </c>
      <c r="R15" s="226">
        <v>608</v>
      </c>
      <c r="S15" s="226">
        <v>889</v>
      </c>
      <c r="T15" s="226">
        <v>0</v>
      </c>
      <c r="U15" s="226">
        <v>231</v>
      </c>
      <c r="V15" s="226">
        <v>269</v>
      </c>
      <c r="W15" s="227">
        <v>2428</v>
      </c>
      <c r="X15" s="226">
        <v>1818</v>
      </c>
      <c r="Y15" s="234">
        <v>996</v>
      </c>
      <c r="Z15" s="237">
        <v>1422</v>
      </c>
      <c r="AA15" s="237">
        <v>1497</v>
      </c>
      <c r="AB15" s="237">
        <v>0</v>
      </c>
      <c r="AC15" s="237">
        <v>596</v>
      </c>
      <c r="AD15" s="237">
        <v>902</v>
      </c>
      <c r="AE15" s="237">
        <v>4406</v>
      </c>
      <c r="AF15" s="237">
        <v>3636</v>
      </c>
      <c r="AG15" s="228">
        <v>2501</v>
      </c>
      <c r="AH15" s="237">
        <v>559</v>
      </c>
      <c r="AI15" s="237">
        <v>672</v>
      </c>
      <c r="AJ15" s="237">
        <v>0</v>
      </c>
      <c r="AK15" s="237">
        <v>189</v>
      </c>
      <c r="AL15" s="237">
        <v>206</v>
      </c>
      <c r="AM15" s="237">
        <v>1630</v>
      </c>
      <c r="AN15" s="237">
        <v>1164</v>
      </c>
      <c r="AO15" s="228">
        <v>505</v>
      </c>
      <c r="AP15" s="237">
        <v>800</v>
      </c>
      <c r="AQ15" s="237">
        <v>971</v>
      </c>
      <c r="AR15" s="237">
        <v>0</v>
      </c>
      <c r="AS15" s="237">
        <v>264</v>
      </c>
      <c r="AT15" s="237">
        <v>338</v>
      </c>
      <c r="AU15" s="238">
        <v>2437</v>
      </c>
      <c r="AV15" s="237">
        <v>1825</v>
      </c>
      <c r="AW15" s="234">
        <v>986</v>
      </c>
      <c r="AX15" s="237"/>
      <c r="AY15" s="237"/>
      <c r="AZ15" s="237"/>
      <c r="BA15" s="237"/>
      <c r="BB15" s="237"/>
      <c r="BC15" s="237"/>
      <c r="BD15" s="237"/>
      <c r="BF15" s="237"/>
      <c r="BG15" s="237"/>
      <c r="BH15" s="237"/>
      <c r="BI15" s="237"/>
      <c r="BJ15" s="237"/>
      <c r="BK15" s="237"/>
      <c r="BL15" s="237"/>
      <c r="BN15" s="237"/>
      <c r="BO15" s="237"/>
      <c r="BP15" s="237"/>
      <c r="BQ15" s="237"/>
      <c r="BR15" s="237"/>
      <c r="BS15" s="238"/>
      <c r="BT15" s="237"/>
      <c r="BV15" s="264">
        <f t="shared" si="2"/>
        <v>1729</v>
      </c>
      <c r="BW15" s="264">
        <f t="shared" si="3"/>
        <v>1619</v>
      </c>
      <c r="BX15" s="264">
        <f t="shared" si="4"/>
        <v>0</v>
      </c>
      <c r="BY15" s="264">
        <f t="shared" si="5"/>
        <v>712</v>
      </c>
      <c r="BZ15" s="264">
        <f t="shared" si="6"/>
        <v>989</v>
      </c>
      <c r="CA15" s="264">
        <f t="shared" si="7"/>
        <v>4286</v>
      </c>
      <c r="CB15" s="264">
        <f t="shared" si="8"/>
        <v>3692</v>
      </c>
      <c r="CC15" s="265">
        <f t="shared" si="9"/>
        <v>2389</v>
      </c>
      <c r="CD15" s="264">
        <f t="shared" si="10"/>
        <v>688</v>
      </c>
      <c r="CE15" s="264">
        <f t="shared" si="11"/>
        <v>713</v>
      </c>
      <c r="CF15" s="264">
        <f t="shared" si="12"/>
        <v>0</v>
      </c>
      <c r="CG15" s="264">
        <f t="shared" si="13"/>
        <v>221</v>
      </c>
      <c r="CH15" s="264">
        <f t="shared" si="14"/>
        <v>238</v>
      </c>
      <c r="CI15" s="264">
        <f t="shared" si="15"/>
        <v>1613</v>
      </c>
      <c r="CJ15" s="264">
        <f t="shared" si="16"/>
        <v>1177</v>
      </c>
      <c r="CK15" s="265">
        <f t="shared" si="17"/>
        <v>494</v>
      </c>
      <c r="CL15" s="264">
        <f t="shared" si="18"/>
        <v>992</v>
      </c>
      <c r="CM15" s="264">
        <f t="shared" si="19"/>
        <v>1053</v>
      </c>
      <c r="CN15" s="264">
        <f t="shared" si="20"/>
        <v>0</v>
      </c>
      <c r="CO15" s="264">
        <f t="shared" si="21"/>
        <v>297</v>
      </c>
      <c r="CP15" s="264">
        <f t="shared" si="22"/>
        <v>407</v>
      </c>
      <c r="CQ15" s="264">
        <f t="shared" si="23"/>
        <v>2446</v>
      </c>
      <c r="CR15" s="264">
        <f t="shared" si="24"/>
        <v>1832</v>
      </c>
      <c r="CS15" s="266">
        <f t="shared" si="25"/>
        <v>976</v>
      </c>
      <c r="CT15" s="264">
        <f t="shared" si="26"/>
        <v>1422</v>
      </c>
      <c r="CU15" s="264">
        <f t="shared" si="27"/>
        <v>1497</v>
      </c>
      <c r="CV15" s="264">
        <f t="shared" si="28"/>
        <v>0</v>
      </c>
      <c r="CW15" s="264">
        <f t="shared" si="29"/>
        <v>596</v>
      </c>
      <c r="CX15" s="264">
        <f t="shared" si="30"/>
        <v>902</v>
      </c>
      <c r="CY15" s="264">
        <f t="shared" si="31"/>
        <v>4406</v>
      </c>
      <c r="CZ15" s="264">
        <f t="shared" si="32"/>
        <v>3636</v>
      </c>
      <c r="DA15" s="265">
        <f t="shared" si="33"/>
        <v>2501</v>
      </c>
      <c r="DB15" s="264">
        <f t="shared" si="34"/>
        <v>559</v>
      </c>
      <c r="DC15" s="264">
        <f t="shared" si="35"/>
        <v>672</v>
      </c>
      <c r="DD15" s="264">
        <f t="shared" si="36"/>
        <v>0</v>
      </c>
      <c r="DE15" s="264">
        <f t="shared" si="37"/>
        <v>189</v>
      </c>
      <c r="DF15" s="264">
        <f t="shared" si="38"/>
        <v>206</v>
      </c>
      <c r="DG15" s="264">
        <f t="shared" si="39"/>
        <v>1630</v>
      </c>
      <c r="DH15" s="264">
        <f t="shared" si="40"/>
        <v>1164</v>
      </c>
      <c r="DI15" s="265">
        <f t="shared" si="41"/>
        <v>505</v>
      </c>
      <c r="DJ15" s="264">
        <f t="shared" si="42"/>
        <v>800</v>
      </c>
      <c r="DK15" s="264">
        <f t="shared" si="43"/>
        <v>971</v>
      </c>
      <c r="DL15" s="264">
        <f t="shared" si="44"/>
        <v>0</v>
      </c>
      <c r="DM15" s="264">
        <f t="shared" si="45"/>
        <v>264</v>
      </c>
      <c r="DN15" s="264">
        <f t="shared" si="46"/>
        <v>338</v>
      </c>
      <c r="DO15" s="264">
        <f t="shared" si="47"/>
        <v>2437</v>
      </c>
      <c r="DP15" s="264">
        <f t="shared" si="48"/>
        <v>1825</v>
      </c>
      <c r="DQ15" s="266">
        <f t="shared" si="49"/>
        <v>986</v>
      </c>
      <c r="DR15" s="279">
        <f>INDEX('Rate Assumptions'!$A$1:$C$32,MATCH('Success Allocation'!DR$3,'Rate Assumptions'!$A$1:$A$32,0),MATCH($DR$1,'Rate Assumptions'!$A$1:$C$1,0))</f>
        <v>2291.7551696336809</v>
      </c>
      <c r="DS15" s="279">
        <f>INDEX('Rate Assumptions'!$A$1:$C$32,MATCH('Success Allocation'!DS$3,'Rate Assumptions'!$A$1:$A$32,0),MATCH($DR$1,'Rate Assumptions'!$A$1:$C$1,0))</f>
        <v>1718.8163772252606</v>
      </c>
      <c r="DT15" s="279">
        <f>INDEX('Rate Assumptions'!$A$1:$C$32,MATCH('Success Allocation'!DT$3,'Rate Assumptions'!$A$1:$A$32,0),MATCH($DR$1,'Rate Assumptions'!$A$1:$C$1,0))</f>
        <v>1718.8163772252606</v>
      </c>
      <c r="DU15" s="279">
        <f>INDEX('Rate Assumptions'!$A$1:$C$32,MATCH('Success Allocation'!DU$3,'Rate Assumptions'!$A$1:$A$32,0),MATCH($DR$1,'Rate Assumptions'!$A$1:$C$1,0))</f>
        <v>1145.8775848168405</v>
      </c>
      <c r="DV15" s="279">
        <f>INDEX('Rate Assumptions'!$A$1:$C$32,MATCH('Success Allocation'!DV$3,'Rate Assumptions'!$A$1:$A$32,0),MATCH($DR$1,'Rate Assumptions'!$A$1:$C$1,0))</f>
        <v>1145.8775848168405</v>
      </c>
      <c r="DW15" s="279">
        <f>INDEX('Rate Assumptions'!$A$1:$C$32,MATCH('Success Allocation'!DW$3,'Rate Assumptions'!$A$1:$A$32,0),MATCH($DR$1,'Rate Assumptions'!$A$1:$C$1,0))</f>
        <v>572.93879240842023</v>
      </c>
      <c r="DX15" s="279">
        <f>INDEX('Rate Assumptions'!$A$1:$C$32,MATCH('Success Allocation'!DX$3,'Rate Assumptions'!$A$1:$A$32,0),MATCH($DR$1,'Rate Assumptions'!$A$1:$C$1,0))</f>
        <v>859.40818861263028</v>
      </c>
      <c r="DY15" s="280">
        <f>INDEX('Rate Assumptions'!$A$1:$C$32,MATCH('Success Allocation'!DY$3,'Rate Assumptions'!$A$1:$A$32,0),MATCH($DR$1,'Rate Assumptions'!$A$1:$C$1,0))</f>
        <v>572.93879240842023</v>
      </c>
      <c r="DZ15" s="279">
        <f>INDEX('Rate Assumptions'!$A$1:$C$32,MATCH('Success Allocation'!DZ$3,'Rate Assumptions'!$A$1:$A$32,0),MATCH($DR$1,'Rate Assumptions'!$A$1:$C$1,0))</f>
        <v>866.31570658079204</v>
      </c>
      <c r="EA15" s="279">
        <f>INDEX('Rate Assumptions'!$A$1:$C$32,MATCH('Success Allocation'!EA$3,'Rate Assumptions'!$A$1:$A$32,0),MATCH($DR$1,'Rate Assumptions'!$A$1:$C$1,0))</f>
        <v>649.73677993559397</v>
      </c>
      <c r="EB15" s="279">
        <f>INDEX('Rate Assumptions'!$A$1:$C$32,MATCH('Success Allocation'!EB$3,'Rate Assumptions'!$A$1:$A$32,0),MATCH($DR$1,'Rate Assumptions'!$A$1:$C$1,0))</f>
        <v>649.73677993559397</v>
      </c>
      <c r="EC15" s="279">
        <f>INDEX('Rate Assumptions'!$A$1:$C$32,MATCH('Success Allocation'!EC$3,'Rate Assumptions'!$A$1:$A$32,0),MATCH($DR$1,'Rate Assumptions'!$A$1:$C$1,0))</f>
        <v>433.15785329039602</v>
      </c>
      <c r="ED15" s="279">
        <f>INDEX('Rate Assumptions'!$A$1:$C$32,MATCH('Success Allocation'!ED$3,'Rate Assumptions'!$A$1:$A$32,0),MATCH($DR$1,'Rate Assumptions'!$A$1:$C$1,0))</f>
        <v>433.15785329039602</v>
      </c>
      <c r="EE15" s="279">
        <f>INDEX('Rate Assumptions'!$A$1:$C$32,MATCH('Success Allocation'!EE$3,'Rate Assumptions'!$A$1:$A$32,0),MATCH($DR$1,'Rate Assumptions'!$A$1:$C$1,0))</f>
        <v>216.57892664519801</v>
      </c>
      <c r="EF15" s="279">
        <f>INDEX('Rate Assumptions'!$A$1:$C$32,MATCH('Success Allocation'!EF$3,'Rate Assumptions'!$A$1:$A$32,0),MATCH($DR$1,'Rate Assumptions'!$A$1:$C$1,0))</f>
        <v>324.86838996779699</v>
      </c>
      <c r="EG15" s="280">
        <f>INDEX('Rate Assumptions'!$A$1:$C$32,MATCH('Success Allocation'!EG$3,'Rate Assumptions'!$A$1:$A$32,0),MATCH($DR$1,'Rate Assumptions'!$A$1:$C$1,0))</f>
        <v>216.57892664519801</v>
      </c>
      <c r="EH15" s="279">
        <f>INDEX('Rate Assumptions'!$A$1:$C$32,MATCH('Success Allocation'!EH$3,'Rate Assumptions'!$A$1:$A$32,0),MATCH($DR$1,'Rate Assumptions'!$A$1:$C$1,0))</f>
        <v>577.54380438719465</v>
      </c>
      <c r="EI15" s="279">
        <f>INDEX('Rate Assumptions'!$A$1:$C$32,MATCH('Success Allocation'!EI$3,'Rate Assumptions'!$A$1:$A$32,0),MATCH($DR$1,'Rate Assumptions'!$A$1:$C$1,0))</f>
        <v>433.15785329039602</v>
      </c>
      <c r="EJ15" s="279">
        <f>INDEX('Rate Assumptions'!$A$1:$C$32,MATCH('Success Allocation'!EJ$3,'Rate Assumptions'!$A$1:$A$32,0),MATCH($DR$1,'Rate Assumptions'!$A$1:$C$1,0))</f>
        <v>433.15785329039602</v>
      </c>
      <c r="EK15" s="279">
        <f>INDEX('Rate Assumptions'!$A$1:$C$32,MATCH('Success Allocation'!EK$3,'Rate Assumptions'!$A$1:$A$32,0),MATCH($DR$1,'Rate Assumptions'!$A$1:$C$1,0))</f>
        <v>288.77190219359733</v>
      </c>
      <c r="EL15" s="279">
        <f>INDEX('Rate Assumptions'!$A$1:$C$32,MATCH('Success Allocation'!EL$3,'Rate Assumptions'!$A$1:$A$32,0),MATCH($DR$1,'Rate Assumptions'!$A$1:$C$1,0))</f>
        <v>288.77190219359733</v>
      </c>
      <c r="EM15" s="279">
        <f>INDEX('Rate Assumptions'!$A$1:$C$32,MATCH('Success Allocation'!EM$3,'Rate Assumptions'!$A$1:$A$32,0),MATCH($DR$1,'Rate Assumptions'!$A$1:$C$1,0))</f>
        <v>144.38595109679866</v>
      </c>
      <c r="EN15" s="279">
        <f>INDEX('Rate Assumptions'!$A$1:$C$32,MATCH('Success Allocation'!EN$3,'Rate Assumptions'!$A$1:$A$32,0),MATCH($DR$1,'Rate Assumptions'!$A$1:$C$1,0))</f>
        <v>216.57892664519801</v>
      </c>
      <c r="EO15" s="281">
        <f>INDEX('Rate Assumptions'!$A$1:$C$32,MATCH('Success Allocation'!EO$3,'Rate Assumptions'!$A$1:$A$32,0),MATCH($DR$1,'Rate Assumptions'!$A$1:$C$1,0))</f>
        <v>144.38595109679866</v>
      </c>
      <c r="EP15" s="170">
        <f t="shared" si="50"/>
        <v>19911651.935675722</v>
      </c>
    </row>
    <row r="16" spans="1:146">
      <c r="A16" s="223" t="s">
        <v>104</v>
      </c>
      <c r="B16" s="226">
        <v>52</v>
      </c>
      <c r="C16" s="226">
        <v>93</v>
      </c>
      <c r="D16" s="226">
        <v>0</v>
      </c>
      <c r="E16" s="226">
        <v>10</v>
      </c>
      <c r="F16" s="226">
        <v>30</v>
      </c>
      <c r="G16" s="227">
        <v>227</v>
      </c>
      <c r="H16" s="226">
        <v>134</v>
      </c>
      <c r="I16" s="228">
        <v>188</v>
      </c>
      <c r="J16" s="226">
        <v>43</v>
      </c>
      <c r="K16" s="226">
        <v>70</v>
      </c>
      <c r="L16" s="226">
        <v>0</v>
      </c>
      <c r="M16" s="226">
        <v>6</v>
      </c>
      <c r="N16" s="226">
        <v>17</v>
      </c>
      <c r="O16" s="227">
        <v>170</v>
      </c>
      <c r="P16" s="226">
        <v>97</v>
      </c>
      <c r="Q16" s="228">
        <v>84</v>
      </c>
      <c r="R16" s="226">
        <v>49</v>
      </c>
      <c r="S16" s="226">
        <v>85</v>
      </c>
      <c r="T16" s="226">
        <v>0</v>
      </c>
      <c r="U16" s="226">
        <v>8</v>
      </c>
      <c r="V16" s="226">
        <v>24</v>
      </c>
      <c r="W16" s="227">
        <v>204</v>
      </c>
      <c r="X16" s="226">
        <v>118</v>
      </c>
      <c r="Y16" s="234">
        <v>120</v>
      </c>
      <c r="Z16" s="237">
        <v>60</v>
      </c>
      <c r="AA16" s="237">
        <v>130</v>
      </c>
      <c r="AB16" s="237">
        <v>0</v>
      </c>
      <c r="AC16" s="237">
        <v>14</v>
      </c>
      <c r="AD16" s="237">
        <v>32</v>
      </c>
      <c r="AE16" s="237">
        <v>232</v>
      </c>
      <c r="AF16" s="237">
        <v>92</v>
      </c>
      <c r="AG16" s="228">
        <v>187</v>
      </c>
      <c r="AH16" s="237">
        <v>45</v>
      </c>
      <c r="AI16" s="237">
        <v>98</v>
      </c>
      <c r="AJ16" s="237">
        <v>0</v>
      </c>
      <c r="AK16" s="237">
        <v>13</v>
      </c>
      <c r="AL16" s="237">
        <v>13</v>
      </c>
      <c r="AM16" s="237">
        <v>168</v>
      </c>
      <c r="AN16" s="237">
        <v>56</v>
      </c>
      <c r="AO16" s="228">
        <v>81</v>
      </c>
      <c r="AP16" s="237">
        <v>55</v>
      </c>
      <c r="AQ16" s="237">
        <v>115</v>
      </c>
      <c r="AR16" s="237">
        <v>0</v>
      </c>
      <c r="AS16" s="237">
        <v>13</v>
      </c>
      <c r="AT16" s="237">
        <v>19</v>
      </c>
      <c r="AU16" s="238">
        <v>211</v>
      </c>
      <c r="AV16" s="237">
        <v>74</v>
      </c>
      <c r="AW16" s="234">
        <v>128</v>
      </c>
      <c r="AX16" s="237"/>
      <c r="AY16" s="237"/>
      <c r="AZ16" s="237"/>
      <c r="BA16" s="237"/>
      <c r="BB16" s="237"/>
      <c r="BC16" s="237"/>
      <c r="BD16" s="237"/>
      <c r="BF16" s="237"/>
      <c r="BG16" s="237"/>
      <c r="BH16" s="237"/>
      <c r="BI16" s="237"/>
      <c r="BJ16" s="237"/>
      <c r="BK16" s="237"/>
      <c r="BL16" s="237"/>
      <c r="BN16" s="237"/>
      <c r="BO16" s="237"/>
      <c r="BP16" s="237"/>
      <c r="BQ16" s="237"/>
      <c r="BR16" s="237"/>
      <c r="BS16" s="238"/>
      <c r="BT16" s="237"/>
      <c r="BV16" s="264">
        <f t="shared" si="2"/>
        <v>68</v>
      </c>
      <c r="BW16" s="264">
        <f t="shared" si="3"/>
        <v>167</v>
      </c>
      <c r="BX16" s="264">
        <f t="shared" si="4"/>
        <v>0</v>
      </c>
      <c r="BY16" s="264">
        <f t="shared" si="5"/>
        <v>18</v>
      </c>
      <c r="BZ16" s="264">
        <f t="shared" si="6"/>
        <v>34</v>
      </c>
      <c r="CA16" s="264">
        <f t="shared" si="7"/>
        <v>237</v>
      </c>
      <c r="CB16" s="264">
        <f t="shared" si="8"/>
        <v>50</v>
      </c>
      <c r="CC16" s="265">
        <f t="shared" si="9"/>
        <v>186</v>
      </c>
      <c r="CD16" s="264">
        <f t="shared" si="10"/>
        <v>47</v>
      </c>
      <c r="CE16" s="264">
        <f t="shared" si="11"/>
        <v>126</v>
      </c>
      <c r="CF16" s="264">
        <f t="shared" si="12"/>
        <v>0</v>
      </c>
      <c r="CG16" s="264">
        <f t="shared" si="13"/>
        <v>20</v>
      </c>
      <c r="CH16" s="264">
        <f t="shared" si="14"/>
        <v>9</v>
      </c>
      <c r="CI16" s="264">
        <f t="shared" si="15"/>
        <v>166</v>
      </c>
      <c r="CJ16" s="264">
        <f t="shared" si="16"/>
        <v>15</v>
      </c>
      <c r="CK16" s="265">
        <f t="shared" si="17"/>
        <v>78</v>
      </c>
      <c r="CL16" s="264">
        <f t="shared" si="18"/>
        <v>61</v>
      </c>
      <c r="CM16" s="264">
        <f t="shared" si="19"/>
        <v>145</v>
      </c>
      <c r="CN16" s="264">
        <f t="shared" si="20"/>
        <v>0</v>
      </c>
      <c r="CO16" s="264">
        <f t="shared" si="21"/>
        <v>18</v>
      </c>
      <c r="CP16" s="264">
        <f t="shared" si="22"/>
        <v>14</v>
      </c>
      <c r="CQ16" s="264">
        <f t="shared" si="23"/>
        <v>218</v>
      </c>
      <c r="CR16" s="264">
        <f t="shared" si="24"/>
        <v>30</v>
      </c>
      <c r="CS16" s="266">
        <f t="shared" si="25"/>
        <v>136</v>
      </c>
      <c r="CT16" s="264">
        <f t="shared" si="26"/>
        <v>60</v>
      </c>
      <c r="CU16" s="264">
        <f t="shared" si="27"/>
        <v>130</v>
      </c>
      <c r="CV16" s="264">
        <f t="shared" si="28"/>
        <v>0</v>
      </c>
      <c r="CW16" s="264">
        <f t="shared" si="29"/>
        <v>14</v>
      </c>
      <c r="CX16" s="264">
        <f t="shared" si="30"/>
        <v>32</v>
      </c>
      <c r="CY16" s="264">
        <f t="shared" si="31"/>
        <v>232</v>
      </c>
      <c r="CZ16" s="264">
        <f t="shared" si="32"/>
        <v>92</v>
      </c>
      <c r="DA16" s="265">
        <f t="shared" si="33"/>
        <v>187</v>
      </c>
      <c r="DB16" s="264">
        <f t="shared" si="34"/>
        <v>45</v>
      </c>
      <c r="DC16" s="264">
        <f t="shared" si="35"/>
        <v>98</v>
      </c>
      <c r="DD16" s="264">
        <f t="shared" si="36"/>
        <v>0</v>
      </c>
      <c r="DE16" s="264">
        <f t="shared" si="37"/>
        <v>13</v>
      </c>
      <c r="DF16" s="264">
        <f t="shared" si="38"/>
        <v>13</v>
      </c>
      <c r="DG16" s="264">
        <f t="shared" si="39"/>
        <v>168</v>
      </c>
      <c r="DH16" s="264">
        <f t="shared" si="40"/>
        <v>56</v>
      </c>
      <c r="DI16" s="265">
        <f t="shared" si="41"/>
        <v>81</v>
      </c>
      <c r="DJ16" s="264">
        <f t="shared" si="42"/>
        <v>55</v>
      </c>
      <c r="DK16" s="264">
        <f t="shared" si="43"/>
        <v>115</v>
      </c>
      <c r="DL16" s="264">
        <f t="shared" si="44"/>
        <v>0</v>
      </c>
      <c r="DM16" s="264">
        <f t="shared" si="45"/>
        <v>13</v>
      </c>
      <c r="DN16" s="264">
        <f t="shared" si="46"/>
        <v>19</v>
      </c>
      <c r="DO16" s="264">
        <f t="shared" si="47"/>
        <v>211</v>
      </c>
      <c r="DP16" s="264">
        <f t="shared" si="48"/>
        <v>74</v>
      </c>
      <c r="DQ16" s="266">
        <f t="shared" si="49"/>
        <v>128</v>
      </c>
      <c r="DR16" s="279">
        <f>INDEX('Rate Assumptions'!$A$1:$C$32,MATCH('Success Allocation'!DR$3,'Rate Assumptions'!$A$1:$A$32,0),MATCH($DR$1,'Rate Assumptions'!$A$1:$C$1,0))</f>
        <v>2291.7551696336809</v>
      </c>
      <c r="DS16" s="279">
        <f>INDEX('Rate Assumptions'!$A$1:$C$32,MATCH('Success Allocation'!DS$3,'Rate Assumptions'!$A$1:$A$32,0),MATCH($DR$1,'Rate Assumptions'!$A$1:$C$1,0))</f>
        <v>1718.8163772252606</v>
      </c>
      <c r="DT16" s="279">
        <f>INDEX('Rate Assumptions'!$A$1:$C$32,MATCH('Success Allocation'!DT$3,'Rate Assumptions'!$A$1:$A$32,0),MATCH($DR$1,'Rate Assumptions'!$A$1:$C$1,0))</f>
        <v>1718.8163772252606</v>
      </c>
      <c r="DU16" s="279">
        <f>INDEX('Rate Assumptions'!$A$1:$C$32,MATCH('Success Allocation'!DU$3,'Rate Assumptions'!$A$1:$A$32,0),MATCH($DR$1,'Rate Assumptions'!$A$1:$C$1,0))</f>
        <v>1145.8775848168405</v>
      </c>
      <c r="DV16" s="279">
        <f>INDEX('Rate Assumptions'!$A$1:$C$32,MATCH('Success Allocation'!DV$3,'Rate Assumptions'!$A$1:$A$32,0),MATCH($DR$1,'Rate Assumptions'!$A$1:$C$1,0))</f>
        <v>1145.8775848168405</v>
      </c>
      <c r="DW16" s="279">
        <f>INDEX('Rate Assumptions'!$A$1:$C$32,MATCH('Success Allocation'!DW$3,'Rate Assumptions'!$A$1:$A$32,0),MATCH($DR$1,'Rate Assumptions'!$A$1:$C$1,0))</f>
        <v>572.93879240842023</v>
      </c>
      <c r="DX16" s="279">
        <f>INDEX('Rate Assumptions'!$A$1:$C$32,MATCH('Success Allocation'!DX$3,'Rate Assumptions'!$A$1:$A$32,0),MATCH($DR$1,'Rate Assumptions'!$A$1:$C$1,0))</f>
        <v>859.40818861263028</v>
      </c>
      <c r="DY16" s="280">
        <f>INDEX('Rate Assumptions'!$A$1:$C$32,MATCH('Success Allocation'!DY$3,'Rate Assumptions'!$A$1:$A$32,0),MATCH($DR$1,'Rate Assumptions'!$A$1:$C$1,0))</f>
        <v>572.93879240842023</v>
      </c>
      <c r="DZ16" s="279">
        <f>INDEX('Rate Assumptions'!$A$1:$C$32,MATCH('Success Allocation'!DZ$3,'Rate Assumptions'!$A$1:$A$32,0),MATCH($DR$1,'Rate Assumptions'!$A$1:$C$1,0))</f>
        <v>866.31570658079204</v>
      </c>
      <c r="EA16" s="279">
        <f>INDEX('Rate Assumptions'!$A$1:$C$32,MATCH('Success Allocation'!EA$3,'Rate Assumptions'!$A$1:$A$32,0),MATCH($DR$1,'Rate Assumptions'!$A$1:$C$1,0))</f>
        <v>649.73677993559397</v>
      </c>
      <c r="EB16" s="279">
        <f>INDEX('Rate Assumptions'!$A$1:$C$32,MATCH('Success Allocation'!EB$3,'Rate Assumptions'!$A$1:$A$32,0),MATCH($DR$1,'Rate Assumptions'!$A$1:$C$1,0))</f>
        <v>649.73677993559397</v>
      </c>
      <c r="EC16" s="279">
        <f>INDEX('Rate Assumptions'!$A$1:$C$32,MATCH('Success Allocation'!EC$3,'Rate Assumptions'!$A$1:$A$32,0),MATCH($DR$1,'Rate Assumptions'!$A$1:$C$1,0))</f>
        <v>433.15785329039602</v>
      </c>
      <c r="ED16" s="279">
        <f>INDEX('Rate Assumptions'!$A$1:$C$32,MATCH('Success Allocation'!ED$3,'Rate Assumptions'!$A$1:$A$32,0),MATCH($DR$1,'Rate Assumptions'!$A$1:$C$1,0))</f>
        <v>433.15785329039602</v>
      </c>
      <c r="EE16" s="279">
        <f>INDEX('Rate Assumptions'!$A$1:$C$32,MATCH('Success Allocation'!EE$3,'Rate Assumptions'!$A$1:$A$32,0),MATCH($DR$1,'Rate Assumptions'!$A$1:$C$1,0))</f>
        <v>216.57892664519801</v>
      </c>
      <c r="EF16" s="279">
        <f>INDEX('Rate Assumptions'!$A$1:$C$32,MATCH('Success Allocation'!EF$3,'Rate Assumptions'!$A$1:$A$32,0),MATCH($DR$1,'Rate Assumptions'!$A$1:$C$1,0))</f>
        <v>324.86838996779699</v>
      </c>
      <c r="EG16" s="280">
        <f>INDEX('Rate Assumptions'!$A$1:$C$32,MATCH('Success Allocation'!EG$3,'Rate Assumptions'!$A$1:$A$32,0),MATCH($DR$1,'Rate Assumptions'!$A$1:$C$1,0))</f>
        <v>216.57892664519801</v>
      </c>
      <c r="EH16" s="279">
        <f>INDEX('Rate Assumptions'!$A$1:$C$32,MATCH('Success Allocation'!EH$3,'Rate Assumptions'!$A$1:$A$32,0),MATCH($DR$1,'Rate Assumptions'!$A$1:$C$1,0))</f>
        <v>577.54380438719465</v>
      </c>
      <c r="EI16" s="279">
        <f>INDEX('Rate Assumptions'!$A$1:$C$32,MATCH('Success Allocation'!EI$3,'Rate Assumptions'!$A$1:$A$32,0),MATCH($DR$1,'Rate Assumptions'!$A$1:$C$1,0))</f>
        <v>433.15785329039602</v>
      </c>
      <c r="EJ16" s="279">
        <f>INDEX('Rate Assumptions'!$A$1:$C$32,MATCH('Success Allocation'!EJ$3,'Rate Assumptions'!$A$1:$A$32,0),MATCH($DR$1,'Rate Assumptions'!$A$1:$C$1,0))</f>
        <v>433.15785329039602</v>
      </c>
      <c r="EK16" s="279">
        <f>INDEX('Rate Assumptions'!$A$1:$C$32,MATCH('Success Allocation'!EK$3,'Rate Assumptions'!$A$1:$A$32,0),MATCH($DR$1,'Rate Assumptions'!$A$1:$C$1,0))</f>
        <v>288.77190219359733</v>
      </c>
      <c r="EL16" s="279">
        <f>INDEX('Rate Assumptions'!$A$1:$C$32,MATCH('Success Allocation'!EL$3,'Rate Assumptions'!$A$1:$A$32,0),MATCH($DR$1,'Rate Assumptions'!$A$1:$C$1,0))</f>
        <v>288.77190219359733</v>
      </c>
      <c r="EM16" s="279">
        <f>INDEX('Rate Assumptions'!$A$1:$C$32,MATCH('Success Allocation'!EM$3,'Rate Assumptions'!$A$1:$A$32,0),MATCH($DR$1,'Rate Assumptions'!$A$1:$C$1,0))</f>
        <v>144.38595109679866</v>
      </c>
      <c r="EN16" s="279">
        <f>INDEX('Rate Assumptions'!$A$1:$C$32,MATCH('Success Allocation'!EN$3,'Rate Assumptions'!$A$1:$A$32,0),MATCH($DR$1,'Rate Assumptions'!$A$1:$C$1,0))</f>
        <v>216.57892664519801</v>
      </c>
      <c r="EO16" s="281">
        <f>INDEX('Rate Assumptions'!$A$1:$C$32,MATCH('Success Allocation'!EO$3,'Rate Assumptions'!$A$1:$A$32,0),MATCH($DR$1,'Rate Assumptions'!$A$1:$C$1,0))</f>
        <v>144.38595109679866</v>
      </c>
      <c r="EP16" s="170">
        <f t="shared" si="50"/>
        <v>1145543.1298916708</v>
      </c>
    </row>
    <row r="17" spans="1:146">
      <c r="A17" s="223" t="s">
        <v>105</v>
      </c>
      <c r="B17" s="226">
        <v>446</v>
      </c>
      <c r="C17" s="226">
        <v>351</v>
      </c>
      <c r="D17" s="226">
        <v>0</v>
      </c>
      <c r="E17" s="226">
        <v>99</v>
      </c>
      <c r="F17" s="226">
        <v>78</v>
      </c>
      <c r="G17" s="227">
        <v>1628</v>
      </c>
      <c r="H17" s="226">
        <v>635</v>
      </c>
      <c r="I17" s="228">
        <v>1347</v>
      </c>
      <c r="J17" s="226">
        <v>307</v>
      </c>
      <c r="K17" s="226">
        <v>222</v>
      </c>
      <c r="L17" s="226">
        <v>0</v>
      </c>
      <c r="M17" s="226">
        <v>64</v>
      </c>
      <c r="N17" s="226">
        <v>40</v>
      </c>
      <c r="O17" s="227">
        <v>1035</v>
      </c>
      <c r="P17" s="226">
        <v>408</v>
      </c>
      <c r="Q17" s="228">
        <v>613</v>
      </c>
      <c r="R17" s="226">
        <v>363</v>
      </c>
      <c r="S17" s="226">
        <v>292</v>
      </c>
      <c r="T17" s="226">
        <v>0</v>
      </c>
      <c r="U17" s="226">
        <v>78</v>
      </c>
      <c r="V17" s="226">
        <v>63</v>
      </c>
      <c r="W17" s="227">
        <v>1350</v>
      </c>
      <c r="X17" s="226">
        <v>513</v>
      </c>
      <c r="Y17" s="234">
        <v>944</v>
      </c>
      <c r="Z17" s="237">
        <v>524</v>
      </c>
      <c r="AA17" s="237">
        <v>355</v>
      </c>
      <c r="AB17" s="237">
        <v>0</v>
      </c>
      <c r="AC17" s="237">
        <v>146</v>
      </c>
      <c r="AD17" s="237">
        <v>111</v>
      </c>
      <c r="AE17" s="237">
        <v>1688</v>
      </c>
      <c r="AF17" s="237">
        <v>686</v>
      </c>
      <c r="AG17" s="228">
        <v>1363</v>
      </c>
      <c r="AH17" s="237">
        <v>371</v>
      </c>
      <c r="AI17" s="237">
        <v>239</v>
      </c>
      <c r="AJ17" s="237">
        <v>0</v>
      </c>
      <c r="AK17" s="237">
        <v>107</v>
      </c>
      <c r="AL17" s="237">
        <v>58</v>
      </c>
      <c r="AM17" s="237">
        <v>1074</v>
      </c>
      <c r="AN17" s="237">
        <v>430</v>
      </c>
      <c r="AO17" s="228">
        <v>664</v>
      </c>
      <c r="AP17" s="237">
        <v>461</v>
      </c>
      <c r="AQ17" s="237">
        <v>303</v>
      </c>
      <c r="AR17" s="237">
        <v>0</v>
      </c>
      <c r="AS17" s="237">
        <v>129</v>
      </c>
      <c r="AT17" s="237">
        <v>84</v>
      </c>
      <c r="AU17" s="238">
        <v>1405</v>
      </c>
      <c r="AV17" s="237">
        <v>542</v>
      </c>
      <c r="AW17" s="234">
        <v>953</v>
      </c>
      <c r="AX17" s="237"/>
      <c r="AY17" s="237"/>
      <c r="AZ17" s="237"/>
      <c r="BA17" s="237"/>
      <c r="BB17" s="237"/>
      <c r="BC17" s="237"/>
      <c r="BD17" s="237"/>
      <c r="BF17" s="237"/>
      <c r="BG17" s="237"/>
      <c r="BH17" s="237"/>
      <c r="BI17" s="237"/>
      <c r="BJ17" s="237"/>
      <c r="BK17" s="237"/>
      <c r="BL17" s="237"/>
      <c r="BN17" s="237"/>
      <c r="BO17" s="237"/>
      <c r="BP17" s="237"/>
      <c r="BQ17" s="237"/>
      <c r="BR17" s="237"/>
      <c r="BS17" s="238"/>
      <c r="BT17" s="237"/>
      <c r="BV17" s="264">
        <f t="shared" si="2"/>
        <v>602</v>
      </c>
      <c r="BW17" s="264">
        <f t="shared" si="3"/>
        <v>359</v>
      </c>
      <c r="BX17" s="264">
        <f t="shared" si="4"/>
        <v>0</v>
      </c>
      <c r="BY17" s="264">
        <f t="shared" si="5"/>
        <v>193</v>
      </c>
      <c r="BZ17" s="264">
        <f t="shared" si="6"/>
        <v>144</v>
      </c>
      <c r="CA17" s="264">
        <f t="shared" si="7"/>
        <v>1748</v>
      </c>
      <c r="CB17" s="264">
        <f t="shared" si="8"/>
        <v>737</v>
      </c>
      <c r="CC17" s="265">
        <f t="shared" si="9"/>
        <v>1379</v>
      </c>
      <c r="CD17" s="264">
        <f t="shared" si="10"/>
        <v>435</v>
      </c>
      <c r="CE17" s="264">
        <f t="shared" si="11"/>
        <v>256</v>
      </c>
      <c r="CF17" s="264">
        <f t="shared" si="12"/>
        <v>0</v>
      </c>
      <c r="CG17" s="264">
        <f t="shared" si="13"/>
        <v>150</v>
      </c>
      <c r="CH17" s="264">
        <f t="shared" si="14"/>
        <v>76</v>
      </c>
      <c r="CI17" s="264">
        <f t="shared" si="15"/>
        <v>1113</v>
      </c>
      <c r="CJ17" s="264">
        <f t="shared" si="16"/>
        <v>452</v>
      </c>
      <c r="CK17" s="265">
        <f t="shared" si="17"/>
        <v>715</v>
      </c>
      <c r="CL17" s="264">
        <f t="shared" si="18"/>
        <v>559</v>
      </c>
      <c r="CM17" s="264">
        <f t="shared" si="19"/>
        <v>314</v>
      </c>
      <c r="CN17" s="264">
        <f t="shared" si="20"/>
        <v>0</v>
      </c>
      <c r="CO17" s="264">
        <f t="shared" si="21"/>
        <v>180</v>
      </c>
      <c r="CP17" s="264">
        <f t="shared" si="22"/>
        <v>105</v>
      </c>
      <c r="CQ17" s="264">
        <f t="shared" si="23"/>
        <v>1460</v>
      </c>
      <c r="CR17" s="264">
        <f t="shared" si="24"/>
        <v>571</v>
      </c>
      <c r="CS17" s="266">
        <f t="shared" si="25"/>
        <v>962</v>
      </c>
      <c r="CT17" s="264">
        <f t="shared" si="26"/>
        <v>524</v>
      </c>
      <c r="CU17" s="264">
        <f t="shared" si="27"/>
        <v>355</v>
      </c>
      <c r="CV17" s="264">
        <f t="shared" si="28"/>
        <v>0</v>
      </c>
      <c r="CW17" s="264">
        <f t="shared" si="29"/>
        <v>146</v>
      </c>
      <c r="CX17" s="264">
        <f t="shared" si="30"/>
        <v>111</v>
      </c>
      <c r="CY17" s="264">
        <f t="shared" si="31"/>
        <v>1688</v>
      </c>
      <c r="CZ17" s="264">
        <f t="shared" si="32"/>
        <v>686</v>
      </c>
      <c r="DA17" s="265">
        <f t="shared" si="33"/>
        <v>1363</v>
      </c>
      <c r="DB17" s="264">
        <f t="shared" si="34"/>
        <v>371</v>
      </c>
      <c r="DC17" s="264">
        <f t="shared" si="35"/>
        <v>239</v>
      </c>
      <c r="DD17" s="264">
        <f t="shared" si="36"/>
        <v>0</v>
      </c>
      <c r="DE17" s="264">
        <f t="shared" si="37"/>
        <v>107</v>
      </c>
      <c r="DF17" s="264">
        <f t="shared" si="38"/>
        <v>58</v>
      </c>
      <c r="DG17" s="264">
        <f t="shared" si="39"/>
        <v>1074</v>
      </c>
      <c r="DH17" s="264">
        <f t="shared" si="40"/>
        <v>430</v>
      </c>
      <c r="DI17" s="265">
        <f t="shared" si="41"/>
        <v>664</v>
      </c>
      <c r="DJ17" s="264">
        <f t="shared" si="42"/>
        <v>461</v>
      </c>
      <c r="DK17" s="264">
        <f t="shared" si="43"/>
        <v>303</v>
      </c>
      <c r="DL17" s="264">
        <f t="shared" si="44"/>
        <v>0</v>
      </c>
      <c r="DM17" s="264">
        <f t="shared" si="45"/>
        <v>129</v>
      </c>
      <c r="DN17" s="264">
        <f t="shared" si="46"/>
        <v>84</v>
      </c>
      <c r="DO17" s="264">
        <f t="shared" si="47"/>
        <v>1405</v>
      </c>
      <c r="DP17" s="264">
        <f t="shared" si="48"/>
        <v>542</v>
      </c>
      <c r="DQ17" s="266">
        <f t="shared" si="49"/>
        <v>953</v>
      </c>
      <c r="DR17" s="279">
        <f>INDEX('Rate Assumptions'!$A$1:$C$32,MATCH('Success Allocation'!DR$3,'Rate Assumptions'!$A$1:$A$32,0),MATCH($DR$1,'Rate Assumptions'!$A$1:$C$1,0))</f>
        <v>2291.7551696336809</v>
      </c>
      <c r="DS17" s="279">
        <f>INDEX('Rate Assumptions'!$A$1:$C$32,MATCH('Success Allocation'!DS$3,'Rate Assumptions'!$A$1:$A$32,0),MATCH($DR$1,'Rate Assumptions'!$A$1:$C$1,0))</f>
        <v>1718.8163772252606</v>
      </c>
      <c r="DT17" s="279">
        <f>INDEX('Rate Assumptions'!$A$1:$C$32,MATCH('Success Allocation'!DT$3,'Rate Assumptions'!$A$1:$A$32,0),MATCH($DR$1,'Rate Assumptions'!$A$1:$C$1,0))</f>
        <v>1718.8163772252606</v>
      </c>
      <c r="DU17" s="279">
        <f>INDEX('Rate Assumptions'!$A$1:$C$32,MATCH('Success Allocation'!DU$3,'Rate Assumptions'!$A$1:$A$32,0),MATCH($DR$1,'Rate Assumptions'!$A$1:$C$1,0))</f>
        <v>1145.8775848168405</v>
      </c>
      <c r="DV17" s="279">
        <f>INDEX('Rate Assumptions'!$A$1:$C$32,MATCH('Success Allocation'!DV$3,'Rate Assumptions'!$A$1:$A$32,0),MATCH($DR$1,'Rate Assumptions'!$A$1:$C$1,0))</f>
        <v>1145.8775848168405</v>
      </c>
      <c r="DW17" s="279">
        <f>INDEX('Rate Assumptions'!$A$1:$C$32,MATCH('Success Allocation'!DW$3,'Rate Assumptions'!$A$1:$A$32,0),MATCH($DR$1,'Rate Assumptions'!$A$1:$C$1,0))</f>
        <v>572.93879240842023</v>
      </c>
      <c r="DX17" s="279">
        <f>INDEX('Rate Assumptions'!$A$1:$C$32,MATCH('Success Allocation'!DX$3,'Rate Assumptions'!$A$1:$A$32,0),MATCH($DR$1,'Rate Assumptions'!$A$1:$C$1,0))</f>
        <v>859.40818861263028</v>
      </c>
      <c r="DY17" s="280">
        <f>INDEX('Rate Assumptions'!$A$1:$C$32,MATCH('Success Allocation'!DY$3,'Rate Assumptions'!$A$1:$A$32,0),MATCH($DR$1,'Rate Assumptions'!$A$1:$C$1,0))</f>
        <v>572.93879240842023</v>
      </c>
      <c r="DZ17" s="279">
        <f>INDEX('Rate Assumptions'!$A$1:$C$32,MATCH('Success Allocation'!DZ$3,'Rate Assumptions'!$A$1:$A$32,0),MATCH($DR$1,'Rate Assumptions'!$A$1:$C$1,0))</f>
        <v>866.31570658079204</v>
      </c>
      <c r="EA17" s="279">
        <f>INDEX('Rate Assumptions'!$A$1:$C$32,MATCH('Success Allocation'!EA$3,'Rate Assumptions'!$A$1:$A$32,0),MATCH($DR$1,'Rate Assumptions'!$A$1:$C$1,0))</f>
        <v>649.73677993559397</v>
      </c>
      <c r="EB17" s="279">
        <f>INDEX('Rate Assumptions'!$A$1:$C$32,MATCH('Success Allocation'!EB$3,'Rate Assumptions'!$A$1:$A$32,0),MATCH($DR$1,'Rate Assumptions'!$A$1:$C$1,0))</f>
        <v>649.73677993559397</v>
      </c>
      <c r="EC17" s="279">
        <f>INDEX('Rate Assumptions'!$A$1:$C$32,MATCH('Success Allocation'!EC$3,'Rate Assumptions'!$A$1:$A$32,0),MATCH($DR$1,'Rate Assumptions'!$A$1:$C$1,0))</f>
        <v>433.15785329039602</v>
      </c>
      <c r="ED17" s="279">
        <f>INDEX('Rate Assumptions'!$A$1:$C$32,MATCH('Success Allocation'!ED$3,'Rate Assumptions'!$A$1:$A$32,0),MATCH($DR$1,'Rate Assumptions'!$A$1:$C$1,0))</f>
        <v>433.15785329039602</v>
      </c>
      <c r="EE17" s="279">
        <f>INDEX('Rate Assumptions'!$A$1:$C$32,MATCH('Success Allocation'!EE$3,'Rate Assumptions'!$A$1:$A$32,0),MATCH($DR$1,'Rate Assumptions'!$A$1:$C$1,0))</f>
        <v>216.57892664519801</v>
      </c>
      <c r="EF17" s="279">
        <f>INDEX('Rate Assumptions'!$A$1:$C$32,MATCH('Success Allocation'!EF$3,'Rate Assumptions'!$A$1:$A$32,0),MATCH($DR$1,'Rate Assumptions'!$A$1:$C$1,0))</f>
        <v>324.86838996779699</v>
      </c>
      <c r="EG17" s="280">
        <f>INDEX('Rate Assumptions'!$A$1:$C$32,MATCH('Success Allocation'!EG$3,'Rate Assumptions'!$A$1:$A$32,0),MATCH($DR$1,'Rate Assumptions'!$A$1:$C$1,0))</f>
        <v>216.57892664519801</v>
      </c>
      <c r="EH17" s="279">
        <f>INDEX('Rate Assumptions'!$A$1:$C$32,MATCH('Success Allocation'!EH$3,'Rate Assumptions'!$A$1:$A$32,0),MATCH($DR$1,'Rate Assumptions'!$A$1:$C$1,0))</f>
        <v>577.54380438719465</v>
      </c>
      <c r="EI17" s="279">
        <f>INDEX('Rate Assumptions'!$A$1:$C$32,MATCH('Success Allocation'!EI$3,'Rate Assumptions'!$A$1:$A$32,0),MATCH($DR$1,'Rate Assumptions'!$A$1:$C$1,0))</f>
        <v>433.15785329039602</v>
      </c>
      <c r="EJ17" s="279">
        <f>INDEX('Rate Assumptions'!$A$1:$C$32,MATCH('Success Allocation'!EJ$3,'Rate Assumptions'!$A$1:$A$32,0),MATCH($DR$1,'Rate Assumptions'!$A$1:$C$1,0))</f>
        <v>433.15785329039602</v>
      </c>
      <c r="EK17" s="279">
        <f>INDEX('Rate Assumptions'!$A$1:$C$32,MATCH('Success Allocation'!EK$3,'Rate Assumptions'!$A$1:$A$32,0),MATCH($DR$1,'Rate Assumptions'!$A$1:$C$1,0))</f>
        <v>288.77190219359733</v>
      </c>
      <c r="EL17" s="279">
        <f>INDEX('Rate Assumptions'!$A$1:$C$32,MATCH('Success Allocation'!EL$3,'Rate Assumptions'!$A$1:$A$32,0),MATCH($DR$1,'Rate Assumptions'!$A$1:$C$1,0))</f>
        <v>288.77190219359733</v>
      </c>
      <c r="EM17" s="279">
        <f>INDEX('Rate Assumptions'!$A$1:$C$32,MATCH('Success Allocation'!EM$3,'Rate Assumptions'!$A$1:$A$32,0),MATCH($DR$1,'Rate Assumptions'!$A$1:$C$1,0))</f>
        <v>144.38595109679866</v>
      </c>
      <c r="EN17" s="279">
        <f>INDEX('Rate Assumptions'!$A$1:$C$32,MATCH('Success Allocation'!EN$3,'Rate Assumptions'!$A$1:$A$32,0),MATCH($DR$1,'Rate Assumptions'!$A$1:$C$1,0))</f>
        <v>216.57892664519801</v>
      </c>
      <c r="EO17" s="281">
        <f>INDEX('Rate Assumptions'!$A$1:$C$32,MATCH('Success Allocation'!EO$3,'Rate Assumptions'!$A$1:$A$32,0),MATCH($DR$1,'Rate Assumptions'!$A$1:$C$1,0))</f>
        <v>144.38595109679866</v>
      </c>
      <c r="EP17" s="170">
        <f t="shared" si="50"/>
        <v>7006164.1749195661</v>
      </c>
    </row>
    <row r="18" spans="1:146">
      <c r="A18" s="223" t="s">
        <v>106</v>
      </c>
      <c r="B18" s="226">
        <v>808</v>
      </c>
      <c r="C18" s="226">
        <v>1023</v>
      </c>
      <c r="D18" s="226">
        <v>0</v>
      </c>
      <c r="E18" s="226">
        <v>227</v>
      </c>
      <c r="F18" s="226">
        <v>492</v>
      </c>
      <c r="G18" s="227">
        <v>2626</v>
      </c>
      <c r="H18" s="226">
        <v>1978</v>
      </c>
      <c r="I18" s="228">
        <v>1942</v>
      </c>
      <c r="J18" s="226">
        <v>489</v>
      </c>
      <c r="K18" s="226">
        <v>521</v>
      </c>
      <c r="L18" s="226">
        <v>0</v>
      </c>
      <c r="M18" s="226">
        <v>116</v>
      </c>
      <c r="N18" s="226">
        <v>151</v>
      </c>
      <c r="O18" s="227">
        <v>1255</v>
      </c>
      <c r="P18" s="226">
        <v>897</v>
      </c>
      <c r="Q18" s="228">
        <v>566</v>
      </c>
      <c r="R18" s="226">
        <v>608</v>
      </c>
      <c r="S18" s="226">
        <v>716</v>
      </c>
      <c r="T18" s="226">
        <v>0</v>
      </c>
      <c r="U18" s="226">
        <v>155</v>
      </c>
      <c r="V18" s="226">
        <v>223</v>
      </c>
      <c r="W18" s="227">
        <v>1733</v>
      </c>
      <c r="X18" s="226">
        <v>1259</v>
      </c>
      <c r="Y18" s="234">
        <v>1042</v>
      </c>
      <c r="Z18" s="237">
        <v>974</v>
      </c>
      <c r="AA18" s="237">
        <v>1085</v>
      </c>
      <c r="AB18" s="237">
        <v>0</v>
      </c>
      <c r="AC18" s="237">
        <v>350</v>
      </c>
      <c r="AD18" s="237">
        <v>584</v>
      </c>
      <c r="AE18" s="237">
        <v>2690</v>
      </c>
      <c r="AF18" s="237">
        <v>2145</v>
      </c>
      <c r="AG18" s="228">
        <v>2228</v>
      </c>
      <c r="AH18" s="237">
        <v>539</v>
      </c>
      <c r="AI18" s="237">
        <v>578</v>
      </c>
      <c r="AJ18" s="237">
        <v>0</v>
      </c>
      <c r="AK18" s="237">
        <v>143</v>
      </c>
      <c r="AL18" s="237">
        <v>227</v>
      </c>
      <c r="AM18" s="237">
        <v>1203</v>
      </c>
      <c r="AN18" s="237">
        <v>1013</v>
      </c>
      <c r="AO18" s="228">
        <v>640</v>
      </c>
      <c r="AP18" s="237">
        <v>708</v>
      </c>
      <c r="AQ18" s="237">
        <v>745</v>
      </c>
      <c r="AR18" s="237">
        <v>0</v>
      </c>
      <c r="AS18" s="237">
        <v>204</v>
      </c>
      <c r="AT18" s="237">
        <v>298</v>
      </c>
      <c r="AU18" s="238">
        <v>1701</v>
      </c>
      <c r="AV18" s="237">
        <v>1364</v>
      </c>
      <c r="AW18" s="234">
        <v>1172</v>
      </c>
      <c r="AX18" s="237"/>
      <c r="AY18" s="237"/>
      <c r="AZ18" s="237"/>
      <c r="BA18" s="237"/>
      <c r="BB18" s="237"/>
      <c r="BC18" s="237"/>
      <c r="BD18" s="237"/>
      <c r="BF18" s="237"/>
      <c r="BG18" s="237"/>
      <c r="BH18" s="237"/>
      <c r="BI18" s="237"/>
      <c r="BJ18" s="237"/>
      <c r="BK18" s="237"/>
      <c r="BL18" s="237"/>
      <c r="BN18" s="237"/>
      <c r="BO18" s="237"/>
      <c r="BP18" s="237"/>
      <c r="BQ18" s="237"/>
      <c r="BR18" s="237"/>
      <c r="BS18" s="238"/>
      <c r="BT18" s="237"/>
      <c r="BV18" s="264">
        <f t="shared" si="2"/>
        <v>1140</v>
      </c>
      <c r="BW18" s="264">
        <f t="shared" si="3"/>
        <v>1147</v>
      </c>
      <c r="BX18" s="264">
        <f t="shared" si="4"/>
        <v>0</v>
      </c>
      <c r="BY18" s="264">
        <f t="shared" si="5"/>
        <v>473</v>
      </c>
      <c r="BZ18" s="264">
        <f t="shared" si="6"/>
        <v>676</v>
      </c>
      <c r="CA18" s="264">
        <f t="shared" si="7"/>
        <v>2754</v>
      </c>
      <c r="CB18" s="264">
        <f t="shared" si="8"/>
        <v>2312</v>
      </c>
      <c r="CC18" s="265">
        <f t="shared" si="9"/>
        <v>2514</v>
      </c>
      <c r="CD18" s="264">
        <f t="shared" si="10"/>
        <v>589</v>
      </c>
      <c r="CE18" s="264">
        <f t="shared" si="11"/>
        <v>635</v>
      </c>
      <c r="CF18" s="264">
        <f t="shared" si="12"/>
        <v>0</v>
      </c>
      <c r="CG18" s="264">
        <f t="shared" si="13"/>
        <v>170</v>
      </c>
      <c r="CH18" s="264">
        <f t="shared" si="14"/>
        <v>303</v>
      </c>
      <c r="CI18" s="264">
        <f t="shared" si="15"/>
        <v>1151</v>
      </c>
      <c r="CJ18" s="264">
        <f t="shared" si="16"/>
        <v>1129</v>
      </c>
      <c r="CK18" s="265">
        <f t="shared" si="17"/>
        <v>714</v>
      </c>
      <c r="CL18" s="264">
        <f t="shared" si="18"/>
        <v>808</v>
      </c>
      <c r="CM18" s="264">
        <f t="shared" si="19"/>
        <v>774</v>
      </c>
      <c r="CN18" s="264">
        <f t="shared" si="20"/>
        <v>0</v>
      </c>
      <c r="CO18" s="264">
        <f t="shared" si="21"/>
        <v>253</v>
      </c>
      <c r="CP18" s="264">
        <f t="shared" si="22"/>
        <v>373</v>
      </c>
      <c r="CQ18" s="264">
        <f t="shared" si="23"/>
        <v>1669</v>
      </c>
      <c r="CR18" s="264">
        <f t="shared" si="24"/>
        <v>1469</v>
      </c>
      <c r="CS18" s="266">
        <f t="shared" si="25"/>
        <v>1302</v>
      </c>
      <c r="CT18" s="264">
        <f t="shared" si="26"/>
        <v>974</v>
      </c>
      <c r="CU18" s="264">
        <f t="shared" si="27"/>
        <v>1085</v>
      </c>
      <c r="CV18" s="264">
        <f t="shared" si="28"/>
        <v>0</v>
      </c>
      <c r="CW18" s="264">
        <f t="shared" si="29"/>
        <v>350</v>
      </c>
      <c r="CX18" s="264">
        <f t="shared" si="30"/>
        <v>584</v>
      </c>
      <c r="CY18" s="264">
        <f t="shared" si="31"/>
        <v>2690</v>
      </c>
      <c r="CZ18" s="264">
        <f t="shared" si="32"/>
        <v>2145</v>
      </c>
      <c r="DA18" s="265">
        <f t="shared" si="33"/>
        <v>2228</v>
      </c>
      <c r="DB18" s="264">
        <f t="shared" si="34"/>
        <v>539</v>
      </c>
      <c r="DC18" s="264">
        <f t="shared" si="35"/>
        <v>578</v>
      </c>
      <c r="DD18" s="264">
        <f t="shared" si="36"/>
        <v>0</v>
      </c>
      <c r="DE18" s="264">
        <f t="shared" si="37"/>
        <v>143</v>
      </c>
      <c r="DF18" s="264">
        <f t="shared" si="38"/>
        <v>227</v>
      </c>
      <c r="DG18" s="264">
        <f t="shared" si="39"/>
        <v>1203</v>
      </c>
      <c r="DH18" s="264">
        <f t="shared" si="40"/>
        <v>1013</v>
      </c>
      <c r="DI18" s="265">
        <f t="shared" si="41"/>
        <v>640</v>
      </c>
      <c r="DJ18" s="264">
        <f t="shared" si="42"/>
        <v>708</v>
      </c>
      <c r="DK18" s="264">
        <f t="shared" si="43"/>
        <v>745</v>
      </c>
      <c r="DL18" s="264">
        <f t="shared" si="44"/>
        <v>0</v>
      </c>
      <c r="DM18" s="264">
        <f t="shared" si="45"/>
        <v>204</v>
      </c>
      <c r="DN18" s="264">
        <f t="shared" si="46"/>
        <v>298</v>
      </c>
      <c r="DO18" s="264">
        <f t="shared" si="47"/>
        <v>1701</v>
      </c>
      <c r="DP18" s="264">
        <f t="shared" si="48"/>
        <v>1364</v>
      </c>
      <c r="DQ18" s="266">
        <f t="shared" si="49"/>
        <v>1172</v>
      </c>
      <c r="DR18" s="279">
        <f>INDEX('Rate Assumptions'!$A$1:$C$32,MATCH('Success Allocation'!DR$3,'Rate Assumptions'!$A$1:$A$32,0),MATCH($DR$1,'Rate Assumptions'!$A$1:$C$1,0))</f>
        <v>2291.7551696336809</v>
      </c>
      <c r="DS18" s="279">
        <f>INDEX('Rate Assumptions'!$A$1:$C$32,MATCH('Success Allocation'!DS$3,'Rate Assumptions'!$A$1:$A$32,0),MATCH($DR$1,'Rate Assumptions'!$A$1:$C$1,0))</f>
        <v>1718.8163772252606</v>
      </c>
      <c r="DT18" s="279">
        <f>INDEX('Rate Assumptions'!$A$1:$C$32,MATCH('Success Allocation'!DT$3,'Rate Assumptions'!$A$1:$A$32,0),MATCH($DR$1,'Rate Assumptions'!$A$1:$C$1,0))</f>
        <v>1718.8163772252606</v>
      </c>
      <c r="DU18" s="279">
        <f>INDEX('Rate Assumptions'!$A$1:$C$32,MATCH('Success Allocation'!DU$3,'Rate Assumptions'!$A$1:$A$32,0),MATCH($DR$1,'Rate Assumptions'!$A$1:$C$1,0))</f>
        <v>1145.8775848168405</v>
      </c>
      <c r="DV18" s="279">
        <f>INDEX('Rate Assumptions'!$A$1:$C$32,MATCH('Success Allocation'!DV$3,'Rate Assumptions'!$A$1:$A$32,0),MATCH($DR$1,'Rate Assumptions'!$A$1:$C$1,0))</f>
        <v>1145.8775848168405</v>
      </c>
      <c r="DW18" s="279">
        <f>INDEX('Rate Assumptions'!$A$1:$C$32,MATCH('Success Allocation'!DW$3,'Rate Assumptions'!$A$1:$A$32,0),MATCH($DR$1,'Rate Assumptions'!$A$1:$C$1,0))</f>
        <v>572.93879240842023</v>
      </c>
      <c r="DX18" s="279">
        <f>INDEX('Rate Assumptions'!$A$1:$C$32,MATCH('Success Allocation'!DX$3,'Rate Assumptions'!$A$1:$A$32,0),MATCH($DR$1,'Rate Assumptions'!$A$1:$C$1,0))</f>
        <v>859.40818861263028</v>
      </c>
      <c r="DY18" s="280">
        <f>INDEX('Rate Assumptions'!$A$1:$C$32,MATCH('Success Allocation'!DY$3,'Rate Assumptions'!$A$1:$A$32,0),MATCH($DR$1,'Rate Assumptions'!$A$1:$C$1,0))</f>
        <v>572.93879240842023</v>
      </c>
      <c r="DZ18" s="279">
        <f>INDEX('Rate Assumptions'!$A$1:$C$32,MATCH('Success Allocation'!DZ$3,'Rate Assumptions'!$A$1:$A$32,0),MATCH($DR$1,'Rate Assumptions'!$A$1:$C$1,0))</f>
        <v>866.31570658079204</v>
      </c>
      <c r="EA18" s="279">
        <f>INDEX('Rate Assumptions'!$A$1:$C$32,MATCH('Success Allocation'!EA$3,'Rate Assumptions'!$A$1:$A$32,0),MATCH($DR$1,'Rate Assumptions'!$A$1:$C$1,0))</f>
        <v>649.73677993559397</v>
      </c>
      <c r="EB18" s="279">
        <f>INDEX('Rate Assumptions'!$A$1:$C$32,MATCH('Success Allocation'!EB$3,'Rate Assumptions'!$A$1:$A$32,0),MATCH($DR$1,'Rate Assumptions'!$A$1:$C$1,0))</f>
        <v>649.73677993559397</v>
      </c>
      <c r="EC18" s="279">
        <f>INDEX('Rate Assumptions'!$A$1:$C$32,MATCH('Success Allocation'!EC$3,'Rate Assumptions'!$A$1:$A$32,0),MATCH($DR$1,'Rate Assumptions'!$A$1:$C$1,0))</f>
        <v>433.15785329039602</v>
      </c>
      <c r="ED18" s="279">
        <f>INDEX('Rate Assumptions'!$A$1:$C$32,MATCH('Success Allocation'!ED$3,'Rate Assumptions'!$A$1:$A$32,0),MATCH($DR$1,'Rate Assumptions'!$A$1:$C$1,0))</f>
        <v>433.15785329039602</v>
      </c>
      <c r="EE18" s="279">
        <f>INDEX('Rate Assumptions'!$A$1:$C$32,MATCH('Success Allocation'!EE$3,'Rate Assumptions'!$A$1:$A$32,0),MATCH($DR$1,'Rate Assumptions'!$A$1:$C$1,0))</f>
        <v>216.57892664519801</v>
      </c>
      <c r="EF18" s="279">
        <f>INDEX('Rate Assumptions'!$A$1:$C$32,MATCH('Success Allocation'!EF$3,'Rate Assumptions'!$A$1:$A$32,0),MATCH($DR$1,'Rate Assumptions'!$A$1:$C$1,0))</f>
        <v>324.86838996779699</v>
      </c>
      <c r="EG18" s="280">
        <f>INDEX('Rate Assumptions'!$A$1:$C$32,MATCH('Success Allocation'!EG$3,'Rate Assumptions'!$A$1:$A$32,0),MATCH($DR$1,'Rate Assumptions'!$A$1:$C$1,0))</f>
        <v>216.57892664519801</v>
      </c>
      <c r="EH18" s="279">
        <f>INDEX('Rate Assumptions'!$A$1:$C$32,MATCH('Success Allocation'!EH$3,'Rate Assumptions'!$A$1:$A$32,0),MATCH($DR$1,'Rate Assumptions'!$A$1:$C$1,0))</f>
        <v>577.54380438719465</v>
      </c>
      <c r="EI18" s="279">
        <f>INDEX('Rate Assumptions'!$A$1:$C$32,MATCH('Success Allocation'!EI$3,'Rate Assumptions'!$A$1:$A$32,0),MATCH($DR$1,'Rate Assumptions'!$A$1:$C$1,0))</f>
        <v>433.15785329039602</v>
      </c>
      <c r="EJ18" s="279">
        <f>INDEX('Rate Assumptions'!$A$1:$C$32,MATCH('Success Allocation'!EJ$3,'Rate Assumptions'!$A$1:$A$32,0),MATCH($DR$1,'Rate Assumptions'!$A$1:$C$1,0))</f>
        <v>433.15785329039602</v>
      </c>
      <c r="EK18" s="279">
        <f>INDEX('Rate Assumptions'!$A$1:$C$32,MATCH('Success Allocation'!EK$3,'Rate Assumptions'!$A$1:$A$32,0),MATCH($DR$1,'Rate Assumptions'!$A$1:$C$1,0))</f>
        <v>288.77190219359733</v>
      </c>
      <c r="EL18" s="279">
        <f>INDEX('Rate Assumptions'!$A$1:$C$32,MATCH('Success Allocation'!EL$3,'Rate Assumptions'!$A$1:$A$32,0),MATCH($DR$1,'Rate Assumptions'!$A$1:$C$1,0))</f>
        <v>288.77190219359733</v>
      </c>
      <c r="EM18" s="279">
        <f>INDEX('Rate Assumptions'!$A$1:$C$32,MATCH('Success Allocation'!EM$3,'Rate Assumptions'!$A$1:$A$32,0),MATCH($DR$1,'Rate Assumptions'!$A$1:$C$1,0))</f>
        <v>144.38595109679866</v>
      </c>
      <c r="EN18" s="279">
        <f>INDEX('Rate Assumptions'!$A$1:$C$32,MATCH('Success Allocation'!EN$3,'Rate Assumptions'!$A$1:$A$32,0),MATCH($DR$1,'Rate Assumptions'!$A$1:$C$1,0))</f>
        <v>216.57892664519801</v>
      </c>
      <c r="EO18" s="281">
        <f>INDEX('Rate Assumptions'!$A$1:$C$32,MATCH('Success Allocation'!EO$3,'Rate Assumptions'!$A$1:$A$32,0),MATCH($DR$1,'Rate Assumptions'!$A$1:$C$1,0))</f>
        <v>144.38595109679866</v>
      </c>
      <c r="EP18" s="170">
        <f t="shared" si="50"/>
        <v>14534128.382117961</v>
      </c>
    </row>
    <row r="19" spans="1:146">
      <c r="A19" s="223" t="s">
        <v>107</v>
      </c>
      <c r="B19" s="226">
        <v>26</v>
      </c>
      <c r="C19" s="226">
        <v>139</v>
      </c>
      <c r="D19" s="226">
        <v>0</v>
      </c>
      <c r="E19" s="226">
        <v>0</v>
      </c>
      <c r="F19" s="226">
        <v>51</v>
      </c>
      <c r="G19" s="227">
        <v>338</v>
      </c>
      <c r="H19" s="226">
        <v>192</v>
      </c>
      <c r="I19" s="228">
        <v>362</v>
      </c>
      <c r="J19" s="226">
        <v>13</v>
      </c>
      <c r="K19" s="226">
        <v>47</v>
      </c>
      <c r="L19" s="226">
        <v>0</v>
      </c>
      <c r="M19" s="226">
        <v>0</v>
      </c>
      <c r="N19" s="226">
        <v>23</v>
      </c>
      <c r="O19" s="227">
        <v>138</v>
      </c>
      <c r="P19" s="226">
        <v>50</v>
      </c>
      <c r="Q19" s="228">
        <v>43</v>
      </c>
      <c r="R19" s="226">
        <v>16</v>
      </c>
      <c r="S19" s="226">
        <v>94</v>
      </c>
      <c r="T19" s="226">
        <v>0</v>
      </c>
      <c r="U19" s="226">
        <v>0</v>
      </c>
      <c r="V19" s="226">
        <v>29</v>
      </c>
      <c r="W19" s="227">
        <v>214</v>
      </c>
      <c r="X19" s="226">
        <v>72</v>
      </c>
      <c r="Y19" s="234">
        <v>85</v>
      </c>
      <c r="Z19" s="237">
        <v>56</v>
      </c>
      <c r="AA19" s="237">
        <v>158</v>
      </c>
      <c r="AB19" s="237">
        <v>3</v>
      </c>
      <c r="AC19" s="237">
        <v>9</v>
      </c>
      <c r="AD19" s="237">
        <v>47</v>
      </c>
      <c r="AE19" s="237">
        <v>590</v>
      </c>
      <c r="AF19" s="237">
        <v>162</v>
      </c>
      <c r="AG19" s="228">
        <v>235</v>
      </c>
      <c r="AH19" s="237">
        <v>17</v>
      </c>
      <c r="AI19" s="237">
        <v>63</v>
      </c>
      <c r="AJ19" s="237">
        <v>3</v>
      </c>
      <c r="AK19" s="237">
        <v>6</v>
      </c>
      <c r="AL19" s="237">
        <v>20</v>
      </c>
      <c r="AM19" s="237">
        <v>124</v>
      </c>
      <c r="AN19" s="237">
        <v>44</v>
      </c>
      <c r="AO19" s="228">
        <v>32</v>
      </c>
      <c r="AP19" s="237">
        <v>44</v>
      </c>
      <c r="AQ19" s="237">
        <v>106</v>
      </c>
      <c r="AR19" s="237">
        <v>2</v>
      </c>
      <c r="AS19" s="237">
        <v>8</v>
      </c>
      <c r="AT19" s="237">
        <v>16</v>
      </c>
      <c r="AU19" s="238">
        <v>239</v>
      </c>
      <c r="AV19" s="237">
        <v>67</v>
      </c>
      <c r="AW19" s="234">
        <v>68</v>
      </c>
      <c r="AX19" s="237"/>
      <c r="AY19" s="237"/>
      <c r="AZ19" s="237"/>
      <c r="BA19" s="237"/>
      <c r="BB19" s="237"/>
      <c r="BC19" s="237"/>
      <c r="BD19" s="237"/>
      <c r="BF19" s="237"/>
      <c r="BG19" s="237"/>
      <c r="BH19" s="237"/>
      <c r="BI19" s="237"/>
      <c r="BJ19" s="237"/>
      <c r="BK19" s="237"/>
      <c r="BL19" s="237"/>
      <c r="BN19" s="237"/>
      <c r="BO19" s="237"/>
      <c r="BP19" s="237"/>
      <c r="BQ19" s="237"/>
      <c r="BR19" s="237"/>
      <c r="BS19" s="238"/>
      <c r="BT19" s="237"/>
      <c r="BV19" s="264">
        <f t="shared" si="2"/>
        <v>86</v>
      </c>
      <c r="BW19" s="264">
        <f t="shared" si="3"/>
        <v>177</v>
      </c>
      <c r="BX19" s="264">
        <f t="shared" si="4"/>
        <v>6</v>
      </c>
      <c r="BY19" s="264">
        <f t="shared" si="5"/>
        <v>18</v>
      </c>
      <c r="BZ19" s="264">
        <f t="shared" si="6"/>
        <v>43</v>
      </c>
      <c r="CA19" s="264">
        <f t="shared" si="7"/>
        <v>842</v>
      </c>
      <c r="CB19" s="264">
        <f t="shared" si="8"/>
        <v>132</v>
      </c>
      <c r="CC19" s="265">
        <f t="shared" si="9"/>
        <v>108</v>
      </c>
      <c r="CD19" s="264">
        <f t="shared" si="10"/>
        <v>21</v>
      </c>
      <c r="CE19" s="264">
        <f t="shared" si="11"/>
        <v>79</v>
      </c>
      <c r="CF19" s="264">
        <f t="shared" si="12"/>
        <v>6</v>
      </c>
      <c r="CG19" s="264">
        <f t="shared" si="13"/>
        <v>12</v>
      </c>
      <c r="CH19" s="264">
        <f t="shared" si="14"/>
        <v>17</v>
      </c>
      <c r="CI19" s="264">
        <f t="shared" si="15"/>
        <v>110</v>
      </c>
      <c r="CJ19" s="264">
        <f t="shared" si="16"/>
        <v>38</v>
      </c>
      <c r="CK19" s="265">
        <f t="shared" si="17"/>
        <v>21</v>
      </c>
      <c r="CL19" s="264">
        <f t="shared" si="18"/>
        <v>72</v>
      </c>
      <c r="CM19" s="264">
        <f t="shared" si="19"/>
        <v>118</v>
      </c>
      <c r="CN19" s="264">
        <f t="shared" si="20"/>
        <v>4</v>
      </c>
      <c r="CO19" s="264">
        <f t="shared" si="21"/>
        <v>16</v>
      </c>
      <c r="CP19" s="264">
        <f t="shared" si="22"/>
        <v>3</v>
      </c>
      <c r="CQ19" s="264">
        <f t="shared" si="23"/>
        <v>264</v>
      </c>
      <c r="CR19" s="264">
        <f t="shared" si="24"/>
        <v>62</v>
      </c>
      <c r="CS19" s="266">
        <f t="shared" si="25"/>
        <v>51</v>
      </c>
      <c r="CT19" s="264">
        <f t="shared" si="26"/>
        <v>56</v>
      </c>
      <c r="CU19" s="264">
        <f t="shared" si="27"/>
        <v>158</v>
      </c>
      <c r="CV19" s="264">
        <f t="shared" si="28"/>
        <v>3</v>
      </c>
      <c r="CW19" s="264">
        <f t="shared" si="29"/>
        <v>9</v>
      </c>
      <c r="CX19" s="264">
        <f t="shared" si="30"/>
        <v>47</v>
      </c>
      <c r="CY19" s="264">
        <f t="shared" si="31"/>
        <v>590</v>
      </c>
      <c r="CZ19" s="264">
        <f t="shared" si="32"/>
        <v>162</v>
      </c>
      <c r="DA19" s="265">
        <f t="shared" si="33"/>
        <v>235</v>
      </c>
      <c r="DB19" s="264">
        <f t="shared" si="34"/>
        <v>17</v>
      </c>
      <c r="DC19" s="264">
        <f t="shared" si="35"/>
        <v>63</v>
      </c>
      <c r="DD19" s="264">
        <f t="shared" si="36"/>
        <v>3</v>
      </c>
      <c r="DE19" s="264">
        <f t="shared" si="37"/>
        <v>6</v>
      </c>
      <c r="DF19" s="264">
        <f t="shared" si="38"/>
        <v>20</v>
      </c>
      <c r="DG19" s="264">
        <f t="shared" si="39"/>
        <v>124</v>
      </c>
      <c r="DH19" s="264">
        <f t="shared" si="40"/>
        <v>44</v>
      </c>
      <c r="DI19" s="265">
        <f t="shared" si="41"/>
        <v>32</v>
      </c>
      <c r="DJ19" s="264">
        <f t="shared" si="42"/>
        <v>44</v>
      </c>
      <c r="DK19" s="264">
        <f t="shared" si="43"/>
        <v>106</v>
      </c>
      <c r="DL19" s="264">
        <f t="shared" si="44"/>
        <v>2</v>
      </c>
      <c r="DM19" s="264">
        <f t="shared" si="45"/>
        <v>8</v>
      </c>
      <c r="DN19" s="264">
        <f t="shared" si="46"/>
        <v>16</v>
      </c>
      <c r="DO19" s="264">
        <f t="shared" si="47"/>
        <v>239</v>
      </c>
      <c r="DP19" s="264">
        <f t="shared" si="48"/>
        <v>67</v>
      </c>
      <c r="DQ19" s="266">
        <f t="shared" si="49"/>
        <v>68</v>
      </c>
      <c r="DR19" s="279">
        <f>INDEX('Rate Assumptions'!$A$1:$C$32,MATCH('Success Allocation'!DR$3,'Rate Assumptions'!$A$1:$A$32,0),MATCH($DR$1,'Rate Assumptions'!$A$1:$C$1,0))</f>
        <v>2291.7551696336809</v>
      </c>
      <c r="DS19" s="279">
        <f>INDEX('Rate Assumptions'!$A$1:$C$32,MATCH('Success Allocation'!DS$3,'Rate Assumptions'!$A$1:$A$32,0),MATCH($DR$1,'Rate Assumptions'!$A$1:$C$1,0))</f>
        <v>1718.8163772252606</v>
      </c>
      <c r="DT19" s="279">
        <f>INDEX('Rate Assumptions'!$A$1:$C$32,MATCH('Success Allocation'!DT$3,'Rate Assumptions'!$A$1:$A$32,0),MATCH($DR$1,'Rate Assumptions'!$A$1:$C$1,0))</f>
        <v>1718.8163772252606</v>
      </c>
      <c r="DU19" s="279">
        <f>INDEX('Rate Assumptions'!$A$1:$C$32,MATCH('Success Allocation'!DU$3,'Rate Assumptions'!$A$1:$A$32,0),MATCH($DR$1,'Rate Assumptions'!$A$1:$C$1,0))</f>
        <v>1145.8775848168405</v>
      </c>
      <c r="DV19" s="279">
        <f>INDEX('Rate Assumptions'!$A$1:$C$32,MATCH('Success Allocation'!DV$3,'Rate Assumptions'!$A$1:$A$32,0),MATCH($DR$1,'Rate Assumptions'!$A$1:$C$1,0))</f>
        <v>1145.8775848168405</v>
      </c>
      <c r="DW19" s="279">
        <f>INDEX('Rate Assumptions'!$A$1:$C$32,MATCH('Success Allocation'!DW$3,'Rate Assumptions'!$A$1:$A$32,0),MATCH($DR$1,'Rate Assumptions'!$A$1:$C$1,0))</f>
        <v>572.93879240842023</v>
      </c>
      <c r="DX19" s="279">
        <f>INDEX('Rate Assumptions'!$A$1:$C$32,MATCH('Success Allocation'!DX$3,'Rate Assumptions'!$A$1:$A$32,0),MATCH($DR$1,'Rate Assumptions'!$A$1:$C$1,0))</f>
        <v>859.40818861263028</v>
      </c>
      <c r="DY19" s="280">
        <f>INDEX('Rate Assumptions'!$A$1:$C$32,MATCH('Success Allocation'!DY$3,'Rate Assumptions'!$A$1:$A$32,0),MATCH($DR$1,'Rate Assumptions'!$A$1:$C$1,0))</f>
        <v>572.93879240842023</v>
      </c>
      <c r="DZ19" s="279">
        <f>INDEX('Rate Assumptions'!$A$1:$C$32,MATCH('Success Allocation'!DZ$3,'Rate Assumptions'!$A$1:$A$32,0),MATCH($DR$1,'Rate Assumptions'!$A$1:$C$1,0))</f>
        <v>866.31570658079204</v>
      </c>
      <c r="EA19" s="279">
        <f>INDEX('Rate Assumptions'!$A$1:$C$32,MATCH('Success Allocation'!EA$3,'Rate Assumptions'!$A$1:$A$32,0),MATCH($DR$1,'Rate Assumptions'!$A$1:$C$1,0))</f>
        <v>649.73677993559397</v>
      </c>
      <c r="EB19" s="279">
        <f>INDEX('Rate Assumptions'!$A$1:$C$32,MATCH('Success Allocation'!EB$3,'Rate Assumptions'!$A$1:$A$32,0),MATCH($DR$1,'Rate Assumptions'!$A$1:$C$1,0))</f>
        <v>649.73677993559397</v>
      </c>
      <c r="EC19" s="279">
        <f>INDEX('Rate Assumptions'!$A$1:$C$32,MATCH('Success Allocation'!EC$3,'Rate Assumptions'!$A$1:$A$32,0),MATCH($DR$1,'Rate Assumptions'!$A$1:$C$1,0))</f>
        <v>433.15785329039602</v>
      </c>
      <c r="ED19" s="279">
        <f>INDEX('Rate Assumptions'!$A$1:$C$32,MATCH('Success Allocation'!ED$3,'Rate Assumptions'!$A$1:$A$32,0),MATCH($DR$1,'Rate Assumptions'!$A$1:$C$1,0))</f>
        <v>433.15785329039602</v>
      </c>
      <c r="EE19" s="279">
        <f>INDEX('Rate Assumptions'!$A$1:$C$32,MATCH('Success Allocation'!EE$3,'Rate Assumptions'!$A$1:$A$32,0),MATCH($DR$1,'Rate Assumptions'!$A$1:$C$1,0))</f>
        <v>216.57892664519801</v>
      </c>
      <c r="EF19" s="279">
        <f>INDEX('Rate Assumptions'!$A$1:$C$32,MATCH('Success Allocation'!EF$3,'Rate Assumptions'!$A$1:$A$32,0),MATCH($DR$1,'Rate Assumptions'!$A$1:$C$1,0))</f>
        <v>324.86838996779699</v>
      </c>
      <c r="EG19" s="280">
        <f>INDEX('Rate Assumptions'!$A$1:$C$32,MATCH('Success Allocation'!EG$3,'Rate Assumptions'!$A$1:$A$32,0),MATCH($DR$1,'Rate Assumptions'!$A$1:$C$1,0))</f>
        <v>216.57892664519801</v>
      </c>
      <c r="EH19" s="279">
        <f>INDEX('Rate Assumptions'!$A$1:$C$32,MATCH('Success Allocation'!EH$3,'Rate Assumptions'!$A$1:$A$32,0),MATCH($DR$1,'Rate Assumptions'!$A$1:$C$1,0))</f>
        <v>577.54380438719465</v>
      </c>
      <c r="EI19" s="279">
        <f>INDEX('Rate Assumptions'!$A$1:$C$32,MATCH('Success Allocation'!EI$3,'Rate Assumptions'!$A$1:$A$32,0),MATCH($DR$1,'Rate Assumptions'!$A$1:$C$1,0))</f>
        <v>433.15785329039602</v>
      </c>
      <c r="EJ19" s="279">
        <f>INDEX('Rate Assumptions'!$A$1:$C$32,MATCH('Success Allocation'!EJ$3,'Rate Assumptions'!$A$1:$A$32,0),MATCH($DR$1,'Rate Assumptions'!$A$1:$C$1,0))</f>
        <v>433.15785329039602</v>
      </c>
      <c r="EK19" s="279">
        <f>INDEX('Rate Assumptions'!$A$1:$C$32,MATCH('Success Allocation'!EK$3,'Rate Assumptions'!$A$1:$A$32,0),MATCH($DR$1,'Rate Assumptions'!$A$1:$C$1,0))</f>
        <v>288.77190219359733</v>
      </c>
      <c r="EL19" s="279">
        <f>INDEX('Rate Assumptions'!$A$1:$C$32,MATCH('Success Allocation'!EL$3,'Rate Assumptions'!$A$1:$A$32,0),MATCH($DR$1,'Rate Assumptions'!$A$1:$C$1,0))</f>
        <v>288.77190219359733</v>
      </c>
      <c r="EM19" s="279">
        <f>INDEX('Rate Assumptions'!$A$1:$C$32,MATCH('Success Allocation'!EM$3,'Rate Assumptions'!$A$1:$A$32,0),MATCH($DR$1,'Rate Assumptions'!$A$1:$C$1,0))</f>
        <v>144.38595109679866</v>
      </c>
      <c r="EN19" s="279">
        <f>INDEX('Rate Assumptions'!$A$1:$C$32,MATCH('Success Allocation'!EN$3,'Rate Assumptions'!$A$1:$A$32,0),MATCH($DR$1,'Rate Assumptions'!$A$1:$C$1,0))</f>
        <v>216.57892664519801</v>
      </c>
      <c r="EO19" s="281">
        <f>INDEX('Rate Assumptions'!$A$1:$C$32,MATCH('Success Allocation'!EO$3,'Rate Assumptions'!$A$1:$A$32,0),MATCH($DR$1,'Rate Assumptions'!$A$1:$C$1,0))</f>
        <v>144.38595109679866</v>
      </c>
      <c r="EP19" s="170">
        <f t="shared" si="50"/>
        <v>1524789.8262733319</v>
      </c>
    </row>
    <row r="20" spans="1:146" ht="17.25">
      <c r="A20" s="223" t="s">
        <v>174</v>
      </c>
      <c r="B20" s="226">
        <v>1004</v>
      </c>
      <c r="C20" s="226">
        <v>1553</v>
      </c>
      <c r="D20" s="226">
        <v>0</v>
      </c>
      <c r="E20" s="226">
        <v>350</v>
      </c>
      <c r="F20" s="226">
        <v>1052</v>
      </c>
      <c r="G20" s="227">
        <v>5908</v>
      </c>
      <c r="H20" s="226">
        <v>4390</v>
      </c>
      <c r="I20" s="228">
        <v>4675</v>
      </c>
      <c r="J20" s="226">
        <v>368</v>
      </c>
      <c r="K20" s="226">
        <v>604</v>
      </c>
      <c r="L20" s="226">
        <v>0</v>
      </c>
      <c r="M20" s="226">
        <v>47</v>
      </c>
      <c r="N20" s="226">
        <v>186</v>
      </c>
      <c r="O20" s="227">
        <v>1204</v>
      </c>
      <c r="P20" s="226">
        <v>1186</v>
      </c>
      <c r="Q20" s="228">
        <v>387</v>
      </c>
      <c r="R20" s="226">
        <v>559</v>
      </c>
      <c r="S20" s="226">
        <v>976</v>
      </c>
      <c r="T20" s="226">
        <v>0</v>
      </c>
      <c r="U20" s="226">
        <v>85</v>
      </c>
      <c r="V20" s="226">
        <v>314</v>
      </c>
      <c r="W20" s="227">
        <v>2281</v>
      </c>
      <c r="X20" s="226">
        <v>1971</v>
      </c>
      <c r="Y20" s="234">
        <v>1120</v>
      </c>
      <c r="Z20" s="237">
        <v>1187</v>
      </c>
      <c r="AA20" s="237">
        <v>1370</v>
      </c>
      <c r="AB20" s="237">
        <v>23</v>
      </c>
      <c r="AC20" s="237">
        <v>509</v>
      </c>
      <c r="AD20" s="237">
        <v>1165</v>
      </c>
      <c r="AE20" s="237">
        <v>5263</v>
      </c>
      <c r="AF20" s="237">
        <v>4709</v>
      </c>
      <c r="AG20" s="228">
        <v>5492</v>
      </c>
      <c r="AH20" s="237">
        <v>441</v>
      </c>
      <c r="AI20" s="237">
        <v>512</v>
      </c>
      <c r="AJ20" s="237">
        <v>8</v>
      </c>
      <c r="AK20" s="237">
        <v>56</v>
      </c>
      <c r="AL20" s="237">
        <v>239</v>
      </c>
      <c r="AM20" s="237">
        <v>1070</v>
      </c>
      <c r="AN20" s="237">
        <v>1269</v>
      </c>
      <c r="AO20" s="228">
        <v>440</v>
      </c>
      <c r="AP20" s="237">
        <v>670</v>
      </c>
      <c r="AQ20" s="237">
        <v>832</v>
      </c>
      <c r="AR20" s="237">
        <v>18</v>
      </c>
      <c r="AS20" s="237">
        <v>111</v>
      </c>
      <c r="AT20" s="237">
        <v>349</v>
      </c>
      <c r="AU20" s="238">
        <v>1989</v>
      </c>
      <c r="AV20" s="237">
        <v>2082</v>
      </c>
      <c r="AW20" s="234">
        <v>1270</v>
      </c>
      <c r="AX20" s="237"/>
      <c r="AY20" s="237"/>
      <c r="AZ20" s="237"/>
      <c r="BA20" s="237"/>
      <c r="BB20" s="237"/>
      <c r="BC20" s="237"/>
      <c r="BD20" s="237"/>
      <c r="BF20" s="237"/>
      <c r="BG20" s="237"/>
      <c r="BH20" s="237"/>
      <c r="BI20" s="237"/>
      <c r="BJ20" s="237"/>
      <c r="BK20" s="237"/>
      <c r="BL20" s="237"/>
      <c r="BN20" s="237"/>
      <c r="BO20" s="237"/>
      <c r="BP20" s="237"/>
      <c r="BQ20" s="237"/>
      <c r="BR20" s="237"/>
      <c r="BS20" s="238"/>
      <c r="BT20" s="237"/>
      <c r="BV20" s="264">
        <f t="shared" si="2"/>
        <v>1370</v>
      </c>
      <c r="BW20" s="264">
        <f t="shared" si="3"/>
        <v>1187</v>
      </c>
      <c r="BX20" s="264">
        <f t="shared" si="4"/>
        <v>46</v>
      </c>
      <c r="BY20" s="264">
        <f t="shared" si="5"/>
        <v>668</v>
      </c>
      <c r="BZ20" s="264">
        <f t="shared" si="6"/>
        <v>1278</v>
      </c>
      <c r="CA20" s="264">
        <f t="shared" si="7"/>
        <v>4618</v>
      </c>
      <c r="CB20" s="264">
        <f t="shared" si="8"/>
        <v>5028</v>
      </c>
      <c r="CC20" s="265">
        <f t="shared" si="9"/>
        <v>6309</v>
      </c>
      <c r="CD20" s="264">
        <f t="shared" si="10"/>
        <v>514</v>
      </c>
      <c r="CE20" s="264">
        <f t="shared" si="11"/>
        <v>420</v>
      </c>
      <c r="CF20" s="264">
        <f t="shared" si="12"/>
        <v>16</v>
      </c>
      <c r="CG20" s="264">
        <f t="shared" si="13"/>
        <v>65</v>
      </c>
      <c r="CH20" s="264">
        <f t="shared" si="14"/>
        <v>292</v>
      </c>
      <c r="CI20" s="264">
        <f t="shared" si="15"/>
        <v>936</v>
      </c>
      <c r="CJ20" s="264">
        <f t="shared" si="16"/>
        <v>1352</v>
      </c>
      <c r="CK20" s="265">
        <f t="shared" si="17"/>
        <v>493</v>
      </c>
      <c r="CL20" s="264">
        <f t="shared" si="18"/>
        <v>781</v>
      </c>
      <c r="CM20" s="264">
        <f t="shared" si="19"/>
        <v>688</v>
      </c>
      <c r="CN20" s="264">
        <f t="shared" si="20"/>
        <v>36</v>
      </c>
      <c r="CO20" s="264">
        <f t="shared" si="21"/>
        <v>137</v>
      </c>
      <c r="CP20" s="264">
        <f t="shared" si="22"/>
        <v>384</v>
      </c>
      <c r="CQ20" s="264">
        <f t="shared" si="23"/>
        <v>1697</v>
      </c>
      <c r="CR20" s="264">
        <f t="shared" si="24"/>
        <v>2193</v>
      </c>
      <c r="CS20" s="266">
        <f t="shared" si="25"/>
        <v>1420</v>
      </c>
      <c r="CT20" s="264">
        <f t="shared" si="26"/>
        <v>1187</v>
      </c>
      <c r="CU20" s="264">
        <f t="shared" si="27"/>
        <v>1370</v>
      </c>
      <c r="CV20" s="264">
        <f t="shared" si="28"/>
        <v>23</v>
      </c>
      <c r="CW20" s="264">
        <f t="shared" si="29"/>
        <v>509</v>
      </c>
      <c r="CX20" s="264">
        <f t="shared" si="30"/>
        <v>1165</v>
      </c>
      <c r="CY20" s="264">
        <f t="shared" si="31"/>
        <v>5263</v>
      </c>
      <c r="CZ20" s="264">
        <f t="shared" si="32"/>
        <v>4709</v>
      </c>
      <c r="DA20" s="265">
        <f t="shared" si="33"/>
        <v>5492</v>
      </c>
      <c r="DB20" s="264">
        <f t="shared" si="34"/>
        <v>441</v>
      </c>
      <c r="DC20" s="264">
        <f t="shared" si="35"/>
        <v>512</v>
      </c>
      <c r="DD20" s="264">
        <f t="shared" si="36"/>
        <v>8</v>
      </c>
      <c r="DE20" s="264">
        <f t="shared" si="37"/>
        <v>56</v>
      </c>
      <c r="DF20" s="264">
        <f t="shared" si="38"/>
        <v>239</v>
      </c>
      <c r="DG20" s="264">
        <f t="shared" si="39"/>
        <v>1070</v>
      </c>
      <c r="DH20" s="264">
        <f t="shared" si="40"/>
        <v>1269</v>
      </c>
      <c r="DI20" s="265">
        <f t="shared" si="41"/>
        <v>440</v>
      </c>
      <c r="DJ20" s="264">
        <f t="shared" si="42"/>
        <v>670</v>
      </c>
      <c r="DK20" s="264">
        <f t="shared" si="43"/>
        <v>832</v>
      </c>
      <c r="DL20" s="264">
        <f t="shared" si="44"/>
        <v>18</v>
      </c>
      <c r="DM20" s="264">
        <f t="shared" si="45"/>
        <v>111</v>
      </c>
      <c r="DN20" s="264">
        <f t="shared" si="46"/>
        <v>349</v>
      </c>
      <c r="DO20" s="264">
        <f t="shared" si="47"/>
        <v>1989</v>
      </c>
      <c r="DP20" s="264">
        <f t="shared" si="48"/>
        <v>2082</v>
      </c>
      <c r="DQ20" s="266">
        <f t="shared" si="49"/>
        <v>1270</v>
      </c>
      <c r="DR20" s="279">
        <f>INDEX('Rate Assumptions'!$A$1:$C$32,MATCH('Success Allocation'!DR$3,'Rate Assumptions'!$A$1:$A$32,0),MATCH($DR$1,'Rate Assumptions'!$A$1:$C$1,0))</f>
        <v>2291.7551696336809</v>
      </c>
      <c r="DS20" s="279">
        <f>INDEX('Rate Assumptions'!$A$1:$C$32,MATCH('Success Allocation'!DS$3,'Rate Assumptions'!$A$1:$A$32,0),MATCH($DR$1,'Rate Assumptions'!$A$1:$C$1,0))</f>
        <v>1718.8163772252606</v>
      </c>
      <c r="DT20" s="279">
        <f>INDEX('Rate Assumptions'!$A$1:$C$32,MATCH('Success Allocation'!DT$3,'Rate Assumptions'!$A$1:$A$32,0),MATCH($DR$1,'Rate Assumptions'!$A$1:$C$1,0))</f>
        <v>1718.8163772252606</v>
      </c>
      <c r="DU20" s="279">
        <f>INDEX('Rate Assumptions'!$A$1:$C$32,MATCH('Success Allocation'!DU$3,'Rate Assumptions'!$A$1:$A$32,0),MATCH($DR$1,'Rate Assumptions'!$A$1:$C$1,0))</f>
        <v>1145.8775848168405</v>
      </c>
      <c r="DV20" s="279">
        <f>INDEX('Rate Assumptions'!$A$1:$C$32,MATCH('Success Allocation'!DV$3,'Rate Assumptions'!$A$1:$A$32,0),MATCH($DR$1,'Rate Assumptions'!$A$1:$C$1,0))</f>
        <v>1145.8775848168405</v>
      </c>
      <c r="DW20" s="279">
        <f>INDEX('Rate Assumptions'!$A$1:$C$32,MATCH('Success Allocation'!DW$3,'Rate Assumptions'!$A$1:$A$32,0),MATCH($DR$1,'Rate Assumptions'!$A$1:$C$1,0))</f>
        <v>572.93879240842023</v>
      </c>
      <c r="DX20" s="279">
        <f>INDEX('Rate Assumptions'!$A$1:$C$32,MATCH('Success Allocation'!DX$3,'Rate Assumptions'!$A$1:$A$32,0),MATCH($DR$1,'Rate Assumptions'!$A$1:$C$1,0))</f>
        <v>859.40818861263028</v>
      </c>
      <c r="DY20" s="280">
        <f>INDEX('Rate Assumptions'!$A$1:$C$32,MATCH('Success Allocation'!DY$3,'Rate Assumptions'!$A$1:$A$32,0),MATCH($DR$1,'Rate Assumptions'!$A$1:$C$1,0))</f>
        <v>572.93879240842023</v>
      </c>
      <c r="DZ20" s="279">
        <f>INDEX('Rate Assumptions'!$A$1:$C$32,MATCH('Success Allocation'!DZ$3,'Rate Assumptions'!$A$1:$A$32,0),MATCH($DR$1,'Rate Assumptions'!$A$1:$C$1,0))</f>
        <v>866.31570658079204</v>
      </c>
      <c r="EA20" s="279">
        <f>INDEX('Rate Assumptions'!$A$1:$C$32,MATCH('Success Allocation'!EA$3,'Rate Assumptions'!$A$1:$A$32,0),MATCH($DR$1,'Rate Assumptions'!$A$1:$C$1,0))</f>
        <v>649.73677993559397</v>
      </c>
      <c r="EB20" s="279">
        <f>INDEX('Rate Assumptions'!$A$1:$C$32,MATCH('Success Allocation'!EB$3,'Rate Assumptions'!$A$1:$A$32,0),MATCH($DR$1,'Rate Assumptions'!$A$1:$C$1,0))</f>
        <v>649.73677993559397</v>
      </c>
      <c r="EC20" s="279">
        <f>INDEX('Rate Assumptions'!$A$1:$C$32,MATCH('Success Allocation'!EC$3,'Rate Assumptions'!$A$1:$A$32,0),MATCH($DR$1,'Rate Assumptions'!$A$1:$C$1,0))</f>
        <v>433.15785329039602</v>
      </c>
      <c r="ED20" s="279">
        <f>INDEX('Rate Assumptions'!$A$1:$C$32,MATCH('Success Allocation'!ED$3,'Rate Assumptions'!$A$1:$A$32,0),MATCH($DR$1,'Rate Assumptions'!$A$1:$C$1,0))</f>
        <v>433.15785329039602</v>
      </c>
      <c r="EE20" s="279">
        <f>INDEX('Rate Assumptions'!$A$1:$C$32,MATCH('Success Allocation'!EE$3,'Rate Assumptions'!$A$1:$A$32,0),MATCH($DR$1,'Rate Assumptions'!$A$1:$C$1,0))</f>
        <v>216.57892664519801</v>
      </c>
      <c r="EF20" s="279">
        <f>INDEX('Rate Assumptions'!$A$1:$C$32,MATCH('Success Allocation'!EF$3,'Rate Assumptions'!$A$1:$A$32,0),MATCH($DR$1,'Rate Assumptions'!$A$1:$C$1,0))</f>
        <v>324.86838996779699</v>
      </c>
      <c r="EG20" s="280">
        <f>INDEX('Rate Assumptions'!$A$1:$C$32,MATCH('Success Allocation'!EG$3,'Rate Assumptions'!$A$1:$A$32,0),MATCH($DR$1,'Rate Assumptions'!$A$1:$C$1,0))</f>
        <v>216.57892664519801</v>
      </c>
      <c r="EH20" s="279">
        <f>INDEX('Rate Assumptions'!$A$1:$C$32,MATCH('Success Allocation'!EH$3,'Rate Assumptions'!$A$1:$A$32,0),MATCH($DR$1,'Rate Assumptions'!$A$1:$C$1,0))</f>
        <v>577.54380438719465</v>
      </c>
      <c r="EI20" s="279">
        <f>INDEX('Rate Assumptions'!$A$1:$C$32,MATCH('Success Allocation'!EI$3,'Rate Assumptions'!$A$1:$A$32,0),MATCH($DR$1,'Rate Assumptions'!$A$1:$C$1,0))</f>
        <v>433.15785329039602</v>
      </c>
      <c r="EJ20" s="279">
        <f>INDEX('Rate Assumptions'!$A$1:$C$32,MATCH('Success Allocation'!EJ$3,'Rate Assumptions'!$A$1:$A$32,0),MATCH($DR$1,'Rate Assumptions'!$A$1:$C$1,0))</f>
        <v>433.15785329039602</v>
      </c>
      <c r="EK20" s="279">
        <f>INDEX('Rate Assumptions'!$A$1:$C$32,MATCH('Success Allocation'!EK$3,'Rate Assumptions'!$A$1:$A$32,0),MATCH($DR$1,'Rate Assumptions'!$A$1:$C$1,0))</f>
        <v>288.77190219359733</v>
      </c>
      <c r="EL20" s="279">
        <f>INDEX('Rate Assumptions'!$A$1:$C$32,MATCH('Success Allocation'!EL$3,'Rate Assumptions'!$A$1:$A$32,0),MATCH($DR$1,'Rate Assumptions'!$A$1:$C$1,0))</f>
        <v>288.77190219359733</v>
      </c>
      <c r="EM20" s="279">
        <f>INDEX('Rate Assumptions'!$A$1:$C$32,MATCH('Success Allocation'!EM$3,'Rate Assumptions'!$A$1:$A$32,0),MATCH($DR$1,'Rate Assumptions'!$A$1:$C$1,0))</f>
        <v>144.38595109679866</v>
      </c>
      <c r="EN20" s="279">
        <f>INDEX('Rate Assumptions'!$A$1:$C$32,MATCH('Success Allocation'!EN$3,'Rate Assumptions'!$A$1:$A$32,0),MATCH($DR$1,'Rate Assumptions'!$A$1:$C$1,0))</f>
        <v>216.57892664519801</v>
      </c>
      <c r="EO20" s="281">
        <f>INDEX('Rate Assumptions'!$A$1:$C$32,MATCH('Success Allocation'!EO$3,'Rate Assumptions'!$A$1:$A$32,0),MATCH($DR$1,'Rate Assumptions'!$A$1:$C$1,0))</f>
        <v>144.38595109679866</v>
      </c>
      <c r="EP20" s="170">
        <f t="shared" si="50"/>
        <v>21542538.47858629</v>
      </c>
    </row>
    <row r="21" spans="1:146">
      <c r="A21" s="223" t="s">
        <v>108</v>
      </c>
      <c r="B21" s="226">
        <v>149</v>
      </c>
      <c r="C21" s="226">
        <v>325</v>
      </c>
      <c r="D21" s="226">
        <v>0</v>
      </c>
      <c r="E21" s="226">
        <v>159</v>
      </c>
      <c r="F21" s="226">
        <v>77</v>
      </c>
      <c r="G21" s="227">
        <v>813</v>
      </c>
      <c r="H21" s="226">
        <v>408</v>
      </c>
      <c r="I21" s="228">
        <v>1585</v>
      </c>
      <c r="J21" s="226">
        <v>75</v>
      </c>
      <c r="K21" s="226">
        <v>182</v>
      </c>
      <c r="L21" s="226">
        <v>0</v>
      </c>
      <c r="M21" s="226">
        <v>51</v>
      </c>
      <c r="N21" s="226">
        <v>24</v>
      </c>
      <c r="O21" s="227">
        <v>317</v>
      </c>
      <c r="P21" s="226">
        <v>149</v>
      </c>
      <c r="Q21" s="228">
        <v>181</v>
      </c>
      <c r="R21" s="226">
        <v>103</v>
      </c>
      <c r="S21" s="226">
        <v>229</v>
      </c>
      <c r="T21" s="226">
        <v>0</v>
      </c>
      <c r="U21" s="226">
        <v>74</v>
      </c>
      <c r="V21" s="226">
        <v>41</v>
      </c>
      <c r="W21" s="227">
        <v>448</v>
      </c>
      <c r="X21" s="226">
        <v>208</v>
      </c>
      <c r="Y21" s="234">
        <v>296</v>
      </c>
      <c r="Z21" s="237">
        <v>226</v>
      </c>
      <c r="AA21" s="237">
        <v>315</v>
      </c>
      <c r="AB21" s="237">
        <v>0</v>
      </c>
      <c r="AC21" s="237">
        <v>163</v>
      </c>
      <c r="AD21" s="237">
        <v>92</v>
      </c>
      <c r="AE21" s="237">
        <v>729</v>
      </c>
      <c r="AF21" s="237">
        <v>439</v>
      </c>
      <c r="AG21" s="228">
        <v>1163</v>
      </c>
      <c r="AH21" s="237">
        <v>110</v>
      </c>
      <c r="AI21" s="237">
        <v>170</v>
      </c>
      <c r="AJ21" s="237">
        <v>0</v>
      </c>
      <c r="AK21" s="237">
        <v>66</v>
      </c>
      <c r="AL21" s="237">
        <v>33</v>
      </c>
      <c r="AM21" s="237">
        <v>269</v>
      </c>
      <c r="AN21" s="237">
        <v>166</v>
      </c>
      <c r="AO21" s="228">
        <v>175</v>
      </c>
      <c r="AP21" s="237">
        <v>152</v>
      </c>
      <c r="AQ21" s="237">
        <v>216</v>
      </c>
      <c r="AR21" s="237">
        <v>0</v>
      </c>
      <c r="AS21" s="237">
        <v>92</v>
      </c>
      <c r="AT21" s="237">
        <v>47</v>
      </c>
      <c r="AU21" s="238">
        <v>376</v>
      </c>
      <c r="AV21" s="237">
        <v>241</v>
      </c>
      <c r="AW21" s="234">
        <v>305</v>
      </c>
      <c r="AX21" s="237"/>
      <c r="AY21" s="237"/>
      <c r="AZ21" s="237"/>
      <c r="BA21" s="237"/>
      <c r="BB21" s="237"/>
      <c r="BC21" s="237"/>
      <c r="BD21" s="237"/>
      <c r="BF21" s="237"/>
      <c r="BG21" s="237"/>
      <c r="BH21" s="237"/>
      <c r="BI21" s="237"/>
      <c r="BJ21" s="237"/>
      <c r="BK21" s="237"/>
      <c r="BL21" s="237"/>
      <c r="BN21" s="237"/>
      <c r="BO21" s="237"/>
      <c r="BP21" s="237"/>
      <c r="BQ21" s="237"/>
      <c r="BR21" s="237"/>
      <c r="BS21" s="238"/>
      <c r="BT21" s="237"/>
      <c r="BV21" s="264">
        <f t="shared" si="2"/>
        <v>303</v>
      </c>
      <c r="BW21" s="264">
        <f t="shared" si="3"/>
        <v>305</v>
      </c>
      <c r="BX21" s="264">
        <f t="shared" si="4"/>
        <v>0</v>
      </c>
      <c r="BY21" s="264">
        <f t="shared" si="5"/>
        <v>167</v>
      </c>
      <c r="BZ21" s="264">
        <f t="shared" si="6"/>
        <v>107</v>
      </c>
      <c r="CA21" s="264">
        <f t="shared" si="7"/>
        <v>645</v>
      </c>
      <c r="CB21" s="264">
        <f t="shared" si="8"/>
        <v>470</v>
      </c>
      <c r="CC21" s="265">
        <f t="shared" si="9"/>
        <v>741</v>
      </c>
      <c r="CD21" s="264">
        <f t="shared" si="10"/>
        <v>145</v>
      </c>
      <c r="CE21" s="264">
        <f t="shared" si="11"/>
        <v>158</v>
      </c>
      <c r="CF21" s="264">
        <f t="shared" si="12"/>
        <v>0</v>
      </c>
      <c r="CG21" s="264">
        <f t="shared" si="13"/>
        <v>81</v>
      </c>
      <c r="CH21" s="264">
        <f t="shared" si="14"/>
        <v>42</v>
      </c>
      <c r="CI21" s="264">
        <f t="shared" si="15"/>
        <v>221</v>
      </c>
      <c r="CJ21" s="264">
        <f t="shared" si="16"/>
        <v>183</v>
      </c>
      <c r="CK21" s="265">
        <f t="shared" si="17"/>
        <v>169</v>
      </c>
      <c r="CL21" s="264">
        <f t="shared" si="18"/>
        <v>201</v>
      </c>
      <c r="CM21" s="264">
        <f t="shared" si="19"/>
        <v>203</v>
      </c>
      <c r="CN21" s="264">
        <f t="shared" si="20"/>
        <v>0</v>
      </c>
      <c r="CO21" s="264">
        <f t="shared" si="21"/>
        <v>110</v>
      </c>
      <c r="CP21" s="264">
        <f t="shared" si="22"/>
        <v>53</v>
      </c>
      <c r="CQ21" s="264">
        <f t="shared" si="23"/>
        <v>304</v>
      </c>
      <c r="CR21" s="264">
        <f t="shared" si="24"/>
        <v>274</v>
      </c>
      <c r="CS21" s="266">
        <f t="shared" si="25"/>
        <v>314</v>
      </c>
      <c r="CT21" s="264">
        <f t="shared" si="26"/>
        <v>226</v>
      </c>
      <c r="CU21" s="264">
        <f t="shared" si="27"/>
        <v>315</v>
      </c>
      <c r="CV21" s="264">
        <f t="shared" si="28"/>
        <v>0</v>
      </c>
      <c r="CW21" s="264">
        <f t="shared" si="29"/>
        <v>163</v>
      </c>
      <c r="CX21" s="264">
        <f t="shared" si="30"/>
        <v>92</v>
      </c>
      <c r="CY21" s="264">
        <f t="shared" si="31"/>
        <v>729</v>
      </c>
      <c r="CZ21" s="264">
        <f t="shared" si="32"/>
        <v>439</v>
      </c>
      <c r="DA21" s="265">
        <f t="shared" si="33"/>
        <v>1163</v>
      </c>
      <c r="DB21" s="264">
        <f t="shared" si="34"/>
        <v>110</v>
      </c>
      <c r="DC21" s="264">
        <f t="shared" si="35"/>
        <v>170</v>
      </c>
      <c r="DD21" s="264">
        <f t="shared" si="36"/>
        <v>0</v>
      </c>
      <c r="DE21" s="264">
        <f t="shared" si="37"/>
        <v>66</v>
      </c>
      <c r="DF21" s="264">
        <f t="shared" si="38"/>
        <v>33</v>
      </c>
      <c r="DG21" s="264">
        <f t="shared" si="39"/>
        <v>269</v>
      </c>
      <c r="DH21" s="264">
        <f t="shared" si="40"/>
        <v>166</v>
      </c>
      <c r="DI21" s="265">
        <f t="shared" si="41"/>
        <v>175</v>
      </c>
      <c r="DJ21" s="264">
        <f t="shared" si="42"/>
        <v>152</v>
      </c>
      <c r="DK21" s="264">
        <f t="shared" si="43"/>
        <v>216</v>
      </c>
      <c r="DL21" s="264">
        <f t="shared" si="44"/>
        <v>0</v>
      </c>
      <c r="DM21" s="264">
        <f t="shared" si="45"/>
        <v>92</v>
      </c>
      <c r="DN21" s="264">
        <f t="shared" si="46"/>
        <v>47</v>
      </c>
      <c r="DO21" s="264">
        <f t="shared" si="47"/>
        <v>376</v>
      </c>
      <c r="DP21" s="264">
        <f t="shared" si="48"/>
        <v>241</v>
      </c>
      <c r="DQ21" s="266">
        <f t="shared" si="49"/>
        <v>305</v>
      </c>
      <c r="DR21" s="279">
        <f>INDEX('Rate Assumptions'!$A$1:$C$32,MATCH('Success Allocation'!DR$3,'Rate Assumptions'!$A$1:$A$32,0),MATCH($DR$1,'Rate Assumptions'!$A$1:$C$1,0))</f>
        <v>2291.7551696336809</v>
      </c>
      <c r="DS21" s="279">
        <f>INDEX('Rate Assumptions'!$A$1:$C$32,MATCH('Success Allocation'!DS$3,'Rate Assumptions'!$A$1:$A$32,0),MATCH($DR$1,'Rate Assumptions'!$A$1:$C$1,0))</f>
        <v>1718.8163772252606</v>
      </c>
      <c r="DT21" s="279">
        <f>INDEX('Rate Assumptions'!$A$1:$C$32,MATCH('Success Allocation'!DT$3,'Rate Assumptions'!$A$1:$A$32,0),MATCH($DR$1,'Rate Assumptions'!$A$1:$C$1,0))</f>
        <v>1718.8163772252606</v>
      </c>
      <c r="DU21" s="279">
        <f>INDEX('Rate Assumptions'!$A$1:$C$32,MATCH('Success Allocation'!DU$3,'Rate Assumptions'!$A$1:$A$32,0),MATCH($DR$1,'Rate Assumptions'!$A$1:$C$1,0))</f>
        <v>1145.8775848168405</v>
      </c>
      <c r="DV21" s="279">
        <f>INDEX('Rate Assumptions'!$A$1:$C$32,MATCH('Success Allocation'!DV$3,'Rate Assumptions'!$A$1:$A$32,0),MATCH($DR$1,'Rate Assumptions'!$A$1:$C$1,0))</f>
        <v>1145.8775848168405</v>
      </c>
      <c r="DW21" s="279">
        <f>INDEX('Rate Assumptions'!$A$1:$C$32,MATCH('Success Allocation'!DW$3,'Rate Assumptions'!$A$1:$A$32,0),MATCH($DR$1,'Rate Assumptions'!$A$1:$C$1,0))</f>
        <v>572.93879240842023</v>
      </c>
      <c r="DX21" s="279">
        <f>INDEX('Rate Assumptions'!$A$1:$C$32,MATCH('Success Allocation'!DX$3,'Rate Assumptions'!$A$1:$A$32,0),MATCH($DR$1,'Rate Assumptions'!$A$1:$C$1,0))</f>
        <v>859.40818861263028</v>
      </c>
      <c r="DY21" s="280">
        <f>INDEX('Rate Assumptions'!$A$1:$C$32,MATCH('Success Allocation'!DY$3,'Rate Assumptions'!$A$1:$A$32,0),MATCH($DR$1,'Rate Assumptions'!$A$1:$C$1,0))</f>
        <v>572.93879240842023</v>
      </c>
      <c r="DZ21" s="279">
        <f>INDEX('Rate Assumptions'!$A$1:$C$32,MATCH('Success Allocation'!DZ$3,'Rate Assumptions'!$A$1:$A$32,0),MATCH($DR$1,'Rate Assumptions'!$A$1:$C$1,0))</f>
        <v>866.31570658079204</v>
      </c>
      <c r="EA21" s="279">
        <f>INDEX('Rate Assumptions'!$A$1:$C$32,MATCH('Success Allocation'!EA$3,'Rate Assumptions'!$A$1:$A$32,0),MATCH($DR$1,'Rate Assumptions'!$A$1:$C$1,0))</f>
        <v>649.73677993559397</v>
      </c>
      <c r="EB21" s="279">
        <f>INDEX('Rate Assumptions'!$A$1:$C$32,MATCH('Success Allocation'!EB$3,'Rate Assumptions'!$A$1:$A$32,0),MATCH($DR$1,'Rate Assumptions'!$A$1:$C$1,0))</f>
        <v>649.73677993559397</v>
      </c>
      <c r="EC21" s="279">
        <f>INDEX('Rate Assumptions'!$A$1:$C$32,MATCH('Success Allocation'!EC$3,'Rate Assumptions'!$A$1:$A$32,0),MATCH($DR$1,'Rate Assumptions'!$A$1:$C$1,0))</f>
        <v>433.15785329039602</v>
      </c>
      <c r="ED21" s="279">
        <f>INDEX('Rate Assumptions'!$A$1:$C$32,MATCH('Success Allocation'!ED$3,'Rate Assumptions'!$A$1:$A$32,0),MATCH($DR$1,'Rate Assumptions'!$A$1:$C$1,0))</f>
        <v>433.15785329039602</v>
      </c>
      <c r="EE21" s="279">
        <f>INDEX('Rate Assumptions'!$A$1:$C$32,MATCH('Success Allocation'!EE$3,'Rate Assumptions'!$A$1:$A$32,0),MATCH($DR$1,'Rate Assumptions'!$A$1:$C$1,0))</f>
        <v>216.57892664519801</v>
      </c>
      <c r="EF21" s="279">
        <f>INDEX('Rate Assumptions'!$A$1:$C$32,MATCH('Success Allocation'!EF$3,'Rate Assumptions'!$A$1:$A$32,0),MATCH($DR$1,'Rate Assumptions'!$A$1:$C$1,0))</f>
        <v>324.86838996779699</v>
      </c>
      <c r="EG21" s="280">
        <f>INDEX('Rate Assumptions'!$A$1:$C$32,MATCH('Success Allocation'!EG$3,'Rate Assumptions'!$A$1:$A$32,0),MATCH($DR$1,'Rate Assumptions'!$A$1:$C$1,0))</f>
        <v>216.57892664519801</v>
      </c>
      <c r="EH21" s="279">
        <f>INDEX('Rate Assumptions'!$A$1:$C$32,MATCH('Success Allocation'!EH$3,'Rate Assumptions'!$A$1:$A$32,0),MATCH($DR$1,'Rate Assumptions'!$A$1:$C$1,0))</f>
        <v>577.54380438719465</v>
      </c>
      <c r="EI21" s="279">
        <f>INDEX('Rate Assumptions'!$A$1:$C$32,MATCH('Success Allocation'!EI$3,'Rate Assumptions'!$A$1:$A$32,0),MATCH($DR$1,'Rate Assumptions'!$A$1:$C$1,0))</f>
        <v>433.15785329039602</v>
      </c>
      <c r="EJ21" s="279">
        <f>INDEX('Rate Assumptions'!$A$1:$C$32,MATCH('Success Allocation'!EJ$3,'Rate Assumptions'!$A$1:$A$32,0),MATCH($DR$1,'Rate Assumptions'!$A$1:$C$1,0))</f>
        <v>433.15785329039602</v>
      </c>
      <c r="EK21" s="279">
        <f>INDEX('Rate Assumptions'!$A$1:$C$32,MATCH('Success Allocation'!EK$3,'Rate Assumptions'!$A$1:$A$32,0),MATCH($DR$1,'Rate Assumptions'!$A$1:$C$1,0))</f>
        <v>288.77190219359733</v>
      </c>
      <c r="EL21" s="279">
        <f>INDEX('Rate Assumptions'!$A$1:$C$32,MATCH('Success Allocation'!EL$3,'Rate Assumptions'!$A$1:$A$32,0),MATCH($DR$1,'Rate Assumptions'!$A$1:$C$1,0))</f>
        <v>288.77190219359733</v>
      </c>
      <c r="EM21" s="279">
        <f>INDEX('Rate Assumptions'!$A$1:$C$32,MATCH('Success Allocation'!EM$3,'Rate Assumptions'!$A$1:$A$32,0),MATCH($DR$1,'Rate Assumptions'!$A$1:$C$1,0))</f>
        <v>144.38595109679866</v>
      </c>
      <c r="EN21" s="279">
        <f>INDEX('Rate Assumptions'!$A$1:$C$32,MATCH('Success Allocation'!EN$3,'Rate Assumptions'!$A$1:$A$32,0),MATCH($DR$1,'Rate Assumptions'!$A$1:$C$1,0))</f>
        <v>216.57892664519801</v>
      </c>
      <c r="EO21" s="281">
        <f>INDEX('Rate Assumptions'!$A$1:$C$32,MATCH('Success Allocation'!EO$3,'Rate Assumptions'!$A$1:$A$32,0),MATCH($DR$1,'Rate Assumptions'!$A$1:$C$1,0))</f>
        <v>144.38595109679866</v>
      </c>
      <c r="EP21" s="170">
        <f t="shared" si="50"/>
        <v>3555755.8986489596</v>
      </c>
    </row>
    <row r="22" spans="1:146">
      <c r="A22" s="223" t="s">
        <v>109</v>
      </c>
      <c r="B22" s="226">
        <v>428</v>
      </c>
      <c r="C22" s="226">
        <v>309</v>
      </c>
      <c r="D22" s="226">
        <v>0</v>
      </c>
      <c r="E22" s="226">
        <v>179</v>
      </c>
      <c r="F22" s="226">
        <v>271</v>
      </c>
      <c r="G22" s="227">
        <v>2327</v>
      </c>
      <c r="H22" s="226">
        <v>1613</v>
      </c>
      <c r="I22" s="228">
        <v>1460</v>
      </c>
      <c r="J22" s="226">
        <v>285</v>
      </c>
      <c r="K22" s="226">
        <v>174</v>
      </c>
      <c r="L22" s="226">
        <v>0</v>
      </c>
      <c r="M22" s="226">
        <v>104</v>
      </c>
      <c r="N22" s="226">
        <v>128</v>
      </c>
      <c r="O22" s="227">
        <v>1232</v>
      </c>
      <c r="P22" s="226">
        <v>884</v>
      </c>
      <c r="Q22" s="228">
        <v>445</v>
      </c>
      <c r="R22" s="226">
        <v>357</v>
      </c>
      <c r="S22" s="226">
        <v>229</v>
      </c>
      <c r="T22" s="226">
        <v>0</v>
      </c>
      <c r="U22" s="226">
        <v>134</v>
      </c>
      <c r="V22" s="226">
        <v>168</v>
      </c>
      <c r="W22" s="227">
        <v>1701</v>
      </c>
      <c r="X22" s="226">
        <v>1200</v>
      </c>
      <c r="Y22" s="234">
        <v>778</v>
      </c>
      <c r="Z22" s="237">
        <v>498</v>
      </c>
      <c r="AA22" s="237">
        <v>327</v>
      </c>
      <c r="AB22" s="237">
        <v>0</v>
      </c>
      <c r="AC22" s="237">
        <v>139</v>
      </c>
      <c r="AD22" s="237">
        <v>257</v>
      </c>
      <c r="AE22" s="237">
        <v>2231</v>
      </c>
      <c r="AF22" s="237">
        <v>1561</v>
      </c>
      <c r="AG22" s="228">
        <v>1561</v>
      </c>
      <c r="AH22" s="237">
        <v>325</v>
      </c>
      <c r="AI22" s="237">
        <v>177</v>
      </c>
      <c r="AJ22" s="237">
        <v>0</v>
      </c>
      <c r="AK22" s="237">
        <v>76</v>
      </c>
      <c r="AL22" s="237">
        <v>126</v>
      </c>
      <c r="AM22" s="237">
        <v>1191</v>
      </c>
      <c r="AN22" s="237">
        <v>836</v>
      </c>
      <c r="AO22" s="228">
        <v>476</v>
      </c>
      <c r="AP22" s="237">
        <v>402</v>
      </c>
      <c r="AQ22" s="237">
        <v>247</v>
      </c>
      <c r="AR22" s="237">
        <v>0</v>
      </c>
      <c r="AS22" s="237">
        <v>102</v>
      </c>
      <c r="AT22" s="237">
        <v>168</v>
      </c>
      <c r="AU22" s="238">
        <v>1651</v>
      </c>
      <c r="AV22" s="237">
        <v>1163</v>
      </c>
      <c r="AW22" s="234">
        <v>831</v>
      </c>
      <c r="AX22" s="237"/>
      <c r="AY22" s="237"/>
      <c r="AZ22" s="237"/>
      <c r="BA22" s="237"/>
      <c r="BB22" s="237"/>
      <c r="BC22" s="237"/>
      <c r="BD22" s="237"/>
      <c r="BF22" s="237"/>
      <c r="BG22" s="237"/>
      <c r="BH22" s="237"/>
      <c r="BI22" s="237"/>
      <c r="BJ22" s="237"/>
      <c r="BK22" s="237"/>
      <c r="BL22" s="237"/>
      <c r="BN22" s="237"/>
      <c r="BO22" s="237"/>
      <c r="BP22" s="237"/>
      <c r="BQ22" s="237"/>
      <c r="BR22" s="237"/>
      <c r="BS22" s="238"/>
      <c r="BT22" s="237"/>
      <c r="BV22" s="264">
        <f t="shared" si="2"/>
        <v>568</v>
      </c>
      <c r="BW22" s="264">
        <f t="shared" si="3"/>
        <v>345</v>
      </c>
      <c r="BX22" s="264">
        <f t="shared" si="4"/>
        <v>0</v>
      </c>
      <c r="BY22" s="264">
        <f t="shared" si="5"/>
        <v>99</v>
      </c>
      <c r="BZ22" s="264">
        <f t="shared" si="6"/>
        <v>243</v>
      </c>
      <c r="CA22" s="264">
        <f t="shared" si="7"/>
        <v>2135</v>
      </c>
      <c r="CB22" s="264">
        <f t="shared" si="8"/>
        <v>1509</v>
      </c>
      <c r="CC22" s="265">
        <f t="shared" si="9"/>
        <v>1662</v>
      </c>
      <c r="CD22" s="264">
        <f t="shared" si="10"/>
        <v>365</v>
      </c>
      <c r="CE22" s="264">
        <f t="shared" si="11"/>
        <v>180</v>
      </c>
      <c r="CF22" s="264">
        <f t="shared" si="12"/>
        <v>0</v>
      </c>
      <c r="CG22" s="264">
        <f t="shared" si="13"/>
        <v>48</v>
      </c>
      <c r="CH22" s="264">
        <f t="shared" si="14"/>
        <v>124</v>
      </c>
      <c r="CI22" s="264">
        <f t="shared" si="15"/>
        <v>1150</v>
      </c>
      <c r="CJ22" s="264">
        <f t="shared" si="16"/>
        <v>788</v>
      </c>
      <c r="CK22" s="265">
        <f t="shared" si="17"/>
        <v>507</v>
      </c>
      <c r="CL22" s="264">
        <f t="shared" si="18"/>
        <v>447</v>
      </c>
      <c r="CM22" s="264">
        <f t="shared" si="19"/>
        <v>265</v>
      </c>
      <c r="CN22" s="264">
        <f t="shared" si="20"/>
        <v>0</v>
      </c>
      <c r="CO22" s="264">
        <f t="shared" si="21"/>
        <v>70</v>
      </c>
      <c r="CP22" s="264">
        <f t="shared" si="22"/>
        <v>168</v>
      </c>
      <c r="CQ22" s="264">
        <f t="shared" si="23"/>
        <v>1601</v>
      </c>
      <c r="CR22" s="264">
        <f t="shared" si="24"/>
        <v>1126</v>
      </c>
      <c r="CS22" s="266">
        <f t="shared" si="25"/>
        <v>884</v>
      </c>
      <c r="CT22" s="264">
        <f t="shared" si="26"/>
        <v>498</v>
      </c>
      <c r="CU22" s="264">
        <f t="shared" si="27"/>
        <v>327</v>
      </c>
      <c r="CV22" s="264">
        <f t="shared" si="28"/>
        <v>0</v>
      </c>
      <c r="CW22" s="264">
        <f t="shared" si="29"/>
        <v>139</v>
      </c>
      <c r="CX22" s="264">
        <f t="shared" si="30"/>
        <v>257</v>
      </c>
      <c r="CY22" s="264">
        <f t="shared" si="31"/>
        <v>2231</v>
      </c>
      <c r="CZ22" s="264">
        <f t="shared" si="32"/>
        <v>1561</v>
      </c>
      <c r="DA22" s="265">
        <f t="shared" si="33"/>
        <v>1561</v>
      </c>
      <c r="DB22" s="264">
        <f t="shared" si="34"/>
        <v>325</v>
      </c>
      <c r="DC22" s="264">
        <f t="shared" si="35"/>
        <v>177</v>
      </c>
      <c r="DD22" s="264">
        <f t="shared" si="36"/>
        <v>0</v>
      </c>
      <c r="DE22" s="264">
        <f t="shared" si="37"/>
        <v>76</v>
      </c>
      <c r="DF22" s="264">
        <f t="shared" si="38"/>
        <v>126</v>
      </c>
      <c r="DG22" s="264">
        <f t="shared" si="39"/>
        <v>1191</v>
      </c>
      <c r="DH22" s="264">
        <f t="shared" si="40"/>
        <v>836</v>
      </c>
      <c r="DI22" s="265">
        <f t="shared" si="41"/>
        <v>476</v>
      </c>
      <c r="DJ22" s="264">
        <f t="shared" si="42"/>
        <v>402</v>
      </c>
      <c r="DK22" s="264">
        <f t="shared" si="43"/>
        <v>247</v>
      </c>
      <c r="DL22" s="264">
        <f t="shared" si="44"/>
        <v>0</v>
      </c>
      <c r="DM22" s="264">
        <f t="shared" si="45"/>
        <v>102</v>
      </c>
      <c r="DN22" s="264">
        <f t="shared" si="46"/>
        <v>168</v>
      </c>
      <c r="DO22" s="264">
        <f t="shared" si="47"/>
        <v>1651</v>
      </c>
      <c r="DP22" s="264">
        <f t="shared" si="48"/>
        <v>1163</v>
      </c>
      <c r="DQ22" s="266">
        <f t="shared" si="49"/>
        <v>831</v>
      </c>
      <c r="DR22" s="279">
        <f>INDEX('Rate Assumptions'!$A$1:$C$32,MATCH('Success Allocation'!DR$3,'Rate Assumptions'!$A$1:$A$32,0),MATCH($DR$1,'Rate Assumptions'!$A$1:$C$1,0))</f>
        <v>2291.7551696336809</v>
      </c>
      <c r="DS22" s="279">
        <f>INDEX('Rate Assumptions'!$A$1:$C$32,MATCH('Success Allocation'!DS$3,'Rate Assumptions'!$A$1:$A$32,0),MATCH($DR$1,'Rate Assumptions'!$A$1:$C$1,0))</f>
        <v>1718.8163772252606</v>
      </c>
      <c r="DT22" s="279">
        <f>INDEX('Rate Assumptions'!$A$1:$C$32,MATCH('Success Allocation'!DT$3,'Rate Assumptions'!$A$1:$A$32,0),MATCH($DR$1,'Rate Assumptions'!$A$1:$C$1,0))</f>
        <v>1718.8163772252606</v>
      </c>
      <c r="DU22" s="279">
        <f>INDEX('Rate Assumptions'!$A$1:$C$32,MATCH('Success Allocation'!DU$3,'Rate Assumptions'!$A$1:$A$32,0),MATCH($DR$1,'Rate Assumptions'!$A$1:$C$1,0))</f>
        <v>1145.8775848168405</v>
      </c>
      <c r="DV22" s="279">
        <f>INDEX('Rate Assumptions'!$A$1:$C$32,MATCH('Success Allocation'!DV$3,'Rate Assumptions'!$A$1:$A$32,0),MATCH($DR$1,'Rate Assumptions'!$A$1:$C$1,0))</f>
        <v>1145.8775848168405</v>
      </c>
      <c r="DW22" s="279">
        <f>INDEX('Rate Assumptions'!$A$1:$C$32,MATCH('Success Allocation'!DW$3,'Rate Assumptions'!$A$1:$A$32,0),MATCH($DR$1,'Rate Assumptions'!$A$1:$C$1,0))</f>
        <v>572.93879240842023</v>
      </c>
      <c r="DX22" s="279">
        <f>INDEX('Rate Assumptions'!$A$1:$C$32,MATCH('Success Allocation'!DX$3,'Rate Assumptions'!$A$1:$A$32,0),MATCH($DR$1,'Rate Assumptions'!$A$1:$C$1,0))</f>
        <v>859.40818861263028</v>
      </c>
      <c r="DY22" s="280">
        <f>INDEX('Rate Assumptions'!$A$1:$C$32,MATCH('Success Allocation'!DY$3,'Rate Assumptions'!$A$1:$A$32,0),MATCH($DR$1,'Rate Assumptions'!$A$1:$C$1,0))</f>
        <v>572.93879240842023</v>
      </c>
      <c r="DZ22" s="279">
        <f>INDEX('Rate Assumptions'!$A$1:$C$32,MATCH('Success Allocation'!DZ$3,'Rate Assumptions'!$A$1:$A$32,0),MATCH($DR$1,'Rate Assumptions'!$A$1:$C$1,0))</f>
        <v>866.31570658079204</v>
      </c>
      <c r="EA22" s="279">
        <f>INDEX('Rate Assumptions'!$A$1:$C$32,MATCH('Success Allocation'!EA$3,'Rate Assumptions'!$A$1:$A$32,0),MATCH($DR$1,'Rate Assumptions'!$A$1:$C$1,0))</f>
        <v>649.73677993559397</v>
      </c>
      <c r="EB22" s="279">
        <f>INDEX('Rate Assumptions'!$A$1:$C$32,MATCH('Success Allocation'!EB$3,'Rate Assumptions'!$A$1:$A$32,0),MATCH($DR$1,'Rate Assumptions'!$A$1:$C$1,0))</f>
        <v>649.73677993559397</v>
      </c>
      <c r="EC22" s="279">
        <f>INDEX('Rate Assumptions'!$A$1:$C$32,MATCH('Success Allocation'!EC$3,'Rate Assumptions'!$A$1:$A$32,0),MATCH($DR$1,'Rate Assumptions'!$A$1:$C$1,0))</f>
        <v>433.15785329039602</v>
      </c>
      <c r="ED22" s="279">
        <f>INDEX('Rate Assumptions'!$A$1:$C$32,MATCH('Success Allocation'!ED$3,'Rate Assumptions'!$A$1:$A$32,0),MATCH($DR$1,'Rate Assumptions'!$A$1:$C$1,0))</f>
        <v>433.15785329039602</v>
      </c>
      <c r="EE22" s="279">
        <f>INDEX('Rate Assumptions'!$A$1:$C$32,MATCH('Success Allocation'!EE$3,'Rate Assumptions'!$A$1:$A$32,0),MATCH($DR$1,'Rate Assumptions'!$A$1:$C$1,0))</f>
        <v>216.57892664519801</v>
      </c>
      <c r="EF22" s="279">
        <f>INDEX('Rate Assumptions'!$A$1:$C$32,MATCH('Success Allocation'!EF$3,'Rate Assumptions'!$A$1:$A$32,0),MATCH($DR$1,'Rate Assumptions'!$A$1:$C$1,0))</f>
        <v>324.86838996779699</v>
      </c>
      <c r="EG22" s="280">
        <f>INDEX('Rate Assumptions'!$A$1:$C$32,MATCH('Success Allocation'!EG$3,'Rate Assumptions'!$A$1:$A$32,0),MATCH($DR$1,'Rate Assumptions'!$A$1:$C$1,0))</f>
        <v>216.57892664519801</v>
      </c>
      <c r="EH22" s="279">
        <f>INDEX('Rate Assumptions'!$A$1:$C$32,MATCH('Success Allocation'!EH$3,'Rate Assumptions'!$A$1:$A$32,0),MATCH($DR$1,'Rate Assumptions'!$A$1:$C$1,0))</f>
        <v>577.54380438719465</v>
      </c>
      <c r="EI22" s="279">
        <f>INDEX('Rate Assumptions'!$A$1:$C$32,MATCH('Success Allocation'!EI$3,'Rate Assumptions'!$A$1:$A$32,0),MATCH($DR$1,'Rate Assumptions'!$A$1:$C$1,0))</f>
        <v>433.15785329039602</v>
      </c>
      <c r="EJ22" s="279">
        <f>INDEX('Rate Assumptions'!$A$1:$C$32,MATCH('Success Allocation'!EJ$3,'Rate Assumptions'!$A$1:$A$32,0),MATCH($DR$1,'Rate Assumptions'!$A$1:$C$1,0))</f>
        <v>433.15785329039602</v>
      </c>
      <c r="EK22" s="279">
        <f>INDEX('Rate Assumptions'!$A$1:$C$32,MATCH('Success Allocation'!EK$3,'Rate Assumptions'!$A$1:$A$32,0),MATCH($DR$1,'Rate Assumptions'!$A$1:$C$1,0))</f>
        <v>288.77190219359733</v>
      </c>
      <c r="EL22" s="279">
        <f>INDEX('Rate Assumptions'!$A$1:$C$32,MATCH('Success Allocation'!EL$3,'Rate Assumptions'!$A$1:$A$32,0),MATCH($DR$1,'Rate Assumptions'!$A$1:$C$1,0))</f>
        <v>288.77190219359733</v>
      </c>
      <c r="EM22" s="279">
        <f>INDEX('Rate Assumptions'!$A$1:$C$32,MATCH('Success Allocation'!EM$3,'Rate Assumptions'!$A$1:$A$32,0),MATCH($DR$1,'Rate Assumptions'!$A$1:$C$1,0))</f>
        <v>144.38595109679866</v>
      </c>
      <c r="EN22" s="279">
        <f>INDEX('Rate Assumptions'!$A$1:$C$32,MATCH('Success Allocation'!EN$3,'Rate Assumptions'!$A$1:$A$32,0),MATCH($DR$1,'Rate Assumptions'!$A$1:$C$1,0))</f>
        <v>216.57892664519801</v>
      </c>
      <c r="EO22" s="281">
        <f>INDEX('Rate Assumptions'!$A$1:$C$32,MATCH('Success Allocation'!EO$3,'Rate Assumptions'!$A$1:$A$32,0),MATCH($DR$1,'Rate Assumptions'!$A$1:$C$1,0))</f>
        <v>144.38595109679866</v>
      </c>
      <c r="EP22" s="170">
        <f t="shared" si="50"/>
        <v>7925766.4329784429</v>
      </c>
    </row>
    <row r="23" spans="1:146">
      <c r="A23" s="223" t="s">
        <v>110</v>
      </c>
      <c r="B23" s="226">
        <v>724</v>
      </c>
      <c r="C23" s="226">
        <v>1089</v>
      </c>
      <c r="D23" s="226">
        <v>0</v>
      </c>
      <c r="E23" s="226">
        <v>114</v>
      </c>
      <c r="F23" s="226">
        <v>576</v>
      </c>
      <c r="G23" s="227">
        <v>2407</v>
      </c>
      <c r="H23" s="226">
        <v>2115</v>
      </c>
      <c r="I23" s="228">
        <v>1719</v>
      </c>
      <c r="J23" s="226">
        <v>351</v>
      </c>
      <c r="K23" s="226">
        <v>550</v>
      </c>
      <c r="L23" s="226">
        <v>0</v>
      </c>
      <c r="M23" s="226">
        <v>53</v>
      </c>
      <c r="N23" s="226">
        <v>233</v>
      </c>
      <c r="O23" s="227">
        <v>1120</v>
      </c>
      <c r="P23" s="226">
        <v>772</v>
      </c>
      <c r="Q23" s="228">
        <v>445</v>
      </c>
      <c r="R23" s="226">
        <v>520</v>
      </c>
      <c r="S23" s="226">
        <v>821</v>
      </c>
      <c r="T23" s="226">
        <v>0</v>
      </c>
      <c r="U23" s="226">
        <v>85</v>
      </c>
      <c r="V23" s="226">
        <v>336</v>
      </c>
      <c r="W23" s="227">
        <v>1710</v>
      </c>
      <c r="X23" s="226">
        <v>1364</v>
      </c>
      <c r="Y23" s="234">
        <v>1009</v>
      </c>
      <c r="Z23" s="237">
        <v>890</v>
      </c>
      <c r="AA23" s="237">
        <v>1238</v>
      </c>
      <c r="AB23" s="237">
        <v>0</v>
      </c>
      <c r="AC23" s="237">
        <v>127</v>
      </c>
      <c r="AD23" s="237">
        <v>590</v>
      </c>
      <c r="AE23" s="237">
        <v>2385</v>
      </c>
      <c r="AF23" s="237">
        <v>2148</v>
      </c>
      <c r="AG23" s="228">
        <v>1953</v>
      </c>
      <c r="AH23" s="237">
        <v>433</v>
      </c>
      <c r="AI23" s="237">
        <v>630</v>
      </c>
      <c r="AJ23" s="237">
        <v>0</v>
      </c>
      <c r="AK23" s="237">
        <v>60</v>
      </c>
      <c r="AL23" s="237">
        <v>253</v>
      </c>
      <c r="AM23" s="237">
        <v>1135</v>
      </c>
      <c r="AN23" s="237">
        <v>845</v>
      </c>
      <c r="AO23" s="228">
        <v>510</v>
      </c>
      <c r="AP23" s="237">
        <v>637</v>
      </c>
      <c r="AQ23" s="237">
        <v>918</v>
      </c>
      <c r="AR23" s="237">
        <v>0</v>
      </c>
      <c r="AS23" s="237">
        <v>91</v>
      </c>
      <c r="AT23" s="237">
        <v>352</v>
      </c>
      <c r="AU23" s="238">
        <v>1708</v>
      </c>
      <c r="AV23" s="237">
        <v>1402</v>
      </c>
      <c r="AW23" s="234">
        <v>1091</v>
      </c>
      <c r="AX23" s="237"/>
      <c r="AY23" s="237"/>
      <c r="AZ23" s="237"/>
      <c r="BA23" s="237"/>
      <c r="BB23" s="237"/>
      <c r="BC23" s="237"/>
      <c r="BD23" s="237"/>
      <c r="BF23" s="237"/>
      <c r="BG23" s="237"/>
      <c r="BH23" s="237"/>
      <c r="BI23" s="237"/>
      <c r="BJ23" s="237"/>
      <c r="BK23" s="237"/>
      <c r="BL23" s="237"/>
      <c r="BN23" s="237"/>
      <c r="BO23" s="237"/>
      <c r="BP23" s="237"/>
      <c r="BQ23" s="237"/>
      <c r="BR23" s="237"/>
      <c r="BS23" s="238"/>
      <c r="BT23" s="237"/>
      <c r="BV23" s="264">
        <f t="shared" si="2"/>
        <v>1056</v>
      </c>
      <c r="BW23" s="264">
        <f t="shared" si="3"/>
        <v>1387</v>
      </c>
      <c r="BX23" s="264">
        <f t="shared" si="4"/>
        <v>0</v>
      </c>
      <c r="BY23" s="264">
        <f t="shared" si="5"/>
        <v>140</v>
      </c>
      <c r="BZ23" s="264">
        <f t="shared" si="6"/>
        <v>604</v>
      </c>
      <c r="CA23" s="264">
        <f t="shared" si="7"/>
        <v>2363</v>
      </c>
      <c r="CB23" s="264">
        <f t="shared" si="8"/>
        <v>2181</v>
      </c>
      <c r="CC23" s="265">
        <f t="shared" si="9"/>
        <v>2187</v>
      </c>
      <c r="CD23" s="264">
        <f t="shared" si="10"/>
        <v>515</v>
      </c>
      <c r="CE23" s="264">
        <f t="shared" si="11"/>
        <v>710</v>
      </c>
      <c r="CF23" s="264">
        <f t="shared" si="12"/>
        <v>0</v>
      </c>
      <c r="CG23" s="264">
        <f t="shared" si="13"/>
        <v>67</v>
      </c>
      <c r="CH23" s="264">
        <f t="shared" si="14"/>
        <v>273</v>
      </c>
      <c r="CI23" s="264">
        <f t="shared" si="15"/>
        <v>1150</v>
      </c>
      <c r="CJ23" s="264">
        <f t="shared" si="16"/>
        <v>918</v>
      </c>
      <c r="CK23" s="265">
        <f t="shared" si="17"/>
        <v>575</v>
      </c>
      <c r="CL23" s="264">
        <f t="shared" si="18"/>
        <v>754</v>
      </c>
      <c r="CM23" s="264">
        <f t="shared" si="19"/>
        <v>1015</v>
      </c>
      <c r="CN23" s="264">
        <f t="shared" si="20"/>
        <v>0</v>
      </c>
      <c r="CO23" s="264">
        <f t="shared" si="21"/>
        <v>97</v>
      </c>
      <c r="CP23" s="264">
        <f t="shared" si="22"/>
        <v>368</v>
      </c>
      <c r="CQ23" s="264">
        <f t="shared" si="23"/>
        <v>1706</v>
      </c>
      <c r="CR23" s="264">
        <f t="shared" si="24"/>
        <v>1440</v>
      </c>
      <c r="CS23" s="266">
        <f t="shared" si="25"/>
        <v>1173</v>
      </c>
      <c r="CT23" s="264">
        <f t="shared" si="26"/>
        <v>890</v>
      </c>
      <c r="CU23" s="264">
        <f t="shared" si="27"/>
        <v>1238</v>
      </c>
      <c r="CV23" s="264">
        <f t="shared" si="28"/>
        <v>0</v>
      </c>
      <c r="CW23" s="264">
        <f t="shared" si="29"/>
        <v>127</v>
      </c>
      <c r="CX23" s="264">
        <f t="shared" si="30"/>
        <v>590</v>
      </c>
      <c r="CY23" s="264">
        <f t="shared" si="31"/>
        <v>2385</v>
      </c>
      <c r="CZ23" s="264">
        <f t="shared" si="32"/>
        <v>2148</v>
      </c>
      <c r="DA23" s="265">
        <f t="shared" si="33"/>
        <v>1953</v>
      </c>
      <c r="DB23" s="264">
        <f t="shared" si="34"/>
        <v>433</v>
      </c>
      <c r="DC23" s="264">
        <f t="shared" si="35"/>
        <v>630</v>
      </c>
      <c r="DD23" s="264">
        <f t="shared" si="36"/>
        <v>0</v>
      </c>
      <c r="DE23" s="264">
        <f t="shared" si="37"/>
        <v>60</v>
      </c>
      <c r="DF23" s="264">
        <f t="shared" si="38"/>
        <v>253</v>
      </c>
      <c r="DG23" s="264">
        <f t="shared" si="39"/>
        <v>1135</v>
      </c>
      <c r="DH23" s="264">
        <f t="shared" si="40"/>
        <v>845</v>
      </c>
      <c r="DI23" s="265">
        <f t="shared" si="41"/>
        <v>510</v>
      </c>
      <c r="DJ23" s="264">
        <f t="shared" si="42"/>
        <v>637</v>
      </c>
      <c r="DK23" s="264">
        <f t="shared" si="43"/>
        <v>918</v>
      </c>
      <c r="DL23" s="264">
        <f t="shared" si="44"/>
        <v>0</v>
      </c>
      <c r="DM23" s="264">
        <f t="shared" si="45"/>
        <v>91</v>
      </c>
      <c r="DN23" s="264">
        <f t="shared" si="46"/>
        <v>352</v>
      </c>
      <c r="DO23" s="264">
        <f t="shared" si="47"/>
        <v>1708</v>
      </c>
      <c r="DP23" s="264">
        <f t="shared" si="48"/>
        <v>1402</v>
      </c>
      <c r="DQ23" s="266">
        <f t="shared" si="49"/>
        <v>1091</v>
      </c>
      <c r="DR23" s="279">
        <f>INDEX('Rate Assumptions'!$A$1:$C$32,MATCH('Success Allocation'!DR$3,'Rate Assumptions'!$A$1:$A$32,0),MATCH($DR$1,'Rate Assumptions'!$A$1:$C$1,0))</f>
        <v>2291.7551696336809</v>
      </c>
      <c r="DS23" s="279">
        <f>INDEX('Rate Assumptions'!$A$1:$C$32,MATCH('Success Allocation'!DS$3,'Rate Assumptions'!$A$1:$A$32,0),MATCH($DR$1,'Rate Assumptions'!$A$1:$C$1,0))</f>
        <v>1718.8163772252606</v>
      </c>
      <c r="DT23" s="279">
        <f>INDEX('Rate Assumptions'!$A$1:$C$32,MATCH('Success Allocation'!DT$3,'Rate Assumptions'!$A$1:$A$32,0),MATCH($DR$1,'Rate Assumptions'!$A$1:$C$1,0))</f>
        <v>1718.8163772252606</v>
      </c>
      <c r="DU23" s="279">
        <f>INDEX('Rate Assumptions'!$A$1:$C$32,MATCH('Success Allocation'!DU$3,'Rate Assumptions'!$A$1:$A$32,0),MATCH($DR$1,'Rate Assumptions'!$A$1:$C$1,0))</f>
        <v>1145.8775848168405</v>
      </c>
      <c r="DV23" s="279">
        <f>INDEX('Rate Assumptions'!$A$1:$C$32,MATCH('Success Allocation'!DV$3,'Rate Assumptions'!$A$1:$A$32,0),MATCH($DR$1,'Rate Assumptions'!$A$1:$C$1,0))</f>
        <v>1145.8775848168405</v>
      </c>
      <c r="DW23" s="279">
        <f>INDEX('Rate Assumptions'!$A$1:$C$32,MATCH('Success Allocation'!DW$3,'Rate Assumptions'!$A$1:$A$32,0),MATCH($DR$1,'Rate Assumptions'!$A$1:$C$1,0))</f>
        <v>572.93879240842023</v>
      </c>
      <c r="DX23" s="279">
        <f>INDEX('Rate Assumptions'!$A$1:$C$32,MATCH('Success Allocation'!DX$3,'Rate Assumptions'!$A$1:$A$32,0),MATCH($DR$1,'Rate Assumptions'!$A$1:$C$1,0))</f>
        <v>859.40818861263028</v>
      </c>
      <c r="DY23" s="280">
        <f>INDEX('Rate Assumptions'!$A$1:$C$32,MATCH('Success Allocation'!DY$3,'Rate Assumptions'!$A$1:$A$32,0),MATCH($DR$1,'Rate Assumptions'!$A$1:$C$1,0))</f>
        <v>572.93879240842023</v>
      </c>
      <c r="DZ23" s="279">
        <f>INDEX('Rate Assumptions'!$A$1:$C$32,MATCH('Success Allocation'!DZ$3,'Rate Assumptions'!$A$1:$A$32,0),MATCH($DR$1,'Rate Assumptions'!$A$1:$C$1,0))</f>
        <v>866.31570658079204</v>
      </c>
      <c r="EA23" s="279">
        <f>INDEX('Rate Assumptions'!$A$1:$C$32,MATCH('Success Allocation'!EA$3,'Rate Assumptions'!$A$1:$A$32,0),MATCH($DR$1,'Rate Assumptions'!$A$1:$C$1,0))</f>
        <v>649.73677993559397</v>
      </c>
      <c r="EB23" s="279">
        <f>INDEX('Rate Assumptions'!$A$1:$C$32,MATCH('Success Allocation'!EB$3,'Rate Assumptions'!$A$1:$A$32,0),MATCH($DR$1,'Rate Assumptions'!$A$1:$C$1,0))</f>
        <v>649.73677993559397</v>
      </c>
      <c r="EC23" s="279">
        <f>INDEX('Rate Assumptions'!$A$1:$C$32,MATCH('Success Allocation'!EC$3,'Rate Assumptions'!$A$1:$A$32,0),MATCH($DR$1,'Rate Assumptions'!$A$1:$C$1,0))</f>
        <v>433.15785329039602</v>
      </c>
      <c r="ED23" s="279">
        <f>INDEX('Rate Assumptions'!$A$1:$C$32,MATCH('Success Allocation'!ED$3,'Rate Assumptions'!$A$1:$A$32,0),MATCH($DR$1,'Rate Assumptions'!$A$1:$C$1,0))</f>
        <v>433.15785329039602</v>
      </c>
      <c r="EE23" s="279">
        <f>INDEX('Rate Assumptions'!$A$1:$C$32,MATCH('Success Allocation'!EE$3,'Rate Assumptions'!$A$1:$A$32,0),MATCH($DR$1,'Rate Assumptions'!$A$1:$C$1,0))</f>
        <v>216.57892664519801</v>
      </c>
      <c r="EF23" s="279">
        <f>INDEX('Rate Assumptions'!$A$1:$C$32,MATCH('Success Allocation'!EF$3,'Rate Assumptions'!$A$1:$A$32,0),MATCH($DR$1,'Rate Assumptions'!$A$1:$C$1,0))</f>
        <v>324.86838996779699</v>
      </c>
      <c r="EG23" s="280">
        <f>INDEX('Rate Assumptions'!$A$1:$C$32,MATCH('Success Allocation'!EG$3,'Rate Assumptions'!$A$1:$A$32,0),MATCH($DR$1,'Rate Assumptions'!$A$1:$C$1,0))</f>
        <v>216.57892664519801</v>
      </c>
      <c r="EH23" s="279">
        <f>INDEX('Rate Assumptions'!$A$1:$C$32,MATCH('Success Allocation'!EH$3,'Rate Assumptions'!$A$1:$A$32,0),MATCH($DR$1,'Rate Assumptions'!$A$1:$C$1,0))</f>
        <v>577.54380438719465</v>
      </c>
      <c r="EI23" s="279">
        <f>INDEX('Rate Assumptions'!$A$1:$C$32,MATCH('Success Allocation'!EI$3,'Rate Assumptions'!$A$1:$A$32,0),MATCH($DR$1,'Rate Assumptions'!$A$1:$C$1,0))</f>
        <v>433.15785329039602</v>
      </c>
      <c r="EJ23" s="279">
        <f>INDEX('Rate Assumptions'!$A$1:$C$32,MATCH('Success Allocation'!EJ$3,'Rate Assumptions'!$A$1:$A$32,0),MATCH($DR$1,'Rate Assumptions'!$A$1:$C$1,0))</f>
        <v>433.15785329039602</v>
      </c>
      <c r="EK23" s="279">
        <f>INDEX('Rate Assumptions'!$A$1:$C$32,MATCH('Success Allocation'!EK$3,'Rate Assumptions'!$A$1:$A$32,0),MATCH($DR$1,'Rate Assumptions'!$A$1:$C$1,0))</f>
        <v>288.77190219359733</v>
      </c>
      <c r="EL23" s="279">
        <f>INDEX('Rate Assumptions'!$A$1:$C$32,MATCH('Success Allocation'!EL$3,'Rate Assumptions'!$A$1:$A$32,0),MATCH($DR$1,'Rate Assumptions'!$A$1:$C$1,0))</f>
        <v>288.77190219359733</v>
      </c>
      <c r="EM23" s="279">
        <f>INDEX('Rate Assumptions'!$A$1:$C$32,MATCH('Success Allocation'!EM$3,'Rate Assumptions'!$A$1:$A$32,0),MATCH($DR$1,'Rate Assumptions'!$A$1:$C$1,0))</f>
        <v>144.38595109679866</v>
      </c>
      <c r="EN23" s="279">
        <f>INDEX('Rate Assumptions'!$A$1:$C$32,MATCH('Success Allocation'!EN$3,'Rate Assumptions'!$A$1:$A$32,0),MATCH($DR$1,'Rate Assumptions'!$A$1:$C$1,0))</f>
        <v>216.57892664519801</v>
      </c>
      <c r="EO23" s="281">
        <f>INDEX('Rate Assumptions'!$A$1:$C$32,MATCH('Success Allocation'!EO$3,'Rate Assumptions'!$A$1:$A$32,0),MATCH($DR$1,'Rate Assumptions'!$A$1:$C$1,0))</f>
        <v>144.38595109679866</v>
      </c>
      <c r="EP23" s="170">
        <f t="shared" si="50"/>
        <v>13601395.657180799</v>
      </c>
    </row>
    <row r="24" spans="1:146">
      <c r="A24" s="223" t="s">
        <v>111</v>
      </c>
      <c r="B24" s="226">
        <v>356</v>
      </c>
      <c r="C24" s="226">
        <v>390</v>
      </c>
      <c r="D24" s="226">
        <v>0</v>
      </c>
      <c r="E24" s="226">
        <v>60</v>
      </c>
      <c r="F24" s="226">
        <v>201</v>
      </c>
      <c r="G24" s="227">
        <v>869</v>
      </c>
      <c r="H24" s="226">
        <v>765</v>
      </c>
      <c r="I24" s="228">
        <v>1984</v>
      </c>
      <c r="J24" s="226">
        <v>231</v>
      </c>
      <c r="K24" s="226">
        <v>239</v>
      </c>
      <c r="L24" s="226">
        <v>0</v>
      </c>
      <c r="M24" s="226">
        <v>39</v>
      </c>
      <c r="N24" s="226">
        <v>93</v>
      </c>
      <c r="O24" s="227">
        <v>522</v>
      </c>
      <c r="P24" s="226">
        <v>447</v>
      </c>
      <c r="Q24" s="228">
        <v>382</v>
      </c>
      <c r="R24" s="226">
        <v>326</v>
      </c>
      <c r="S24" s="226">
        <v>336</v>
      </c>
      <c r="T24" s="226">
        <v>0</v>
      </c>
      <c r="U24" s="226">
        <v>48</v>
      </c>
      <c r="V24" s="226">
        <v>154</v>
      </c>
      <c r="W24" s="227">
        <v>731</v>
      </c>
      <c r="X24" s="226">
        <v>596</v>
      </c>
      <c r="Y24" s="234">
        <v>666</v>
      </c>
      <c r="Z24" s="237">
        <v>483</v>
      </c>
      <c r="AA24" s="237">
        <v>373</v>
      </c>
      <c r="AB24" s="237">
        <v>0</v>
      </c>
      <c r="AC24" s="237">
        <v>69</v>
      </c>
      <c r="AD24" s="237">
        <v>184</v>
      </c>
      <c r="AE24" s="237">
        <v>839</v>
      </c>
      <c r="AF24" s="237">
        <v>808</v>
      </c>
      <c r="AG24" s="228">
        <v>2397</v>
      </c>
      <c r="AH24" s="237">
        <v>321</v>
      </c>
      <c r="AI24" s="237">
        <v>227</v>
      </c>
      <c r="AJ24" s="237">
        <v>0</v>
      </c>
      <c r="AK24" s="237">
        <v>36</v>
      </c>
      <c r="AL24" s="237">
        <v>86</v>
      </c>
      <c r="AM24" s="237">
        <v>465</v>
      </c>
      <c r="AN24" s="237">
        <v>440</v>
      </c>
      <c r="AO24" s="228">
        <v>438</v>
      </c>
      <c r="AP24" s="237">
        <v>436</v>
      </c>
      <c r="AQ24" s="237">
        <v>327</v>
      </c>
      <c r="AR24" s="237">
        <v>0</v>
      </c>
      <c r="AS24" s="237">
        <v>61</v>
      </c>
      <c r="AT24" s="237">
        <v>145</v>
      </c>
      <c r="AU24" s="238">
        <v>691</v>
      </c>
      <c r="AV24" s="237">
        <v>630</v>
      </c>
      <c r="AW24" s="234">
        <v>766</v>
      </c>
      <c r="AX24" s="237"/>
      <c r="AY24" s="237"/>
      <c r="AZ24" s="237"/>
      <c r="BA24" s="237"/>
      <c r="BB24" s="237"/>
      <c r="BC24" s="237"/>
      <c r="BD24" s="237"/>
      <c r="BF24" s="237"/>
      <c r="BG24" s="237"/>
      <c r="BH24" s="237"/>
      <c r="BI24" s="237"/>
      <c r="BJ24" s="237"/>
      <c r="BK24" s="237"/>
      <c r="BL24" s="237"/>
      <c r="BN24" s="237"/>
      <c r="BO24" s="237"/>
      <c r="BP24" s="237"/>
      <c r="BQ24" s="237"/>
      <c r="BR24" s="237"/>
      <c r="BS24" s="238"/>
      <c r="BT24" s="237"/>
      <c r="BV24" s="264">
        <f t="shared" si="2"/>
        <v>610</v>
      </c>
      <c r="BW24" s="264">
        <f t="shared" si="3"/>
        <v>356</v>
      </c>
      <c r="BX24" s="264">
        <f t="shared" si="4"/>
        <v>0</v>
      </c>
      <c r="BY24" s="264">
        <f t="shared" si="5"/>
        <v>78</v>
      </c>
      <c r="BZ24" s="264">
        <f t="shared" si="6"/>
        <v>167</v>
      </c>
      <c r="CA24" s="264">
        <f t="shared" si="7"/>
        <v>809</v>
      </c>
      <c r="CB24" s="264">
        <f t="shared" si="8"/>
        <v>851</v>
      </c>
      <c r="CC24" s="265">
        <f t="shared" si="9"/>
        <v>2810</v>
      </c>
      <c r="CD24" s="264">
        <f t="shared" si="10"/>
        <v>411</v>
      </c>
      <c r="CE24" s="264">
        <f t="shared" si="11"/>
        <v>215</v>
      </c>
      <c r="CF24" s="264">
        <f t="shared" si="12"/>
        <v>0</v>
      </c>
      <c r="CG24" s="264">
        <f t="shared" si="13"/>
        <v>33</v>
      </c>
      <c r="CH24" s="264">
        <f t="shared" si="14"/>
        <v>79</v>
      </c>
      <c r="CI24" s="264">
        <f t="shared" si="15"/>
        <v>408</v>
      </c>
      <c r="CJ24" s="264">
        <f t="shared" si="16"/>
        <v>433</v>
      </c>
      <c r="CK24" s="265">
        <f t="shared" si="17"/>
        <v>494</v>
      </c>
      <c r="CL24" s="264">
        <f t="shared" si="18"/>
        <v>546</v>
      </c>
      <c r="CM24" s="264">
        <f t="shared" si="19"/>
        <v>318</v>
      </c>
      <c r="CN24" s="264">
        <f t="shared" si="20"/>
        <v>0</v>
      </c>
      <c r="CO24" s="264">
        <f t="shared" si="21"/>
        <v>74</v>
      </c>
      <c r="CP24" s="264">
        <f t="shared" si="22"/>
        <v>136</v>
      </c>
      <c r="CQ24" s="264">
        <f t="shared" si="23"/>
        <v>651</v>
      </c>
      <c r="CR24" s="264">
        <f t="shared" si="24"/>
        <v>664</v>
      </c>
      <c r="CS24" s="266">
        <f t="shared" si="25"/>
        <v>866</v>
      </c>
      <c r="CT24" s="264">
        <f t="shared" si="26"/>
        <v>483</v>
      </c>
      <c r="CU24" s="264">
        <f t="shared" si="27"/>
        <v>373</v>
      </c>
      <c r="CV24" s="264">
        <f t="shared" si="28"/>
        <v>0</v>
      </c>
      <c r="CW24" s="264">
        <f t="shared" si="29"/>
        <v>69</v>
      </c>
      <c r="CX24" s="264">
        <f t="shared" si="30"/>
        <v>184</v>
      </c>
      <c r="CY24" s="264">
        <f t="shared" si="31"/>
        <v>839</v>
      </c>
      <c r="CZ24" s="264">
        <f t="shared" si="32"/>
        <v>808</v>
      </c>
      <c r="DA24" s="265">
        <f t="shared" si="33"/>
        <v>2397</v>
      </c>
      <c r="DB24" s="264">
        <f t="shared" si="34"/>
        <v>321</v>
      </c>
      <c r="DC24" s="264">
        <f t="shared" si="35"/>
        <v>227</v>
      </c>
      <c r="DD24" s="264">
        <f t="shared" si="36"/>
        <v>0</v>
      </c>
      <c r="DE24" s="264">
        <f t="shared" si="37"/>
        <v>36</v>
      </c>
      <c r="DF24" s="264">
        <f t="shared" si="38"/>
        <v>86</v>
      </c>
      <c r="DG24" s="264">
        <f t="shared" si="39"/>
        <v>465</v>
      </c>
      <c r="DH24" s="264">
        <f t="shared" si="40"/>
        <v>440</v>
      </c>
      <c r="DI24" s="265">
        <f t="shared" si="41"/>
        <v>438</v>
      </c>
      <c r="DJ24" s="264">
        <f t="shared" si="42"/>
        <v>436</v>
      </c>
      <c r="DK24" s="264">
        <f t="shared" si="43"/>
        <v>327</v>
      </c>
      <c r="DL24" s="264">
        <f t="shared" si="44"/>
        <v>0</v>
      </c>
      <c r="DM24" s="264">
        <f t="shared" si="45"/>
        <v>61</v>
      </c>
      <c r="DN24" s="264">
        <f t="shared" si="46"/>
        <v>145</v>
      </c>
      <c r="DO24" s="264">
        <f t="shared" si="47"/>
        <v>691</v>
      </c>
      <c r="DP24" s="264">
        <f t="shared" si="48"/>
        <v>630</v>
      </c>
      <c r="DQ24" s="266">
        <f t="shared" si="49"/>
        <v>766</v>
      </c>
      <c r="DR24" s="279">
        <f>INDEX('Rate Assumptions'!$A$1:$C$32,MATCH('Success Allocation'!DR$3,'Rate Assumptions'!$A$1:$A$32,0),MATCH($DR$1,'Rate Assumptions'!$A$1:$C$1,0))</f>
        <v>2291.7551696336809</v>
      </c>
      <c r="DS24" s="279">
        <f>INDEX('Rate Assumptions'!$A$1:$C$32,MATCH('Success Allocation'!DS$3,'Rate Assumptions'!$A$1:$A$32,0),MATCH($DR$1,'Rate Assumptions'!$A$1:$C$1,0))</f>
        <v>1718.8163772252606</v>
      </c>
      <c r="DT24" s="279">
        <f>INDEX('Rate Assumptions'!$A$1:$C$32,MATCH('Success Allocation'!DT$3,'Rate Assumptions'!$A$1:$A$32,0),MATCH($DR$1,'Rate Assumptions'!$A$1:$C$1,0))</f>
        <v>1718.8163772252606</v>
      </c>
      <c r="DU24" s="279">
        <f>INDEX('Rate Assumptions'!$A$1:$C$32,MATCH('Success Allocation'!DU$3,'Rate Assumptions'!$A$1:$A$32,0),MATCH($DR$1,'Rate Assumptions'!$A$1:$C$1,0))</f>
        <v>1145.8775848168405</v>
      </c>
      <c r="DV24" s="279">
        <f>INDEX('Rate Assumptions'!$A$1:$C$32,MATCH('Success Allocation'!DV$3,'Rate Assumptions'!$A$1:$A$32,0),MATCH($DR$1,'Rate Assumptions'!$A$1:$C$1,0))</f>
        <v>1145.8775848168405</v>
      </c>
      <c r="DW24" s="279">
        <f>INDEX('Rate Assumptions'!$A$1:$C$32,MATCH('Success Allocation'!DW$3,'Rate Assumptions'!$A$1:$A$32,0),MATCH($DR$1,'Rate Assumptions'!$A$1:$C$1,0))</f>
        <v>572.93879240842023</v>
      </c>
      <c r="DX24" s="279">
        <f>INDEX('Rate Assumptions'!$A$1:$C$32,MATCH('Success Allocation'!DX$3,'Rate Assumptions'!$A$1:$A$32,0),MATCH($DR$1,'Rate Assumptions'!$A$1:$C$1,0))</f>
        <v>859.40818861263028</v>
      </c>
      <c r="DY24" s="280">
        <f>INDEX('Rate Assumptions'!$A$1:$C$32,MATCH('Success Allocation'!DY$3,'Rate Assumptions'!$A$1:$A$32,0),MATCH($DR$1,'Rate Assumptions'!$A$1:$C$1,0))</f>
        <v>572.93879240842023</v>
      </c>
      <c r="DZ24" s="279">
        <f>INDEX('Rate Assumptions'!$A$1:$C$32,MATCH('Success Allocation'!DZ$3,'Rate Assumptions'!$A$1:$A$32,0),MATCH($DR$1,'Rate Assumptions'!$A$1:$C$1,0))</f>
        <v>866.31570658079204</v>
      </c>
      <c r="EA24" s="279">
        <f>INDEX('Rate Assumptions'!$A$1:$C$32,MATCH('Success Allocation'!EA$3,'Rate Assumptions'!$A$1:$A$32,0),MATCH($DR$1,'Rate Assumptions'!$A$1:$C$1,0))</f>
        <v>649.73677993559397</v>
      </c>
      <c r="EB24" s="279">
        <f>INDEX('Rate Assumptions'!$A$1:$C$32,MATCH('Success Allocation'!EB$3,'Rate Assumptions'!$A$1:$A$32,0),MATCH($DR$1,'Rate Assumptions'!$A$1:$C$1,0))</f>
        <v>649.73677993559397</v>
      </c>
      <c r="EC24" s="279">
        <f>INDEX('Rate Assumptions'!$A$1:$C$32,MATCH('Success Allocation'!EC$3,'Rate Assumptions'!$A$1:$A$32,0),MATCH($DR$1,'Rate Assumptions'!$A$1:$C$1,0))</f>
        <v>433.15785329039602</v>
      </c>
      <c r="ED24" s="279">
        <f>INDEX('Rate Assumptions'!$A$1:$C$32,MATCH('Success Allocation'!ED$3,'Rate Assumptions'!$A$1:$A$32,0),MATCH($DR$1,'Rate Assumptions'!$A$1:$C$1,0))</f>
        <v>433.15785329039602</v>
      </c>
      <c r="EE24" s="279">
        <f>INDEX('Rate Assumptions'!$A$1:$C$32,MATCH('Success Allocation'!EE$3,'Rate Assumptions'!$A$1:$A$32,0),MATCH($DR$1,'Rate Assumptions'!$A$1:$C$1,0))</f>
        <v>216.57892664519801</v>
      </c>
      <c r="EF24" s="279">
        <f>INDEX('Rate Assumptions'!$A$1:$C$32,MATCH('Success Allocation'!EF$3,'Rate Assumptions'!$A$1:$A$32,0),MATCH($DR$1,'Rate Assumptions'!$A$1:$C$1,0))</f>
        <v>324.86838996779699</v>
      </c>
      <c r="EG24" s="280">
        <f>INDEX('Rate Assumptions'!$A$1:$C$32,MATCH('Success Allocation'!EG$3,'Rate Assumptions'!$A$1:$A$32,0),MATCH($DR$1,'Rate Assumptions'!$A$1:$C$1,0))</f>
        <v>216.57892664519801</v>
      </c>
      <c r="EH24" s="279">
        <f>INDEX('Rate Assumptions'!$A$1:$C$32,MATCH('Success Allocation'!EH$3,'Rate Assumptions'!$A$1:$A$32,0),MATCH($DR$1,'Rate Assumptions'!$A$1:$C$1,0))</f>
        <v>577.54380438719465</v>
      </c>
      <c r="EI24" s="279">
        <f>INDEX('Rate Assumptions'!$A$1:$C$32,MATCH('Success Allocation'!EI$3,'Rate Assumptions'!$A$1:$A$32,0),MATCH($DR$1,'Rate Assumptions'!$A$1:$C$1,0))</f>
        <v>433.15785329039602</v>
      </c>
      <c r="EJ24" s="279">
        <f>INDEX('Rate Assumptions'!$A$1:$C$32,MATCH('Success Allocation'!EJ$3,'Rate Assumptions'!$A$1:$A$32,0),MATCH($DR$1,'Rate Assumptions'!$A$1:$C$1,0))</f>
        <v>433.15785329039602</v>
      </c>
      <c r="EK24" s="279">
        <f>INDEX('Rate Assumptions'!$A$1:$C$32,MATCH('Success Allocation'!EK$3,'Rate Assumptions'!$A$1:$A$32,0),MATCH($DR$1,'Rate Assumptions'!$A$1:$C$1,0))</f>
        <v>288.77190219359733</v>
      </c>
      <c r="EL24" s="279">
        <f>INDEX('Rate Assumptions'!$A$1:$C$32,MATCH('Success Allocation'!EL$3,'Rate Assumptions'!$A$1:$A$32,0),MATCH($DR$1,'Rate Assumptions'!$A$1:$C$1,0))</f>
        <v>288.77190219359733</v>
      </c>
      <c r="EM24" s="279">
        <f>INDEX('Rate Assumptions'!$A$1:$C$32,MATCH('Success Allocation'!EM$3,'Rate Assumptions'!$A$1:$A$32,0),MATCH($DR$1,'Rate Assumptions'!$A$1:$C$1,0))</f>
        <v>144.38595109679866</v>
      </c>
      <c r="EN24" s="279">
        <f>INDEX('Rate Assumptions'!$A$1:$C$32,MATCH('Success Allocation'!EN$3,'Rate Assumptions'!$A$1:$A$32,0),MATCH($DR$1,'Rate Assumptions'!$A$1:$C$1,0))</f>
        <v>216.57892664519801</v>
      </c>
      <c r="EO24" s="281">
        <f>INDEX('Rate Assumptions'!$A$1:$C$32,MATCH('Success Allocation'!EO$3,'Rate Assumptions'!$A$1:$A$32,0),MATCH($DR$1,'Rate Assumptions'!$A$1:$C$1,0))</f>
        <v>144.38595109679866</v>
      </c>
      <c r="EP24" s="170">
        <f t="shared" si="50"/>
        <v>6852283.3067423562</v>
      </c>
    </row>
    <row r="25" spans="1:146">
      <c r="A25" s="223" t="s">
        <v>112</v>
      </c>
      <c r="B25" s="226">
        <v>351</v>
      </c>
      <c r="C25" s="226">
        <v>480</v>
      </c>
      <c r="D25" s="226">
        <v>0</v>
      </c>
      <c r="E25" s="226">
        <v>135</v>
      </c>
      <c r="F25" s="226">
        <v>116</v>
      </c>
      <c r="G25" s="227">
        <v>1249</v>
      </c>
      <c r="H25" s="226">
        <v>521</v>
      </c>
      <c r="I25" s="228">
        <v>921</v>
      </c>
      <c r="J25" s="226">
        <v>252</v>
      </c>
      <c r="K25" s="226">
        <v>360</v>
      </c>
      <c r="L25" s="226">
        <v>0</v>
      </c>
      <c r="M25" s="226">
        <v>113</v>
      </c>
      <c r="N25" s="226">
        <v>69</v>
      </c>
      <c r="O25" s="227">
        <v>992</v>
      </c>
      <c r="P25" s="226">
        <v>359</v>
      </c>
      <c r="Q25" s="228">
        <v>585</v>
      </c>
      <c r="R25" s="226">
        <v>316</v>
      </c>
      <c r="S25" s="226">
        <v>433</v>
      </c>
      <c r="T25" s="226">
        <v>0</v>
      </c>
      <c r="U25" s="226">
        <v>126</v>
      </c>
      <c r="V25" s="226">
        <v>88</v>
      </c>
      <c r="W25" s="227">
        <v>1145</v>
      </c>
      <c r="X25" s="226">
        <v>457</v>
      </c>
      <c r="Y25" s="234">
        <v>717</v>
      </c>
      <c r="Z25" s="237">
        <v>413</v>
      </c>
      <c r="AA25" s="237">
        <v>511</v>
      </c>
      <c r="AB25" s="237">
        <v>0</v>
      </c>
      <c r="AC25" s="237">
        <v>135</v>
      </c>
      <c r="AD25" s="237">
        <v>108</v>
      </c>
      <c r="AE25" s="237">
        <v>1379</v>
      </c>
      <c r="AF25" s="237">
        <v>603</v>
      </c>
      <c r="AG25" s="228">
        <v>890</v>
      </c>
      <c r="AH25" s="237">
        <v>280</v>
      </c>
      <c r="AI25" s="237">
        <v>416</v>
      </c>
      <c r="AJ25" s="237">
        <v>0</v>
      </c>
      <c r="AK25" s="237">
        <v>108</v>
      </c>
      <c r="AL25" s="237">
        <v>70</v>
      </c>
      <c r="AM25" s="237">
        <v>1088</v>
      </c>
      <c r="AN25" s="237">
        <v>402</v>
      </c>
      <c r="AO25" s="228">
        <v>534</v>
      </c>
      <c r="AP25" s="237">
        <v>352</v>
      </c>
      <c r="AQ25" s="237">
        <v>473</v>
      </c>
      <c r="AR25" s="237">
        <v>0</v>
      </c>
      <c r="AS25" s="237">
        <v>118</v>
      </c>
      <c r="AT25" s="237">
        <v>90</v>
      </c>
      <c r="AU25" s="238">
        <v>1250</v>
      </c>
      <c r="AV25" s="237">
        <v>518</v>
      </c>
      <c r="AW25" s="234">
        <v>674</v>
      </c>
      <c r="AX25" s="237"/>
      <c r="AY25" s="237"/>
      <c r="AZ25" s="237"/>
      <c r="BA25" s="237"/>
      <c r="BB25" s="237"/>
      <c r="BC25" s="237"/>
      <c r="BD25" s="237"/>
      <c r="BF25" s="237"/>
      <c r="BG25" s="237"/>
      <c r="BH25" s="237"/>
      <c r="BI25" s="237"/>
      <c r="BJ25" s="237"/>
      <c r="BK25" s="237"/>
      <c r="BL25" s="237"/>
      <c r="BN25" s="237"/>
      <c r="BO25" s="237"/>
      <c r="BP25" s="237"/>
      <c r="BQ25" s="237"/>
      <c r="BR25" s="237"/>
      <c r="BS25" s="238"/>
      <c r="BT25" s="237"/>
      <c r="BV25" s="264">
        <f t="shared" si="2"/>
        <v>475</v>
      </c>
      <c r="BW25" s="264">
        <f t="shared" si="3"/>
        <v>542</v>
      </c>
      <c r="BX25" s="264">
        <f t="shared" si="4"/>
        <v>0</v>
      </c>
      <c r="BY25" s="264">
        <f t="shared" si="5"/>
        <v>135</v>
      </c>
      <c r="BZ25" s="264">
        <f t="shared" si="6"/>
        <v>100</v>
      </c>
      <c r="CA25" s="264">
        <f t="shared" si="7"/>
        <v>1509</v>
      </c>
      <c r="CB25" s="264">
        <f t="shared" si="8"/>
        <v>685</v>
      </c>
      <c r="CC25" s="265">
        <f t="shared" si="9"/>
        <v>859</v>
      </c>
      <c r="CD25" s="264">
        <f t="shared" si="10"/>
        <v>308</v>
      </c>
      <c r="CE25" s="264">
        <f t="shared" si="11"/>
        <v>472</v>
      </c>
      <c r="CF25" s="264">
        <f t="shared" si="12"/>
        <v>0</v>
      </c>
      <c r="CG25" s="264">
        <f t="shared" si="13"/>
        <v>103</v>
      </c>
      <c r="CH25" s="264">
        <f t="shared" si="14"/>
        <v>71</v>
      </c>
      <c r="CI25" s="264">
        <f t="shared" si="15"/>
        <v>1184</v>
      </c>
      <c r="CJ25" s="264">
        <f t="shared" si="16"/>
        <v>445</v>
      </c>
      <c r="CK25" s="265">
        <f t="shared" si="17"/>
        <v>483</v>
      </c>
      <c r="CL25" s="264">
        <f t="shared" si="18"/>
        <v>388</v>
      </c>
      <c r="CM25" s="264">
        <f t="shared" si="19"/>
        <v>513</v>
      </c>
      <c r="CN25" s="264">
        <f t="shared" si="20"/>
        <v>0</v>
      </c>
      <c r="CO25" s="264">
        <f t="shared" si="21"/>
        <v>110</v>
      </c>
      <c r="CP25" s="264">
        <f t="shared" si="22"/>
        <v>92</v>
      </c>
      <c r="CQ25" s="264">
        <f t="shared" si="23"/>
        <v>1355</v>
      </c>
      <c r="CR25" s="264">
        <f t="shared" si="24"/>
        <v>579</v>
      </c>
      <c r="CS25" s="266">
        <f t="shared" si="25"/>
        <v>631</v>
      </c>
      <c r="CT25" s="264">
        <f t="shared" si="26"/>
        <v>413</v>
      </c>
      <c r="CU25" s="264">
        <f t="shared" si="27"/>
        <v>511</v>
      </c>
      <c r="CV25" s="264">
        <f t="shared" si="28"/>
        <v>0</v>
      </c>
      <c r="CW25" s="264">
        <f t="shared" si="29"/>
        <v>135</v>
      </c>
      <c r="CX25" s="264">
        <f t="shared" si="30"/>
        <v>108</v>
      </c>
      <c r="CY25" s="264">
        <f t="shared" si="31"/>
        <v>1379</v>
      </c>
      <c r="CZ25" s="264">
        <f t="shared" si="32"/>
        <v>603</v>
      </c>
      <c r="DA25" s="265">
        <f t="shared" si="33"/>
        <v>890</v>
      </c>
      <c r="DB25" s="264">
        <f t="shared" si="34"/>
        <v>280</v>
      </c>
      <c r="DC25" s="264">
        <f t="shared" si="35"/>
        <v>416</v>
      </c>
      <c r="DD25" s="264">
        <f t="shared" si="36"/>
        <v>0</v>
      </c>
      <c r="DE25" s="264">
        <f t="shared" si="37"/>
        <v>108</v>
      </c>
      <c r="DF25" s="264">
        <f t="shared" si="38"/>
        <v>70</v>
      </c>
      <c r="DG25" s="264">
        <f t="shared" si="39"/>
        <v>1088</v>
      </c>
      <c r="DH25" s="264">
        <f t="shared" si="40"/>
        <v>402</v>
      </c>
      <c r="DI25" s="265">
        <f t="shared" si="41"/>
        <v>534</v>
      </c>
      <c r="DJ25" s="264">
        <f t="shared" si="42"/>
        <v>352</v>
      </c>
      <c r="DK25" s="264">
        <f t="shared" si="43"/>
        <v>473</v>
      </c>
      <c r="DL25" s="264">
        <f t="shared" si="44"/>
        <v>0</v>
      </c>
      <c r="DM25" s="264">
        <f t="shared" si="45"/>
        <v>118</v>
      </c>
      <c r="DN25" s="264">
        <f t="shared" si="46"/>
        <v>90</v>
      </c>
      <c r="DO25" s="264">
        <f t="shared" si="47"/>
        <v>1250</v>
      </c>
      <c r="DP25" s="264">
        <f t="shared" si="48"/>
        <v>518</v>
      </c>
      <c r="DQ25" s="266">
        <f t="shared" si="49"/>
        <v>674</v>
      </c>
      <c r="DR25" s="279">
        <f>INDEX('Rate Assumptions'!$A$1:$C$32,MATCH('Success Allocation'!DR$3,'Rate Assumptions'!$A$1:$A$32,0),MATCH($DR$1,'Rate Assumptions'!$A$1:$C$1,0))</f>
        <v>2291.7551696336809</v>
      </c>
      <c r="DS25" s="279">
        <f>INDEX('Rate Assumptions'!$A$1:$C$32,MATCH('Success Allocation'!DS$3,'Rate Assumptions'!$A$1:$A$32,0),MATCH($DR$1,'Rate Assumptions'!$A$1:$C$1,0))</f>
        <v>1718.8163772252606</v>
      </c>
      <c r="DT25" s="279">
        <f>INDEX('Rate Assumptions'!$A$1:$C$32,MATCH('Success Allocation'!DT$3,'Rate Assumptions'!$A$1:$A$32,0),MATCH($DR$1,'Rate Assumptions'!$A$1:$C$1,0))</f>
        <v>1718.8163772252606</v>
      </c>
      <c r="DU25" s="279">
        <f>INDEX('Rate Assumptions'!$A$1:$C$32,MATCH('Success Allocation'!DU$3,'Rate Assumptions'!$A$1:$A$32,0),MATCH($DR$1,'Rate Assumptions'!$A$1:$C$1,0))</f>
        <v>1145.8775848168405</v>
      </c>
      <c r="DV25" s="279">
        <f>INDEX('Rate Assumptions'!$A$1:$C$32,MATCH('Success Allocation'!DV$3,'Rate Assumptions'!$A$1:$A$32,0),MATCH($DR$1,'Rate Assumptions'!$A$1:$C$1,0))</f>
        <v>1145.8775848168405</v>
      </c>
      <c r="DW25" s="279">
        <f>INDEX('Rate Assumptions'!$A$1:$C$32,MATCH('Success Allocation'!DW$3,'Rate Assumptions'!$A$1:$A$32,0),MATCH($DR$1,'Rate Assumptions'!$A$1:$C$1,0))</f>
        <v>572.93879240842023</v>
      </c>
      <c r="DX25" s="279">
        <f>INDEX('Rate Assumptions'!$A$1:$C$32,MATCH('Success Allocation'!DX$3,'Rate Assumptions'!$A$1:$A$32,0),MATCH($DR$1,'Rate Assumptions'!$A$1:$C$1,0))</f>
        <v>859.40818861263028</v>
      </c>
      <c r="DY25" s="280">
        <f>INDEX('Rate Assumptions'!$A$1:$C$32,MATCH('Success Allocation'!DY$3,'Rate Assumptions'!$A$1:$A$32,0),MATCH($DR$1,'Rate Assumptions'!$A$1:$C$1,0))</f>
        <v>572.93879240842023</v>
      </c>
      <c r="DZ25" s="279">
        <f>INDEX('Rate Assumptions'!$A$1:$C$32,MATCH('Success Allocation'!DZ$3,'Rate Assumptions'!$A$1:$A$32,0),MATCH($DR$1,'Rate Assumptions'!$A$1:$C$1,0))</f>
        <v>866.31570658079204</v>
      </c>
      <c r="EA25" s="279">
        <f>INDEX('Rate Assumptions'!$A$1:$C$32,MATCH('Success Allocation'!EA$3,'Rate Assumptions'!$A$1:$A$32,0),MATCH($DR$1,'Rate Assumptions'!$A$1:$C$1,0))</f>
        <v>649.73677993559397</v>
      </c>
      <c r="EB25" s="279">
        <f>INDEX('Rate Assumptions'!$A$1:$C$32,MATCH('Success Allocation'!EB$3,'Rate Assumptions'!$A$1:$A$32,0),MATCH($DR$1,'Rate Assumptions'!$A$1:$C$1,0))</f>
        <v>649.73677993559397</v>
      </c>
      <c r="EC25" s="279">
        <f>INDEX('Rate Assumptions'!$A$1:$C$32,MATCH('Success Allocation'!EC$3,'Rate Assumptions'!$A$1:$A$32,0),MATCH($DR$1,'Rate Assumptions'!$A$1:$C$1,0))</f>
        <v>433.15785329039602</v>
      </c>
      <c r="ED25" s="279">
        <f>INDEX('Rate Assumptions'!$A$1:$C$32,MATCH('Success Allocation'!ED$3,'Rate Assumptions'!$A$1:$A$32,0),MATCH($DR$1,'Rate Assumptions'!$A$1:$C$1,0))</f>
        <v>433.15785329039602</v>
      </c>
      <c r="EE25" s="279">
        <f>INDEX('Rate Assumptions'!$A$1:$C$32,MATCH('Success Allocation'!EE$3,'Rate Assumptions'!$A$1:$A$32,0),MATCH($DR$1,'Rate Assumptions'!$A$1:$C$1,0))</f>
        <v>216.57892664519801</v>
      </c>
      <c r="EF25" s="279">
        <f>INDEX('Rate Assumptions'!$A$1:$C$32,MATCH('Success Allocation'!EF$3,'Rate Assumptions'!$A$1:$A$32,0),MATCH($DR$1,'Rate Assumptions'!$A$1:$C$1,0))</f>
        <v>324.86838996779699</v>
      </c>
      <c r="EG25" s="280">
        <f>INDEX('Rate Assumptions'!$A$1:$C$32,MATCH('Success Allocation'!EG$3,'Rate Assumptions'!$A$1:$A$32,0),MATCH($DR$1,'Rate Assumptions'!$A$1:$C$1,0))</f>
        <v>216.57892664519801</v>
      </c>
      <c r="EH25" s="279">
        <f>INDEX('Rate Assumptions'!$A$1:$C$32,MATCH('Success Allocation'!EH$3,'Rate Assumptions'!$A$1:$A$32,0),MATCH($DR$1,'Rate Assumptions'!$A$1:$C$1,0))</f>
        <v>577.54380438719465</v>
      </c>
      <c r="EI25" s="279">
        <f>INDEX('Rate Assumptions'!$A$1:$C$32,MATCH('Success Allocation'!EI$3,'Rate Assumptions'!$A$1:$A$32,0),MATCH($DR$1,'Rate Assumptions'!$A$1:$C$1,0))</f>
        <v>433.15785329039602</v>
      </c>
      <c r="EJ25" s="279">
        <f>INDEX('Rate Assumptions'!$A$1:$C$32,MATCH('Success Allocation'!EJ$3,'Rate Assumptions'!$A$1:$A$32,0),MATCH($DR$1,'Rate Assumptions'!$A$1:$C$1,0))</f>
        <v>433.15785329039602</v>
      </c>
      <c r="EK25" s="279">
        <f>INDEX('Rate Assumptions'!$A$1:$C$32,MATCH('Success Allocation'!EK$3,'Rate Assumptions'!$A$1:$A$32,0),MATCH($DR$1,'Rate Assumptions'!$A$1:$C$1,0))</f>
        <v>288.77190219359733</v>
      </c>
      <c r="EL25" s="279">
        <f>INDEX('Rate Assumptions'!$A$1:$C$32,MATCH('Success Allocation'!EL$3,'Rate Assumptions'!$A$1:$A$32,0),MATCH($DR$1,'Rate Assumptions'!$A$1:$C$1,0))</f>
        <v>288.77190219359733</v>
      </c>
      <c r="EM25" s="279">
        <f>INDEX('Rate Assumptions'!$A$1:$C$32,MATCH('Success Allocation'!EM$3,'Rate Assumptions'!$A$1:$A$32,0),MATCH($DR$1,'Rate Assumptions'!$A$1:$C$1,0))</f>
        <v>144.38595109679866</v>
      </c>
      <c r="EN25" s="279">
        <f>INDEX('Rate Assumptions'!$A$1:$C$32,MATCH('Success Allocation'!EN$3,'Rate Assumptions'!$A$1:$A$32,0),MATCH($DR$1,'Rate Assumptions'!$A$1:$C$1,0))</f>
        <v>216.57892664519801</v>
      </c>
      <c r="EO25" s="281">
        <f>INDEX('Rate Assumptions'!$A$1:$C$32,MATCH('Success Allocation'!EO$3,'Rate Assumptions'!$A$1:$A$32,0),MATCH($DR$1,'Rate Assumptions'!$A$1:$C$1,0))</f>
        <v>144.38595109679866</v>
      </c>
      <c r="EP25" s="170">
        <f t="shared" si="50"/>
        <v>6306129.6490581911</v>
      </c>
    </row>
    <row r="26" spans="1:146">
      <c r="A26" s="223" t="s">
        <v>113</v>
      </c>
      <c r="B26" s="226">
        <v>680</v>
      </c>
      <c r="C26" s="226">
        <v>942</v>
      </c>
      <c r="D26" s="226">
        <v>0</v>
      </c>
      <c r="E26" s="226">
        <v>349</v>
      </c>
      <c r="F26" s="226">
        <v>281</v>
      </c>
      <c r="G26" s="227">
        <v>4734</v>
      </c>
      <c r="H26" s="226">
        <v>1827</v>
      </c>
      <c r="I26" s="228">
        <v>4539</v>
      </c>
      <c r="J26" s="226">
        <v>440</v>
      </c>
      <c r="K26" s="226">
        <v>634</v>
      </c>
      <c r="L26" s="226">
        <v>0</v>
      </c>
      <c r="M26" s="226">
        <v>242</v>
      </c>
      <c r="N26" s="226">
        <v>133</v>
      </c>
      <c r="O26" s="227">
        <v>2559</v>
      </c>
      <c r="P26" s="226">
        <v>942</v>
      </c>
      <c r="Q26" s="228">
        <v>1981</v>
      </c>
      <c r="R26" s="226">
        <v>569</v>
      </c>
      <c r="S26" s="226">
        <v>780</v>
      </c>
      <c r="T26" s="226">
        <v>0</v>
      </c>
      <c r="U26" s="226">
        <v>288</v>
      </c>
      <c r="V26" s="226">
        <v>188</v>
      </c>
      <c r="W26" s="227">
        <v>3277</v>
      </c>
      <c r="X26" s="226">
        <v>1219</v>
      </c>
      <c r="Y26" s="234">
        <v>2625</v>
      </c>
      <c r="Z26" s="237">
        <v>983</v>
      </c>
      <c r="AA26" s="237">
        <v>952</v>
      </c>
      <c r="AB26" s="237">
        <v>5</v>
      </c>
      <c r="AC26" s="237">
        <v>461</v>
      </c>
      <c r="AD26" s="237">
        <v>382</v>
      </c>
      <c r="AE26" s="237">
        <v>4789</v>
      </c>
      <c r="AF26" s="237">
        <v>1909</v>
      </c>
      <c r="AG26" s="228">
        <v>4719</v>
      </c>
      <c r="AH26" s="237">
        <v>663</v>
      </c>
      <c r="AI26" s="237">
        <v>662</v>
      </c>
      <c r="AJ26" s="237">
        <v>4</v>
      </c>
      <c r="AK26" s="237">
        <v>299</v>
      </c>
      <c r="AL26" s="237">
        <v>191</v>
      </c>
      <c r="AM26" s="237">
        <v>2504</v>
      </c>
      <c r="AN26" s="237">
        <v>996</v>
      </c>
      <c r="AO26" s="228">
        <v>2108</v>
      </c>
      <c r="AP26" s="237">
        <v>794</v>
      </c>
      <c r="AQ26" s="237">
        <v>800</v>
      </c>
      <c r="AR26" s="237">
        <v>4</v>
      </c>
      <c r="AS26" s="237">
        <v>371</v>
      </c>
      <c r="AT26" s="237">
        <v>269</v>
      </c>
      <c r="AU26" s="238">
        <v>3283</v>
      </c>
      <c r="AV26" s="237">
        <v>1321</v>
      </c>
      <c r="AW26" s="234">
        <v>2941</v>
      </c>
      <c r="AX26" s="237"/>
      <c r="AY26" s="237"/>
      <c r="AZ26" s="237"/>
      <c r="BA26" s="237"/>
      <c r="BB26" s="237"/>
      <c r="BC26" s="237"/>
      <c r="BD26" s="237"/>
      <c r="BF26" s="237"/>
      <c r="BG26" s="237"/>
      <c r="BH26" s="237"/>
      <c r="BI26" s="237"/>
      <c r="BJ26" s="237"/>
      <c r="BK26" s="237"/>
      <c r="BL26" s="237"/>
      <c r="BN26" s="237"/>
      <c r="BO26" s="237"/>
      <c r="BP26" s="237"/>
      <c r="BQ26" s="237"/>
      <c r="BR26" s="237"/>
      <c r="BS26" s="238"/>
      <c r="BT26" s="237"/>
      <c r="BV26" s="264">
        <f t="shared" si="2"/>
        <v>1286</v>
      </c>
      <c r="BW26" s="264">
        <f t="shared" si="3"/>
        <v>962</v>
      </c>
      <c r="BX26" s="264">
        <f t="shared" si="4"/>
        <v>10</v>
      </c>
      <c r="BY26" s="264">
        <f t="shared" si="5"/>
        <v>573</v>
      </c>
      <c r="BZ26" s="264">
        <f t="shared" si="6"/>
        <v>483</v>
      </c>
      <c r="CA26" s="264">
        <f t="shared" si="7"/>
        <v>4844</v>
      </c>
      <c r="CB26" s="264">
        <f t="shared" si="8"/>
        <v>1991</v>
      </c>
      <c r="CC26" s="265">
        <f t="shared" si="9"/>
        <v>4899</v>
      </c>
      <c r="CD26" s="264">
        <f t="shared" si="10"/>
        <v>886</v>
      </c>
      <c r="CE26" s="264">
        <f t="shared" si="11"/>
        <v>690</v>
      </c>
      <c r="CF26" s="264">
        <f t="shared" si="12"/>
        <v>8</v>
      </c>
      <c r="CG26" s="264">
        <f t="shared" si="13"/>
        <v>356</v>
      </c>
      <c r="CH26" s="264">
        <f t="shared" si="14"/>
        <v>249</v>
      </c>
      <c r="CI26" s="264">
        <f t="shared" si="15"/>
        <v>2449</v>
      </c>
      <c r="CJ26" s="264">
        <f t="shared" si="16"/>
        <v>1050</v>
      </c>
      <c r="CK26" s="265">
        <f t="shared" si="17"/>
        <v>2235</v>
      </c>
      <c r="CL26" s="264">
        <f t="shared" si="18"/>
        <v>1019</v>
      </c>
      <c r="CM26" s="264">
        <f t="shared" si="19"/>
        <v>820</v>
      </c>
      <c r="CN26" s="264">
        <f t="shared" si="20"/>
        <v>8</v>
      </c>
      <c r="CO26" s="264">
        <f t="shared" si="21"/>
        <v>454</v>
      </c>
      <c r="CP26" s="264">
        <f t="shared" si="22"/>
        <v>350</v>
      </c>
      <c r="CQ26" s="264">
        <f t="shared" si="23"/>
        <v>3289</v>
      </c>
      <c r="CR26" s="264">
        <f t="shared" si="24"/>
        <v>1423</v>
      </c>
      <c r="CS26" s="266">
        <f t="shared" si="25"/>
        <v>3257</v>
      </c>
      <c r="CT26" s="264">
        <f t="shared" si="26"/>
        <v>983</v>
      </c>
      <c r="CU26" s="264">
        <f t="shared" si="27"/>
        <v>952</v>
      </c>
      <c r="CV26" s="264">
        <f t="shared" si="28"/>
        <v>5</v>
      </c>
      <c r="CW26" s="264">
        <f t="shared" si="29"/>
        <v>461</v>
      </c>
      <c r="CX26" s="264">
        <f t="shared" si="30"/>
        <v>382</v>
      </c>
      <c r="CY26" s="264">
        <f t="shared" si="31"/>
        <v>4789</v>
      </c>
      <c r="CZ26" s="264">
        <f t="shared" si="32"/>
        <v>1909</v>
      </c>
      <c r="DA26" s="265">
        <f t="shared" si="33"/>
        <v>4719</v>
      </c>
      <c r="DB26" s="264">
        <f t="shared" si="34"/>
        <v>663</v>
      </c>
      <c r="DC26" s="264">
        <f t="shared" si="35"/>
        <v>662</v>
      </c>
      <c r="DD26" s="264">
        <f t="shared" si="36"/>
        <v>4</v>
      </c>
      <c r="DE26" s="264">
        <f t="shared" si="37"/>
        <v>299</v>
      </c>
      <c r="DF26" s="264">
        <f t="shared" si="38"/>
        <v>191</v>
      </c>
      <c r="DG26" s="264">
        <f t="shared" si="39"/>
        <v>2504</v>
      </c>
      <c r="DH26" s="264">
        <f t="shared" si="40"/>
        <v>996</v>
      </c>
      <c r="DI26" s="265">
        <f t="shared" si="41"/>
        <v>2108</v>
      </c>
      <c r="DJ26" s="264">
        <f t="shared" si="42"/>
        <v>794</v>
      </c>
      <c r="DK26" s="264">
        <f t="shared" si="43"/>
        <v>800</v>
      </c>
      <c r="DL26" s="264">
        <f t="shared" si="44"/>
        <v>4</v>
      </c>
      <c r="DM26" s="264">
        <f t="shared" si="45"/>
        <v>371</v>
      </c>
      <c r="DN26" s="264">
        <f t="shared" si="46"/>
        <v>269</v>
      </c>
      <c r="DO26" s="264">
        <f t="shared" si="47"/>
        <v>3283</v>
      </c>
      <c r="DP26" s="264">
        <f t="shared" si="48"/>
        <v>1321</v>
      </c>
      <c r="DQ26" s="266">
        <f t="shared" si="49"/>
        <v>2941</v>
      </c>
      <c r="DR26" s="279">
        <f>INDEX('Rate Assumptions'!$A$1:$C$32,MATCH('Success Allocation'!DR$3,'Rate Assumptions'!$A$1:$A$32,0),MATCH($DR$1,'Rate Assumptions'!$A$1:$C$1,0))</f>
        <v>2291.7551696336809</v>
      </c>
      <c r="DS26" s="279">
        <f>INDEX('Rate Assumptions'!$A$1:$C$32,MATCH('Success Allocation'!DS$3,'Rate Assumptions'!$A$1:$A$32,0),MATCH($DR$1,'Rate Assumptions'!$A$1:$C$1,0))</f>
        <v>1718.8163772252606</v>
      </c>
      <c r="DT26" s="279">
        <f>INDEX('Rate Assumptions'!$A$1:$C$32,MATCH('Success Allocation'!DT$3,'Rate Assumptions'!$A$1:$A$32,0),MATCH($DR$1,'Rate Assumptions'!$A$1:$C$1,0))</f>
        <v>1718.8163772252606</v>
      </c>
      <c r="DU26" s="279">
        <f>INDEX('Rate Assumptions'!$A$1:$C$32,MATCH('Success Allocation'!DU$3,'Rate Assumptions'!$A$1:$A$32,0),MATCH($DR$1,'Rate Assumptions'!$A$1:$C$1,0))</f>
        <v>1145.8775848168405</v>
      </c>
      <c r="DV26" s="279">
        <f>INDEX('Rate Assumptions'!$A$1:$C$32,MATCH('Success Allocation'!DV$3,'Rate Assumptions'!$A$1:$A$32,0),MATCH($DR$1,'Rate Assumptions'!$A$1:$C$1,0))</f>
        <v>1145.8775848168405</v>
      </c>
      <c r="DW26" s="279">
        <f>INDEX('Rate Assumptions'!$A$1:$C$32,MATCH('Success Allocation'!DW$3,'Rate Assumptions'!$A$1:$A$32,0),MATCH($DR$1,'Rate Assumptions'!$A$1:$C$1,0))</f>
        <v>572.93879240842023</v>
      </c>
      <c r="DX26" s="279">
        <f>INDEX('Rate Assumptions'!$A$1:$C$32,MATCH('Success Allocation'!DX$3,'Rate Assumptions'!$A$1:$A$32,0),MATCH($DR$1,'Rate Assumptions'!$A$1:$C$1,0))</f>
        <v>859.40818861263028</v>
      </c>
      <c r="DY26" s="280">
        <f>INDEX('Rate Assumptions'!$A$1:$C$32,MATCH('Success Allocation'!DY$3,'Rate Assumptions'!$A$1:$A$32,0),MATCH($DR$1,'Rate Assumptions'!$A$1:$C$1,0))</f>
        <v>572.93879240842023</v>
      </c>
      <c r="DZ26" s="279">
        <f>INDEX('Rate Assumptions'!$A$1:$C$32,MATCH('Success Allocation'!DZ$3,'Rate Assumptions'!$A$1:$A$32,0),MATCH($DR$1,'Rate Assumptions'!$A$1:$C$1,0))</f>
        <v>866.31570658079204</v>
      </c>
      <c r="EA26" s="279">
        <f>INDEX('Rate Assumptions'!$A$1:$C$32,MATCH('Success Allocation'!EA$3,'Rate Assumptions'!$A$1:$A$32,0),MATCH($DR$1,'Rate Assumptions'!$A$1:$C$1,0))</f>
        <v>649.73677993559397</v>
      </c>
      <c r="EB26" s="279">
        <f>INDEX('Rate Assumptions'!$A$1:$C$32,MATCH('Success Allocation'!EB$3,'Rate Assumptions'!$A$1:$A$32,0),MATCH($DR$1,'Rate Assumptions'!$A$1:$C$1,0))</f>
        <v>649.73677993559397</v>
      </c>
      <c r="EC26" s="279">
        <f>INDEX('Rate Assumptions'!$A$1:$C$32,MATCH('Success Allocation'!EC$3,'Rate Assumptions'!$A$1:$A$32,0),MATCH($DR$1,'Rate Assumptions'!$A$1:$C$1,0))</f>
        <v>433.15785329039602</v>
      </c>
      <c r="ED26" s="279">
        <f>INDEX('Rate Assumptions'!$A$1:$C$32,MATCH('Success Allocation'!ED$3,'Rate Assumptions'!$A$1:$A$32,0),MATCH($DR$1,'Rate Assumptions'!$A$1:$C$1,0))</f>
        <v>433.15785329039602</v>
      </c>
      <c r="EE26" s="279">
        <f>INDEX('Rate Assumptions'!$A$1:$C$32,MATCH('Success Allocation'!EE$3,'Rate Assumptions'!$A$1:$A$32,0),MATCH($DR$1,'Rate Assumptions'!$A$1:$C$1,0))</f>
        <v>216.57892664519801</v>
      </c>
      <c r="EF26" s="279">
        <f>INDEX('Rate Assumptions'!$A$1:$C$32,MATCH('Success Allocation'!EF$3,'Rate Assumptions'!$A$1:$A$32,0),MATCH($DR$1,'Rate Assumptions'!$A$1:$C$1,0))</f>
        <v>324.86838996779699</v>
      </c>
      <c r="EG26" s="280">
        <f>INDEX('Rate Assumptions'!$A$1:$C$32,MATCH('Success Allocation'!EG$3,'Rate Assumptions'!$A$1:$A$32,0),MATCH($DR$1,'Rate Assumptions'!$A$1:$C$1,0))</f>
        <v>216.57892664519801</v>
      </c>
      <c r="EH26" s="279">
        <f>INDEX('Rate Assumptions'!$A$1:$C$32,MATCH('Success Allocation'!EH$3,'Rate Assumptions'!$A$1:$A$32,0),MATCH($DR$1,'Rate Assumptions'!$A$1:$C$1,0))</f>
        <v>577.54380438719465</v>
      </c>
      <c r="EI26" s="279">
        <f>INDEX('Rate Assumptions'!$A$1:$C$32,MATCH('Success Allocation'!EI$3,'Rate Assumptions'!$A$1:$A$32,0),MATCH($DR$1,'Rate Assumptions'!$A$1:$C$1,0))</f>
        <v>433.15785329039602</v>
      </c>
      <c r="EJ26" s="279">
        <f>INDEX('Rate Assumptions'!$A$1:$C$32,MATCH('Success Allocation'!EJ$3,'Rate Assumptions'!$A$1:$A$32,0),MATCH($DR$1,'Rate Assumptions'!$A$1:$C$1,0))</f>
        <v>433.15785329039602</v>
      </c>
      <c r="EK26" s="279">
        <f>INDEX('Rate Assumptions'!$A$1:$C$32,MATCH('Success Allocation'!EK$3,'Rate Assumptions'!$A$1:$A$32,0),MATCH($DR$1,'Rate Assumptions'!$A$1:$C$1,0))</f>
        <v>288.77190219359733</v>
      </c>
      <c r="EL26" s="279">
        <f>INDEX('Rate Assumptions'!$A$1:$C$32,MATCH('Success Allocation'!EL$3,'Rate Assumptions'!$A$1:$A$32,0),MATCH($DR$1,'Rate Assumptions'!$A$1:$C$1,0))</f>
        <v>288.77190219359733</v>
      </c>
      <c r="EM26" s="279">
        <f>INDEX('Rate Assumptions'!$A$1:$C$32,MATCH('Success Allocation'!EM$3,'Rate Assumptions'!$A$1:$A$32,0),MATCH($DR$1,'Rate Assumptions'!$A$1:$C$1,0))</f>
        <v>144.38595109679866</v>
      </c>
      <c r="EN26" s="279">
        <f>INDEX('Rate Assumptions'!$A$1:$C$32,MATCH('Success Allocation'!EN$3,'Rate Assumptions'!$A$1:$A$32,0),MATCH($DR$1,'Rate Assumptions'!$A$1:$C$1,0))</f>
        <v>216.57892664519801</v>
      </c>
      <c r="EO26" s="281">
        <f>INDEX('Rate Assumptions'!$A$1:$C$32,MATCH('Success Allocation'!EO$3,'Rate Assumptions'!$A$1:$A$32,0),MATCH($DR$1,'Rate Assumptions'!$A$1:$C$1,0))</f>
        <v>144.38595109679866</v>
      </c>
      <c r="EP26" s="170">
        <f t="shared" si="50"/>
        <v>18392544.442934457</v>
      </c>
    </row>
    <row r="27" spans="1:146">
      <c r="A27" s="223" t="s">
        <v>114</v>
      </c>
      <c r="B27" s="226">
        <v>43</v>
      </c>
      <c r="C27" s="226">
        <v>74</v>
      </c>
      <c r="D27" s="226">
        <v>0</v>
      </c>
      <c r="E27" s="226">
        <v>21</v>
      </c>
      <c r="F27" s="226">
        <v>14</v>
      </c>
      <c r="G27" s="227">
        <v>287</v>
      </c>
      <c r="H27" s="226">
        <v>185</v>
      </c>
      <c r="I27" s="228">
        <v>833</v>
      </c>
      <c r="J27" s="226">
        <v>28</v>
      </c>
      <c r="K27" s="226">
        <v>37</v>
      </c>
      <c r="L27" s="226">
        <v>0</v>
      </c>
      <c r="M27" s="226">
        <v>7</v>
      </c>
      <c r="N27" s="226">
        <v>5</v>
      </c>
      <c r="O27" s="227">
        <v>80</v>
      </c>
      <c r="P27" s="226">
        <v>69</v>
      </c>
      <c r="Q27" s="228">
        <v>57</v>
      </c>
      <c r="R27" s="226">
        <v>35</v>
      </c>
      <c r="S27" s="226">
        <v>60</v>
      </c>
      <c r="T27" s="226">
        <v>0</v>
      </c>
      <c r="U27" s="226">
        <v>13</v>
      </c>
      <c r="V27" s="226">
        <v>7</v>
      </c>
      <c r="W27" s="227">
        <v>119</v>
      </c>
      <c r="X27" s="226">
        <v>114</v>
      </c>
      <c r="Y27" s="234">
        <v>182</v>
      </c>
      <c r="Z27" s="237">
        <v>58</v>
      </c>
      <c r="AA27" s="237">
        <v>80</v>
      </c>
      <c r="AB27" s="237">
        <v>0</v>
      </c>
      <c r="AC27" s="237">
        <v>11</v>
      </c>
      <c r="AD27" s="237">
        <v>20</v>
      </c>
      <c r="AE27" s="237">
        <v>245</v>
      </c>
      <c r="AF27" s="237">
        <v>186</v>
      </c>
      <c r="AG27" s="228">
        <v>696</v>
      </c>
      <c r="AH27" s="237">
        <v>28</v>
      </c>
      <c r="AI27" s="237">
        <v>46</v>
      </c>
      <c r="AJ27" s="237">
        <v>0</v>
      </c>
      <c r="AK27" s="237">
        <v>4</v>
      </c>
      <c r="AL27" s="237">
        <v>8</v>
      </c>
      <c r="AM27" s="237">
        <v>70</v>
      </c>
      <c r="AN27" s="237">
        <v>62</v>
      </c>
      <c r="AO27" s="228">
        <v>63</v>
      </c>
      <c r="AP27" s="237">
        <v>46</v>
      </c>
      <c r="AQ27" s="237">
        <v>66</v>
      </c>
      <c r="AR27" s="237">
        <v>0</v>
      </c>
      <c r="AS27" s="237">
        <v>7</v>
      </c>
      <c r="AT27" s="237">
        <v>13</v>
      </c>
      <c r="AU27" s="238">
        <v>132</v>
      </c>
      <c r="AV27" s="237">
        <v>96</v>
      </c>
      <c r="AW27" s="234">
        <v>174</v>
      </c>
      <c r="AX27" s="237"/>
      <c r="AY27" s="237"/>
      <c r="AZ27" s="237"/>
      <c r="BA27" s="237"/>
      <c r="BB27" s="237"/>
      <c r="BC27" s="237"/>
      <c r="BD27" s="237"/>
      <c r="BF27" s="237"/>
      <c r="BG27" s="237"/>
      <c r="BH27" s="237"/>
      <c r="BI27" s="237"/>
      <c r="BJ27" s="237"/>
      <c r="BK27" s="237"/>
      <c r="BL27" s="237"/>
      <c r="BN27" s="237"/>
      <c r="BO27" s="237"/>
      <c r="BP27" s="237"/>
      <c r="BQ27" s="237"/>
      <c r="BR27" s="237"/>
      <c r="BS27" s="238"/>
      <c r="BT27" s="237"/>
      <c r="BV27" s="264">
        <f t="shared" si="2"/>
        <v>73</v>
      </c>
      <c r="BW27" s="264">
        <f t="shared" si="3"/>
        <v>86</v>
      </c>
      <c r="BX27" s="264">
        <f t="shared" si="4"/>
        <v>0</v>
      </c>
      <c r="BY27" s="264">
        <f t="shared" si="5"/>
        <v>1</v>
      </c>
      <c r="BZ27" s="264">
        <f t="shared" si="6"/>
        <v>26</v>
      </c>
      <c r="CA27" s="264">
        <f t="shared" si="7"/>
        <v>203</v>
      </c>
      <c r="CB27" s="264">
        <f t="shared" si="8"/>
        <v>187</v>
      </c>
      <c r="CC27" s="265">
        <f t="shared" si="9"/>
        <v>559</v>
      </c>
      <c r="CD27" s="264">
        <f t="shared" si="10"/>
        <v>28</v>
      </c>
      <c r="CE27" s="264">
        <f t="shared" si="11"/>
        <v>55</v>
      </c>
      <c r="CF27" s="264">
        <f t="shared" si="12"/>
        <v>0</v>
      </c>
      <c r="CG27" s="264">
        <f t="shared" si="13"/>
        <v>1</v>
      </c>
      <c r="CH27" s="264">
        <f t="shared" si="14"/>
        <v>11</v>
      </c>
      <c r="CI27" s="264">
        <f t="shared" si="15"/>
        <v>60</v>
      </c>
      <c r="CJ27" s="264">
        <f t="shared" si="16"/>
        <v>55</v>
      </c>
      <c r="CK27" s="265">
        <f t="shared" si="17"/>
        <v>69</v>
      </c>
      <c r="CL27" s="264">
        <f t="shared" si="18"/>
        <v>57</v>
      </c>
      <c r="CM27" s="264">
        <f t="shared" si="19"/>
        <v>72</v>
      </c>
      <c r="CN27" s="264">
        <f t="shared" si="20"/>
        <v>0</v>
      </c>
      <c r="CO27" s="264">
        <f t="shared" si="21"/>
        <v>1</v>
      </c>
      <c r="CP27" s="264">
        <f t="shared" si="22"/>
        <v>19</v>
      </c>
      <c r="CQ27" s="264">
        <f t="shared" si="23"/>
        <v>145</v>
      </c>
      <c r="CR27" s="264">
        <f t="shared" si="24"/>
        <v>78</v>
      </c>
      <c r="CS27" s="266">
        <f t="shared" si="25"/>
        <v>166</v>
      </c>
      <c r="CT27" s="264">
        <f t="shared" si="26"/>
        <v>58</v>
      </c>
      <c r="CU27" s="264">
        <f t="shared" si="27"/>
        <v>80</v>
      </c>
      <c r="CV27" s="264">
        <f t="shared" si="28"/>
        <v>0</v>
      </c>
      <c r="CW27" s="264">
        <f t="shared" si="29"/>
        <v>11</v>
      </c>
      <c r="CX27" s="264">
        <f t="shared" si="30"/>
        <v>20</v>
      </c>
      <c r="CY27" s="264">
        <f t="shared" si="31"/>
        <v>245</v>
      </c>
      <c r="CZ27" s="264">
        <f t="shared" si="32"/>
        <v>186</v>
      </c>
      <c r="DA27" s="265">
        <f t="shared" si="33"/>
        <v>696</v>
      </c>
      <c r="DB27" s="264">
        <f t="shared" si="34"/>
        <v>28</v>
      </c>
      <c r="DC27" s="264">
        <f t="shared" si="35"/>
        <v>46</v>
      </c>
      <c r="DD27" s="264">
        <f t="shared" si="36"/>
        <v>0</v>
      </c>
      <c r="DE27" s="264">
        <f t="shared" si="37"/>
        <v>4</v>
      </c>
      <c r="DF27" s="264">
        <f t="shared" si="38"/>
        <v>8</v>
      </c>
      <c r="DG27" s="264">
        <f t="shared" si="39"/>
        <v>70</v>
      </c>
      <c r="DH27" s="264">
        <f t="shared" si="40"/>
        <v>62</v>
      </c>
      <c r="DI27" s="265">
        <f t="shared" si="41"/>
        <v>63</v>
      </c>
      <c r="DJ27" s="264">
        <f t="shared" si="42"/>
        <v>46</v>
      </c>
      <c r="DK27" s="264">
        <f t="shared" si="43"/>
        <v>66</v>
      </c>
      <c r="DL27" s="264">
        <f t="shared" si="44"/>
        <v>0</v>
      </c>
      <c r="DM27" s="264">
        <f t="shared" si="45"/>
        <v>7</v>
      </c>
      <c r="DN27" s="264">
        <f t="shared" si="46"/>
        <v>13</v>
      </c>
      <c r="DO27" s="264">
        <f t="shared" si="47"/>
        <v>132</v>
      </c>
      <c r="DP27" s="264">
        <f t="shared" si="48"/>
        <v>96</v>
      </c>
      <c r="DQ27" s="266">
        <f t="shared" si="49"/>
        <v>174</v>
      </c>
      <c r="DR27" s="279">
        <f>INDEX('Rate Assumptions'!$A$1:$C$32,MATCH('Success Allocation'!DR$3,'Rate Assumptions'!$A$1:$A$32,0),MATCH($DR$1,'Rate Assumptions'!$A$1:$C$1,0))</f>
        <v>2291.7551696336809</v>
      </c>
      <c r="DS27" s="279">
        <f>INDEX('Rate Assumptions'!$A$1:$C$32,MATCH('Success Allocation'!DS$3,'Rate Assumptions'!$A$1:$A$32,0),MATCH($DR$1,'Rate Assumptions'!$A$1:$C$1,0))</f>
        <v>1718.8163772252606</v>
      </c>
      <c r="DT27" s="279">
        <f>INDEX('Rate Assumptions'!$A$1:$C$32,MATCH('Success Allocation'!DT$3,'Rate Assumptions'!$A$1:$A$32,0),MATCH($DR$1,'Rate Assumptions'!$A$1:$C$1,0))</f>
        <v>1718.8163772252606</v>
      </c>
      <c r="DU27" s="279">
        <f>INDEX('Rate Assumptions'!$A$1:$C$32,MATCH('Success Allocation'!DU$3,'Rate Assumptions'!$A$1:$A$32,0),MATCH($DR$1,'Rate Assumptions'!$A$1:$C$1,0))</f>
        <v>1145.8775848168405</v>
      </c>
      <c r="DV27" s="279">
        <f>INDEX('Rate Assumptions'!$A$1:$C$32,MATCH('Success Allocation'!DV$3,'Rate Assumptions'!$A$1:$A$32,0),MATCH($DR$1,'Rate Assumptions'!$A$1:$C$1,0))</f>
        <v>1145.8775848168405</v>
      </c>
      <c r="DW27" s="279">
        <f>INDEX('Rate Assumptions'!$A$1:$C$32,MATCH('Success Allocation'!DW$3,'Rate Assumptions'!$A$1:$A$32,0),MATCH($DR$1,'Rate Assumptions'!$A$1:$C$1,0))</f>
        <v>572.93879240842023</v>
      </c>
      <c r="DX27" s="279">
        <f>INDEX('Rate Assumptions'!$A$1:$C$32,MATCH('Success Allocation'!DX$3,'Rate Assumptions'!$A$1:$A$32,0),MATCH($DR$1,'Rate Assumptions'!$A$1:$C$1,0))</f>
        <v>859.40818861263028</v>
      </c>
      <c r="DY27" s="280">
        <f>INDEX('Rate Assumptions'!$A$1:$C$32,MATCH('Success Allocation'!DY$3,'Rate Assumptions'!$A$1:$A$32,0),MATCH($DR$1,'Rate Assumptions'!$A$1:$C$1,0))</f>
        <v>572.93879240842023</v>
      </c>
      <c r="DZ27" s="279">
        <f>INDEX('Rate Assumptions'!$A$1:$C$32,MATCH('Success Allocation'!DZ$3,'Rate Assumptions'!$A$1:$A$32,0),MATCH($DR$1,'Rate Assumptions'!$A$1:$C$1,0))</f>
        <v>866.31570658079204</v>
      </c>
      <c r="EA27" s="279">
        <f>INDEX('Rate Assumptions'!$A$1:$C$32,MATCH('Success Allocation'!EA$3,'Rate Assumptions'!$A$1:$A$32,0),MATCH($DR$1,'Rate Assumptions'!$A$1:$C$1,0))</f>
        <v>649.73677993559397</v>
      </c>
      <c r="EB27" s="279">
        <f>INDEX('Rate Assumptions'!$A$1:$C$32,MATCH('Success Allocation'!EB$3,'Rate Assumptions'!$A$1:$A$32,0),MATCH($DR$1,'Rate Assumptions'!$A$1:$C$1,0))</f>
        <v>649.73677993559397</v>
      </c>
      <c r="EC27" s="279">
        <f>INDEX('Rate Assumptions'!$A$1:$C$32,MATCH('Success Allocation'!EC$3,'Rate Assumptions'!$A$1:$A$32,0),MATCH($DR$1,'Rate Assumptions'!$A$1:$C$1,0))</f>
        <v>433.15785329039602</v>
      </c>
      <c r="ED27" s="279">
        <f>INDEX('Rate Assumptions'!$A$1:$C$32,MATCH('Success Allocation'!ED$3,'Rate Assumptions'!$A$1:$A$32,0),MATCH($DR$1,'Rate Assumptions'!$A$1:$C$1,0))</f>
        <v>433.15785329039602</v>
      </c>
      <c r="EE27" s="279">
        <f>INDEX('Rate Assumptions'!$A$1:$C$32,MATCH('Success Allocation'!EE$3,'Rate Assumptions'!$A$1:$A$32,0),MATCH($DR$1,'Rate Assumptions'!$A$1:$C$1,0))</f>
        <v>216.57892664519801</v>
      </c>
      <c r="EF27" s="279">
        <f>INDEX('Rate Assumptions'!$A$1:$C$32,MATCH('Success Allocation'!EF$3,'Rate Assumptions'!$A$1:$A$32,0),MATCH($DR$1,'Rate Assumptions'!$A$1:$C$1,0))</f>
        <v>324.86838996779699</v>
      </c>
      <c r="EG27" s="280">
        <f>INDEX('Rate Assumptions'!$A$1:$C$32,MATCH('Success Allocation'!EG$3,'Rate Assumptions'!$A$1:$A$32,0),MATCH($DR$1,'Rate Assumptions'!$A$1:$C$1,0))</f>
        <v>216.57892664519801</v>
      </c>
      <c r="EH27" s="279">
        <f>INDEX('Rate Assumptions'!$A$1:$C$32,MATCH('Success Allocation'!EH$3,'Rate Assumptions'!$A$1:$A$32,0),MATCH($DR$1,'Rate Assumptions'!$A$1:$C$1,0))</f>
        <v>577.54380438719465</v>
      </c>
      <c r="EI27" s="279">
        <f>INDEX('Rate Assumptions'!$A$1:$C$32,MATCH('Success Allocation'!EI$3,'Rate Assumptions'!$A$1:$A$32,0),MATCH($DR$1,'Rate Assumptions'!$A$1:$C$1,0))</f>
        <v>433.15785329039602</v>
      </c>
      <c r="EJ27" s="279">
        <f>INDEX('Rate Assumptions'!$A$1:$C$32,MATCH('Success Allocation'!EJ$3,'Rate Assumptions'!$A$1:$A$32,0),MATCH($DR$1,'Rate Assumptions'!$A$1:$C$1,0))</f>
        <v>433.15785329039602</v>
      </c>
      <c r="EK27" s="279">
        <f>INDEX('Rate Assumptions'!$A$1:$C$32,MATCH('Success Allocation'!EK$3,'Rate Assumptions'!$A$1:$A$32,0),MATCH($DR$1,'Rate Assumptions'!$A$1:$C$1,0))</f>
        <v>288.77190219359733</v>
      </c>
      <c r="EL27" s="279">
        <f>INDEX('Rate Assumptions'!$A$1:$C$32,MATCH('Success Allocation'!EL$3,'Rate Assumptions'!$A$1:$A$32,0),MATCH($DR$1,'Rate Assumptions'!$A$1:$C$1,0))</f>
        <v>288.77190219359733</v>
      </c>
      <c r="EM27" s="279">
        <f>INDEX('Rate Assumptions'!$A$1:$C$32,MATCH('Success Allocation'!EM$3,'Rate Assumptions'!$A$1:$A$32,0),MATCH($DR$1,'Rate Assumptions'!$A$1:$C$1,0))</f>
        <v>144.38595109679866</v>
      </c>
      <c r="EN27" s="279">
        <f>INDEX('Rate Assumptions'!$A$1:$C$32,MATCH('Success Allocation'!EN$3,'Rate Assumptions'!$A$1:$A$32,0),MATCH($DR$1,'Rate Assumptions'!$A$1:$C$1,0))</f>
        <v>216.57892664519801</v>
      </c>
      <c r="EO27" s="281">
        <f>INDEX('Rate Assumptions'!$A$1:$C$32,MATCH('Success Allocation'!EO$3,'Rate Assumptions'!$A$1:$A$32,0),MATCH($DR$1,'Rate Assumptions'!$A$1:$C$1,0))</f>
        <v>144.38595109679866</v>
      </c>
      <c r="EP27" s="170">
        <f t="shared" si="50"/>
        <v>1186020.4090064086</v>
      </c>
    </row>
    <row r="28" spans="1:146">
      <c r="A28" s="223" t="s">
        <v>115</v>
      </c>
      <c r="B28" s="226">
        <v>37</v>
      </c>
      <c r="C28" s="226">
        <v>111</v>
      </c>
      <c r="D28" s="226">
        <v>0</v>
      </c>
      <c r="E28" s="226">
        <v>20</v>
      </c>
      <c r="F28" s="226">
        <v>22</v>
      </c>
      <c r="G28" s="227">
        <v>289</v>
      </c>
      <c r="H28" s="226">
        <v>72</v>
      </c>
      <c r="I28" s="228">
        <v>441</v>
      </c>
      <c r="J28" s="226">
        <v>22</v>
      </c>
      <c r="K28" s="226">
        <v>40</v>
      </c>
      <c r="L28" s="226">
        <v>0</v>
      </c>
      <c r="M28" s="226">
        <v>13</v>
      </c>
      <c r="N28" s="226">
        <v>7</v>
      </c>
      <c r="O28" s="227">
        <v>107</v>
      </c>
      <c r="P28" s="226">
        <v>31</v>
      </c>
      <c r="Q28" s="228">
        <v>56</v>
      </c>
      <c r="R28" s="226">
        <v>25</v>
      </c>
      <c r="S28" s="226">
        <v>81</v>
      </c>
      <c r="T28" s="226">
        <v>0</v>
      </c>
      <c r="U28" s="226">
        <v>15</v>
      </c>
      <c r="V28" s="226">
        <v>8</v>
      </c>
      <c r="W28" s="227">
        <v>215</v>
      </c>
      <c r="X28" s="226">
        <v>39</v>
      </c>
      <c r="Y28" s="234">
        <v>147</v>
      </c>
      <c r="Z28" s="237">
        <v>35</v>
      </c>
      <c r="AA28" s="237">
        <v>103</v>
      </c>
      <c r="AB28" s="237">
        <v>0</v>
      </c>
      <c r="AC28" s="237">
        <v>6</v>
      </c>
      <c r="AD28" s="237">
        <v>29</v>
      </c>
      <c r="AE28" s="237">
        <v>295</v>
      </c>
      <c r="AF28" s="237">
        <v>81</v>
      </c>
      <c r="AG28" s="228">
        <v>325</v>
      </c>
      <c r="AH28" s="237">
        <v>14</v>
      </c>
      <c r="AI28" s="237">
        <v>36</v>
      </c>
      <c r="AJ28" s="237">
        <v>0</v>
      </c>
      <c r="AK28" s="237">
        <v>4</v>
      </c>
      <c r="AL28" s="237">
        <v>8</v>
      </c>
      <c r="AM28" s="237">
        <v>113</v>
      </c>
      <c r="AN28" s="237">
        <v>25</v>
      </c>
      <c r="AO28" s="228">
        <v>56</v>
      </c>
      <c r="AP28" s="237">
        <v>17</v>
      </c>
      <c r="AQ28" s="237">
        <v>78</v>
      </c>
      <c r="AR28" s="237">
        <v>0</v>
      </c>
      <c r="AS28" s="237">
        <v>5</v>
      </c>
      <c r="AT28" s="237">
        <v>11</v>
      </c>
      <c r="AU28" s="238">
        <v>228</v>
      </c>
      <c r="AV28" s="237">
        <v>32</v>
      </c>
      <c r="AW28" s="234">
        <v>143</v>
      </c>
      <c r="AX28" s="237"/>
      <c r="AY28" s="237"/>
      <c r="AZ28" s="237"/>
      <c r="BA28" s="237"/>
      <c r="BB28" s="237"/>
      <c r="BC28" s="237"/>
      <c r="BD28" s="237"/>
      <c r="BF28" s="237"/>
      <c r="BG28" s="237"/>
      <c r="BH28" s="237"/>
      <c r="BI28" s="237"/>
      <c r="BJ28" s="237"/>
      <c r="BK28" s="237"/>
      <c r="BL28" s="237"/>
      <c r="BN28" s="237"/>
      <c r="BO28" s="237"/>
      <c r="BP28" s="237"/>
      <c r="BQ28" s="237"/>
      <c r="BR28" s="237"/>
      <c r="BS28" s="238"/>
      <c r="BT28" s="237"/>
      <c r="BV28" s="264">
        <f t="shared" si="2"/>
        <v>33</v>
      </c>
      <c r="BW28" s="264">
        <f t="shared" si="3"/>
        <v>95</v>
      </c>
      <c r="BX28" s="264">
        <f t="shared" si="4"/>
        <v>0</v>
      </c>
      <c r="BY28" s="264">
        <f t="shared" si="5"/>
        <v>-8</v>
      </c>
      <c r="BZ28" s="264">
        <f t="shared" si="6"/>
        <v>36</v>
      </c>
      <c r="CA28" s="264">
        <f t="shared" si="7"/>
        <v>301</v>
      </c>
      <c r="CB28" s="264">
        <f t="shared" si="8"/>
        <v>90</v>
      </c>
      <c r="CC28" s="265">
        <f t="shared" si="9"/>
        <v>209</v>
      </c>
      <c r="CD28" s="264">
        <f t="shared" si="10"/>
        <v>6</v>
      </c>
      <c r="CE28" s="264">
        <f t="shared" si="11"/>
        <v>32</v>
      </c>
      <c r="CF28" s="264">
        <f t="shared" si="12"/>
        <v>0</v>
      </c>
      <c r="CG28" s="264">
        <f t="shared" si="13"/>
        <v>-5</v>
      </c>
      <c r="CH28" s="264">
        <f t="shared" si="14"/>
        <v>9</v>
      </c>
      <c r="CI28" s="264">
        <f t="shared" si="15"/>
        <v>119</v>
      </c>
      <c r="CJ28" s="264">
        <f t="shared" si="16"/>
        <v>19</v>
      </c>
      <c r="CK28" s="265">
        <f t="shared" si="17"/>
        <v>56</v>
      </c>
      <c r="CL28" s="264">
        <f t="shared" si="18"/>
        <v>9</v>
      </c>
      <c r="CM28" s="264">
        <f t="shared" si="19"/>
        <v>75</v>
      </c>
      <c r="CN28" s="264">
        <f t="shared" si="20"/>
        <v>0</v>
      </c>
      <c r="CO28" s="264">
        <f t="shared" si="21"/>
        <v>-5</v>
      </c>
      <c r="CP28" s="264">
        <f t="shared" si="22"/>
        <v>14</v>
      </c>
      <c r="CQ28" s="264">
        <f t="shared" si="23"/>
        <v>241</v>
      </c>
      <c r="CR28" s="264">
        <f t="shared" si="24"/>
        <v>25</v>
      </c>
      <c r="CS28" s="266">
        <f t="shared" si="25"/>
        <v>139</v>
      </c>
      <c r="CT28" s="264">
        <f t="shared" si="26"/>
        <v>35</v>
      </c>
      <c r="CU28" s="264">
        <f t="shared" si="27"/>
        <v>103</v>
      </c>
      <c r="CV28" s="264">
        <f t="shared" si="28"/>
        <v>0</v>
      </c>
      <c r="CW28" s="264">
        <f t="shared" si="29"/>
        <v>6</v>
      </c>
      <c r="CX28" s="264">
        <f t="shared" si="30"/>
        <v>29</v>
      </c>
      <c r="CY28" s="264">
        <f t="shared" si="31"/>
        <v>295</v>
      </c>
      <c r="CZ28" s="264">
        <f t="shared" si="32"/>
        <v>81</v>
      </c>
      <c r="DA28" s="265">
        <f t="shared" si="33"/>
        <v>325</v>
      </c>
      <c r="DB28" s="264">
        <f t="shared" si="34"/>
        <v>14</v>
      </c>
      <c r="DC28" s="264">
        <f t="shared" si="35"/>
        <v>36</v>
      </c>
      <c r="DD28" s="264">
        <f t="shared" si="36"/>
        <v>0</v>
      </c>
      <c r="DE28" s="264">
        <f t="shared" si="37"/>
        <v>4</v>
      </c>
      <c r="DF28" s="264">
        <f t="shared" si="38"/>
        <v>8</v>
      </c>
      <c r="DG28" s="264">
        <f t="shared" si="39"/>
        <v>113</v>
      </c>
      <c r="DH28" s="264">
        <f t="shared" si="40"/>
        <v>25</v>
      </c>
      <c r="DI28" s="265">
        <f t="shared" si="41"/>
        <v>56</v>
      </c>
      <c r="DJ28" s="264">
        <f t="shared" si="42"/>
        <v>17</v>
      </c>
      <c r="DK28" s="264">
        <f t="shared" si="43"/>
        <v>78</v>
      </c>
      <c r="DL28" s="264">
        <f t="shared" si="44"/>
        <v>0</v>
      </c>
      <c r="DM28" s="264">
        <f t="shared" si="45"/>
        <v>5</v>
      </c>
      <c r="DN28" s="264">
        <f t="shared" si="46"/>
        <v>11</v>
      </c>
      <c r="DO28" s="264">
        <f t="shared" si="47"/>
        <v>228</v>
      </c>
      <c r="DP28" s="264">
        <f t="shared" si="48"/>
        <v>32</v>
      </c>
      <c r="DQ28" s="266">
        <f t="shared" si="49"/>
        <v>143</v>
      </c>
      <c r="DR28" s="279">
        <f>INDEX('Rate Assumptions'!$A$1:$C$32,MATCH('Success Allocation'!DR$3,'Rate Assumptions'!$A$1:$A$32,0),MATCH($DR$1,'Rate Assumptions'!$A$1:$C$1,0))</f>
        <v>2291.7551696336809</v>
      </c>
      <c r="DS28" s="279">
        <f>INDEX('Rate Assumptions'!$A$1:$C$32,MATCH('Success Allocation'!DS$3,'Rate Assumptions'!$A$1:$A$32,0),MATCH($DR$1,'Rate Assumptions'!$A$1:$C$1,0))</f>
        <v>1718.8163772252606</v>
      </c>
      <c r="DT28" s="279">
        <f>INDEX('Rate Assumptions'!$A$1:$C$32,MATCH('Success Allocation'!DT$3,'Rate Assumptions'!$A$1:$A$32,0),MATCH($DR$1,'Rate Assumptions'!$A$1:$C$1,0))</f>
        <v>1718.8163772252606</v>
      </c>
      <c r="DU28" s="279">
        <f>INDEX('Rate Assumptions'!$A$1:$C$32,MATCH('Success Allocation'!DU$3,'Rate Assumptions'!$A$1:$A$32,0),MATCH($DR$1,'Rate Assumptions'!$A$1:$C$1,0))</f>
        <v>1145.8775848168405</v>
      </c>
      <c r="DV28" s="279">
        <f>INDEX('Rate Assumptions'!$A$1:$C$32,MATCH('Success Allocation'!DV$3,'Rate Assumptions'!$A$1:$A$32,0),MATCH($DR$1,'Rate Assumptions'!$A$1:$C$1,0))</f>
        <v>1145.8775848168405</v>
      </c>
      <c r="DW28" s="279">
        <f>INDEX('Rate Assumptions'!$A$1:$C$32,MATCH('Success Allocation'!DW$3,'Rate Assumptions'!$A$1:$A$32,0),MATCH($DR$1,'Rate Assumptions'!$A$1:$C$1,0))</f>
        <v>572.93879240842023</v>
      </c>
      <c r="DX28" s="279">
        <f>INDEX('Rate Assumptions'!$A$1:$C$32,MATCH('Success Allocation'!DX$3,'Rate Assumptions'!$A$1:$A$32,0),MATCH($DR$1,'Rate Assumptions'!$A$1:$C$1,0))</f>
        <v>859.40818861263028</v>
      </c>
      <c r="DY28" s="280">
        <f>INDEX('Rate Assumptions'!$A$1:$C$32,MATCH('Success Allocation'!DY$3,'Rate Assumptions'!$A$1:$A$32,0),MATCH($DR$1,'Rate Assumptions'!$A$1:$C$1,0))</f>
        <v>572.93879240842023</v>
      </c>
      <c r="DZ28" s="279">
        <f>INDEX('Rate Assumptions'!$A$1:$C$32,MATCH('Success Allocation'!DZ$3,'Rate Assumptions'!$A$1:$A$32,0),MATCH($DR$1,'Rate Assumptions'!$A$1:$C$1,0))</f>
        <v>866.31570658079204</v>
      </c>
      <c r="EA28" s="279">
        <f>INDEX('Rate Assumptions'!$A$1:$C$32,MATCH('Success Allocation'!EA$3,'Rate Assumptions'!$A$1:$A$32,0),MATCH($DR$1,'Rate Assumptions'!$A$1:$C$1,0))</f>
        <v>649.73677993559397</v>
      </c>
      <c r="EB28" s="279">
        <f>INDEX('Rate Assumptions'!$A$1:$C$32,MATCH('Success Allocation'!EB$3,'Rate Assumptions'!$A$1:$A$32,0),MATCH($DR$1,'Rate Assumptions'!$A$1:$C$1,0))</f>
        <v>649.73677993559397</v>
      </c>
      <c r="EC28" s="279">
        <f>INDEX('Rate Assumptions'!$A$1:$C$32,MATCH('Success Allocation'!EC$3,'Rate Assumptions'!$A$1:$A$32,0),MATCH($DR$1,'Rate Assumptions'!$A$1:$C$1,0))</f>
        <v>433.15785329039602</v>
      </c>
      <c r="ED28" s="279">
        <f>INDEX('Rate Assumptions'!$A$1:$C$32,MATCH('Success Allocation'!ED$3,'Rate Assumptions'!$A$1:$A$32,0),MATCH($DR$1,'Rate Assumptions'!$A$1:$C$1,0))</f>
        <v>433.15785329039602</v>
      </c>
      <c r="EE28" s="279">
        <f>INDEX('Rate Assumptions'!$A$1:$C$32,MATCH('Success Allocation'!EE$3,'Rate Assumptions'!$A$1:$A$32,0),MATCH($DR$1,'Rate Assumptions'!$A$1:$C$1,0))</f>
        <v>216.57892664519801</v>
      </c>
      <c r="EF28" s="279">
        <f>INDEX('Rate Assumptions'!$A$1:$C$32,MATCH('Success Allocation'!EF$3,'Rate Assumptions'!$A$1:$A$32,0),MATCH($DR$1,'Rate Assumptions'!$A$1:$C$1,0))</f>
        <v>324.86838996779699</v>
      </c>
      <c r="EG28" s="280">
        <f>INDEX('Rate Assumptions'!$A$1:$C$32,MATCH('Success Allocation'!EG$3,'Rate Assumptions'!$A$1:$A$32,0),MATCH($DR$1,'Rate Assumptions'!$A$1:$C$1,0))</f>
        <v>216.57892664519801</v>
      </c>
      <c r="EH28" s="279">
        <f>INDEX('Rate Assumptions'!$A$1:$C$32,MATCH('Success Allocation'!EH$3,'Rate Assumptions'!$A$1:$A$32,0),MATCH($DR$1,'Rate Assumptions'!$A$1:$C$1,0))</f>
        <v>577.54380438719465</v>
      </c>
      <c r="EI28" s="279">
        <f>INDEX('Rate Assumptions'!$A$1:$C$32,MATCH('Success Allocation'!EI$3,'Rate Assumptions'!$A$1:$A$32,0),MATCH($DR$1,'Rate Assumptions'!$A$1:$C$1,0))</f>
        <v>433.15785329039602</v>
      </c>
      <c r="EJ28" s="279">
        <f>INDEX('Rate Assumptions'!$A$1:$C$32,MATCH('Success Allocation'!EJ$3,'Rate Assumptions'!$A$1:$A$32,0),MATCH($DR$1,'Rate Assumptions'!$A$1:$C$1,0))</f>
        <v>433.15785329039602</v>
      </c>
      <c r="EK28" s="279">
        <f>INDEX('Rate Assumptions'!$A$1:$C$32,MATCH('Success Allocation'!EK$3,'Rate Assumptions'!$A$1:$A$32,0),MATCH($DR$1,'Rate Assumptions'!$A$1:$C$1,0))</f>
        <v>288.77190219359733</v>
      </c>
      <c r="EL28" s="279">
        <f>INDEX('Rate Assumptions'!$A$1:$C$32,MATCH('Success Allocation'!EL$3,'Rate Assumptions'!$A$1:$A$32,0),MATCH($DR$1,'Rate Assumptions'!$A$1:$C$1,0))</f>
        <v>288.77190219359733</v>
      </c>
      <c r="EM28" s="279">
        <f>INDEX('Rate Assumptions'!$A$1:$C$32,MATCH('Success Allocation'!EM$3,'Rate Assumptions'!$A$1:$A$32,0),MATCH($DR$1,'Rate Assumptions'!$A$1:$C$1,0))</f>
        <v>144.38595109679866</v>
      </c>
      <c r="EN28" s="279">
        <f>INDEX('Rate Assumptions'!$A$1:$C$32,MATCH('Success Allocation'!EN$3,'Rate Assumptions'!$A$1:$A$32,0),MATCH($DR$1,'Rate Assumptions'!$A$1:$C$1,0))</f>
        <v>216.57892664519801</v>
      </c>
      <c r="EO28" s="281">
        <f>INDEX('Rate Assumptions'!$A$1:$C$32,MATCH('Success Allocation'!EO$3,'Rate Assumptions'!$A$1:$A$32,0),MATCH($DR$1,'Rate Assumptions'!$A$1:$C$1,0))</f>
        <v>144.38595109679866</v>
      </c>
      <c r="EP28" s="170">
        <f t="shared" si="50"/>
        <v>812906.29903441737</v>
      </c>
    </row>
    <row r="29" spans="1:146">
      <c r="A29" s="223" t="s">
        <v>116</v>
      </c>
      <c r="B29" s="226">
        <v>709</v>
      </c>
      <c r="C29" s="226">
        <v>585</v>
      </c>
      <c r="D29" s="226">
        <v>0</v>
      </c>
      <c r="E29" s="226">
        <v>130</v>
      </c>
      <c r="F29" s="226">
        <v>303</v>
      </c>
      <c r="G29" s="227">
        <v>3020</v>
      </c>
      <c r="H29" s="226">
        <v>1668</v>
      </c>
      <c r="I29" s="228">
        <v>2059</v>
      </c>
      <c r="J29" s="226">
        <v>470</v>
      </c>
      <c r="K29" s="226">
        <v>379</v>
      </c>
      <c r="L29" s="226">
        <v>0</v>
      </c>
      <c r="M29" s="226">
        <v>89</v>
      </c>
      <c r="N29" s="226">
        <v>138</v>
      </c>
      <c r="O29" s="227">
        <v>1866</v>
      </c>
      <c r="P29" s="226">
        <v>974</v>
      </c>
      <c r="Q29" s="228">
        <v>830</v>
      </c>
      <c r="R29" s="226">
        <v>576</v>
      </c>
      <c r="S29" s="226">
        <v>478</v>
      </c>
      <c r="T29" s="226">
        <v>0</v>
      </c>
      <c r="U29" s="226">
        <v>114</v>
      </c>
      <c r="V29" s="226">
        <v>182</v>
      </c>
      <c r="W29" s="227">
        <v>2425</v>
      </c>
      <c r="X29" s="226">
        <v>1245</v>
      </c>
      <c r="Y29" s="234">
        <v>1266</v>
      </c>
      <c r="Z29" s="237">
        <v>747</v>
      </c>
      <c r="AA29" s="237">
        <v>467</v>
      </c>
      <c r="AB29" s="237">
        <v>0</v>
      </c>
      <c r="AC29" s="237">
        <v>173</v>
      </c>
      <c r="AD29" s="237">
        <v>333</v>
      </c>
      <c r="AE29" s="237">
        <v>2747</v>
      </c>
      <c r="AF29" s="237">
        <v>1867</v>
      </c>
      <c r="AG29" s="228">
        <v>2466</v>
      </c>
      <c r="AH29" s="237">
        <v>483</v>
      </c>
      <c r="AI29" s="237">
        <v>313</v>
      </c>
      <c r="AJ29" s="237">
        <v>0</v>
      </c>
      <c r="AK29" s="237">
        <v>119</v>
      </c>
      <c r="AL29" s="237">
        <v>160</v>
      </c>
      <c r="AM29" s="237">
        <v>1644</v>
      </c>
      <c r="AN29" s="237">
        <v>1066</v>
      </c>
      <c r="AO29" s="228">
        <v>980</v>
      </c>
      <c r="AP29" s="237">
        <v>607</v>
      </c>
      <c r="AQ29" s="237">
        <v>388</v>
      </c>
      <c r="AR29" s="237">
        <v>0</v>
      </c>
      <c r="AS29" s="237">
        <v>148</v>
      </c>
      <c r="AT29" s="237">
        <v>218</v>
      </c>
      <c r="AU29" s="238">
        <v>2140</v>
      </c>
      <c r="AV29" s="237">
        <v>1403</v>
      </c>
      <c r="AW29" s="234">
        <v>1530</v>
      </c>
      <c r="AX29" s="237"/>
      <c r="AY29" s="237"/>
      <c r="AZ29" s="237"/>
      <c r="BA29" s="237"/>
      <c r="BB29" s="237"/>
      <c r="BC29" s="237"/>
      <c r="BD29" s="237"/>
      <c r="BF29" s="237"/>
      <c r="BG29" s="237"/>
      <c r="BH29" s="237"/>
      <c r="BI29" s="237"/>
      <c r="BJ29" s="237"/>
      <c r="BK29" s="237"/>
      <c r="BL29" s="237"/>
      <c r="BN29" s="237"/>
      <c r="BO29" s="237"/>
      <c r="BP29" s="237"/>
      <c r="BQ29" s="237"/>
      <c r="BR29" s="237"/>
      <c r="BS29" s="238"/>
      <c r="BT29" s="237"/>
      <c r="BV29" s="264">
        <f t="shared" si="2"/>
        <v>785</v>
      </c>
      <c r="BW29" s="264">
        <f t="shared" si="3"/>
        <v>349</v>
      </c>
      <c r="BX29" s="264">
        <f t="shared" si="4"/>
        <v>0</v>
      </c>
      <c r="BY29" s="264">
        <f t="shared" si="5"/>
        <v>216</v>
      </c>
      <c r="BZ29" s="264">
        <f t="shared" si="6"/>
        <v>363</v>
      </c>
      <c r="CA29" s="264">
        <f t="shared" si="7"/>
        <v>2474</v>
      </c>
      <c r="CB29" s="264">
        <f t="shared" si="8"/>
        <v>2066</v>
      </c>
      <c r="CC29" s="265">
        <f t="shared" si="9"/>
        <v>2873</v>
      </c>
      <c r="CD29" s="264">
        <f t="shared" si="10"/>
        <v>496</v>
      </c>
      <c r="CE29" s="264">
        <f t="shared" si="11"/>
        <v>247</v>
      </c>
      <c r="CF29" s="264">
        <f t="shared" si="12"/>
        <v>0</v>
      </c>
      <c r="CG29" s="264">
        <f t="shared" si="13"/>
        <v>149</v>
      </c>
      <c r="CH29" s="264">
        <f t="shared" si="14"/>
        <v>182</v>
      </c>
      <c r="CI29" s="264">
        <f t="shared" si="15"/>
        <v>1422</v>
      </c>
      <c r="CJ29" s="264">
        <f t="shared" si="16"/>
        <v>1158</v>
      </c>
      <c r="CK29" s="265">
        <f t="shared" si="17"/>
        <v>1130</v>
      </c>
      <c r="CL29" s="264">
        <f t="shared" si="18"/>
        <v>638</v>
      </c>
      <c r="CM29" s="264">
        <f t="shared" si="19"/>
        <v>298</v>
      </c>
      <c r="CN29" s="264">
        <f t="shared" si="20"/>
        <v>0</v>
      </c>
      <c r="CO29" s="264">
        <f t="shared" si="21"/>
        <v>182</v>
      </c>
      <c r="CP29" s="264">
        <f t="shared" si="22"/>
        <v>254</v>
      </c>
      <c r="CQ29" s="264">
        <f t="shared" si="23"/>
        <v>1855</v>
      </c>
      <c r="CR29" s="264">
        <f t="shared" si="24"/>
        <v>1561</v>
      </c>
      <c r="CS29" s="266">
        <f t="shared" si="25"/>
        <v>1794</v>
      </c>
      <c r="CT29" s="264">
        <f t="shared" si="26"/>
        <v>747</v>
      </c>
      <c r="CU29" s="264">
        <f t="shared" si="27"/>
        <v>467</v>
      </c>
      <c r="CV29" s="264">
        <f t="shared" si="28"/>
        <v>0</v>
      </c>
      <c r="CW29" s="264">
        <f t="shared" si="29"/>
        <v>173</v>
      </c>
      <c r="CX29" s="264">
        <f t="shared" si="30"/>
        <v>333</v>
      </c>
      <c r="CY29" s="264">
        <f t="shared" si="31"/>
        <v>2747</v>
      </c>
      <c r="CZ29" s="264">
        <f t="shared" si="32"/>
        <v>1867</v>
      </c>
      <c r="DA29" s="265">
        <f t="shared" si="33"/>
        <v>2466</v>
      </c>
      <c r="DB29" s="264">
        <f t="shared" si="34"/>
        <v>483</v>
      </c>
      <c r="DC29" s="264">
        <f t="shared" si="35"/>
        <v>313</v>
      </c>
      <c r="DD29" s="264">
        <f t="shared" si="36"/>
        <v>0</v>
      </c>
      <c r="DE29" s="264">
        <f t="shared" si="37"/>
        <v>119</v>
      </c>
      <c r="DF29" s="264">
        <f t="shared" si="38"/>
        <v>160</v>
      </c>
      <c r="DG29" s="264">
        <f t="shared" si="39"/>
        <v>1644</v>
      </c>
      <c r="DH29" s="264">
        <f t="shared" si="40"/>
        <v>1066</v>
      </c>
      <c r="DI29" s="265">
        <f t="shared" si="41"/>
        <v>980</v>
      </c>
      <c r="DJ29" s="264">
        <f t="shared" si="42"/>
        <v>607</v>
      </c>
      <c r="DK29" s="264">
        <f t="shared" si="43"/>
        <v>388</v>
      </c>
      <c r="DL29" s="264">
        <f t="shared" si="44"/>
        <v>0</v>
      </c>
      <c r="DM29" s="264">
        <f t="shared" si="45"/>
        <v>148</v>
      </c>
      <c r="DN29" s="264">
        <f t="shared" si="46"/>
        <v>218</v>
      </c>
      <c r="DO29" s="264">
        <f t="shared" si="47"/>
        <v>2140</v>
      </c>
      <c r="DP29" s="264">
        <f t="shared" si="48"/>
        <v>1403</v>
      </c>
      <c r="DQ29" s="266">
        <f t="shared" si="49"/>
        <v>1530</v>
      </c>
      <c r="DR29" s="279">
        <f>INDEX('Rate Assumptions'!$A$1:$C$32,MATCH('Success Allocation'!DR$3,'Rate Assumptions'!$A$1:$A$32,0),MATCH($DR$1,'Rate Assumptions'!$A$1:$C$1,0))</f>
        <v>2291.7551696336809</v>
      </c>
      <c r="DS29" s="279">
        <f>INDEX('Rate Assumptions'!$A$1:$C$32,MATCH('Success Allocation'!DS$3,'Rate Assumptions'!$A$1:$A$32,0),MATCH($DR$1,'Rate Assumptions'!$A$1:$C$1,0))</f>
        <v>1718.8163772252606</v>
      </c>
      <c r="DT29" s="279">
        <f>INDEX('Rate Assumptions'!$A$1:$C$32,MATCH('Success Allocation'!DT$3,'Rate Assumptions'!$A$1:$A$32,0),MATCH($DR$1,'Rate Assumptions'!$A$1:$C$1,0))</f>
        <v>1718.8163772252606</v>
      </c>
      <c r="DU29" s="279">
        <f>INDEX('Rate Assumptions'!$A$1:$C$32,MATCH('Success Allocation'!DU$3,'Rate Assumptions'!$A$1:$A$32,0),MATCH($DR$1,'Rate Assumptions'!$A$1:$C$1,0))</f>
        <v>1145.8775848168405</v>
      </c>
      <c r="DV29" s="279">
        <f>INDEX('Rate Assumptions'!$A$1:$C$32,MATCH('Success Allocation'!DV$3,'Rate Assumptions'!$A$1:$A$32,0),MATCH($DR$1,'Rate Assumptions'!$A$1:$C$1,0))</f>
        <v>1145.8775848168405</v>
      </c>
      <c r="DW29" s="279">
        <f>INDEX('Rate Assumptions'!$A$1:$C$32,MATCH('Success Allocation'!DW$3,'Rate Assumptions'!$A$1:$A$32,0),MATCH($DR$1,'Rate Assumptions'!$A$1:$C$1,0))</f>
        <v>572.93879240842023</v>
      </c>
      <c r="DX29" s="279">
        <f>INDEX('Rate Assumptions'!$A$1:$C$32,MATCH('Success Allocation'!DX$3,'Rate Assumptions'!$A$1:$A$32,0),MATCH($DR$1,'Rate Assumptions'!$A$1:$C$1,0))</f>
        <v>859.40818861263028</v>
      </c>
      <c r="DY29" s="280">
        <f>INDEX('Rate Assumptions'!$A$1:$C$32,MATCH('Success Allocation'!DY$3,'Rate Assumptions'!$A$1:$A$32,0),MATCH($DR$1,'Rate Assumptions'!$A$1:$C$1,0))</f>
        <v>572.93879240842023</v>
      </c>
      <c r="DZ29" s="279">
        <f>INDEX('Rate Assumptions'!$A$1:$C$32,MATCH('Success Allocation'!DZ$3,'Rate Assumptions'!$A$1:$A$32,0),MATCH($DR$1,'Rate Assumptions'!$A$1:$C$1,0))</f>
        <v>866.31570658079204</v>
      </c>
      <c r="EA29" s="279">
        <f>INDEX('Rate Assumptions'!$A$1:$C$32,MATCH('Success Allocation'!EA$3,'Rate Assumptions'!$A$1:$A$32,0),MATCH($DR$1,'Rate Assumptions'!$A$1:$C$1,0))</f>
        <v>649.73677993559397</v>
      </c>
      <c r="EB29" s="279">
        <f>INDEX('Rate Assumptions'!$A$1:$C$32,MATCH('Success Allocation'!EB$3,'Rate Assumptions'!$A$1:$A$32,0),MATCH($DR$1,'Rate Assumptions'!$A$1:$C$1,0))</f>
        <v>649.73677993559397</v>
      </c>
      <c r="EC29" s="279">
        <f>INDEX('Rate Assumptions'!$A$1:$C$32,MATCH('Success Allocation'!EC$3,'Rate Assumptions'!$A$1:$A$32,0),MATCH($DR$1,'Rate Assumptions'!$A$1:$C$1,0))</f>
        <v>433.15785329039602</v>
      </c>
      <c r="ED29" s="279">
        <f>INDEX('Rate Assumptions'!$A$1:$C$32,MATCH('Success Allocation'!ED$3,'Rate Assumptions'!$A$1:$A$32,0),MATCH($DR$1,'Rate Assumptions'!$A$1:$C$1,0))</f>
        <v>433.15785329039602</v>
      </c>
      <c r="EE29" s="279">
        <f>INDEX('Rate Assumptions'!$A$1:$C$32,MATCH('Success Allocation'!EE$3,'Rate Assumptions'!$A$1:$A$32,0),MATCH($DR$1,'Rate Assumptions'!$A$1:$C$1,0))</f>
        <v>216.57892664519801</v>
      </c>
      <c r="EF29" s="279">
        <f>INDEX('Rate Assumptions'!$A$1:$C$32,MATCH('Success Allocation'!EF$3,'Rate Assumptions'!$A$1:$A$32,0),MATCH($DR$1,'Rate Assumptions'!$A$1:$C$1,0))</f>
        <v>324.86838996779699</v>
      </c>
      <c r="EG29" s="280">
        <f>INDEX('Rate Assumptions'!$A$1:$C$32,MATCH('Success Allocation'!EG$3,'Rate Assumptions'!$A$1:$A$32,0),MATCH($DR$1,'Rate Assumptions'!$A$1:$C$1,0))</f>
        <v>216.57892664519801</v>
      </c>
      <c r="EH29" s="279">
        <f>INDEX('Rate Assumptions'!$A$1:$C$32,MATCH('Success Allocation'!EH$3,'Rate Assumptions'!$A$1:$A$32,0),MATCH($DR$1,'Rate Assumptions'!$A$1:$C$1,0))</f>
        <v>577.54380438719465</v>
      </c>
      <c r="EI29" s="279">
        <f>INDEX('Rate Assumptions'!$A$1:$C$32,MATCH('Success Allocation'!EI$3,'Rate Assumptions'!$A$1:$A$32,0),MATCH($DR$1,'Rate Assumptions'!$A$1:$C$1,0))</f>
        <v>433.15785329039602</v>
      </c>
      <c r="EJ29" s="279">
        <f>INDEX('Rate Assumptions'!$A$1:$C$32,MATCH('Success Allocation'!EJ$3,'Rate Assumptions'!$A$1:$A$32,0),MATCH($DR$1,'Rate Assumptions'!$A$1:$C$1,0))</f>
        <v>433.15785329039602</v>
      </c>
      <c r="EK29" s="279">
        <f>INDEX('Rate Assumptions'!$A$1:$C$32,MATCH('Success Allocation'!EK$3,'Rate Assumptions'!$A$1:$A$32,0),MATCH($DR$1,'Rate Assumptions'!$A$1:$C$1,0))</f>
        <v>288.77190219359733</v>
      </c>
      <c r="EL29" s="279">
        <f>INDEX('Rate Assumptions'!$A$1:$C$32,MATCH('Success Allocation'!EL$3,'Rate Assumptions'!$A$1:$A$32,0),MATCH($DR$1,'Rate Assumptions'!$A$1:$C$1,0))</f>
        <v>288.77190219359733</v>
      </c>
      <c r="EM29" s="279">
        <f>INDEX('Rate Assumptions'!$A$1:$C$32,MATCH('Success Allocation'!EM$3,'Rate Assumptions'!$A$1:$A$32,0),MATCH($DR$1,'Rate Assumptions'!$A$1:$C$1,0))</f>
        <v>144.38595109679866</v>
      </c>
      <c r="EN29" s="279">
        <f>INDEX('Rate Assumptions'!$A$1:$C$32,MATCH('Success Allocation'!EN$3,'Rate Assumptions'!$A$1:$A$32,0),MATCH($DR$1,'Rate Assumptions'!$A$1:$C$1,0))</f>
        <v>216.57892664519801</v>
      </c>
      <c r="EO29" s="281">
        <f>INDEX('Rate Assumptions'!$A$1:$C$32,MATCH('Success Allocation'!EO$3,'Rate Assumptions'!$A$1:$A$32,0),MATCH($DR$1,'Rate Assumptions'!$A$1:$C$1,0))</f>
        <v>144.38595109679866</v>
      </c>
      <c r="EP29" s="170">
        <f t="shared" si="50"/>
        <v>11052261.303914413</v>
      </c>
    </row>
    <row r="30" spans="1:146">
      <c r="A30" s="223" t="s">
        <v>117</v>
      </c>
      <c r="B30" s="226">
        <v>2321</v>
      </c>
      <c r="C30" s="226">
        <v>5224</v>
      </c>
      <c r="D30" s="226">
        <v>0</v>
      </c>
      <c r="E30" s="226">
        <v>2380</v>
      </c>
      <c r="F30" s="226">
        <v>684</v>
      </c>
      <c r="G30" s="227">
        <v>20035</v>
      </c>
      <c r="H30" s="226">
        <v>8899</v>
      </c>
      <c r="I30" s="228">
        <v>12953</v>
      </c>
      <c r="J30" s="226">
        <v>1594</v>
      </c>
      <c r="K30" s="226">
        <v>3402</v>
      </c>
      <c r="L30" s="226">
        <v>0</v>
      </c>
      <c r="M30" s="226">
        <v>1387</v>
      </c>
      <c r="N30" s="226">
        <v>292</v>
      </c>
      <c r="O30" s="227">
        <v>10447</v>
      </c>
      <c r="P30" s="226">
        <v>5003</v>
      </c>
      <c r="Q30" s="228">
        <v>4179</v>
      </c>
      <c r="R30" s="226">
        <v>1933</v>
      </c>
      <c r="S30" s="226">
        <v>4182</v>
      </c>
      <c r="T30" s="226">
        <v>0</v>
      </c>
      <c r="U30" s="226">
        <v>1856</v>
      </c>
      <c r="V30" s="226">
        <v>394</v>
      </c>
      <c r="W30" s="227">
        <v>14132</v>
      </c>
      <c r="X30" s="226">
        <v>6904</v>
      </c>
      <c r="Y30" s="234">
        <v>7785</v>
      </c>
      <c r="Z30" s="237">
        <v>3057</v>
      </c>
      <c r="AA30" s="237">
        <v>4509</v>
      </c>
      <c r="AB30" s="237">
        <v>28</v>
      </c>
      <c r="AC30" s="237">
        <v>1973</v>
      </c>
      <c r="AD30" s="237">
        <v>914</v>
      </c>
      <c r="AE30" s="237">
        <v>17253</v>
      </c>
      <c r="AF30" s="237">
        <v>9502</v>
      </c>
      <c r="AG30" s="228">
        <v>15309</v>
      </c>
      <c r="AH30" s="237">
        <v>2089</v>
      </c>
      <c r="AI30" s="237">
        <v>2948</v>
      </c>
      <c r="AJ30" s="237">
        <v>11</v>
      </c>
      <c r="AK30" s="237">
        <v>1134</v>
      </c>
      <c r="AL30" s="237">
        <v>405</v>
      </c>
      <c r="AM30" s="237">
        <v>8865</v>
      </c>
      <c r="AN30" s="237">
        <v>5276</v>
      </c>
      <c r="AO30" s="228">
        <v>5193</v>
      </c>
      <c r="AP30" s="237">
        <v>2649</v>
      </c>
      <c r="AQ30" s="237">
        <v>3779</v>
      </c>
      <c r="AR30" s="237">
        <v>22</v>
      </c>
      <c r="AS30" s="237">
        <v>1565</v>
      </c>
      <c r="AT30" s="237">
        <v>597</v>
      </c>
      <c r="AU30" s="238">
        <v>12706</v>
      </c>
      <c r="AV30" s="237">
        <v>7222</v>
      </c>
      <c r="AW30" s="234">
        <v>9311</v>
      </c>
      <c r="AX30" s="237"/>
      <c r="AY30" s="237"/>
      <c r="AZ30" s="237"/>
      <c r="BA30" s="237"/>
      <c r="BB30" s="237"/>
      <c r="BC30" s="237"/>
      <c r="BD30" s="237"/>
      <c r="BF30" s="237"/>
      <c r="BG30" s="237"/>
      <c r="BH30" s="237"/>
      <c r="BI30" s="237"/>
      <c r="BJ30" s="237"/>
      <c r="BK30" s="237"/>
      <c r="BL30" s="237"/>
      <c r="BN30" s="237"/>
      <c r="BO30" s="237"/>
      <c r="BP30" s="237"/>
      <c r="BQ30" s="237"/>
      <c r="BR30" s="237"/>
      <c r="BS30" s="238"/>
      <c r="BT30" s="237"/>
      <c r="BV30" s="264">
        <f t="shared" si="2"/>
        <v>3793</v>
      </c>
      <c r="BW30" s="264">
        <f t="shared" si="3"/>
        <v>3794</v>
      </c>
      <c r="BX30" s="264">
        <f t="shared" si="4"/>
        <v>56</v>
      </c>
      <c r="BY30" s="264">
        <f t="shared" si="5"/>
        <v>1566</v>
      </c>
      <c r="BZ30" s="264">
        <f t="shared" si="6"/>
        <v>1144</v>
      </c>
      <c r="CA30" s="264">
        <f t="shared" si="7"/>
        <v>14471</v>
      </c>
      <c r="CB30" s="264">
        <f t="shared" si="8"/>
        <v>10105</v>
      </c>
      <c r="CC30" s="265">
        <f t="shared" si="9"/>
        <v>17665</v>
      </c>
      <c r="CD30" s="264">
        <f t="shared" si="10"/>
        <v>2584</v>
      </c>
      <c r="CE30" s="264">
        <f t="shared" si="11"/>
        <v>2494</v>
      </c>
      <c r="CF30" s="264">
        <f t="shared" si="12"/>
        <v>22</v>
      </c>
      <c r="CG30" s="264">
        <f t="shared" si="13"/>
        <v>881</v>
      </c>
      <c r="CH30" s="264">
        <f t="shared" si="14"/>
        <v>518</v>
      </c>
      <c r="CI30" s="264">
        <f t="shared" si="15"/>
        <v>7283</v>
      </c>
      <c r="CJ30" s="264">
        <f t="shared" si="16"/>
        <v>5549</v>
      </c>
      <c r="CK30" s="265">
        <f t="shared" si="17"/>
        <v>6207</v>
      </c>
      <c r="CL30" s="264">
        <f t="shared" si="18"/>
        <v>3365</v>
      </c>
      <c r="CM30" s="264">
        <f t="shared" si="19"/>
        <v>3376</v>
      </c>
      <c r="CN30" s="264">
        <f t="shared" si="20"/>
        <v>44</v>
      </c>
      <c r="CO30" s="264">
        <f t="shared" si="21"/>
        <v>1274</v>
      </c>
      <c r="CP30" s="264">
        <f t="shared" si="22"/>
        <v>800</v>
      </c>
      <c r="CQ30" s="264">
        <f t="shared" si="23"/>
        <v>11280</v>
      </c>
      <c r="CR30" s="264">
        <f t="shared" si="24"/>
        <v>7540</v>
      </c>
      <c r="CS30" s="266">
        <f t="shared" si="25"/>
        <v>10837</v>
      </c>
      <c r="CT30" s="264">
        <f t="shared" si="26"/>
        <v>3057</v>
      </c>
      <c r="CU30" s="264">
        <f t="shared" si="27"/>
        <v>4509</v>
      </c>
      <c r="CV30" s="264">
        <f t="shared" si="28"/>
        <v>28</v>
      </c>
      <c r="CW30" s="264">
        <f t="shared" si="29"/>
        <v>1973</v>
      </c>
      <c r="CX30" s="264">
        <f t="shared" si="30"/>
        <v>914</v>
      </c>
      <c r="CY30" s="264">
        <f t="shared" si="31"/>
        <v>17253</v>
      </c>
      <c r="CZ30" s="264">
        <f t="shared" si="32"/>
        <v>9502</v>
      </c>
      <c r="DA30" s="265">
        <f t="shared" si="33"/>
        <v>15309</v>
      </c>
      <c r="DB30" s="264">
        <f t="shared" si="34"/>
        <v>2089</v>
      </c>
      <c r="DC30" s="264">
        <f t="shared" si="35"/>
        <v>2948</v>
      </c>
      <c r="DD30" s="264">
        <f t="shared" si="36"/>
        <v>11</v>
      </c>
      <c r="DE30" s="264">
        <f t="shared" si="37"/>
        <v>1134</v>
      </c>
      <c r="DF30" s="264">
        <f t="shared" si="38"/>
        <v>405</v>
      </c>
      <c r="DG30" s="264">
        <f t="shared" si="39"/>
        <v>8865</v>
      </c>
      <c r="DH30" s="264">
        <f t="shared" si="40"/>
        <v>5276</v>
      </c>
      <c r="DI30" s="265">
        <f t="shared" si="41"/>
        <v>5193</v>
      </c>
      <c r="DJ30" s="264">
        <f t="shared" si="42"/>
        <v>2649</v>
      </c>
      <c r="DK30" s="264">
        <f t="shared" si="43"/>
        <v>3779</v>
      </c>
      <c r="DL30" s="264">
        <f t="shared" si="44"/>
        <v>22</v>
      </c>
      <c r="DM30" s="264">
        <f t="shared" si="45"/>
        <v>1565</v>
      </c>
      <c r="DN30" s="264">
        <f t="shared" si="46"/>
        <v>597</v>
      </c>
      <c r="DO30" s="264">
        <f t="shared" si="47"/>
        <v>12706</v>
      </c>
      <c r="DP30" s="264">
        <f t="shared" si="48"/>
        <v>7222</v>
      </c>
      <c r="DQ30" s="266">
        <f t="shared" si="49"/>
        <v>9311</v>
      </c>
      <c r="DR30" s="279">
        <f>INDEX('Rate Assumptions'!$A$1:$C$32,MATCH('Success Allocation'!DR$3,'Rate Assumptions'!$A$1:$A$32,0),MATCH($DR$1,'Rate Assumptions'!$A$1:$C$1,0))</f>
        <v>2291.7551696336809</v>
      </c>
      <c r="DS30" s="279">
        <f>INDEX('Rate Assumptions'!$A$1:$C$32,MATCH('Success Allocation'!DS$3,'Rate Assumptions'!$A$1:$A$32,0),MATCH($DR$1,'Rate Assumptions'!$A$1:$C$1,0))</f>
        <v>1718.8163772252606</v>
      </c>
      <c r="DT30" s="279">
        <f>INDEX('Rate Assumptions'!$A$1:$C$32,MATCH('Success Allocation'!DT$3,'Rate Assumptions'!$A$1:$A$32,0),MATCH($DR$1,'Rate Assumptions'!$A$1:$C$1,0))</f>
        <v>1718.8163772252606</v>
      </c>
      <c r="DU30" s="279">
        <f>INDEX('Rate Assumptions'!$A$1:$C$32,MATCH('Success Allocation'!DU$3,'Rate Assumptions'!$A$1:$A$32,0),MATCH($DR$1,'Rate Assumptions'!$A$1:$C$1,0))</f>
        <v>1145.8775848168405</v>
      </c>
      <c r="DV30" s="279">
        <f>INDEX('Rate Assumptions'!$A$1:$C$32,MATCH('Success Allocation'!DV$3,'Rate Assumptions'!$A$1:$A$32,0),MATCH($DR$1,'Rate Assumptions'!$A$1:$C$1,0))</f>
        <v>1145.8775848168405</v>
      </c>
      <c r="DW30" s="279">
        <f>INDEX('Rate Assumptions'!$A$1:$C$32,MATCH('Success Allocation'!DW$3,'Rate Assumptions'!$A$1:$A$32,0),MATCH($DR$1,'Rate Assumptions'!$A$1:$C$1,0))</f>
        <v>572.93879240842023</v>
      </c>
      <c r="DX30" s="279">
        <f>INDEX('Rate Assumptions'!$A$1:$C$32,MATCH('Success Allocation'!DX$3,'Rate Assumptions'!$A$1:$A$32,0),MATCH($DR$1,'Rate Assumptions'!$A$1:$C$1,0))</f>
        <v>859.40818861263028</v>
      </c>
      <c r="DY30" s="280">
        <f>INDEX('Rate Assumptions'!$A$1:$C$32,MATCH('Success Allocation'!DY$3,'Rate Assumptions'!$A$1:$A$32,0),MATCH($DR$1,'Rate Assumptions'!$A$1:$C$1,0))</f>
        <v>572.93879240842023</v>
      </c>
      <c r="DZ30" s="279">
        <f>INDEX('Rate Assumptions'!$A$1:$C$32,MATCH('Success Allocation'!DZ$3,'Rate Assumptions'!$A$1:$A$32,0),MATCH($DR$1,'Rate Assumptions'!$A$1:$C$1,0))</f>
        <v>866.31570658079204</v>
      </c>
      <c r="EA30" s="279">
        <f>INDEX('Rate Assumptions'!$A$1:$C$32,MATCH('Success Allocation'!EA$3,'Rate Assumptions'!$A$1:$A$32,0),MATCH($DR$1,'Rate Assumptions'!$A$1:$C$1,0))</f>
        <v>649.73677993559397</v>
      </c>
      <c r="EB30" s="279">
        <f>INDEX('Rate Assumptions'!$A$1:$C$32,MATCH('Success Allocation'!EB$3,'Rate Assumptions'!$A$1:$A$32,0),MATCH($DR$1,'Rate Assumptions'!$A$1:$C$1,0))</f>
        <v>649.73677993559397</v>
      </c>
      <c r="EC30" s="279">
        <f>INDEX('Rate Assumptions'!$A$1:$C$32,MATCH('Success Allocation'!EC$3,'Rate Assumptions'!$A$1:$A$32,0),MATCH($DR$1,'Rate Assumptions'!$A$1:$C$1,0))</f>
        <v>433.15785329039602</v>
      </c>
      <c r="ED30" s="279">
        <f>INDEX('Rate Assumptions'!$A$1:$C$32,MATCH('Success Allocation'!ED$3,'Rate Assumptions'!$A$1:$A$32,0),MATCH($DR$1,'Rate Assumptions'!$A$1:$C$1,0))</f>
        <v>433.15785329039602</v>
      </c>
      <c r="EE30" s="279">
        <f>INDEX('Rate Assumptions'!$A$1:$C$32,MATCH('Success Allocation'!EE$3,'Rate Assumptions'!$A$1:$A$32,0),MATCH($DR$1,'Rate Assumptions'!$A$1:$C$1,0))</f>
        <v>216.57892664519801</v>
      </c>
      <c r="EF30" s="279">
        <f>INDEX('Rate Assumptions'!$A$1:$C$32,MATCH('Success Allocation'!EF$3,'Rate Assumptions'!$A$1:$A$32,0),MATCH($DR$1,'Rate Assumptions'!$A$1:$C$1,0))</f>
        <v>324.86838996779699</v>
      </c>
      <c r="EG30" s="280">
        <f>INDEX('Rate Assumptions'!$A$1:$C$32,MATCH('Success Allocation'!EG$3,'Rate Assumptions'!$A$1:$A$32,0),MATCH($DR$1,'Rate Assumptions'!$A$1:$C$1,0))</f>
        <v>216.57892664519801</v>
      </c>
      <c r="EH30" s="279">
        <f>INDEX('Rate Assumptions'!$A$1:$C$32,MATCH('Success Allocation'!EH$3,'Rate Assumptions'!$A$1:$A$32,0),MATCH($DR$1,'Rate Assumptions'!$A$1:$C$1,0))</f>
        <v>577.54380438719465</v>
      </c>
      <c r="EI30" s="279">
        <f>INDEX('Rate Assumptions'!$A$1:$C$32,MATCH('Success Allocation'!EI$3,'Rate Assumptions'!$A$1:$A$32,0),MATCH($DR$1,'Rate Assumptions'!$A$1:$C$1,0))</f>
        <v>433.15785329039602</v>
      </c>
      <c r="EJ30" s="279">
        <f>INDEX('Rate Assumptions'!$A$1:$C$32,MATCH('Success Allocation'!EJ$3,'Rate Assumptions'!$A$1:$A$32,0),MATCH($DR$1,'Rate Assumptions'!$A$1:$C$1,0))</f>
        <v>433.15785329039602</v>
      </c>
      <c r="EK30" s="279">
        <f>INDEX('Rate Assumptions'!$A$1:$C$32,MATCH('Success Allocation'!EK$3,'Rate Assumptions'!$A$1:$A$32,0),MATCH($DR$1,'Rate Assumptions'!$A$1:$C$1,0))</f>
        <v>288.77190219359733</v>
      </c>
      <c r="EL30" s="279">
        <f>INDEX('Rate Assumptions'!$A$1:$C$32,MATCH('Success Allocation'!EL$3,'Rate Assumptions'!$A$1:$A$32,0),MATCH($DR$1,'Rate Assumptions'!$A$1:$C$1,0))</f>
        <v>288.77190219359733</v>
      </c>
      <c r="EM30" s="279">
        <f>INDEX('Rate Assumptions'!$A$1:$C$32,MATCH('Success Allocation'!EM$3,'Rate Assumptions'!$A$1:$A$32,0),MATCH($DR$1,'Rate Assumptions'!$A$1:$C$1,0))</f>
        <v>144.38595109679866</v>
      </c>
      <c r="EN30" s="279">
        <f>INDEX('Rate Assumptions'!$A$1:$C$32,MATCH('Success Allocation'!EN$3,'Rate Assumptions'!$A$1:$A$32,0),MATCH($DR$1,'Rate Assumptions'!$A$1:$C$1,0))</f>
        <v>216.57892664519801</v>
      </c>
      <c r="EO30" s="281">
        <f>INDEX('Rate Assumptions'!$A$1:$C$32,MATCH('Success Allocation'!EO$3,'Rate Assumptions'!$A$1:$A$32,0),MATCH($DR$1,'Rate Assumptions'!$A$1:$C$1,0))</f>
        <v>144.38595109679866</v>
      </c>
      <c r="EP30" s="170">
        <f t="shared" si="50"/>
        <v>63565446.094088346</v>
      </c>
    </row>
    <row r="31" spans="1:146">
      <c r="A31" s="223" t="s">
        <v>118</v>
      </c>
      <c r="B31" s="226">
        <v>1472</v>
      </c>
      <c r="C31" s="226">
        <v>2665</v>
      </c>
      <c r="D31" s="226">
        <v>0</v>
      </c>
      <c r="E31" s="226">
        <v>707</v>
      </c>
      <c r="F31" s="226">
        <v>634</v>
      </c>
      <c r="G31" s="227">
        <v>9058</v>
      </c>
      <c r="H31" s="226">
        <v>5324</v>
      </c>
      <c r="I31" s="228">
        <v>11577</v>
      </c>
      <c r="J31" s="226">
        <v>838</v>
      </c>
      <c r="K31" s="226">
        <v>1487</v>
      </c>
      <c r="L31" s="226">
        <v>0</v>
      </c>
      <c r="M31" s="226">
        <v>362</v>
      </c>
      <c r="N31" s="226">
        <v>212</v>
      </c>
      <c r="O31" s="227">
        <v>4207</v>
      </c>
      <c r="P31" s="226">
        <v>2258</v>
      </c>
      <c r="Q31" s="228">
        <v>3296</v>
      </c>
      <c r="R31" s="226">
        <v>1138</v>
      </c>
      <c r="S31" s="226">
        <v>2084</v>
      </c>
      <c r="T31" s="226">
        <v>0</v>
      </c>
      <c r="U31" s="226">
        <v>497</v>
      </c>
      <c r="V31" s="226">
        <v>325</v>
      </c>
      <c r="W31" s="227">
        <v>6379</v>
      </c>
      <c r="X31" s="226">
        <v>3652</v>
      </c>
      <c r="Y31" s="234">
        <v>6408</v>
      </c>
      <c r="Z31" s="237">
        <v>1695</v>
      </c>
      <c r="AA31" s="237">
        <v>2675</v>
      </c>
      <c r="AB31" s="237">
        <v>0</v>
      </c>
      <c r="AC31" s="237">
        <v>805</v>
      </c>
      <c r="AD31" s="237">
        <v>653</v>
      </c>
      <c r="AE31" s="237">
        <v>8430</v>
      </c>
      <c r="AF31" s="237">
        <v>5586</v>
      </c>
      <c r="AG31" s="228">
        <v>12003</v>
      </c>
      <c r="AH31" s="237">
        <v>951</v>
      </c>
      <c r="AI31" s="237">
        <v>1486</v>
      </c>
      <c r="AJ31" s="237">
        <v>0</v>
      </c>
      <c r="AK31" s="237">
        <v>394</v>
      </c>
      <c r="AL31" s="237">
        <v>245</v>
      </c>
      <c r="AM31" s="237">
        <v>3853</v>
      </c>
      <c r="AN31" s="237">
        <v>2393</v>
      </c>
      <c r="AO31" s="228">
        <v>3490</v>
      </c>
      <c r="AP31" s="237">
        <v>1338</v>
      </c>
      <c r="AQ31" s="237">
        <v>2095</v>
      </c>
      <c r="AR31" s="237">
        <v>0</v>
      </c>
      <c r="AS31" s="237">
        <v>571</v>
      </c>
      <c r="AT31" s="237">
        <v>339</v>
      </c>
      <c r="AU31" s="238">
        <v>5874</v>
      </c>
      <c r="AV31" s="237">
        <v>3814</v>
      </c>
      <c r="AW31" s="234">
        <v>6654</v>
      </c>
      <c r="AX31" s="237"/>
      <c r="AY31" s="237"/>
      <c r="AZ31" s="237"/>
      <c r="BA31" s="237"/>
      <c r="BB31" s="237"/>
      <c r="BC31" s="237"/>
      <c r="BD31" s="237"/>
      <c r="BF31" s="237"/>
      <c r="BG31" s="237"/>
      <c r="BH31" s="237"/>
      <c r="BI31" s="237"/>
      <c r="BJ31" s="237"/>
      <c r="BK31" s="237"/>
      <c r="BL31" s="237"/>
      <c r="BN31" s="237"/>
      <c r="BO31" s="237"/>
      <c r="BP31" s="237"/>
      <c r="BQ31" s="237"/>
      <c r="BR31" s="237"/>
      <c r="BS31" s="238"/>
      <c r="BT31" s="237"/>
      <c r="BV31" s="264">
        <f t="shared" si="2"/>
        <v>1918</v>
      </c>
      <c r="BW31" s="264">
        <f t="shared" si="3"/>
        <v>2685</v>
      </c>
      <c r="BX31" s="264">
        <f t="shared" si="4"/>
        <v>0</v>
      </c>
      <c r="BY31" s="264">
        <f t="shared" si="5"/>
        <v>903</v>
      </c>
      <c r="BZ31" s="264">
        <f t="shared" si="6"/>
        <v>672</v>
      </c>
      <c r="CA31" s="264">
        <f t="shared" si="7"/>
        <v>7802</v>
      </c>
      <c r="CB31" s="264">
        <f t="shared" si="8"/>
        <v>5848</v>
      </c>
      <c r="CC31" s="265">
        <f t="shared" si="9"/>
        <v>12429</v>
      </c>
      <c r="CD31" s="264">
        <f t="shared" si="10"/>
        <v>1064</v>
      </c>
      <c r="CE31" s="264">
        <f t="shared" si="11"/>
        <v>1485</v>
      </c>
      <c r="CF31" s="264">
        <f t="shared" si="12"/>
        <v>0</v>
      </c>
      <c r="CG31" s="264">
        <f t="shared" si="13"/>
        <v>426</v>
      </c>
      <c r="CH31" s="264">
        <f t="shared" si="14"/>
        <v>278</v>
      </c>
      <c r="CI31" s="264">
        <f t="shared" si="15"/>
        <v>3499</v>
      </c>
      <c r="CJ31" s="264">
        <f t="shared" si="16"/>
        <v>2528</v>
      </c>
      <c r="CK31" s="265">
        <f t="shared" si="17"/>
        <v>3684</v>
      </c>
      <c r="CL31" s="264">
        <f t="shared" si="18"/>
        <v>1538</v>
      </c>
      <c r="CM31" s="264">
        <f t="shared" si="19"/>
        <v>2106</v>
      </c>
      <c r="CN31" s="264">
        <f t="shared" si="20"/>
        <v>0</v>
      </c>
      <c r="CO31" s="264">
        <f t="shared" si="21"/>
        <v>645</v>
      </c>
      <c r="CP31" s="264">
        <f t="shared" si="22"/>
        <v>353</v>
      </c>
      <c r="CQ31" s="264">
        <f t="shared" si="23"/>
        <v>5369</v>
      </c>
      <c r="CR31" s="264">
        <f t="shared" si="24"/>
        <v>3976</v>
      </c>
      <c r="CS31" s="266">
        <f t="shared" si="25"/>
        <v>6900</v>
      </c>
      <c r="CT31" s="264">
        <f t="shared" si="26"/>
        <v>1695</v>
      </c>
      <c r="CU31" s="264">
        <f t="shared" si="27"/>
        <v>2675</v>
      </c>
      <c r="CV31" s="264">
        <f t="shared" si="28"/>
        <v>0</v>
      </c>
      <c r="CW31" s="264">
        <f t="shared" si="29"/>
        <v>805</v>
      </c>
      <c r="CX31" s="264">
        <f t="shared" si="30"/>
        <v>653</v>
      </c>
      <c r="CY31" s="264">
        <f t="shared" si="31"/>
        <v>8430</v>
      </c>
      <c r="CZ31" s="264">
        <f t="shared" si="32"/>
        <v>5586</v>
      </c>
      <c r="DA31" s="265">
        <f t="shared" si="33"/>
        <v>12003</v>
      </c>
      <c r="DB31" s="264">
        <f t="shared" si="34"/>
        <v>951</v>
      </c>
      <c r="DC31" s="264">
        <f t="shared" si="35"/>
        <v>1486</v>
      </c>
      <c r="DD31" s="264">
        <f t="shared" si="36"/>
        <v>0</v>
      </c>
      <c r="DE31" s="264">
        <f t="shared" si="37"/>
        <v>394</v>
      </c>
      <c r="DF31" s="264">
        <f t="shared" si="38"/>
        <v>245</v>
      </c>
      <c r="DG31" s="264">
        <f t="shared" si="39"/>
        <v>3853</v>
      </c>
      <c r="DH31" s="264">
        <f t="shared" si="40"/>
        <v>2393</v>
      </c>
      <c r="DI31" s="265">
        <f t="shared" si="41"/>
        <v>3490</v>
      </c>
      <c r="DJ31" s="264">
        <f t="shared" si="42"/>
        <v>1338</v>
      </c>
      <c r="DK31" s="264">
        <f t="shared" si="43"/>
        <v>2095</v>
      </c>
      <c r="DL31" s="264">
        <f t="shared" si="44"/>
        <v>0</v>
      </c>
      <c r="DM31" s="264">
        <f t="shared" si="45"/>
        <v>571</v>
      </c>
      <c r="DN31" s="264">
        <f t="shared" si="46"/>
        <v>339</v>
      </c>
      <c r="DO31" s="264">
        <f t="shared" si="47"/>
        <v>5874</v>
      </c>
      <c r="DP31" s="264">
        <f t="shared" si="48"/>
        <v>3814</v>
      </c>
      <c r="DQ31" s="266">
        <f t="shared" si="49"/>
        <v>6654</v>
      </c>
      <c r="DR31" s="279">
        <f>INDEX('Rate Assumptions'!$A$1:$C$32,MATCH('Success Allocation'!DR$3,'Rate Assumptions'!$A$1:$A$32,0),MATCH($DR$1,'Rate Assumptions'!$A$1:$C$1,0))</f>
        <v>2291.7551696336809</v>
      </c>
      <c r="DS31" s="279">
        <f>INDEX('Rate Assumptions'!$A$1:$C$32,MATCH('Success Allocation'!DS$3,'Rate Assumptions'!$A$1:$A$32,0),MATCH($DR$1,'Rate Assumptions'!$A$1:$C$1,0))</f>
        <v>1718.8163772252606</v>
      </c>
      <c r="DT31" s="279">
        <f>INDEX('Rate Assumptions'!$A$1:$C$32,MATCH('Success Allocation'!DT$3,'Rate Assumptions'!$A$1:$A$32,0),MATCH($DR$1,'Rate Assumptions'!$A$1:$C$1,0))</f>
        <v>1718.8163772252606</v>
      </c>
      <c r="DU31" s="279">
        <f>INDEX('Rate Assumptions'!$A$1:$C$32,MATCH('Success Allocation'!DU$3,'Rate Assumptions'!$A$1:$A$32,0),MATCH($DR$1,'Rate Assumptions'!$A$1:$C$1,0))</f>
        <v>1145.8775848168405</v>
      </c>
      <c r="DV31" s="279">
        <f>INDEX('Rate Assumptions'!$A$1:$C$32,MATCH('Success Allocation'!DV$3,'Rate Assumptions'!$A$1:$A$32,0),MATCH($DR$1,'Rate Assumptions'!$A$1:$C$1,0))</f>
        <v>1145.8775848168405</v>
      </c>
      <c r="DW31" s="279">
        <f>INDEX('Rate Assumptions'!$A$1:$C$32,MATCH('Success Allocation'!DW$3,'Rate Assumptions'!$A$1:$A$32,0),MATCH($DR$1,'Rate Assumptions'!$A$1:$C$1,0))</f>
        <v>572.93879240842023</v>
      </c>
      <c r="DX31" s="279">
        <f>INDEX('Rate Assumptions'!$A$1:$C$32,MATCH('Success Allocation'!DX$3,'Rate Assumptions'!$A$1:$A$32,0),MATCH($DR$1,'Rate Assumptions'!$A$1:$C$1,0))</f>
        <v>859.40818861263028</v>
      </c>
      <c r="DY31" s="280">
        <f>INDEX('Rate Assumptions'!$A$1:$C$32,MATCH('Success Allocation'!DY$3,'Rate Assumptions'!$A$1:$A$32,0),MATCH($DR$1,'Rate Assumptions'!$A$1:$C$1,0))</f>
        <v>572.93879240842023</v>
      </c>
      <c r="DZ31" s="279">
        <f>INDEX('Rate Assumptions'!$A$1:$C$32,MATCH('Success Allocation'!DZ$3,'Rate Assumptions'!$A$1:$A$32,0),MATCH($DR$1,'Rate Assumptions'!$A$1:$C$1,0))</f>
        <v>866.31570658079204</v>
      </c>
      <c r="EA31" s="279">
        <f>INDEX('Rate Assumptions'!$A$1:$C$32,MATCH('Success Allocation'!EA$3,'Rate Assumptions'!$A$1:$A$32,0),MATCH($DR$1,'Rate Assumptions'!$A$1:$C$1,0))</f>
        <v>649.73677993559397</v>
      </c>
      <c r="EB31" s="279">
        <f>INDEX('Rate Assumptions'!$A$1:$C$32,MATCH('Success Allocation'!EB$3,'Rate Assumptions'!$A$1:$A$32,0),MATCH($DR$1,'Rate Assumptions'!$A$1:$C$1,0))</f>
        <v>649.73677993559397</v>
      </c>
      <c r="EC31" s="279">
        <f>INDEX('Rate Assumptions'!$A$1:$C$32,MATCH('Success Allocation'!EC$3,'Rate Assumptions'!$A$1:$A$32,0),MATCH($DR$1,'Rate Assumptions'!$A$1:$C$1,0))</f>
        <v>433.15785329039602</v>
      </c>
      <c r="ED31" s="279">
        <f>INDEX('Rate Assumptions'!$A$1:$C$32,MATCH('Success Allocation'!ED$3,'Rate Assumptions'!$A$1:$A$32,0),MATCH($DR$1,'Rate Assumptions'!$A$1:$C$1,0))</f>
        <v>433.15785329039602</v>
      </c>
      <c r="EE31" s="279">
        <f>INDEX('Rate Assumptions'!$A$1:$C$32,MATCH('Success Allocation'!EE$3,'Rate Assumptions'!$A$1:$A$32,0),MATCH($DR$1,'Rate Assumptions'!$A$1:$C$1,0))</f>
        <v>216.57892664519801</v>
      </c>
      <c r="EF31" s="279">
        <f>INDEX('Rate Assumptions'!$A$1:$C$32,MATCH('Success Allocation'!EF$3,'Rate Assumptions'!$A$1:$A$32,0),MATCH($DR$1,'Rate Assumptions'!$A$1:$C$1,0))</f>
        <v>324.86838996779699</v>
      </c>
      <c r="EG31" s="280">
        <f>INDEX('Rate Assumptions'!$A$1:$C$32,MATCH('Success Allocation'!EG$3,'Rate Assumptions'!$A$1:$A$32,0),MATCH($DR$1,'Rate Assumptions'!$A$1:$C$1,0))</f>
        <v>216.57892664519801</v>
      </c>
      <c r="EH31" s="279">
        <f>INDEX('Rate Assumptions'!$A$1:$C$32,MATCH('Success Allocation'!EH$3,'Rate Assumptions'!$A$1:$A$32,0),MATCH($DR$1,'Rate Assumptions'!$A$1:$C$1,0))</f>
        <v>577.54380438719465</v>
      </c>
      <c r="EI31" s="279">
        <f>INDEX('Rate Assumptions'!$A$1:$C$32,MATCH('Success Allocation'!EI$3,'Rate Assumptions'!$A$1:$A$32,0),MATCH($DR$1,'Rate Assumptions'!$A$1:$C$1,0))</f>
        <v>433.15785329039602</v>
      </c>
      <c r="EJ31" s="279">
        <f>INDEX('Rate Assumptions'!$A$1:$C$32,MATCH('Success Allocation'!EJ$3,'Rate Assumptions'!$A$1:$A$32,0),MATCH($DR$1,'Rate Assumptions'!$A$1:$C$1,0))</f>
        <v>433.15785329039602</v>
      </c>
      <c r="EK31" s="279">
        <f>INDEX('Rate Assumptions'!$A$1:$C$32,MATCH('Success Allocation'!EK$3,'Rate Assumptions'!$A$1:$A$32,0),MATCH($DR$1,'Rate Assumptions'!$A$1:$C$1,0))</f>
        <v>288.77190219359733</v>
      </c>
      <c r="EL31" s="279">
        <f>INDEX('Rate Assumptions'!$A$1:$C$32,MATCH('Success Allocation'!EL$3,'Rate Assumptions'!$A$1:$A$32,0),MATCH($DR$1,'Rate Assumptions'!$A$1:$C$1,0))</f>
        <v>288.77190219359733</v>
      </c>
      <c r="EM31" s="279">
        <f>INDEX('Rate Assumptions'!$A$1:$C$32,MATCH('Success Allocation'!EM$3,'Rate Assumptions'!$A$1:$A$32,0),MATCH($DR$1,'Rate Assumptions'!$A$1:$C$1,0))</f>
        <v>144.38595109679866</v>
      </c>
      <c r="EN31" s="279">
        <f>INDEX('Rate Assumptions'!$A$1:$C$32,MATCH('Success Allocation'!EN$3,'Rate Assumptions'!$A$1:$A$32,0),MATCH($DR$1,'Rate Assumptions'!$A$1:$C$1,0))</f>
        <v>216.57892664519801</v>
      </c>
      <c r="EO31" s="281">
        <f>INDEX('Rate Assumptions'!$A$1:$C$32,MATCH('Success Allocation'!EO$3,'Rate Assumptions'!$A$1:$A$32,0),MATCH($DR$1,'Rate Assumptions'!$A$1:$C$1,0))</f>
        <v>144.38595109679866</v>
      </c>
      <c r="EP31" s="170">
        <f t="shared" si="50"/>
        <v>36722101.474083185</v>
      </c>
    </row>
    <row r="32" spans="1:146">
      <c r="A32" s="223" t="s">
        <v>119</v>
      </c>
      <c r="B32" s="226">
        <v>91</v>
      </c>
      <c r="C32" s="226">
        <v>160</v>
      </c>
      <c r="D32" s="226">
        <v>0</v>
      </c>
      <c r="E32" s="226">
        <v>51</v>
      </c>
      <c r="F32" s="226">
        <v>55</v>
      </c>
      <c r="G32" s="227">
        <v>464</v>
      </c>
      <c r="H32" s="226">
        <v>414</v>
      </c>
      <c r="I32" s="228">
        <v>299</v>
      </c>
      <c r="J32" s="226">
        <v>46</v>
      </c>
      <c r="K32" s="226">
        <v>77</v>
      </c>
      <c r="L32" s="226">
        <v>0</v>
      </c>
      <c r="M32" s="226">
        <v>21</v>
      </c>
      <c r="N32" s="226">
        <v>14</v>
      </c>
      <c r="O32" s="227">
        <v>152</v>
      </c>
      <c r="P32" s="226">
        <v>128</v>
      </c>
      <c r="Q32" s="228">
        <v>35</v>
      </c>
      <c r="R32" s="226">
        <v>66</v>
      </c>
      <c r="S32" s="226">
        <v>118</v>
      </c>
      <c r="T32" s="226">
        <v>0</v>
      </c>
      <c r="U32" s="226">
        <v>31</v>
      </c>
      <c r="V32" s="226">
        <v>27</v>
      </c>
      <c r="W32" s="227">
        <v>264</v>
      </c>
      <c r="X32" s="226">
        <v>199</v>
      </c>
      <c r="Y32" s="234">
        <v>58</v>
      </c>
      <c r="Z32" s="237">
        <v>112</v>
      </c>
      <c r="AA32" s="237">
        <v>151</v>
      </c>
      <c r="AB32" s="237">
        <v>0</v>
      </c>
      <c r="AC32" s="237">
        <v>51</v>
      </c>
      <c r="AD32" s="237">
        <v>53</v>
      </c>
      <c r="AE32" s="237">
        <v>434</v>
      </c>
      <c r="AF32" s="237">
        <v>438</v>
      </c>
      <c r="AG32" s="228">
        <v>334</v>
      </c>
      <c r="AH32" s="237">
        <v>42</v>
      </c>
      <c r="AI32" s="237">
        <v>76</v>
      </c>
      <c r="AJ32" s="237">
        <v>0</v>
      </c>
      <c r="AK32" s="237">
        <v>18</v>
      </c>
      <c r="AL32" s="237">
        <v>14</v>
      </c>
      <c r="AM32" s="237">
        <v>158</v>
      </c>
      <c r="AN32" s="237">
        <v>122</v>
      </c>
      <c r="AO32" s="228">
        <v>48</v>
      </c>
      <c r="AP32" s="237">
        <v>68</v>
      </c>
      <c r="AQ32" s="237">
        <v>108</v>
      </c>
      <c r="AR32" s="237">
        <v>0</v>
      </c>
      <c r="AS32" s="237">
        <v>29</v>
      </c>
      <c r="AT32" s="237">
        <v>21</v>
      </c>
      <c r="AU32" s="238">
        <v>250</v>
      </c>
      <c r="AV32" s="237">
        <v>196</v>
      </c>
      <c r="AW32" s="234">
        <v>83</v>
      </c>
      <c r="AX32" s="237"/>
      <c r="AY32" s="237"/>
      <c r="AZ32" s="237"/>
      <c r="BA32" s="237"/>
      <c r="BB32" s="237"/>
      <c r="BC32" s="237"/>
      <c r="BD32" s="237"/>
      <c r="BF32" s="237"/>
      <c r="BG32" s="237"/>
      <c r="BH32" s="237"/>
      <c r="BI32" s="237"/>
      <c r="BJ32" s="237"/>
      <c r="BK32" s="237"/>
      <c r="BL32" s="237"/>
      <c r="BN32" s="237"/>
      <c r="BO32" s="237"/>
      <c r="BP32" s="237"/>
      <c r="BQ32" s="237"/>
      <c r="BR32" s="237"/>
      <c r="BS32" s="238"/>
      <c r="BT32" s="237"/>
      <c r="BV32" s="264">
        <f t="shared" si="2"/>
        <v>133</v>
      </c>
      <c r="BW32" s="264">
        <f t="shared" si="3"/>
        <v>142</v>
      </c>
      <c r="BX32" s="264">
        <f t="shared" si="4"/>
        <v>0</v>
      </c>
      <c r="BY32" s="264">
        <f t="shared" si="5"/>
        <v>51</v>
      </c>
      <c r="BZ32" s="264">
        <f t="shared" si="6"/>
        <v>51</v>
      </c>
      <c r="CA32" s="264">
        <f t="shared" si="7"/>
        <v>404</v>
      </c>
      <c r="CB32" s="264">
        <f t="shared" si="8"/>
        <v>462</v>
      </c>
      <c r="CC32" s="265">
        <f t="shared" si="9"/>
        <v>369</v>
      </c>
      <c r="CD32" s="264">
        <f t="shared" si="10"/>
        <v>38</v>
      </c>
      <c r="CE32" s="264">
        <f t="shared" si="11"/>
        <v>75</v>
      </c>
      <c r="CF32" s="264">
        <f t="shared" si="12"/>
        <v>0</v>
      </c>
      <c r="CG32" s="264">
        <f t="shared" si="13"/>
        <v>15</v>
      </c>
      <c r="CH32" s="264">
        <f t="shared" si="14"/>
        <v>14</v>
      </c>
      <c r="CI32" s="264">
        <f t="shared" si="15"/>
        <v>164</v>
      </c>
      <c r="CJ32" s="264">
        <f t="shared" si="16"/>
        <v>116</v>
      </c>
      <c r="CK32" s="265">
        <f t="shared" si="17"/>
        <v>61</v>
      </c>
      <c r="CL32" s="264">
        <f t="shared" si="18"/>
        <v>70</v>
      </c>
      <c r="CM32" s="264">
        <f t="shared" si="19"/>
        <v>98</v>
      </c>
      <c r="CN32" s="264">
        <f t="shared" si="20"/>
        <v>0</v>
      </c>
      <c r="CO32" s="264">
        <f t="shared" si="21"/>
        <v>27</v>
      </c>
      <c r="CP32" s="264">
        <f t="shared" si="22"/>
        <v>15</v>
      </c>
      <c r="CQ32" s="264">
        <f t="shared" si="23"/>
        <v>236</v>
      </c>
      <c r="CR32" s="264">
        <f t="shared" si="24"/>
        <v>193</v>
      </c>
      <c r="CS32" s="266">
        <f t="shared" si="25"/>
        <v>108</v>
      </c>
      <c r="CT32" s="264">
        <f t="shared" si="26"/>
        <v>112</v>
      </c>
      <c r="CU32" s="264">
        <f t="shared" si="27"/>
        <v>151</v>
      </c>
      <c r="CV32" s="264">
        <f t="shared" si="28"/>
        <v>0</v>
      </c>
      <c r="CW32" s="264">
        <f t="shared" si="29"/>
        <v>51</v>
      </c>
      <c r="CX32" s="264">
        <f t="shared" si="30"/>
        <v>53</v>
      </c>
      <c r="CY32" s="264">
        <f t="shared" si="31"/>
        <v>434</v>
      </c>
      <c r="CZ32" s="264">
        <f t="shared" si="32"/>
        <v>438</v>
      </c>
      <c r="DA32" s="265">
        <f t="shared" si="33"/>
        <v>334</v>
      </c>
      <c r="DB32" s="264">
        <f t="shared" si="34"/>
        <v>42</v>
      </c>
      <c r="DC32" s="264">
        <f t="shared" si="35"/>
        <v>76</v>
      </c>
      <c r="DD32" s="264">
        <f t="shared" si="36"/>
        <v>0</v>
      </c>
      <c r="DE32" s="264">
        <f t="shared" si="37"/>
        <v>18</v>
      </c>
      <c r="DF32" s="264">
        <f t="shared" si="38"/>
        <v>14</v>
      </c>
      <c r="DG32" s="264">
        <f t="shared" si="39"/>
        <v>158</v>
      </c>
      <c r="DH32" s="264">
        <f t="shared" si="40"/>
        <v>122</v>
      </c>
      <c r="DI32" s="265">
        <f t="shared" si="41"/>
        <v>48</v>
      </c>
      <c r="DJ32" s="264">
        <f t="shared" si="42"/>
        <v>68</v>
      </c>
      <c r="DK32" s="264">
        <f t="shared" si="43"/>
        <v>108</v>
      </c>
      <c r="DL32" s="264">
        <f t="shared" si="44"/>
        <v>0</v>
      </c>
      <c r="DM32" s="264">
        <f t="shared" si="45"/>
        <v>29</v>
      </c>
      <c r="DN32" s="264">
        <f t="shared" si="46"/>
        <v>21</v>
      </c>
      <c r="DO32" s="264">
        <f t="shared" si="47"/>
        <v>250</v>
      </c>
      <c r="DP32" s="264">
        <f t="shared" si="48"/>
        <v>196</v>
      </c>
      <c r="DQ32" s="266">
        <f t="shared" si="49"/>
        <v>83</v>
      </c>
      <c r="DR32" s="279">
        <f>INDEX('Rate Assumptions'!$A$1:$C$32,MATCH('Success Allocation'!DR$3,'Rate Assumptions'!$A$1:$A$32,0),MATCH($DR$1,'Rate Assumptions'!$A$1:$C$1,0))</f>
        <v>2291.7551696336809</v>
      </c>
      <c r="DS32" s="279">
        <f>INDEX('Rate Assumptions'!$A$1:$C$32,MATCH('Success Allocation'!DS$3,'Rate Assumptions'!$A$1:$A$32,0),MATCH($DR$1,'Rate Assumptions'!$A$1:$C$1,0))</f>
        <v>1718.8163772252606</v>
      </c>
      <c r="DT32" s="279">
        <f>INDEX('Rate Assumptions'!$A$1:$C$32,MATCH('Success Allocation'!DT$3,'Rate Assumptions'!$A$1:$A$32,0),MATCH($DR$1,'Rate Assumptions'!$A$1:$C$1,0))</f>
        <v>1718.8163772252606</v>
      </c>
      <c r="DU32" s="279">
        <f>INDEX('Rate Assumptions'!$A$1:$C$32,MATCH('Success Allocation'!DU$3,'Rate Assumptions'!$A$1:$A$32,0),MATCH($DR$1,'Rate Assumptions'!$A$1:$C$1,0))</f>
        <v>1145.8775848168405</v>
      </c>
      <c r="DV32" s="279">
        <f>INDEX('Rate Assumptions'!$A$1:$C$32,MATCH('Success Allocation'!DV$3,'Rate Assumptions'!$A$1:$A$32,0),MATCH($DR$1,'Rate Assumptions'!$A$1:$C$1,0))</f>
        <v>1145.8775848168405</v>
      </c>
      <c r="DW32" s="279">
        <f>INDEX('Rate Assumptions'!$A$1:$C$32,MATCH('Success Allocation'!DW$3,'Rate Assumptions'!$A$1:$A$32,0),MATCH($DR$1,'Rate Assumptions'!$A$1:$C$1,0))</f>
        <v>572.93879240842023</v>
      </c>
      <c r="DX32" s="279">
        <f>INDEX('Rate Assumptions'!$A$1:$C$32,MATCH('Success Allocation'!DX$3,'Rate Assumptions'!$A$1:$A$32,0),MATCH($DR$1,'Rate Assumptions'!$A$1:$C$1,0))</f>
        <v>859.40818861263028</v>
      </c>
      <c r="DY32" s="280">
        <f>INDEX('Rate Assumptions'!$A$1:$C$32,MATCH('Success Allocation'!DY$3,'Rate Assumptions'!$A$1:$A$32,0),MATCH($DR$1,'Rate Assumptions'!$A$1:$C$1,0))</f>
        <v>572.93879240842023</v>
      </c>
      <c r="DZ32" s="279">
        <f>INDEX('Rate Assumptions'!$A$1:$C$32,MATCH('Success Allocation'!DZ$3,'Rate Assumptions'!$A$1:$A$32,0),MATCH($DR$1,'Rate Assumptions'!$A$1:$C$1,0))</f>
        <v>866.31570658079204</v>
      </c>
      <c r="EA32" s="279">
        <f>INDEX('Rate Assumptions'!$A$1:$C$32,MATCH('Success Allocation'!EA$3,'Rate Assumptions'!$A$1:$A$32,0),MATCH($DR$1,'Rate Assumptions'!$A$1:$C$1,0))</f>
        <v>649.73677993559397</v>
      </c>
      <c r="EB32" s="279">
        <f>INDEX('Rate Assumptions'!$A$1:$C$32,MATCH('Success Allocation'!EB$3,'Rate Assumptions'!$A$1:$A$32,0),MATCH($DR$1,'Rate Assumptions'!$A$1:$C$1,0))</f>
        <v>649.73677993559397</v>
      </c>
      <c r="EC32" s="279">
        <f>INDEX('Rate Assumptions'!$A$1:$C$32,MATCH('Success Allocation'!EC$3,'Rate Assumptions'!$A$1:$A$32,0),MATCH($DR$1,'Rate Assumptions'!$A$1:$C$1,0))</f>
        <v>433.15785329039602</v>
      </c>
      <c r="ED32" s="279">
        <f>INDEX('Rate Assumptions'!$A$1:$C$32,MATCH('Success Allocation'!ED$3,'Rate Assumptions'!$A$1:$A$32,0),MATCH($DR$1,'Rate Assumptions'!$A$1:$C$1,0))</f>
        <v>433.15785329039602</v>
      </c>
      <c r="EE32" s="279">
        <f>INDEX('Rate Assumptions'!$A$1:$C$32,MATCH('Success Allocation'!EE$3,'Rate Assumptions'!$A$1:$A$32,0),MATCH($DR$1,'Rate Assumptions'!$A$1:$C$1,0))</f>
        <v>216.57892664519801</v>
      </c>
      <c r="EF32" s="279">
        <f>INDEX('Rate Assumptions'!$A$1:$C$32,MATCH('Success Allocation'!EF$3,'Rate Assumptions'!$A$1:$A$32,0),MATCH($DR$1,'Rate Assumptions'!$A$1:$C$1,0))</f>
        <v>324.86838996779699</v>
      </c>
      <c r="EG32" s="280">
        <f>INDEX('Rate Assumptions'!$A$1:$C$32,MATCH('Success Allocation'!EG$3,'Rate Assumptions'!$A$1:$A$32,0),MATCH($DR$1,'Rate Assumptions'!$A$1:$C$1,0))</f>
        <v>216.57892664519801</v>
      </c>
      <c r="EH32" s="279">
        <f>INDEX('Rate Assumptions'!$A$1:$C$32,MATCH('Success Allocation'!EH$3,'Rate Assumptions'!$A$1:$A$32,0),MATCH($DR$1,'Rate Assumptions'!$A$1:$C$1,0))</f>
        <v>577.54380438719465</v>
      </c>
      <c r="EI32" s="279">
        <f>INDEX('Rate Assumptions'!$A$1:$C$32,MATCH('Success Allocation'!EI$3,'Rate Assumptions'!$A$1:$A$32,0),MATCH($DR$1,'Rate Assumptions'!$A$1:$C$1,0))</f>
        <v>433.15785329039602</v>
      </c>
      <c r="EJ32" s="279">
        <f>INDEX('Rate Assumptions'!$A$1:$C$32,MATCH('Success Allocation'!EJ$3,'Rate Assumptions'!$A$1:$A$32,0),MATCH($DR$1,'Rate Assumptions'!$A$1:$C$1,0))</f>
        <v>433.15785329039602</v>
      </c>
      <c r="EK32" s="279">
        <f>INDEX('Rate Assumptions'!$A$1:$C$32,MATCH('Success Allocation'!EK$3,'Rate Assumptions'!$A$1:$A$32,0),MATCH($DR$1,'Rate Assumptions'!$A$1:$C$1,0))</f>
        <v>288.77190219359733</v>
      </c>
      <c r="EL32" s="279">
        <f>INDEX('Rate Assumptions'!$A$1:$C$32,MATCH('Success Allocation'!EL$3,'Rate Assumptions'!$A$1:$A$32,0),MATCH($DR$1,'Rate Assumptions'!$A$1:$C$1,0))</f>
        <v>288.77190219359733</v>
      </c>
      <c r="EM32" s="279">
        <f>INDEX('Rate Assumptions'!$A$1:$C$32,MATCH('Success Allocation'!EM$3,'Rate Assumptions'!$A$1:$A$32,0),MATCH($DR$1,'Rate Assumptions'!$A$1:$C$1,0))</f>
        <v>144.38595109679866</v>
      </c>
      <c r="EN32" s="279">
        <f>INDEX('Rate Assumptions'!$A$1:$C$32,MATCH('Success Allocation'!EN$3,'Rate Assumptions'!$A$1:$A$32,0),MATCH($DR$1,'Rate Assumptions'!$A$1:$C$1,0))</f>
        <v>216.57892664519801</v>
      </c>
      <c r="EO32" s="281">
        <f>INDEX('Rate Assumptions'!$A$1:$C$32,MATCH('Success Allocation'!EO$3,'Rate Assumptions'!$A$1:$A$32,0),MATCH($DR$1,'Rate Assumptions'!$A$1:$C$1,0))</f>
        <v>144.38595109679866</v>
      </c>
      <c r="EP32" s="170">
        <f t="shared" si="50"/>
        <v>1872784.4271129384</v>
      </c>
    </row>
    <row r="33" spans="1:146">
      <c r="A33" s="223" t="s">
        <v>120</v>
      </c>
      <c r="B33" s="226">
        <v>86</v>
      </c>
      <c r="C33" s="226">
        <v>182</v>
      </c>
      <c r="D33" s="226">
        <v>0</v>
      </c>
      <c r="E33" s="226">
        <v>38</v>
      </c>
      <c r="F33" s="226">
        <v>29</v>
      </c>
      <c r="G33" s="227">
        <v>529</v>
      </c>
      <c r="H33" s="226">
        <v>245</v>
      </c>
      <c r="I33" s="228">
        <v>683</v>
      </c>
      <c r="J33" s="226">
        <v>61</v>
      </c>
      <c r="K33" s="226">
        <v>132</v>
      </c>
      <c r="L33" s="226">
        <v>0</v>
      </c>
      <c r="M33" s="226">
        <v>26</v>
      </c>
      <c r="N33" s="226">
        <v>12</v>
      </c>
      <c r="O33" s="227">
        <v>357</v>
      </c>
      <c r="P33" s="226">
        <v>110</v>
      </c>
      <c r="Q33" s="228">
        <v>217</v>
      </c>
      <c r="R33" s="226">
        <v>76</v>
      </c>
      <c r="S33" s="226">
        <v>164</v>
      </c>
      <c r="T33" s="226">
        <v>0</v>
      </c>
      <c r="U33" s="226">
        <v>34</v>
      </c>
      <c r="V33" s="226">
        <v>25</v>
      </c>
      <c r="W33" s="227">
        <v>435</v>
      </c>
      <c r="X33" s="226">
        <v>153</v>
      </c>
      <c r="Y33" s="234">
        <v>397</v>
      </c>
      <c r="Z33" s="237">
        <v>96</v>
      </c>
      <c r="AA33" s="237">
        <v>196</v>
      </c>
      <c r="AB33" s="237">
        <v>0</v>
      </c>
      <c r="AC33" s="237">
        <v>46</v>
      </c>
      <c r="AD33" s="237">
        <v>32</v>
      </c>
      <c r="AE33" s="237">
        <v>517</v>
      </c>
      <c r="AF33" s="237">
        <v>262</v>
      </c>
      <c r="AG33" s="228">
        <v>701</v>
      </c>
      <c r="AH33" s="237">
        <v>65</v>
      </c>
      <c r="AI33" s="237">
        <v>124</v>
      </c>
      <c r="AJ33" s="237">
        <v>0</v>
      </c>
      <c r="AK33" s="237">
        <v>29</v>
      </c>
      <c r="AL33" s="237">
        <v>16</v>
      </c>
      <c r="AM33" s="237">
        <v>295</v>
      </c>
      <c r="AN33" s="237">
        <v>101</v>
      </c>
      <c r="AO33" s="228">
        <v>248</v>
      </c>
      <c r="AP33" s="237">
        <v>77</v>
      </c>
      <c r="AQ33" s="237">
        <v>163</v>
      </c>
      <c r="AR33" s="237">
        <v>0</v>
      </c>
      <c r="AS33" s="237">
        <v>37</v>
      </c>
      <c r="AT33" s="237">
        <v>22</v>
      </c>
      <c r="AU33" s="238">
        <v>397</v>
      </c>
      <c r="AV33" s="237">
        <v>150</v>
      </c>
      <c r="AW33" s="234">
        <v>416</v>
      </c>
      <c r="AX33" s="237"/>
      <c r="AY33" s="237"/>
      <c r="AZ33" s="237"/>
      <c r="BA33" s="237"/>
      <c r="BB33" s="237"/>
      <c r="BC33" s="237"/>
      <c r="BD33" s="237"/>
      <c r="BF33" s="237"/>
      <c r="BG33" s="237"/>
      <c r="BH33" s="237"/>
      <c r="BI33" s="237"/>
      <c r="BJ33" s="237"/>
      <c r="BK33" s="237"/>
      <c r="BL33" s="237"/>
      <c r="BN33" s="237"/>
      <c r="BO33" s="237"/>
      <c r="BP33" s="237"/>
      <c r="BQ33" s="237"/>
      <c r="BR33" s="237"/>
      <c r="BS33" s="238"/>
      <c r="BT33" s="237"/>
      <c r="BV33" s="264">
        <f t="shared" si="2"/>
        <v>106</v>
      </c>
      <c r="BW33" s="264">
        <f t="shared" si="3"/>
        <v>210</v>
      </c>
      <c r="BX33" s="264">
        <f t="shared" si="4"/>
        <v>0</v>
      </c>
      <c r="BY33" s="264">
        <f t="shared" si="5"/>
        <v>54</v>
      </c>
      <c r="BZ33" s="264">
        <f t="shared" si="6"/>
        <v>35</v>
      </c>
      <c r="CA33" s="264">
        <f t="shared" si="7"/>
        <v>505</v>
      </c>
      <c r="CB33" s="264">
        <f t="shared" si="8"/>
        <v>279</v>
      </c>
      <c r="CC33" s="265">
        <f t="shared" si="9"/>
        <v>719</v>
      </c>
      <c r="CD33" s="264">
        <f t="shared" si="10"/>
        <v>69</v>
      </c>
      <c r="CE33" s="264">
        <f t="shared" si="11"/>
        <v>116</v>
      </c>
      <c r="CF33" s="264">
        <f t="shared" si="12"/>
        <v>0</v>
      </c>
      <c r="CG33" s="264">
        <f t="shared" si="13"/>
        <v>32</v>
      </c>
      <c r="CH33" s="264">
        <f t="shared" si="14"/>
        <v>20</v>
      </c>
      <c r="CI33" s="264">
        <f t="shared" si="15"/>
        <v>233</v>
      </c>
      <c r="CJ33" s="264">
        <f t="shared" si="16"/>
        <v>92</v>
      </c>
      <c r="CK33" s="265">
        <f t="shared" si="17"/>
        <v>279</v>
      </c>
      <c r="CL33" s="264">
        <f t="shared" si="18"/>
        <v>78</v>
      </c>
      <c r="CM33" s="264">
        <f t="shared" si="19"/>
        <v>162</v>
      </c>
      <c r="CN33" s="264">
        <f t="shared" si="20"/>
        <v>0</v>
      </c>
      <c r="CO33" s="264">
        <f t="shared" si="21"/>
        <v>40</v>
      </c>
      <c r="CP33" s="264">
        <f t="shared" si="22"/>
        <v>19</v>
      </c>
      <c r="CQ33" s="264">
        <f t="shared" si="23"/>
        <v>359</v>
      </c>
      <c r="CR33" s="264">
        <f t="shared" si="24"/>
        <v>147</v>
      </c>
      <c r="CS33" s="266">
        <f t="shared" si="25"/>
        <v>435</v>
      </c>
      <c r="CT33" s="264">
        <f t="shared" si="26"/>
        <v>96</v>
      </c>
      <c r="CU33" s="264">
        <f t="shared" si="27"/>
        <v>196</v>
      </c>
      <c r="CV33" s="264">
        <f t="shared" si="28"/>
        <v>0</v>
      </c>
      <c r="CW33" s="264">
        <f t="shared" si="29"/>
        <v>46</v>
      </c>
      <c r="CX33" s="264">
        <f t="shared" si="30"/>
        <v>32</v>
      </c>
      <c r="CY33" s="264">
        <f t="shared" si="31"/>
        <v>517</v>
      </c>
      <c r="CZ33" s="264">
        <f t="shared" si="32"/>
        <v>262</v>
      </c>
      <c r="DA33" s="265">
        <f t="shared" si="33"/>
        <v>701</v>
      </c>
      <c r="DB33" s="264">
        <f t="shared" si="34"/>
        <v>65</v>
      </c>
      <c r="DC33" s="264">
        <f t="shared" si="35"/>
        <v>124</v>
      </c>
      <c r="DD33" s="264">
        <f t="shared" si="36"/>
        <v>0</v>
      </c>
      <c r="DE33" s="264">
        <f t="shared" si="37"/>
        <v>29</v>
      </c>
      <c r="DF33" s="264">
        <f t="shared" si="38"/>
        <v>16</v>
      </c>
      <c r="DG33" s="264">
        <f t="shared" si="39"/>
        <v>295</v>
      </c>
      <c r="DH33" s="264">
        <f t="shared" si="40"/>
        <v>101</v>
      </c>
      <c r="DI33" s="265">
        <f t="shared" si="41"/>
        <v>248</v>
      </c>
      <c r="DJ33" s="264">
        <f t="shared" si="42"/>
        <v>77</v>
      </c>
      <c r="DK33" s="264">
        <f t="shared" si="43"/>
        <v>163</v>
      </c>
      <c r="DL33" s="264">
        <f t="shared" si="44"/>
        <v>0</v>
      </c>
      <c r="DM33" s="264">
        <f t="shared" si="45"/>
        <v>37</v>
      </c>
      <c r="DN33" s="264">
        <f t="shared" si="46"/>
        <v>22</v>
      </c>
      <c r="DO33" s="264">
        <f t="shared" si="47"/>
        <v>397</v>
      </c>
      <c r="DP33" s="264">
        <f t="shared" si="48"/>
        <v>150</v>
      </c>
      <c r="DQ33" s="266">
        <f t="shared" si="49"/>
        <v>416</v>
      </c>
      <c r="DR33" s="279">
        <f>INDEX('Rate Assumptions'!$A$1:$C$32,MATCH('Success Allocation'!DR$3,'Rate Assumptions'!$A$1:$A$32,0),MATCH($DR$1,'Rate Assumptions'!$A$1:$C$1,0))</f>
        <v>2291.7551696336809</v>
      </c>
      <c r="DS33" s="279">
        <f>INDEX('Rate Assumptions'!$A$1:$C$32,MATCH('Success Allocation'!DS$3,'Rate Assumptions'!$A$1:$A$32,0),MATCH($DR$1,'Rate Assumptions'!$A$1:$C$1,0))</f>
        <v>1718.8163772252606</v>
      </c>
      <c r="DT33" s="279">
        <f>INDEX('Rate Assumptions'!$A$1:$C$32,MATCH('Success Allocation'!DT$3,'Rate Assumptions'!$A$1:$A$32,0),MATCH($DR$1,'Rate Assumptions'!$A$1:$C$1,0))</f>
        <v>1718.8163772252606</v>
      </c>
      <c r="DU33" s="279">
        <f>INDEX('Rate Assumptions'!$A$1:$C$32,MATCH('Success Allocation'!DU$3,'Rate Assumptions'!$A$1:$A$32,0),MATCH($DR$1,'Rate Assumptions'!$A$1:$C$1,0))</f>
        <v>1145.8775848168405</v>
      </c>
      <c r="DV33" s="279">
        <f>INDEX('Rate Assumptions'!$A$1:$C$32,MATCH('Success Allocation'!DV$3,'Rate Assumptions'!$A$1:$A$32,0),MATCH($DR$1,'Rate Assumptions'!$A$1:$C$1,0))</f>
        <v>1145.8775848168405</v>
      </c>
      <c r="DW33" s="279">
        <f>INDEX('Rate Assumptions'!$A$1:$C$32,MATCH('Success Allocation'!DW$3,'Rate Assumptions'!$A$1:$A$32,0),MATCH($DR$1,'Rate Assumptions'!$A$1:$C$1,0))</f>
        <v>572.93879240842023</v>
      </c>
      <c r="DX33" s="279">
        <f>INDEX('Rate Assumptions'!$A$1:$C$32,MATCH('Success Allocation'!DX$3,'Rate Assumptions'!$A$1:$A$32,0),MATCH($DR$1,'Rate Assumptions'!$A$1:$C$1,0))</f>
        <v>859.40818861263028</v>
      </c>
      <c r="DY33" s="280">
        <f>INDEX('Rate Assumptions'!$A$1:$C$32,MATCH('Success Allocation'!DY$3,'Rate Assumptions'!$A$1:$A$32,0),MATCH($DR$1,'Rate Assumptions'!$A$1:$C$1,0))</f>
        <v>572.93879240842023</v>
      </c>
      <c r="DZ33" s="279">
        <f>INDEX('Rate Assumptions'!$A$1:$C$32,MATCH('Success Allocation'!DZ$3,'Rate Assumptions'!$A$1:$A$32,0),MATCH($DR$1,'Rate Assumptions'!$A$1:$C$1,0))</f>
        <v>866.31570658079204</v>
      </c>
      <c r="EA33" s="279">
        <f>INDEX('Rate Assumptions'!$A$1:$C$32,MATCH('Success Allocation'!EA$3,'Rate Assumptions'!$A$1:$A$32,0),MATCH($DR$1,'Rate Assumptions'!$A$1:$C$1,0))</f>
        <v>649.73677993559397</v>
      </c>
      <c r="EB33" s="279">
        <f>INDEX('Rate Assumptions'!$A$1:$C$32,MATCH('Success Allocation'!EB$3,'Rate Assumptions'!$A$1:$A$32,0),MATCH($DR$1,'Rate Assumptions'!$A$1:$C$1,0))</f>
        <v>649.73677993559397</v>
      </c>
      <c r="EC33" s="279">
        <f>INDEX('Rate Assumptions'!$A$1:$C$32,MATCH('Success Allocation'!EC$3,'Rate Assumptions'!$A$1:$A$32,0),MATCH($DR$1,'Rate Assumptions'!$A$1:$C$1,0))</f>
        <v>433.15785329039602</v>
      </c>
      <c r="ED33" s="279">
        <f>INDEX('Rate Assumptions'!$A$1:$C$32,MATCH('Success Allocation'!ED$3,'Rate Assumptions'!$A$1:$A$32,0),MATCH($DR$1,'Rate Assumptions'!$A$1:$C$1,0))</f>
        <v>433.15785329039602</v>
      </c>
      <c r="EE33" s="279">
        <f>INDEX('Rate Assumptions'!$A$1:$C$32,MATCH('Success Allocation'!EE$3,'Rate Assumptions'!$A$1:$A$32,0),MATCH($DR$1,'Rate Assumptions'!$A$1:$C$1,0))</f>
        <v>216.57892664519801</v>
      </c>
      <c r="EF33" s="279">
        <f>INDEX('Rate Assumptions'!$A$1:$C$32,MATCH('Success Allocation'!EF$3,'Rate Assumptions'!$A$1:$A$32,0),MATCH($DR$1,'Rate Assumptions'!$A$1:$C$1,0))</f>
        <v>324.86838996779699</v>
      </c>
      <c r="EG33" s="280">
        <f>INDEX('Rate Assumptions'!$A$1:$C$32,MATCH('Success Allocation'!EG$3,'Rate Assumptions'!$A$1:$A$32,0),MATCH($DR$1,'Rate Assumptions'!$A$1:$C$1,0))</f>
        <v>216.57892664519801</v>
      </c>
      <c r="EH33" s="279">
        <f>INDEX('Rate Assumptions'!$A$1:$C$32,MATCH('Success Allocation'!EH$3,'Rate Assumptions'!$A$1:$A$32,0),MATCH($DR$1,'Rate Assumptions'!$A$1:$C$1,0))</f>
        <v>577.54380438719465</v>
      </c>
      <c r="EI33" s="279">
        <f>INDEX('Rate Assumptions'!$A$1:$C$32,MATCH('Success Allocation'!EI$3,'Rate Assumptions'!$A$1:$A$32,0),MATCH($DR$1,'Rate Assumptions'!$A$1:$C$1,0))</f>
        <v>433.15785329039602</v>
      </c>
      <c r="EJ33" s="279">
        <f>INDEX('Rate Assumptions'!$A$1:$C$32,MATCH('Success Allocation'!EJ$3,'Rate Assumptions'!$A$1:$A$32,0),MATCH($DR$1,'Rate Assumptions'!$A$1:$C$1,0))</f>
        <v>433.15785329039602</v>
      </c>
      <c r="EK33" s="279">
        <f>INDEX('Rate Assumptions'!$A$1:$C$32,MATCH('Success Allocation'!EK$3,'Rate Assumptions'!$A$1:$A$32,0),MATCH($DR$1,'Rate Assumptions'!$A$1:$C$1,0))</f>
        <v>288.77190219359733</v>
      </c>
      <c r="EL33" s="279">
        <f>INDEX('Rate Assumptions'!$A$1:$C$32,MATCH('Success Allocation'!EL$3,'Rate Assumptions'!$A$1:$A$32,0),MATCH($DR$1,'Rate Assumptions'!$A$1:$C$1,0))</f>
        <v>288.77190219359733</v>
      </c>
      <c r="EM33" s="279">
        <f>INDEX('Rate Assumptions'!$A$1:$C$32,MATCH('Success Allocation'!EM$3,'Rate Assumptions'!$A$1:$A$32,0),MATCH($DR$1,'Rate Assumptions'!$A$1:$C$1,0))</f>
        <v>144.38595109679866</v>
      </c>
      <c r="EN33" s="279">
        <f>INDEX('Rate Assumptions'!$A$1:$C$32,MATCH('Success Allocation'!EN$3,'Rate Assumptions'!$A$1:$A$32,0),MATCH($DR$1,'Rate Assumptions'!$A$1:$C$1,0))</f>
        <v>216.57892664519801</v>
      </c>
      <c r="EO33" s="281">
        <f>INDEX('Rate Assumptions'!$A$1:$C$32,MATCH('Success Allocation'!EO$3,'Rate Assumptions'!$A$1:$A$32,0),MATCH($DR$1,'Rate Assumptions'!$A$1:$C$1,0))</f>
        <v>144.38595109679866</v>
      </c>
      <c r="EP33" s="170">
        <f t="shared" si="50"/>
        <v>2224095.3982874565</v>
      </c>
    </row>
    <row r="34" spans="1:146">
      <c r="A34" s="223" t="s">
        <v>121</v>
      </c>
      <c r="B34" s="226">
        <v>390</v>
      </c>
      <c r="C34" s="226">
        <v>410</v>
      </c>
      <c r="D34" s="226">
        <v>0</v>
      </c>
      <c r="E34" s="226">
        <v>120</v>
      </c>
      <c r="F34" s="226">
        <v>174</v>
      </c>
      <c r="G34" s="227">
        <v>1358</v>
      </c>
      <c r="H34" s="226">
        <v>864</v>
      </c>
      <c r="I34" s="228">
        <v>1750</v>
      </c>
      <c r="J34" s="226">
        <v>277</v>
      </c>
      <c r="K34" s="226">
        <v>301</v>
      </c>
      <c r="L34" s="226">
        <v>0</v>
      </c>
      <c r="M34" s="226">
        <v>89</v>
      </c>
      <c r="N34" s="226">
        <v>85</v>
      </c>
      <c r="O34" s="227">
        <v>928</v>
      </c>
      <c r="P34" s="226">
        <v>564</v>
      </c>
      <c r="Q34" s="228">
        <v>825</v>
      </c>
      <c r="R34" s="226">
        <v>336</v>
      </c>
      <c r="S34" s="226">
        <v>343</v>
      </c>
      <c r="T34" s="226">
        <v>0</v>
      </c>
      <c r="U34" s="226">
        <v>101</v>
      </c>
      <c r="V34" s="226">
        <v>119</v>
      </c>
      <c r="W34" s="227">
        <v>1149</v>
      </c>
      <c r="X34" s="226">
        <v>725</v>
      </c>
      <c r="Y34" s="234">
        <v>1126</v>
      </c>
      <c r="Z34" s="237">
        <v>506</v>
      </c>
      <c r="AA34" s="237">
        <v>405</v>
      </c>
      <c r="AB34" s="237">
        <v>0</v>
      </c>
      <c r="AC34" s="237">
        <v>125</v>
      </c>
      <c r="AD34" s="237">
        <v>206</v>
      </c>
      <c r="AE34" s="237">
        <v>1443</v>
      </c>
      <c r="AF34" s="237">
        <v>918</v>
      </c>
      <c r="AG34" s="228">
        <v>1947</v>
      </c>
      <c r="AH34" s="237">
        <v>347</v>
      </c>
      <c r="AI34" s="237">
        <v>272</v>
      </c>
      <c r="AJ34" s="237">
        <v>0</v>
      </c>
      <c r="AK34" s="237">
        <v>80</v>
      </c>
      <c r="AL34" s="237">
        <v>98</v>
      </c>
      <c r="AM34" s="237">
        <v>984</v>
      </c>
      <c r="AN34" s="237">
        <v>566</v>
      </c>
      <c r="AO34" s="228">
        <v>964</v>
      </c>
      <c r="AP34" s="237">
        <v>430</v>
      </c>
      <c r="AQ34" s="237">
        <v>338</v>
      </c>
      <c r="AR34" s="237">
        <v>0</v>
      </c>
      <c r="AS34" s="237">
        <v>117</v>
      </c>
      <c r="AT34" s="237">
        <v>138</v>
      </c>
      <c r="AU34" s="238">
        <v>1244</v>
      </c>
      <c r="AV34" s="237">
        <v>729</v>
      </c>
      <c r="AW34" s="234">
        <v>1295</v>
      </c>
      <c r="AX34" s="237"/>
      <c r="AY34" s="237"/>
      <c r="AZ34" s="237"/>
      <c r="BA34" s="237"/>
      <c r="BB34" s="237"/>
      <c r="BC34" s="237"/>
      <c r="BD34" s="237"/>
      <c r="BF34" s="237"/>
      <c r="BG34" s="237"/>
      <c r="BH34" s="237"/>
      <c r="BI34" s="237"/>
      <c r="BJ34" s="237"/>
      <c r="BK34" s="237"/>
      <c r="BL34" s="237"/>
      <c r="BN34" s="237"/>
      <c r="BO34" s="237"/>
      <c r="BP34" s="237"/>
      <c r="BQ34" s="237"/>
      <c r="BR34" s="237"/>
      <c r="BS34" s="238"/>
      <c r="BT34" s="237"/>
      <c r="BV34" s="264">
        <f t="shared" si="2"/>
        <v>622</v>
      </c>
      <c r="BW34" s="264">
        <f t="shared" si="3"/>
        <v>400</v>
      </c>
      <c r="BX34" s="264">
        <f t="shared" si="4"/>
        <v>0</v>
      </c>
      <c r="BY34" s="264">
        <f t="shared" si="5"/>
        <v>130</v>
      </c>
      <c r="BZ34" s="264">
        <f t="shared" si="6"/>
        <v>238</v>
      </c>
      <c r="CA34" s="264">
        <f t="shared" si="7"/>
        <v>1528</v>
      </c>
      <c r="CB34" s="264">
        <f t="shared" si="8"/>
        <v>972</v>
      </c>
      <c r="CC34" s="265">
        <f t="shared" si="9"/>
        <v>2144</v>
      </c>
      <c r="CD34" s="264">
        <f t="shared" si="10"/>
        <v>417</v>
      </c>
      <c r="CE34" s="264">
        <f t="shared" si="11"/>
        <v>243</v>
      </c>
      <c r="CF34" s="264">
        <f t="shared" si="12"/>
        <v>0</v>
      </c>
      <c r="CG34" s="264">
        <f t="shared" si="13"/>
        <v>71</v>
      </c>
      <c r="CH34" s="264">
        <f t="shared" si="14"/>
        <v>111</v>
      </c>
      <c r="CI34" s="264">
        <f t="shared" si="15"/>
        <v>1040</v>
      </c>
      <c r="CJ34" s="264">
        <f t="shared" si="16"/>
        <v>568</v>
      </c>
      <c r="CK34" s="265">
        <f t="shared" si="17"/>
        <v>1103</v>
      </c>
      <c r="CL34" s="264">
        <f t="shared" si="18"/>
        <v>524</v>
      </c>
      <c r="CM34" s="264">
        <f t="shared" si="19"/>
        <v>333</v>
      </c>
      <c r="CN34" s="264">
        <f t="shared" si="20"/>
        <v>0</v>
      </c>
      <c r="CO34" s="264">
        <f t="shared" si="21"/>
        <v>133</v>
      </c>
      <c r="CP34" s="264">
        <f t="shared" si="22"/>
        <v>157</v>
      </c>
      <c r="CQ34" s="264">
        <f t="shared" si="23"/>
        <v>1339</v>
      </c>
      <c r="CR34" s="264">
        <f t="shared" si="24"/>
        <v>733</v>
      </c>
      <c r="CS34" s="266">
        <f t="shared" si="25"/>
        <v>1464</v>
      </c>
      <c r="CT34" s="264">
        <f t="shared" si="26"/>
        <v>506</v>
      </c>
      <c r="CU34" s="264">
        <f t="shared" si="27"/>
        <v>405</v>
      </c>
      <c r="CV34" s="264">
        <f t="shared" si="28"/>
        <v>0</v>
      </c>
      <c r="CW34" s="264">
        <f t="shared" si="29"/>
        <v>125</v>
      </c>
      <c r="CX34" s="264">
        <f t="shared" si="30"/>
        <v>206</v>
      </c>
      <c r="CY34" s="264">
        <f t="shared" si="31"/>
        <v>1443</v>
      </c>
      <c r="CZ34" s="264">
        <f t="shared" si="32"/>
        <v>918</v>
      </c>
      <c r="DA34" s="265">
        <f t="shared" si="33"/>
        <v>1947</v>
      </c>
      <c r="DB34" s="264">
        <f t="shared" si="34"/>
        <v>347</v>
      </c>
      <c r="DC34" s="264">
        <f t="shared" si="35"/>
        <v>272</v>
      </c>
      <c r="DD34" s="264">
        <f t="shared" si="36"/>
        <v>0</v>
      </c>
      <c r="DE34" s="264">
        <f t="shared" si="37"/>
        <v>80</v>
      </c>
      <c r="DF34" s="264">
        <f t="shared" si="38"/>
        <v>98</v>
      </c>
      <c r="DG34" s="264">
        <f t="shared" si="39"/>
        <v>984</v>
      </c>
      <c r="DH34" s="264">
        <f t="shared" si="40"/>
        <v>566</v>
      </c>
      <c r="DI34" s="265">
        <f t="shared" si="41"/>
        <v>964</v>
      </c>
      <c r="DJ34" s="264">
        <f t="shared" si="42"/>
        <v>430</v>
      </c>
      <c r="DK34" s="264">
        <f t="shared" si="43"/>
        <v>338</v>
      </c>
      <c r="DL34" s="264">
        <f t="shared" si="44"/>
        <v>0</v>
      </c>
      <c r="DM34" s="264">
        <f t="shared" si="45"/>
        <v>117</v>
      </c>
      <c r="DN34" s="264">
        <f t="shared" si="46"/>
        <v>138</v>
      </c>
      <c r="DO34" s="264">
        <f t="shared" si="47"/>
        <v>1244</v>
      </c>
      <c r="DP34" s="264">
        <f t="shared" si="48"/>
        <v>729</v>
      </c>
      <c r="DQ34" s="266">
        <f t="shared" si="49"/>
        <v>1295</v>
      </c>
      <c r="DR34" s="279">
        <f>INDEX('Rate Assumptions'!$A$1:$C$32,MATCH('Success Allocation'!DR$3,'Rate Assumptions'!$A$1:$A$32,0),MATCH($DR$1,'Rate Assumptions'!$A$1:$C$1,0))</f>
        <v>2291.7551696336809</v>
      </c>
      <c r="DS34" s="279">
        <f>INDEX('Rate Assumptions'!$A$1:$C$32,MATCH('Success Allocation'!DS$3,'Rate Assumptions'!$A$1:$A$32,0),MATCH($DR$1,'Rate Assumptions'!$A$1:$C$1,0))</f>
        <v>1718.8163772252606</v>
      </c>
      <c r="DT34" s="279">
        <f>INDEX('Rate Assumptions'!$A$1:$C$32,MATCH('Success Allocation'!DT$3,'Rate Assumptions'!$A$1:$A$32,0),MATCH($DR$1,'Rate Assumptions'!$A$1:$C$1,0))</f>
        <v>1718.8163772252606</v>
      </c>
      <c r="DU34" s="279">
        <f>INDEX('Rate Assumptions'!$A$1:$C$32,MATCH('Success Allocation'!DU$3,'Rate Assumptions'!$A$1:$A$32,0),MATCH($DR$1,'Rate Assumptions'!$A$1:$C$1,0))</f>
        <v>1145.8775848168405</v>
      </c>
      <c r="DV34" s="279">
        <f>INDEX('Rate Assumptions'!$A$1:$C$32,MATCH('Success Allocation'!DV$3,'Rate Assumptions'!$A$1:$A$32,0),MATCH($DR$1,'Rate Assumptions'!$A$1:$C$1,0))</f>
        <v>1145.8775848168405</v>
      </c>
      <c r="DW34" s="279">
        <f>INDEX('Rate Assumptions'!$A$1:$C$32,MATCH('Success Allocation'!DW$3,'Rate Assumptions'!$A$1:$A$32,0),MATCH($DR$1,'Rate Assumptions'!$A$1:$C$1,0))</f>
        <v>572.93879240842023</v>
      </c>
      <c r="DX34" s="279">
        <f>INDEX('Rate Assumptions'!$A$1:$C$32,MATCH('Success Allocation'!DX$3,'Rate Assumptions'!$A$1:$A$32,0),MATCH($DR$1,'Rate Assumptions'!$A$1:$C$1,0))</f>
        <v>859.40818861263028</v>
      </c>
      <c r="DY34" s="280">
        <f>INDEX('Rate Assumptions'!$A$1:$C$32,MATCH('Success Allocation'!DY$3,'Rate Assumptions'!$A$1:$A$32,0),MATCH($DR$1,'Rate Assumptions'!$A$1:$C$1,0))</f>
        <v>572.93879240842023</v>
      </c>
      <c r="DZ34" s="279">
        <f>INDEX('Rate Assumptions'!$A$1:$C$32,MATCH('Success Allocation'!DZ$3,'Rate Assumptions'!$A$1:$A$32,0),MATCH($DR$1,'Rate Assumptions'!$A$1:$C$1,0))</f>
        <v>866.31570658079204</v>
      </c>
      <c r="EA34" s="279">
        <f>INDEX('Rate Assumptions'!$A$1:$C$32,MATCH('Success Allocation'!EA$3,'Rate Assumptions'!$A$1:$A$32,0),MATCH($DR$1,'Rate Assumptions'!$A$1:$C$1,0))</f>
        <v>649.73677993559397</v>
      </c>
      <c r="EB34" s="279">
        <f>INDEX('Rate Assumptions'!$A$1:$C$32,MATCH('Success Allocation'!EB$3,'Rate Assumptions'!$A$1:$A$32,0),MATCH($DR$1,'Rate Assumptions'!$A$1:$C$1,0))</f>
        <v>649.73677993559397</v>
      </c>
      <c r="EC34" s="279">
        <f>INDEX('Rate Assumptions'!$A$1:$C$32,MATCH('Success Allocation'!EC$3,'Rate Assumptions'!$A$1:$A$32,0),MATCH($DR$1,'Rate Assumptions'!$A$1:$C$1,0))</f>
        <v>433.15785329039602</v>
      </c>
      <c r="ED34" s="279">
        <f>INDEX('Rate Assumptions'!$A$1:$C$32,MATCH('Success Allocation'!ED$3,'Rate Assumptions'!$A$1:$A$32,0),MATCH($DR$1,'Rate Assumptions'!$A$1:$C$1,0))</f>
        <v>433.15785329039602</v>
      </c>
      <c r="EE34" s="279">
        <f>INDEX('Rate Assumptions'!$A$1:$C$32,MATCH('Success Allocation'!EE$3,'Rate Assumptions'!$A$1:$A$32,0),MATCH($DR$1,'Rate Assumptions'!$A$1:$C$1,0))</f>
        <v>216.57892664519801</v>
      </c>
      <c r="EF34" s="279">
        <f>INDEX('Rate Assumptions'!$A$1:$C$32,MATCH('Success Allocation'!EF$3,'Rate Assumptions'!$A$1:$A$32,0),MATCH($DR$1,'Rate Assumptions'!$A$1:$C$1,0))</f>
        <v>324.86838996779699</v>
      </c>
      <c r="EG34" s="280">
        <f>INDEX('Rate Assumptions'!$A$1:$C$32,MATCH('Success Allocation'!EG$3,'Rate Assumptions'!$A$1:$A$32,0),MATCH($DR$1,'Rate Assumptions'!$A$1:$C$1,0))</f>
        <v>216.57892664519801</v>
      </c>
      <c r="EH34" s="279">
        <f>INDEX('Rate Assumptions'!$A$1:$C$32,MATCH('Success Allocation'!EH$3,'Rate Assumptions'!$A$1:$A$32,0),MATCH($DR$1,'Rate Assumptions'!$A$1:$C$1,0))</f>
        <v>577.54380438719465</v>
      </c>
      <c r="EI34" s="279">
        <f>INDEX('Rate Assumptions'!$A$1:$C$32,MATCH('Success Allocation'!EI$3,'Rate Assumptions'!$A$1:$A$32,0),MATCH($DR$1,'Rate Assumptions'!$A$1:$C$1,0))</f>
        <v>433.15785329039602</v>
      </c>
      <c r="EJ34" s="279">
        <f>INDEX('Rate Assumptions'!$A$1:$C$32,MATCH('Success Allocation'!EJ$3,'Rate Assumptions'!$A$1:$A$32,0),MATCH($DR$1,'Rate Assumptions'!$A$1:$C$1,0))</f>
        <v>433.15785329039602</v>
      </c>
      <c r="EK34" s="279">
        <f>INDEX('Rate Assumptions'!$A$1:$C$32,MATCH('Success Allocation'!EK$3,'Rate Assumptions'!$A$1:$A$32,0),MATCH($DR$1,'Rate Assumptions'!$A$1:$C$1,0))</f>
        <v>288.77190219359733</v>
      </c>
      <c r="EL34" s="279">
        <f>INDEX('Rate Assumptions'!$A$1:$C$32,MATCH('Success Allocation'!EL$3,'Rate Assumptions'!$A$1:$A$32,0),MATCH($DR$1,'Rate Assumptions'!$A$1:$C$1,0))</f>
        <v>288.77190219359733</v>
      </c>
      <c r="EM34" s="279">
        <f>INDEX('Rate Assumptions'!$A$1:$C$32,MATCH('Success Allocation'!EM$3,'Rate Assumptions'!$A$1:$A$32,0),MATCH($DR$1,'Rate Assumptions'!$A$1:$C$1,0))</f>
        <v>144.38595109679866</v>
      </c>
      <c r="EN34" s="279">
        <f>INDEX('Rate Assumptions'!$A$1:$C$32,MATCH('Success Allocation'!EN$3,'Rate Assumptions'!$A$1:$A$32,0),MATCH($DR$1,'Rate Assumptions'!$A$1:$C$1,0))</f>
        <v>216.57892664519801</v>
      </c>
      <c r="EO34" s="281">
        <f>INDEX('Rate Assumptions'!$A$1:$C$32,MATCH('Success Allocation'!EO$3,'Rate Assumptions'!$A$1:$A$32,0),MATCH($DR$1,'Rate Assumptions'!$A$1:$C$1,0))</f>
        <v>144.38595109679866</v>
      </c>
      <c r="EP34" s="170">
        <f t="shared" si="50"/>
        <v>7814570.068875798</v>
      </c>
    </row>
    <row r="35" spans="1:146">
      <c r="A35" s="223" t="s">
        <v>122</v>
      </c>
      <c r="B35" s="226">
        <v>210</v>
      </c>
      <c r="C35" s="226">
        <v>737</v>
      </c>
      <c r="D35" s="226">
        <v>0</v>
      </c>
      <c r="E35" s="226">
        <v>185</v>
      </c>
      <c r="F35" s="226">
        <v>324</v>
      </c>
      <c r="G35" s="227">
        <v>1891</v>
      </c>
      <c r="H35" s="226">
        <v>1684</v>
      </c>
      <c r="I35" s="228">
        <v>1542</v>
      </c>
      <c r="J35" s="226">
        <v>118</v>
      </c>
      <c r="K35" s="226">
        <v>347</v>
      </c>
      <c r="L35" s="226">
        <v>0</v>
      </c>
      <c r="M35" s="226">
        <v>76</v>
      </c>
      <c r="N35" s="226">
        <v>85</v>
      </c>
      <c r="O35" s="227">
        <v>825</v>
      </c>
      <c r="P35" s="226">
        <v>582</v>
      </c>
      <c r="Q35" s="228">
        <v>267</v>
      </c>
      <c r="R35" s="226">
        <v>148</v>
      </c>
      <c r="S35" s="226">
        <v>459</v>
      </c>
      <c r="T35" s="226">
        <v>0</v>
      </c>
      <c r="U35" s="226">
        <v>106</v>
      </c>
      <c r="V35" s="226">
        <v>127</v>
      </c>
      <c r="W35" s="227">
        <v>1184</v>
      </c>
      <c r="X35" s="226">
        <v>854</v>
      </c>
      <c r="Y35" s="234">
        <v>592</v>
      </c>
      <c r="Z35" s="237">
        <v>326</v>
      </c>
      <c r="AA35" s="237">
        <v>1014</v>
      </c>
      <c r="AB35" s="237">
        <v>0</v>
      </c>
      <c r="AC35" s="237">
        <v>233</v>
      </c>
      <c r="AD35" s="237">
        <v>334</v>
      </c>
      <c r="AE35" s="237">
        <v>1863</v>
      </c>
      <c r="AF35" s="237">
        <v>1732</v>
      </c>
      <c r="AG35" s="228">
        <v>1564</v>
      </c>
      <c r="AH35" s="237">
        <v>153</v>
      </c>
      <c r="AI35" s="237">
        <v>479</v>
      </c>
      <c r="AJ35" s="237">
        <v>0</v>
      </c>
      <c r="AK35" s="237">
        <v>103</v>
      </c>
      <c r="AL35" s="237">
        <v>93</v>
      </c>
      <c r="AM35" s="237">
        <v>821</v>
      </c>
      <c r="AN35" s="237">
        <v>594</v>
      </c>
      <c r="AO35" s="228">
        <v>298</v>
      </c>
      <c r="AP35" s="237">
        <v>199</v>
      </c>
      <c r="AQ35" s="237">
        <v>661</v>
      </c>
      <c r="AR35" s="237">
        <v>0</v>
      </c>
      <c r="AS35" s="237">
        <v>151</v>
      </c>
      <c r="AT35" s="237">
        <v>154</v>
      </c>
      <c r="AU35" s="238">
        <v>1193</v>
      </c>
      <c r="AV35" s="237">
        <v>903</v>
      </c>
      <c r="AW35" s="234">
        <v>611</v>
      </c>
      <c r="AX35" s="237"/>
      <c r="AY35" s="237"/>
      <c r="AZ35" s="237"/>
      <c r="BA35" s="237"/>
      <c r="BB35" s="237"/>
      <c r="BC35" s="237"/>
      <c r="BD35" s="237"/>
      <c r="BF35" s="237"/>
      <c r="BG35" s="237"/>
      <c r="BH35" s="237"/>
      <c r="BI35" s="237"/>
      <c r="BJ35" s="237"/>
      <c r="BK35" s="237"/>
      <c r="BL35" s="237"/>
      <c r="BN35" s="237"/>
      <c r="BO35" s="237"/>
      <c r="BP35" s="237"/>
      <c r="BQ35" s="237"/>
      <c r="BR35" s="237"/>
      <c r="BS35" s="238"/>
      <c r="BT35" s="237"/>
      <c r="BV35" s="264">
        <f t="shared" si="2"/>
        <v>442</v>
      </c>
      <c r="BW35" s="264">
        <f t="shared" si="3"/>
        <v>1291</v>
      </c>
      <c r="BX35" s="264">
        <f t="shared" si="4"/>
        <v>0</v>
      </c>
      <c r="BY35" s="264">
        <f t="shared" si="5"/>
        <v>281</v>
      </c>
      <c r="BZ35" s="264">
        <f t="shared" si="6"/>
        <v>344</v>
      </c>
      <c r="CA35" s="264">
        <f t="shared" si="7"/>
        <v>1835</v>
      </c>
      <c r="CB35" s="264">
        <f t="shared" si="8"/>
        <v>1780</v>
      </c>
      <c r="CC35" s="265">
        <f t="shared" si="9"/>
        <v>1586</v>
      </c>
      <c r="CD35" s="264">
        <f t="shared" si="10"/>
        <v>188</v>
      </c>
      <c r="CE35" s="264">
        <f t="shared" si="11"/>
        <v>611</v>
      </c>
      <c r="CF35" s="264">
        <f t="shared" si="12"/>
        <v>0</v>
      </c>
      <c r="CG35" s="264">
        <f t="shared" si="13"/>
        <v>130</v>
      </c>
      <c r="CH35" s="264">
        <f t="shared" si="14"/>
        <v>101</v>
      </c>
      <c r="CI35" s="264">
        <f t="shared" si="15"/>
        <v>817</v>
      </c>
      <c r="CJ35" s="264">
        <f t="shared" si="16"/>
        <v>606</v>
      </c>
      <c r="CK35" s="265">
        <f t="shared" si="17"/>
        <v>329</v>
      </c>
      <c r="CL35" s="264">
        <f t="shared" si="18"/>
        <v>250</v>
      </c>
      <c r="CM35" s="264">
        <f t="shared" si="19"/>
        <v>863</v>
      </c>
      <c r="CN35" s="264">
        <f t="shared" si="20"/>
        <v>0</v>
      </c>
      <c r="CO35" s="264">
        <f t="shared" si="21"/>
        <v>196</v>
      </c>
      <c r="CP35" s="264">
        <f t="shared" si="22"/>
        <v>181</v>
      </c>
      <c r="CQ35" s="264">
        <f t="shared" si="23"/>
        <v>1202</v>
      </c>
      <c r="CR35" s="264">
        <f t="shared" si="24"/>
        <v>952</v>
      </c>
      <c r="CS35" s="266">
        <f t="shared" si="25"/>
        <v>630</v>
      </c>
      <c r="CT35" s="264">
        <f t="shared" si="26"/>
        <v>326</v>
      </c>
      <c r="CU35" s="264">
        <f t="shared" si="27"/>
        <v>1014</v>
      </c>
      <c r="CV35" s="264">
        <f t="shared" si="28"/>
        <v>0</v>
      </c>
      <c r="CW35" s="264">
        <f t="shared" si="29"/>
        <v>233</v>
      </c>
      <c r="CX35" s="264">
        <f t="shared" si="30"/>
        <v>334</v>
      </c>
      <c r="CY35" s="264">
        <f t="shared" si="31"/>
        <v>1863</v>
      </c>
      <c r="CZ35" s="264">
        <f t="shared" si="32"/>
        <v>1732</v>
      </c>
      <c r="DA35" s="265">
        <f t="shared" si="33"/>
        <v>1564</v>
      </c>
      <c r="DB35" s="264">
        <f t="shared" si="34"/>
        <v>153</v>
      </c>
      <c r="DC35" s="264">
        <f t="shared" si="35"/>
        <v>479</v>
      </c>
      <c r="DD35" s="264">
        <f t="shared" si="36"/>
        <v>0</v>
      </c>
      <c r="DE35" s="264">
        <f t="shared" si="37"/>
        <v>103</v>
      </c>
      <c r="DF35" s="264">
        <f t="shared" si="38"/>
        <v>93</v>
      </c>
      <c r="DG35" s="264">
        <f t="shared" si="39"/>
        <v>821</v>
      </c>
      <c r="DH35" s="264">
        <f t="shared" si="40"/>
        <v>594</v>
      </c>
      <c r="DI35" s="265">
        <f t="shared" si="41"/>
        <v>298</v>
      </c>
      <c r="DJ35" s="264">
        <f t="shared" si="42"/>
        <v>199</v>
      </c>
      <c r="DK35" s="264">
        <f t="shared" si="43"/>
        <v>661</v>
      </c>
      <c r="DL35" s="264">
        <f t="shared" si="44"/>
        <v>0</v>
      </c>
      <c r="DM35" s="264">
        <f t="shared" si="45"/>
        <v>151</v>
      </c>
      <c r="DN35" s="264">
        <f t="shared" si="46"/>
        <v>154</v>
      </c>
      <c r="DO35" s="264">
        <f t="shared" si="47"/>
        <v>1193</v>
      </c>
      <c r="DP35" s="264">
        <f t="shared" si="48"/>
        <v>903</v>
      </c>
      <c r="DQ35" s="266">
        <f t="shared" si="49"/>
        <v>611</v>
      </c>
      <c r="DR35" s="279">
        <f>INDEX('Rate Assumptions'!$A$1:$C$32,MATCH('Success Allocation'!DR$3,'Rate Assumptions'!$A$1:$A$32,0),MATCH($DR$1,'Rate Assumptions'!$A$1:$C$1,0))</f>
        <v>2291.7551696336809</v>
      </c>
      <c r="DS35" s="279">
        <f>INDEX('Rate Assumptions'!$A$1:$C$32,MATCH('Success Allocation'!DS$3,'Rate Assumptions'!$A$1:$A$32,0),MATCH($DR$1,'Rate Assumptions'!$A$1:$C$1,0))</f>
        <v>1718.8163772252606</v>
      </c>
      <c r="DT35" s="279">
        <f>INDEX('Rate Assumptions'!$A$1:$C$32,MATCH('Success Allocation'!DT$3,'Rate Assumptions'!$A$1:$A$32,0),MATCH($DR$1,'Rate Assumptions'!$A$1:$C$1,0))</f>
        <v>1718.8163772252606</v>
      </c>
      <c r="DU35" s="279">
        <f>INDEX('Rate Assumptions'!$A$1:$C$32,MATCH('Success Allocation'!DU$3,'Rate Assumptions'!$A$1:$A$32,0),MATCH($DR$1,'Rate Assumptions'!$A$1:$C$1,0))</f>
        <v>1145.8775848168405</v>
      </c>
      <c r="DV35" s="279">
        <f>INDEX('Rate Assumptions'!$A$1:$C$32,MATCH('Success Allocation'!DV$3,'Rate Assumptions'!$A$1:$A$32,0),MATCH($DR$1,'Rate Assumptions'!$A$1:$C$1,0))</f>
        <v>1145.8775848168405</v>
      </c>
      <c r="DW35" s="279">
        <f>INDEX('Rate Assumptions'!$A$1:$C$32,MATCH('Success Allocation'!DW$3,'Rate Assumptions'!$A$1:$A$32,0),MATCH($DR$1,'Rate Assumptions'!$A$1:$C$1,0))</f>
        <v>572.93879240842023</v>
      </c>
      <c r="DX35" s="279">
        <f>INDEX('Rate Assumptions'!$A$1:$C$32,MATCH('Success Allocation'!DX$3,'Rate Assumptions'!$A$1:$A$32,0),MATCH($DR$1,'Rate Assumptions'!$A$1:$C$1,0))</f>
        <v>859.40818861263028</v>
      </c>
      <c r="DY35" s="280">
        <f>INDEX('Rate Assumptions'!$A$1:$C$32,MATCH('Success Allocation'!DY$3,'Rate Assumptions'!$A$1:$A$32,0),MATCH($DR$1,'Rate Assumptions'!$A$1:$C$1,0))</f>
        <v>572.93879240842023</v>
      </c>
      <c r="DZ35" s="279">
        <f>INDEX('Rate Assumptions'!$A$1:$C$32,MATCH('Success Allocation'!DZ$3,'Rate Assumptions'!$A$1:$A$32,0),MATCH($DR$1,'Rate Assumptions'!$A$1:$C$1,0))</f>
        <v>866.31570658079204</v>
      </c>
      <c r="EA35" s="279">
        <f>INDEX('Rate Assumptions'!$A$1:$C$32,MATCH('Success Allocation'!EA$3,'Rate Assumptions'!$A$1:$A$32,0),MATCH($DR$1,'Rate Assumptions'!$A$1:$C$1,0))</f>
        <v>649.73677993559397</v>
      </c>
      <c r="EB35" s="279">
        <f>INDEX('Rate Assumptions'!$A$1:$C$32,MATCH('Success Allocation'!EB$3,'Rate Assumptions'!$A$1:$A$32,0),MATCH($DR$1,'Rate Assumptions'!$A$1:$C$1,0))</f>
        <v>649.73677993559397</v>
      </c>
      <c r="EC35" s="279">
        <f>INDEX('Rate Assumptions'!$A$1:$C$32,MATCH('Success Allocation'!EC$3,'Rate Assumptions'!$A$1:$A$32,0),MATCH($DR$1,'Rate Assumptions'!$A$1:$C$1,0))</f>
        <v>433.15785329039602</v>
      </c>
      <c r="ED35" s="279">
        <f>INDEX('Rate Assumptions'!$A$1:$C$32,MATCH('Success Allocation'!ED$3,'Rate Assumptions'!$A$1:$A$32,0),MATCH($DR$1,'Rate Assumptions'!$A$1:$C$1,0))</f>
        <v>433.15785329039602</v>
      </c>
      <c r="EE35" s="279">
        <f>INDEX('Rate Assumptions'!$A$1:$C$32,MATCH('Success Allocation'!EE$3,'Rate Assumptions'!$A$1:$A$32,0),MATCH($DR$1,'Rate Assumptions'!$A$1:$C$1,0))</f>
        <v>216.57892664519801</v>
      </c>
      <c r="EF35" s="279">
        <f>INDEX('Rate Assumptions'!$A$1:$C$32,MATCH('Success Allocation'!EF$3,'Rate Assumptions'!$A$1:$A$32,0),MATCH($DR$1,'Rate Assumptions'!$A$1:$C$1,0))</f>
        <v>324.86838996779699</v>
      </c>
      <c r="EG35" s="280">
        <f>INDEX('Rate Assumptions'!$A$1:$C$32,MATCH('Success Allocation'!EG$3,'Rate Assumptions'!$A$1:$A$32,0),MATCH($DR$1,'Rate Assumptions'!$A$1:$C$1,0))</f>
        <v>216.57892664519801</v>
      </c>
      <c r="EH35" s="279">
        <f>INDEX('Rate Assumptions'!$A$1:$C$32,MATCH('Success Allocation'!EH$3,'Rate Assumptions'!$A$1:$A$32,0),MATCH($DR$1,'Rate Assumptions'!$A$1:$C$1,0))</f>
        <v>577.54380438719465</v>
      </c>
      <c r="EI35" s="279">
        <f>INDEX('Rate Assumptions'!$A$1:$C$32,MATCH('Success Allocation'!EI$3,'Rate Assumptions'!$A$1:$A$32,0),MATCH($DR$1,'Rate Assumptions'!$A$1:$C$1,0))</f>
        <v>433.15785329039602</v>
      </c>
      <c r="EJ35" s="279">
        <f>INDEX('Rate Assumptions'!$A$1:$C$32,MATCH('Success Allocation'!EJ$3,'Rate Assumptions'!$A$1:$A$32,0),MATCH($DR$1,'Rate Assumptions'!$A$1:$C$1,0))</f>
        <v>433.15785329039602</v>
      </c>
      <c r="EK35" s="279">
        <f>INDEX('Rate Assumptions'!$A$1:$C$32,MATCH('Success Allocation'!EK$3,'Rate Assumptions'!$A$1:$A$32,0),MATCH($DR$1,'Rate Assumptions'!$A$1:$C$1,0))</f>
        <v>288.77190219359733</v>
      </c>
      <c r="EL35" s="279">
        <f>INDEX('Rate Assumptions'!$A$1:$C$32,MATCH('Success Allocation'!EL$3,'Rate Assumptions'!$A$1:$A$32,0),MATCH($DR$1,'Rate Assumptions'!$A$1:$C$1,0))</f>
        <v>288.77190219359733</v>
      </c>
      <c r="EM35" s="279">
        <f>INDEX('Rate Assumptions'!$A$1:$C$32,MATCH('Success Allocation'!EM$3,'Rate Assumptions'!$A$1:$A$32,0),MATCH($DR$1,'Rate Assumptions'!$A$1:$C$1,0))</f>
        <v>144.38595109679866</v>
      </c>
      <c r="EN35" s="279">
        <f>INDEX('Rate Assumptions'!$A$1:$C$32,MATCH('Success Allocation'!EN$3,'Rate Assumptions'!$A$1:$A$32,0),MATCH($DR$1,'Rate Assumptions'!$A$1:$C$1,0))</f>
        <v>216.57892664519801</v>
      </c>
      <c r="EO35" s="281">
        <f>INDEX('Rate Assumptions'!$A$1:$C$32,MATCH('Success Allocation'!EO$3,'Rate Assumptions'!$A$1:$A$32,0),MATCH($DR$1,'Rate Assumptions'!$A$1:$C$1,0))</f>
        <v>144.38595109679866</v>
      </c>
      <c r="EP35" s="170">
        <f t="shared" si="50"/>
        <v>9640643.4729788695</v>
      </c>
    </row>
    <row r="36" spans="1:146">
      <c r="A36" s="223" t="s">
        <v>123</v>
      </c>
      <c r="B36" s="226">
        <v>220</v>
      </c>
      <c r="C36" s="226">
        <v>260</v>
      </c>
      <c r="D36" s="226">
        <v>0</v>
      </c>
      <c r="E36" s="226">
        <v>78</v>
      </c>
      <c r="F36" s="226">
        <v>92</v>
      </c>
      <c r="G36" s="227">
        <v>850</v>
      </c>
      <c r="H36" s="226">
        <v>700</v>
      </c>
      <c r="I36" s="228">
        <v>1695</v>
      </c>
      <c r="J36" s="226">
        <v>114</v>
      </c>
      <c r="K36" s="226">
        <v>126</v>
      </c>
      <c r="L36" s="226">
        <v>0</v>
      </c>
      <c r="M36" s="226">
        <v>19</v>
      </c>
      <c r="N36" s="226">
        <v>22</v>
      </c>
      <c r="O36" s="227">
        <v>267</v>
      </c>
      <c r="P36" s="226">
        <v>199</v>
      </c>
      <c r="Q36" s="228">
        <v>192</v>
      </c>
      <c r="R36" s="226">
        <v>154</v>
      </c>
      <c r="S36" s="226">
        <v>182</v>
      </c>
      <c r="T36" s="226">
        <v>0</v>
      </c>
      <c r="U36" s="226">
        <v>26</v>
      </c>
      <c r="V36" s="226">
        <v>37</v>
      </c>
      <c r="W36" s="227">
        <v>398</v>
      </c>
      <c r="X36" s="226">
        <v>343</v>
      </c>
      <c r="Y36" s="234">
        <v>379</v>
      </c>
      <c r="Z36" s="237">
        <v>294</v>
      </c>
      <c r="AA36" s="237">
        <v>270</v>
      </c>
      <c r="AB36" s="237">
        <v>0</v>
      </c>
      <c r="AC36" s="237">
        <v>77</v>
      </c>
      <c r="AD36" s="237">
        <v>96</v>
      </c>
      <c r="AE36" s="237">
        <v>880</v>
      </c>
      <c r="AF36" s="237">
        <v>710</v>
      </c>
      <c r="AG36" s="228">
        <v>2266</v>
      </c>
      <c r="AH36" s="237">
        <v>132</v>
      </c>
      <c r="AI36" s="237">
        <v>122</v>
      </c>
      <c r="AJ36" s="237">
        <v>0</v>
      </c>
      <c r="AK36" s="237">
        <v>20</v>
      </c>
      <c r="AL36" s="237">
        <v>39</v>
      </c>
      <c r="AM36" s="237">
        <v>252</v>
      </c>
      <c r="AN36" s="237">
        <v>227</v>
      </c>
      <c r="AO36" s="228">
        <v>217</v>
      </c>
      <c r="AP36" s="237">
        <v>205</v>
      </c>
      <c r="AQ36" s="237">
        <v>184</v>
      </c>
      <c r="AR36" s="237">
        <v>0</v>
      </c>
      <c r="AS36" s="237">
        <v>29</v>
      </c>
      <c r="AT36" s="237">
        <v>57</v>
      </c>
      <c r="AU36" s="238">
        <v>402</v>
      </c>
      <c r="AV36" s="237">
        <v>368</v>
      </c>
      <c r="AW36" s="234">
        <v>423</v>
      </c>
      <c r="AX36" s="237"/>
      <c r="AY36" s="237"/>
      <c r="AZ36" s="237"/>
      <c r="BA36" s="237"/>
      <c r="BB36" s="237"/>
      <c r="BC36" s="237"/>
      <c r="BD36" s="237"/>
      <c r="BF36" s="237"/>
      <c r="BG36" s="237"/>
      <c r="BH36" s="237"/>
      <c r="BI36" s="237"/>
      <c r="BJ36" s="237"/>
      <c r="BK36" s="237"/>
      <c r="BL36" s="237"/>
      <c r="BN36" s="237"/>
      <c r="BO36" s="237"/>
      <c r="BP36" s="237"/>
      <c r="BQ36" s="237"/>
      <c r="BR36" s="237"/>
      <c r="BS36" s="238"/>
      <c r="BT36" s="237"/>
      <c r="BV36" s="264">
        <f t="shared" si="2"/>
        <v>368</v>
      </c>
      <c r="BW36" s="264">
        <f t="shared" si="3"/>
        <v>280</v>
      </c>
      <c r="BX36" s="264">
        <f t="shared" si="4"/>
        <v>0</v>
      </c>
      <c r="BY36" s="264">
        <f t="shared" si="5"/>
        <v>76</v>
      </c>
      <c r="BZ36" s="264">
        <f t="shared" si="6"/>
        <v>100</v>
      </c>
      <c r="CA36" s="264">
        <f t="shared" si="7"/>
        <v>910</v>
      </c>
      <c r="CB36" s="264">
        <f t="shared" si="8"/>
        <v>720</v>
      </c>
      <c r="CC36" s="265">
        <f t="shared" si="9"/>
        <v>2837</v>
      </c>
      <c r="CD36" s="264">
        <f t="shared" si="10"/>
        <v>150</v>
      </c>
      <c r="CE36" s="264">
        <f t="shared" si="11"/>
        <v>118</v>
      </c>
      <c r="CF36" s="264">
        <f t="shared" si="12"/>
        <v>0</v>
      </c>
      <c r="CG36" s="264">
        <f t="shared" si="13"/>
        <v>21</v>
      </c>
      <c r="CH36" s="264">
        <f t="shared" si="14"/>
        <v>56</v>
      </c>
      <c r="CI36" s="264">
        <f t="shared" si="15"/>
        <v>237</v>
      </c>
      <c r="CJ36" s="264">
        <f t="shared" si="16"/>
        <v>255</v>
      </c>
      <c r="CK36" s="265">
        <f t="shared" si="17"/>
        <v>242</v>
      </c>
      <c r="CL36" s="264">
        <f t="shared" si="18"/>
        <v>256</v>
      </c>
      <c r="CM36" s="264">
        <f t="shared" si="19"/>
        <v>186</v>
      </c>
      <c r="CN36" s="264">
        <f t="shared" si="20"/>
        <v>0</v>
      </c>
      <c r="CO36" s="264">
        <f t="shared" si="21"/>
        <v>32</v>
      </c>
      <c r="CP36" s="264">
        <f t="shared" si="22"/>
        <v>77</v>
      </c>
      <c r="CQ36" s="264">
        <f t="shared" si="23"/>
        <v>406</v>
      </c>
      <c r="CR36" s="264">
        <f t="shared" si="24"/>
        <v>393</v>
      </c>
      <c r="CS36" s="266">
        <f t="shared" si="25"/>
        <v>467</v>
      </c>
      <c r="CT36" s="264">
        <f t="shared" si="26"/>
        <v>294</v>
      </c>
      <c r="CU36" s="264">
        <f t="shared" si="27"/>
        <v>270</v>
      </c>
      <c r="CV36" s="264">
        <f t="shared" si="28"/>
        <v>0</v>
      </c>
      <c r="CW36" s="264">
        <f t="shared" si="29"/>
        <v>77</v>
      </c>
      <c r="CX36" s="264">
        <f t="shared" si="30"/>
        <v>96</v>
      </c>
      <c r="CY36" s="264">
        <f t="shared" si="31"/>
        <v>880</v>
      </c>
      <c r="CZ36" s="264">
        <f t="shared" si="32"/>
        <v>710</v>
      </c>
      <c r="DA36" s="265">
        <f t="shared" si="33"/>
        <v>2266</v>
      </c>
      <c r="DB36" s="264">
        <f t="shared" si="34"/>
        <v>132</v>
      </c>
      <c r="DC36" s="264">
        <f t="shared" si="35"/>
        <v>122</v>
      </c>
      <c r="DD36" s="264">
        <f t="shared" si="36"/>
        <v>0</v>
      </c>
      <c r="DE36" s="264">
        <f t="shared" si="37"/>
        <v>20</v>
      </c>
      <c r="DF36" s="264">
        <f t="shared" si="38"/>
        <v>39</v>
      </c>
      <c r="DG36" s="264">
        <f t="shared" si="39"/>
        <v>252</v>
      </c>
      <c r="DH36" s="264">
        <f t="shared" si="40"/>
        <v>227</v>
      </c>
      <c r="DI36" s="265">
        <f t="shared" si="41"/>
        <v>217</v>
      </c>
      <c r="DJ36" s="264">
        <f t="shared" si="42"/>
        <v>205</v>
      </c>
      <c r="DK36" s="264">
        <f t="shared" si="43"/>
        <v>184</v>
      </c>
      <c r="DL36" s="264">
        <f t="shared" si="44"/>
        <v>0</v>
      </c>
      <c r="DM36" s="264">
        <f t="shared" si="45"/>
        <v>29</v>
      </c>
      <c r="DN36" s="264">
        <f t="shared" si="46"/>
        <v>57</v>
      </c>
      <c r="DO36" s="264">
        <f t="shared" si="47"/>
        <v>402</v>
      </c>
      <c r="DP36" s="264">
        <f t="shared" si="48"/>
        <v>368</v>
      </c>
      <c r="DQ36" s="266">
        <f t="shared" si="49"/>
        <v>423</v>
      </c>
      <c r="DR36" s="279">
        <f>INDEX('Rate Assumptions'!$A$1:$C$32,MATCH('Success Allocation'!DR$3,'Rate Assumptions'!$A$1:$A$32,0),MATCH($DR$1,'Rate Assumptions'!$A$1:$C$1,0))</f>
        <v>2291.7551696336809</v>
      </c>
      <c r="DS36" s="279">
        <f>INDEX('Rate Assumptions'!$A$1:$C$32,MATCH('Success Allocation'!DS$3,'Rate Assumptions'!$A$1:$A$32,0),MATCH($DR$1,'Rate Assumptions'!$A$1:$C$1,0))</f>
        <v>1718.8163772252606</v>
      </c>
      <c r="DT36" s="279">
        <f>INDEX('Rate Assumptions'!$A$1:$C$32,MATCH('Success Allocation'!DT$3,'Rate Assumptions'!$A$1:$A$32,0),MATCH($DR$1,'Rate Assumptions'!$A$1:$C$1,0))</f>
        <v>1718.8163772252606</v>
      </c>
      <c r="DU36" s="279">
        <f>INDEX('Rate Assumptions'!$A$1:$C$32,MATCH('Success Allocation'!DU$3,'Rate Assumptions'!$A$1:$A$32,0),MATCH($DR$1,'Rate Assumptions'!$A$1:$C$1,0))</f>
        <v>1145.8775848168405</v>
      </c>
      <c r="DV36" s="279">
        <f>INDEX('Rate Assumptions'!$A$1:$C$32,MATCH('Success Allocation'!DV$3,'Rate Assumptions'!$A$1:$A$32,0),MATCH($DR$1,'Rate Assumptions'!$A$1:$C$1,0))</f>
        <v>1145.8775848168405</v>
      </c>
      <c r="DW36" s="279">
        <f>INDEX('Rate Assumptions'!$A$1:$C$32,MATCH('Success Allocation'!DW$3,'Rate Assumptions'!$A$1:$A$32,0),MATCH($DR$1,'Rate Assumptions'!$A$1:$C$1,0))</f>
        <v>572.93879240842023</v>
      </c>
      <c r="DX36" s="279">
        <f>INDEX('Rate Assumptions'!$A$1:$C$32,MATCH('Success Allocation'!DX$3,'Rate Assumptions'!$A$1:$A$32,0),MATCH($DR$1,'Rate Assumptions'!$A$1:$C$1,0))</f>
        <v>859.40818861263028</v>
      </c>
      <c r="DY36" s="280">
        <f>INDEX('Rate Assumptions'!$A$1:$C$32,MATCH('Success Allocation'!DY$3,'Rate Assumptions'!$A$1:$A$32,0),MATCH($DR$1,'Rate Assumptions'!$A$1:$C$1,0))</f>
        <v>572.93879240842023</v>
      </c>
      <c r="DZ36" s="279">
        <f>INDEX('Rate Assumptions'!$A$1:$C$32,MATCH('Success Allocation'!DZ$3,'Rate Assumptions'!$A$1:$A$32,0),MATCH($DR$1,'Rate Assumptions'!$A$1:$C$1,0))</f>
        <v>866.31570658079204</v>
      </c>
      <c r="EA36" s="279">
        <f>INDEX('Rate Assumptions'!$A$1:$C$32,MATCH('Success Allocation'!EA$3,'Rate Assumptions'!$A$1:$A$32,0),MATCH($DR$1,'Rate Assumptions'!$A$1:$C$1,0))</f>
        <v>649.73677993559397</v>
      </c>
      <c r="EB36" s="279">
        <f>INDEX('Rate Assumptions'!$A$1:$C$32,MATCH('Success Allocation'!EB$3,'Rate Assumptions'!$A$1:$A$32,0),MATCH($DR$1,'Rate Assumptions'!$A$1:$C$1,0))</f>
        <v>649.73677993559397</v>
      </c>
      <c r="EC36" s="279">
        <f>INDEX('Rate Assumptions'!$A$1:$C$32,MATCH('Success Allocation'!EC$3,'Rate Assumptions'!$A$1:$A$32,0),MATCH($DR$1,'Rate Assumptions'!$A$1:$C$1,0))</f>
        <v>433.15785329039602</v>
      </c>
      <c r="ED36" s="279">
        <f>INDEX('Rate Assumptions'!$A$1:$C$32,MATCH('Success Allocation'!ED$3,'Rate Assumptions'!$A$1:$A$32,0),MATCH($DR$1,'Rate Assumptions'!$A$1:$C$1,0))</f>
        <v>433.15785329039602</v>
      </c>
      <c r="EE36" s="279">
        <f>INDEX('Rate Assumptions'!$A$1:$C$32,MATCH('Success Allocation'!EE$3,'Rate Assumptions'!$A$1:$A$32,0),MATCH($DR$1,'Rate Assumptions'!$A$1:$C$1,0))</f>
        <v>216.57892664519801</v>
      </c>
      <c r="EF36" s="279">
        <f>INDEX('Rate Assumptions'!$A$1:$C$32,MATCH('Success Allocation'!EF$3,'Rate Assumptions'!$A$1:$A$32,0),MATCH($DR$1,'Rate Assumptions'!$A$1:$C$1,0))</f>
        <v>324.86838996779699</v>
      </c>
      <c r="EG36" s="280">
        <f>INDEX('Rate Assumptions'!$A$1:$C$32,MATCH('Success Allocation'!EG$3,'Rate Assumptions'!$A$1:$A$32,0),MATCH($DR$1,'Rate Assumptions'!$A$1:$C$1,0))</f>
        <v>216.57892664519801</v>
      </c>
      <c r="EH36" s="279">
        <f>INDEX('Rate Assumptions'!$A$1:$C$32,MATCH('Success Allocation'!EH$3,'Rate Assumptions'!$A$1:$A$32,0),MATCH($DR$1,'Rate Assumptions'!$A$1:$C$1,0))</f>
        <v>577.54380438719465</v>
      </c>
      <c r="EI36" s="279">
        <f>INDEX('Rate Assumptions'!$A$1:$C$32,MATCH('Success Allocation'!EI$3,'Rate Assumptions'!$A$1:$A$32,0),MATCH($DR$1,'Rate Assumptions'!$A$1:$C$1,0))</f>
        <v>433.15785329039602</v>
      </c>
      <c r="EJ36" s="279">
        <f>INDEX('Rate Assumptions'!$A$1:$C$32,MATCH('Success Allocation'!EJ$3,'Rate Assumptions'!$A$1:$A$32,0),MATCH($DR$1,'Rate Assumptions'!$A$1:$C$1,0))</f>
        <v>433.15785329039602</v>
      </c>
      <c r="EK36" s="279">
        <f>INDEX('Rate Assumptions'!$A$1:$C$32,MATCH('Success Allocation'!EK$3,'Rate Assumptions'!$A$1:$A$32,0),MATCH($DR$1,'Rate Assumptions'!$A$1:$C$1,0))</f>
        <v>288.77190219359733</v>
      </c>
      <c r="EL36" s="279">
        <f>INDEX('Rate Assumptions'!$A$1:$C$32,MATCH('Success Allocation'!EL$3,'Rate Assumptions'!$A$1:$A$32,0),MATCH($DR$1,'Rate Assumptions'!$A$1:$C$1,0))</f>
        <v>288.77190219359733</v>
      </c>
      <c r="EM36" s="279">
        <f>INDEX('Rate Assumptions'!$A$1:$C$32,MATCH('Success Allocation'!EM$3,'Rate Assumptions'!$A$1:$A$32,0),MATCH($DR$1,'Rate Assumptions'!$A$1:$C$1,0))</f>
        <v>144.38595109679866</v>
      </c>
      <c r="EN36" s="279">
        <f>INDEX('Rate Assumptions'!$A$1:$C$32,MATCH('Success Allocation'!EN$3,'Rate Assumptions'!$A$1:$A$32,0),MATCH($DR$1,'Rate Assumptions'!$A$1:$C$1,0))</f>
        <v>216.57892664519801</v>
      </c>
      <c r="EO36" s="281">
        <f>INDEX('Rate Assumptions'!$A$1:$C$32,MATCH('Success Allocation'!EO$3,'Rate Assumptions'!$A$1:$A$32,0),MATCH($DR$1,'Rate Assumptions'!$A$1:$C$1,0))</f>
        <v>144.38595109679866</v>
      </c>
      <c r="EP36" s="170">
        <f t="shared" si="50"/>
        <v>5189495.8554124972</v>
      </c>
    </row>
    <row r="37" spans="1:146">
      <c r="A37" s="223" t="s">
        <v>124</v>
      </c>
      <c r="B37" s="226">
        <v>490</v>
      </c>
      <c r="C37" s="226">
        <v>1350</v>
      </c>
      <c r="D37" s="226">
        <v>0</v>
      </c>
      <c r="E37" s="226">
        <v>308</v>
      </c>
      <c r="F37" s="226">
        <v>366</v>
      </c>
      <c r="G37" s="227">
        <v>5150</v>
      </c>
      <c r="H37" s="226">
        <v>2498</v>
      </c>
      <c r="I37" s="228">
        <v>2565</v>
      </c>
      <c r="J37" s="226">
        <v>294</v>
      </c>
      <c r="K37" s="226">
        <v>813</v>
      </c>
      <c r="L37" s="226">
        <v>0</v>
      </c>
      <c r="M37" s="226">
        <v>159</v>
      </c>
      <c r="N37" s="226">
        <v>110</v>
      </c>
      <c r="O37" s="227">
        <v>2665</v>
      </c>
      <c r="P37" s="226">
        <v>1341</v>
      </c>
      <c r="Q37" s="228">
        <v>817</v>
      </c>
      <c r="R37" s="226">
        <v>389</v>
      </c>
      <c r="S37" s="226">
        <v>1105</v>
      </c>
      <c r="T37" s="226">
        <v>0</v>
      </c>
      <c r="U37" s="226">
        <v>234</v>
      </c>
      <c r="V37" s="226">
        <v>197</v>
      </c>
      <c r="W37" s="227">
        <v>3854</v>
      </c>
      <c r="X37" s="226">
        <v>1871</v>
      </c>
      <c r="Y37" s="234">
        <v>1438</v>
      </c>
      <c r="Z37" s="237">
        <v>783</v>
      </c>
      <c r="AA37" s="237">
        <v>1381</v>
      </c>
      <c r="AB37" s="237">
        <v>0</v>
      </c>
      <c r="AC37" s="237">
        <v>253</v>
      </c>
      <c r="AD37" s="237">
        <v>452</v>
      </c>
      <c r="AE37" s="237">
        <v>4963</v>
      </c>
      <c r="AF37" s="237">
        <v>2521</v>
      </c>
      <c r="AG37" s="228">
        <v>2928</v>
      </c>
      <c r="AH37" s="237">
        <v>496</v>
      </c>
      <c r="AI37" s="237">
        <v>808</v>
      </c>
      <c r="AJ37" s="237">
        <v>0</v>
      </c>
      <c r="AK37" s="237">
        <v>122</v>
      </c>
      <c r="AL37" s="237">
        <v>168</v>
      </c>
      <c r="AM37" s="237">
        <v>2451</v>
      </c>
      <c r="AN37" s="237">
        <v>1309</v>
      </c>
      <c r="AO37" s="228">
        <v>938</v>
      </c>
      <c r="AP37" s="237">
        <v>647</v>
      </c>
      <c r="AQ37" s="237">
        <v>1120</v>
      </c>
      <c r="AR37" s="237">
        <v>0</v>
      </c>
      <c r="AS37" s="237">
        <v>195</v>
      </c>
      <c r="AT37" s="237">
        <v>248</v>
      </c>
      <c r="AU37" s="238">
        <v>3698</v>
      </c>
      <c r="AV37" s="237">
        <v>1851</v>
      </c>
      <c r="AW37" s="234">
        <v>1622</v>
      </c>
      <c r="AX37" s="237"/>
      <c r="AY37" s="237"/>
      <c r="AZ37" s="237"/>
      <c r="BA37" s="237"/>
      <c r="BB37" s="237"/>
      <c r="BC37" s="237"/>
      <c r="BD37" s="237"/>
      <c r="BF37" s="237"/>
      <c r="BG37" s="237"/>
      <c r="BH37" s="237"/>
      <c r="BI37" s="237"/>
      <c r="BJ37" s="237"/>
      <c r="BK37" s="237"/>
      <c r="BL37" s="237"/>
      <c r="BN37" s="237"/>
      <c r="BO37" s="237"/>
      <c r="BP37" s="237"/>
      <c r="BQ37" s="237"/>
      <c r="BR37" s="237"/>
      <c r="BS37" s="238"/>
      <c r="BT37" s="237"/>
      <c r="BV37" s="264">
        <f t="shared" si="2"/>
        <v>1076</v>
      </c>
      <c r="BW37" s="264">
        <f t="shared" si="3"/>
        <v>1412</v>
      </c>
      <c r="BX37" s="264">
        <f t="shared" si="4"/>
        <v>0</v>
      </c>
      <c r="BY37" s="264">
        <f t="shared" si="5"/>
        <v>198</v>
      </c>
      <c r="BZ37" s="264">
        <f t="shared" si="6"/>
        <v>538</v>
      </c>
      <c r="CA37" s="264">
        <f t="shared" si="7"/>
        <v>4776</v>
      </c>
      <c r="CB37" s="264">
        <f t="shared" si="8"/>
        <v>2544</v>
      </c>
      <c r="CC37" s="265">
        <f t="shared" si="9"/>
        <v>3291</v>
      </c>
      <c r="CD37" s="264">
        <f t="shared" si="10"/>
        <v>698</v>
      </c>
      <c r="CE37" s="264">
        <f t="shared" si="11"/>
        <v>803</v>
      </c>
      <c r="CF37" s="264">
        <f t="shared" si="12"/>
        <v>0</v>
      </c>
      <c r="CG37" s="264">
        <f t="shared" si="13"/>
        <v>85</v>
      </c>
      <c r="CH37" s="264">
        <f t="shared" si="14"/>
        <v>226</v>
      </c>
      <c r="CI37" s="264">
        <f t="shared" si="15"/>
        <v>2237</v>
      </c>
      <c r="CJ37" s="264">
        <f t="shared" si="16"/>
        <v>1277</v>
      </c>
      <c r="CK37" s="265">
        <f t="shared" si="17"/>
        <v>1059</v>
      </c>
      <c r="CL37" s="264">
        <f t="shared" si="18"/>
        <v>905</v>
      </c>
      <c r="CM37" s="264">
        <f t="shared" si="19"/>
        <v>1135</v>
      </c>
      <c r="CN37" s="264">
        <f t="shared" si="20"/>
        <v>0</v>
      </c>
      <c r="CO37" s="264">
        <f t="shared" si="21"/>
        <v>156</v>
      </c>
      <c r="CP37" s="264">
        <f t="shared" si="22"/>
        <v>299</v>
      </c>
      <c r="CQ37" s="264">
        <f t="shared" si="23"/>
        <v>3542</v>
      </c>
      <c r="CR37" s="264">
        <f t="shared" si="24"/>
        <v>1831</v>
      </c>
      <c r="CS37" s="266">
        <f t="shared" si="25"/>
        <v>1806</v>
      </c>
      <c r="CT37" s="264">
        <f t="shared" si="26"/>
        <v>783</v>
      </c>
      <c r="CU37" s="264">
        <f t="shared" si="27"/>
        <v>1381</v>
      </c>
      <c r="CV37" s="264">
        <f t="shared" si="28"/>
        <v>0</v>
      </c>
      <c r="CW37" s="264">
        <f t="shared" si="29"/>
        <v>253</v>
      </c>
      <c r="CX37" s="264">
        <f t="shared" si="30"/>
        <v>452</v>
      </c>
      <c r="CY37" s="264">
        <f t="shared" si="31"/>
        <v>4963</v>
      </c>
      <c r="CZ37" s="264">
        <f t="shared" si="32"/>
        <v>2521</v>
      </c>
      <c r="DA37" s="265">
        <f t="shared" si="33"/>
        <v>2928</v>
      </c>
      <c r="DB37" s="264">
        <f t="shared" si="34"/>
        <v>496</v>
      </c>
      <c r="DC37" s="264">
        <f t="shared" si="35"/>
        <v>808</v>
      </c>
      <c r="DD37" s="264">
        <f t="shared" si="36"/>
        <v>0</v>
      </c>
      <c r="DE37" s="264">
        <f t="shared" si="37"/>
        <v>122</v>
      </c>
      <c r="DF37" s="264">
        <f t="shared" si="38"/>
        <v>168</v>
      </c>
      <c r="DG37" s="264">
        <f t="shared" si="39"/>
        <v>2451</v>
      </c>
      <c r="DH37" s="264">
        <f t="shared" si="40"/>
        <v>1309</v>
      </c>
      <c r="DI37" s="265">
        <f t="shared" si="41"/>
        <v>938</v>
      </c>
      <c r="DJ37" s="264">
        <f t="shared" si="42"/>
        <v>647</v>
      </c>
      <c r="DK37" s="264">
        <f t="shared" si="43"/>
        <v>1120</v>
      </c>
      <c r="DL37" s="264">
        <f t="shared" si="44"/>
        <v>0</v>
      </c>
      <c r="DM37" s="264">
        <f t="shared" si="45"/>
        <v>195</v>
      </c>
      <c r="DN37" s="264">
        <f t="shared" si="46"/>
        <v>248</v>
      </c>
      <c r="DO37" s="264">
        <f t="shared" si="47"/>
        <v>3698</v>
      </c>
      <c r="DP37" s="264">
        <f t="shared" si="48"/>
        <v>1851</v>
      </c>
      <c r="DQ37" s="266">
        <f t="shared" si="49"/>
        <v>1622</v>
      </c>
      <c r="DR37" s="279">
        <f>INDEX('Rate Assumptions'!$A$1:$C$32,MATCH('Success Allocation'!DR$3,'Rate Assumptions'!$A$1:$A$32,0),MATCH($DR$1,'Rate Assumptions'!$A$1:$C$1,0))</f>
        <v>2291.7551696336809</v>
      </c>
      <c r="DS37" s="279">
        <f>INDEX('Rate Assumptions'!$A$1:$C$32,MATCH('Success Allocation'!DS$3,'Rate Assumptions'!$A$1:$A$32,0),MATCH($DR$1,'Rate Assumptions'!$A$1:$C$1,0))</f>
        <v>1718.8163772252606</v>
      </c>
      <c r="DT37" s="279">
        <f>INDEX('Rate Assumptions'!$A$1:$C$32,MATCH('Success Allocation'!DT$3,'Rate Assumptions'!$A$1:$A$32,0),MATCH($DR$1,'Rate Assumptions'!$A$1:$C$1,0))</f>
        <v>1718.8163772252606</v>
      </c>
      <c r="DU37" s="279">
        <f>INDEX('Rate Assumptions'!$A$1:$C$32,MATCH('Success Allocation'!DU$3,'Rate Assumptions'!$A$1:$A$32,0),MATCH($DR$1,'Rate Assumptions'!$A$1:$C$1,0))</f>
        <v>1145.8775848168405</v>
      </c>
      <c r="DV37" s="279">
        <f>INDEX('Rate Assumptions'!$A$1:$C$32,MATCH('Success Allocation'!DV$3,'Rate Assumptions'!$A$1:$A$32,0),MATCH($DR$1,'Rate Assumptions'!$A$1:$C$1,0))</f>
        <v>1145.8775848168405</v>
      </c>
      <c r="DW37" s="279">
        <f>INDEX('Rate Assumptions'!$A$1:$C$32,MATCH('Success Allocation'!DW$3,'Rate Assumptions'!$A$1:$A$32,0),MATCH($DR$1,'Rate Assumptions'!$A$1:$C$1,0))</f>
        <v>572.93879240842023</v>
      </c>
      <c r="DX37" s="279">
        <f>INDEX('Rate Assumptions'!$A$1:$C$32,MATCH('Success Allocation'!DX$3,'Rate Assumptions'!$A$1:$A$32,0),MATCH($DR$1,'Rate Assumptions'!$A$1:$C$1,0))</f>
        <v>859.40818861263028</v>
      </c>
      <c r="DY37" s="280">
        <f>INDEX('Rate Assumptions'!$A$1:$C$32,MATCH('Success Allocation'!DY$3,'Rate Assumptions'!$A$1:$A$32,0),MATCH($DR$1,'Rate Assumptions'!$A$1:$C$1,0))</f>
        <v>572.93879240842023</v>
      </c>
      <c r="DZ37" s="279">
        <f>INDEX('Rate Assumptions'!$A$1:$C$32,MATCH('Success Allocation'!DZ$3,'Rate Assumptions'!$A$1:$A$32,0),MATCH($DR$1,'Rate Assumptions'!$A$1:$C$1,0))</f>
        <v>866.31570658079204</v>
      </c>
      <c r="EA37" s="279">
        <f>INDEX('Rate Assumptions'!$A$1:$C$32,MATCH('Success Allocation'!EA$3,'Rate Assumptions'!$A$1:$A$32,0),MATCH($DR$1,'Rate Assumptions'!$A$1:$C$1,0))</f>
        <v>649.73677993559397</v>
      </c>
      <c r="EB37" s="279">
        <f>INDEX('Rate Assumptions'!$A$1:$C$32,MATCH('Success Allocation'!EB$3,'Rate Assumptions'!$A$1:$A$32,0),MATCH($DR$1,'Rate Assumptions'!$A$1:$C$1,0))</f>
        <v>649.73677993559397</v>
      </c>
      <c r="EC37" s="279">
        <f>INDEX('Rate Assumptions'!$A$1:$C$32,MATCH('Success Allocation'!EC$3,'Rate Assumptions'!$A$1:$A$32,0),MATCH($DR$1,'Rate Assumptions'!$A$1:$C$1,0))</f>
        <v>433.15785329039602</v>
      </c>
      <c r="ED37" s="279">
        <f>INDEX('Rate Assumptions'!$A$1:$C$32,MATCH('Success Allocation'!ED$3,'Rate Assumptions'!$A$1:$A$32,0),MATCH($DR$1,'Rate Assumptions'!$A$1:$C$1,0))</f>
        <v>433.15785329039602</v>
      </c>
      <c r="EE37" s="279">
        <f>INDEX('Rate Assumptions'!$A$1:$C$32,MATCH('Success Allocation'!EE$3,'Rate Assumptions'!$A$1:$A$32,0),MATCH($DR$1,'Rate Assumptions'!$A$1:$C$1,0))</f>
        <v>216.57892664519801</v>
      </c>
      <c r="EF37" s="279">
        <f>INDEX('Rate Assumptions'!$A$1:$C$32,MATCH('Success Allocation'!EF$3,'Rate Assumptions'!$A$1:$A$32,0),MATCH($DR$1,'Rate Assumptions'!$A$1:$C$1,0))</f>
        <v>324.86838996779699</v>
      </c>
      <c r="EG37" s="280">
        <f>INDEX('Rate Assumptions'!$A$1:$C$32,MATCH('Success Allocation'!EG$3,'Rate Assumptions'!$A$1:$A$32,0),MATCH($DR$1,'Rate Assumptions'!$A$1:$C$1,0))</f>
        <v>216.57892664519801</v>
      </c>
      <c r="EH37" s="279">
        <f>INDEX('Rate Assumptions'!$A$1:$C$32,MATCH('Success Allocation'!EH$3,'Rate Assumptions'!$A$1:$A$32,0),MATCH($DR$1,'Rate Assumptions'!$A$1:$C$1,0))</f>
        <v>577.54380438719465</v>
      </c>
      <c r="EI37" s="279">
        <f>INDEX('Rate Assumptions'!$A$1:$C$32,MATCH('Success Allocation'!EI$3,'Rate Assumptions'!$A$1:$A$32,0),MATCH($DR$1,'Rate Assumptions'!$A$1:$C$1,0))</f>
        <v>433.15785329039602</v>
      </c>
      <c r="EJ37" s="279">
        <f>INDEX('Rate Assumptions'!$A$1:$C$32,MATCH('Success Allocation'!EJ$3,'Rate Assumptions'!$A$1:$A$32,0),MATCH($DR$1,'Rate Assumptions'!$A$1:$C$1,0))</f>
        <v>433.15785329039602</v>
      </c>
      <c r="EK37" s="279">
        <f>INDEX('Rate Assumptions'!$A$1:$C$32,MATCH('Success Allocation'!EK$3,'Rate Assumptions'!$A$1:$A$32,0),MATCH($DR$1,'Rate Assumptions'!$A$1:$C$1,0))</f>
        <v>288.77190219359733</v>
      </c>
      <c r="EL37" s="279">
        <f>INDEX('Rate Assumptions'!$A$1:$C$32,MATCH('Success Allocation'!EL$3,'Rate Assumptions'!$A$1:$A$32,0),MATCH($DR$1,'Rate Assumptions'!$A$1:$C$1,0))</f>
        <v>288.77190219359733</v>
      </c>
      <c r="EM37" s="279">
        <f>INDEX('Rate Assumptions'!$A$1:$C$32,MATCH('Success Allocation'!EM$3,'Rate Assumptions'!$A$1:$A$32,0),MATCH($DR$1,'Rate Assumptions'!$A$1:$C$1,0))</f>
        <v>144.38595109679866</v>
      </c>
      <c r="EN37" s="279">
        <f>INDEX('Rate Assumptions'!$A$1:$C$32,MATCH('Success Allocation'!EN$3,'Rate Assumptions'!$A$1:$A$32,0),MATCH($DR$1,'Rate Assumptions'!$A$1:$C$1,0))</f>
        <v>216.57892664519801</v>
      </c>
      <c r="EO37" s="281">
        <f>INDEX('Rate Assumptions'!$A$1:$C$32,MATCH('Success Allocation'!EO$3,'Rate Assumptions'!$A$1:$A$32,0),MATCH($DR$1,'Rate Assumptions'!$A$1:$C$1,0))</f>
        <v>144.38595109679866</v>
      </c>
      <c r="EP37" s="170">
        <f t="shared" si="50"/>
        <v>17248769.628954932</v>
      </c>
    </row>
    <row r="38" spans="1:146">
      <c r="A38" s="223" t="s">
        <v>125</v>
      </c>
      <c r="B38" s="226">
        <v>315</v>
      </c>
      <c r="C38" s="226">
        <v>836</v>
      </c>
      <c r="D38" s="226">
        <v>0</v>
      </c>
      <c r="E38" s="226">
        <v>61</v>
      </c>
      <c r="F38" s="226">
        <v>347</v>
      </c>
      <c r="G38" s="227">
        <v>1370</v>
      </c>
      <c r="H38" s="226">
        <v>1144</v>
      </c>
      <c r="I38" s="228">
        <v>1790</v>
      </c>
      <c r="J38" s="226">
        <v>191</v>
      </c>
      <c r="K38" s="226">
        <v>527</v>
      </c>
      <c r="L38" s="226">
        <v>0</v>
      </c>
      <c r="M38" s="226">
        <v>38</v>
      </c>
      <c r="N38" s="226">
        <v>155</v>
      </c>
      <c r="O38" s="227">
        <v>795</v>
      </c>
      <c r="P38" s="226">
        <v>598</v>
      </c>
      <c r="Q38" s="228">
        <v>750</v>
      </c>
      <c r="R38" s="226">
        <v>255</v>
      </c>
      <c r="S38" s="226">
        <v>689</v>
      </c>
      <c r="T38" s="226">
        <v>0</v>
      </c>
      <c r="U38" s="226">
        <v>44</v>
      </c>
      <c r="V38" s="226">
        <v>231</v>
      </c>
      <c r="W38" s="227">
        <v>1078</v>
      </c>
      <c r="X38" s="226">
        <v>867</v>
      </c>
      <c r="Y38" s="234">
        <v>1224</v>
      </c>
      <c r="Z38" s="237">
        <v>433</v>
      </c>
      <c r="AA38" s="237">
        <v>899</v>
      </c>
      <c r="AB38" s="237">
        <v>0</v>
      </c>
      <c r="AC38" s="237">
        <v>64</v>
      </c>
      <c r="AD38" s="237">
        <v>387</v>
      </c>
      <c r="AE38" s="237">
        <v>1409</v>
      </c>
      <c r="AF38" s="237">
        <v>1273</v>
      </c>
      <c r="AG38" s="228">
        <v>1964</v>
      </c>
      <c r="AH38" s="237">
        <v>258</v>
      </c>
      <c r="AI38" s="237">
        <v>563</v>
      </c>
      <c r="AJ38" s="237">
        <v>0</v>
      </c>
      <c r="AK38" s="237">
        <v>36</v>
      </c>
      <c r="AL38" s="237">
        <v>148</v>
      </c>
      <c r="AM38" s="237">
        <v>845</v>
      </c>
      <c r="AN38" s="237">
        <v>690</v>
      </c>
      <c r="AO38" s="228">
        <v>823</v>
      </c>
      <c r="AP38" s="237">
        <v>361</v>
      </c>
      <c r="AQ38" s="237">
        <v>745</v>
      </c>
      <c r="AR38" s="237">
        <v>0</v>
      </c>
      <c r="AS38" s="237">
        <v>52</v>
      </c>
      <c r="AT38" s="237">
        <v>252</v>
      </c>
      <c r="AU38" s="238">
        <v>1134</v>
      </c>
      <c r="AV38" s="237">
        <v>954</v>
      </c>
      <c r="AW38" s="234">
        <v>1367</v>
      </c>
      <c r="AX38" s="237"/>
      <c r="AY38" s="237"/>
      <c r="AZ38" s="237"/>
      <c r="BA38" s="237"/>
      <c r="BB38" s="237"/>
      <c r="BC38" s="237"/>
      <c r="BD38" s="237"/>
      <c r="BF38" s="237"/>
      <c r="BG38" s="237"/>
      <c r="BH38" s="237"/>
      <c r="BI38" s="237"/>
      <c r="BJ38" s="237"/>
      <c r="BK38" s="237"/>
      <c r="BL38" s="237"/>
      <c r="BN38" s="237"/>
      <c r="BO38" s="237"/>
      <c r="BP38" s="237"/>
      <c r="BQ38" s="237"/>
      <c r="BR38" s="237"/>
      <c r="BS38" s="238"/>
      <c r="BT38" s="237"/>
      <c r="BV38" s="264">
        <f t="shared" si="2"/>
        <v>551</v>
      </c>
      <c r="BW38" s="264">
        <f t="shared" si="3"/>
        <v>962</v>
      </c>
      <c r="BX38" s="264">
        <f t="shared" si="4"/>
        <v>0</v>
      </c>
      <c r="BY38" s="264">
        <f t="shared" si="5"/>
        <v>67</v>
      </c>
      <c r="BZ38" s="264">
        <f t="shared" si="6"/>
        <v>427</v>
      </c>
      <c r="CA38" s="264">
        <f t="shared" si="7"/>
        <v>1448</v>
      </c>
      <c r="CB38" s="264">
        <f t="shared" si="8"/>
        <v>1402</v>
      </c>
      <c r="CC38" s="265">
        <f t="shared" si="9"/>
        <v>2138</v>
      </c>
      <c r="CD38" s="264">
        <f t="shared" si="10"/>
        <v>325</v>
      </c>
      <c r="CE38" s="264">
        <f t="shared" si="11"/>
        <v>599</v>
      </c>
      <c r="CF38" s="264">
        <f t="shared" si="12"/>
        <v>0</v>
      </c>
      <c r="CG38" s="264">
        <f t="shared" si="13"/>
        <v>34</v>
      </c>
      <c r="CH38" s="264">
        <f t="shared" si="14"/>
        <v>141</v>
      </c>
      <c r="CI38" s="264">
        <f t="shared" si="15"/>
        <v>895</v>
      </c>
      <c r="CJ38" s="264">
        <f t="shared" si="16"/>
        <v>782</v>
      </c>
      <c r="CK38" s="265">
        <f t="shared" si="17"/>
        <v>896</v>
      </c>
      <c r="CL38" s="264">
        <f t="shared" si="18"/>
        <v>467</v>
      </c>
      <c r="CM38" s="264">
        <f t="shared" si="19"/>
        <v>801</v>
      </c>
      <c r="CN38" s="264">
        <f t="shared" si="20"/>
        <v>0</v>
      </c>
      <c r="CO38" s="264">
        <f t="shared" si="21"/>
        <v>60</v>
      </c>
      <c r="CP38" s="264">
        <f t="shared" si="22"/>
        <v>273</v>
      </c>
      <c r="CQ38" s="264">
        <f t="shared" si="23"/>
        <v>1190</v>
      </c>
      <c r="CR38" s="264">
        <f t="shared" si="24"/>
        <v>1041</v>
      </c>
      <c r="CS38" s="266">
        <f t="shared" si="25"/>
        <v>1510</v>
      </c>
      <c r="CT38" s="264">
        <f t="shared" si="26"/>
        <v>433</v>
      </c>
      <c r="CU38" s="264">
        <f t="shared" si="27"/>
        <v>899</v>
      </c>
      <c r="CV38" s="264">
        <f t="shared" si="28"/>
        <v>0</v>
      </c>
      <c r="CW38" s="264">
        <f t="shared" si="29"/>
        <v>64</v>
      </c>
      <c r="CX38" s="264">
        <f t="shared" si="30"/>
        <v>387</v>
      </c>
      <c r="CY38" s="264">
        <f t="shared" si="31"/>
        <v>1409</v>
      </c>
      <c r="CZ38" s="264">
        <f t="shared" si="32"/>
        <v>1273</v>
      </c>
      <c r="DA38" s="265">
        <f t="shared" si="33"/>
        <v>1964</v>
      </c>
      <c r="DB38" s="264">
        <f t="shared" si="34"/>
        <v>258</v>
      </c>
      <c r="DC38" s="264">
        <f t="shared" si="35"/>
        <v>563</v>
      </c>
      <c r="DD38" s="264">
        <f t="shared" si="36"/>
        <v>0</v>
      </c>
      <c r="DE38" s="264">
        <f t="shared" si="37"/>
        <v>36</v>
      </c>
      <c r="DF38" s="264">
        <f t="shared" si="38"/>
        <v>148</v>
      </c>
      <c r="DG38" s="264">
        <f t="shared" si="39"/>
        <v>845</v>
      </c>
      <c r="DH38" s="264">
        <f t="shared" si="40"/>
        <v>690</v>
      </c>
      <c r="DI38" s="265">
        <f t="shared" si="41"/>
        <v>823</v>
      </c>
      <c r="DJ38" s="264">
        <f t="shared" si="42"/>
        <v>361</v>
      </c>
      <c r="DK38" s="264">
        <f t="shared" si="43"/>
        <v>745</v>
      </c>
      <c r="DL38" s="264">
        <f t="shared" si="44"/>
        <v>0</v>
      </c>
      <c r="DM38" s="264">
        <f t="shared" si="45"/>
        <v>52</v>
      </c>
      <c r="DN38" s="264">
        <f t="shared" si="46"/>
        <v>252</v>
      </c>
      <c r="DO38" s="264">
        <f t="shared" si="47"/>
        <v>1134</v>
      </c>
      <c r="DP38" s="264">
        <f t="shared" si="48"/>
        <v>954</v>
      </c>
      <c r="DQ38" s="266">
        <f t="shared" si="49"/>
        <v>1367</v>
      </c>
      <c r="DR38" s="279">
        <f>INDEX('Rate Assumptions'!$A$1:$C$32,MATCH('Success Allocation'!DR$3,'Rate Assumptions'!$A$1:$A$32,0),MATCH($DR$1,'Rate Assumptions'!$A$1:$C$1,0))</f>
        <v>2291.7551696336809</v>
      </c>
      <c r="DS38" s="279">
        <f>INDEX('Rate Assumptions'!$A$1:$C$32,MATCH('Success Allocation'!DS$3,'Rate Assumptions'!$A$1:$A$32,0),MATCH($DR$1,'Rate Assumptions'!$A$1:$C$1,0))</f>
        <v>1718.8163772252606</v>
      </c>
      <c r="DT38" s="279">
        <f>INDEX('Rate Assumptions'!$A$1:$C$32,MATCH('Success Allocation'!DT$3,'Rate Assumptions'!$A$1:$A$32,0),MATCH($DR$1,'Rate Assumptions'!$A$1:$C$1,0))</f>
        <v>1718.8163772252606</v>
      </c>
      <c r="DU38" s="279">
        <f>INDEX('Rate Assumptions'!$A$1:$C$32,MATCH('Success Allocation'!DU$3,'Rate Assumptions'!$A$1:$A$32,0),MATCH($DR$1,'Rate Assumptions'!$A$1:$C$1,0))</f>
        <v>1145.8775848168405</v>
      </c>
      <c r="DV38" s="279">
        <f>INDEX('Rate Assumptions'!$A$1:$C$32,MATCH('Success Allocation'!DV$3,'Rate Assumptions'!$A$1:$A$32,0),MATCH($DR$1,'Rate Assumptions'!$A$1:$C$1,0))</f>
        <v>1145.8775848168405</v>
      </c>
      <c r="DW38" s="279">
        <f>INDEX('Rate Assumptions'!$A$1:$C$32,MATCH('Success Allocation'!DW$3,'Rate Assumptions'!$A$1:$A$32,0),MATCH($DR$1,'Rate Assumptions'!$A$1:$C$1,0))</f>
        <v>572.93879240842023</v>
      </c>
      <c r="DX38" s="279">
        <f>INDEX('Rate Assumptions'!$A$1:$C$32,MATCH('Success Allocation'!DX$3,'Rate Assumptions'!$A$1:$A$32,0),MATCH($DR$1,'Rate Assumptions'!$A$1:$C$1,0))</f>
        <v>859.40818861263028</v>
      </c>
      <c r="DY38" s="280">
        <f>INDEX('Rate Assumptions'!$A$1:$C$32,MATCH('Success Allocation'!DY$3,'Rate Assumptions'!$A$1:$A$32,0),MATCH($DR$1,'Rate Assumptions'!$A$1:$C$1,0))</f>
        <v>572.93879240842023</v>
      </c>
      <c r="DZ38" s="279">
        <f>INDEX('Rate Assumptions'!$A$1:$C$32,MATCH('Success Allocation'!DZ$3,'Rate Assumptions'!$A$1:$A$32,0),MATCH($DR$1,'Rate Assumptions'!$A$1:$C$1,0))</f>
        <v>866.31570658079204</v>
      </c>
      <c r="EA38" s="279">
        <f>INDEX('Rate Assumptions'!$A$1:$C$32,MATCH('Success Allocation'!EA$3,'Rate Assumptions'!$A$1:$A$32,0),MATCH($DR$1,'Rate Assumptions'!$A$1:$C$1,0))</f>
        <v>649.73677993559397</v>
      </c>
      <c r="EB38" s="279">
        <f>INDEX('Rate Assumptions'!$A$1:$C$32,MATCH('Success Allocation'!EB$3,'Rate Assumptions'!$A$1:$A$32,0),MATCH($DR$1,'Rate Assumptions'!$A$1:$C$1,0))</f>
        <v>649.73677993559397</v>
      </c>
      <c r="EC38" s="279">
        <f>INDEX('Rate Assumptions'!$A$1:$C$32,MATCH('Success Allocation'!EC$3,'Rate Assumptions'!$A$1:$A$32,0),MATCH($DR$1,'Rate Assumptions'!$A$1:$C$1,0))</f>
        <v>433.15785329039602</v>
      </c>
      <c r="ED38" s="279">
        <f>INDEX('Rate Assumptions'!$A$1:$C$32,MATCH('Success Allocation'!ED$3,'Rate Assumptions'!$A$1:$A$32,0),MATCH($DR$1,'Rate Assumptions'!$A$1:$C$1,0))</f>
        <v>433.15785329039602</v>
      </c>
      <c r="EE38" s="279">
        <f>INDEX('Rate Assumptions'!$A$1:$C$32,MATCH('Success Allocation'!EE$3,'Rate Assumptions'!$A$1:$A$32,0),MATCH($DR$1,'Rate Assumptions'!$A$1:$C$1,0))</f>
        <v>216.57892664519801</v>
      </c>
      <c r="EF38" s="279">
        <f>INDEX('Rate Assumptions'!$A$1:$C$32,MATCH('Success Allocation'!EF$3,'Rate Assumptions'!$A$1:$A$32,0),MATCH($DR$1,'Rate Assumptions'!$A$1:$C$1,0))</f>
        <v>324.86838996779699</v>
      </c>
      <c r="EG38" s="280">
        <f>INDEX('Rate Assumptions'!$A$1:$C$32,MATCH('Success Allocation'!EG$3,'Rate Assumptions'!$A$1:$A$32,0),MATCH($DR$1,'Rate Assumptions'!$A$1:$C$1,0))</f>
        <v>216.57892664519801</v>
      </c>
      <c r="EH38" s="279">
        <f>INDEX('Rate Assumptions'!$A$1:$C$32,MATCH('Success Allocation'!EH$3,'Rate Assumptions'!$A$1:$A$32,0),MATCH($DR$1,'Rate Assumptions'!$A$1:$C$1,0))</f>
        <v>577.54380438719465</v>
      </c>
      <c r="EI38" s="279">
        <f>INDEX('Rate Assumptions'!$A$1:$C$32,MATCH('Success Allocation'!EI$3,'Rate Assumptions'!$A$1:$A$32,0),MATCH($DR$1,'Rate Assumptions'!$A$1:$C$1,0))</f>
        <v>433.15785329039602</v>
      </c>
      <c r="EJ38" s="279">
        <f>INDEX('Rate Assumptions'!$A$1:$C$32,MATCH('Success Allocation'!EJ$3,'Rate Assumptions'!$A$1:$A$32,0),MATCH($DR$1,'Rate Assumptions'!$A$1:$C$1,0))</f>
        <v>433.15785329039602</v>
      </c>
      <c r="EK38" s="279">
        <f>INDEX('Rate Assumptions'!$A$1:$C$32,MATCH('Success Allocation'!EK$3,'Rate Assumptions'!$A$1:$A$32,0),MATCH($DR$1,'Rate Assumptions'!$A$1:$C$1,0))</f>
        <v>288.77190219359733</v>
      </c>
      <c r="EL38" s="279">
        <f>INDEX('Rate Assumptions'!$A$1:$C$32,MATCH('Success Allocation'!EL$3,'Rate Assumptions'!$A$1:$A$32,0),MATCH($DR$1,'Rate Assumptions'!$A$1:$C$1,0))</f>
        <v>288.77190219359733</v>
      </c>
      <c r="EM38" s="279">
        <f>INDEX('Rate Assumptions'!$A$1:$C$32,MATCH('Success Allocation'!EM$3,'Rate Assumptions'!$A$1:$A$32,0),MATCH($DR$1,'Rate Assumptions'!$A$1:$C$1,0))</f>
        <v>144.38595109679866</v>
      </c>
      <c r="EN38" s="279">
        <f>INDEX('Rate Assumptions'!$A$1:$C$32,MATCH('Success Allocation'!EN$3,'Rate Assumptions'!$A$1:$A$32,0),MATCH($DR$1,'Rate Assumptions'!$A$1:$C$1,0))</f>
        <v>216.57892664519801</v>
      </c>
      <c r="EO38" s="281">
        <f>INDEX('Rate Assumptions'!$A$1:$C$32,MATCH('Success Allocation'!EO$3,'Rate Assumptions'!$A$1:$A$32,0),MATCH($DR$1,'Rate Assumptions'!$A$1:$C$1,0))</f>
        <v>144.38595109679866</v>
      </c>
      <c r="EP38" s="170">
        <f t="shared" si="50"/>
        <v>9458392.4401561469</v>
      </c>
    </row>
    <row r="39" spans="1:146">
      <c r="A39" s="223" t="s">
        <v>126</v>
      </c>
      <c r="B39" s="226">
        <v>183</v>
      </c>
      <c r="C39" s="226">
        <v>364</v>
      </c>
      <c r="D39" s="226">
        <v>0</v>
      </c>
      <c r="E39" s="226">
        <v>112</v>
      </c>
      <c r="F39" s="226">
        <v>176</v>
      </c>
      <c r="G39" s="227">
        <v>863</v>
      </c>
      <c r="H39" s="226">
        <v>532</v>
      </c>
      <c r="I39" s="228">
        <v>1113</v>
      </c>
      <c r="J39" s="226">
        <v>90</v>
      </c>
      <c r="K39" s="226">
        <v>174</v>
      </c>
      <c r="L39" s="226">
        <v>0</v>
      </c>
      <c r="M39" s="226">
        <v>47</v>
      </c>
      <c r="N39" s="226">
        <v>44</v>
      </c>
      <c r="O39" s="227">
        <v>308</v>
      </c>
      <c r="P39" s="226">
        <v>234</v>
      </c>
      <c r="Q39" s="228">
        <v>202</v>
      </c>
      <c r="R39" s="226">
        <v>122</v>
      </c>
      <c r="S39" s="226">
        <v>263</v>
      </c>
      <c r="T39" s="226">
        <v>0</v>
      </c>
      <c r="U39" s="226">
        <v>69</v>
      </c>
      <c r="V39" s="226">
        <v>92</v>
      </c>
      <c r="W39" s="227">
        <v>530</v>
      </c>
      <c r="X39" s="226">
        <v>367</v>
      </c>
      <c r="Y39" s="234">
        <v>471</v>
      </c>
      <c r="Z39" s="237">
        <v>228</v>
      </c>
      <c r="AA39" s="237">
        <v>304</v>
      </c>
      <c r="AB39" s="237">
        <v>0</v>
      </c>
      <c r="AC39" s="237">
        <v>111</v>
      </c>
      <c r="AD39" s="237">
        <v>132</v>
      </c>
      <c r="AE39" s="237">
        <v>845</v>
      </c>
      <c r="AF39" s="237">
        <v>531</v>
      </c>
      <c r="AG39" s="228">
        <v>1050</v>
      </c>
      <c r="AH39" s="237">
        <v>110</v>
      </c>
      <c r="AI39" s="237">
        <v>133</v>
      </c>
      <c r="AJ39" s="237">
        <v>0</v>
      </c>
      <c r="AK39" s="237">
        <v>34</v>
      </c>
      <c r="AL39" s="237">
        <v>47</v>
      </c>
      <c r="AM39" s="237">
        <v>288</v>
      </c>
      <c r="AN39" s="237">
        <v>229</v>
      </c>
      <c r="AO39" s="228">
        <v>237</v>
      </c>
      <c r="AP39" s="237">
        <v>172</v>
      </c>
      <c r="AQ39" s="237">
        <v>218</v>
      </c>
      <c r="AR39" s="237">
        <v>0</v>
      </c>
      <c r="AS39" s="237">
        <v>73</v>
      </c>
      <c r="AT39" s="237">
        <v>79</v>
      </c>
      <c r="AU39" s="238">
        <v>505</v>
      </c>
      <c r="AV39" s="237">
        <v>352</v>
      </c>
      <c r="AW39" s="234">
        <v>458</v>
      </c>
      <c r="AX39" s="237"/>
      <c r="AY39" s="237"/>
      <c r="AZ39" s="237"/>
      <c r="BA39" s="237"/>
      <c r="BB39" s="237"/>
      <c r="BC39" s="237"/>
      <c r="BD39" s="237"/>
      <c r="BF39" s="237"/>
      <c r="BG39" s="237"/>
      <c r="BH39" s="237"/>
      <c r="BI39" s="237"/>
      <c r="BJ39" s="237"/>
      <c r="BK39" s="237"/>
      <c r="BL39" s="237"/>
      <c r="BN39" s="237"/>
      <c r="BO39" s="237"/>
      <c r="BP39" s="237"/>
      <c r="BQ39" s="237"/>
      <c r="BR39" s="237"/>
      <c r="BS39" s="238"/>
      <c r="BT39" s="237"/>
      <c r="BV39" s="264">
        <f t="shared" si="2"/>
        <v>273</v>
      </c>
      <c r="BW39" s="264">
        <f t="shared" si="3"/>
        <v>244</v>
      </c>
      <c r="BX39" s="264">
        <f t="shared" si="4"/>
        <v>0</v>
      </c>
      <c r="BY39" s="264">
        <f t="shared" si="5"/>
        <v>110</v>
      </c>
      <c r="BZ39" s="264">
        <f t="shared" si="6"/>
        <v>88</v>
      </c>
      <c r="CA39" s="264">
        <f t="shared" si="7"/>
        <v>827</v>
      </c>
      <c r="CB39" s="264">
        <f t="shared" si="8"/>
        <v>530</v>
      </c>
      <c r="CC39" s="265">
        <f t="shared" si="9"/>
        <v>987</v>
      </c>
      <c r="CD39" s="264">
        <f t="shared" si="10"/>
        <v>130</v>
      </c>
      <c r="CE39" s="264">
        <f t="shared" si="11"/>
        <v>92</v>
      </c>
      <c r="CF39" s="264">
        <f t="shared" si="12"/>
        <v>0</v>
      </c>
      <c r="CG39" s="264">
        <f t="shared" si="13"/>
        <v>21</v>
      </c>
      <c r="CH39" s="264">
        <f t="shared" si="14"/>
        <v>50</v>
      </c>
      <c r="CI39" s="264">
        <f t="shared" si="15"/>
        <v>268</v>
      </c>
      <c r="CJ39" s="264">
        <f t="shared" si="16"/>
        <v>224</v>
      </c>
      <c r="CK39" s="265">
        <f t="shared" si="17"/>
        <v>272</v>
      </c>
      <c r="CL39" s="264">
        <f t="shared" si="18"/>
        <v>222</v>
      </c>
      <c r="CM39" s="264">
        <f t="shared" si="19"/>
        <v>173</v>
      </c>
      <c r="CN39" s="264">
        <f t="shared" si="20"/>
        <v>0</v>
      </c>
      <c r="CO39" s="264">
        <f t="shared" si="21"/>
        <v>77</v>
      </c>
      <c r="CP39" s="264">
        <f t="shared" si="22"/>
        <v>66</v>
      </c>
      <c r="CQ39" s="264">
        <f t="shared" si="23"/>
        <v>480</v>
      </c>
      <c r="CR39" s="264">
        <f t="shared" si="24"/>
        <v>337</v>
      </c>
      <c r="CS39" s="266">
        <f t="shared" si="25"/>
        <v>445</v>
      </c>
      <c r="CT39" s="264">
        <f t="shared" si="26"/>
        <v>228</v>
      </c>
      <c r="CU39" s="264">
        <f t="shared" si="27"/>
        <v>304</v>
      </c>
      <c r="CV39" s="264">
        <f t="shared" si="28"/>
        <v>0</v>
      </c>
      <c r="CW39" s="264">
        <f t="shared" si="29"/>
        <v>111</v>
      </c>
      <c r="CX39" s="264">
        <f t="shared" si="30"/>
        <v>132</v>
      </c>
      <c r="CY39" s="264">
        <f t="shared" si="31"/>
        <v>845</v>
      </c>
      <c r="CZ39" s="264">
        <f t="shared" si="32"/>
        <v>531</v>
      </c>
      <c r="DA39" s="265">
        <f t="shared" si="33"/>
        <v>1050</v>
      </c>
      <c r="DB39" s="264">
        <f t="shared" si="34"/>
        <v>110</v>
      </c>
      <c r="DC39" s="264">
        <f t="shared" si="35"/>
        <v>133</v>
      </c>
      <c r="DD39" s="264">
        <f t="shared" si="36"/>
        <v>0</v>
      </c>
      <c r="DE39" s="264">
        <f t="shared" si="37"/>
        <v>34</v>
      </c>
      <c r="DF39" s="264">
        <f t="shared" si="38"/>
        <v>47</v>
      </c>
      <c r="DG39" s="264">
        <f t="shared" si="39"/>
        <v>288</v>
      </c>
      <c r="DH39" s="264">
        <f t="shared" si="40"/>
        <v>229</v>
      </c>
      <c r="DI39" s="265">
        <f t="shared" si="41"/>
        <v>237</v>
      </c>
      <c r="DJ39" s="264">
        <f t="shared" si="42"/>
        <v>172</v>
      </c>
      <c r="DK39" s="264">
        <f t="shared" si="43"/>
        <v>218</v>
      </c>
      <c r="DL39" s="264">
        <f t="shared" si="44"/>
        <v>0</v>
      </c>
      <c r="DM39" s="264">
        <f t="shared" si="45"/>
        <v>73</v>
      </c>
      <c r="DN39" s="264">
        <f t="shared" si="46"/>
        <v>79</v>
      </c>
      <c r="DO39" s="264">
        <f t="shared" si="47"/>
        <v>505</v>
      </c>
      <c r="DP39" s="264">
        <f t="shared" si="48"/>
        <v>352</v>
      </c>
      <c r="DQ39" s="266">
        <f t="shared" si="49"/>
        <v>458</v>
      </c>
      <c r="DR39" s="279">
        <f>INDEX('Rate Assumptions'!$A$1:$C$32,MATCH('Success Allocation'!DR$3,'Rate Assumptions'!$A$1:$A$32,0),MATCH($DR$1,'Rate Assumptions'!$A$1:$C$1,0))</f>
        <v>2291.7551696336809</v>
      </c>
      <c r="DS39" s="279">
        <f>INDEX('Rate Assumptions'!$A$1:$C$32,MATCH('Success Allocation'!DS$3,'Rate Assumptions'!$A$1:$A$32,0),MATCH($DR$1,'Rate Assumptions'!$A$1:$C$1,0))</f>
        <v>1718.8163772252606</v>
      </c>
      <c r="DT39" s="279">
        <f>INDEX('Rate Assumptions'!$A$1:$C$32,MATCH('Success Allocation'!DT$3,'Rate Assumptions'!$A$1:$A$32,0),MATCH($DR$1,'Rate Assumptions'!$A$1:$C$1,0))</f>
        <v>1718.8163772252606</v>
      </c>
      <c r="DU39" s="279">
        <f>INDEX('Rate Assumptions'!$A$1:$C$32,MATCH('Success Allocation'!DU$3,'Rate Assumptions'!$A$1:$A$32,0),MATCH($DR$1,'Rate Assumptions'!$A$1:$C$1,0))</f>
        <v>1145.8775848168405</v>
      </c>
      <c r="DV39" s="279">
        <f>INDEX('Rate Assumptions'!$A$1:$C$32,MATCH('Success Allocation'!DV$3,'Rate Assumptions'!$A$1:$A$32,0),MATCH($DR$1,'Rate Assumptions'!$A$1:$C$1,0))</f>
        <v>1145.8775848168405</v>
      </c>
      <c r="DW39" s="279">
        <f>INDEX('Rate Assumptions'!$A$1:$C$32,MATCH('Success Allocation'!DW$3,'Rate Assumptions'!$A$1:$A$32,0),MATCH($DR$1,'Rate Assumptions'!$A$1:$C$1,0))</f>
        <v>572.93879240842023</v>
      </c>
      <c r="DX39" s="279">
        <f>INDEX('Rate Assumptions'!$A$1:$C$32,MATCH('Success Allocation'!DX$3,'Rate Assumptions'!$A$1:$A$32,0),MATCH($DR$1,'Rate Assumptions'!$A$1:$C$1,0))</f>
        <v>859.40818861263028</v>
      </c>
      <c r="DY39" s="280">
        <f>INDEX('Rate Assumptions'!$A$1:$C$32,MATCH('Success Allocation'!DY$3,'Rate Assumptions'!$A$1:$A$32,0),MATCH($DR$1,'Rate Assumptions'!$A$1:$C$1,0))</f>
        <v>572.93879240842023</v>
      </c>
      <c r="DZ39" s="279">
        <f>INDEX('Rate Assumptions'!$A$1:$C$32,MATCH('Success Allocation'!DZ$3,'Rate Assumptions'!$A$1:$A$32,0),MATCH($DR$1,'Rate Assumptions'!$A$1:$C$1,0))</f>
        <v>866.31570658079204</v>
      </c>
      <c r="EA39" s="279">
        <f>INDEX('Rate Assumptions'!$A$1:$C$32,MATCH('Success Allocation'!EA$3,'Rate Assumptions'!$A$1:$A$32,0),MATCH($DR$1,'Rate Assumptions'!$A$1:$C$1,0))</f>
        <v>649.73677993559397</v>
      </c>
      <c r="EB39" s="279">
        <f>INDEX('Rate Assumptions'!$A$1:$C$32,MATCH('Success Allocation'!EB$3,'Rate Assumptions'!$A$1:$A$32,0),MATCH($DR$1,'Rate Assumptions'!$A$1:$C$1,0))</f>
        <v>649.73677993559397</v>
      </c>
      <c r="EC39" s="279">
        <f>INDEX('Rate Assumptions'!$A$1:$C$32,MATCH('Success Allocation'!EC$3,'Rate Assumptions'!$A$1:$A$32,0),MATCH($DR$1,'Rate Assumptions'!$A$1:$C$1,0))</f>
        <v>433.15785329039602</v>
      </c>
      <c r="ED39" s="279">
        <f>INDEX('Rate Assumptions'!$A$1:$C$32,MATCH('Success Allocation'!ED$3,'Rate Assumptions'!$A$1:$A$32,0),MATCH($DR$1,'Rate Assumptions'!$A$1:$C$1,0))</f>
        <v>433.15785329039602</v>
      </c>
      <c r="EE39" s="279">
        <f>INDEX('Rate Assumptions'!$A$1:$C$32,MATCH('Success Allocation'!EE$3,'Rate Assumptions'!$A$1:$A$32,0),MATCH($DR$1,'Rate Assumptions'!$A$1:$C$1,0))</f>
        <v>216.57892664519801</v>
      </c>
      <c r="EF39" s="279">
        <f>INDEX('Rate Assumptions'!$A$1:$C$32,MATCH('Success Allocation'!EF$3,'Rate Assumptions'!$A$1:$A$32,0),MATCH($DR$1,'Rate Assumptions'!$A$1:$C$1,0))</f>
        <v>324.86838996779699</v>
      </c>
      <c r="EG39" s="280">
        <f>INDEX('Rate Assumptions'!$A$1:$C$32,MATCH('Success Allocation'!EG$3,'Rate Assumptions'!$A$1:$A$32,0),MATCH($DR$1,'Rate Assumptions'!$A$1:$C$1,0))</f>
        <v>216.57892664519801</v>
      </c>
      <c r="EH39" s="279">
        <f>INDEX('Rate Assumptions'!$A$1:$C$32,MATCH('Success Allocation'!EH$3,'Rate Assumptions'!$A$1:$A$32,0),MATCH($DR$1,'Rate Assumptions'!$A$1:$C$1,0))</f>
        <v>577.54380438719465</v>
      </c>
      <c r="EI39" s="279">
        <f>INDEX('Rate Assumptions'!$A$1:$C$32,MATCH('Success Allocation'!EI$3,'Rate Assumptions'!$A$1:$A$32,0),MATCH($DR$1,'Rate Assumptions'!$A$1:$C$1,0))</f>
        <v>433.15785329039602</v>
      </c>
      <c r="EJ39" s="279">
        <f>INDEX('Rate Assumptions'!$A$1:$C$32,MATCH('Success Allocation'!EJ$3,'Rate Assumptions'!$A$1:$A$32,0),MATCH($DR$1,'Rate Assumptions'!$A$1:$C$1,0))</f>
        <v>433.15785329039602</v>
      </c>
      <c r="EK39" s="279">
        <f>INDEX('Rate Assumptions'!$A$1:$C$32,MATCH('Success Allocation'!EK$3,'Rate Assumptions'!$A$1:$A$32,0),MATCH($DR$1,'Rate Assumptions'!$A$1:$C$1,0))</f>
        <v>288.77190219359733</v>
      </c>
      <c r="EL39" s="279">
        <f>INDEX('Rate Assumptions'!$A$1:$C$32,MATCH('Success Allocation'!EL$3,'Rate Assumptions'!$A$1:$A$32,0),MATCH($DR$1,'Rate Assumptions'!$A$1:$C$1,0))</f>
        <v>288.77190219359733</v>
      </c>
      <c r="EM39" s="279">
        <f>INDEX('Rate Assumptions'!$A$1:$C$32,MATCH('Success Allocation'!EM$3,'Rate Assumptions'!$A$1:$A$32,0),MATCH($DR$1,'Rate Assumptions'!$A$1:$C$1,0))</f>
        <v>144.38595109679866</v>
      </c>
      <c r="EN39" s="279">
        <f>INDEX('Rate Assumptions'!$A$1:$C$32,MATCH('Success Allocation'!EN$3,'Rate Assumptions'!$A$1:$A$32,0),MATCH($DR$1,'Rate Assumptions'!$A$1:$C$1,0))</f>
        <v>216.57892664519801</v>
      </c>
      <c r="EO39" s="281">
        <f>INDEX('Rate Assumptions'!$A$1:$C$32,MATCH('Success Allocation'!EO$3,'Rate Assumptions'!$A$1:$A$32,0),MATCH($DR$1,'Rate Assumptions'!$A$1:$C$1,0))</f>
        <v>144.38595109679866</v>
      </c>
      <c r="EP39" s="170">
        <f t="shared" si="50"/>
        <v>3610585.1197255016</v>
      </c>
    </row>
    <row r="40" spans="1:146">
      <c r="A40" s="223" t="s">
        <v>127</v>
      </c>
      <c r="B40" s="226">
        <v>1169</v>
      </c>
      <c r="C40" s="226">
        <v>1233</v>
      </c>
      <c r="D40" s="226">
        <v>0</v>
      </c>
      <c r="E40" s="226">
        <v>413</v>
      </c>
      <c r="F40" s="226">
        <v>694</v>
      </c>
      <c r="G40" s="227">
        <v>4922</v>
      </c>
      <c r="H40" s="226">
        <v>3561</v>
      </c>
      <c r="I40" s="228">
        <v>3235</v>
      </c>
      <c r="J40" s="226">
        <v>638</v>
      </c>
      <c r="K40" s="226">
        <v>649</v>
      </c>
      <c r="L40" s="226">
        <v>0</v>
      </c>
      <c r="M40" s="226">
        <v>173</v>
      </c>
      <c r="N40" s="226">
        <v>239</v>
      </c>
      <c r="O40" s="227">
        <v>2126</v>
      </c>
      <c r="P40" s="226">
        <v>1508</v>
      </c>
      <c r="Q40" s="228">
        <v>619</v>
      </c>
      <c r="R40" s="226">
        <v>910</v>
      </c>
      <c r="S40" s="226">
        <v>927</v>
      </c>
      <c r="T40" s="226">
        <v>0</v>
      </c>
      <c r="U40" s="226">
        <v>307</v>
      </c>
      <c r="V40" s="226">
        <v>379</v>
      </c>
      <c r="W40" s="227">
        <v>3478</v>
      </c>
      <c r="X40" s="226">
        <v>2403</v>
      </c>
      <c r="Y40" s="234">
        <v>1379</v>
      </c>
      <c r="Z40" s="237">
        <v>1450</v>
      </c>
      <c r="AA40" s="237">
        <v>1362</v>
      </c>
      <c r="AB40" s="237">
        <v>4</v>
      </c>
      <c r="AC40" s="237">
        <v>361</v>
      </c>
      <c r="AD40" s="237">
        <v>774</v>
      </c>
      <c r="AE40" s="237">
        <v>4770</v>
      </c>
      <c r="AF40" s="237">
        <v>3546</v>
      </c>
      <c r="AG40" s="228">
        <v>3477</v>
      </c>
      <c r="AH40" s="237">
        <v>783</v>
      </c>
      <c r="AI40" s="237">
        <v>709</v>
      </c>
      <c r="AJ40" s="237">
        <v>1</v>
      </c>
      <c r="AK40" s="237">
        <v>157</v>
      </c>
      <c r="AL40" s="237">
        <v>267</v>
      </c>
      <c r="AM40" s="237">
        <v>2072</v>
      </c>
      <c r="AN40" s="237">
        <v>1591</v>
      </c>
      <c r="AO40" s="228">
        <v>746</v>
      </c>
      <c r="AP40" s="237">
        <v>1108</v>
      </c>
      <c r="AQ40" s="237">
        <v>1027</v>
      </c>
      <c r="AR40" s="237">
        <v>3</v>
      </c>
      <c r="AS40" s="237">
        <v>261</v>
      </c>
      <c r="AT40" s="237">
        <v>415</v>
      </c>
      <c r="AU40" s="238">
        <v>3327</v>
      </c>
      <c r="AV40" s="237">
        <v>2430</v>
      </c>
      <c r="AW40" s="234">
        <v>1543</v>
      </c>
      <c r="AX40" s="237"/>
      <c r="AY40" s="237"/>
      <c r="AZ40" s="237"/>
      <c r="BA40" s="237"/>
      <c r="BB40" s="237"/>
      <c r="BC40" s="237"/>
      <c r="BD40" s="237"/>
      <c r="BF40" s="237"/>
      <c r="BG40" s="237"/>
      <c r="BH40" s="237"/>
      <c r="BI40" s="237"/>
      <c r="BJ40" s="237"/>
      <c r="BK40" s="237"/>
      <c r="BL40" s="237"/>
      <c r="BN40" s="237"/>
      <c r="BO40" s="237"/>
      <c r="BP40" s="237"/>
      <c r="BQ40" s="237"/>
      <c r="BR40" s="237"/>
      <c r="BS40" s="238"/>
      <c r="BT40" s="237"/>
      <c r="BV40" s="264">
        <f t="shared" si="2"/>
        <v>1731</v>
      </c>
      <c r="BW40" s="264">
        <f t="shared" si="3"/>
        <v>1491</v>
      </c>
      <c r="BX40" s="264">
        <f t="shared" si="4"/>
        <v>8</v>
      </c>
      <c r="BY40" s="264">
        <f t="shared" si="5"/>
        <v>309</v>
      </c>
      <c r="BZ40" s="264">
        <f t="shared" si="6"/>
        <v>854</v>
      </c>
      <c r="CA40" s="264">
        <f t="shared" si="7"/>
        <v>4618</v>
      </c>
      <c r="CB40" s="264">
        <f t="shared" si="8"/>
        <v>3531</v>
      </c>
      <c r="CC40" s="265">
        <f t="shared" si="9"/>
        <v>3719</v>
      </c>
      <c r="CD40" s="264">
        <f t="shared" si="10"/>
        <v>928</v>
      </c>
      <c r="CE40" s="264">
        <f t="shared" si="11"/>
        <v>769</v>
      </c>
      <c r="CF40" s="264">
        <f t="shared" si="12"/>
        <v>2</v>
      </c>
      <c r="CG40" s="264">
        <f t="shared" si="13"/>
        <v>141</v>
      </c>
      <c r="CH40" s="264">
        <f t="shared" si="14"/>
        <v>295</v>
      </c>
      <c r="CI40" s="264">
        <f t="shared" si="15"/>
        <v>2018</v>
      </c>
      <c r="CJ40" s="264">
        <f t="shared" si="16"/>
        <v>1674</v>
      </c>
      <c r="CK40" s="265">
        <f t="shared" si="17"/>
        <v>873</v>
      </c>
      <c r="CL40" s="264">
        <f t="shared" si="18"/>
        <v>1306</v>
      </c>
      <c r="CM40" s="264">
        <f t="shared" si="19"/>
        <v>1127</v>
      </c>
      <c r="CN40" s="264">
        <f t="shared" si="20"/>
        <v>6</v>
      </c>
      <c r="CO40" s="264">
        <f t="shared" si="21"/>
        <v>215</v>
      </c>
      <c r="CP40" s="264">
        <f t="shared" si="22"/>
        <v>451</v>
      </c>
      <c r="CQ40" s="264">
        <f t="shared" si="23"/>
        <v>3176</v>
      </c>
      <c r="CR40" s="264">
        <f t="shared" si="24"/>
        <v>2457</v>
      </c>
      <c r="CS40" s="266">
        <f t="shared" si="25"/>
        <v>1707</v>
      </c>
      <c r="CT40" s="264">
        <f t="shared" si="26"/>
        <v>1450</v>
      </c>
      <c r="CU40" s="264">
        <f t="shared" si="27"/>
        <v>1362</v>
      </c>
      <c r="CV40" s="264">
        <f t="shared" si="28"/>
        <v>4</v>
      </c>
      <c r="CW40" s="264">
        <f t="shared" si="29"/>
        <v>361</v>
      </c>
      <c r="CX40" s="264">
        <f t="shared" si="30"/>
        <v>774</v>
      </c>
      <c r="CY40" s="264">
        <f t="shared" si="31"/>
        <v>4770</v>
      </c>
      <c r="CZ40" s="264">
        <f t="shared" si="32"/>
        <v>3546</v>
      </c>
      <c r="DA40" s="265">
        <f t="shared" si="33"/>
        <v>3477</v>
      </c>
      <c r="DB40" s="264">
        <f t="shared" si="34"/>
        <v>783</v>
      </c>
      <c r="DC40" s="264">
        <f t="shared" si="35"/>
        <v>709</v>
      </c>
      <c r="DD40" s="264">
        <f t="shared" si="36"/>
        <v>1</v>
      </c>
      <c r="DE40" s="264">
        <f t="shared" si="37"/>
        <v>157</v>
      </c>
      <c r="DF40" s="264">
        <f t="shared" si="38"/>
        <v>267</v>
      </c>
      <c r="DG40" s="264">
        <f t="shared" si="39"/>
        <v>2072</v>
      </c>
      <c r="DH40" s="264">
        <f t="shared" si="40"/>
        <v>1591</v>
      </c>
      <c r="DI40" s="265">
        <f t="shared" si="41"/>
        <v>746</v>
      </c>
      <c r="DJ40" s="264">
        <f t="shared" si="42"/>
        <v>1108</v>
      </c>
      <c r="DK40" s="264">
        <f t="shared" si="43"/>
        <v>1027</v>
      </c>
      <c r="DL40" s="264">
        <f t="shared" si="44"/>
        <v>3</v>
      </c>
      <c r="DM40" s="264">
        <f t="shared" si="45"/>
        <v>261</v>
      </c>
      <c r="DN40" s="264">
        <f t="shared" si="46"/>
        <v>415</v>
      </c>
      <c r="DO40" s="264">
        <f t="shared" si="47"/>
        <v>3327</v>
      </c>
      <c r="DP40" s="264">
        <f t="shared" si="48"/>
        <v>2430</v>
      </c>
      <c r="DQ40" s="266">
        <f t="shared" si="49"/>
        <v>1543</v>
      </c>
      <c r="DR40" s="279">
        <f>INDEX('Rate Assumptions'!$A$1:$C$32,MATCH('Success Allocation'!DR$3,'Rate Assumptions'!$A$1:$A$32,0),MATCH($DR$1,'Rate Assumptions'!$A$1:$C$1,0))</f>
        <v>2291.7551696336809</v>
      </c>
      <c r="DS40" s="279">
        <f>INDEX('Rate Assumptions'!$A$1:$C$32,MATCH('Success Allocation'!DS$3,'Rate Assumptions'!$A$1:$A$32,0),MATCH($DR$1,'Rate Assumptions'!$A$1:$C$1,0))</f>
        <v>1718.8163772252606</v>
      </c>
      <c r="DT40" s="279">
        <f>INDEX('Rate Assumptions'!$A$1:$C$32,MATCH('Success Allocation'!DT$3,'Rate Assumptions'!$A$1:$A$32,0),MATCH($DR$1,'Rate Assumptions'!$A$1:$C$1,0))</f>
        <v>1718.8163772252606</v>
      </c>
      <c r="DU40" s="279">
        <f>INDEX('Rate Assumptions'!$A$1:$C$32,MATCH('Success Allocation'!DU$3,'Rate Assumptions'!$A$1:$A$32,0),MATCH($DR$1,'Rate Assumptions'!$A$1:$C$1,0))</f>
        <v>1145.8775848168405</v>
      </c>
      <c r="DV40" s="279">
        <f>INDEX('Rate Assumptions'!$A$1:$C$32,MATCH('Success Allocation'!DV$3,'Rate Assumptions'!$A$1:$A$32,0),MATCH($DR$1,'Rate Assumptions'!$A$1:$C$1,0))</f>
        <v>1145.8775848168405</v>
      </c>
      <c r="DW40" s="279">
        <f>INDEX('Rate Assumptions'!$A$1:$C$32,MATCH('Success Allocation'!DW$3,'Rate Assumptions'!$A$1:$A$32,0),MATCH($DR$1,'Rate Assumptions'!$A$1:$C$1,0))</f>
        <v>572.93879240842023</v>
      </c>
      <c r="DX40" s="279">
        <f>INDEX('Rate Assumptions'!$A$1:$C$32,MATCH('Success Allocation'!DX$3,'Rate Assumptions'!$A$1:$A$32,0),MATCH($DR$1,'Rate Assumptions'!$A$1:$C$1,0))</f>
        <v>859.40818861263028</v>
      </c>
      <c r="DY40" s="280">
        <f>INDEX('Rate Assumptions'!$A$1:$C$32,MATCH('Success Allocation'!DY$3,'Rate Assumptions'!$A$1:$A$32,0),MATCH($DR$1,'Rate Assumptions'!$A$1:$C$1,0))</f>
        <v>572.93879240842023</v>
      </c>
      <c r="DZ40" s="279">
        <f>INDEX('Rate Assumptions'!$A$1:$C$32,MATCH('Success Allocation'!DZ$3,'Rate Assumptions'!$A$1:$A$32,0),MATCH($DR$1,'Rate Assumptions'!$A$1:$C$1,0))</f>
        <v>866.31570658079204</v>
      </c>
      <c r="EA40" s="279">
        <f>INDEX('Rate Assumptions'!$A$1:$C$32,MATCH('Success Allocation'!EA$3,'Rate Assumptions'!$A$1:$A$32,0),MATCH($DR$1,'Rate Assumptions'!$A$1:$C$1,0))</f>
        <v>649.73677993559397</v>
      </c>
      <c r="EB40" s="279">
        <f>INDEX('Rate Assumptions'!$A$1:$C$32,MATCH('Success Allocation'!EB$3,'Rate Assumptions'!$A$1:$A$32,0),MATCH($DR$1,'Rate Assumptions'!$A$1:$C$1,0))</f>
        <v>649.73677993559397</v>
      </c>
      <c r="EC40" s="279">
        <f>INDEX('Rate Assumptions'!$A$1:$C$32,MATCH('Success Allocation'!EC$3,'Rate Assumptions'!$A$1:$A$32,0),MATCH($DR$1,'Rate Assumptions'!$A$1:$C$1,0))</f>
        <v>433.15785329039602</v>
      </c>
      <c r="ED40" s="279">
        <f>INDEX('Rate Assumptions'!$A$1:$C$32,MATCH('Success Allocation'!ED$3,'Rate Assumptions'!$A$1:$A$32,0),MATCH($DR$1,'Rate Assumptions'!$A$1:$C$1,0))</f>
        <v>433.15785329039602</v>
      </c>
      <c r="EE40" s="279">
        <f>INDEX('Rate Assumptions'!$A$1:$C$32,MATCH('Success Allocation'!EE$3,'Rate Assumptions'!$A$1:$A$32,0),MATCH($DR$1,'Rate Assumptions'!$A$1:$C$1,0))</f>
        <v>216.57892664519801</v>
      </c>
      <c r="EF40" s="279">
        <f>INDEX('Rate Assumptions'!$A$1:$C$32,MATCH('Success Allocation'!EF$3,'Rate Assumptions'!$A$1:$A$32,0),MATCH($DR$1,'Rate Assumptions'!$A$1:$C$1,0))</f>
        <v>324.86838996779699</v>
      </c>
      <c r="EG40" s="280">
        <f>INDEX('Rate Assumptions'!$A$1:$C$32,MATCH('Success Allocation'!EG$3,'Rate Assumptions'!$A$1:$A$32,0),MATCH($DR$1,'Rate Assumptions'!$A$1:$C$1,0))</f>
        <v>216.57892664519801</v>
      </c>
      <c r="EH40" s="279">
        <f>INDEX('Rate Assumptions'!$A$1:$C$32,MATCH('Success Allocation'!EH$3,'Rate Assumptions'!$A$1:$A$32,0),MATCH($DR$1,'Rate Assumptions'!$A$1:$C$1,0))</f>
        <v>577.54380438719465</v>
      </c>
      <c r="EI40" s="279">
        <f>INDEX('Rate Assumptions'!$A$1:$C$32,MATCH('Success Allocation'!EI$3,'Rate Assumptions'!$A$1:$A$32,0),MATCH($DR$1,'Rate Assumptions'!$A$1:$C$1,0))</f>
        <v>433.15785329039602</v>
      </c>
      <c r="EJ40" s="279">
        <f>INDEX('Rate Assumptions'!$A$1:$C$32,MATCH('Success Allocation'!EJ$3,'Rate Assumptions'!$A$1:$A$32,0),MATCH($DR$1,'Rate Assumptions'!$A$1:$C$1,0))</f>
        <v>433.15785329039602</v>
      </c>
      <c r="EK40" s="279">
        <f>INDEX('Rate Assumptions'!$A$1:$C$32,MATCH('Success Allocation'!EK$3,'Rate Assumptions'!$A$1:$A$32,0),MATCH($DR$1,'Rate Assumptions'!$A$1:$C$1,0))</f>
        <v>288.77190219359733</v>
      </c>
      <c r="EL40" s="279">
        <f>INDEX('Rate Assumptions'!$A$1:$C$32,MATCH('Success Allocation'!EL$3,'Rate Assumptions'!$A$1:$A$32,0),MATCH($DR$1,'Rate Assumptions'!$A$1:$C$1,0))</f>
        <v>288.77190219359733</v>
      </c>
      <c r="EM40" s="279">
        <f>INDEX('Rate Assumptions'!$A$1:$C$32,MATCH('Success Allocation'!EM$3,'Rate Assumptions'!$A$1:$A$32,0),MATCH($DR$1,'Rate Assumptions'!$A$1:$C$1,0))</f>
        <v>144.38595109679866</v>
      </c>
      <c r="EN40" s="279">
        <f>INDEX('Rate Assumptions'!$A$1:$C$32,MATCH('Success Allocation'!EN$3,'Rate Assumptions'!$A$1:$A$32,0),MATCH($DR$1,'Rate Assumptions'!$A$1:$C$1,0))</f>
        <v>216.57892664519801</v>
      </c>
      <c r="EO40" s="281">
        <f>INDEX('Rate Assumptions'!$A$1:$C$32,MATCH('Success Allocation'!EO$3,'Rate Assumptions'!$A$1:$A$32,0),MATCH($DR$1,'Rate Assumptions'!$A$1:$C$1,0))</f>
        <v>144.38595109679866</v>
      </c>
      <c r="EP40" s="170">
        <f t="shared" si="50"/>
        <v>21025587.989489589</v>
      </c>
    </row>
    <row r="41" spans="1:146">
      <c r="A41" s="223" t="s">
        <v>128</v>
      </c>
      <c r="B41" s="226">
        <v>231</v>
      </c>
      <c r="C41" s="226">
        <v>402</v>
      </c>
      <c r="D41" s="226">
        <v>0</v>
      </c>
      <c r="E41" s="226">
        <v>16</v>
      </c>
      <c r="F41" s="226">
        <v>232</v>
      </c>
      <c r="G41" s="227">
        <v>1007</v>
      </c>
      <c r="H41" s="226">
        <v>1094</v>
      </c>
      <c r="I41" s="228">
        <v>1454</v>
      </c>
      <c r="J41" s="226">
        <v>93</v>
      </c>
      <c r="K41" s="226">
        <v>160</v>
      </c>
      <c r="L41" s="226">
        <v>0</v>
      </c>
      <c r="M41" s="226">
        <v>3</v>
      </c>
      <c r="N41" s="226">
        <v>51</v>
      </c>
      <c r="O41" s="227">
        <v>281</v>
      </c>
      <c r="P41" s="226">
        <v>284</v>
      </c>
      <c r="Q41" s="228">
        <v>117</v>
      </c>
      <c r="R41" s="226">
        <v>133</v>
      </c>
      <c r="S41" s="226">
        <v>248</v>
      </c>
      <c r="T41" s="226">
        <v>0</v>
      </c>
      <c r="U41" s="226">
        <v>6</v>
      </c>
      <c r="V41" s="226">
        <v>89</v>
      </c>
      <c r="W41" s="227">
        <v>464</v>
      </c>
      <c r="X41" s="226">
        <v>463</v>
      </c>
      <c r="Y41" s="234">
        <v>256</v>
      </c>
      <c r="Z41" s="237">
        <v>253</v>
      </c>
      <c r="AA41" s="237">
        <v>381</v>
      </c>
      <c r="AB41" s="237">
        <v>0</v>
      </c>
      <c r="AC41" s="237">
        <v>7</v>
      </c>
      <c r="AD41" s="237">
        <v>240</v>
      </c>
      <c r="AE41" s="237">
        <v>905</v>
      </c>
      <c r="AF41" s="237">
        <v>1285</v>
      </c>
      <c r="AG41" s="228">
        <v>1520</v>
      </c>
      <c r="AH41" s="237">
        <v>98</v>
      </c>
      <c r="AI41" s="237">
        <v>123</v>
      </c>
      <c r="AJ41" s="237">
        <v>0</v>
      </c>
      <c r="AK41" s="237">
        <v>2</v>
      </c>
      <c r="AL41" s="237">
        <v>60</v>
      </c>
      <c r="AM41" s="237">
        <v>239</v>
      </c>
      <c r="AN41" s="237">
        <v>298</v>
      </c>
      <c r="AO41" s="228">
        <v>116</v>
      </c>
      <c r="AP41" s="237">
        <v>150</v>
      </c>
      <c r="AQ41" s="237">
        <v>213</v>
      </c>
      <c r="AR41" s="237">
        <v>0</v>
      </c>
      <c r="AS41" s="237">
        <v>7</v>
      </c>
      <c r="AT41" s="237">
        <v>97</v>
      </c>
      <c r="AU41" s="238">
        <v>398</v>
      </c>
      <c r="AV41" s="237">
        <v>485</v>
      </c>
      <c r="AW41" s="234">
        <v>259</v>
      </c>
      <c r="AX41" s="237"/>
      <c r="AY41" s="237"/>
      <c r="AZ41" s="237"/>
      <c r="BA41" s="237"/>
      <c r="BB41" s="237"/>
      <c r="BC41" s="237"/>
      <c r="BD41" s="237"/>
      <c r="BF41" s="237"/>
      <c r="BG41" s="237"/>
      <c r="BH41" s="237"/>
      <c r="BI41" s="237"/>
      <c r="BJ41" s="237"/>
      <c r="BK41" s="237"/>
      <c r="BL41" s="237"/>
      <c r="BN41" s="237"/>
      <c r="BO41" s="237"/>
      <c r="BP41" s="237"/>
      <c r="BQ41" s="237"/>
      <c r="BR41" s="237"/>
      <c r="BS41" s="238"/>
      <c r="BT41" s="237"/>
      <c r="BV41" s="264">
        <f t="shared" si="2"/>
        <v>275</v>
      </c>
      <c r="BW41" s="264">
        <f t="shared" si="3"/>
        <v>360</v>
      </c>
      <c r="BX41" s="264">
        <f t="shared" si="4"/>
        <v>0</v>
      </c>
      <c r="BY41" s="264">
        <f t="shared" si="5"/>
        <v>-2</v>
      </c>
      <c r="BZ41" s="264">
        <f t="shared" si="6"/>
        <v>248</v>
      </c>
      <c r="CA41" s="264">
        <f t="shared" si="7"/>
        <v>803</v>
      </c>
      <c r="CB41" s="264">
        <f t="shared" si="8"/>
        <v>1476</v>
      </c>
      <c r="CC41" s="265">
        <f t="shared" si="9"/>
        <v>1586</v>
      </c>
      <c r="CD41" s="264">
        <f t="shared" si="10"/>
        <v>103</v>
      </c>
      <c r="CE41" s="264">
        <f t="shared" si="11"/>
        <v>86</v>
      </c>
      <c r="CF41" s="264">
        <f t="shared" si="12"/>
        <v>0</v>
      </c>
      <c r="CG41" s="264">
        <f t="shared" si="13"/>
        <v>1</v>
      </c>
      <c r="CH41" s="264">
        <f t="shared" si="14"/>
        <v>69</v>
      </c>
      <c r="CI41" s="264">
        <f t="shared" si="15"/>
        <v>197</v>
      </c>
      <c r="CJ41" s="264">
        <f t="shared" si="16"/>
        <v>312</v>
      </c>
      <c r="CK41" s="265">
        <f t="shared" si="17"/>
        <v>115</v>
      </c>
      <c r="CL41" s="264">
        <f t="shared" si="18"/>
        <v>167</v>
      </c>
      <c r="CM41" s="264">
        <f t="shared" si="19"/>
        <v>178</v>
      </c>
      <c r="CN41" s="264">
        <f t="shared" si="20"/>
        <v>0</v>
      </c>
      <c r="CO41" s="264">
        <f t="shared" si="21"/>
        <v>8</v>
      </c>
      <c r="CP41" s="264">
        <f t="shared" si="22"/>
        <v>105</v>
      </c>
      <c r="CQ41" s="264">
        <f t="shared" si="23"/>
        <v>332</v>
      </c>
      <c r="CR41" s="264">
        <f t="shared" si="24"/>
        <v>507</v>
      </c>
      <c r="CS41" s="266">
        <f t="shared" si="25"/>
        <v>262</v>
      </c>
      <c r="CT41" s="264">
        <f t="shared" si="26"/>
        <v>253</v>
      </c>
      <c r="CU41" s="264">
        <f t="shared" si="27"/>
        <v>381</v>
      </c>
      <c r="CV41" s="264">
        <f t="shared" si="28"/>
        <v>0</v>
      </c>
      <c r="CW41" s="264">
        <f t="shared" si="29"/>
        <v>7</v>
      </c>
      <c r="CX41" s="264">
        <f t="shared" si="30"/>
        <v>240</v>
      </c>
      <c r="CY41" s="264">
        <f t="shared" si="31"/>
        <v>905</v>
      </c>
      <c r="CZ41" s="264">
        <f t="shared" si="32"/>
        <v>1285</v>
      </c>
      <c r="DA41" s="265">
        <f t="shared" si="33"/>
        <v>1520</v>
      </c>
      <c r="DB41" s="264">
        <f t="shared" si="34"/>
        <v>98</v>
      </c>
      <c r="DC41" s="264">
        <f t="shared" si="35"/>
        <v>123</v>
      </c>
      <c r="DD41" s="264">
        <f t="shared" si="36"/>
        <v>0</v>
      </c>
      <c r="DE41" s="264">
        <f t="shared" si="37"/>
        <v>2</v>
      </c>
      <c r="DF41" s="264">
        <f t="shared" si="38"/>
        <v>60</v>
      </c>
      <c r="DG41" s="264">
        <f t="shared" si="39"/>
        <v>239</v>
      </c>
      <c r="DH41" s="264">
        <f t="shared" si="40"/>
        <v>298</v>
      </c>
      <c r="DI41" s="265">
        <f t="shared" si="41"/>
        <v>116</v>
      </c>
      <c r="DJ41" s="264">
        <f t="shared" si="42"/>
        <v>150</v>
      </c>
      <c r="DK41" s="264">
        <f t="shared" si="43"/>
        <v>213</v>
      </c>
      <c r="DL41" s="264">
        <f t="shared" si="44"/>
        <v>0</v>
      </c>
      <c r="DM41" s="264">
        <f t="shared" si="45"/>
        <v>7</v>
      </c>
      <c r="DN41" s="264">
        <f t="shared" si="46"/>
        <v>97</v>
      </c>
      <c r="DO41" s="264">
        <f t="shared" si="47"/>
        <v>398</v>
      </c>
      <c r="DP41" s="264">
        <f t="shared" si="48"/>
        <v>485</v>
      </c>
      <c r="DQ41" s="266">
        <f t="shared" si="49"/>
        <v>259</v>
      </c>
      <c r="DR41" s="279">
        <f>INDEX('Rate Assumptions'!$A$1:$C$32,MATCH('Success Allocation'!DR$3,'Rate Assumptions'!$A$1:$A$32,0),MATCH($DR$1,'Rate Assumptions'!$A$1:$C$1,0))</f>
        <v>2291.7551696336809</v>
      </c>
      <c r="DS41" s="279">
        <f>INDEX('Rate Assumptions'!$A$1:$C$32,MATCH('Success Allocation'!DS$3,'Rate Assumptions'!$A$1:$A$32,0),MATCH($DR$1,'Rate Assumptions'!$A$1:$C$1,0))</f>
        <v>1718.8163772252606</v>
      </c>
      <c r="DT41" s="279">
        <f>INDEX('Rate Assumptions'!$A$1:$C$32,MATCH('Success Allocation'!DT$3,'Rate Assumptions'!$A$1:$A$32,0),MATCH($DR$1,'Rate Assumptions'!$A$1:$C$1,0))</f>
        <v>1718.8163772252606</v>
      </c>
      <c r="DU41" s="279">
        <f>INDEX('Rate Assumptions'!$A$1:$C$32,MATCH('Success Allocation'!DU$3,'Rate Assumptions'!$A$1:$A$32,0),MATCH($DR$1,'Rate Assumptions'!$A$1:$C$1,0))</f>
        <v>1145.8775848168405</v>
      </c>
      <c r="DV41" s="279">
        <f>INDEX('Rate Assumptions'!$A$1:$C$32,MATCH('Success Allocation'!DV$3,'Rate Assumptions'!$A$1:$A$32,0),MATCH($DR$1,'Rate Assumptions'!$A$1:$C$1,0))</f>
        <v>1145.8775848168405</v>
      </c>
      <c r="DW41" s="279">
        <f>INDEX('Rate Assumptions'!$A$1:$C$32,MATCH('Success Allocation'!DW$3,'Rate Assumptions'!$A$1:$A$32,0),MATCH($DR$1,'Rate Assumptions'!$A$1:$C$1,0))</f>
        <v>572.93879240842023</v>
      </c>
      <c r="DX41" s="279">
        <f>INDEX('Rate Assumptions'!$A$1:$C$32,MATCH('Success Allocation'!DX$3,'Rate Assumptions'!$A$1:$A$32,0),MATCH($DR$1,'Rate Assumptions'!$A$1:$C$1,0))</f>
        <v>859.40818861263028</v>
      </c>
      <c r="DY41" s="280">
        <f>INDEX('Rate Assumptions'!$A$1:$C$32,MATCH('Success Allocation'!DY$3,'Rate Assumptions'!$A$1:$A$32,0),MATCH($DR$1,'Rate Assumptions'!$A$1:$C$1,0))</f>
        <v>572.93879240842023</v>
      </c>
      <c r="DZ41" s="279">
        <f>INDEX('Rate Assumptions'!$A$1:$C$32,MATCH('Success Allocation'!DZ$3,'Rate Assumptions'!$A$1:$A$32,0),MATCH($DR$1,'Rate Assumptions'!$A$1:$C$1,0))</f>
        <v>866.31570658079204</v>
      </c>
      <c r="EA41" s="279">
        <f>INDEX('Rate Assumptions'!$A$1:$C$32,MATCH('Success Allocation'!EA$3,'Rate Assumptions'!$A$1:$A$32,0),MATCH($DR$1,'Rate Assumptions'!$A$1:$C$1,0))</f>
        <v>649.73677993559397</v>
      </c>
      <c r="EB41" s="279">
        <f>INDEX('Rate Assumptions'!$A$1:$C$32,MATCH('Success Allocation'!EB$3,'Rate Assumptions'!$A$1:$A$32,0),MATCH($DR$1,'Rate Assumptions'!$A$1:$C$1,0))</f>
        <v>649.73677993559397</v>
      </c>
      <c r="EC41" s="279">
        <f>INDEX('Rate Assumptions'!$A$1:$C$32,MATCH('Success Allocation'!EC$3,'Rate Assumptions'!$A$1:$A$32,0),MATCH($DR$1,'Rate Assumptions'!$A$1:$C$1,0))</f>
        <v>433.15785329039602</v>
      </c>
      <c r="ED41" s="279">
        <f>INDEX('Rate Assumptions'!$A$1:$C$32,MATCH('Success Allocation'!ED$3,'Rate Assumptions'!$A$1:$A$32,0),MATCH($DR$1,'Rate Assumptions'!$A$1:$C$1,0))</f>
        <v>433.15785329039602</v>
      </c>
      <c r="EE41" s="279">
        <f>INDEX('Rate Assumptions'!$A$1:$C$32,MATCH('Success Allocation'!EE$3,'Rate Assumptions'!$A$1:$A$32,0),MATCH($DR$1,'Rate Assumptions'!$A$1:$C$1,0))</f>
        <v>216.57892664519801</v>
      </c>
      <c r="EF41" s="279">
        <f>INDEX('Rate Assumptions'!$A$1:$C$32,MATCH('Success Allocation'!EF$3,'Rate Assumptions'!$A$1:$A$32,0),MATCH($DR$1,'Rate Assumptions'!$A$1:$C$1,0))</f>
        <v>324.86838996779699</v>
      </c>
      <c r="EG41" s="280">
        <f>INDEX('Rate Assumptions'!$A$1:$C$32,MATCH('Success Allocation'!EG$3,'Rate Assumptions'!$A$1:$A$32,0),MATCH($DR$1,'Rate Assumptions'!$A$1:$C$1,0))</f>
        <v>216.57892664519801</v>
      </c>
      <c r="EH41" s="279">
        <f>INDEX('Rate Assumptions'!$A$1:$C$32,MATCH('Success Allocation'!EH$3,'Rate Assumptions'!$A$1:$A$32,0),MATCH($DR$1,'Rate Assumptions'!$A$1:$C$1,0))</f>
        <v>577.54380438719465</v>
      </c>
      <c r="EI41" s="279">
        <f>INDEX('Rate Assumptions'!$A$1:$C$32,MATCH('Success Allocation'!EI$3,'Rate Assumptions'!$A$1:$A$32,0),MATCH($DR$1,'Rate Assumptions'!$A$1:$C$1,0))</f>
        <v>433.15785329039602</v>
      </c>
      <c r="EJ41" s="279">
        <f>INDEX('Rate Assumptions'!$A$1:$C$32,MATCH('Success Allocation'!EJ$3,'Rate Assumptions'!$A$1:$A$32,0),MATCH($DR$1,'Rate Assumptions'!$A$1:$C$1,0))</f>
        <v>433.15785329039602</v>
      </c>
      <c r="EK41" s="279">
        <f>INDEX('Rate Assumptions'!$A$1:$C$32,MATCH('Success Allocation'!EK$3,'Rate Assumptions'!$A$1:$A$32,0),MATCH($DR$1,'Rate Assumptions'!$A$1:$C$1,0))</f>
        <v>288.77190219359733</v>
      </c>
      <c r="EL41" s="279">
        <f>INDEX('Rate Assumptions'!$A$1:$C$32,MATCH('Success Allocation'!EL$3,'Rate Assumptions'!$A$1:$A$32,0),MATCH($DR$1,'Rate Assumptions'!$A$1:$C$1,0))</f>
        <v>288.77190219359733</v>
      </c>
      <c r="EM41" s="279">
        <f>INDEX('Rate Assumptions'!$A$1:$C$32,MATCH('Success Allocation'!EM$3,'Rate Assumptions'!$A$1:$A$32,0),MATCH($DR$1,'Rate Assumptions'!$A$1:$C$1,0))</f>
        <v>144.38595109679866</v>
      </c>
      <c r="EN41" s="279">
        <f>INDEX('Rate Assumptions'!$A$1:$C$32,MATCH('Success Allocation'!EN$3,'Rate Assumptions'!$A$1:$A$32,0),MATCH($DR$1,'Rate Assumptions'!$A$1:$C$1,0))</f>
        <v>216.57892664519801</v>
      </c>
      <c r="EO41" s="281">
        <f>INDEX('Rate Assumptions'!$A$1:$C$32,MATCH('Success Allocation'!EO$3,'Rate Assumptions'!$A$1:$A$32,0),MATCH($DR$1,'Rate Assumptions'!$A$1:$C$1,0))</f>
        <v>144.38595109679866</v>
      </c>
      <c r="EP41" s="170">
        <f t="shared" si="50"/>
        <v>4914244.1170639629</v>
      </c>
    </row>
    <row r="42" spans="1:146">
      <c r="A42" s="223" t="s">
        <v>129</v>
      </c>
      <c r="B42" s="226">
        <v>10</v>
      </c>
      <c r="C42" s="226">
        <v>78</v>
      </c>
      <c r="D42" s="226">
        <v>0</v>
      </c>
      <c r="E42" s="226">
        <v>39</v>
      </c>
      <c r="F42" s="226">
        <v>4</v>
      </c>
      <c r="G42" s="227">
        <v>581</v>
      </c>
      <c r="H42" s="226">
        <v>49</v>
      </c>
      <c r="I42" s="228">
        <v>582</v>
      </c>
      <c r="J42" s="226">
        <v>3</v>
      </c>
      <c r="K42" s="226">
        <v>25</v>
      </c>
      <c r="L42" s="226">
        <v>0</v>
      </c>
      <c r="M42" s="226">
        <v>17</v>
      </c>
      <c r="N42" s="226">
        <v>3</v>
      </c>
      <c r="O42" s="227">
        <v>97</v>
      </c>
      <c r="P42" s="226">
        <v>13</v>
      </c>
      <c r="Q42" s="228">
        <v>47</v>
      </c>
      <c r="R42" s="226">
        <v>9</v>
      </c>
      <c r="S42" s="226">
        <v>74</v>
      </c>
      <c r="T42" s="226">
        <v>0</v>
      </c>
      <c r="U42" s="226">
        <v>30</v>
      </c>
      <c r="V42" s="226">
        <v>3</v>
      </c>
      <c r="W42" s="227">
        <v>437</v>
      </c>
      <c r="X42" s="226">
        <v>24</v>
      </c>
      <c r="Y42" s="234">
        <v>110</v>
      </c>
      <c r="Z42" s="237">
        <v>7</v>
      </c>
      <c r="AA42" s="237">
        <v>93</v>
      </c>
      <c r="AB42" s="237">
        <v>0</v>
      </c>
      <c r="AC42" s="237">
        <v>28</v>
      </c>
      <c r="AD42" s="237">
        <v>2</v>
      </c>
      <c r="AE42" s="237">
        <v>738</v>
      </c>
      <c r="AF42" s="237">
        <v>45</v>
      </c>
      <c r="AG42" s="228">
        <v>542</v>
      </c>
      <c r="AH42" s="237">
        <v>3</v>
      </c>
      <c r="AI42" s="237">
        <v>26</v>
      </c>
      <c r="AJ42" s="237">
        <v>0</v>
      </c>
      <c r="AK42" s="237">
        <v>7</v>
      </c>
      <c r="AL42" s="237">
        <v>2</v>
      </c>
      <c r="AM42" s="237">
        <v>84</v>
      </c>
      <c r="AN42" s="237">
        <v>18</v>
      </c>
      <c r="AO42" s="228">
        <v>44</v>
      </c>
      <c r="AP42" s="237">
        <v>7</v>
      </c>
      <c r="AQ42" s="237">
        <v>85</v>
      </c>
      <c r="AR42" s="237">
        <v>0</v>
      </c>
      <c r="AS42" s="237">
        <v>10</v>
      </c>
      <c r="AT42" s="237">
        <v>2</v>
      </c>
      <c r="AU42" s="238">
        <v>430</v>
      </c>
      <c r="AV42" s="237">
        <v>34</v>
      </c>
      <c r="AW42" s="234">
        <v>151</v>
      </c>
      <c r="AX42" s="237"/>
      <c r="AY42" s="237"/>
      <c r="AZ42" s="237"/>
      <c r="BA42" s="237"/>
      <c r="BB42" s="237"/>
      <c r="BC42" s="237"/>
      <c r="BD42" s="237"/>
      <c r="BF42" s="237"/>
      <c r="BG42" s="237"/>
      <c r="BH42" s="237"/>
      <c r="BI42" s="237"/>
      <c r="BJ42" s="237"/>
      <c r="BK42" s="237"/>
      <c r="BL42" s="237"/>
      <c r="BN42" s="237"/>
      <c r="BO42" s="237"/>
      <c r="BP42" s="237"/>
      <c r="BQ42" s="237"/>
      <c r="BR42" s="237"/>
      <c r="BS42" s="238"/>
      <c r="BT42" s="237"/>
      <c r="BV42" s="264">
        <f t="shared" si="2"/>
        <v>4</v>
      </c>
      <c r="BW42" s="264">
        <f t="shared" si="3"/>
        <v>108</v>
      </c>
      <c r="BX42" s="264">
        <f t="shared" si="4"/>
        <v>0</v>
      </c>
      <c r="BY42" s="264">
        <f t="shared" si="5"/>
        <v>17</v>
      </c>
      <c r="BZ42" s="264">
        <f t="shared" si="6"/>
        <v>0</v>
      </c>
      <c r="CA42" s="264">
        <f t="shared" si="7"/>
        <v>895</v>
      </c>
      <c r="CB42" s="264">
        <f t="shared" si="8"/>
        <v>41</v>
      </c>
      <c r="CC42" s="265">
        <f t="shared" si="9"/>
        <v>502</v>
      </c>
      <c r="CD42" s="264">
        <f t="shared" si="10"/>
        <v>3</v>
      </c>
      <c r="CE42" s="264">
        <f t="shared" si="11"/>
        <v>27</v>
      </c>
      <c r="CF42" s="264">
        <f t="shared" si="12"/>
        <v>0</v>
      </c>
      <c r="CG42" s="264">
        <f t="shared" si="13"/>
        <v>-3</v>
      </c>
      <c r="CH42" s="264">
        <f t="shared" si="14"/>
        <v>1</v>
      </c>
      <c r="CI42" s="264">
        <f t="shared" si="15"/>
        <v>71</v>
      </c>
      <c r="CJ42" s="264">
        <f t="shared" si="16"/>
        <v>23</v>
      </c>
      <c r="CK42" s="265">
        <f t="shared" si="17"/>
        <v>41</v>
      </c>
      <c r="CL42" s="264">
        <f t="shared" si="18"/>
        <v>5</v>
      </c>
      <c r="CM42" s="264">
        <f t="shared" si="19"/>
        <v>96</v>
      </c>
      <c r="CN42" s="264">
        <f t="shared" si="20"/>
        <v>0</v>
      </c>
      <c r="CO42" s="264">
        <f t="shared" si="21"/>
        <v>-10</v>
      </c>
      <c r="CP42" s="264">
        <f t="shared" si="22"/>
        <v>1</v>
      </c>
      <c r="CQ42" s="264">
        <f t="shared" si="23"/>
        <v>423</v>
      </c>
      <c r="CR42" s="264">
        <f t="shared" si="24"/>
        <v>44</v>
      </c>
      <c r="CS42" s="266">
        <f t="shared" si="25"/>
        <v>192</v>
      </c>
      <c r="CT42" s="264">
        <f t="shared" si="26"/>
        <v>7</v>
      </c>
      <c r="CU42" s="264">
        <f t="shared" si="27"/>
        <v>93</v>
      </c>
      <c r="CV42" s="264">
        <f t="shared" si="28"/>
        <v>0</v>
      </c>
      <c r="CW42" s="264">
        <f t="shared" si="29"/>
        <v>28</v>
      </c>
      <c r="CX42" s="264">
        <f t="shared" si="30"/>
        <v>2</v>
      </c>
      <c r="CY42" s="264">
        <f t="shared" si="31"/>
        <v>738</v>
      </c>
      <c r="CZ42" s="264">
        <f t="shared" si="32"/>
        <v>45</v>
      </c>
      <c r="DA42" s="265">
        <f t="shared" si="33"/>
        <v>542</v>
      </c>
      <c r="DB42" s="264">
        <f t="shared" si="34"/>
        <v>3</v>
      </c>
      <c r="DC42" s="264">
        <f t="shared" si="35"/>
        <v>26</v>
      </c>
      <c r="DD42" s="264">
        <f t="shared" si="36"/>
        <v>0</v>
      </c>
      <c r="DE42" s="264">
        <f t="shared" si="37"/>
        <v>7</v>
      </c>
      <c r="DF42" s="264">
        <f t="shared" si="38"/>
        <v>2</v>
      </c>
      <c r="DG42" s="264">
        <f t="shared" si="39"/>
        <v>84</v>
      </c>
      <c r="DH42" s="264">
        <f t="shared" si="40"/>
        <v>18</v>
      </c>
      <c r="DI42" s="265">
        <f t="shared" si="41"/>
        <v>44</v>
      </c>
      <c r="DJ42" s="264">
        <f t="shared" si="42"/>
        <v>7</v>
      </c>
      <c r="DK42" s="264">
        <f t="shared" si="43"/>
        <v>85</v>
      </c>
      <c r="DL42" s="264">
        <f t="shared" si="44"/>
        <v>0</v>
      </c>
      <c r="DM42" s="264">
        <f t="shared" si="45"/>
        <v>10</v>
      </c>
      <c r="DN42" s="264">
        <f t="shared" si="46"/>
        <v>2</v>
      </c>
      <c r="DO42" s="264">
        <f t="shared" si="47"/>
        <v>430</v>
      </c>
      <c r="DP42" s="264">
        <f t="shared" si="48"/>
        <v>34</v>
      </c>
      <c r="DQ42" s="266">
        <f t="shared" si="49"/>
        <v>151</v>
      </c>
      <c r="DR42" s="279">
        <f>INDEX('Rate Assumptions'!$A$1:$C$32,MATCH('Success Allocation'!DR$3,'Rate Assumptions'!$A$1:$A$32,0),MATCH($DR$1,'Rate Assumptions'!$A$1:$C$1,0))</f>
        <v>2291.7551696336809</v>
      </c>
      <c r="DS42" s="279">
        <f>INDEX('Rate Assumptions'!$A$1:$C$32,MATCH('Success Allocation'!DS$3,'Rate Assumptions'!$A$1:$A$32,0),MATCH($DR$1,'Rate Assumptions'!$A$1:$C$1,0))</f>
        <v>1718.8163772252606</v>
      </c>
      <c r="DT42" s="279">
        <f>INDEX('Rate Assumptions'!$A$1:$C$32,MATCH('Success Allocation'!DT$3,'Rate Assumptions'!$A$1:$A$32,0),MATCH($DR$1,'Rate Assumptions'!$A$1:$C$1,0))</f>
        <v>1718.8163772252606</v>
      </c>
      <c r="DU42" s="279">
        <f>INDEX('Rate Assumptions'!$A$1:$C$32,MATCH('Success Allocation'!DU$3,'Rate Assumptions'!$A$1:$A$32,0),MATCH($DR$1,'Rate Assumptions'!$A$1:$C$1,0))</f>
        <v>1145.8775848168405</v>
      </c>
      <c r="DV42" s="279">
        <f>INDEX('Rate Assumptions'!$A$1:$C$32,MATCH('Success Allocation'!DV$3,'Rate Assumptions'!$A$1:$A$32,0),MATCH($DR$1,'Rate Assumptions'!$A$1:$C$1,0))</f>
        <v>1145.8775848168405</v>
      </c>
      <c r="DW42" s="279">
        <f>INDEX('Rate Assumptions'!$A$1:$C$32,MATCH('Success Allocation'!DW$3,'Rate Assumptions'!$A$1:$A$32,0),MATCH($DR$1,'Rate Assumptions'!$A$1:$C$1,0))</f>
        <v>572.93879240842023</v>
      </c>
      <c r="DX42" s="279">
        <f>INDEX('Rate Assumptions'!$A$1:$C$32,MATCH('Success Allocation'!DX$3,'Rate Assumptions'!$A$1:$A$32,0),MATCH($DR$1,'Rate Assumptions'!$A$1:$C$1,0))</f>
        <v>859.40818861263028</v>
      </c>
      <c r="DY42" s="280">
        <f>INDEX('Rate Assumptions'!$A$1:$C$32,MATCH('Success Allocation'!DY$3,'Rate Assumptions'!$A$1:$A$32,0),MATCH($DR$1,'Rate Assumptions'!$A$1:$C$1,0))</f>
        <v>572.93879240842023</v>
      </c>
      <c r="DZ42" s="279">
        <f>INDEX('Rate Assumptions'!$A$1:$C$32,MATCH('Success Allocation'!DZ$3,'Rate Assumptions'!$A$1:$A$32,0),MATCH($DR$1,'Rate Assumptions'!$A$1:$C$1,0))</f>
        <v>866.31570658079204</v>
      </c>
      <c r="EA42" s="279">
        <f>INDEX('Rate Assumptions'!$A$1:$C$32,MATCH('Success Allocation'!EA$3,'Rate Assumptions'!$A$1:$A$32,0),MATCH($DR$1,'Rate Assumptions'!$A$1:$C$1,0))</f>
        <v>649.73677993559397</v>
      </c>
      <c r="EB42" s="279">
        <f>INDEX('Rate Assumptions'!$A$1:$C$32,MATCH('Success Allocation'!EB$3,'Rate Assumptions'!$A$1:$A$32,0),MATCH($DR$1,'Rate Assumptions'!$A$1:$C$1,0))</f>
        <v>649.73677993559397</v>
      </c>
      <c r="EC42" s="279">
        <f>INDEX('Rate Assumptions'!$A$1:$C$32,MATCH('Success Allocation'!EC$3,'Rate Assumptions'!$A$1:$A$32,0),MATCH($DR$1,'Rate Assumptions'!$A$1:$C$1,0))</f>
        <v>433.15785329039602</v>
      </c>
      <c r="ED42" s="279">
        <f>INDEX('Rate Assumptions'!$A$1:$C$32,MATCH('Success Allocation'!ED$3,'Rate Assumptions'!$A$1:$A$32,0),MATCH($DR$1,'Rate Assumptions'!$A$1:$C$1,0))</f>
        <v>433.15785329039602</v>
      </c>
      <c r="EE42" s="279">
        <f>INDEX('Rate Assumptions'!$A$1:$C$32,MATCH('Success Allocation'!EE$3,'Rate Assumptions'!$A$1:$A$32,0),MATCH($DR$1,'Rate Assumptions'!$A$1:$C$1,0))</f>
        <v>216.57892664519801</v>
      </c>
      <c r="EF42" s="279">
        <f>INDEX('Rate Assumptions'!$A$1:$C$32,MATCH('Success Allocation'!EF$3,'Rate Assumptions'!$A$1:$A$32,0),MATCH($DR$1,'Rate Assumptions'!$A$1:$C$1,0))</f>
        <v>324.86838996779699</v>
      </c>
      <c r="EG42" s="280">
        <f>INDEX('Rate Assumptions'!$A$1:$C$32,MATCH('Success Allocation'!EG$3,'Rate Assumptions'!$A$1:$A$32,0),MATCH($DR$1,'Rate Assumptions'!$A$1:$C$1,0))</f>
        <v>216.57892664519801</v>
      </c>
      <c r="EH42" s="279">
        <f>INDEX('Rate Assumptions'!$A$1:$C$32,MATCH('Success Allocation'!EH$3,'Rate Assumptions'!$A$1:$A$32,0),MATCH($DR$1,'Rate Assumptions'!$A$1:$C$1,0))</f>
        <v>577.54380438719465</v>
      </c>
      <c r="EI42" s="279">
        <f>INDEX('Rate Assumptions'!$A$1:$C$32,MATCH('Success Allocation'!EI$3,'Rate Assumptions'!$A$1:$A$32,0),MATCH($DR$1,'Rate Assumptions'!$A$1:$C$1,0))</f>
        <v>433.15785329039602</v>
      </c>
      <c r="EJ42" s="279">
        <f>INDEX('Rate Assumptions'!$A$1:$C$32,MATCH('Success Allocation'!EJ$3,'Rate Assumptions'!$A$1:$A$32,0),MATCH($DR$1,'Rate Assumptions'!$A$1:$C$1,0))</f>
        <v>433.15785329039602</v>
      </c>
      <c r="EK42" s="279">
        <f>INDEX('Rate Assumptions'!$A$1:$C$32,MATCH('Success Allocation'!EK$3,'Rate Assumptions'!$A$1:$A$32,0),MATCH($DR$1,'Rate Assumptions'!$A$1:$C$1,0))</f>
        <v>288.77190219359733</v>
      </c>
      <c r="EL42" s="279">
        <f>INDEX('Rate Assumptions'!$A$1:$C$32,MATCH('Success Allocation'!EL$3,'Rate Assumptions'!$A$1:$A$32,0),MATCH($DR$1,'Rate Assumptions'!$A$1:$C$1,0))</f>
        <v>288.77190219359733</v>
      </c>
      <c r="EM42" s="279">
        <f>INDEX('Rate Assumptions'!$A$1:$C$32,MATCH('Success Allocation'!EM$3,'Rate Assumptions'!$A$1:$A$32,0),MATCH($DR$1,'Rate Assumptions'!$A$1:$C$1,0))</f>
        <v>144.38595109679866</v>
      </c>
      <c r="EN42" s="279">
        <f>INDEX('Rate Assumptions'!$A$1:$C$32,MATCH('Success Allocation'!EN$3,'Rate Assumptions'!$A$1:$A$32,0),MATCH($DR$1,'Rate Assumptions'!$A$1:$C$1,0))</f>
        <v>216.57892664519801</v>
      </c>
      <c r="EO42" s="281">
        <f>INDEX('Rate Assumptions'!$A$1:$C$32,MATCH('Success Allocation'!EO$3,'Rate Assumptions'!$A$1:$A$32,0),MATCH($DR$1,'Rate Assumptions'!$A$1:$C$1,0))</f>
        <v>144.38595109679866</v>
      </c>
      <c r="EP42" s="170">
        <f t="shared" si="50"/>
        <v>1241113.4328283658</v>
      </c>
    </row>
    <row r="43" spans="1:146">
      <c r="A43" s="223" t="s">
        <v>130</v>
      </c>
      <c r="B43" s="226">
        <v>292</v>
      </c>
      <c r="C43" s="226">
        <v>1011</v>
      </c>
      <c r="D43" s="226">
        <v>0</v>
      </c>
      <c r="E43" s="226">
        <v>555</v>
      </c>
      <c r="F43" s="226">
        <v>222</v>
      </c>
      <c r="G43" s="227">
        <v>3377</v>
      </c>
      <c r="H43" s="226">
        <v>2225</v>
      </c>
      <c r="I43" s="228">
        <v>2293</v>
      </c>
      <c r="J43" s="226">
        <v>122</v>
      </c>
      <c r="K43" s="226">
        <v>414</v>
      </c>
      <c r="L43" s="226">
        <v>0</v>
      </c>
      <c r="M43" s="226">
        <v>157</v>
      </c>
      <c r="N43" s="226">
        <v>54</v>
      </c>
      <c r="O43" s="227">
        <v>909</v>
      </c>
      <c r="P43" s="226">
        <v>620</v>
      </c>
      <c r="Q43" s="228">
        <v>390</v>
      </c>
      <c r="R43" s="226">
        <v>200</v>
      </c>
      <c r="S43" s="226">
        <v>659</v>
      </c>
      <c r="T43" s="226">
        <v>0</v>
      </c>
      <c r="U43" s="226">
        <v>265</v>
      </c>
      <c r="V43" s="226">
        <v>90</v>
      </c>
      <c r="W43" s="227">
        <v>1638</v>
      </c>
      <c r="X43" s="226">
        <v>1195</v>
      </c>
      <c r="Y43" s="234">
        <v>935</v>
      </c>
      <c r="Z43" s="237">
        <v>418</v>
      </c>
      <c r="AA43" s="237">
        <v>1027</v>
      </c>
      <c r="AB43" s="237">
        <v>0</v>
      </c>
      <c r="AC43" s="237">
        <v>479</v>
      </c>
      <c r="AD43" s="237">
        <v>367</v>
      </c>
      <c r="AE43" s="237">
        <v>3432</v>
      </c>
      <c r="AF43" s="237">
        <v>2352</v>
      </c>
      <c r="AG43" s="228">
        <v>2515</v>
      </c>
      <c r="AH43" s="237">
        <v>172</v>
      </c>
      <c r="AI43" s="237">
        <v>412</v>
      </c>
      <c r="AJ43" s="237">
        <v>0</v>
      </c>
      <c r="AK43" s="237">
        <v>138</v>
      </c>
      <c r="AL43" s="237">
        <v>124</v>
      </c>
      <c r="AM43" s="237">
        <v>971</v>
      </c>
      <c r="AN43" s="237">
        <v>698</v>
      </c>
      <c r="AO43" s="228">
        <v>419</v>
      </c>
      <c r="AP43" s="237">
        <v>268</v>
      </c>
      <c r="AQ43" s="237">
        <v>681</v>
      </c>
      <c r="AR43" s="237">
        <v>0</v>
      </c>
      <c r="AS43" s="237">
        <v>239</v>
      </c>
      <c r="AT43" s="237">
        <v>196</v>
      </c>
      <c r="AU43" s="238">
        <v>1735</v>
      </c>
      <c r="AV43" s="237">
        <v>1292</v>
      </c>
      <c r="AW43" s="234">
        <v>1018</v>
      </c>
      <c r="AX43" s="237"/>
      <c r="AY43" s="237"/>
      <c r="AZ43" s="237"/>
      <c r="BA43" s="237"/>
      <c r="BB43" s="237"/>
      <c r="BC43" s="237"/>
      <c r="BD43" s="237"/>
      <c r="BF43" s="237"/>
      <c r="BG43" s="237"/>
      <c r="BH43" s="237"/>
      <c r="BI43" s="237"/>
      <c r="BJ43" s="237"/>
      <c r="BK43" s="237"/>
      <c r="BL43" s="237"/>
      <c r="BN43" s="237"/>
      <c r="BO43" s="237"/>
      <c r="BP43" s="237"/>
      <c r="BQ43" s="237"/>
      <c r="BR43" s="237"/>
      <c r="BS43" s="238"/>
      <c r="BT43" s="237"/>
      <c r="BV43" s="264">
        <f t="shared" si="2"/>
        <v>544</v>
      </c>
      <c r="BW43" s="264">
        <f t="shared" si="3"/>
        <v>1043</v>
      </c>
      <c r="BX43" s="264">
        <f t="shared" si="4"/>
        <v>0</v>
      </c>
      <c r="BY43" s="264">
        <f t="shared" si="5"/>
        <v>403</v>
      </c>
      <c r="BZ43" s="264">
        <f t="shared" si="6"/>
        <v>512</v>
      </c>
      <c r="CA43" s="264">
        <f t="shared" si="7"/>
        <v>3487</v>
      </c>
      <c r="CB43" s="264">
        <f t="shared" si="8"/>
        <v>2479</v>
      </c>
      <c r="CC43" s="265">
        <f t="shared" si="9"/>
        <v>2737</v>
      </c>
      <c r="CD43" s="264">
        <f t="shared" si="10"/>
        <v>222</v>
      </c>
      <c r="CE43" s="264">
        <f t="shared" si="11"/>
        <v>410</v>
      </c>
      <c r="CF43" s="264">
        <f t="shared" si="12"/>
        <v>0</v>
      </c>
      <c r="CG43" s="264">
        <f t="shared" si="13"/>
        <v>119</v>
      </c>
      <c r="CH43" s="264">
        <f t="shared" si="14"/>
        <v>194</v>
      </c>
      <c r="CI43" s="264">
        <f t="shared" si="15"/>
        <v>1033</v>
      </c>
      <c r="CJ43" s="264">
        <f t="shared" si="16"/>
        <v>776</v>
      </c>
      <c r="CK43" s="265">
        <f t="shared" si="17"/>
        <v>448</v>
      </c>
      <c r="CL43" s="264">
        <f t="shared" si="18"/>
        <v>336</v>
      </c>
      <c r="CM43" s="264">
        <f t="shared" si="19"/>
        <v>703</v>
      </c>
      <c r="CN43" s="264">
        <f t="shared" si="20"/>
        <v>0</v>
      </c>
      <c r="CO43" s="264">
        <f t="shared" si="21"/>
        <v>213</v>
      </c>
      <c r="CP43" s="264">
        <f t="shared" si="22"/>
        <v>302</v>
      </c>
      <c r="CQ43" s="264">
        <f t="shared" si="23"/>
        <v>1832</v>
      </c>
      <c r="CR43" s="264">
        <f t="shared" si="24"/>
        <v>1389</v>
      </c>
      <c r="CS43" s="266">
        <f t="shared" si="25"/>
        <v>1101</v>
      </c>
      <c r="CT43" s="264">
        <f t="shared" si="26"/>
        <v>418</v>
      </c>
      <c r="CU43" s="264">
        <f t="shared" si="27"/>
        <v>1027</v>
      </c>
      <c r="CV43" s="264">
        <f t="shared" si="28"/>
        <v>0</v>
      </c>
      <c r="CW43" s="264">
        <f t="shared" si="29"/>
        <v>479</v>
      </c>
      <c r="CX43" s="264">
        <f t="shared" si="30"/>
        <v>367</v>
      </c>
      <c r="CY43" s="264">
        <f t="shared" si="31"/>
        <v>3432</v>
      </c>
      <c r="CZ43" s="264">
        <f t="shared" si="32"/>
        <v>2352</v>
      </c>
      <c r="DA43" s="265">
        <f t="shared" si="33"/>
        <v>2515</v>
      </c>
      <c r="DB43" s="264">
        <f t="shared" si="34"/>
        <v>172</v>
      </c>
      <c r="DC43" s="264">
        <f t="shared" si="35"/>
        <v>412</v>
      </c>
      <c r="DD43" s="264">
        <f t="shared" si="36"/>
        <v>0</v>
      </c>
      <c r="DE43" s="264">
        <f t="shared" si="37"/>
        <v>138</v>
      </c>
      <c r="DF43" s="264">
        <f t="shared" si="38"/>
        <v>124</v>
      </c>
      <c r="DG43" s="264">
        <f t="shared" si="39"/>
        <v>971</v>
      </c>
      <c r="DH43" s="264">
        <f t="shared" si="40"/>
        <v>698</v>
      </c>
      <c r="DI43" s="265">
        <f t="shared" si="41"/>
        <v>419</v>
      </c>
      <c r="DJ43" s="264">
        <f t="shared" si="42"/>
        <v>268</v>
      </c>
      <c r="DK43" s="264">
        <f t="shared" si="43"/>
        <v>681</v>
      </c>
      <c r="DL43" s="264">
        <f t="shared" si="44"/>
        <v>0</v>
      </c>
      <c r="DM43" s="264">
        <f t="shared" si="45"/>
        <v>239</v>
      </c>
      <c r="DN43" s="264">
        <f t="shared" si="46"/>
        <v>196</v>
      </c>
      <c r="DO43" s="264">
        <f t="shared" si="47"/>
        <v>1735</v>
      </c>
      <c r="DP43" s="264">
        <f t="shared" si="48"/>
        <v>1292</v>
      </c>
      <c r="DQ43" s="266">
        <f t="shared" si="49"/>
        <v>1018</v>
      </c>
      <c r="DR43" s="279">
        <f>INDEX('Rate Assumptions'!$A$1:$C$32,MATCH('Success Allocation'!DR$3,'Rate Assumptions'!$A$1:$A$32,0),MATCH($DR$1,'Rate Assumptions'!$A$1:$C$1,0))</f>
        <v>2291.7551696336809</v>
      </c>
      <c r="DS43" s="279">
        <f>INDEX('Rate Assumptions'!$A$1:$C$32,MATCH('Success Allocation'!DS$3,'Rate Assumptions'!$A$1:$A$32,0),MATCH($DR$1,'Rate Assumptions'!$A$1:$C$1,0))</f>
        <v>1718.8163772252606</v>
      </c>
      <c r="DT43" s="279">
        <f>INDEX('Rate Assumptions'!$A$1:$C$32,MATCH('Success Allocation'!DT$3,'Rate Assumptions'!$A$1:$A$32,0),MATCH($DR$1,'Rate Assumptions'!$A$1:$C$1,0))</f>
        <v>1718.8163772252606</v>
      </c>
      <c r="DU43" s="279">
        <f>INDEX('Rate Assumptions'!$A$1:$C$32,MATCH('Success Allocation'!DU$3,'Rate Assumptions'!$A$1:$A$32,0),MATCH($DR$1,'Rate Assumptions'!$A$1:$C$1,0))</f>
        <v>1145.8775848168405</v>
      </c>
      <c r="DV43" s="279">
        <f>INDEX('Rate Assumptions'!$A$1:$C$32,MATCH('Success Allocation'!DV$3,'Rate Assumptions'!$A$1:$A$32,0),MATCH($DR$1,'Rate Assumptions'!$A$1:$C$1,0))</f>
        <v>1145.8775848168405</v>
      </c>
      <c r="DW43" s="279">
        <f>INDEX('Rate Assumptions'!$A$1:$C$32,MATCH('Success Allocation'!DW$3,'Rate Assumptions'!$A$1:$A$32,0),MATCH($DR$1,'Rate Assumptions'!$A$1:$C$1,0))</f>
        <v>572.93879240842023</v>
      </c>
      <c r="DX43" s="279">
        <f>INDEX('Rate Assumptions'!$A$1:$C$32,MATCH('Success Allocation'!DX$3,'Rate Assumptions'!$A$1:$A$32,0),MATCH($DR$1,'Rate Assumptions'!$A$1:$C$1,0))</f>
        <v>859.40818861263028</v>
      </c>
      <c r="DY43" s="280">
        <f>INDEX('Rate Assumptions'!$A$1:$C$32,MATCH('Success Allocation'!DY$3,'Rate Assumptions'!$A$1:$A$32,0),MATCH($DR$1,'Rate Assumptions'!$A$1:$C$1,0))</f>
        <v>572.93879240842023</v>
      </c>
      <c r="DZ43" s="279">
        <f>INDEX('Rate Assumptions'!$A$1:$C$32,MATCH('Success Allocation'!DZ$3,'Rate Assumptions'!$A$1:$A$32,0),MATCH($DR$1,'Rate Assumptions'!$A$1:$C$1,0))</f>
        <v>866.31570658079204</v>
      </c>
      <c r="EA43" s="279">
        <f>INDEX('Rate Assumptions'!$A$1:$C$32,MATCH('Success Allocation'!EA$3,'Rate Assumptions'!$A$1:$A$32,0),MATCH($DR$1,'Rate Assumptions'!$A$1:$C$1,0))</f>
        <v>649.73677993559397</v>
      </c>
      <c r="EB43" s="279">
        <f>INDEX('Rate Assumptions'!$A$1:$C$32,MATCH('Success Allocation'!EB$3,'Rate Assumptions'!$A$1:$A$32,0),MATCH($DR$1,'Rate Assumptions'!$A$1:$C$1,0))</f>
        <v>649.73677993559397</v>
      </c>
      <c r="EC43" s="279">
        <f>INDEX('Rate Assumptions'!$A$1:$C$32,MATCH('Success Allocation'!EC$3,'Rate Assumptions'!$A$1:$A$32,0),MATCH($DR$1,'Rate Assumptions'!$A$1:$C$1,0))</f>
        <v>433.15785329039602</v>
      </c>
      <c r="ED43" s="279">
        <f>INDEX('Rate Assumptions'!$A$1:$C$32,MATCH('Success Allocation'!ED$3,'Rate Assumptions'!$A$1:$A$32,0),MATCH($DR$1,'Rate Assumptions'!$A$1:$C$1,0))</f>
        <v>433.15785329039602</v>
      </c>
      <c r="EE43" s="279">
        <f>INDEX('Rate Assumptions'!$A$1:$C$32,MATCH('Success Allocation'!EE$3,'Rate Assumptions'!$A$1:$A$32,0),MATCH($DR$1,'Rate Assumptions'!$A$1:$C$1,0))</f>
        <v>216.57892664519801</v>
      </c>
      <c r="EF43" s="279">
        <f>INDEX('Rate Assumptions'!$A$1:$C$32,MATCH('Success Allocation'!EF$3,'Rate Assumptions'!$A$1:$A$32,0),MATCH($DR$1,'Rate Assumptions'!$A$1:$C$1,0))</f>
        <v>324.86838996779699</v>
      </c>
      <c r="EG43" s="280">
        <f>INDEX('Rate Assumptions'!$A$1:$C$32,MATCH('Success Allocation'!EG$3,'Rate Assumptions'!$A$1:$A$32,0),MATCH($DR$1,'Rate Assumptions'!$A$1:$C$1,0))</f>
        <v>216.57892664519801</v>
      </c>
      <c r="EH43" s="279">
        <f>INDEX('Rate Assumptions'!$A$1:$C$32,MATCH('Success Allocation'!EH$3,'Rate Assumptions'!$A$1:$A$32,0),MATCH($DR$1,'Rate Assumptions'!$A$1:$C$1,0))</f>
        <v>577.54380438719465</v>
      </c>
      <c r="EI43" s="279">
        <f>INDEX('Rate Assumptions'!$A$1:$C$32,MATCH('Success Allocation'!EI$3,'Rate Assumptions'!$A$1:$A$32,0),MATCH($DR$1,'Rate Assumptions'!$A$1:$C$1,0))</f>
        <v>433.15785329039602</v>
      </c>
      <c r="EJ43" s="279">
        <f>INDEX('Rate Assumptions'!$A$1:$C$32,MATCH('Success Allocation'!EJ$3,'Rate Assumptions'!$A$1:$A$32,0),MATCH($DR$1,'Rate Assumptions'!$A$1:$C$1,0))</f>
        <v>433.15785329039602</v>
      </c>
      <c r="EK43" s="279">
        <f>INDEX('Rate Assumptions'!$A$1:$C$32,MATCH('Success Allocation'!EK$3,'Rate Assumptions'!$A$1:$A$32,0),MATCH($DR$1,'Rate Assumptions'!$A$1:$C$1,0))</f>
        <v>288.77190219359733</v>
      </c>
      <c r="EL43" s="279">
        <f>INDEX('Rate Assumptions'!$A$1:$C$32,MATCH('Success Allocation'!EL$3,'Rate Assumptions'!$A$1:$A$32,0),MATCH($DR$1,'Rate Assumptions'!$A$1:$C$1,0))</f>
        <v>288.77190219359733</v>
      </c>
      <c r="EM43" s="279">
        <f>INDEX('Rate Assumptions'!$A$1:$C$32,MATCH('Success Allocation'!EM$3,'Rate Assumptions'!$A$1:$A$32,0),MATCH($DR$1,'Rate Assumptions'!$A$1:$C$1,0))</f>
        <v>144.38595109679866</v>
      </c>
      <c r="EN43" s="279">
        <f>INDEX('Rate Assumptions'!$A$1:$C$32,MATCH('Success Allocation'!EN$3,'Rate Assumptions'!$A$1:$A$32,0),MATCH($DR$1,'Rate Assumptions'!$A$1:$C$1,0))</f>
        <v>216.57892664519801</v>
      </c>
      <c r="EO43" s="281">
        <f>INDEX('Rate Assumptions'!$A$1:$C$32,MATCH('Success Allocation'!EO$3,'Rate Assumptions'!$A$1:$A$32,0),MATCH($DR$1,'Rate Assumptions'!$A$1:$C$1,0))</f>
        <v>144.38595109679866</v>
      </c>
      <c r="EP43" s="170">
        <f t="shared" si="50"/>
        <v>12323100.405489812</v>
      </c>
    </row>
    <row r="44" spans="1:146">
      <c r="A44" s="223" t="s">
        <v>131</v>
      </c>
      <c r="B44" s="226">
        <v>905</v>
      </c>
      <c r="C44" s="226">
        <v>1062</v>
      </c>
      <c r="D44" s="226">
        <v>0</v>
      </c>
      <c r="E44" s="226">
        <v>261</v>
      </c>
      <c r="F44" s="226">
        <v>651</v>
      </c>
      <c r="G44" s="227">
        <v>3251</v>
      </c>
      <c r="H44" s="226">
        <v>2679</v>
      </c>
      <c r="I44" s="228">
        <v>1991</v>
      </c>
      <c r="J44" s="226">
        <v>569</v>
      </c>
      <c r="K44" s="226">
        <v>577</v>
      </c>
      <c r="L44" s="226">
        <v>0</v>
      </c>
      <c r="M44" s="226">
        <v>106</v>
      </c>
      <c r="N44" s="226">
        <v>263</v>
      </c>
      <c r="O44" s="227">
        <v>1502</v>
      </c>
      <c r="P44" s="226">
        <v>1253</v>
      </c>
      <c r="Q44" s="228">
        <v>515</v>
      </c>
      <c r="R44" s="226">
        <v>735</v>
      </c>
      <c r="S44" s="226">
        <v>785</v>
      </c>
      <c r="T44" s="226">
        <v>0</v>
      </c>
      <c r="U44" s="226">
        <v>205</v>
      </c>
      <c r="V44" s="226">
        <v>359</v>
      </c>
      <c r="W44" s="227">
        <v>2284</v>
      </c>
      <c r="X44" s="226">
        <v>1850</v>
      </c>
      <c r="Y44" s="234">
        <v>1047</v>
      </c>
      <c r="Z44" s="237">
        <v>1143</v>
      </c>
      <c r="AA44" s="237">
        <v>1256</v>
      </c>
      <c r="AB44" s="237">
        <v>0</v>
      </c>
      <c r="AC44" s="237">
        <v>235</v>
      </c>
      <c r="AD44" s="237">
        <v>860</v>
      </c>
      <c r="AE44" s="237">
        <v>3092</v>
      </c>
      <c r="AF44" s="237">
        <v>3147</v>
      </c>
      <c r="AG44" s="228">
        <v>2345</v>
      </c>
      <c r="AH44" s="237">
        <v>690</v>
      </c>
      <c r="AI44" s="237">
        <v>603</v>
      </c>
      <c r="AJ44" s="237">
        <v>0</v>
      </c>
      <c r="AK44" s="237">
        <v>103</v>
      </c>
      <c r="AL44" s="237">
        <v>360</v>
      </c>
      <c r="AM44" s="237">
        <v>1396</v>
      </c>
      <c r="AN44" s="237">
        <v>1652</v>
      </c>
      <c r="AO44" s="228">
        <v>649</v>
      </c>
      <c r="AP44" s="237">
        <v>898</v>
      </c>
      <c r="AQ44" s="237">
        <v>862</v>
      </c>
      <c r="AR44" s="237">
        <v>0</v>
      </c>
      <c r="AS44" s="237">
        <v>172</v>
      </c>
      <c r="AT44" s="237">
        <v>501</v>
      </c>
      <c r="AU44" s="238">
        <v>2141</v>
      </c>
      <c r="AV44" s="237">
        <v>2259</v>
      </c>
      <c r="AW44" s="234">
        <v>1243</v>
      </c>
      <c r="AX44" s="237"/>
      <c r="AY44" s="237"/>
      <c r="AZ44" s="237"/>
      <c r="BA44" s="237"/>
      <c r="BB44" s="237"/>
      <c r="BC44" s="237"/>
      <c r="BD44" s="237"/>
      <c r="BF44" s="237"/>
      <c r="BG44" s="237"/>
      <c r="BH44" s="237"/>
      <c r="BI44" s="237"/>
      <c r="BJ44" s="237"/>
      <c r="BK44" s="237"/>
      <c r="BL44" s="237"/>
      <c r="BN44" s="237"/>
      <c r="BO44" s="237"/>
      <c r="BP44" s="237"/>
      <c r="BQ44" s="237"/>
      <c r="BR44" s="237"/>
      <c r="BS44" s="238"/>
      <c r="BT44" s="237"/>
      <c r="BV44" s="264">
        <f t="shared" si="2"/>
        <v>1381</v>
      </c>
      <c r="BW44" s="264">
        <f t="shared" si="3"/>
        <v>1450</v>
      </c>
      <c r="BX44" s="264">
        <f t="shared" si="4"/>
        <v>0</v>
      </c>
      <c r="BY44" s="264">
        <f t="shared" si="5"/>
        <v>209</v>
      </c>
      <c r="BZ44" s="264">
        <f t="shared" si="6"/>
        <v>1069</v>
      </c>
      <c r="CA44" s="264">
        <f t="shared" si="7"/>
        <v>2933</v>
      </c>
      <c r="CB44" s="264">
        <f t="shared" si="8"/>
        <v>3615</v>
      </c>
      <c r="CC44" s="265">
        <f t="shared" si="9"/>
        <v>2699</v>
      </c>
      <c r="CD44" s="264">
        <f t="shared" si="10"/>
        <v>811</v>
      </c>
      <c r="CE44" s="264">
        <f t="shared" si="11"/>
        <v>629</v>
      </c>
      <c r="CF44" s="264">
        <f t="shared" si="12"/>
        <v>0</v>
      </c>
      <c r="CG44" s="264">
        <f t="shared" si="13"/>
        <v>100</v>
      </c>
      <c r="CH44" s="264">
        <f t="shared" si="14"/>
        <v>457</v>
      </c>
      <c r="CI44" s="264">
        <f t="shared" si="15"/>
        <v>1290</v>
      </c>
      <c r="CJ44" s="264">
        <f t="shared" si="16"/>
        <v>2051</v>
      </c>
      <c r="CK44" s="265">
        <f t="shared" si="17"/>
        <v>783</v>
      </c>
      <c r="CL44" s="264">
        <f t="shared" si="18"/>
        <v>1061</v>
      </c>
      <c r="CM44" s="264">
        <f t="shared" si="19"/>
        <v>939</v>
      </c>
      <c r="CN44" s="264">
        <f t="shared" si="20"/>
        <v>0</v>
      </c>
      <c r="CO44" s="264">
        <f t="shared" si="21"/>
        <v>139</v>
      </c>
      <c r="CP44" s="264">
        <f t="shared" si="22"/>
        <v>643</v>
      </c>
      <c r="CQ44" s="264">
        <f t="shared" si="23"/>
        <v>1998</v>
      </c>
      <c r="CR44" s="264">
        <f t="shared" si="24"/>
        <v>2668</v>
      </c>
      <c r="CS44" s="266">
        <f t="shared" si="25"/>
        <v>1439</v>
      </c>
      <c r="CT44" s="264">
        <f t="shared" si="26"/>
        <v>1143</v>
      </c>
      <c r="CU44" s="264">
        <f t="shared" si="27"/>
        <v>1256</v>
      </c>
      <c r="CV44" s="264">
        <f t="shared" si="28"/>
        <v>0</v>
      </c>
      <c r="CW44" s="264">
        <f t="shared" si="29"/>
        <v>235</v>
      </c>
      <c r="CX44" s="264">
        <f t="shared" si="30"/>
        <v>860</v>
      </c>
      <c r="CY44" s="264">
        <f t="shared" si="31"/>
        <v>3092</v>
      </c>
      <c r="CZ44" s="264">
        <f t="shared" si="32"/>
        <v>3147</v>
      </c>
      <c r="DA44" s="265">
        <f t="shared" si="33"/>
        <v>2345</v>
      </c>
      <c r="DB44" s="264">
        <f t="shared" si="34"/>
        <v>690</v>
      </c>
      <c r="DC44" s="264">
        <f t="shared" si="35"/>
        <v>603</v>
      </c>
      <c r="DD44" s="264">
        <f t="shared" si="36"/>
        <v>0</v>
      </c>
      <c r="DE44" s="264">
        <f t="shared" si="37"/>
        <v>103</v>
      </c>
      <c r="DF44" s="264">
        <f t="shared" si="38"/>
        <v>360</v>
      </c>
      <c r="DG44" s="264">
        <f t="shared" si="39"/>
        <v>1396</v>
      </c>
      <c r="DH44" s="264">
        <f t="shared" si="40"/>
        <v>1652</v>
      </c>
      <c r="DI44" s="265">
        <f t="shared" si="41"/>
        <v>649</v>
      </c>
      <c r="DJ44" s="264">
        <f t="shared" si="42"/>
        <v>898</v>
      </c>
      <c r="DK44" s="264">
        <f t="shared" si="43"/>
        <v>862</v>
      </c>
      <c r="DL44" s="264">
        <f t="shared" si="44"/>
        <v>0</v>
      </c>
      <c r="DM44" s="264">
        <f t="shared" si="45"/>
        <v>172</v>
      </c>
      <c r="DN44" s="264">
        <f t="shared" si="46"/>
        <v>501</v>
      </c>
      <c r="DO44" s="264">
        <f t="shared" si="47"/>
        <v>2141</v>
      </c>
      <c r="DP44" s="264">
        <f t="shared" si="48"/>
        <v>2259</v>
      </c>
      <c r="DQ44" s="266">
        <f t="shared" si="49"/>
        <v>1243</v>
      </c>
      <c r="DR44" s="279">
        <f>INDEX('Rate Assumptions'!$A$1:$C$32,MATCH('Success Allocation'!DR$3,'Rate Assumptions'!$A$1:$A$32,0),MATCH($DR$1,'Rate Assumptions'!$A$1:$C$1,0))</f>
        <v>2291.7551696336809</v>
      </c>
      <c r="DS44" s="279">
        <f>INDEX('Rate Assumptions'!$A$1:$C$32,MATCH('Success Allocation'!DS$3,'Rate Assumptions'!$A$1:$A$32,0),MATCH($DR$1,'Rate Assumptions'!$A$1:$C$1,0))</f>
        <v>1718.8163772252606</v>
      </c>
      <c r="DT44" s="279">
        <f>INDEX('Rate Assumptions'!$A$1:$C$32,MATCH('Success Allocation'!DT$3,'Rate Assumptions'!$A$1:$A$32,0),MATCH($DR$1,'Rate Assumptions'!$A$1:$C$1,0))</f>
        <v>1718.8163772252606</v>
      </c>
      <c r="DU44" s="279">
        <f>INDEX('Rate Assumptions'!$A$1:$C$32,MATCH('Success Allocation'!DU$3,'Rate Assumptions'!$A$1:$A$32,0),MATCH($DR$1,'Rate Assumptions'!$A$1:$C$1,0))</f>
        <v>1145.8775848168405</v>
      </c>
      <c r="DV44" s="279">
        <f>INDEX('Rate Assumptions'!$A$1:$C$32,MATCH('Success Allocation'!DV$3,'Rate Assumptions'!$A$1:$A$32,0),MATCH($DR$1,'Rate Assumptions'!$A$1:$C$1,0))</f>
        <v>1145.8775848168405</v>
      </c>
      <c r="DW44" s="279">
        <f>INDEX('Rate Assumptions'!$A$1:$C$32,MATCH('Success Allocation'!DW$3,'Rate Assumptions'!$A$1:$A$32,0),MATCH($DR$1,'Rate Assumptions'!$A$1:$C$1,0))</f>
        <v>572.93879240842023</v>
      </c>
      <c r="DX44" s="279">
        <f>INDEX('Rate Assumptions'!$A$1:$C$32,MATCH('Success Allocation'!DX$3,'Rate Assumptions'!$A$1:$A$32,0),MATCH($DR$1,'Rate Assumptions'!$A$1:$C$1,0))</f>
        <v>859.40818861263028</v>
      </c>
      <c r="DY44" s="280">
        <f>INDEX('Rate Assumptions'!$A$1:$C$32,MATCH('Success Allocation'!DY$3,'Rate Assumptions'!$A$1:$A$32,0),MATCH($DR$1,'Rate Assumptions'!$A$1:$C$1,0))</f>
        <v>572.93879240842023</v>
      </c>
      <c r="DZ44" s="279">
        <f>INDEX('Rate Assumptions'!$A$1:$C$32,MATCH('Success Allocation'!DZ$3,'Rate Assumptions'!$A$1:$A$32,0),MATCH($DR$1,'Rate Assumptions'!$A$1:$C$1,0))</f>
        <v>866.31570658079204</v>
      </c>
      <c r="EA44" s="279">
        <f>INDEX('Rate Assumptions'!$A$1:$C$32,MATCH('Success Allocation'!EA$3,'Rate Assumptions'!$A$1:$A$32,0),MATCH($DR$1,'Rate Assumptions'!$A$1:$C$1,0))</f>
        <v>649.73677993559397</v>
      </c>
      <c r="EB44" s="279">
        <f>INDEX('Rate Assumptions'!$A$1:$C$32,MATCH('Success Allocation'!EB$3,'Rate Assumptions'!$A$1:$A$32,0),MATCH($DR$1,'Rate Assumptions'!$A$1:$C$1,0))</f>
        <v>649.73677993559397</v>
      </c>
      <c r="EC44" s="279">
        <f>INDEX('Rate Assumptions'!$A$1:$C$32,MATCH('Success Allocation'!EC$3,'Rate Assumptions'!$A$1:$A$32,0),MATCH($DR$1,'Rate Assumptions'!$A$1:$C$1,0))</f>
        <v>433.15785329039602</v>
      </c>
      <c r="ED44" s="279">
        <f>INDEX('Rate Assumptions'!$A$1:$C$32,MATCH('Success Allocation'!ED$3,'Rate Assumptions'!$A$1:$A$32,0),MATCH($DR$1,'Rate Assumptions'!$A$1:$C$1,0))</f>
        <v>433.15785329039602</v>
      </c>
      <c r="EE44" s="279">
        <f>INDEX('Rate Assumptions'!$A$1:$C$32,MATCH('Success Allocation'!EE$3,'Rate Assumptions'!$A$1:$A$32,0),MATCH($DR$1,'Rate Assumptions'!$A$1:$C$1,0))</f>
        <v>216.57892664519801</v>
      </c>
      <c r="EF44" s="279">
        <f>INDEX('Rate Assumptions'!$A$1:$C$32,MATCH('Success Allocation'!EF$3,'Rate Assumptions'!$A$1:$A$32,0),MATCH($DR$1,'Rate Assumptions'!$A$1:$C$1,0))</f>
        <v>324.86838996779699</v>
      </c>
      <c r="EG44" s="280">
        <f>INDEX('Rate Assumptions'!$A$1:$C$32,MATCH('Success Allocation'!EG$3,'Rate Assumptions'!$A$1:$A$32,0),MATCH($DR$1,'Rate Assumptions'!$A$1:$C$1,0))</f>
        <v>216.57892664519801</v>
      </c>
      <c r="EH44" s="279">
        <f>INDEX('Rate Assumptions'!$A$1:$C$32,MATCH('Success Allocation'!EH$3,'Rate Assumptions'!$A$1:$A$32,0),MATCH($DR$1,'Rate Assumptions'!$A$1:$C$1,0))</f>
        <v>577.54380438719465</v>
      </c>
      <c r="EI44" s="279">
        <f>INDEX('Rate Assumptions'!$A$1:$C$32,MATCH('Success Allocation'!EI$3,'Rate Assumptions'!$A$1:$A$32,0),MATCH($DR$1,'Rate Assumptions'!$A$1:$C$1,0))</f>
        <v>433.15785329039602</v>
      </c>
      <c r="EJ44" s="279">
        <f>INDEX('Rate Assumptions'!$A$1:$C$32,MATCH('Success Allocation'!EJ$3,'Rate Assumptions'!$A$1:$A$32,0),MATCH($DR$1,'Rate Assumptions'!$A$1:$C$1,0))</f>
        <v>433.15785329039602</v>
      </c>
      <c r="EK44" s="279">
        <f>INDEX('Rate Assumptions'!$A$1:$C$32,MATCH('Success Allocation'!EK$3,'Rate Assumptions'!$A$1:$A$32,0),MATCH($DR$1,'Rate Assumptions'!$A$1:$C$1,0))</f>
        <v>288.77190219359733</v>
      </c>
      <c r="EL44" s="279">
        <f>INDEX('Rate Assumptions'!$A$1:$C$32,MATCH('Success Allocation'!EL$3,'Rate Assumptions'!$A$1:$A$32,0),MATCH($DR$1,'Rate Assumptions'!$A$1:$C$1,0))</f>
        <v>288.77190219359733</v>
      </c>
      <c r="EM44" s="279">
        <f>INDEX('Rate Assumptions'!$A$1:$C$32,MATCH('Success Allocation'!EM$3,'Rate Assumptions'!$A$1:$A$32,0),MATCH($DR$1,'Rate Assumptions'!$A$1:$C$1,0))</f>
        <v>144.38595109679866</v>
      </c>
      <c r="EN44" s="279">
        <f>INDEX('Rate Assumptions'!$A$1:$C$32,MATCH('Success Allocation'!EN$3,'Rate Assumptions'!$A$1:$A$32,0),MATCH($DR$1,'Rate Assumptions'!$A$1:$C$1,0))</f>
        <v>216.57892664519801</v>
      </c>
      <c r="EO44" s="281">
        <f>INDEX('Rate Assumptions'!$A$1:$C$32,MATCH('Success Allocation'!EO$3,'Rate Assumptions'!$A$1:$A$32,0),MATCH($DR$1,'Rate Assumptions'!$A$1:$C$1,0))</f>
        <v>144.38595109679866</v>
      </c>
      <c r="EP44" s="170">
        <f t="shared" si="50"/>
        <v>18242405.568393223</v>
      </c>
    </row>
    <row r="45" spans="1:146">
      <c r="A45" s="223" t="s">
        <v>132</v>
      </c>
      <c r="B45" s="226">
        <v>465</v>
      </c>
      <c r="C45" s="226">
        <v>815</v>
      </c>
      <c r="D45" s="226">
        <v>0</v>
      </c>
      <c r="E45" s="226">
        <v>368</v>
      </c>
      <c r="F45" s="226">
        <v>297</v>
      </c>
      <c r="G45" s="227">
        <v>2960</v>
      </c>
      <c r="H45" s="226">
        <v>2247</v>
      </c>
      <c r="I45" s="228">
        <v>2799</v>
      </c>
      <c r="J45" s="226">
        <v>276</v>
      </c>
      <c r="K45" s="226">
        <v>515</v>
      </c>
      <c r="L45" s="226">
        <v>0</v>
      </c>
      <c r="M45" s="226">
        <v>195</v>
      </c>
      <c r="N45" s="226">
        <v>96</v>
      </c>
      <c r="O45" s="227">
        <v>1368</v>
      </c>
      <c r="P45" s="226">
        <v>897</v>
      </c>
      <c r="Q45" s="228">
        <v>606</v>
      </c>
      <c r="R45" s="226">
        <v>350</v>
      </c>
      <c r="S45" s="226">
        <v>640</v>
      </c>
      <c r="T45" s="226">
        <v>0</v>
      </c>
      <c r="U45" s="226">
        <v>261</v>
      </c>
      <c r="V45" s="226">
        <v>128</v>
      </c>
      <c r="W45" s="227">
        <v>1973</v>
      </c>
      <c r="X45" s="226">
        <v>1366</v>
      </c>
      <c r="Y45" s="234">
        <v>1220</v>
      </c>
      <c r="Z45" s="237">
        <v>518</v>
      </c>
      <c r="AA45" s="237">
        <v>868</v>
      </c>
      <c r="AB45" s="237">
        <v>0</v>
      </c>
      <c r="AC45" s="237">
        <v>338</v>
      </c>
      <c r="AD45" s="237">
        <v>241</v>
      </c>
      <c r="AE45" s="237">
        <v>2758</v>
      </c>
      <c r="AF45" s="237">
        <v>2234</v>
      </c>
      <c r="AG45" s="228">
        <v>2715</v>
      </c>
      <c r="AH45" s="237">
        <v>302</v>
      </c>
      <c r="AI45" s="237">
        <v>492</v>
      </c>
      <c r="AJ45" s="237">
        <v>0</v>
      </c>
      <c r="AK45" s="237">
        <v>169</v>
      </c>
      <c r="AL45" s="237">
        <v>96</v>
      </c>
      <c r="AM45" s="237">
        <v>1246</v>
      </c>
      <c r="AN45" s="237">
        <v>891</v>
      </c>
      <c r="AO45" s="228">
        <v>602</v>
      </c>
      <c r="AP45" s="237">
        <v>393</v>
      </c>
      <c r="AQ45" s="237">
        <v>635</v>
      </c>
      <c r="AR45" s="237">
        <v>0</v>
      </c>
      <c r="AS45" s="237">
        <v>241</v>
      </c>
      <c r="AT45" s="237">
        <v>123</v>
      </c>
      <c r="AU45" s="238">
        <v>1829</v>
      </c>
      <c r="AV45" s="237">
        <v>1315</v>
      </c>
      <c r="AW45" s="234">
        <v>1139</v>
      </c>
      <c r="AX45" s="237"/>
      <c r="AY45" s="237"/>
      <c r="AZ45" s="237"/>
      <c r="BA45" s="237"/>
      <c r="BB45" s="237"/>
      <c r="BC45" s="237"/>
      <c r="BD45" s="237"/>
      <c r="BF45" s="237"/>
      <c r="BG45" s="237"/>
      <c r="BH45" s="237"/>
      <c r="BI45" s="237"/>
      <c r="BJ45" s="237"/>
      <c r="BK45" s="237"/>
      <c r="BL45" s="237"/>
      <c r="BN45" s="237"/>
      <c r="BO45" s="237"/>
      <c r="BP45" s="237"/>
      <c r="BQ45" s="237"/>
      <c r="BR45" s="237"/>
      <c r="BS45" s="238"/>
      <c r="BT45" s="237"/>
      <c r="BV45" s="264">
        <f t="shared" si="2"/>
        <v>571</v>
      </c>
      <c r="BW45" s="264">
        <f t="shared" si="3"/>
        <v>921</v>
      </c>
      <c r="BX45" s="264">
        <f t="shared" si="4"/>
        <v>0</v>
      </c>
      <c r="BY45" s="264">
        <f t="shared" si="5"/>
        <v>308</v>
      </c>
      <c r="BZ45" s="264">
        <f t="shared" si="6"/>
        <v>185</v>
      </c>
      <c r="CA45" s="264">
        <f t="shared" si="7"/>
        <v>2556</v>
      </c>
      <c r="CB45" s="264">
        <f t="shared" si="8"/>
        <v>2221</v>
      </c>
      <c r="CC45" s="265">
        <f t="shared" si="9"/>
        <v>2631</v>
      </c>
      <c r="CD45" s="264">
        <f t="shared" si="10"/>
        <v>328</v>
      </c>
      <c r="CE45" s="264">
        <f t="shared" si="11"/>
        <v>469</v>
      </c>
      <c r="CF45" s="264">
        <f t="shared" si="12"/>
        <v>0</v>
      </c>
      <c r="CG45" s="264">
        <f t="shared" si="13"/>
        <v>143</v>
      </c>
      <c r="CH45" s="264">
        <f t="shared" si="14"/>
        <v>96</v>
      </c>
      <c r="CI45" s="264">
        <f t="shared" si="15"/>
        <v>1124</v>
      </c>
      <c r="CJ45" s="264">
        <f t="shared" si="16"/>
        <v>885</v>
      </c>
      <c r="CK45" s="265">
        <f t="shared" si="17"/>
        <v>598</v>
      </c>
      <c r="CL45" s="264">
        <f t="shared" si="18"/>
        <v>436</v>
      </c>
      <c r="CM45" s="264">
        <f t="shared" si="19"/>
        <v>630</v>
      </c>
      <c r="CN45" s="264">
        <f t="shared" si="20"/>
        <v>0</v>
      </c>
      <c r="CO45" s="264">
        <f t="shared" si="21"/>
        <v>221</v>
      </c>
      <c r="CP45" s="264">
        <f t="shared" si="22"/>
        <v>118</v>
      </c>
      <c r="CQ45" s="264">
        <f t="shared" si="23"/>
        <v>1685</v>
      </c>
      <c r="CR45" s="264">
        <f t="shared" si="24"/>
        <v>1264</v>
      </c>
      <c r="CS45" s="266">
        <f t="shared" si="25"/>
        <v>1058</v>
      </c>
      <c r="CT45" s="264">
        <f t="shared" si="26"/>
        <v>518</v>
      </c>
      <c r="CU45" s="264">
        <f t="shared" si="27"/>
        <v>868</v>
      </c>
      <c r="CV45" s="264">
        <f t="shared" si="28"/>
        <v>0</v>
      </c>
      <c r="CW45" s="264">
        <f t="shared" si="29"/>
        <v>338</v>
      </c>
      <c r="CX45" s="264">
        <f t="shared" si="30"/>
        <v>241</v>
      </c>
      <c r="CY45" s="264">
        <f t="shared" si="31"/>
        <v>2758</v>
      </c>
      <c r="CZ45" s="264">
        <f t="shared" si="32"/>
        <v>2234</v>
      </c>
      <c r="DA45" s="265">
        <f t="shared" si="33"/>
        <v>2715</v>
      </c>
      <c r="DB45" s="264">
        <f t="shared" si="34"/>
        <v>302</v>
      </c>
      <c r="DC45" s="264">
        <f t="shared" si="35"/>
        <v>492</v>
      </c>
      <c r="DD45" s="264">
        <f t="shared" si="36"/>
        <v>0</v>
      </c>
      <c r="DE45" s="264">
        <f t="shared" si="37"/>
        <v>169</v>
      </c>
      <c r="DF45" s="264">
        <f t="shared" si="38"/>
        <v>96</v>
      </c>
      <c r="DG45" s="264">
        <f t="shared" si="39"/>
        <v>1246</v>
      </c>
      <c r="DH45" s="264">
        <f t="shared" si="40"/>
        <v>891</v>
      </c>
      <c r="DI45" s="265">
        <f t="shared" si="41"/>
        <v>602</v>
      </c>
      <c r="DJ45" s="264">
        <f t="shared" si="42"/>
        <v>393</v>
      </c>
      <c r="DK45" s="264">
        <f t="shared" si="43"/>
        <v>635</v>
      </c>
      <c r="DL45" s="264">
        <f t="shared" si="44"/>
        <v>0</v>
      </c>
      <c r="DM45" s="264">
        <f t="shared" si="45"/>
        <v>241</v>
      </c>
      <c r="DN45" s="264">
        <f t="shared" si="46"/>
        <v>123</v>
      </c>
      <c r="DO45" s="264">
        <f t="shared" si="47"/>
        <v>1829</v>
      </c>
      <c r="DP45" s="264">
        <f t="shared" si="48"/>
        <v>1315</v>
      </c>
      <c r="DQ45" s="266">
        <f t="shared" si="49"/>
        <v>1139</v>
      </c>
      <c r="DR45" s="279">
        <f>INDEX('Rate Assumptions'!$A$1:$C$32,MATCH('Success Allocation'!DR$3,'Rate Assumptions'!$A$1:$A$32,0),MATCH($DR$1,'Rate Assumptions'!$A$1:$C$1,0))</f>
        <v>2291.7551696336809</v>
      </c>
      <c r="DS45" s="279">
        <f>INDEX('Rate Assumptions'!$A$1:$C$32,MATCH('Success Allocation'!DS$3,'Rate Assumptions'!$A$1:$A$32,0),MATCH($DR$1,'Rate Assumptions'!$A$1:$C$1,0))</f>
        <v>1718.8163772252606</v>
      </c>
      <c r="DT45" s="279">
        <f>INDEX('Rate Assumptions'!$A$1:$C$32,MATCH('Success Allocation'!DT$3,'Rate Assumptions'!$A$1:$A$32,0),MATCH($DR$1,'Rate Assumptions'!$A$1:$C$1,0))</f>
        <v>1718.8163772252606</v>
      </c>
      <c r="DU45" s="279">
        <f>INDEX('Rate Assumptions'!$A$1:$C$32,MATCH('Success Allocation'!DU$3,'Rate Assumptions'!$A$1:$A$32,0),MATCH($DR$1,'Rate Assumptions'!$A$1:$C$1,0))</f>
        <v>1145.8775848168405</v>
      </c>
      <c r="DV45" s="279">
        <f>INDEX('Rate Assumptions'!$A$1:$C$32,MATCH('Success Allocation'!DV$3,'Rate Assumptions'!$A$1:$A$32,0),MATCH($DR$1,'Rate Assumptions'!$A$1:$C$1,0))</f>
        <v>1145.8775848168405</v>
      </c>
      <c r="DW45" s="279">
        <f>INDEX('Rate Assumptions'!$A$1:$C$32,MATCH('Success Allocation'!DW$3,'Rate Assumptions'!$A$1:$A$32,0),MATCH($DR$1,'Rate Assumptions'!$A$1:$C$1,0))</f>
        <v>572.93879240842023</v>
      </c>
      <c r="DX45" s="279">
        <f>INDEX('Rate Assumptions'!$A$1:$C$32,MATCH('Success Allocation'!DX$3,'Rate Assumptions'!$A$1:$A$32,0),MATCH($DR$1,'Rate Assumptions'!$A$1:$C$1,0))</f>
        <v>859.40818861263028</v>
      </c>
      <c r="DY45" s="280">
        <f>INDEX('Rate Assumptions'!$A$1:$C$32,MATCH('Success Allocation'!DY$3,'Rate Assumptions'!$A$1:$A$32,0),MATCH($DR$1,'Rate Assumptions'!$A$1:$C$1,0))</f>
        <v>572.93879240842023</v>
      </c>
      <c r="DZ45" s="279">
        <f>INDEX('Rate Assumptions'!$A$1:$C$32,MATCH('Success Allocation'!DZ$3,'Rate Assumptions'!$A$1:$A$32,0),MATCH($DR$1,'Rate Assumptions'!$A$1:$C$1,0))</f>
        <v>866.31570658079204</v>
      </c>
      <c r="EA45" s="279">
        <f>INDEX('Rate Assumptions'!$A$1:$C$32,MATCH('Success Allocation'!EA$3,'Rate Assumptions'!$A$1:$A$32,0),MATCH($DR$1,'Rate Assumptions'!$A$1:$C$1,0))</f>
        <v>649.73677993559397</v>
      </c>
      <c r="EB45" s="279">
        <f>INDEX('Rate Assumptions'!$A$1:$C$32,MATCH('Success Allocation'!EB$3,'Rate Assumptions'!$A$1:$A$32,0),MATCH($DR$1,'Rate Assumptions'!$A$1:$C$1,0))</f>
        <v>649.73677993559397</v>
      </c>
      <c r="EC45" s="279">
        <f>INDEX('Rate Assumptions'!$A$1:$C$32,MATCH('Success Allocation'!EC$3,'Rate Assumptions'!$A$1:$A$32,0),MATCH($DR$1,'Rate Assumptions'!$A$1:$C$1,0))</f>
        <v>433.15785329039602</v>
      </c>
      <c r="ED45" s="279">
        <f>INDEX('Rate Assumptions'!$A$1:$C$32,MATCH('Success Allocation'!ED$3,'Rate Assumptions'!$A$1:$A$32,0),MATCH($DR$1,'Rate Assumptions'!$A$1:$C$1,0))</f>
        <v>433.15785329039602</v>
      </c>
      <c r="EE45" s="279">
        <f>INDEX('Rate Assumptions'!$A$1:$C$32,MATCH('Success Allocation'!EE$3,'Rate Assumptions'!$A$1:$A$32,0),MATCH($DR$1,'Rate Assumptions'!$A$1:$C$1,0))</f>
        <v>216.57892664519801</v>
      </c>
      <c r="EF45" s="279">
        <f>INDEX('Rate Assumptions'!$A$1:$C$32,MATCH('Success Allocation'!EF$3,'Rate Assumptions'!$A$1:$A$32,0),MATCH($DR$1,'Rate Assumptions'!$A$1:$C$1,0))</f>
        <v>324.86838996779699</v>
      </c>
      <c r="EG45" s="280">
        <f>INDEX('Rate Assumptions'!$A$1:$C$32,MATCH('Success Allocation'!EG$3,'Rate Assumptions'!$A$1:$A$32,0),MATCH($DR$1,'Rate Assumptions'!$A$1:$C$1,0))</f>
        <v>216.57892664519801</v>
      </c>
      <c r="EH45" s="279">
        <f>INDEX('Rate Assumptions'!$A$1:$C$32,MATCH('Success Allocation'!EH$3,'Rate Assumptions'!$A$1:$A$32,0),MATCH($DR$1,'Rate Assumptions'!$A$1:$C$1,0))</f>
        <v>577.54380438719465</v>
      </c>
      <c r="EI45" s="279">
        <f>INDEX('Rate Assumptions'!$A$1:$C$32,MATCH('Success Allocation'!EI$3,'Rate Assumptions'!$A$1:$A$32,0),MATCH($DR$1,'Rate Assumptions'!$A$1:$C$1,0))</f>
        <v>433.15785329039602</v>
      </c>
      <c r="EJ45" s="279">
        <f>INDEX('Rate Assumptions'!$A$1:$C$32,MATCH('Success Allocation'!EJ$3,'Rate Assumptions'!$A$1:$A$32,0),MATCH($DR$1,'Rate Assumptions'!$A$1:$C$1,0))</f>
        <v>433.15785329039602</v>
      </c>
      <c r="EK45" s="279">
        <f>INDEX('Rate Assumptions'!$A$1:$C$32,MATCH('Success Allocation'!EK$3,'Rate Assumptions'!$A$1:$A$32,0),MATCH($DR$1,'Rate Assumptions'!$A$1:$C$1,0))</f>
        <v>288.77190219359733</v>
      </c>
      <c r="EL45" s="279">
        <f>INDEX('Rate Assumptions'!$A$1:$C$32,MATCH('Success Allocation'!EL$3,'Rate Assumptions'!$A$1:$A$32,0),MATCH($DR$1,'Rate Assumptions'!$A$1:$C$1,0))</f>
        <v>288.77190219359733</v>
      </c>
      <c r="EM45" s="279">
        <f>INDEX('Rate Assumptions'!$A$1:$C$32,MATCH('Success Allocation'!EM$3,'Rate Assumptions'!$A$1:$A$32,0),MATCH($DR$1,'Rate Assumptions'!$A$1:$C$1,0))</f>
        <v>144.38595109679866</v>
      </c>
      <c r="EN45" s="279">
        <f>INDEX('Rate Assumptions'!$A$1:$C$32,MATCH('Success Allocation'!EN$3,'Rate Assumptions'!$A$1:$A$32,0),MATCH($DR$1,'Rate Assumptions'!$A$1:$C$1,0))</f>
        <v>216.57892664519801</v>
      </c>
      <c r="EO45" s="281">
        <f>INDEX('Rate Assumptions'!$A$1:$C$32,MATCH('Success Allocation'!EO$3,'Rate Assumptions'!$A$1:$A$32,0),MATCH($DR$1,'Rate Assumptions'!$A$1:$C$1,0))</f>
        <v>144.38595109679866</v>
      </c>
      <c r="EP45" s="170">
        <f t="shared" si="50"/>
        <v>10982377.751287805</v>
      </c>
    </row>
    <row r="46" spans="1:146">
      <c r="A46" s="223" t="s">
        <v>133</v>
      </c>
      <c r="B46" s="226">
        <v>970</v>
      </c>
      <c r="C46" s="226">
        <v>1495</v>
      </c>
      <c r="D46" s="226">
        <v>0</v>
      </c>
      <c r="E46" s="226">
        <v>336</v>
      </c>
      <c r="F46" s="226">
        <v>644</v>
      </c>
      <c r="G46" s="227">
        <v>3761</v>
      </c>
      <c r="H46" s="226">
        <v>2630</v>
      </c>
      <c r="I46" s="228">
        <v>7283</v>
      </c>
      <c r="J46" s="226">
        <v>454</v>
      </c>
      <c r="K46" s="226">
        <v>635</v>
      </c>
      <c r="L46" s="226">
        <v>0</v>
      </c>
      <c r="M46" s="226">
        <v>140</v>
      </c>
      <c r="N46" s="226">
        <v>264</v>
      </c>
      <c r="O46" s="227">
        <v>1085</v>
      </c>
      <c r="P46" s="226">
        <v>965</v>
      </c>
      <c r="Q46" s="228">
        <v>446</v>
      </c>
      <c r="R46" s="226">
        <v>703</v>
      </c>
      <c r="S46" s="226">
        <v>1085</v>
      </c>
      <c r="T46" s="226">
        <v>0</v>
      </c>
      <c r="U46" s="226">
        <v>266</v>
      </c>
      <c r="V46" s="226">
        <v>401</v>
      </c>
      <c r="W46" s="227">
        <v>2267</v>
      </c>
      <c r="X46" s="226">
        <v>1631</v>
      </c>
      <c r="Y46" s="234">
        <v>1279</v>
      </c>
      <c r="Z46" s="237">
        <v>1126</v>
      </c>
      <c r="AA46" s="237">
        <v>1450</v>
      </c>
      <c r="AB46" s="237">
        <v>0</v>
      </c>
      <c r="AC46" s="237">
        <v>341</v>
      </c>
      <c r="AD46" s="237">
        <v>747</v>
      </c>
      <c r="AE46" s="237">
        <v>3907</v>
      </c>
      <c r="AF46" s="237">
        <v>2415</v>
      </c>
      <c r="AG46" s="228">
        <v>6793</v>
      </c>
      <c r="AH46" s="237">
        <v>536</v>
      </c>
      <c r="AI46" s="237">
        <v>627</v>
      </c>
      <c r="AJ46" s="237">
        <v>0</v>
      </c>
      <c r="AK46" s="237">
        <v>132</v>
      </c>
      <c r="AL46" s="237">
        <v>285</v>
      </c>
      <c r="AM46" s="237">
        <v>1068</v>
      </c>
      <c r="AN46" s="237">
        <v>918</v>
      </c>
      <c r="AO46" s="228">
        <v>444</v>
      </c>
      <c r="AP46" s="237">
        <v>800</v>
      </c>
      <c r="AQ46" s="237">
        <v>1062</v>
      </c>
      <c r="AR46" s="237">
        <v>0</v>
      </c>
      <c r="AS46" s="237">
        <v>242</v>
      </c>
      <c r="AT46" s="237">
        <v>446</v>
      </c>
      <c r="AU46" s="238">
        <v>2157</v>
      </c>
      <c r="AV46" s="237">
        <v>1525</v>
      </c>
      <c r="AW46" s="234">
        <v>1336</v>
      </c>
      <c r="AX46" s="237"/>
      <c r="AY46" s="237"/>
      <c r="AZ46" s="237"/>
      <c r="BA46" s="237"/>
      <c r="BB46" s="237"/>
      <c r="BC46" s="237"/>
      <c r="BD46" s="237"/>
      <c r="BF46" s="237"/>
      <c r="BG46" s="237"/>
      <c r="BH46" s="237"/>
      <c r="BI46" s="237"/>
      <c r="BJ46" s="237"/>
      <c r="BK46" s="237"/>
      <c r="BL46" s="237"/>
      <c r="BN46" s="237"/>
      <c r="BO46" s="237"/>
      <c r="BP46" s="237"/>
      <c r="BQ46" s="237"/>
      <c r="BR46" s="237"/>
      <c r="BS46" s="238"/>
      <c r="BT46" s="237"/>
      <c r="BV46" s="264">
        <f t="shared" si="2"/>
        <v>1282</v>
      </c>
      <c r="BW46" s="264">
        <f t="shared" si="3"/>
        <v>1405</v>
      </c>
      <c r="BX46" s="264">
        <f t="shared" si="4"/>
        <v>0</v>
      </c>
      <c r="BY46" s="264">
        <f t="shared" si="5"/>
        <v>346</v>
      </c>
      <c r="BZ46" s="264">
        <f t="shared" si="6"/>
        <v>850</v>
      </c>
      <c r="CA46" s="264">
        <f t="shared" si="7"/>
        <v>4053</v>
      </c>
      <c r="CB46" s="264">
        <f t="shared" si="8"/>
        <v>2200</v>
      </c>
      <c r="CC46" s="265">
        <f t="shared" si="9"/>
        <v>6303</v>
      </c>
      <c r="CD46" s="264">
        <f t="shared" si="10"/>
        <v>618</v>
      </c>
      <c r="CE46" s="264">
        <f t="shared" si="11"/>
        <v>619</v>
      </c>
      <c r="CF46" s="264">
        <f t="shared" si="12"/>
        <v>0</v>
      </c>
      <c r="CG46" s="264">
        <f t="shared" si="13"/>
        <v>124</v>
      </c>
      <c r="CH46" s="264">
        <f t="shared" si="14"/>
        <v>306</v>
      </c>
      <c r="CI46" s="264">
        <f t="shared" si="15"/>
        <v>1051</v>
      </c>
      <c r="CJ46" s="264">
        <f t="shared" si="16"/>
        <v>871</v>
      </c>
      <c r="CK46" s="265">
        <f t="shared" si="17"/>
        <v>442</v>
      </c>
      <c r="CL46" s="264">
        <f t="shared" si="18"/>
        <v>897</v>
      </c>
      <c r="CM46" s="264">
        <f t="shared" si="19"/>
        <v>1039</v>
      </c>
      <c r="CN46" s="264">
        <f t="shared" si="20"/>
        <v>0</v>
      </c>
      <c r="CO46" s="264">
        <f t="shared" si="21"/>
        <v>218</v>
      </c>
      <c r="CP46" s="264">
        <f t="shared" si="22"/>
        <v>491</v>
      </c>
      <c r="CQ46" s="264">
        <f t="shared" si="23"/>
        <v>2047</v>
      </c>
      <c r="CR46" s="264">
        <f t="shared" si="24"/>
        <v>1419</v>
      </c>
      <c r="CS46" s="266">
        <f t="shared" si="25"/>
        <v>1393</v>
      </c>
      <c r="CT46" s="264">
        <f t="shared" si="26"/>
        <v>1126</v>
      </c>
      <c r="CU46" s="264">
        <f t="shared" si="27"/>
        <v>1450</v>
      </c>
      <c r="CV46" s="264">
        <f t="shared" si="28"/>
        <v>0</v>
      </c>
      <c r="CW46" s="264">
        <f t="shared" si="29"/>
        <v>341</v>
      </c>
      <c r="CX46" s="264">
        <f t="shared" si="30"/>
        <v>747</v>
      </c>
      <c r="CY46" s="264">
        <f t="shared" si="31"/>
        <v>3907</v>
      </c>
      <c r="CZ46" s="264">
        <f t="shared" si="32"/>
        <v>2415</v>
      </c>
      <c r="DA46" s="265">
        <f t="shared" si="33"/>
        <v>6793</v>
      </c>
      <c r="DB46" s="264">
        <f t="shared" si="34"/>
        <v>536</v>
      </c>
      <c r="DC46" s="264">
        <f t="shared" si="35"/>
        <v>627</v>
      </c>
      <c r="DD46" s="264">
        <f t="shared" si="36"/>
        <v>0</v>
      </c>
      <c r="DE46" s="264">
        <f t="shared" si="37"/>
        <v>132</v>
      </c>
      <c r="DF46" s="264">
        <f t="shared" si="38"/>
        <v>285</v>
      </c>
      <c r="DG46" s="264">
        <f t="shared" si="39"/>
        <v>1068</v>
      </c>
      <c r="DH46" s="264">
        <f t="shared" si="40"/>
        <v>918</v>
      </c>
      <c r="DI46" s="265">
        <f t="shared" si="41"/>
        <v>444</v>
      </c>
      <c r="DJ46" s="264">
        <f t="shared" si="42"/>
        <v>800</v>
      </c>
      <c r="DK46" s="264">
        <f t="shared" si="43"/>
        <v>1062</v>
      </c>
      <c r="DL46" s="264">
        <f t="shared" si="44"/>
        <v>0</v>
      </c>
      <c r="DM46" s="264">
        <f t="shared" si="45"/>
        <v>242</v>
      </c>
      <c r="DN46" s="264">
        <f t="shared" si="46"/>
        <v>446</v>
      </c>
      <c r="DO46" s="264">
        <f t="shared" si="47"/>
        <v>2157</v>
      </c>
      <c r="DP46" s="264">
        <f t="shared" si="48"/>
        <v>1525</v>
      </c>
      <c r="DQ46" s="266">
        <f t="shared" si="49"/>
        <v>1336</v>
      </c>
      <c r="DR46" s="279">
        <f>INDEX('Rate Assumptions'!$A$1:$C$32,MATCH('Success Allocation'!DR$3,'Rate Assumptions'!$A$1:$A$32,0),MATCH($DR$1,'Rate Assumptions'!$A$1:$C$1,0))</f>
        <v>2291.7551696336809</v>
      </c>
      <c r="DS46" s="279">
        <f>INDEX('Rate Assumptions'!$A$1:$C$32,MATCH('Success Allocation'!DS$3,'Rate Assumptions'!$A$1:$A$32,0),MATCH($DR$1,'Rate Assumptions'!$A$1:$C$1,0))</f>
        <v>1718.8163772252606</v>
      </c>
      <c r="DT46" s="279">
        <f>INDEX('Rate Assumptions'!$A$1:$C$32,MATCH('Success Allocation'!DT$3,'Rate Assumptions'!$A$1:$A$32,0),MATCH($DR$1,'Rate Assumptions'!$A$1:$C$1,0))</f>
        <v>1718.8163772252606</v>
      </c>
      <c r="DU46" s="279">
        <f>INDEX('Rate Assumptions'!$A$1:$C$32,MATCH('Success Allocation'!DU$3,'Rate Assumptions'!$A$1:$A$32,0),MATCH($DR$1,'Rate Assumptions'!$A$1:$C$1,0))</f>
        <v>1145.8775848168405</v>
      </c>
      <c r="DV46" s="279">
        <f>INDEX('Rate Assumptions'!$A$1:$C$32,MATCH('Success Allocation'!DV$3,'Rate Assumptions'!$A$1:$A$32,0),MATCH($DR$1,'Rate Assumptions'!$A$1:$C$1,0))</f>
        <v>1145.8775848168405</v>
      </c>
      <c r="DW46" s="279">
        <f>INDEX('Rate Assumptions'!$A$1:$C$32,MATCH('Success Allocation'!DW$3,'Rate Assumptions'!$A$1:$A$32,0),MATCH($DR$1,'Rate Assumptions'!$A$1:$C$1,0))</f>
        <v>572.93879240842023</v>
      </c>
      <c r="DX46" s="279">
        <f>INDEX('Rate Assumptions'!$A$1:$C$32,MATCH('Success Allocation'!DX$3,'Rate Assumptions'!$A$1:$A$32,0),MATCH($DR$1,'Rate Assumptions'!$A$1:$C$1,0))</f>
        <v>859.40818861263028</v>
      </c>
      <c r="DY46" s="280">
        <f>INDEX('Rate Assumptions'!$A$1:$C$32,MATCH('Success Allocation'!DY$3,'Rate Assumptions'!$A$1:$A$32,0),MATCH($DR$1,'Rate Assumptions'!$A$1:$C$1,0))</f>
        <v>572.93879240842023</v>
      </c>
      <c r="DZ46" s="279">
        <f>INDEX('Rate Assumptions'!$A$1:$C$32,MATCH('Success Allocation'!DZ$3,'Rate Assumptions'!$A$1:$A$32,0),MATCH($DR$1,'Rate Assumptions'!$A$1:$C$1,0))</f>
        <v>866.31570658079204</v>
      </c>
      <c r="EA46" s="279">
        <f>INDEX('Rate Assumptions'!$A$1:$C$32,MATCH('Success Allocation'!EA$3,'Rate Assumptions'!$A$1:$A$32,0),MATCH($DR$1,'Rate Assumptions'!$A$1:$C$1,0))</f>
        <v>649.73677993559397</v>
      </c>
      <c r="EB46" s="279">
        <f>INDEX('Rate Assumptions'!$A$1:$C$32,MATCH('Success Allocation'!EB$3,'Rate Assumptions'!$A$1:$A$32,0),MATCH($DR$1,'Rate Assumptions'!$A$1:$C$1,0))</f>
        <v>649.73677993559397</v>
      </c>
      <c r="EC46" s="279">
        <f>INDEX('Rate Assumptions'!$A$1:$C$32,MATCH('Success Allocation'!EC$3,'Rate Assumptions'!$A$1:$A$32,0),MATCH($DR$1,'Rate Assumptions'!$A$1:$C$1,0))</f>
        <v>433.15785329039602</v>
      </c>
      <c r="ED46" s="279">
        <f>INDEX('Rate Assumptions'!$A$1:$C$32,MATCH('Success Allocation'!ED$3,'Rate Assumptions'!$A$1:$A$32,0),MATCH($DR$1,'Rate Assumptions'!$A$1:$C$1,0))</f>
        <v>433.15785329039602</v>
      </c>
      <c r="EE46" s="279">
        <f>INDEX('Rate Assumptions'!$A$1:$C$32,MATCH('Success Allocation'!EE$3,'Rate Assumptions'!$A$1:$A$32,0),MATCH($DR$1,'Rate Assumptions'!$A$1:$C$1,0))</f>
        <v>216.57892664519801</v>
      </c>
      <c r="EF46" s="279">
        <f>INDEX('Rate Assumptions'!$A$1:$C$32,MATCH('Success Allocation'!EF$3,'Rate Assumptions'!$A$1:$A$32,0),MATCH($DR$1,'Rate Assumptions'!$A$1:$C$1,0))</f>
        <v>324.86838996779699</v>
      </c>
      <c r="EG46" s="280">
        <f>INDEX('Rate Assumptions'!$A$1:$C$32,MATCH('Success Allocation'!EG$3,'Rate Assumptions'!$A$1:$A$32,0),MATCH($DR$1,'Rate Assumptions'!$A$1:$C$1,0))</f>
        <v>216.57892664519801</v>
      </c>
      <c r="EH46" s="279">
        <f>INDEX('Rate Assumptions'!$A$1:$C$32,MATCH('Success Allocation'!EH$3,'Rate Assumptions'!$A$1:$A$32,0),MATCH($DR$1,'Rate Assumptions'!$A$1:$C$1,0))</f>
        <v>577.54380438719465</v>
      </c>
      <c r="EI46" s="279">
        <f>INDEX('Rate Assumptions'!$A$1:$C$32,MATCH('Success Allocation'!EI$3,'Rate Assumptions'!$A$1:$A$32,0),MATCH($DR$1,'Rate Assumptions'!$A$1:$C$1,0))</f>
        <v>433.15785329039602</v>
      </c>
      <c r="EJ46" s="279">
        <f>INDEX('Rate Assumptions'!$A$1:$C$32,MATCH('Success Allocation'!EJ$3,'Rate Assumptions'!$A$1:$A$32,0),MATCH($DR$1,'Rate Assumptions'!$A$1:$C$1,0))</f>
        <v>433.15785329039602</v>
      </c>
      <c r="EK46" s="279">
        <f>INDEX('Rate Assumptions'!$A$1:$C$32,MATCH('Success Allocation'!EK$3,'Rate Assumptions'!$A$1:$A$32,0),MATCH($DR$1,'Rate Assumptions'!$A$1:$C$1,0))</f>
        <v>288.77190219359733</v>
      </c>
      <c r="EL46" s="279">
        <f>INDEX('Rate Assumptions'!$A$1:$C$32,MATCH('Success Allocation'!EL$3,'Rate Assumptions'!$A$1:$A$32,0),MATCH($DR$1,'Rate Assumptions'!$A$1:$C$1,0))</f>
        <v>288.77190219359733</v>
      </c>
      <c r="EM46" s="279">
        <f>INDEX('Rate Assumptions'!$A$1:$C$32,MATCH('Success Allocation'!EM$3,'Rate Assumptions'!$A$1:$A$32,0),MATCH($DR$1,'Rate Assumptions'!$A$1:$C$1,0))</f>
        <v>144.38595109679866</v>
      </c>
      <c r="EN46" s="279">
        <f>INDEX('Rate Assumptions'!$A$1:$C$32,MATCH('Success Allocation'!EN$3,'Rate Assumptions'!$A$1:$A$32,0),MATCH($DR$1,'Rate Assumptions'!$A$1:$C$1,0))</f>
        <v>216.57892664519801</v>
      </c>
      <c r="EO46" s="281">
        <f>INDEX('Rate Assumptions'!$A$1:$C$32,MATCH('Success Allocation'!EO$3,'Rate Assumptions'!$A$1:$A$32,0),MATCH($DR$1,'Rate Assumptions'!$A$1:$C$1,0))</f>
        <v>144.38595109679866</v>
      </c>
      <c r="EP46" s="170">
        <f t="shared" si="50"/>
        <v>18254489.882989179</v>
      </c>
    </row>
    <row r="47" spans="1:146">
      <c r="A47" s="223" t="s">
        <v>134</v>
      </c>
      <c r="B47" s="226">
        <v>56</v>
      </c>
      <c r="C47" s="226">
        <v>326</v>
      </c>
      <c r="D47" s="226">
        <v>0</v>
      </c>
      <c r="E47" s="226">
        <v>116</v>
      </c>
      <c r="F47" s="226">
        <v>56</v>
      </c>
      <c r="G47" s="227">
        <v>746</v>
      </c>
      <c r="H47" s="226">
        <v>394</v>
      </c>
      <c r="I47" s="228">
        <v>928</v>
      </c>
      <c r="J47" s="226">
        <v>35</v>
      </c>
      <c r="K47" s="226">
        <v>227</v>
      </c>
      <c r="L47" s="226">
        <v>0</v>
      </c>
      <c r="M47" s="226">
        <v>65</v>
      </c>
      <c r="N47" s="226">
        <v>31</v>
      </c>
      <c r="O47" s="227">
        <v>432</v>
      </c>
      <c r="P47" s="226">
        <v>198</v>
      </c>
      <c r="Q47" s="228">
        <v>356</v>
      </c>
      <c r="R47" s="226">
        <v>43</v>
      </c>
      <c r="S47" s="226">
        <v>281</v>
      </c>
      <c r="T47" s="226">
        <v>0</v>
      </c>
      <c r="U47" s="226">
        <v>85</v>
      </c>
      <c r="V47" s="226">
        <v>41</v>
      </c>
      <c r="W47" s="227">
        <v>563</v>
      </c>
      <c r="X47" s="226">
        <v>269</v>
      </c>
      <c r="Y47" s="234">
        <v>537</v>
      </c>
      <c r="Z47" s="237">
        <v>72</v>
      </c>
      <c r="AA47" s="237">
        <v>339</v>
      </c>
      <c r="AB47" s="237">
        <v>0</v>
      </c>
      <c r="AC47" s="237">
        <v>88</v>
      </c>
      <c r="AD47" s="237">
        <v>54</v>
      </c>
      <c r="AE47" s="237">
        <v>737</v>
      </c>
      <c r="AF47" s="237">
        <v>477</v>
      </c>
      <c r="AG47" s="228">
        <v>912</v>
      </c>
      <c r="AH47" s="237">
        <v>48</v>
      </c>
      <c r="AI47" s="237">
        <v>224</v>
      </c>
      <c r="AJ47" s="237">
        <v>0</v>
      </c>
      <c r="AK47" s="237">
        <v>36</v>
      </c>
      <c r="AL47" s="237">
        <v>26</v>
      </c>
      <c r="AM47" s="237">
        <v>406</v>
      </c>
      <c r="AN47" s="237">
        <v>238</v>
      </c>
      <c r="AO47" s="228">
        <v>351</v>
      </c>
      <c r="AP47" s="237">
        <v>59</v>
      </c>
      <c r="AQ47" s="237">
        <v>276</v>
      </c>
      <c r="AR47" s="237">
        <v>0</v>
      </c>
      <c r="AS47" s="237">
        <v>47</v>
      </c>
      <c r="AT47" s="237">
        <v>36</v>
      </c>
      <c r="AU47" s="238">
        <v>544</v>
      </c>
      <c r="AV47" s="237">
        <v>332</v>
      </c>
      <c r="AW47" s="234">
        <v>532</v>
      </c>
      <c r="AX47" s="237"/>
      <c r="AY47" s="237"/>
      <c r="AZ47" s="237"/>
      <c r="BA47" s="237"/>
      <c r="BB47" s="237"/>
      <c r="BC47" s="237"/>
      <c r="BD47" s="237"/>
      <c r="BF47" s="237"/>
      <c r="BG47" s="237"/>
      <c r="BH47" s="237"/>
      <c r="BI47" s="237"/>
      <c r="BJ47" s="237"/>
      <c r="BK47" s="237"/>
      <c r="BL47" s="237"/>
      <c r="BN47" s="237"/>
      <c r="BO47" s="237"/>
      <c r="BP47" s="237"/>
      <c r="BQ47" s="237"/>
      <c r="BR47" s="237"/>
      <c r="BS47" s="238"/>
      <c r="BT47" s="237"/>
      <c r="BV47" s="264">
        <f t="shared" si="2"/>
        <v>88</v>
      </c>
      <c r="BW47" s="264">
        <f t="shared" si="3"/>
        <v>352</v>
      </c>
      <c r="BX47" s="264">
        <f t="shared" si="4"/>
        <v>0</v>
      </c>
      <c r="BY47" s="264">
        <f t="shared" si="5"/>
        <v>60</v>
      </c>
      <c r="BZ47" s="264">
        <f t="shared" si="6"/>
        <v>52</v>
      </c>
      <c r="CA47" s="264">
        <f t="shared" si="7"/>
        <v>728</v>
      </c>
      <c r="CB47" s="264">
        <f t="shared" si="8"/>
        <v>560</v>
      </c>
      <c r="CC47" s="265">
        <f t="shared" si="9"/>
        <v>896</v>
      </c>
      <c r="CD47" s="264">
        <f t="shared" si="10"/>
        <v>61</v>
      </c>
      <c r="CE47" s="264">
        <f t="shared" si="11"/>
        <v>221</v>
      </c>
      <c r="CF47" s="264">
        <f t="shared" si="12"/>
        <v>0</v>
      </c>
      <c r="CG47" s="264">
        <f t="shared" si="13"/>
        <v>7</v>
      </c>
      <c r="CH47" s="264">
        <f t="shared" si="14"/>
        <v>21</v>
      </c>
      <c r="CI47" s="264">
        <f t="shared" si="15"/>
        <v>380</v>
      </c>
      <c r="CJ47" s="264">
        <f t="shared" si="16"/>
        <v>278</v>
      </c>
      <c r="CK47" s="265">
        <f t="shared" si="17"/>
        <v>346</v>
      </c>
      <c r="CL47" s="264">
        <f t="shared" si="18"/>
        <v>75</v>
      </c>
      <c r="CM47" s="264">
        <f t="shared" si="19"/>
        <v>271</v>
      </c>
      <c r="CN47" s="264">
        <f t="shared" si="20"/>
        <v>0</v>
      </c>
      <c r="CO47" s="264">
        <f t="shared" si="21"/>
        <v>9</v>
      </c>
      <c r="CP47" s="264">
        <f t="shared" si="22"/>
        <v>31</v>
      </c>
      <c r="CQ47" s="264">
        <f t="shared" si="23"/>
        <v>525</v>
      </c>
      <c r="CR47" s="264">
        <f t="shared" si="24"/>
        <v>395</v>
      </c>
      <c r="CS47" s="266">
        <f t="shared" si="25"/>
        <v>527</v>
      </c>
      <c r="CT47" s="264">
        <f t="shared" si="26"/>
        <v>72</v>
      </c>
      <c r="CU47" s="264">
        <f t="shared" si="27"/>
        <v>339</v>
      </c>
      <c r="CV47" s="264">
        <f t="shared" si="28"/>
        <v>0</v>
      </c>
      <c r="CW47" s="264">
        <f t="shared" si="29"/>
        <v>88</v>
      </c>
      <c r="CX47" s="264">
        <f t="shared" si="30"/>
        <v>54</v>
      </c>
      <c r="CY47" s="264">
        <f t="shared" si="31"/>
        <v>737</v>
      </c>
      <c r="CZ47" s="264">
        <f t="shared" si="32"/>
        <v>477</v>
      </c>
      <c r="DA47" s="265">
        <f t="shared" si="33"/>
        <v>912</v>
      </c>
      <c r="DB47" s="264">
        <f t="shared" si="34"/>
        <v>48</v>
      </c>
      <c r="DC47" s="264">
        <f t="shared" si="35"/>
        <v>224</v>
      </c>
      <c r="DD47" s="264">
        <f t="shared" si="36"/>
        <v>0</v>
      </c>
      <c r="DE47" s="264">
        <f t="shared" si="37"/>
        <v>36</v>
      </c>
      <c r="DF47" s="264">
        <f t="shared" si="38"/>
        <v>26</v>
      </c>
      <c r="DG47" s="264">
        <f t="shared" si="39"/>
        <v>406</v>
      </c>
      <c r="DH47" s="264">
        <f t="shared" si="40"/>
        <v>238</v>
      </c>
      <c r="DI47" s="265">
        <f t="shared" si="41"/>
        <v>351</v>
      </c>
      <c r="DJ47" s="264">
        <f t="shared" si="42"/>
        <v>59</v>
      </c>
      <c r="DK47" s="264">
        <f t="shared" si="43"/>
        <v>276</v>
      </c>
      <c r="DL47" s="264">
        <f t="shared" si="44"/>
        <v>0</v>
      </c>
      <c r="DM47" s="264">
        <f t="shared" si="45"/>
        <v>47</v>
      </c>
      <c r="DN47" s="264">
        <f t="shared" si="46"/>
        <v>36</v>
      </c>
      <c r="DO47" s="264">
        <f t="shared" si="47"/>
        <v>544</v>
      </c>
      <c r="DP47" s="264">
        <f t="shared" si="48"/>
        <v>332</v>
      </c>
      <c r="DQ47" s="266">
        <f t="shared" si="49"/>
        <v>532</v>
      </c>
      <c r="DR47" s="279">
        <f>INDEX('Rate Assumptions'!$A$1:$C$32,MATCH('Success Allocation'!DR$3,'Rate Assumptions'!$A$1:$A$32,0),MATCH($DR$1,'Rate Assumptions'!$A$1:$C$1,0))</f>
        <v>2291.7551696336809</v>
      </c>
      <c r="DS47" s="279">
        <f>INDEX('Rate Assumptions'!$A$1:$C$32,MATCH('Success Allocation'!DS$3,'Rate Assumptions'!$A$1:$A$32,0),MATCH($DR$1,'Rate Assumptions'!$A$1:$C$1,0))</f>
        <v>1718.8163772252606</v>
      </c>
      <c r="DT47" s="279">
        <f>INDEX('Rate Assumptions'!$A$1:$C$32,MATCH('Success Allocation'!DT$3,'Rate Assumptions'!$A$1:$A$32,0),MATCH($DR$1,'Rate Assumptions'!$A$1:$C$1,0))</f>
        <v>1718.8163772252606</v>
      </c>
      <c r="DU47" s="279">
        <f>INDEX('Rate Assumptions'!$A$1:$C$32,MATCH('Success Allocation'!DU$3,'Rate Assumptions'!$A$1:$A$32,0),MATCH($DR$1,'Rate Assumptions'!$A$1:$C$1,0))</f>
        <v>1145.8775848168405</v>
      </c>
      <c r="DV47" s="279">
        <f>INDEX('Rate Assumptions'!$A$1:$C$32,MATCH('Success Allocation'!DV$3,'Rate Assumptions'!$A$1:$A$32,0),MATCH($DR$1,'Rate Assumptions'!$A$1:$C$1,0))</f>
        <v>1145.8775848168405</v>
      </c>
      <c r="DW47" s="279">
        <f>INDEX('Rate Assumptions'!$A$1:$C$32,MATCH('Success Allocation'!DW$3,'Rate Assumptions'!$A$1:$A$32,0),MATCH($DR$1,'Rate Assumptions'!$A$1:$C$1,0))</f>
        <v>572.93879240842023</v>
      </c>
      <c r="DX47" s="279">
        <f>INDEX('Rate Assumptions'!$A$1:$C$32,MATCH('Success Allocation'!DX$3,'Rate Assumptions'!$A$1:$A$32,0),MATCH($DR$1,'Rate Assumptions'!$A$1:$C$1,0))</f>
        <v>859.40818861263028</v>
      </c>
      <c r="DY47" s="280">
        <f>INDEX('Rate Assumptions'!$A$1:$C$32,MATCH('Success Allocation'!DY$3,'Rate Assumptions'!$A$1:$A$32,0),MATCH($DR$1,'Rate Assumptions'!$A$1:$C$1,0))</f>
        <v>572.93879240842023</v>
      </c>
      <c r="DZ47" s="279">
        <f>INDEX('Rate Assumptions'!$A$1:$C$32,MATCH('Success Allocation'!DZ$3,'Rate Assumptions'!$A$1:$A$32,0),MATCH($DR$1,'Rate Assumptions'!$A$1:$C$1,0))</f>
        <v>866.31570658079204</v>
      </c>
      <c r="EA47" s="279">
        <f>INDEX('Rate Assumptions'!$A$1:$C$32,MATCH('Success Allocation'!EA$3,'Rate Assumptions'!$A$1:$A$32,0),MATCH($DR$1,'Rate Assumptions'!$A$1:$C$1,0))</f>
        <v>649.73677993559397</v>
      </c>
      <c r="EB47" s="279">
        <f>INDEX('Rate Assumptions'!$A$1:$C$32,MATCH('Success Allocation'!EB$3,'Rate Assumptions'!$A$1:$A$32,0),MATCH($DR$1,'Rate Assumptions'!$A$1:$C$1,0))</f>
        <v>649.73677993559397</v>
      </c>
      <c r="EC47" s="279">
        <f>INDEX('Rate Assumptions'!$A$1:$C$32,MATCH('Success Allocation'!EC$3,'Rate Assumptions'!$A$1:$A$32,0),MATCH($DR$1,'Rate Assumptions'!$A$1:$C$1,0))</f>
        <v>433.15785329039602</v>
      </c>
      <c r="ED47" s="279">
        <f>INDEX('Rate Assumptions'!$A$1:$C$32,MATCH('Success Allocation'!ED$3,'Rate Assumptions'!$A$1:$A$32,0),MATCH($DR$1,'Rate Assumptions'!$A$1:$C$1,0))</f>
        <v>433.15785329039602</v>
      </c>
      <c r="EE47" s="279">
        <f>INDEX('Rate Assumptions'!$A$1:$C$32,MATCH('Success Allocation'!EE$3,'Rate Assumptions'!$A$1:$A$32,0),MATCH($DR$1,'Rate Assumptions'!$A$1:$C$1,0))</f>
        <v>216.57892664519801</v>
      </c>
      <c r="EF47" s="279">
        <f>INDEX('Rate Assumptions'!$A$1:$C$32,MATCH('Success Allocation'!EF$3,'Rate Assumptions'!$A$1:$A$32,0),MATCH($DR$1,'Rate Assumptions'!$A$1:$C$1,0))</f>
        <v>324.86838996779699</v>
      </c>
      <c r="EG47" s="280">
        <f>INDEX('Rate Assumptions'!$A$1:$C$32,MATCH('Success Allocation'!EG$3,'Rate Assumptions'!$A$1:$A$32,0),MATCH($DR$1,'Rate Assumptions'!$A$1:$C$1,0))</f>
        <v>216.57892664519801</v>
      </c>
      <c r="EH47" s="279">
        <f>INDEX('Rate Assumptions'!$A$1:$C$32,MATCH('Success Allocation'!EH$3,'Rate Assumptions'!$A$1:$A$32,0),MATCH($DR$1,'Rate Assumptions'!$A$1:$C$1,0))</f>
        <v>577.54380438719465</v>
      </c>
      <c r="EI47" s="279">
        <f>INDEX('Rate Assumptions'!$A$1:$C$32,MATCH('Success Allocation'!EI$3,'Rate Assumptions'!$A$1:$A$32,0),MATCH($DR$1,'Rate Assumptions'!$A$1:$C$1,0))</f>
        <v>433.15785329039602</v>
      </c>
      <c r="EJ47" s="279">
        <f>INDEX('Rate Assumptions'!$A$1:$C$32,MATCH('Success Allocation'!EJ$3,'Rate Assumptions'!$A$1:$A$32,0),MATCH($DR$1,'Rate Assumptions'!$A$1:$C$1,0))</f>
        <v>433.15785329039602</v>
      </c>
      <c r="EK47" s="279">
        <f>INDEX('Rate Assumptions'!$A$1:$C$32,MATCH('Success Allocation'!EK$3,'Rate Assumptions'!$A$1:$A$32,0),MATCH($DR$1,'Rate Assumptions'!$A$1:$C$1,0))</f>
        <v>288.77190219359733</v>
      </c>
      <c r="EL47" s="279">
        <f>INDEX('Rate Assumptions'!$A$1:$C$32,MATCH('Success Allocation'!EL$3,'Rate Assumptions'!$A$1:$A$32,0),MATCH($DR$1,'Rate Assumptions'!$A$1:$C$1,0))</f>
        <v>288.77190219359733</v>
      </c>
      <c r="EM47" s="279">
        <f>INDEX('Rate Assumptions'!$A$1:$C$32,MATCH('Success Allocation'!EM$3,'Rate Assumptions'!$A$1:$A$32,0),MATCH($DR$1,'Rate Assumptions'!$A$1:$C$1,0))</f>
        <v>144.38595109679866</v>
      </c>
      <c r="EN47" s="279">
        <f>INDEX('Rate Assumptions'!$A$1:$C$32,MATCH('Success Allocation'!EN$3,'Rate Assumptions'!$A$1:$A$32,0),MATCH($DR$1,'Rate Assumptions'!$A$1:$C$1,0))</f>
        <v>216.57892664519801</v>
      </c>
      <c r="EO47" s="281">
        <f>INDEX('Rate Assumptions'!$A$1:$C$32,MATCH('Success Allocation'!EO$3,'Rate Assumptions'!$A$1:$A$32,0),MATCH($DR$1,'Rate Assumptions'!$A$1:$C$1,0))</f>
        <v>144.38595109679866</v>
      </c>
      <c r="EP47" s="170">
        <f t="shared" si="50"/>
        <v>3212567.6494568428</v>
      </c>
    </row>
    <row r="48" spans="1:146">
      <c r="A48" s="223" t="s">
        <v>135</v>
      </c>
      <c r="B48" s="226">
        <v>488</v>
      </c>
      <c r="C48" s="226">
        <v>526</v>
      </c>
      <c r="D48" s="226">
        <v>0</v>
      </c>
      <c r="E48" s="226">
        <v>79</v>
      </c>
      <c r="F48" s="226">
        <v>113</v>
      </c>
      <c r="G48" s="227">
        <v>2025</v>
      </c>
      <c r="H48" s="226">
        <v>1062</v>
      </c>
      <c r="I48" s="228">
        <v>2957</v>
      </c>
      <c r="J48" s="226">
        <v>324</v>
      </c>
      <c r="K48" s="226">
        <v>322</v>
      </c>
      <c r="L48" s="226">
        <v>0</v>
      </c>
      <c r="M48" s="226">
        <v>41</v>
      </c>
      <c r="N48" s="226">
        <v>54</v>
      </c>
      <c r="O48" s="227">
        <v>1069</v>
      </c>
      <c r="P48" s="226">
        <v>561</v>
      </c>
      <c r="Q48" s="228">
        <v>590</v>
      </c>
      <c r="R48" s="226">
        <v>417</v>
      </c>
      <c r="S48" s="226">
        <v>429</v>
      </c>
      <c r="T48" s="226">
        <v>0</v>
      </c>
      <c r="U48" s="226">
        <v>61</v>
      </c>
      <c r="V48" s="226">
        <v>80</v>
      </c>
      <c r="W48" s="227">
        <v>1516</v>
      </c>
      <c r="X48" s="226">
        <v>770</v>
      </c>
      <c r="Y48" s="234">
        <v>943</v>
      </c>
      <c r="Z48" s="237">
        <v>553</v>
      </c>
      <c r="AA48" s="237">
        <v>596</v>
      </c>
      <c r="AB48" s="237">
        <v>0</v>
      </c>
      <c r="AC48" s="237">
        <v>374</v>
      </c>
      <c r="AD48" s="237">
        <v>215</v>
      </c>
      <c r="AE48" s="237">
        <v>1972</v>
      </c>
      <c r="AF48" s="237">
        <v>1114</v>
      </c>
      <c r="AG48" s="228">
        <v>3046</v>
      </c>
      <c r="AH48" s="237">
        <v>375</v>
      </c>
      <c r="AI48" s="237">
        <v>368</v>
      </c>
      <c r="AJ48" s="237">
        <v>0</v>
      </c>
      <c r="AK48" s="237">
        <v>212</v>
      </c>
      <c r="AL48" s="237">
        <v>122</v>
      </c>
      <c r="AM48" s="237">
        <v>1019</v>
      </c>
      <c r="AN48" s="237">
        <v>615</v>
      </c>
      <c r="AO48" s="228">
        <v>621</v>
      </c>
      <c r="AP48" s="237">
        <v>485</v>
      </c>
      <c r="AQ48" s="237">
        <v>504</v>
      </c>
      <c r="AR48" s="237">
        <v>0</v>
      </c>
      <c r="AS48" s="237">
        <v>291</v>
      </c>
      <c r="AT48" s="237">
        <v>179</v>
      </c>
      <c r="AU48" s="238">
        <v>1459</v>
      </c>
      <c r="AV48" s="237">
        <v>827</v>
      </c>
      <c r="AW48" s="234">
        <v>1049</v>
      </c>
      <c r="AX48" s="237"/>
      <c r="AY48" s="237"/>
      <c r="AZ48" s="237"/>
      <c r="BA48" s="237"/>
      <c r="BB48" s="237"/>
      <c r="BC48" s="237"/>
      <c r="BD48" s="237"/>
      <c r="BF48" s="237"/>
      <c r="BG48" s="237"/>
      <c r="BH48" s="237"/>
      <c r="BI48" s="237"/>
      <c r="BJ48" s="237"/>
      <c r="BK48" s="237"/>
      <c r="BL48" s="237"/>
      <c r="BN48" s="237"/>
      <c r="BO48" s="237"/>
      <c r="BP48" s="237"/>
      <c r="BQ48" s="237"/>
      <c r="BR48" s="237"/>
      <c r="BS48" s="238"/>
      <c r="BT48" s="237"/>
      <c r="BV48" s="264">
        <f t="shared" si="2"/>
        <v>618</v>
      </c>
      <c r="BW48" s="264">
        <f t="shared" si="3"/>
        <v>666</v>
      </c>
      <c r="BX48" s="264">
        <f t="shared" si="4"/>
        <v>0</v>
      </c>
      <c r="BY48" s="264">
        <f t="shared" si="5"/>
        <v>669</v>
      </c>
      <c r="BZ48" s="264">
        <f t="shared" si="6"/>
        <v>317</v>
      </c>
      <c r="CA48" s="264">
        <f t="shared" si="7"/>
        <v>1919</v>
      </c>
      <c r="CB48" s="264">
        <f t="shared" si="8"/>
        <v>1166</v>
      </c>
      <c r="CC48" s="265">
        <f t="shared" si="9"/>
        <v>3135</v>
      </c>
      <c r="CD48" s="264">
        <f t="shared" si="10"/>
        <v>426</v>
      </c>
      <c r="CE48" s="264">
        <f t="shared" si="11"/>
        <v>414</v>
      </c>
      <c r="CF48" s="264">
        <f t="shared" si="12"/>
        <v>0</v>
      </c>
      <c r="CG48" s="264">
        <f t="shared" si="13"/>
        <v>383</v>
      </c>
      <c r="CH48" s="264">
        <f t="shared" si="14"/>
        <v>190</v>
      </c>
      <c r="CI48" s="264">
        <f t="shared" si="15"/>
        <v>969</v>
      </c>
      <c r="CJ48" s="264">
        <f t="shared" si="16"/>
        <v>669</v>
      </c>
      <c r="CK48" s="265">
        <f t="shared" si="17"/>
        <v>652</v>
      </c>
      <c r="CL48" s="264">
        <f t="shared" si="18"/>
        <v>553</v>
      </c>
      <c r="CM48" s="264">
        <f t="shared" si="19"/>
        <v>579</v>
      </c>
      <c r="CN48" s="264">
        <f t="shared" si="20"/>
        <v>0</v>
      </c>
      <c r="CO48" s="264">
        <f t="shared" si="21"/>
        <v>521</v>
      </c>
      <c r="CP48" s="264">
        <f t="shared" si="22"/>
        <v>278</v>
      </c>
      <c r="CQ48" s="264">
        <f t="shared" si="23"/>
        <v>1402</v>
      </c>
      <c r="CR48" s="264">
        <f t="shared" si="24"/>
        <v>884</v>
      </c>
      <c r="CS48" s="266">
        <f t="shared" si="25"/>
        <v>1155</v>
      </c>
      <c r="CT48" s="264">
        <f t="shared" si="26"/>
        <v>553</v>
      </c>
      <c r="CU48" s="264">
        <f t="shared" si="27"/>
        <v>596</v>
      </c>
      <c r="CV48" s="264">
        <f t="shared" si="28"/>
        <v>0</v>
      </c>
      <c r="CW48" s="264">
        <f t="shared" si="29"/>
        <v>374</v>
      </c>
      <c r="CX48" s="264">
        <f t="shared" si="30"/>
        <v>215</v>
      </c>
      <c r="CY48" s="264">
        <f t="shared" si="31"/>
        <v>1972</v>
      </c>
      <c r="CZ48" s="264">
        <f t="shared" si="32"/>
        <v>1114</v>
      </c>
      <c r="DA48" s="265">
        <f t="shared" si="33"/>
        <v>3046</v>
      </c>
      <c r="DB48" s="264">
        <f t="shared" si="34"/>
        <v>375</v>
      </c>
      <c r="DC48" s="264">
        <f t="shared" si="35"/>
        <v>368</v>
      </c>
      <c r="DD48" s="264">
        <f t="shared" si="36"/>
        <v>0</v>
      </c>
      <c r="DE48" s="264">
        <f t="shared" si="37"/>
        <v>212</v>
      </c>
      <c r="DF48" s="264">
        <f t="shared" si="38"/>
        <v>122</v>
      </c>
      <c r="DG48" s="264">
        <f t="shared" si="39"/>
        <v>1019</v>
      </c>
      <c r="DH48" s="264">
        <f t="shared" si="40"/>
        <v>615</v>
      </c>
      <c r="DI48" s="265">
        <f t="shared" si="41"/>
        <v>621</v>
      </c>
      <c r="DJ48" s="264">
        <f t="shared" si="42"/>
        <v>485</v>
      </c>
      <c r="DK48" s="264">
        <f t="shared" si="43"/>
        <v>504</v>
      </c>
      <c r="DL48" s="264">
        <f t="shared" si="44"/>
        <v>0</v>
      </c>
      <c r="DM48" s="264">
        <f t="shared" si="45"/>
        <v>291</v>
      </c>
      <c r="DN48" s="264">
        <f t="shared" si="46"/>
        <v>179</v>
      </c>
      <c r="DO48" s="264">
        <f t="shared" si="47"/>
        <v>1459</v>
      </c>
      <c r="DP48" s="264">
        <f t="shared" si="48"/>
        <v>827</v>
      </c>
      <c r="DQ48" s="266">
        <f t="shared" si="49"/>
        <v>1049</v>
      </c>
      <c r="DR48" s="279">
        <f>INDEX('Rate Assumptions'!$A$1:$C$32,MATCH('Success Allocation'!DR$3,'Rate Assumptions'!$A$1:$A$32,0),MATCH($DR$1,'Rate Assumptions'!$A$1:$C$1,0))</f>
        <v>2291.7551696336809</v>
      </c>
      <c r="DS48" s="279">
        <f>INDEX('Rate Assumptions'!$A$1:$C$32,MATCH('Success Allocation'!DS$3,'Rate Assumptions'!$A$1:$A$32,0),MATCH($DR$1,'Rate Assumptions'!$A$1:$C$1,0))</f>
        <v>1718.8163772252606</v>
      </c>
      <c r="DT48" s="279">
        <f>INDEX('Rate Assumptions'!$A$1:$C$32,MATCH('Success Allocation'!DT$3,'Rate Assumptions'!$A$1:$A$32,0),MATCH($DR$1,'Rate Assumptions'!$A$1:$C$1,0))</f>
        <v>1718.8163772252606</v>
      </c>
      <c r="DU48" s="279">
        <f>INDEX('Rate Assumptions'!$A$1:$C$32,MATCH('Success Allocation'!DU$3,'Rate Assumptions'!$A$1:$A$32,0),MATCH($DR$1,'Rate Assumptions'!$A$1:$C$1,0))</f>
        <v>1145.8775848168405</v>
      </c>
      <c r="DV48" s="279">
        <f>INDEX('Rate Assumptions'!$A$1:$C$32,MATCH('Success Allocation'!DV$3,'Rate Assumptions'!$A$1:$A$32,0),MATCH($DR$1,'Rate Assumptions'!$A$1:$C$1,0))</f>
        <v>1145.8775848168405</v>
      </c>
      <c r="DW48" s="279">
        <f>INDEX('Rate Assumptions'!$A$1:$C$32,MATCH('Success Allocation'!DW$3,'Rate Assumptions'!$A$1:$A$32,0),MATCH($DR$1,'Rate Assumptions'!$A$1:$C$1,0))</f>
        <v>572.93879240842023</v>
      </c>
      <c r="DX48" s="279">
        <f>INDEX('Rate Assumptions'!$A$1:$C$32,MATCH('Success Allocation'!DX$3,'Rate Assumptions'!$A$1:$A$32,0),MATCH($DR$1,'Rate Assumptions'!$A$1:$C$1,0))</f>
        <v>859.40818861263028</v>
      </c>
      <c r="DY48" s="280">
        <f>INDEX('Rate Assumptions'!$A$1:$C$32,MATCH('Success Allocation'!DY$3,'Rate Assumptions'!$A$1:$A$32,0),MATCH($DR$1,'Rate Assumptions'!$A$1:$C$1,0))</f>
        <v>572.93879240842023</v>
      </c>
      <c r="DZ48" s="279">
        <f>INDEX('Rate Assumptions'!$A$1:$C$32,MATCH('Success Allocation'!DZ$3,'Rate Assumptions'!$A$1:$A$32,0),MATCH($DR$1,'Rate Assumptions'!$A$1:$C$1,0))</f>
        <v>866.31570658079204</v>
      </c>
      <c r="EA48" s="279">
        <f>INDEX('Rate Assumptions'!$A$1:$C$32,MATCH('Success Allocation'!EA$3,'Rate Assumptions'!$A$1:$A$32,0),MATCH($DR$1,'Rate Assumptions'!$A$1:$C$1,0))</f>
        <v>649.73677993559397</v>
      </c>
      <c r="EB48" s="279">
        <f>INDEX('Rate Assumptions'!$A$1:$C$32,MATCH('Success Allocation'!EB$3,'Rate Assumptions'!$A$1:$A$32,0),MATCH($DR$1,'Rate Assumptions'!$A$1:$C$1,0))</f>
        <v>649.73677993559397</v>
      </c>
      <c r="EC48" s="279">
        <f>INDEX('Rate Assumptions'!$A$1:$C$32,MATCH('Success Allocation'!EC$3,'Rate Assumptions'!$A$1:$A$32,0),MATCH($DR$1,'Rate Assumptions'!$A$1:$C$1,0))</f>
        <v>433.15785329039602</v>
      </c>
      <c r="ED48" s="279">
        <f>INDEX('Rate Assumptions'!$A$1:$C$32,MATCH('Success Allocation'!ED$3,'Rate Assumptions'!$A$1:$A$32,0),MATCH($DR$1,'Rate Assumptions'!$A$1:$C$1,0))</f>
        <v>433.15785329039602</v>
      </c>
      <c r="EE48" s="279">
        <f>INDEX('Rate Assumptions'!$A$1:$C$32,MATCH('Success Allocation'!EE$3,'Rate Assumptions'!$A$1:$A$32,0),MATCH($DR$1,'Rate Assumptions'!$A$1:$C$1,0))</f>
        <v>216.57892664519801</v>
      </c>
      <c r="EF48" s="279">
        <f>INDEX('Rate Assumptions'!$A$1:$C$32,MATCH('Success Allocation'!EF$3,'Rate Assumptions'!$A$1:$A$32,0),MATCH($DR$1,'Rate Assumptions'!$A$1:$C$1,0))</f>
        <v>324.86838996779699</v>
      </c>
      <c r="EG48" s="280">
        <f>INDEX('Rate Assumptions'!$A$1:$C$32,MATCH('Success Allocation'!EG$3,'Rate Assumptions'!$A$1:$A$32,0),MATCH($DR$1,'Rate Assumptions'!$A$1:$C$1,0))</f>
        <v>216.57892664519801</v>
      </c>
      <c r="EH48" s="279">
        <f>INDEX('Rate Assumptions'!$A$1:$C$32,MATCH('Success Allocation'!EH$3,'Rate Assumptions'!$A$1:$A$32,0),MATCH($DR$1,'Rate Assumptions'!$A$1:$C$1,0))</f>
        <v>577.54380438719465</v>
      </c>
      <c r="EI48" s="279">
        <f>INDEX('Rate Assumptions'!$A$1:$C$32,MATCH('Success Allocation'!EI$3,'Rate Assumptions'!$A$1:$A$32,0),MATCH($DR$1,'Rate Assumptions'!$A$1:$C$1,0))</f>
        <v>433.15785329039602</v>
      </c>
      <c r="EJ48" s="279">
        <f>INDEX('Rate Assumptions'!$A$1:$C$32,MATCH('Success Allocation'!EJ$3,'Rate Assumptions'!$A$1:$A$32,0),MATCH($DR$1,'Rate Assumptions'!$A$1:$C$1,0))</f>
        <v>433.15785329039602</v>
      </c>
      <c r="EK48" s="279">
        <f>INDEX('Rate Assumptions'!$A$1:$C$32,MATCH('Success Allocation'!EK$3,'Rate Assumptions'!$A$1:$A$32,0),MATCH($DR$1,'Rate Assumptions'!$A$1:$C$1,0))</f>
        <v>288.77190219359733</v>
      </c>
      <c r="EL48" s="279">
        <f>INDEX('Rate Assumptions'!$A$1:$C$32,MATCH('Success Allocation'!EL$3,'Rate Assumptions'!$A$1:$A$32,0),MATCH($DR$1,'Rate Assumptions'!$A$1:$C$1,0))</f>
        <v>288.77190219359733</v>
      </c>
      <c r="EM48" s="279">
        <f>INDEX('Rate Assumptions'!$A$1:$C$32,MATCH('Success Allocation'!EM$3,'Rate Assumptions'!$A$1:$A$32,0),MATCH($DR$1,'Rate Assumptions'!$A$1:$C$1,0))</f>
        <v>144.38595109679866</v>
      </c>
      <c r="EN48" s="279">
        <f>INDEX('Rate Assumptions'!$A$1:$C$32,MATCH('Success Allocation'!EN$3,'Rate Assumptions'!$A$1:$A$32,0),MATCH($DR$1,'Rate Assumptions'!$A$1:$C$1,0))</f>
        <v>216.57892664519801</v>
      </c>
      <c r="EO48" s="281">
        <f>INDEX('Rate Assumptions'!$A$1:$C$32,MATCH('Success Allocation'!EO$3,'Rate Assumptions'!$A$1:$A$32,0),MATCH($DR$1,'Rate Assumptions'!$A$1:$C$1,0))</f>
        <v>144.38595109679866</v>
      </c>
      <c r="EP48" s="170">
        <f t="shared" si="50"/>
        <v>10404786.18510481</v>
      </c>
    </row>
    <row r="49" spans="1:146">
      <c r="A49" s="223" t="s">
        <v>136</v>
      </c>
      <c r="B49" s="226">
        <v>556</v>
      </c>
      <c r="C49" s="226">
        <v>1899</v>
      </c>
      <c r="D49" s="226">
        <v>0</v>
      </c>
      <c r="E49" s="226">
        <v>436</v>
      </c>
      <c r="F49" s="226">
        <v>409</v>
      </c>
      <c r="G49" s="227">
        <v>4311</v>
      </c>
      <c r="H49" s="226">
        <v>2700</v>
      </c>
      <c r="I49" s="228">
        <v>4412</v>
      </c>
      <c r="J49" s="226">
        <v>332</v>
      </c>
      <c r="K49" s="226">
        <v>1186</v>
      </c>
      <c r="L49" s="226">
        <v>0</v>
      </c>
      <c r="M49" s="226">
        <v>241</v>
      </c>
      <c r="N49" s="226">
        <v>165</v>
      </c>
      <c r="O49" s="227">
        <v>2389</v>
      </c>
      <c r="P49" s="226">
        <v>1385</v>
      </c>
      <c r="Q49" s="228">
        <v>1706</v>
      </c>
      <c r="R49" s="226">
        <v>450</v>
      </c>
      <c r="S49" s="226">
        <v>1590</v>
      </c>
      <c r="T49" s="226">
        <v>0</v>
      </c>
      <c r="U49" s="226">
        <v>320</v>
      </c>
      <c r="V49" s="226">
        <v>244</v>
      </c>
      <c r="W49" s="227">
        <v>3299</v>
      </c>
      <c r="X49" s="226">
        <v>2009</v>
      </c>
      <c r="Y49" s="234">
        <v>2835</v>
      </c>
      <c r="Z49" s="237">
        <v>849</v>
      </c>
      <c r="AA49" s="237">
        <v>2374</v>
      </c>
      <c r="AB49" s="237">
        <v>0</v>
      </c>
      <c r="AC49" s="237">
        <v>483</v>
      </c>
      <c r="AD49" s="237">
        <v>823</v>
      </c>
      <c r="AE49" s="237">
        <v>4286</v>
      </c>
      <c r="AF49" s="237">
        <v>2782</v>
      </c>
      <c r="AG49" s="228">
        <v>5143</v>
      </c>
      <c r="AH49" s="237">
        <v>514</v>
      </c>
      <c r="AI49" s="237">
        <v>1454</v>
      </c>
      <c r="AJ49" s="237">
        <v>0</v>
      </c>
      <c r="AK49" s="237">
        <v>244</v>
      </c>
      <c r="AL49" s="237">
        <v>384</v>
      </c>
      <c r="AM49" s="237">
        <v>2299</v>
      </c>
      <c r="AN49" s="237">
        <v>1411</v>
      </c>
      <c r="AO49" s="228">
        <v>1937</v>
      </c>
      <c r="AP49" s="237">
        <v>695</v>
      </c>
      <c r="AQ49" s="237">
        <v>1955</v>
      </c>
      <c r="AR49" s="237">
        <v>0</v>
      </c>
      <c r="AS49" s="237">
        <v>337</v>
      </c>
      <c r="AT49" s="237">
        <v>554</v>
      </c>
      <c r="AU49" s="238">
        <v>3262</v>
      </c>
      <c r="AV49" s="237">
        <v>2045</v>
      </c>
      <c r="AW49" s="234">
        <v>3267</v>
      </c>
      <c r="AX49" s="237"/>
      <c r="AY49" s="237"/>
      <c r="AZ49" s="237"/>
      <c r="BA49" s="237"/>
      <c r="BB49" s="237"/>
      <c r="BC49" s="237"/>
      <c r="BD49" s="237"/>
      <c r="BF49" s="237"/>
      <c r="BG49" s="237"/>
      <c r="BH49" s="237"/>
      <c r="BI49" s="237"/>
      <c r="BJ49" s="237"/>
      <c r="BK49" s="237"/>
      <c r="BL49" s="237"/>
      <c r="BN49" s="237"/>
      <c r="BO49" s="237"/>
      <c r="BP49" s="237"/>
      <c r="BQ49" s="237"/>
      <c r="BR49" s="237"/>
      <c r="BS49" s="238"/>
      <c r="BT49" s="237"/>
      <c r="BV49" s="264">
        <f t="shared" si="2"/>
        <v>1142</v>
      </c>
      <c r="BW49" s="264">
        <f t="shared" si="3"/>
        <v>2849</v>
      </c>
      <c r="BX49" s="264">
        <f t="shared" si="4"/>
        <v>0</v>
      </c>
      <c r="BY49" s="264">
        <f t="shared" si="5"/>
        <v>530</v>
      </c>
      <c r="BZ49" s="264">
        <f t="shared" si="6"/>
        <v>1237</v>
      </c>
      <c r="CA49" s="264">
        <f t="shared" si="7"/>
        <v>4261</v>
      </c>
      <c r="CB49" s="264">
        <f t="shared" si="8"/>
        <v>2864</v>
      </c>
      <c r="CC49" s="265">
        <f t="shared" si="9"/>
        <v>5874</v>
      </c>
      <c r="CD49" s="264">
        <f t="shared" si="10"/>
        <v>696</v>
      </c>
      <c r="CE49" s="264">
        <f t="shared" si="11"/>
        <v>1722</v>
      </c>
      <c r="CF49" s="264">
        <f t="shared" si="12"/>
        <v>0</v>
      </c>
      <c r="CG49" s="264">
        <f t="shared" si="13"/>
        <v>247</v>
      </c>
      <c r="CH49" s="264">
        <f t="shared" si="14"/>
        <v>603</v>
      </c>
      <c r="CI49" s="264">
        <f t="shared" si="15"/>
        <v>2209</v>
      </c>
      <c r="CJ49" s="264">
        <f t="shared" si="16"/>
        <v>1437</v>
      </c>
      <c r="CK49" s="265">
        <f t="shared" si="17"/>
        <v>2168</v>
      </c>
      <c r="CL49" s="264">
        <f t="shared" si="18"/>
        <v>940</v>
      </c>
      <c r="CM49" s="264">
        <f t="shared" si="19"/>
        <v>2320</v>
      </c>
      <c r="CN49" s="264">
        <f t="shared" si="20"/>
        <v>0</v>
      </c>
      <c r="CO49" s="264">
        <f t="shared" si="21"/>
        <v>354</v>
      </c>
      <c r="CP49" s="264">
        <f t="shared" si="22"/>
        <v>864</v>
      </c>
      <c r="CQ49" s="264">
        <f t="shared" si="23"/>
        <v>3225</v>
      </c>
      <c r="CR49" s="264">
        <f t="shared" si="24"/>
        <v>2081</v>
      </c>
      <c r="CS49" s="266">
        <f t="shared" si="25"/>
        <v>3699</v>
      </c>
      <c r="CT49" s="264">
        <f t="shared" si="26"/>
        <v>849</v>
      </c>
      <c r="CU49" s="264">
        <f t="shared" si="27"/>
        <v>2374</v>
      </c>
      <c r="CV49" s="264">
        <f t="shared" si="28"/>
        <v>0</v>
      </c>
      <c r="CW49" s="264">
        <f t="shared" si="29"/>
        <v>483</v>
      </c>
      <c r="CX49" s="264">
        <f t="shared" si="30"/>
        <v>823</v>
      </c>
      <c r="CY49" s="264">
        <f t="shared" si="31"/>
        <v>4286</v>
      </c>
      <c r="CZ49" s="264">
        <f t="shared" si="32"/>
        <v>2782</v>
      </c>
      <c r="DA49" s="265">
        <f t="shared" si="33"/>
        <v>5143</v>
      </c>
      <c r="DB49" s="264">
        <f t="shared" si="34"/>
        <v>514</v>
      </c>
      <c r="DC49" s="264">
        <f t="shared" si="35"/>
        <v>1454</v>
      </c>
      <c r="DD49" s="264">
        <f t="shared" si="36"/>
        <v>0</v>
      </c>
      <c r="DE49" s="264">
        <f t="shared" si="37"/>
        <v>244</v>
      </c>
      <c r="DF49" s="264">
        <f t="shared" si="38"/>
        <v>384</v>
      </c>
      <c r="DG49" s="264">
        <f t="shared" si="39"/>
        <v>2299</v>
      </c>
      <c r="DH49" s="264">
        <f t="shared" si="40"/>
        <v>1411</v>
      </c>
      <c r="DI49" s="265">
        <f t="shared" si="41"/>
        <v>1937</v>
      </c>
      <c r="DJ49" s="264">
        <f t="shared" si="42"/>
        <v>695</v>
      </c>
      <c r="DK49" s="264">
        <f t="shared" si="43"/>
        <v>1955</v>
      </c>
      <c r="DL49" s="264">
        <f t="shared" si="44"/>
        <v>0</v>
      </c>
      <c r="DM49" s="264">
        <f t="shared" si="45"/>
        <v>337</v>
      </c>
      <c r="DN49" s="264">
        <f t="shared" si="46"/>
        <v>554</v>
      </c>
      <c r="DO49" s="264">
        <f t="shared" si="47"/>
        <v>3262</v>
      </c>
      <c r="DP49" s="264">
        <f t="shared" si="48"/>
        <v>2045</v>
      </c>
      <c r="DQ49" s="266">
        <f t="shared" si="49"/>
        <v>3267</v>
      </c>
      <c r="DR49" s="279">
        <f>INDEX('Rate Assumptions'!$A$1:$C$32,MATCH('Success Allocation'!DR$3,'Rate Assumptions'!$A$1:$A$32,0),MATCH($DR$1,'Rate Assumptions'!$A$1:$C$1,0))</f>
        <v>2291.7551696336809</v>
      </c>
      <c r="DS49" s="279">
        <f>INDEX('Rate Assumptions'!$A$1:$C$32,MATCH('Success Allocation'!DS$3,'Rate Assumptions'!$A$1:$A$32,0),MATCH($DR$1,'Rate Assumptions'!$A$1:$C$1,0))</f>
        <v>1718.8163772252606</v>
      </c>
      <c r="DT49" s="279">
        <f>INDEX('Rate Assumptions'!$A$1:$C$32,MATCH('Success Allocation'!DT$3,'Rate Assumptions'!$A$1:$A$32,0),MATCH($DR$1,'Rate Assumptions'!$A$1:$C$1,0))</f>
        <v>1718.8163772252606</v>
      </c>
      <c r="DU49" s="279">
        <f>INDEX('Rate Assumptions'!$A$1:$C$32,MATCH('Success Allocation'!DU$3,'Rate Assumptions'!$A$1:$A$32,0),MATCH($DR$1,'Rate Assumptions'!$A$1:$C$1,0))</f>
        <v>1145.8775848168405</v>
      </c>
      <c r="DV49" s="279">
        <f>INDEX('Rate Assumptions'!$A$1:$C$32,MATCH('Success Allocation'!DV$3,'Rate Assumptions'!$A$1:$A$32,0),MATCH($DR$1,'Rate Assumptions'!$A$1:$C$1,0))</f>
        <v>1145.8775848168405</v>
      </c>
      <c r="DW49" s="279">
        <f>INDEX('Rate Assumptions'!$A$1:$C$32,MATCH('Success Allocation'!DW$3,'Rate Assumptions'!$A$1:$A$32,0),MATCH($DR$1,'Rate Assumptions'!$A$1:$C$1,0))</f>
        <v>572.93879240842023</v>
      </c>
      <c r="DX49" s="279">
        <f>INDEX('Rate Assumptions'!$A$1:$C$32,MATCH('Success Allocation'!DX$3,'Rate Assumptions'!$A$1:$A$32,0),MATCH($DR$1,'Rate Assumptions'!$A$1:$C$1,0))</f>
        <v>859.40818861263028</v>
      </c>
      <c r="DY49" s="280">
        <f>INDEX('Rate Assumptions'!$A$1:$C$32,MATCH('Success Allocation'!DY$3,'Rate Assumptions'!$A$1:$A$32,0),MATCH($DR$1,'Rate Assumptions'!$A$1:$C$1,0))</f>
        <v>572.93879240842023</v>
      </c>
      <c r="DZ49" s="279">
        <f>INDEX('Rate Assumptions'!$A$1:$C$32,MATCH('Success Allocation'!DZ$3,'Rate Assumptions'!$A$1:$A$32,0),MATCH($DR$1,'Rate Assumptions'!$A$1:$C$1,0))</f>
        <v>866.31570658079204</v>
      </c>
      <c r="EA49" s="279">
        <f>INDEX('Rate Assumptions'!$A$1:$C$32,MATCH('Success Allocation'!EA$3,'Rate Assumptions'!$A$1:$A$32,0),MATCH($DR$1,'Rate Assumptions'!$A$1:$C$1,0))</f>
        <v>649.73677993559397</v>
      </c>
      <c r="EB49" s="279">
        <f>INDEX('Rate Assumptions'!$A$1:$C$32,MATCH('Success Allocation'!EB$3,'Rate Assumptions'!$A$1:$A$32,0),MATCH($DR$1,'Rate Assumptions'!$A$1:$C$1,0))</f>
        <v>649.73677993559397</v>
      </c>
      <c r="EC49" s="279">
        <f>INDEX('Rate Assumptions'!$A$1:$C$32,MATCH('Success Allocation'!EC$3,'Rate Assumptions'!$A$1:$A$32,0),MATCH($DR$1,'Rate Assumptions'!$A$1:$C$1,0))</f>
        <v>433.15785329039602</v>
      </c>
      <c r="ED49" s="279">
        <f>INDEX('Rate Assumptions'!$A$1:$C$32,MATCH('Success Allocation'!ED$3,'Rate Assumptions'!$A$1:$A$32,0),MATCH($DR$1,'Rate Assumptions'!$A$1:$C$1,0))</f>
        <v>433.15785329039602</v>
      </c>
      <c r="EE49" s="279">
        <f>INDEX('Rate Assumptions'!$A$1:$C$32,MATCH('Success Allocation'!EE$3,'Rate Assumptions'!$A$1:$A$32,0),MATCH($DR$1,'Rate Assumptions'!$A$1:$C$1,0))</f>
        <v>216.57892664519801</v>
      </c>
      <c r="EF49" s="279">
        <f>INDEX('Rate Assumptions'!$A$1:$C$32,MATCH('Success Allocation'!EF$3,'Rate Assumptions'!$A$1:$A$32,0),MATCH($DR$1,'Rate Assumptions'!$A$1:$C$1,0))</f>
        <v>324.86838996779699</v>
      </c>
      <c r="EG49" s="280">
        <f>INDEX('Rate Assumptions'!$A$1:$C$32,MATCH('Success Allocation'!EG$3,'Rate Assumptions'!$A$1:$A$32,0),MATCH($DR$1,'Rate Assumptions'!$A$1:$C$1,0))</f>
        <v>216.57892664519801</v>
      </c>
      <c r="EH49" s="279">
        <f>INDEX('Rate Assumptions'!$A$1:$C$32,MATCH('Success Allocation'!EH$3,'Rate Assumptions'!$A$1:$A$32,0),MATCH($DR$1,'Rate Assumptions'!$A$1:$C$1,0))</f>
        <v>577.54380438719465</v>
      </c>
      <c r="EI49" s="279">
        <f>INDEX('Rate Assumptions'!$A$1:$C$32,MATCH('Success Allocation'!EI$3,'Rate Assumptions'!$A$1:$A$32,0),MATCH($DR$1,'Rate Assumptions'!$A$1:$C$1,0))</f>
        <v>433.15785329039602</v>
      </c>
      <c r="EJ49" s="279">
        <f>INDEX('Rate Assumptions'!$A$1:$C$32,MATCH('Success Allocation'!EJ$3,'Rate Assumptions'!$A$1:$A$32,0),MATCH($DR$1,'Rate Assumptions'!$A$1:$C$1,0))</f>
        <v>433.15785329039602</v>
      </c>
      <c r="EK49" s="279">
        <f>INDEX('Rate Assumptions'!$A$1:$C$32,MATCH('Success Allocation'!EK$3,'Rate Assumptions'!$A$1:$A$32,0),MATCH($DR$1,'Rate Assumptions'!$A$1:$C$1,0))</f>
        <v>288.77190219359733</v>
      </c>
      <c r="EL49" s="279">
        <f>INDEX('Rate Assumptions'!$A$1:$C$32,MATCH('Success Allocation'!EL$3,'Rate Assumptions'!$A$1:$A$32,0),MATCH($DR$1,'Rate Assumptions'!$A$1:$C$1,0))</f>
        <v>288.77190219359733</v>
      </c>
      <c r="EM49" s="279">
        <f>INDEX('Rate Assumptions'!$A$1:$C$32,MATCH('Success Allocation'!EM$3,'Rate Assumptions'!$A$1:$A$32,0),MATCH($DR$1,'Rate Assumptions'!$A$1:$C$1,0))</f>
        <v>144.38595109679866</v>
      </c>
      <c r="EN49" s="279">
        <f>INDEX('Rate Assumptions'!$A$1:$C$32,MATCH('Success Allocation'!EN$3,'Rate Assumptions'!$A$1:$A$32,0),MATCH($DR$1,'Rate Assumptions'!$A$1:$C$1,0))</f>
        <v>216.57892664519801</v>
      </c>
      <c r="EO49" s="281">
        <f>INDEX('Rate Assumptions'!$A$1:$C$32,MATCH('Success Allocation'!EO$3,'Rate Assumptions'!$A$1:$A$32,0),MATCH($DR$1,'Rate Assumptions'!$A$1:$C$1,0))</f>
        <v>144.38595109679866</v>
      </c>
      <c r="EP49" s="170">
        <f t="shared" si="50"/>
        <v>24661696.792861987</v>
      </c>
    </row>
    <row r="50" spans="1:146">
      <c r="A50" s="223" t="s">
        <v>137</v>
      </c>
      <c r="B50" s="226">
        <v>457</v>
      </c>
      <c r="C50" s="226">
        <v>906</v>
      </c>
      <c r="D50" s="226">
        <v>0</v>
      </c>
      <c r="E50" s="226">
        <v>201</v>
      </c>
      <c r="F50" s="226">
        <v>169</v>
      </c>
      <c r="G50" s="227">
        <v>2274</v>
      </c>
      <c r="H50" s="226">
        <v>1465</v>
      </c>
      <c r="I50" s="228">
        <v>2816</v>
      </c>
      <c r="J50" s="226">
        <v>289</v>
      </c>
      <c r="K50" s="226">
        <v>530</v>
      </c>
      <c r="L50" s="226">
        <v>0</v>
      </c>
      <c r="M50" s="226">
        <v>100</v>
      </c>
      <c r="N50" s="226">
        <v>60</v>
      </c>
      <c r="O50" s="227">
        <v>1160</v>
      </c>
      <c r="P50" s="226">
        <v>730</v>
      </c>
      <c r="Q50" s="228">
        <v>975</v>
      </c>
      <c r="R50" s="226">
        <v>390</v>
      </c>
      <c r="S50" s="226">
        <v>741</v>
      </c>
      <c r="T50" s="226">
        <v>0</v>
      </c>
      <c r="U50" s="226">
        <v>162</v>
      </c>
      <c r="V50" s="226">
        <v>109</v>
      </c>
      <c r="W50" s="227">
        <v>1783</v>
      </c>
      <c r="X50" s="226">
        <v>1078</v>
      </c>
      <c r="Y50" s="234">
        <v>1855</v>
      </c>
      <c r="Z50" s="237">
        <v>512</v>
      </c>
      <c r="AA50" s="237">
        <v>793</v>
      </c>
      <c r="AB50" s="237">
        <v>0</v>
      </c>
      <c r="AC50" s="237">
        <v>223</v>
      </c>
      <c r="AD50" s="237">
        <v>245</v>
      </c>
      <c r="AE50" s="237">
        <v>2591</v>
      </c>
      <c r="AF50" s="237">
        <v>1490</v>
      </c>
      <c r="AG50" s="228">
        <v>2953</v>
      </c>
      <c r="AH50" s="237">
        <v>329</v>
      </c>
      <c r="AI50" s="237">
        <v>475</v>
      </c>
      <c r="AJ50" s="237">
        <v>0</v>
      </c>
      <c r="AK50" s="237">
        <v>110</v>
      </c>
      <c r="AL50" s="237">
        <v>95</v>
      </c>
      <c r="AM50" s="237">
        <v>1127</v>
      </c>
      <c r="AN50" s="237">
        <v>706</v>
      </c>
      <c r="AO50" s="228">
        <v>1044</v>
      </c>
      <c r="AP50" s="237">
        <v>446</v>
      </c>
      <c r="AQ50" s="237">
        <v>682</v>
      </c>
      <c r="AR50" s="237">
        <v>0</v>
      </c>
      <c r="AS50" s="237">
        <v>179</v>
      </c>
      <c r="AT50" s="237">
        <v>143</v>
      </c>
      <c r="AU50" s="238">
        <v>1809</v>
      </c>
      <c r="AV50" s="237">
        <v>1102</v>
      </c>
      <c r="AW50" s="234">
        <v>1967</v>
      </c>
      <c r="AX50" s="237"/>
      <c r="AY50" s="237"/>
      <c r="AZ50" s="237"/>
      <c r="BA50" s="237"/>
      <c r="BB50" s="237"/>
      <c r="BC50" s="237"/>
      <c r="BD50" s="237"/>
      <c r="BF50" s="237"/>
      <c r="BG50" s="237"/>
      <c r="BH50" s="237"/>
      <c r="BI50" s="237"/>
      <c r="BJ50" s="237"/>
      <c r="BK50" s="237"/>
      <c r="BL50" s="237"/>
      <c r="BN50" s="237"/>
      <c r="BO50" s="237"/>
      <c r="BP50" s="237"/>
      <c r="BQ50" s="237"/>
      <c r="BR50" s="237"/>
      <c r="BS50" s="238"/>
      <c r="BT50" s="237"/>
      <c r="BV50" s="264">
        <f t="shared" si="2"/>
        <v>567</v>
      </c>
      <c r="BW50" s="264">
        <f t="shared" si="3"/>
        <v>680</v>
      </c>
      <c r="BX50" s="264">
        <f t="shared" si="4"/>
        <v>0</v>
      </c>
      <c r="BY50" s="264">
        <f t="shared" si="5"/>
        <v>245</v>
      </c>
      <c r="BZ50" s="264">
        <f t="shared" si="6"/>
        <v>321</v>
      </c>
      <c r="CA50" s="264">
        <f t="shared" si="7"/>
        <v>2908</v>
      </c>
      <c r="CB50" s="264">
        <f t="shared" si="8"/>
        <v>1515</v>
      </c>
      <c r="CC50" s="265">
        <f t="shared" si="9"/>
        <v>3090</v>
      </c>
      <c r="CD50" s="264">
        <f t="shared" si="10"/>
        <v>369</v>
      </c>
      <c r="CE50" s="264">
        <f t="shared" si="11"/>
        <v>420</v>
      </c>
      <c r="CF50" s="264">
        <f t="shared" si="12"/>
        <v>0</v>
      </c>
      <c r="CG50" s="264">
        <f t="shared" si="13"/>
        <v>120</v>
      </c>
      <c r="CH50" s="264">
        <f t="shared" si="14"/>
        <v>130</v>
      </c>
      <c r="CI50" s="264">
        <f t="shared" si="15"/>
        <v>1094</v>
      </c>
      <c r="CJ50" s="264">
        <f t="shared" si="16"/>
        <v>682</v>
      </c>
      <c r="CK50" s="265">
        <f t="shared" si="17"/>
        <v>1113</v>
      </c>
      <c r="CL50" s="264">
        <f t="shared" si="18"/>
        <v>502</v>
      </c>
      <c r="CM50" s="264">
        <f t="shared" si="19"/>
        <v>623</v>
      </c>
      <c r="CN50" s="264">
        <f t="shared" si="20"/>
        <v>0</v>
      </c>
      <c r="CO50" s="264">
        <f t="shared" si="21"/>
        <v>196</v>
      </c>
      <c r="CP50" s="264">
        <f t="shared" si="22"/>
        <v>177</v>
      </c>
      <c r="CQ50" s="264">
        <f t="shared" si="23"/>
        <v>1835</v>
      </c>
      <c r="CR50" s="264">
        <f t="shared" si="24"/>
        <v>1126</v>
      </c>
      <c r="CS50" s="266">
        <f t="shared" si="25"/>
        <v>2079</v>
      </c>
      <c r="CT50" s="264">
        <f t="shared" si="26"/>
        <v>512</v>
      </c>
      <c r="CU50" s="264">
        <f t="shared" si="27"/>
        <v>793</v>
      </c>
      <c r="CV50" s="264">
        <f t="shared" si="28"/>
        <v>0</v>
      </c>
      <c r="CW50" s="264">
        <f t="shared" si="29"/>
        <v>223</v>
      </c>
      <c r="CX50" s="264">
        <f t="shared" si="30"/>
        <v>245</v>
      </c>
      <c r="CY50" s="264">
        <f t="shared" si="31"/>
        <v>2591</v>
      </c>
      <c r="CZ50" s="264">
        <f t="shared" si="32"/>
        <v>1490</v>
      </c>
      <c r="DA50" s="265">
        <f t="shared" si="33"/>
        <v>2953</v>
      </c>
      <c r="DB50" s="264">
        <f t="shared" si="34"/>
        <v>329</v>
      </c>
      <c r="DC50" s="264">
        <f t="shared" si="35"/>
        <v>475</v>
      </c>
      <c r="DD50" s="264">
        <f t="shared" si="36"/>
        <v>0</v>
      </c>
      <c r="DE50" s="264">
        <f t="shared" si="37"/>
        <v>110</v>
      </c>
      <c r="DF50" s="264">
        <f t="shared" si="38"/>
        <v>95</v>
      </c>
      <c r="DG50" s="264">
        <f t="shared" si="39"/>
        <v>1127</v>
      </c>
      <c r="DH50" s="264">
        <f t="shared" si="40"/>
        <v>706</v>
      </c>
      <c r="DI50" s="265">
        <f t="shared" si="41"/>
        <v>1044</v>
      </c>
      <c r="DJ50" s="264">
        <f t="shared" si="42"/>
        <v>446</v>
      </c>
      <c r="DK50" s="264">
        <f t="shared" si="43"/>
        <v>682</v>
      </c>
      <c r="DL50" s="264">
        <f t="shared" si="44"/>
        <v>0</v>
      </c>
      <c r="DM50" s="264">
        <f t="shared" si="45"/>
        <v>179</v>
      </c>
      <c r="DN50" s="264">
        <f t="shared" si="46"/>
        <v>143</v>
      </c>
      <c r="DO50" s="264">
        <f t="shared" si="47"/>
        <v>1809</v>
      </c>
      <c r="DP50" s="264">
        <f t="shared" si="48"/>
        <v>1102</v>
      </c>
      <c r="DQ50" s="266">
        <f t="shared" si="49"/>
        <v>1967</v>
      </c>
      <c r="DR50" s="279">
        <f>INDEX('Rate Assumptions'!$A$1:$C$32,MATCH('Success Allocation'!DR$3,'Rate Assumptions'!$A$1:$A$32,0),MATCH($DR$1,'Rate Assumptions'!$A$1:$C$1,0))</f>
        <v>2291.7551696336809</v>
      </c>
      <c r="DS50" s="279">
        <f>INDEX('Rate Assumptions'!$A$1:$C$32,MATCH('Success Allocation'!DS$3,'Rate Assumptions'!$A$1:$A$32,0),MATCH($DR$1,'Rate Assumptions'!$A$1:$C$1,0))</f>
        <v>1718.8163772252606</v>
      </c>
      <c r="DT50" s="279">
        <f>INDEX('Rate Assumptions'!$A$1:$C$32,MATCH('Success Allocation'!DT$3,'Rate Assumptions'!$A$1:$A$32,0),MATCH($DR$1,'Rate Assumptions'!$A$1:$C$1,0))</f>
        <v>1718.8163772252606</v>
      </c>
      <c r="DU50" s="279">
        <f>INDEX('Rate Assumptions'!$A$1:$C$32,MATCH('Success Allocation'!DU$3,'Rate Assumptions'!$A$1:$A$32,0),MATCH($DR$1,'Rate Assumptions'!$A$1:$C$1,0))</f>
        <v>1145.8775848168405</v>
      </c>
      <c r="DV50" s="279">
        <f>INDEX('Rate Assumptions'!$A$1:$C$32,MATCH('Success Allocation'!DV$3,'Rate Assumptions'!$A$1:$A$32,0),MATCH($DR$1,'Rate Assumptions'!$A$1:$C$1,0))</f>
        <v>1145.8775848168405</v>
      </c>
      <c r="DW50" s="279">
        <f>INDEX('Rate Assumptions'!$A$1:$C$32,MATCH('Success Allocation'!DW$3,'Rate Assumptions'!$A$1:$A$32,0),MATCH($DR$1,'Rate Assumptions'!$A$1:$C$1,0))</f>
        <v>572.93879240842023</v>
      </c>
      <c r="DX50" s="279">
        <f>INDEX('Rate Assumptions'!$A$1:$C$32,MATCH('Success Allocation'!DX$3,'Rate Assumptions'!$A$1:$A$32,0),MATCH($DR$1,'Rate Assumptions'!$A$1:$C$1,0))</f>
        <v>859.40818861263028</v>
      </c>
      <c r="DY50" s="280">
        <f>INDEX('Rate Assumptions'!$A$1:$C$32,MATCH('Success Allocation'!DY$3,'Rate Assumptions'!$A$1:$A$32,0),MATCH($DR$1,'Rate Assumptions'!$A$1:$C$1,0))</f>
        <v>572.93879240842023</v>
      </c>
      <c r="DZ50" s="279">
        <f>INDEX('Rate Assumptions'!$A$1:$C$32,MATCH('Success Allocation'!DZ$3,'Rate Assumptions'!$A$1:$A$32,0),MATCH($DR$1,'Rate Assumptions'!$A$1:$C$1,0))</f>
        <v>866.31570658079204</v>
      </c>
      <c r="EA50" s="279">
        <f>INDEX('Rate Assumptions'!$A$1:$C$32,MATCH('Success Allocation'!EA$3,'Rate Assumptions'!$A$1:$A$32,0),MATCH($DR$1,'Rate Assumptions'!$A$1:$C$1,0))</f>
        <v>649.73677993559397</v>
      </c>
      <c r="EB50" s="279">
        <f>INDEX('Rate Assumptions'!$A$1:$C$32,MATCH('Success Allocation'!EB$3,'Rate Assumptions'!$A$1:$A$32,0),MATCH($DR$1,'Rate Assumptions'!$A$1:$C$1,0))</f>
        <v>649.73677993559397</v>
      </c>
      <c r="EC50" s="279">
        <f>INDEX('Rate Assumptions'!$A$1:$C$32,MATCH('Success Allocation'!EC$3,'Rate Assumptions'!$A$1:$A$32,0),MATCH($DR$1,'Rate Assumptions'!$A$1:$C$1,0))</f>
        <v>433.15785329039602</v>
      </c>
      <c r="ED50" s="279">
        <f>INDEX('Rate Assumptions'!$A$1:$C$32,MATCH('Success Allocation'!ED$3,'Rate Assumptions'!$A$1:$A$32,0),MATCH($DR$1,'Rate Assumptions'!$A$1:$C$1,0))</f>
        <v>433.15785329039602</v>
      </c>
      <c r="EE50" s="279">
        <f>INDEX('Rate Assumptions'!$A$1:$C$32,MATCH('Success Allocation'!EE$3,'Rate Assumptions'!$A$1:$A$32,0),MATCH($DR$1,'Rate Assumptions'!$A$1:$C$1,0))</f>
        <v>216.57892664519801</v>
      </c>
      <c r="EF50" s="279">
        <f>INDEX('Rate Assumptions'!$A$1:$C$32,MATCH('Success Allocation'!EF$3,'Rate Assumptions'!$A$1:$A$32,0),MATCH($DR$1,'Rate Assumptions'!$A$1:$C$1,0))</f>
        <v>324.86838996779699</v>
      </c>
      <c r="EG50" s="280">
        <f>INDEX('Rate Assumptions'!$A$1:$C$32,MATCH('Success Allocation'!EG$3,'Rate Assumptions'!$A$1:$A$32,0),MATCH($DR$1,'Rate Assumptions'!$A$1:$C$1,0))</f>
        <v>216.57892664519801</v>
      </c>
      <c r="EH50" s="279">
        <f>INDEX('Rate Assumptions'!$A$1:$C$32,MATCH('Success Allocation'!EH$3,'Rate Assumptions'!$A$1:$A$32,0),MATCH($DR$1,'Rate Assumptions'!$A$1:$C$1,0))</f>
        <v>577.54380438719465</v>
      </c>
      <c r="EI50" s="279">
        <f>INDEX('Rate Assumptions'!$A$1:$C$32,MATCH('Success Allocation'!EI$3,'Rate Assumptions'!$A$1:$A$32,0),MATCH($DR$1,'Rate Assumptions'!$A$1:$C$1,0))</f>
        <v>433.15785329039602</v>
      </c>
      <c r="EJ50" s="279">
        <f>INDEX('Rate Assumptions'!$A$1:$C$32,MATCH('Success Allocation'!EJ$3,'Rate Assumptions'!$A$1:$A$32,0),MATCH($DR$1,'Rate Assumptions'!$A$1:$C$1,0))</f>
        <v>433.15785329039602</v>
      </c>
      <c r="EK50" s="279">
        <f>INDEX('Rate Assumptions'!$A$1:$C$32,MATCH('Success Allocation'!EK$3,'Rate Assumptions'!$A$1:$A$32,0),MATCH($DR$1,'Rate Assumptions'!$A$1:$C$1,0))</f>
        <v>288.77190219359733</v>
      </c>
      <c r="EL50" s="279">
        <f>INDEX('Rate Assumptions'!$A$1:$C$32,MATCH('Success Allocation'!EL$3,'Rate Assumptions'!$A$1:$A$32,0),MATCH($DR$1,'Rate Assumptions'!$A$1:$C$1,0))</f>
        <v>288.77190219359733</v>
      </c>
      <c r="EM50" s="279">
        <f>INDEX('Rate Assumptions'!$A$1:$C$32,MATCH('Success Allocation'!EM$3,'Rate Assumptions'!$A$1:$A$32,0),MATCH($DR$1,'Rate Assumptions'!$A$1:$C$1,0))</f>
        <v>144.38595109679866</v>
      </c>
      <c r="EN50" s="279">
        <f>INDEX('Rate Assumptions'!$A$1:$C$32,MATCH('Success Allocation'!EN$3,'Rate Assumptions'!$A$1:$A$32,0),MATCH($DR$1,'Rate Assumptions'!$A$1:$C$1,0))</f>
        <v>216.57892664519801</v>
      </c>
      <c r="EO50" s="281">
        <f>INDEX('Rate Assumptions'!$A$1:$C$32,MATCH('Success Allocation'!EO$3,'Rate Assumptions'!$A$1:$A$32,0),MATCH($DR$1,'Rate Assumptions'!$A$1:$C$1,0))</f>
        <v>144.38595109679866</v>
      </c>
      <c r="EP50" s="170">
        <f t="shared" si="50"/>
        <v>10732167.388919357</v>
      </c>
    </row>
    <row r="51" spans="1:146">
      <c r="A51" s="223" t="s">
        <v>138</v>
      </c>
      <c r="B51" s="226">
        <v>1240</v>
      </c>
      <c r="C51" s="226">
        <v>1676</v>
      </c>
      <c r="D51" s="226">
        <v>0</v>
      </c>
      <c r="E51" s="226">
        <v>552</v>
      </c>
      <c r="F51" s="226">
        <v>790</v>
      </c>
      <c r="G51" s="227">
        <v>6180</v>
      </c>
      <c r="H51" s="226">
        <v>4231</v>
      </c>
      <c r="I51" s="228">
        <v>8576</v>
      </c>
      <c r="J51" s="226">
        <v>679</v>
      </c>
      <c r="K51" s="226">
        <v>926</v>
      </c>
      <c r="L51" s="226">
        <v>0</v>
      </c>
      <c r="M51" s="226">
        <v>232</v>
      </c>
      <c r="N51" s="226">
        <v>303</v>
      </c>
      <c r="O51" s="227">
        <v>2571</v>
      </c>
      <c r="P51" s="226">
        <v>1755</v>
      </c>
      <c r="Q51" s="228">
        <v>1191</v>
      </c>
      <c r="R51" s="226">
        <v>944</v>
      </c>
      <c r="S51" s="226">
        <v>1280</v>
      </c>
      <c r="T51" s="226">
        <v>0</v>
      </c>
      <c r="U51" s="226">
        <v>355</v>
      </c>
      <c r="V51" s="226">
        <v>427</v>
      </c>
      <c r="W51" s="227">
        <v>4027</v>
      </c>
      <c r="X51" s="226">
        <v>2722</v>
      </c>
      <c r="Y51" s="234">
        <v>2534</v>
      </c>
      <c r="Z51" s="237">
        <v>1417</v>
      </c>
      <c r="AA51" s="237">
        <v>1721</v>
      </c>
      <c r="AB51" s="237">
        <v>10</v>
      </c>
      <c r="AC51" s="237">
        <v>528</v>
      </c>
      <c r="AD51" s="237">
        <v>826</v>
      </c>
      <c r="AE51" s="237">
        <v>6048</v>
      </c>
      <c r="AF51" s="237">
        <v>4723</v>
      </c>
      <c r="AG51" s="228">
        <v>9334</v>
      </c>
      <c r="AH51" s="237">
        <v>726</v>
      </c>
      <c r="AI51" s="237">
        <v>944</v>
      </c>
      <c r="AJ51" s="237">
        <v>6</v>
      </c>
      <c r="AK51" s="237">
        <v>266</v>
      </c>
      <c r="AL51" s="237">
        <v>304</v>
      </c>
      <c r="AM51" s="237">
        <v>2553</v>
      </c>
      <c r="AN51" s="237">
        <v>1879</v>
      </c>
      <c r="AO51" s="228">
        <v>1382</v>
      </c>
      <c r="AP51" s="237">
        <v>1026</v>
      </c>
      <c r="AQ51" s="237">
        <v>1293</v>
      </c>
      <c r="AR51" s="237">
        <v>9</v>
      </c>
      <c r="AS51" s="237">
        <v>404</v>
      </c>
      <c r="AT51" s="237">
        <v>435</v>
      </c>
      <c r="AU51" s="238">
        <v>3950</v>
      </c>
      <c r="AV51" s="237">
        <v>2975</v>
      </c>
      <c r="AW51" s="234">
        <v>2891</v>
      </c>
      <c r="AX51" s="237"/>
      <c r="AY51" s="237"/>
      <c r="AZ51" s="237"/>
      <c r="BA51" s="237"/>
      <c r="BB51" s="237"/>
      <c r="BC51" s="237"/>
      <c r="BD51" s="237"/>
      <c r="BF51" s="237"/>
      <c r="BG51" s="237"/>
      <c r="BH51" s="237"/>
      <c r="BI51" s="237"/>
      <c r="BJ51" s="237"/>
      <c r="BK51" s="237"/>
      <c r="BL51" s="237"/>
      <c r="BN51" s="237"/>
      <c r="BO51" s="237"/>
      <c r="BP51" s="237"/>
      <c r="BQ51" s="237"/>
      <c r="BR51" s="237"/>
      <c r="BS51" s="238"/>
      <c r="BT51" s="237"/>
      <c r="BV51" s="264">
        <f t="shared" si="2"/>
        <v>1594</v>
      </c>
      <c r="BW51" s="264">
        <f t="shared" si="3"/>
        <v>1766</v>
      </c>
      <c r="BX51" s="264">
        <f t="shared" si="4"/>
        <v>20</v>
      </c>
      <c r="BY51" s="264">
        <f t="shared" si="5"/>
        <v>504</v>
      </c>
      <c r="BZ51" s="264">
        <f t="shared" si="6"/>
        <v>862</v>
      </c>
      <c r="CA51" s="264">
        <f t="shared" si="7"/>
        <v>5916</v>
      </c>
      <c r="CB51" s="264">
        <f t="shared" si="8"/>
        <v>5215</v>
      </c>
      <c r="CC51" s="265">
        <f t="shared" si="9"/>
        <v>10092</v>
      </c>
      <c r="CD51" s="264">
        <f t="shared" si="10"/>
        <v>773</v>
      </c>
      <c r="CE51" s="264">
        <f t="shared" si="11"/>
        <v>962</v>
      </c>
      <c r="CF51" s="264">
        <f t="shared" si="12"/>
        <v>12</v>
      </c>
      <c r="CG51" s="264">
        <f t="shared" si="13"/>
        <v>300</v>
      </c>
      <c r="CH51" s="264">
        <f t="shared" si="14"/>
        <v>305</v>
      </c>
      <c r="CI51" s="264">
        <f t="shared" si="15"/>
        <v>2535</v>
      </c>
      <c r="CJ51" s="264">
        <f t="shared" si="16"/>
        <v>2003</v>
      </c>
      <c r="CK51" s="265">
        <f t="shared" si="17"/>
        <v>1573</v>
      </c>
      <c r="CL51" s="264">
        <f t="shared" si="18"/>
        <v>1108</v>
      </c>
      <c r="CM51" s="264">
        <f t="shared" si="19"/>
        <v>1306</v>
      </c>
      <c r="CN51" s="264">
        <f t="shared" si="20"/>
        <v>18</v>
      </c>
      <c r="CO51" s="264">
        <f t="shared" si="21"/>
        <v>453</v>
      </c>
      <c r="CP51" s="264">
        <f t="shared" si="22"/>
        <v>443</v>
      </c>
      <c r="CQ51" s="264">
        <f t="shared" si="23"/>
        <v>3873</v>
      </c>
      <c r="CR51" s="264">
        <f t="shared" si="24"/>
        <v>3228</v>
      </c>
      <c r="CS51" s="266">
        <f t="shared" si="25"/>
        <v>3248</v>
      </c>
      <c r="CT51" s="264">
        <f t="shared" si="26"/>
        <v>1417</v>
      </c>
      <c r="CU51" s="264">
        <f t="shared" si="27"/>
        <v>1721</v>
      </c>
      <c r="CV51" s="264">
        <f t="shared" si="28"/>
        <v>10</v>
      </c>
      <c r="CW51" s="264">
        <f t="shared" si="29"/>
        <v>528</v>
      </c>
      <c r="CX51" s="264">
        <f t="shared" si="30"/>
        <v>826</v>
      </c>
      <c r="CY51" s="264">
        <f t="shared" si="31"/>
        <v>6048</v>
      </c>
      <c r="CZ51" s="264">
        <f t="shared" si="32"/>
        <v>4723</v>
      </c>
      <c r="DA51" s="265">
        <f t="shared" si="33"/>
        <v>9334</v>
      </c>
      <c r="DB51" s="264">
        <f t="shared" si="34"/>
        <v>726</v>
      </c>
      <c r="DC51" s="264">
        <f t="shared" si="35"/>
        <v>944</v>
      </c>
      <c r="DD51" s="264">
        <f t="shared" si="36"/>
        <v>6</v>
      </c>
      <c r="DE51" s="264">
        <f t="shared" si="37"/>
        <v>266</v>
      </c>
      <c r="DF51" s="264">
        <f t="shared" si="38"/>
        <v>304</v>
      </c>
      <c r="DG51" s="264">
        <f t="shared" si="39"/>
        <v>2553</v>
      </c>
      <c r="DH51" s="264">
        <f t="shared" si="40"/>
        <v>1879</v>
      </c>
      <c r="DI51" s="265">
        <f t="shared" si="41"/>
        <v>1382</v>
      </c>
      <c r="DJ51" s="264">
        <f t="shared" si="42"/>
        <v>1026</v>
      </c>
      <c r="DK51" s="264">
        <f t="shared" si="43"/>
        <v>1293</v>
      </c>
      <c r="DL51" s="264">
        <f t="shared" si="44"/>
        <v>9</v>
      </c>
      <c r="DM51" s="264">
        <f t="shared" si="45"/>
        <v>404</v>
      </c>
      <c r="DN51" s="264">
        <f t="shared" si="46"/>
        <v>435</v>
      </c>
      <c r="DO51" s="264">
        <f t="shared" si="47"/>
        <v>3950</v>
      </c>
      <c r="DP51" s="264">
        <f t="shared" si="48"/>
        <v>2975</v>
      </c>
      <c r="DQ51" s="266">
        <f t="shared" si="49"/>
        <v>2891</v>
      </c>
      <c r="DR51" s="279">
        <f>INDEX('Rate Assumptions'!$A$1:$C$32,MATCH('Success Allocation'!DR$3,'Rate Assumptions'!$A$1:$A$32,0),MATCH($DR$1,'Rate Assumptions'!$A$1:$C$1,0))</f>
        <v>2291.7551696336809</v>
      </c>
      <c r="DS51" s="279">
        <f>INDEX('Rate Assumptions'!$A$1:$C$32,MATCH('Success Allocation'!DS$3,'Rate Assumptions'!$A$1:$A$32,0),MATCH($DR$1,'Rate Assumptions'!$A$1:$C$1,0))</f>
        <v>1718.8163772252606</v>
      </c>
      <c r="DT51" s="279">
        <f>INDEX('Rate Assumptions'!$A$1:$C$32,MATCH('Success Allocation'!DT$3,'Rate Assumptions'!$A$1:$A$32,0),MATCH($DR$1,'Rate Assumptions'!$A$1:$C$1,0))</f>
        <v>1718.8163772252606</v>
      </c>
      <c r="DU51" s="279">
        <f>INDEX('Rate Assumptions'!$A$1:$C$32,MATCH('Success Allocation'!DU$3,'Rate Assumptions'!$A$1:$A$32,0),MATCH($DR$1,'Rate Assumptions'!$A$1:$C$1,0))</f>
        <v>1145.8775848168405</v>
      </c>
      <c r="DV51" s="279">
        <f>INDEX('Rate Assumptions'!$A$1:$C$32,MATCH('Success Allocation'!DV$3,'Rate Assumptions'!$A$1:$A$32,0),MATCH($DR$1,'Rate Assumptions'!$A$1:$C$1,0))</f>
        <v>1145.8775848168405</v>
      </c>
      <c r="DW51" s="279">
        <f>INDEX('Rate Assumptions'!$A$1:$C$32,MATCH('Success Allocation'!DW$3,'Rate Assumptions'!$A$1:$A$32,0),MATCH($DR$1,'Rate Assumptions'!$A$1:$C$1,0))</f>
        <v>572.93879240842023</v>
      </c>
      <c r="DX51" s="279">
        <f>INDEX('Rate Assumptions'!$A$1:$C$32,MATCH('Success Allocation'!DX$3,'Rate Assumptions'!$A$1:$A$32,0),MATCH($DR$1,'Rate Assumptions'!$A$1:$C$1,0))</f>
        <v>859.40818861263028</v>
      </c>
      <c r="DY51" s="280">
        <f>INDEX('Rate Assumptions'!$A$1:$C$32,MATCH('Success Allocation'!DY$3,'Rate Assumptions'!$A$1:$A$32,0),MATCH($DR$1,'Rate Assumptions'!$A$1:$C$1,0))</f>
        <v>572.93879240842023</v>
      </c>
      <c r="DZ51" s="279">
        <f>INDEX('Rate Assumptions'!$A$1:$C$32,MATCH('Success Allocation'!DZ$3,'Rate Assumptions'!$A$1:$A$32,0),MATCH($DR$1,'Rate Assumptions'!$A$1:$C$1,0))</f>
        <v>866.31570658079204</v>
      </c>
      <c r="EA51" s="279">
        <f>INDEX('Rate Assumptions'!$A$1:$C$32,MATCH('Success Allocation'!EA$3,'Rate Assumptions'!$A$1:$A$32,0),MATCH($DR$1,'Rate Assumptions'!$A$1:$C$1,0))</f>
        <v>649.73677993559397</v>
      </c>
      <c r="EB51" s="279">
        <f>INDEX('Rate Assumptions'!$A$1:$C$32,MATCH('Success Allocation'!EB$3,'Rate Assumptions'!$A$1:$A$32,0),MATCH($DR$1,'Rate Assumptions'!$A$1:$C$1,0))</f>
        <v>649.73677993559397</v>
      </c>
      <c r="EC51" s="279">
        <f>INDEX('Rate Assumptions'!$A$1:$C$32,MATCH('Success Allocation'!EC$3,'Rate Assumptions'!$A$1:$A$32,0),MATCH($DR$1,'Rate Assumptions'!$A$1:$C$1,0))</f>
        <v>433.15785329039602</v>
      </c>
      <c r="ED51" s="279">
        <f>INDEX('Rate Assumptions'!$A$1:$C$32,MATCH('Success Allocation'!ED$3,'Rate Assumptions'!$A$1:$A$32,0),MATCH($DR$1,'Rate Assumptions'!$A$1:$C$1,0))</f>
        <v>433.15785329039602</v>
      </c>
      <c r="EE51" s="279">
        <f>INDEX('Rate Assumptions'!$A$1:$C$32,MATCH('Success Allocation'!EE$3,'Rate Assumptions'!$A$1:$A$32,0),MATCH($DR$1,'Rate Assumptions'!$A$1:$C$1,0))</f>
        <v>216.57892664519801</v>
      </c>
      <c r="EF51" s="279">
        <f>INDEX('Rate Assumptions'!$A$1:$C$32,MATCH('Success Allocation'!EF$3,'Rate Assumptions'!$A$1:$A$32,0),MATCH($DR$1,'Rate Assumptions'!$A$1:$C$1,0))</f>
        <v>324.86838996779699</v>
      </c>
      <c r="EG51" s="280">
        <f>INDEX('Rate Assumptions'!$A$1:$C$32,MATCH('Success Allocation'!EG$3,'Rate Assumptions'!$A$1:$A$32,0),MATCH($DR$1,'Rate Assumptions'!$A$1:$C$1,0))</f>
        <v>216.57892664519801</v>
      </c>
      <c r="EH51" s="279">
        <f>INDEX('Rate Assumptions'!$A$1:$C$32,MATCH('Success Allocation'!EH$3,'Rate Assumptions'!$A$1:$A$32,0),MATCH($DR$1,'Rate Assumptions'!$A$1:$C$1,0))</f>
        <v>577.54380438719465</v>
      </c>
      <c r="EI51" s="279">
        <f>INDEX('Rate Assumptions'!$A$1:$C$32,MATCH('Success Allocation'!EI$3,'Rate Assumptions'!$A$1:$A$32,0),MATCH($DR$1,'Rate Assumptions'!$A$1:$C$1,0))</f>
        <v>433.15785329039602</v>
      </c>
      <c r="EJ51" s="279">
        <f>INDEX('Rate Assumptions'!$A$1:$C$32,MATCH('Success Allocation'!EJ$3,'Rate Assumptions'!$A$1:$A$32,0),MATCH($DR$1,'Rate Assumptions'!$A$1:$C$1,0))</f>
        <v>433.15785329039602</v>
      </c>
      <c r="EK51" s="279">
        <f>INDEX('Rate Assumptions'!$A$1:$C$32,MATCH('Success Allocation'!EK$3,'Rate Assumptions'!$A$1:$A$32,0),MATCH($DR$1,'Rate Assumptions'!$A$1:$C$1,0))</f>
        <v>288.77190219359733</v>
      </c>
      <c r="EL51" s="279">
        <f>INDEX('Rate Assumptions'!$A$1:$C$32,MATCH('Success Allocation'!EL$3,'Rate Assumptions'!$A$1:$A$32,0),MATCH($DR$1,'Rate Assumptions'!$A$1:$C$1,0))</f>
        <v>288.77190219359733</v>
      </c>
      <c r="EM51" s="279">
        <f>INDEX('Rate Assumptions'!$A$1:$C$32,MATCH('Success Allocation'!EM$3,'Rate Assumptions'!$A$1:$A$32,0),MATCH($DR$1,'Rate Assumptions'!$A$1:$C$1,0))</f>
        <v>144.38595109679866</v>
      </c>
      <c r="EN51" s="279">
        <f>INDEX('Rate Assumptions'!$A$1:$C$32,MATCH('Success Allocation'!EN$3,'Rate Assumptions'!$A$1:$A$32,0),MATCH($DR$1,'Rate Assumptions'!$A$1:$C$1,0))</f>
        <v>216.57892664519801</v>
      </c>
      <c r="EO51" s="281">
        <f>INDEX('Rate Assumptions'!$A$1:$C$32,MATCH('Success Allocation'!EO$3,'Rate Assumptions'!$A$1:$A$32,0),MATCH($DR$1,'Rate Assumptions'!$A$1:$C$1,0))</f>
        <v>144.38595109679866</v>
      </c>
      <c r="EP51" s="170">
        <f t="shared" si="50"/>
        <v>28245982.535671912</v>
      </c>
    </row>
    <row r="52" spans="1:146">
      <c r="A52" s="223" t="s">
        <v>139</v>
      </c>
      <c r="B52" s="226">
        <v>214</v>
      </c>
      <c r="C52" s="226">
        <v>743</v>
      </c>
      <c r="D52" s="226">
        <v>0</v>
      </c>
      <c r="E52" s="226">
        <v>400</v>
      </c>
      <c r="F52" s="226">
        <v>214</v>
      </c>
      <c r="G52" s="227">
        <v>3538</v>
      </c>
      <c r="H52" s="226">
        <v>2050</v>
      </c>
      <c r="I52" s="228">
        <v>3140</v>
      </c>
      <c r="J52" s="226">
        <v>123</v>
      </c>
      <c r="K52" s="226">
        <v>392</v>
      </c>
      <c r="L52" s="226">
        <v>0</v>
      </c>
      <c r="M52" s="226">
        <v>176</v>
      </c>
      <c r="N52" s="226">
        <v>81</v>
      </c>
      <c r="O52" s="227">
        <v>1169</v>
      </c>
      <c r="P52" s="226">
        <v>884</v>
      </c>
      <c r="Q52" s="228">
        <v>392</v>
      </c>
      <c r="R52" s="226">
        <v>159</v>
      </c>
      <c r="S52" s="226">
        <v>557</v>
      </c>
      <c r="T52" s="226">
        <v>0</v>
      </c>
      <c r="U52" s="226">
        <v>282</v>
      </c>
      <c r="V52" s="226">
        <v>119</v>
      </c>
      <c r="W52" s="227">
        <v>2017</v>
      </c>
      <c r="X52" s="226">
        <v>1294</v>
      </c>
      <c r="Y52" s="234">
        <v>785</v>
      </c>
      <c r="Z52" s="237">
        <v>250</v>
      </c>
      <c r="AA52" s="237">
        <v>783</v>
      </c>
      <c r="AB52" s="237">
        <v>0</v>
      </c>
      <c r="AC52" s="237">
        <v>446</v>
      </c>
      <c r="AD52" s="237">
        <v>298</v>
      </c>
      <c r="AE52" s="237">
        <v>4363</v>
      </c>
      <c r="AF52" s="237">
        <v>1930</v>
      </c>
      <c r="AG52" s="228">
        <v>3001</v>
      </c>
      <c r="AH52" s="237">
        <v>131</v>
      </c>
      <c r="AI52" s="237">
        <v>411</v>
      </c>
      <c r="AJ52" s="237">
        <v>0</v>
      </c>
      <c r="AK52" s="237">
        <v>159</v>
      </c>
      <c r="AL52" s="237">
        <v>91</v>
      </c>
      <c r="AM52" s="237">
        <v>1293</v>
      </c>
      <c r="AN52" s="237">
        <v>797</v>
      </c>
      <c r="AO52" s="228">
        <v>375</v>
      </c>
      <c r="AP52" s="237">
        <v>178</v>
      </c>
      <c r="AQ52" s="237">
        <v>587</v>
      </c>
      <c r="AR52" s="237">
        <v>0</v>
      </c>
      <c r="AS52" s="237">
        <v>286</v>
      </c>
      <c r="AT52" s="237">
        <v>146</v>
      </c>
      <c r="AU52" s="238">
        <v>2360</v>
      </c>
      <c r="AV52" s="237">
        <v>1215</v>
      </c>
      <c r="AW52" s="234">
        <v>738</v>
      </c>
      <c r="AX52" s="237"/>
      <c r="AY52" s="237"/>
      <c r="AZ52" s="237"/>
      <c r="BA52" s="237"/>
      <c r="BB52" s="237"/>
      <c r="BC52" s="237"/>
      <c r="BD52" s="237"/>
      <c r="BF52" s="237"/>
      <c r="BG52" s="237"/>
      <c r="BH52" s="237"/>
      <c r="BI52" s="237"/>
      <c r="BJ52" s="237"/>
      <c r="BK52" s="237"/>
      <c r="BL52" s="237"/>
      <c r="BN52" s="237"/>
      <c r="BO52" s="237"/>
      <c r="BP52" s="237"/>
      <c r="BQ52" s="237"/>
      <c r="BR52" s="237"/>
      <c r="BS52" s="238"/>
      <c r="BT52" s="237"/>
      <c r="BV52" s="264">
        <f t="shared" si="2"/>
        <v>286</v>
      </c>
      <c r="BW52" s="264">
        <f t="shared" si="3"/>
        <v>823</v>
      </c>
      <c r="BX52" s="264">
        <f t="shared" si="4"/>
        <v>0</v>
      </c>
      <c r="BY52" s="264">
        <f t="shared" si="5"/>
        <v>492</v>
      </c>
      <c r="BZ52" s="264">
        <f t="shared" si="6"/>
        <v>382</v>
      </c>
      <c r="CA52" s="264">
        <f t="shared" si="7"/>
        <v>5188</v>
      </c>
      <c r="CB52" s="264">
        <f t="shared" si="8"/>
        <v>1810</v>
      </c>
      <c r="CC52" s="265">
        <f t="shared" si="9"/>
        <v>2862</v>
      </c>
      <c r="CD52" s="264">
        <f t="shared" si="10"/>
        <v>139</v>
      </c>
      <c r="CE52" s="264">
        <f t="shared" si="11"/>
        <v>430</v>
      </c>
      <c r="CF52" s="264">
        <f t="shared" si="12"/>
        <v>0</v>
      </c>
      <c r="CG52" s="264">
        <f t="shared" si="13"/>
        <v>142</v>
      </c>
      <c r="CH52" s="264">
        <f t="shared" si="14"/>
        <v>101</v>
      </c>
      <c r="CI52" s="264">
        <f t="shared" si="15"/>
        <v>1417</v>
      </c>
      <c r="CJ52" s="264">
        <f t="shared" si="16"/>
        <v>710</v>
      </c>
      <c r="CK52" s="265">
        <f t="shared" si="17"/>
        <v>358</v>
      </c>
      <c r="CL52" s="264">
        <f t="shared" si="18"/>
        <v>197</v>
      </c>
      <c r="CM52" s="264">
        <f t="shared" si="19"/>
        <v>617</v>
      </c>
      <c r="CN52" s="264">
        <f t="shared" si="20"/>
        <v>0</v>
      </c>
      <c r="CO52" s="264">
        <f t="shared" si="21"/>
        <v>290</v>
      </c>
      <c r="CP52" s="264">
        <f t="shared" si="22"/>
        <v>173</v>
      </c>
      <c r="CQ52" s="264">
        <f t="shared" si="23"/>
        <v>2703</v>
      </c>
      <c r="CR52" s="264">
        <f t="shared" si="24"/>
        <v>1136</v>
      </c>
      <c r="CS52" s="266">
        <f t="shared" si="25"/>
        <v>691</v>
      </c>
      <c r="CT52" s="264">
        <f t="shared" si="26"/>
        <v>250</v>
      </c>
      <c r="CU52" s="264">
        <f t="shared" si="27"/>
        <v>783</v>
      </c>
      <c r="CV52" s="264">
        <f t="shared" si="28"/>
        <v>0</v>
      </c>
      <c r="CW52" s="264">
        <f t="shared" si="29"/>
        <v>446</v>
      </c>
      <c r="CX52" s="264">
        <f t="shared" si="30"/>
        <v>298</v>
      </c>
      <c r="CY52" s="264">
        <f t="shared" si="31"/>
        <v>4363</v>
      </c>
      <c r="CZ52" s="264">
        <f t="shared" si="32"/>
        <v>1930</v>
      </c>
      <c r="DA52" s="265">
        <f t="shared" si="33"/>
        <v>3001</v>
      </c>
      <c r="DB52" s="264">
        <f t="shared" si="34"/>
        <v>131</v>
      </c>
      <c r="DC52" s="264">
        <f t="shared" si="35"/>
        <v>411</v>
      </c>
      <c r="DD52" s="264">
        <f t="shared" si="36"/>
        <v>0</v>
      </c>
      <c r="DE52" s="264">
        <f t="shared" si="37"/>
        <v>159</v>
      </c>
      <c r="DF52" s="264">
        <f t="shared" si="38"/>
        <v>91</v>
      </c>
      <c r="DG52" s="264">
        <f t="shared" si="39"/>
        <v>1293</v>
      </c>
      <c r="DH52" s="264">
        <f t="shared" si="40"/>
        <v>797</v>
      </c>
      <c r="DI52" s="265">
        <f t="shared" si="41"/>
        <v>375</v>
      </c>
      <c r="DJ52" s="264">
        <f t="shared" si="42"/>
        <v>178</v>
      </c>
      <c r="DK52" s="264">
        <f t="shared" si="43"/>
        <v>587</v>
      </c>
      <c r="DL52" s="264">
        <f t="shared" si="44"/>
        <v>0</v>
      </c>
      <c r="DM52" s="264">
        <f t="shared" si="45"/>
        <v>286</v>
      </c>
      <c r="DN52" s="264">
        <f t="shared" si="46"/>
        <v>146</v>
      </c>
      <c r="DO52" s="264">
        <f t="shared" si="47"/>
        <v>2360</v>
      </c>
      <c r="DP52" s="264">
        <f t="shared" si="48"/>
        <v>1215</v>
      </c>
      <c r="DQ52" s="266">
        <f t="shared" si="49"/>
        <v>738</v>
      </c>
      <c r="DR52" s="279">
        <f>INDEX('Rate Assumptions'!$A$1:$C$32,MATCH('Success Allocation'!DR$3,'Rate Assumptions'!$A$1:$A$32,0),MATCH($DR$1,'Rate Assumptions'!$A$1:$C$1,0))</f>
        <v>2291.7551696336809</v>
      </c>
      <c r="DS52" s="279">
        <f>INDEX('Rate Assumptions'!$A$1:$C$32,MATCH('Success Allocation'!DS$3,'Rate Assumptions'!$A$1:$A$32,0),MATCH($DR$1,'Rate Assumptions'!$A$1:$C$1,0))</f>
        <v>1718.8163772252606</v>
      </c>
      <c r="DT52" s="279">
        <f>INDEX('Rate Assumptions'!$A$1:$C$32,MATCH('Success Allocation'!DT$3,'Rate Assumptions'!$A$1:$A$32,0),MATCH($DR$1,'Rate Assumptions'!$A$1:$C$1,0))</f>
        <v>1718.8163772252606</v>
      </c>
      <c r="DU52" s="279">
        <f>INDEX('Rate Assumptions'!$A$1:$C$32,MATCH('Success Allocation'!DU$3,'Rate Assumptions'!$A$1:$A$32,0),MATCH($DR$1,'Rate Assumptions'!$A$1:$C$1,0))</f>
        <v>1145.8775848168405</v>
      </c>
      <c r="DV52" s="279">
        <f>INDEX('Rate Assumptions'!$A$1:$C$32,MATCH('Success Allocation'!DV$3,'Rate Assumptions'!$A$1:$A$32,0),MATCH($DR$1,'Rate Assumptions'!$A$1:$C$1,0))</f>
        <v>1145.8775848168405</v>
      </c>
      <c r="DW52" s="279">
        <f>INDEX('Rate Assumptions'!$A$1:$C$32,MATCH('Success Allocation'!DW$3,'Rate Assumptions'!$A$1:$A$32,0),MATCH($DR$1,'Rate Assumptions'!$A$1:$C$1,0))</f>
        <v>572.93879240842023</v>
      </c>
      <c r="DX52" s="279">
        <f>INDEX('Rate Assumptions'!$A$1:$C$32,MATCH('Success Allocation'!DX$3,'Rate Assumptions'!$A$1:$A$32,0),MATCH($DR$1,'Rate Assumptions'!$A$1:$C$1,0))</f>
        <v>859.40818861263028</v>
      </c>
      <c r="DY52" s="280">
        <f>INDEX('Rate Assumptions'!$A$1:$C$32,MATCH('Success Allocation'!DY$3,'Rate Assumptions'!$A$1:$A$32,0),MATCH($DR$1,'Rate Assumptions'!$A$1:$C$1,0))</f>
        <v>572.93879240842023</v>
      </c>
      <c r="DZ52" s="279">
        <f>INDEX('Rate Assumptions'!$A$1:$C$32,MATCH('Success Allocation'!DZ$3,'Rate Assumptions'!$A$1:$A$32,0),MATCH($DR$1,'Rate Assumptions'!$A$1:$C$1,0))</f>
        <v>866.31570658079204</v>
      </c>
      <c r="EA52" s="279">
        <f>INDEX('Rate Assumptions'!$A$1:$C$32,MATCH('Success Allocation'!EA$3,'Rate Assumptions'!$A$1:$A$32,0),MATCH($DR$1,'Rate Assumptions'!$A$1:$C$1,0))</f>
        <v>649.73677993559397</v>
      </c>
      <c r="EB52" s="279">
        <f>INDEX('Rate Assumptions'!$A$1:$C$32,MATCH('Success Allocation'!EB$3,'Rate Assumptions'!$A$1:$A$32,0),MATCH($DR$1,'Rate Assumptions'!$A$1:$C$1,0))</f>
        <v>649.73677993559397</v>
      </c>
      <c r="EC52" s="279">
        <f>INDEX('Rate Assumptions'!$A$1:$C$32,MATCH('Success Allocation'!EC$3,'Rate Assumptions'!$A$1:$A$32,0),MATCH($DR$1,'Rate Assumptions'!$A$1:$C$1,0))</f>
        <v>433.15785329039602</v>
      </c>
      <c r="ED52" s="279">
        <f>INDEX('Rate Assumptions'!$A$1:$C$32,MATCH('Success Allocation'!ED$3,'Rate Assumptions'!$A$1:$A$32,0),MATCH($DR$1,'Rate Assumptions'!$A$1:$C$1,0))</f>
        <v>433.15785329039602</v>
      </c>
      <c r="EE52" s="279">
        <f>INDEX('Rate Assumptions'!$A$1:$C$32,MATCH('Success Allocation'!EE$3,'Rate Assumptions'!$A$1:$A$32,0),MATCH($DR$1,'Rate Assumptions'!$A$1:$C$1,0))</f>
        <v>216.57892664519801</v>
      </c>
      <c r="EF52" s="279">
        <f>INDEX('Rate Assumptions'!$A$1:$C$32,MATCH('Success Allocation'!EF$3,'Rate Assumptions'!$A$1:$A$32,0),MATCH($DR$1,'Rate Assumptions'!$A$1:$C$1,0))</f>
        <v>324.86838996779699</v>
      </c>
      <c r="EG52" s="280">
        <f>INDEX('Rate Assumptions'!$A$1:$C$32,MATCH('Success Allocation'!EG$3,'Rate Assumptions'!$A$1:$A$32,0),MATCH($DR$1,'Rate Assumptions'!$A$1:$C$1,0))</f>
        <v>216.57892664519801</v>
      </c>
      <c r="EH52" s="279">
        <f>INDEX('Rate Assumptions'!$A$1:$C$32,MATCH('Success Allocation'!EH$3,'Rate Assumptions'!$A$1:$A$32,0),MATCH($DR$1,'Rate Assumptions'!$A$1:$C$1,0))</f>
        <v>577.54380438719465</v>
      </c>
      <c r="EI52" s="279">
        <f>INDEX('Rate Assumptions'!$A$1:$C$32,MATCH('Success Allocation'!EI$3,'Rate Assumptions'!$A$1:$A$32,0),MATCH($DR$1,'Rate Assumptions'!$A$1:$C$1,0))</f>
        <v>433.15785329039602</v>
      </c>
      <c r="EJ52" s="279">
        <f>INDEX('Rate Assumptions'!$A$1:$C$32,MATCH('Success Allocation'!EJ$3,'Rate Assumptions'!$A$1:$A$32,0),MATCH($DR$1,'Rate Assumptions'!$A$1:$C$1,0))</f>
        <v>433.15785329039602</v>
      </c>
      <c r="EK52" s="279">
        <f>INDEX('Rate Assumptions'!$A$1:$C$32,MATCH('Success Allocation'!EK$3,'Rate Assumptions'!$A$1:$A$32,0),MATCH($DR$1,'Rate Assumptions'!$A$1:$C$1,0))</f>
        <v>288.77190219359733</v>
      </c>
      <c r="EL52" s="279">
        <f>INDEX('Rate Assumptions'!$A$1:$C$32,MATCH('Success Allocation'!EL$3,'Rate Assumptions'!$A$1:$A$32,0),MATCH($DR$1,'Rate Assumptions'!$A$1:$C$1,0))</f>
        <v>288.77190219359733</v>
      </c>
      <c r="EM52" s="279">
        <f>INDEX('Rate Assumptions'!$A$1:$C$32,MATCH('Success Allocation'!EM$3,'Rate Assumptions'!$A$1:$A$32,0),MATCH($DR$1,'Rate Assumptions'!$A$1:$C$1,0))</f>
        <v>144.38595109679866</v>
      </c>
      <c r="EN52" s="279">
        <f>INDEX('Rate Assumptions'!$A$1:$C$32,MATCH('Success Allocation'!EN$3,'Rate Assumptions'!$A$1:$A$32,0),MATCH($DR$1,'Rate Assumptions'!$A$1:$C$1,0))</f>
        <v>216.57892664519801</v>
      </c>
      <c r="EO52" s="281">
        <f>INDEX('Rate Assumptions'!$A$1:$C$32,MATCH('Success Allocation'!EO$3,'Rate Assumptions'!$A$1:$A$32,0),MATCH($DR$1,'Rate Assumptions'!$A$1:$C$1,0))</f>
        <v>144.38595109679866</v>
      </c>
      <c r="EP52" s="170">
        <f t="shared" si="50"/>
        <v>11610172.66933872</v>
      </c>
    </row>
    <row r="53" spans="1:146">
      <c r="A53" s="223" t="s">
        <v>140</v>
      </c>
      <c r="B53" s="226">
        <v>191</v>
      </c>
      <c r="C53" s="226">
        <v>1468</v>
      </c>
      <c r="D53" s="226">
        <v>0</v>
      </c>
      <c r="E53" s="226">
        <v>336</v>
      </c>
      <c r="F53" s="226">
        <v>179</v>
      </c>
      <c r="G53" s="227">
        <v>3453</v>
      </c>
      <c r="H53" s="226">
        <v>1446</v>
      </c>
      <c r="I53" s="228">
        <v>2804</v>
      </c>
      <c r="J53" s="226">
        <v>116</v>
      </c>
      <c r="K53" s="226">
        <v>873</v>
      </c>
      <c r="L53" s="226">
        <v>0</v>
      </c>
      <c r="M53" s="226">
        <v>214</v>
      </c>
      <c r="N53" s="226">
        <v>77</v>
      </c>
      <c r="O53" s="227">
        <v>2071</v>
      </c>
      <c r="P53" s="226">
        <v>644</v>
      </c>
      <c r="Q53" s="228">
        <v>1335</v>
      </c>
      <c r="R53" s="226">
        <v>147</v>
      </c>
      <c r="S53" s="226">
        <v>1198</v>
      </c>
      <c r="T53" s="226">
        <v>0</v>
      </c>
      <c r="U53" s="226">
        <v>282</v>
      </c>
      <c r="V53" s="226">
        <v>113</v>
      </c>
      <c r="W53" s="227">
        <v>2799</v>
      </c>
      <c r="X53" s="226">
        <v>993</v>
      </c>
      <c r="Y53" s="234">
        <v>2073</v>
      </c>
      <c r="Z53" s="237">
        <v>213</v>
      </c>
      <c r="AA53" s="237">
        <v>1384</v>
      </c>
      <c r="AB53" s="237">
        <v>0</v>
      </c>
      <c r="AC53" s="237">
        <v>410</v>
      </c>
      <c r="AD53" s="237">
        <v>248</v>
      </c>
      <c r="AE53" s="237">
        <v>3268</v>
      </c>
      <c r="AF53" s="237">
        <v>1710</v>
      </c>
      <c r="AG53" s="228">
        <v>3059</v>
      </c>
      <c r="AH53" s="237">
        <v>133</v>
      </c>
      <c r="AI53" s="237">
        <v>789</v>
      </c>
      <c r="AJ53" s="237">
        <v>0</v>
      </c>
      <c r="AK53" s="237">
        <v>208</v>
      </c>
      <c r="AL53" s="237">
        <v>109</v>
      </c>
      <c r="AM53" s="237">
        <v>1831</v>
      </c>
      <c r="AN53" s="237">
        <v>721</v>
      </c>
      <c r="AO53" s="228">
        <v>1390</v>
      </c>
      <c r="AP53" s="237">
        <v>174</v>
      </c>
      <c r="AQ53" s="237">
        <v>1116</v>
      </c>
      <c r="AR53" s="237">
        <v>0</v>
      </c>
      <c r="AS53" s="237">
        <v>297</v>
      </c>
      <c r="AT53" s="237">
        <v>161</v>
      </c>
      <c r="AU53" s="238">
        <v>2554</v>
      </c>
      <c r="AV53" s="237">
        <v>1170</v>
      </c>
      <c r="AW53" s="234">
        <v>2228</v>
      </c>
      <c r="AX53" s="237"/>
      <c r="AY53" s="237"/>
      <c r="AZ53" s="237"/>
      <c r="BA53" s="237"/>
      <c r="BB53" s="237"/>
      <c r="BC53" s="237"/>
      <c r="BD53" s="237"/>
      <c r="BF53" s="237"/>
      <c r="BG53" s="237"/>
      <c r="BH53" s="237"/>
      <c r="BI53" s="237"/>
      <c r="BJ53" s="237"/>
      <c r="BK53" s="237"/>
      <c r="BL53" s="237"/>
      <c r="BN53" s="237"/>
      <c r="BO53" s="237"/>
      <c r="BP53" s="237"/>
      <c r="BQ53" s="237"/>
      <c r="BR53" s="237"/>
      <c r="BS53" s="238"/>
      <c r="BT53" s="237"/>
      <c r="BV53" s="264">
        <f t="shared" si="2"/>
        <v>235</v>
      </c>
      <c r="BW53" s="264">
        <f t="shared" si="3"/>
        <v>1300</v>
      </c>
      <c r="BX53" s="264">
        <f t="shared" si="4"/>
        <v>0</v>
      </c>
      <c r="BY53" s="264">
        <f t="shared" si="5"/>
        <v>484</v>
      </c>
      <c r="BZ53" s="264">
        <f t="shared" si="6"/>
        <v>317</v>
      </c>
      <c r="CA53" s="264">
        <f t="shared" si="7"/>
        <v>3083</v>
      </c>
      <c r="CB53" s="264">
        <f t="shared" si="8"/>
        <v>1974</v>
      </c>
      <c r="CC53" s="265">
        <f t="shared" si="9"/>
        <v>3314</v>
      </c>
      <c r="CD53" s="264">
        <f t="shared" si="10"/>
        <v>150</v>
      </c>
      <c r="CE53" s="264">
        <f t="shared" si="11"/>
        <v>705</v>
      </c>
      <c r="CF53" s="264">
        <f t="shared" si="12"/>
        <v>0</v>
      </c>
      <c r="CG53" s="264">
        <f t="shared" si="13"/>
        <v>202</v>
      </c>
      <c r="CH53" s="264">
        <f t="shared" si="14"/>
        <v>141</v>
      </c>
      <c r="CI53" s="264">
        <f t="shared" si="15"/>
        <v>1591</v>
      </c>
      <c r="CJ53" s="264">
        <f t="shared" si="16"/>
        <v>798</v>
      </c>
      <c r="CK53" s="265">
        <f t="shared" si="17"/>
        <v>1445</v>
      </c>
      <c r="CL53" s="264">
        <f t="shared" si="18"/>
        <v>201</v>
      </c>
      <c r="CM53" s="264">
        <f t="shared" si="19"/>
        <v>1034</v>
      </c>
      <c r="CN53" s="264">
        <f t="shared" si="20"/>
        <v>0</v>
      </c>
      <c r="CO53" s="264">
        <f t="shared" si="21"/>
        <v>312</v>
      </c>
      <c r="CP53" s="264">
        <f t="shared" si="22"/>
        <v>209</v>
      </c>
      <c r="CQ53" s="264">
        <f t="shared" si="23"/>
        <v>2309</v>
      </c>
      <c r="CR53" s="264">
        <f t="shared" si="24"/>
        <v>1347</v>
      </c>
      <c r="CS53" s="266">
        <f t="shared" si="25"/>
        <v>2383</v>
      </c>
      <c r="CT53" s="264">
        <f t="shared" si="26"/>
        <v>213</v>
      </c>
      <c r="CU53" s="264">
        <f t="shared" si="27"/>
        <v>1384</v>
      </c>
      <c r="CV53" s="264">
        <f t="shared" si="28"/>
        <v>0</v>
      </c>
      <c r="CW53" s="264">
        <f t="shared" si="29"/>
        <v>410</v>
      </c>
      <c r="CX53" s="264">
        <f t="shared" si="30"/>
        <v>248</v>
      </c>
      <c r="CY53" s="264">
        <f t="shared" si="31"/>
        <v>3268</v>
      </c>
      <c r="CZ53" s="264">
        <f t="shared" si="32"/>
        <v>1710</v>
      </c>
      <c r="DA53" s="265">
        <f t="shared" si="33"/>
        <v>3059</v>
      </c>
      <c r="DB53" s="264">
        <f t="shared" si="34"/>
        <v>133</v>
      </c>
      <c r="DC53" s="264">
        <f t="shared" si="35"/>
        <v>789</v>
      </c>
      <c r="DD53" s="264">
        <f t="shared" si="36"/>
        <v>0</v>
      </c>
      <c r="DE53" s="264">
        <f t="shared" si="37"/>
        <v>208</v>
      </c>
      <c r="DF53" s="264">
        <f t="shared" si="38"/>
        <v>109</v>
      </c>
      <c r="DG53" s="264">
        <f t="shared" si="39"/>
        <v>1831</v>
      </c>
      <c r="DH53" s="264">
        <f t="shared" si="40"/>
        <v>721</v>
      </c>
      <c r="DI53" s="265">
        <f t="shared" si="41"/>
        <v>1390</v>
      </c>
      <c r="DJ53" s="264">
        <f t="shared" si="42"/>
        <v>174</v>
      </c>
      <c r="DK53" s="264">
        <f t="shared" si="43"/>
        <v>1116</v>
      </c>
      <c r="DL53" s="264">
        <f t="shared" si="44"/>
        <v>0</v>
      </c>
      <c r="DM53" s="264">
        <f t="shared" si="45"/>
        <v>297</v>
      </c>
      <c r="DN53" s="264">
        <f t="shared" si="46"/>
        <v>161</v>
      </c>
      <c r="DO53" s="264">
        <f t="shared" si="47"/>
        <v>2554</v>
      </c>
      <c r="DP53" s="264">
        <f t="shared" si="48"/>
        <v>1170</v>
      </c>
      <c r="DQ53" s="266">
        <f t="shared" si="49"/>
        <v>2228</v>
      </c>
      <c r="DR53" s="279">
        <f>INDEX('Rate Assumptions'!$A$1:$C$32,MATCH('Success Allocation'!DR$3,'Rate Assumptions'!$A$1:$A$32,0),MATCH($DR$1,'Rate Assumptions'!$A$1:$C$1,0))</f>
        <v>2291.7551696336809</v>
      </c>
      <c r="DS53" s="279">
        <f>INDEX('Rate Assumptions'!$A$1:$C$32,MATCH('Success Allocation'!DS$3,'Rate Assumptions'!$A$1:$A$32,0),MATCH($DR$1,'Rate Assumptions'!$A$1:$C$1,0))</f>
        <v>1718.8163772252606</v>
      </c>
      <c r="DT53" s="279">
        <f>INDEX('Rate Assumptions'!$A$1:$C$32,MATCH('Success Allocation'!DT$3,'Rate Assumptions'!$A$1:$A$32,0),MATCH($DR$1,'Rate Assumptions'!$A$1:$C$1,0))</f>
        <v>1718.8163772252606</v>
      </c>
      <c r="DU53" s="279">
        <f>INDEX('Rate Assumptions'!$A$1:$C$32,MATCH('Success Allocation'!DU$3,'Rate Assumptions'!$A$1:$A$32,0),MATCH($DR$1,'Rate Assumptions'!$A$1:$C$1,0))</f>
        <v>1145.8775848168405</v>
      </c>
      <c r="DV53" s="279">
        <f>INDEX('Rate Assumptions'!$A$1:$C$32,MATCH('Success Allocation'!DV$3,'Rate Assumptions'!$A$1:$A$32,0),MATCH($DR$1,'Rate Assumptions'!$A$1:$C$1,0))</f>
        <v>1145.8775848168405</v>
      </c>
      <c r="DW53" s="279">
        <f>INDEX('Rate Assumptions'!$A$1:$C$32,MATCH('Success Allocation'!DW$3,'Rate Assumptions'!$A$1:$A$32,0),MATCH($DR$1,'Rate Assumptions'!$A$1:$C$1,0))</f>
        <v>572.93879240842023</v>
      </c>
      <c r="DX53" s="279">
        <f>INDEX('Rate Assumptions'!$A$1:$C$32,MATCH('Success Allocation'!DX$3,'Rate Assumptions'!$A$1:$A$32,0),MATCH($DR$1,'Rate Assumptions'!$A$1:$C$1,0))</f>
        <v>859.40818861263028</v>
      </c>
      <c r="DY53" s="280">
        <f>INDEX('Rate Assumptions'!$A$1:$C$32,MATCH('Success Allocation'!DY$3,'Rate Assumptions'!$A$1:$A$32,0),MATCH($DR$1,'Rate Assumptions'!$A$1:$C$1,0))</f>
        <v>572.93879240842023</v>
      </c>
      <c r="DZ53" s="279">
        <f>INDEX('Rate Assumptions'!$A$1:$C$32,MATCH('Success Allocation'!DZ$3,'Rate Assumptions'!$A$1:$A$32,0),MATCH($DR$1,'Rate Assumptions'!$A$1:$C$1,0))</f>
        <v>866.31570658079204</v>
      </c>
      <c r="EA53" s="279">
        <f>INDEX('Rate Assumptions'!$A$1:$C$32,MATCH('Success Allocation'!EA$3,'Rate Assumptions'!$A$1:$A$32,0),MATCH($DR$1,'Rate Assumptions'!$A$1:$C$1,0))</f>
        <v>649.73677993559397</v>
      </c>
      <c r="EB53" s="279">
        <f>INDEX('Rate Assumptions'!$A$1:$C$32,MATCH('Success Allocation'!EB$3,'Rate Assumptions'!$A$1:$A$32,0),MATCH($DR$1,'Rate Assumptions'!$A$1:$C$1,0))</f>
        <v>649.73677993559397</v>
      </c>
      <c r="EC53" s="279">
        <f>INDEX('Rate Assumptions'!$A$1:$C$32,MATCH('Success Allocation'!EC$3,'Rate Assumptions'!$A$1:$A$32,0),MATCH($DR$1,'Rate Assumptions'!$A$1:$C$1,0))</f>
        <v>433.15785329039602</v>
      </c>
      <c r="ED53" s="279">
        <f>INDEX('Rate Assumptions'!$A$1:$C$32,MATCH('Success Allocation'!ED$3,'Rate Assumptions'!$A$1:$A$32,0),MATCH($DR$1,'Rate Assumptions'!$A$1:$C$1,0))</f>
        <v>433.15785329039602</v>
      </c>
      <c r="EE53" s="279">
        <f>INDEX('Rate Assumptions'!$A$1:$C$32,MATCH('Success Allocation'!EE$3,'Rate Assumptions'!$A$1:$A$32,0),MATCH($DR$1,'Rate Assumptions'!$A$1:$C$1,0))</f>
        <v>216.57892664519801</v>
      </c>
      <c r="EF53" s="279">
        <f>INDEX('Rate Assumptions'!$A$1:$C$32,MATCH('Success Allocation'!EF$3,'Rate Assumptions'!$A$1:$A$32,0),MATCH($DR$1,'Rate Assumptions'!$A$1:$C$1,0))</f>
        <v>324.86838996779699</v>
      </c>
      <c r="EG53" s="280">
        <f>INDEX('Rate Assumptions'!$A$1:$C$32,MATCH('Success Allocation'!EG$3,'Rate Assumptions'!$A$1:$A$32,0),MATCH($DR$1,'Rate Assumptions'!$A$1:$C$1,0))</f>
        <v>216.57892664519801</v>
      </c>
      <c r="EH53" s="279">
        <f>INDEX('Rate Assumptions'!$A$1:$C$32,MATCH('Success Allocation'!EH$3,'Rate Assumptions'!$A$1:$A$32,0),MATCH($DR$1,'Rate Assumptions'!$A$1:$C$1,0))</f>
        <v>577.54380438719465</v>
      </c>
      <c r="EI53" s="279">
        <f>INDEX('Rate Assumptions'!$A$1:$C$32,MATCH('Success Allocation'!EI$3,'Rate Assumptions'!$A$1:$A$32,0),MATCH($DR$1,'Rate Assumptions'!$A$1:$C$1,0))</f>
        <v>433.15785329039602</v>
      </c>
      <c r="EJ53" s="279">
        <f>INDEX('Rate Assumptions'!$A$1:$C$32,MATCH('Success Allocation'!EJ$3,'Rate Assumptions'!$A$1:$A$32,0),MATCH($DR$1,'Rate Assumptions'!$A$1:$C$1,0))</f>
        <v>433.15785329039602</v>
      </c>
      <c r="EK53" s="279">
        <f>INDEX('Rate Assumptions'!$A$1:$C$32,MATCH('Success Allocation'!EK$3,'Rate Assumptions'!$A$1:$A$32,0),MATCH($DR$1,'Rate Assumptions'!$A$1:$C$1,0))</f>
        <v>288.77190219359733</v>
      </c>
      <c r="EL53" s="279">
        <f>INDEX('Rate Assumptions'!$A$1:$C$32,MATCH('Success Allocation'!EL$3,'Rate Assumptions'!$A$1:$A$32,0),MATCH($DR$1,'Rate Assumptions'!$A$1:$C$1,0))</f>
        <v>288.77190219359733</v>
      </c>
      <c r="EM53" s="279">
        <f>INDEX('Rate Assumptions'!$A$1:$C$32,MATCH('Success Allocation'!EM$3,'Rate Assumptions'!$A$1:$A$32,0),MATCH($DR$1,'Rate Assumptions'!$A$1:$C$1,0))</f>
        <v>144.38595109679866</v>
      </c>
      <c r="EN53" s="279">
        <f>INDEX('Rate Assumptions'!$A$1:$C$32,MATCH('Success Allocation'!EN$3,'Rate Assumptions'!$A$1:$A$32,0),MATCH($DR$1,'Rate Assumptions'!$A$1:$C$1,0))</f>
        <v>216.57892664519801</v>
      </c>
      <c r="EO53" s="281">
        <f>INDEX('Rate Assumptions'!$A$1:$C$32,MATCH('Success Allocation'!EO$3,'Rate Assumptions'!$A$1:$A$32,0),MATCH($DR$1,'Rate Assumptions'!$A$1:$C$1,0))</f>
        <v>144.38595109679866</v>
      </c>
      <c r="EP53" s="170">
        <f t="shared" si="50"/>
        <v>12389408.828826699</v>
      </c>
    </row>
    <row r="54" spans="1:146">
      <c r="A54" s="223" t="s">
        <v>141</v>
      </c>
      <c r="B54" s="226">
        <v>418</v>
      </c>
      <c r="C54" s="226">
        <v>559</v>
      </c>
      <c r="D54" s="226">
        <v>0</v>
      </c>
      <c r="E54" s="226">
        <v>284</v>
      </c>
      <c r="F54" s="226">
        <v>210</v>
      </c>
      <c r="G54" s="227">
        <v>1870</v>
      </c>
      <c r="H54" s="226">
        <v>1366</v>
      </c>
      <c r="I54" s="228">
        <v>1468</v>
      </c>
      <c r="J54" s="226">
        <v>239</v>
      </c>
      <c r="K54" s="226">
        <v>307</v>
      </c>
      <c r="L54" s="226">
        <v>0</v>
      </c>
      <c r="M54" s="226">
        <v>132</v>
      </c>
      <c r="N54" s="226">
        <v>74</v>
      </c>
      <c r="O54" s="227">
        <v>827</v>
      </c>
      <c r="P54" s="226">
        <v>543</v>
      </c>
      <c r="Q54" s="228">
        <v>353</v>
      </c>
      <c r="R54" s="226">
        <v>316</v>
      </c>
      <c r="S54" s="226">
        <v>430</v>
      </c>
      <c r="T54" s="226">
        <v>0</v>
      </c>
      <c r="U54" s="226">
        <v>201</v>
      </c>
      <c r="V54" s="226">
        <v>101</v>
      </c>
      <c r="W54" s="227">
        <v>1281</v>
      </c>
      <c r="X54" s="226">
        <v>857</v>
      </c>
      <c r="Y54" s="234">
        <v>724</v>
      </c>
      <c r="Z54" s="237">
        <v>540</v>
      </c>
      <c r="AA54" s="237">
        <v>534</v>
      </c>
      <c r="AB54" s="237">
        <v>0</v>
      </c>
      <c r="AC54" s="237">
        <v>310</v>
      </c>
      <c r="AD54" s="237">
        <v>300</v>
      </c>
      <c r="AE54" s="237">
        <v>1728</v>
      </c>
      <c r="AF54" s="237">
        <v>1296</v>
      </c>
      <c r="AG54" s="228">
        <v>1596</v>
      </c>
      <c r="AH54" s="237">
        <v>302</v>
      </c>
      <c r="AI54" s="237">
        <v>294</v>
      </c>
      <c r="AJ54" s="237">
        <v>0</v>
      </c>
      <c r="AK54" s="237">
        <v>140</v>
      </c>
      <c r="AL54" s="237">
        <v>107</v>
      </c>
      <c r="AM54" s="237">
        <v>758</v>
      </c>
      <c r="AN54" s="237">
        <v>527</v>
      </c>
      <c r="AO54" s="228">
        <v>383</v>
      </c>
      <c r="AP54" s="237">
        <v>417</v>
      </c>
      <c r="AQ54" s="237">
        <v>419</v>
      </c>
      <c r="AR54" s="237">
        <v>0</v>
      </c>
      <c r="AS54" s="237">
        <v>214</v>
      </c>
      <c r="AT54" s="237">
        <v>171</v>
      </c>
      <c r="AU54" s="238">
        <v>1187</v>
      </c>
      <c r="AV54" s="237">
        <v>836</v>
      </c>
      <c r="AW54" s="234">
        <v>762</v>
      </c>
      <c r="AX54" s="237"/>
      <c r="AY54" s="237"/>
      <c r="AZ54" s="237"/>
      <c r="BA54" s="237"/>
      <c r="BB54" s="237"/>
      <c r="BC54" s="237"/>
      <c r="BD54" s="237"/>
      <c r="BF54" s="237"/>
      <c r="BG54" s="237"/>
      <c r="BH54" s="237"/>
      <c r="BI54" s="237"/>
      <c r="BJ54" s="237"/>
      <c r="BK54" s="237"/>
      <c r="BL54" s="237"/>
      <c r="BN54" s="237"/>
      <c r="BO54" s="237"/>
      <c r="BP54" s="237"/>
      <c r="BQ54" s="237"/>
      <c r="BR54" s="237"/>
      <c r="BS54" s="238"/>
      <c r="BT54" s="237"/>
      <c r="BV54" s="264">
        <f t="shared" si="2"/>
        <v>662</v>
      </c>
      <c r="BW54" s="264">
        <f t="shared" si="3"/>
        <v>509</v>
      </c>
      <c r="BX54" s="264">
        <f t="shared" si="4"/>
        <v>0</v>
      </c>
      <c r="BY54" s="264">
        <f t="shared" si="5"/>
        <v>336</v>
      </c>
      <c r="BZ54" s="264">
        <f t="shared" si="6"/>
        <v>390</v>
      </c>
      <c r="CA54" s="264">
        <f t="shared" si="7"/>
        <v>1586</v>
      </c>
      <c r="CB54" s="264">
        <f t="shared" si="8"/>
        <v>1226</v>
      </c>
      <c r="CC54" s="265">
        <f t="shared" si="9"/>
        <v>1724</v>
      </c>
      <c r="CD54" s="264">
        <f t="shared" si="10"/>
        <v>365</v>
      </c>
      <c r="CE54" s="264">
        <f t="shared" si="11"/>
        <v>281</v>
      </c>
      <c r="CF54" s="264">
        <f t="shared" si="12"/>
        <v>0</v>
      </c>
      <c r="CG54" s="264">
        <f t="shared" si="13"/>
        <v>148</v>
      </c>
      <c r="CH54" s="264">
        <f t="shared" si="14"/>
        <v>140</v>
      </c>
      <c r="CI54" s="264">
        <f t="shared" si="15"/>
        <v>689</v>
      </c>
      <c r="CJ54" s="264">
        <f t="shared" si="16"/>
        <v>511</v>
      </c>
      <c r="CK54" s="265">
        <f t="shared" si="17"/>
        <v>413</v>
      </c>
      <c r="CL54" s="264">
        <f t="shared" si="18"/>
        <v>518</v>
      </c>
      <c r="CM54" s="264">
        <f t="shared" si="19"/>
        <v>408</v>
      </c>
      <c r="CN54" s="264">
        <f t="shared" si="20"/>
        <v>0</v>
      </c>
      <c r="CO54" s="264">
        <f t="shared" si="21"/>
        <v>227</v>
      </c>
      <c r="CP54" s="264">
        <f t="shared" si="22"/>
        <v>241</v>
      </c>
      <c r="CQ54" s="264">
        <f t="shared" si="23"/>
        <v>1093</v>
      </c>
      <c r="CR54" s="264">
        <f t="shared" si="24"/>
        <v>815</v>
      </c>
      <c r="CS54" s="266">
        <f t="shared" si="25"/>
        <v>800</v>
      </c>
      <c r="CT54" s="264">
        <f t="shared" si="26"/>
        <v>540</v>
      </c>
      <c r="CU54" s="264">
        <f t="shared" si="27"/>
        <v>534</v>
      </c>
      <c r="CV54" s="264">
        <f t="shared" si="28"/>
        <v>0</v>
      </c>
      <c r="CW54" s="264">
        <f t="shared" si="29"/>
        <v>310</v>
      </c>
      <c r="CX54" s="264">
        <f t="shared" si="30"/>
        <v>300</v>
      </c>
      <c r="CY54" s="264">
        <f t="shared" si="31"/>
        <v>1728</v>
      </c>
      <c r="CZ54" s="264">
        <f t="shared" si="32"/>
        <v>1296</v>
      </c>
      <c r="DA54" s="265">
        <f t="shared" si="33"/>
        <v>1596</v>
      </c>
      <c r="DB54" s="264">
        <f t="shared" si="34"/>
        <v>302</v>
      </c>
      <c r="DC54" s="264">
        <f t="shared" si="35"/>
        <v>294</v>
      </c>
      <c r="DD54" s="264">
        <f t="shared" si="36"/>
        <v>0</v>
      </c>
      <c r="DE54" s="264">
        <f t="shared" si="37"/>
        <v>140</v>
      </c>
      <c r="DF54" s="264">
        <f t="shared" si="38"/>
        <v>107</v>
      </c>
      <c r="DG54" s="264">
        <f t="shared" si="39"/>
        <v>758</v>
      </c>
      <c r="DH54" s="264">
        <f t="shared" si="40"/>
        <v>527</v>
      </c>
      <c r="DI54" s="265">
        <f t="shared" si="41"/>
        <v>383</v>
      </c>
      <c r="DJ54" s="264">
        <f t="shared" si="42"/>
        <v>417</v>
      </c>
      <c r="DK54" s="264">
        <f t="shared" si="43"/>
        <v>419</v>
      </c>
      <c r="DL54" s="264">
        <f t="shared" si="44"/>
        <v>0</v>
      </c>
      <c r="DM54" s="264">
        <f t="shared" si="45"/>
        <v>214</v>
      </c>
      <c r="DN54" s="264">
        <f t="shared" si="46"/>
        <v>171</v>
      </c>
      <c r="DO54" s="264">
        <f t="shared" si="47"/>
        <v>1187</v>
      </c>
      <c r="DP54" s="264">
        <f t="shared" si="48"/>
        <v>836</v>
      </c>
      <c r="DQ54" s="266">
        <f t="shared" si="49"/>
        <v>762</v>
      </c>
      <c r="DR54" s="279">
        <f>INDEX('Rate Assumptions'!$A$1:$C$32,MATCH('Success Allocation'!DR$3,'Rate Assumptions'!$A$1:$A$32,0),MATCH($DR$1,'Rate Assumptions'!$A$1:$C$1,0))</f>
        <v>2291.7551696336809</v>
      </c>
      <c r="DS54" s="279">
        <f>INDEX('Rate Assumptions'!$A$1:$C$32,MATCH('Success Allocation'!DS$3,'Rate Assumptions'!$A$1:$A$32,0),MATCH($DR$1,'Rate Assumptions'!$A$1:$C$1,0))</f>
        <v>1718.8163772252606</v>
      </c>
      <c r="DT54" s="279">
        <f>INDEX('Rate Assumptions'!$A$1:$C$32,MATCH('Success Allocation'!DT$3,'Rate Assumptions'!$A$1:$A$32,0),MATCH($DR$1,'Rate Assumptions'!$A$1:$C$1,0))</f>
        <v>1718.8163772252606</v>
      </c>
      <c r="DU54" s="279">
        <f>INDEX('Rate Assumptions'!$A$1:$C$32,MATCH('Success Allocation'!DU$3,'Rate Assumptions'!$A$1:$A$32,0),MATCH($DR$1,'Rate Assumptions'!$A$1:$C$1,0))</f>
        <v>1145.8775848168405</v>
      </c>
      <c r="DV54" s="279">
        <f>INDEX('Rate Assumptions'!$A$1:$C$32,MATCH('Success Allocation'!DV$3,'Rate Assumptions'!$A$1:$A$32,0),MATCH($DR$1,'Rate Assumptions'!$A$1:$C$1,0))</f>
        <v>1145.8775848168405</v>
      </c>
      <c r="DW54" s="279">
        <f>INDEX('Rate Assumptions'!$A$1:$C$32,MATCH('Success Allocation'!DW$3,'Rate Assumptions'!$A$1:$A$32,0),MATCH($DR$1,'Rate Assumptions'!$A$1:$C$1,0))</f>
        <v>572.93879240842023</v>
      </c>
      <c r="DX54" s="279">
        <f>INDEX('Rate Assumptions'!$A$1:$C$32,MATCH('Success Allocation'!DX$3,'Rate Assumptions'!$A$1:$A$32,0),MATCH($DR$1,'Rate Assumptions'!$A$1:$C$1,0))</f>
        <v>859.40818861263028</v>
      </c>
      <c r="DY54" s="280">
        <f>INDEX('Rate Assumptions'!$A$1:$C$32,MATCH('Success Allocation'!DY$3,'Rate Assumptions'!$A$1:$A$32,0),MATCH($DR$1,'Rate Assumptions'!$A$1:$C$1,0))</f>
        <v>572.93879240842023</v>
      </c>
      <c r="DZ54" s="279">
        <f>INDEX('Rate Assumptions'!$A$1:$C$32,MATCH('Success Allocation'!DZ$3,'Rate Assumptions'!$A$1:$A$32,0),MATCH($DR$1,'Rate Assumptions'!$A$1:$C$1,0))</f>
        <v>866.31570658079204</v>
      </c>
      <c r="EA54" s="279">
        <f>INDEX('Rate Assumptions'!$A$1:$C$32,MATCH('Success Allocation'!EA$3,'Rate Assumptions'!$A$1:$A$32,0),MATCH($DR$1,'Rate Assumptions'!$A$1:$C$1,0))</f>
        <v>649.73677993559397</v>
      </c>
      <c r="EB54" s="279">
        <f>INDEX('Rate Assumptions'!$A$1:$C$32,MATCH('Success Allocation'!EB$3,'Rate Assumptions'!$A$1:$A$32,0),MATCH($DR$1,'Rate Assumptions'!$A$1:$C$1,0))</f>
        <v>649.73677993559397</v>
      </c>
      <c r="EC54" s="279">
        <f>INDEX('Rate Assumptions'!$A$1:$C$32,MATCH('Success Allocation'!EC$3,'Rate Assumptions'!$A$1:$A$32,0),MATCH($DR$1,'Rate Assumptions'!$A$1:$C$1,0))</f>
        <v>433.15785329039602</v>
      </c>
      <c r="ED54" s="279">
        <f>INDEX('Rate Assumptions'!$A$1:$C$32,MATCH('Success Allocation'!ED$3,'Rate Assumptions'!$A$1:$A$32,0),MATCH($DR$1,'Rate Assumptions'!$A$1:$C$1,0))</f>
        <v>433.15785329039602</v>
      </c>
      <c r="EE54" s="279">
        <f>INDEX('Rate Assumptions'!$A$1:$C$32,MATCH('Success Allocation'!EE$3,'Rate Assumptions'!$A$1:$A$32,0),MATCH($DR$1,'Rate Assumptions'!$A$1:$C$1,0))</f>
        <v>216.57892664519801</v>
      </c>
      <c r="EF54" s="279">
        <f>INDEX('Rate Assumptions'!$A$1:$C$32,MATCH('Success Allocation'!EF$3,'Rate Assumptions'!$A$1:$A$32,0),MATCH($DR$1,'Rate Assumptions'!$A$1:$C$1,0))</f>
        <v>324.86838996779699</v>
      </c>
      <c r="EG54" s="280">
        <f>INDEX('Rate Assumptions'!$A$1:$C$32,MATCH('Success Allocation'!EG$3,'Rate Assumptions'!$A$1:$A$32,0),MATCH($DR$1,'Rate Assumptions'!$A$1:$C$1,0))</f>
        <v>216.57892664519801</v>
      </c>
      <c r="EH54" s="279">
        <f>INDEX('Rate Assumptions'!$A$1:$C$32,MATCH('Success Allocation'!EH$3,'Rate Assumptions'!$A$1:$A$32,0),MATCH($DR$1,'Rate Assumptions'!$A$1:$C$1,0))</f>
        <v>577.54380438719465</v>
      </c>
      <c r="EI54" s="279">
        <f>INDEX('Rate Assumptions'!$A$1:$C$32,MATCH('Success Allocation'!EI$3,'Rate Assumptions'!$A$1:$A$32,0),MATCH($DR$1,'Rate Assumptions'!$A$1:$C$1,0))</f>
        <v>433.15785329039602</v>
      </c>
      <c r="EJ54" s="279">
        <f>INDEX('Rate Assumptions'!$A$1:$C$32,MATCH('Success Allocation'!EJ$3,'Rate Assumptions'!$A$1:$A$32,0),MATCH($DR$1,'Rate Assumptions'!$A$1:$C$1,0))</f>
        <v>433.15785329039602</v>
      </c>
      <c r="EK54" s="279">
        <f>INDEX('Rate Assumptions'!$A$1:$C$32,MATCH('Success Allocation'!EK$3,'Rate Assumptions'!$A$1:$A$32,0),MATCH($DR$1,'Rate Assumptions'!$A$1:$C$1,0))</f>
        <v>288.77190219359733</v>
      </c>
      <c r="EL54" s="279">
        <f>INDEX('Rate Assumptions'!$A$1:$C$32,MATCH('Success Allocation'!EL$3,'Rate Assumptions'!$A$1:$A$32,0),MATCH($DR$1,'Rate Assumptions'!$A$1:$C$1,0))</f>
        <v>288.77190219359733</v>
      </c>
      <c r="EM54" s="279">
        <f>INDEX('Rate Assumptions'!$A$1:$C$32,MATCH('Success Allocation'!EM$3,'Rate Assumptions'!$A$1:$A$32,0),MATCH($DR$1,'Rate Assumptions'!$A$1:$C$1,0))</f>
        <v>144.38595109679866</v>
      </c>
      <c r="EN54" s="279">
        <f>INDEX('Rate Assumptions'!$A$1:$C$32,MATCH('Success Allocation'!EN$3,'Rate Assumptions'!$A$1:$A$32,0),MATCH($DR$1,'Rate Assumptions'!$A$1:$C$1,0))</f>
        <v>216.57892664519801</v>
      </c>
      <c r="EO54" s="281">
        <f>INDEX('Rate Assumptions'!$A$1:$C$32,MATCH('Success Allocation'!EO$3,'Rate Assumptions'!$A$1:$A$32,0),MATCH($DR$1,'Rate Assumptions'!$A$1:$C$1,0))</f>
        <v>144.38595109679866</v>
      </c>
      <c r="EP54" s="170">
        <f t="shared" si="50"/>
        <v>8263072.6569249425</v>
      </c>
    </row>
    <row r="55" spans="1:146">
      <c r="A55" s="223" t="s">
        <v>142</v>
      </c>
      <c r="B55" s="226">
        <v>376</v>
      </c>
      <c r="C55" s="226">
        <v>442</v>
      </c>
      <c r="D55" s="226">
        <v>0</v>
      </c>
      <c r="E55" s="226">
        <v>161</v>
      </c>
      <c r="F55" s="226">
        <v>196</v>
      </c>
      <c r="G55" s="227">
        <v>1403</v>
      </c>
      <c r="H55" s="226">
        <v>986</v>
      </c>
      <c r="I55" s="228">
        <v>1212</v>
      </c>
      <c r="J55" s="226">
        <v>148</v>
      </c>
      <c r="K55" s="226">
        <v>196</v>
      </c>
      <c r="L55" s="226">
        <v>0</v>
      </c>
      <c r="M55" s="226">
        <v>72</v>
      </c>
      <c r="N55" s="226">
        <v>45</v>
      </c>
      <c r="O55" s="227">
        <v>545</v>
      </c>
      <c r="P55" s="226">
        <v>271</v>
      </c>
      <c r="Q55" s="228">
        <v>239</v>
      </c>
      <c r="R55" s="226">
        <v>231</v>
      </c>
      <c r="S55" s="226">
        <v>313</v>
      </c>
      <c r="T55" s="226">
        <v>0</v>
      </c>
      <c r="U55" s="226">
        <v>121</v>
      </c>
      <c r="V55" s="226">
        <v>88</v>
      </c>
      <c r="W55" s="227">
        <v>935</v>
      </c>
      <c r="X55" s="226">
        <v>494</v>
      </c>
      <c r="Y55" s="234">
        <v>609</v>
      </c>
      <c r="Z55" s="237">
        <v>403</v>
      </c>
      <c r="AA55" s="237">
        <v>449</v>
      </c>
      <c r="AB55" s="237">
        <v>0</v>
      </c>
      <c r="AC55" s="237">
        <v>200</v>
      </c>
      <c r="AD55" s="237">
        <v>239</v>
      </c>
      <c r="AE55" s="237">
        <v>1427</v>
      </c>
      <c r="AF55" s="237">
        <v>936</v>
      </c>
      <c r="AG55" s="228">
        <v>1201</v>
      </c>
      <c r="AH55" s="237">
        <v>139</v>
      </c>
      <c r="AI55" s="237">
        <v>215</v>
      </c>
      <c r="AJ55" s="237">
        <v>0</v>
      </c>
      <c r="AK55" s="237">
        <v>85</v>
      </c>
      <c r="AL55" s="237">
        <v>82</v>
      </c>
      <c r="AM55" s="237">
        <v>602</v>
      </c>
      <c r="AN55" s="237">
        <v>269</v>
      </c>
      <c r="AO55" s="228">
        <v>269</v>
      </c>
      <c r="AP55" s="237">
        <v>245</v>
      </c>
      <c r="AQ55" s="237">
        <v>333</v>
      </c>
      <c r="AR55" s="237">
        <v>0</v>
      </c>
      <c r="AS55" s="237">
        <v>132</v>
      </c>
      <c r="AT55" s="237">
        <v>133</v>
      </c>
      <c r="AU55" s="238">
        <v>968</v>
      </c>
      <c r="AV55" s="237">
        <v>472</v>
      </c>
      <c r="AW55" s="234">
        <v>606</v>
      </c>
      <c r="AX55" s="237"/>
      <c r="AY55" s="237"/>
      <c r="AZ55" s="237"/>
      <c r="BA55" s="237"/>
      <c r="BB55" s="237"/>
      <c r="BC55" s="237"/>
      <c r="BD55" s="237"/>
      <c r="BF55" s="237"/>
      <c r="BG55" s="237"/>
      <c r="BH55" s="237"/>
      <c r="BI55" s="237"/>
      <c r="BJ55" s="237"/>
      <c r="BK55" s="237"/>
      <c r="BL55" s="237"/>
      <c r="BN55" s="237"/>
      <c r="BO55" s="237"/>
      <c r="BP55" s="237"/>
      <c r="BQ55" s="237"/>
      <c r="BR55" s="237"/>
      <c r="BS55" s="238"/>
      <c r="BT55" s="237"/>
      <c r="BV55" s="264">
        <f t="shared" si="2"/>
        <v>430</v>
      </c>
      <c r="BW55" s="264">
        <f t="shared" si="3"/>
        <v>456</v>
      </c>
      <c r="BX55" s="264">
        <f t="shared" si="4"/>
        <v>0</v>
      </c>
      <c r="BY55" s="264">
        <f t="shared" si="5"/>
        <v>239</v>
      </c>
      <c r="BZ55" s="264">
        <f t="shared" si="6"/>
        <v>282</v>
      </c>
      <c r="CA55" s="264">
        <f t="shared" si="7"/>
        <v>1451</v>
      </c>
      <c r="CB55" s="264">
        <f t="shared" si="8"/>
        <v>886</v>
      </c>
      <c r="CC55" s="265">
        <f t="shared" si="9"/>
        <v>1190</v>
      </c>
      <c r="CD55" s="264">
        <f t="shared" si="10"/>
        <v>130</v>
      </c>
      <c r="CE55" s="264">
        <f t="shared" si="11"/>
        <v>234</v>
      </c>
      <c r="CF55" s="264">
        <f t="shared" si="12"/>
        <v>0</v>
      </c>
      <c r="CG55" s="264">
        <f t="shared" si="13"/>
        <v>98</v>
      </c>
      <c r="CH55" s="264">
        <f t="shared" si="14"/>
        <v>119</v>
      </c>
      <c r="CI55" s="264">
        <f t="shared" si="15"/>
        <v>659</v>
      </c>
      <c r="CJ55" s="264">
        <f t="shared" si="16"/>
        <v>267</v>
      </c>
      <c r="CK55" s="265">
        <f t="shared" si="17"/>
        <v>299</v>
      </c>
      <c r="CL55" s="264">
        <f t="shared" si="18"/>
        <v>259</v>
      </c>
      <c r="CM55" s="264">
        <f t="shared" si="19"/>
        <v>353</v>
      </c>
      <c r="CN55" s="264">
        <f t="shared" si="20"/>
        <v>0</v>
      </c>
      <c r="CO55" s="264">
        <f t="shared" si="21"/>
        <v>143</v>
      </c>
      <c r="CP55" s="264">
        <f t="shared" si="22"/>
        <v>178</v>
      </c>
      <c r="CQ55" s="264">
        <f t="shared" si="23"/>
        <v>1001</v>
      </c>
      <c r="CR55" s="264">
        <f t="shared" si="24"/>
        <v>450</v>
      </c>
      <c r="CS55" s="266">
        <f t="shared" si="25"/>
        <v>603</v>
      </c>
      <c r="CT55" s="264">
        <f t="shared" si="26"/>
        <v>403</v>
      </c>
      <c r="CU55" s="264">
        <f t="shared" si="27"/>
        <v>449</v>
      </c>
      <c r="CV55" s="264">
        <f t="shared" si="28"/>
        <v>0</v>
      </c>
      <c r="CW55" s="264">
        <f t="shared" si="29"/>
        <v>200</v>
      </c>
      <c r="CX55" s="264">
        <f t="shared" si="30"/>
        <v>239</v>
      </c>
      <c r="CY55" s="264">
        <f t="shared" si="31"/>
        <v>1427</v>
      </c>
      <c r="CZ55" s="264">
        <f t="shared" si="32"/>
        <v>936</v>
      </c>
      <c r="DA55" s="265">
        <f t="shared" si="33"/>
        <v>1201</v>
      </c>
      <c r="DB55" s="264">
        <f t="shared" si="34"/>
        <v>139</v>
      </c>
      <c r="DC55" s="264">
        <f t="shared" si="35"/>
        <v>215</v>
      </c>
      <c r="DD55" s="264">
        <f t="shared" si="36"/>
        <v>0</v>
      </c>
      <c r="DE55" s="264">
        <f t="shared" si="37"/>
        <v>85</v>
      </c>
      <c r="DF55" s="264">
        <f t="shared" si="38"/>
        <v>82</v>
      </c>
      <c r="DG55" s="264">
        <f t="shared" si="39"/>
        <v>602</v>
      </c>
      <c r="DH55" s="264">
        <f t="shared" si="40"/>
        <v>269</v>
      </c>
      <c r="DI55" s="265">
        <f t="shared" si="41"/>
        <v>269</v>
      </c>
      <c r="DJ55" s="264">
        <f t="shared" si="42"/>
        <v>245</v>
      </c>
      <c r="DK55" s="264">
        <f t="shared" si="43"/>
        <v>333</v>
      </c>
      <c r="DL55" s="264">
        <f t="shared" si="44"/>
        <v>0</v>
      </c>
      <c r="DM55" s="264">
        <f t="shared" si="45"/>
        <v>132</v>
      </c>
      <c r="DN55" s="264">
        <f t="shared" si="46"/>
        <v>133</v>
      </c>
      <c r="DO55" s="264">
        <f t="shared" si="47"/>
        <v>968</v>
      </c>
      <c r="DP55" s="264">
        <f t="shared" si="48"/>
        <v>472</v>
      </c>
      <c r="DQ55" s="266">
        <f t="shared" si="49"/>
        <v>606</v>
      </c>
      <c r="DR55" s="279">
        <f>INDEX('Rate Assumptions'!$A$1:$C$32,MATCH('Success Allocation'!DR$3,'Rate Assumptions'!$A$1:$A$32,0),MATCH($DR$1,'Rate Assumptions'!$A$1:$C$1,0))</f>
        <v>2291.7551696336809</v>
      </c>
      <c r="DS55" s="279">
        <f>INDEX('Rate Assumptions'!$A$1:$C$32,MATCH('Success Allocation'!DS$3,'Rate Assumptions'!$A$1:$A$32,0),MATCH($DR$1,'Rate Assumptions'!$A$1:$C$1,0))</f>
        <v>1718.8163772252606</v>
      </c>
      <c r="DT55" s="279">
        <f>INDEX('Rate Assumptions'!$A$1:$C$32,MATCH('Success Allocation'!DT$3,'Rate Assumptions'!$A$1:$A$32,0),MATCH($DR$1,'Rate Assumptions'!$A$1:$C$1,0))</f>
        <v>1718.8163772252606</v>
      </c>
      <c r="DU55" s="279">
        <f>INDEX('Rate Assumptions'!$A$1:$C$32,MATCH('Success Allocation'!DU$3,'Rate Assumptions'!$A$1:$A$32,0),MATCH($DR$1,'Rate Assumptions'!$A$1:$C$1,0))</f>
        <v>1145.8775848168405</v>
      </c>
      <c r="DV55" s="279">
        <f>INDEX('Rate Assumptions'!$A$1:$C$32,MATCH('Success Allocation'!DV$3,'Rate Assumptions'!$A$1:$A$32,0),MATCH($DR$1,'Rate Assumptions'!$A$1:$C$1,0))</f>
        <v>1145.8775848168405</v>
      </c>
      <c r="DW55" s="279">
        <f>INDEX('Rate Assumptions'!$A$1:$C$32,MATCH('Success Allocation'!DW$3,'Rate Assumptions'!$A$1:$A$32,0),MATCH($DR$1,'Rate Assumptions'!$A$1:$C$1,0))</f>
        <v>572.93879240842023</v>
      </c>
      <c r="DX55" s="279">
        <f>INDEX('Rate Assumptions'!$A$1:$C$32,MATCH('Success Allocation'!DX$3,'Rate Assumptions'!$A$1:$A$32,0),MATCH($DR$1,'Rate Assumptions'!$A$1:$C$1,0))</f>
        <v>859.40818861263028</v>
      </c>
      <c r="DY55" s="280">
        <f>INDEX('Rate Assumptions'!$A$1:$C$32,MATCH('Success Allocation'!DY$3,'Rate Assumptions'!$A$1:$A$32,0),MATCH($DR$1,'Rate Assumptions'!$A$1:$C$1,0))</f>
        <v>572.93879240842023</v>
      </c>
      <c r="DZ55" s="279">
        <f>INDEX('Rate Assumptions'!$A$1:$C$32,MATCH('Success Allocation'!DZ$3,'Rate Assumptions'!$A$1:$A$32,0),MATCH($DR$1,'Rate Assumptions'!$A$1:$C$1,0))</f>
        <v>866.31570658079204</v>
      </c>
      <c r="EA55" s="279">
        <f>INDEX('Rate Assumptions'!$A$1:$C$32,MATCH('Success Allocation'!EA$3,'Rate Assumptions'!$A$1:$A$32,0),MATCH($DR$1,'Rate Assumptions'!$A$1:$C$1,0))</f>
        <v>649.73677993559397</v>
      </c>
      <c r="EB55" s="279">
        <f>INDEX('Rate Assumptions'!$A$1:$C$32,MATCH('Success Allocation'!EB$3,'Rate Assumptions'!$A$1:$A$32,0),MATCH($DR$1,'Rate Assumptions'!$A$1:$C$1,0))</f>
        <v>649.73677993559397</v>
      </c>
      <c r="EC55" s="279">
        <f>INDEX('Rate Assumptions'!$A$1:$C$32,MATCH('Success Allocation'!EC$3,'Rate Assumptions'!$A$1:$A$32,0),MATCH($DR$1,'Rate Assumptions'!$A$1:$C$1,0))</f>
        <v>433.15785329039602</v>
      </c>
      <c r="ED55" s="279">
        <f>INDEX('Rate Assumptions'!$A$1:$C$32,MATCH('Success Allocation'!ED$3,'Rate Assumptions'!$A$1:$A$32,0),MATCH($DR$1,'Rate Assumptions'!$A$1:$C$1,0))</f>
        <v>433.15785329039602</v>
      </c>
      <c r="EE55" s="279">
        <f>INDEX('Rate Assumptions'!$A$1:$C$32,MATCH('Success Allocation'!EE$3,'Rate Assumptions'!$A$1:$A$32,0),MATCH($DR$1,'Rate Assumptions'!$A$1:$C$1,0))</f>
        <v>216.57892664519801</v>
      </c>
      <c r="EF55" s="279">
        <f>INDEX('Rate Assumptions'!$A$1:$C$32,MATCH('Success Allocation'!EF$3,'Rate Assumptions'!$A$1:$A$32,0),MATCH($DR$1,'Rate Assumptions'!$A$1:$C$1,0))</f>
        <v>324.86838996779699</v>
      </c>
      <c r="EG55" s="280">
        <f>INDEX('Rate Assumptions'!$A$1:$C$32,MATCH('Success Allocation'!EG$3,'Rate Assumptions'!$A$1:$A$32,0),MATCH($DR$1,'Rate Assumptions'!$A$1:$C$1,0))</f>
        <v>216.57892664519801</v>
      </c>
      <c r="EH55" s="279">
        <f>INDEX('Rate Assumptions'!$A$1:$C$32,MATCH('Success Allocation'!EH$3,'Rate Assumptions'!$A$1:$A$32,0),MATCH($DR$1,'Rate Assumptions'!$A$1:$C$1,0))</f>
        <v>577.54380438719465</v>
      </c>
      <c r="EI55" s="279">
        <f>INDEX('Rate Assumptions'!$A$1:$C$32,MATCH('Success Allocation'!EI$3,'Rate Assumptions'!$A$1:$A$32,0),MATCH($DR$1,'Rate Assumptions'!$A$1:$C$1,0))</f>
        <v>433.15785329039602</v>
      </c>
      <c r="EJ55" s="279">
        <f>INDEX('Rate Assumptions'!$A$1:$C$32,MATCH('Success Allocation'!EJ$3,'Rate Assumptions'!$A$1:$A$32,0),MATCH($DR$1,'Rate Assumptions'!$A$1:$C$1,0))</f>
        <v>433.15785329039602</v>
      </c>
      <c r="EK55" s="279">
        <f>INDEX('Rate Assumptions'!$A$1:$C$32,MATCH('Success Allocation'!EK$3,'Rate Assumptions'!$A$1:$A$32,0),MATCH($DR$1,'Rate Assumptions'!$A$1:$C$1,0))</f>
        <v>288.77190219359733</v>
      </c>
      <c r="EL55" s="279">
        <f>INDEX('Rate Assumptions'!$A$1:$C$32,MATCH('Success Allocation'!EL$3,'Rate Assumptions'!$A$1:$A$32,0),MATCH($DR$1,'Rate Assumptions'!$A$1:$C$1,0))</f>
        <v>288.77190219359733</v>
      </c>
      <c r="EM55" s="279">
        <f>INDEX('Rate Assumptions'!$A$1:$C$32,MATCH('Success Allocation'!EM$3,'Rate Assumptions'!$A$1:$A$32,0),MATCH($DR$1,'Rate Assumptions'!$A$1:$C$1,0))</f>
        <v>144.38595109679866</v>
      </c>
      <c r="EN55" s="279">
        <f>INDEX('Rate Assumptions'!$A$1:$C$32,MATCH('Success Allocation'!EN$3,'Rate Assumptions'!$A$1:$A$32,0),MATCH($DR$1,'Rate Assumptions'!$A$1:$C$1,0))</f>
        <v>216.57892664519801</v>
      </c>
      <c r="EO55" s="281">
        <f>INDEX('Rate Assumptions'!$A$1:$C$32,MATCH('Success Allocation'!EO$3,'Rate Assumptions'!$A$1:$A$32,0),MATCH($DR$1,'Rate Assumptions'!$A$1:$C$1,0))</f>
        <v>144.38595109679866</v>
      </c>
      <c r="EP55" s="170">
        <f t="shared" si="50"/>
        <v>6017921.3235816965</v>
      </c>
    </row>
    <row r="56" spans="1:146">
      <c r="A56" s="223" t="s">
        <v>143</v>
      </c>
      <c r="B56" s="226">
        <v>804</v>
      </c>
      <c r="C56" s="226">
        <v>820</v>
      </c>
      <c r="D56" s="226">
        <v>0</v>
      </c>
      <c r="E56" s="226">
        <v>538</v>
      </c>
      <c r="F56" s="226">
        <v>502</v>
      </c>
      <c r="G56" s="227">
        <v>2817</v>
      </c>
      <c r="H56" s="226">
        <v>2366</v>
      </c>
      <c r="I56" s="228">
        <v>1356</v>
      </c>
      <c r="J56" s="226">
        <v>345</v>
      </c>
      <c r="K56" s="226">
        <v>361</v>
      </c>
      <c r="L56" s="226">
        <v>0</v>
      </c>
      <c r="M56" s="226">
        <v>187</v>
      </c>
      <c r="N56" s="226">
        <v>83</v>
      </c>
      <c r="O56" s="227">
        <v>840</v>
      </c>
      <c r="P56" s="226">
        <v>676</v>
      </c>
      <c r="Q56" s="228">
        <v>157</v>
      </c>
      <c r="R56" s="226">
        <v>515</v>
      </c>
      <c r="S56" s="226">
        <v>563</v>
      </c>
      <c r="T56" s="226">
        <v>0</v>
      </c>
      <c r="U56" s="226">
        <v>338</v>
      </c>
      <c r="V56" s="226">
        <v>166</v>
      </c>
      <c r="W56" s="227">
        <v>1515</v>
      </c>
      <c r="X56" s="226">
        <v>1185</v>
      </c>
      <c r="Y56" s="234">
        <v>363</v>
      </c>
      <c r="Z56" s="237">
        <v>816</v>
      </c>
      <c r="AA56" s="237">
        <v>785</v>
      </c>
      <c r="AB56" s="237">
        <v>18</v>
      </c>
      <c r="AC56" s="237">
        <v>543</v>
      </c>
      <c r="AD56" s="237">
        <v>605</v>
      </c>
      <c r="AE56" s="237">
        <v>2776</v>
      </c>
      <c r="AF56" s="237">
        <v>2507</v>
      </c>
      <c r="AG56" s="228">
        <v>1312</v>
      </c>
      <c r="AH56" s="237">
        <v>306</v>
      </c>
      <c r="AI56" s="237">
        <v>308</v>
      </c>
      <c r="AJ56" s="237">
        <v>9</v>
      </c>
      <c r="AK56" s="237">
        <v>165</v>
      </c>
      <c r="AL56" s="237">
        <v>121</v>
      </c>
      <c r="AM56" s="237">
        <v>778</v>
      </c>
      <c r="AN56" s="237">
        <v>736</v>
      </c>
      <c r="AO56" s="228">
        <v>174</v>
      </c>
      <c r="AP56" s="237">
        <v>492</v>
      </c>
      <c r="AQ56" s="237">
        <v>498</v>
      </c>
      <c r="AR56" s="237">
        <v>13</v>
      </c>
      <c r="AS56" s="237">
        <v>332</v>
      </c>
      <c r="AT56" s="237">
        <v>215</v>
      </c>
      <c r="AU56" s="238">
        <v>1449</v>
      </c>
      <c r="AV56" s="237">
        <v>1270</v>
      </c>
      <c r="AW56" s="234">
        <v>408</v>
      </c>
      <c r="AX56" s="237"/>
      <c r="AY56" s="237"/>
      <c r="AZ56" s="237"/>
      <c r="BA56" s="237"/>
      <c r="BB56" s="237"/>
      <c r="BC56" s="237"/>
      <c r="BD56" s="237"/>
      <c r="BF56" s="237"/>
      <c r="BG56" s="237"/>
      <c r="BH56" s="237"/>
      <c r="BI56" s="237"/>
      <c r="BJ56" s="237"/>
      <c r="BK56" s="237"/>
      <c r="BL56" s="237"/>
      <c r="BN56" s="237"/>
      <c r="BO56" s="237"/>
      <c r="BP56" s="237"/>
      <c r="BQ56" s="237"/>
      <c r="BR56" s="237"/>
      <c r="BS56" s="238"/>
      <c r="BT56" s="237"/>
      <c r="BV56" s="264">
        <f t="shared" si="2"/>
        <v>828</v>
      </c>
      <c r="BW56" s="264">
        <f t="shared" si="3"/>
        <v>750</v>
      </c>
      <c r="BX56" s="264">
        <f t="shared" si="4"/>
        <v>36</v>
      </c>
      <c r="BY56" s="264">
        <f t="shared" si="5"/>
        <v>548</v>
      </c>
      <c r="BZ56" s="264">
        <f t="shared" si="6"/>
        <v>708</v>
      </c>
      <c r="CA56" s="264">
        <f t="shared" si="7"/>
        <v>2735</v>
      </c>
      <c r="CB56" s="264">
        <f t="shared" si="8"/>
        <v>2648</v>
      </c>
      <c r="CC56" s="265">
        <f t="shared" si="9"/>
        <v>1268</v>
      </c>
      <c r="CD56" s="264">
        <f t="shared" si="10"/>
        <v>267</v>
      </c>
      <c r="CE56" s="264">
        <f t="shared" si="11"/>
        <v>255</v>
      </c>
      <c r="CF56" s="264">
        <f t="shared" si="12"/>
        <v>18</v>
      </c>
      <c r="CG56" s="264">
        <f t="shared" si="13"/>
        <v>143</v>
      </c>
      <c r="CH56" s="264">
        <f t="shared" si="14"/>
        <v>159</v>
      </c>
      <c r="CI56" s="264">
        <f t="shared" si="15"/>
        <v>716</v>
      </c>
      <c r="CJ56" s="264">
        <f t="shared" si="16"/>
        <v>796</v>
      </c>
      <c r="CK56" s="265">
        <f t="shared" si="17"/>
        <v>191</v>
      </c>
      <c r="CL56" s="264">
        <f t="shared" si="18"/>
        <v>469</v>
      </c>
      <c r="CM56" s="264">
        <f t="shared" si="19"/>
        <v>433</v>
      </c>
      <c r="CN56" s="264">
        <f t="shared" si="20"/>
        <v>26</v>
      </c>
      <c r="CO56" s="264">
        <f t="shared" si="21"/>
        <v>326</v>
      </c>
      <c r="CP56" s="264">
        <f t="shared" si="22"/>
        <v>264</v>
      </c>
      <c r="CQ56" s="264">
        <f t="shared" si="23"/>
        <v>1383</v>
      </c>
      <c r="CR56" s="264">
        <f t="shared" si="24"/>
        <v>1355</v>
      </c>
      <c r="CS56" s="266">
        <f t="shared" si="25"/>
        <v>453</v>
      </c>
      <c r="CT56" s="264">
        <f t="shared" si="26"/>
        <v>816</v>
      </c>
      <c r="CU56" s="264">
        <f t="shared" si="27"/>
        <v>785</v>
      </c>
      <c r="CV56" s="264">
        <f t="shared" si="28"/>
        <v>18</v>
      </c>
      <c r="CW56" s="264">
        <f t="shared" si="29"/>
        <v>543</v>
      </c>
      <c r="CX56" s="264">
        <f t="shared" si="30"/>
        <v>605</v>
      </c>
      <c r="CY56" s="264">
        <f t="shared" si="31"/>
        <v>2776</v>
      </c>
      <c r="CZ56" s="264">
        <f t="shared" si="32"/>
        <v>2507</v>
      </c>
      <c r="DA56" s="265">
        <f t="shared" si="33"/>
        <v>1312</v>
      </c>
      <c r="DB56" s="264">
        <f t="shared" si="34"/>
        <v>306</v>
      </c>
      <c r="DC56" s="264">
        <f t="shared" si="35"/>
        <v>308</v>
      </c>
      <c r="DD56" s="264">
        <f t="shared" si="36"/>
        <v>9</v>
      </c>
      <c r="DE56" s="264">
        <f t="shared" si="37"/>
        <v>165</v>
      </c>
      <c r="DF56" s="264">
        <f t="shared" si="38"/>
        <v>121</v>
      </c>
      <c r="DG56" s="264">
        <f t="shared" si="39"/>
        <v>778</v>
      </c>
      <c r="DH56" s="264">
        <f t="shared" si="40"/>
        <v>736</v>
      </c>
      <c r="DI56" s="265">
        <f t="shared" si="41"/>
        <v>174</v>
      </c>
      <c r="DJ56" s="264">
        <f t="shared" si="42"/>
        <v>492</v>
      </c>
      <c r="DK56" s="264">
        <f t="shared" si="43"/>
        <v>498</v>
      </c>
      <c r="DL56" s="264">
        <f t="shared" si="44"/>
        <v>13</v>
      </c>
      <c r="DM56" s="264">
        <f t="shared" si="45"/>
        <v>332</v>
      </c>
      <c r="DN56" s="264">
        <f t="shared" si="46"/>
        <v>215</v>
      </c>
      <c r="DO56" s="264">
        <f t="shared" si="47"/>
        <v>1449</v>
      </c>
      <c r="DP56" s="264">
        <f t="shared" si="48"/>
        <v>1270</v>
      </c>
      <c r="DQ56" s="266">
        <f t="shared" si="49"/>
        <v>408</v>
      </c>
      <c r="DR56" s="279">
        <f>INDEX('Rate Assumptions'!$A$1:$C$32,MATCH('Success Allocation'!DR$3,'Rate Assumptions'!$A$1:$A$32,0),MATCH($DR$1,'Rate Assumptions'!$A$1:$C$1,0))</f>
        <v>2291.7551696336809</v>
      </c>
      <c r="DS56" s="279">
        <f>INDEX('Rate Assumptions'!$A$1:$C$32,MATCH('Success Allocation'!DS$3,'Rate Assumptions'!$A$1:$A$32,0),MATCH($DR$1,'Rate Assumptions'!$A$1:$C$1,0))</f>
        <v>1718.8163772252606</v>
      </c>
      <c r="DT56" s="279">
        <f>INDEX('Rate Assumptions'!$A$1:$C$32,MATCH('Success Allocation'!DT$3,'Rate Assumptions'!$A$1:$A$32,0),MATCH($DR$1,'Rate Assumptions'!$A$1:$C$1,0))</f>
        <v>1718.8163772252606</v>
      </c>
      <c r="DU56" s="279">
        <f>INDEX('Rate Assumptions'!$A$1:$C$32,MATCH('Success Allocation'!DU$3,'Rate Assumptions'!$A$1:$A$32,0),MATCH($DR$1,'Rate Assumptions'!$A$1:$C$1,0))</f>
        <v>1145.8775848168405</v>
      </c>
      <c r="DV56" s="279">
        <f>INDEX('Rate Assumptions'!$A$1:$C$32,MATCH('Success Allocation'!DV$3,'Rate Assumptions'!$A$1:$A$32,0),MATCH($DR$1,'Rate Assumptions'!$A$1:$C$1,0))</f>
        <v>1145.8775848168405</v>
      </c>
      <c r="DW56" s="279">
        <f>INDEX('Rate Assumptions'!$A$1:$C$32,MATCH('Success Allocation'!DW$3,'Rate Assumptions'!$A$1:$A$32,0),MATCH($DR$1,'Rate Assumptions'!$A$1:$C$1,0))</f>
        <v>572.93879240842023</v>
      </c>
      <c r="DX56" s="279">
        <f>INDEX('Rate Assumptions'!$A$1:$C$32,MATCH('Success Allocation'!DX$3,'Rate Assumptions'!$A$1:$A$32,0),MATCH($DR$1,'Rate Assumptions'!$A$1:$C$1,0))</f>
        <v>859.40818861263028</v>
      </c>
      <c r="DY56" s="280">
        <f>INDEX('Rate Assumptions'!$A$1:$C$32,MATCH('Success Allocation'!DY$3,'Rate Assumptions'!$A$1:$A$32,0),MATCH($DR$1,'Rate Assumptions'!$A$1:$C$1,0))</f>
        <v>572.93879240842023</v>
      </c>
      <c r="DZ56" s="279">
        <f>INDEX('Rate Assumptions'!$A$1:$C$32,MATCH('Success Allocation'!DZ$3,'Rate Assumptions'!$A$1:$A$32,0),MATCH($DR$1,'Rate Assumptions'!$A$1:$C$1,0))</f>
        <v>866.31570658079204</v>
      </c>
      <c r="EA56" s="279">
        <f>INDEX('Rate Assumptions'!$A$1:$C$32,MATCH('Success Allocation'!EA$3,'Rate Assumptions'!$A$1:$A$32,0),MATCH($DR$1,'Rate Assumptions'!$A$1:$C$1,0))</f>
        <v>649.73677993559397</v>
      </c>
      <c r="EB56" s="279">
        <f>INDEX('Rate Assumptions'!$A$1:$C$32,MATCH('Success Allocation'!EB$3,'Rate Assumptions'!$A$1:$A$32,0),MATCH($DR$1,'Rate Assumptions'!$A$1:$C$1,0))</f>
        <v>649.73677993559397</v>
      </c>
      <c r="EC56" s="279">
        <f>INDEX('Rate Assumptions'!$A$1:$C$32,MATCH('Success Allocation'!EC$3,'Rate Assumptions'!$A$1:$A$32,0),MATCH($DR$1,'Rate Assumptions'!$A$1:$C$1,0))</f>
        <v>433.15785329039602</v>
      </c>
      <c r="ED56" s="279">
        <f>INDEX('Rate Assumptions'!$A$1:$C$32,MATCH('Success Allocation'!ED$3,'Rate Assumptions'!$A$1:$A$32,0),MATCH($DR$1,'Rate Assumptions'!$A$1:$C$1,0))</f>
        <v>433.15785329039602</v>
      </c>
      <c r="EE56" s="279">
        <f>INDEX('Rate Assumptions'!$A$1:$C$32,MATCH('Success Allocation'!EE$3,'Rate Assumptions'!$A$1:$A$32,0),MATCH($DR$1,'Rate Assumptions'!$A$1:$C$1,0))</f>
        <v>216.57892664519801</v>
      </c>
      <c r="EF56" s="279">
        <f>INDEX('Rate Assumptions'!$A$1:$C$32,MATCH('Success Allocation'!EF$3,'Rate Assumptions'!$A$1:$A$32,0),MATCH($DR$1,'Rate Assumptions'!$A$1:$C$1,0))</f>
        <v>324.86838996779699</v>
      </c>
      <c r="EG56" s="280">
        <f>INDEX('Rate Assumptions'!$A$1:$C$32,MATCH('Success Allocation'!EG$3,'Rate Assumptions'!$A$1:$A$32,0),MATCH($DR$1,'Rate Assumptions'!$A$1:$C$1,0))</f>
        <v>216.57892664519801</v>
      </c>
      <c r="EH56" s="279">
        <f>INDEX('Rate Assumptions'!$A$1:$C$32,MATCH('Success Allocation'!EH$3,'Rate Assumptions'!$A$1:$A$32,0),MATCH($DR$1,'Rate Assumptions'!$A$1:$C$1,0))</f>
        <v>577.54380438719465</v>
      </c>
      <c r="EI56" s="279">
        <f>INDEX('Rate Assumptions'!$A$1:$C$32,MATCH('Success Allocation'!EI$3,'Rate Assumptions'!$A$1:$A$32,0),MATCH($DR$1,'Rate Assumptions'!$A$1:$C$1,0))</f>
        <v>433.15785329039602</v>
      </c>
      <c r="EJ56" s="279">
        <f>INDEX('Rate Assumptions'!$A$1:$C$32,MATCH('Success Allocation'!EJ$3,'Rate Assumptions'!$A$1:$A$32,0),MATCH($DR$1,'Rate Assumptions'!$A$1:$C$1,0))</f>
        <v>433.15785329039602</v>
      </c>
      <c r="EK56" s="279">
        <f>INDEX('Rate Assumptions'!$A$1:$C$32,MATCH('Success Allocation'!EK$3,'Rate Assumptions'!$A$1:$A$32,0),MATCH($DR$1,'Rate Assumptions'!$A$1:$C$1,0))</f>
        <v>288.77190219359733</v>
      </c>
      <c r="EL56" s="279">
        <f>INDEX('Rate Assumptions'!$A$1:$C$32,MATCH('Success Allocation'!EL$3,'Rate Assumptions'!$A$1:$A$32,0),MATCH($DR$1,'Rate Assumptions'!$A$1:$C$1,0))</f>
        <v>288.77190219359733</v>
      </c>
      <c r="EM56" s="279">
        <f>INDEX('Rate Assumptions'!$A$1:$C$32,MATCH('Success Allocation'!EM$3,'Rate Assumptions'!$A$1:$A$32,0),MATCH($DR$1,'Rate Assumptions'!$A$1:$C$1,0))</f>
        <v>144.38595109679866</v>
      </c>
      <c r="EN56" s="279">
        <f>INDEX('Rate Assumptions'!$A$1:$C$32,MATCH('Success Allocation'!EN$3,'Rate Assumptions'!$A$1:$A$32,0),MATCH($DR$1,'Rate Assumptions'!$A$1:$C$1,0))</f>
        <v>216.57892664519801</v>
      </c>
      <c r="EO56" s="281">
        <f>INDEX('Rate Assumptions'!$A$1:$C$32,MATCH('Success Allocation'!EO$3,'Rate Assumptions'!$A$1:$A$32,0),MATCH($DR$1,'Rate Assumptions'!$A$1:$C$1,0))</f>
        <v>144.38595109679866</v>
      </c>
      <c r="EP56" s="170">
        <f t="shared" si="50"/>
        <v>11450122.473127665</v>
      </c>
    </row>
    <row r="57" spans="1:146">
      <c r="A57" s="223" t="s">
        <v>144</v>
      </c>
      <c r="B57" s="226">
        <v>425</v>
      </c>
      <c r="C57" s="226">
        <v>1068</v>
      </c>
      <c r="D57" s="226">
        <v>0</v>
      </c>
      <c r="E57" s="226">
        <v>449</v>
      </c>
      <c r="F57" s="226">
        <v>367</v>
      </c>
      <c r="G57" s="227">
        <v>2971</v>
      </c>
      <c r="H57" s="226">
        <v>1963</v>
      </c>
      <c r="I57" s="228">
        <v>1960</v>
      </c>
      <c r="J57" s="226">
        <v>186</v>
      </c>
      <c r="K57" s="226">
        <v>428</v>
      </c>
      <c r="L57" s="226">
        <v>0</v>
      </c>
      <c r="M57" s="226">
        <v>132</v>
      </c>
      <c r="N57" s="226">
        <v>70</v>
      </c>
      <c r="O57" s="227">
        <v>1164</v>
      </c>
      <c r="P57" s="226">
        <v>545</v>
      </c>
      <c r="Q57" s="228">
        <v>410</v>
      </c>
      <c r="R57" s="226">
        <v>266</v>
      </c>
      <c r="S57" s="226">
        <v>607</v>
      </c>
      <c r="T57" s="226">
        <v>0</v>
      </c>
      <c r="U57" s="226">
        <v>217</v>
      </c>
      <c r="V57" s="226">
        <v>117</v>
      </c>
      <c r="W57" s="227">
        <v>1768</v>
      </c>
      <c r="X57" s="226">
        <v>870</v>
      </c>
      <c r="Y57" s="234">
        <v>921</v>
      </c>
      <c r="Z57" s="237">
        <v>447</v>
      </c>
      <c r="AA57" s="237">
        <v>895</v>
      </c>
      <c r="AB57" s="237">
        <v>0</v>
      </c>
      <c r="AC57" s="237">
        <v>318</v>
      </c>
      <c r="AD57" s="237">
        <v>366</v>
      </c>
      <c r="AE57" s="237">
        <v>2682</v>
      </c>
      <c r="AF57" s="237">
        <v>1889</v>
      </c>
      <c r="AG57" s="228">
        <v>1759</v>
      </c>
      <c r="AH57" s="237">
        <v>196</v>
      </c>
      <c r="AI57" s="237">
        <v>321</v>
      </c>
      <c r="AJ57" s="237">
        <v>0</v>
      </c>
      <c r="AK57" s="237">
        <v>118</v>
      </c>
      <c r="AL57" s="237">
        <v>79</v>
      </c>
      <c r="AM57" s="237">
        <v>998</v>
      </c>
      <c r="AN57" s="237">
        <v>515</v>
      </c>
      <c r="AO57" s="228">
        <v>410</v>
      </c>
      <c r="AP57" s="237">
        <v>285</v>
      </c>
      <c r="AQ57" s="237">
        <v>500</v>
      </c>
      <c r="AR57" s="237">
        <v>0</v>
      </c>
      <c r="AS57" s="237">
        <v>178</v>
      </c>
      <c r="AT57" s="237">
        <v>148</v>
      </c>
      <c r="AU57" s="238">
        <v>1545</v>
      </c>
      <c r="AV57" s="237">
        <v>809</v>
      </c>
      <c r="AW57" s="234">
        <v>860</v>
      </c>
      <c r="AX57" s="237"/>
      <c r="AY57" s="237"/>
      <c r="AZ57" s="237"/>
      <c r="BA57" s="237"/>
      <c r="BB57" s="237"/>
      <c r="BC57" s="237"/>
      <c r="BD57" s="237"/>
      <c r="BF57" s="237"/>
      <c r="BG57" s="237"/>
      <c r="BH57" s="237"/>
      <c r="BI57" s="237"/>
      <c r="BJ57" s="237"/>
      <c r="BK57" s="237"/>
      <c r="BL57" s="237"/>
      <c r="BN57" s="237"/>
      <c r="BO57" s="237"/>
      <c r="BP57" s="237"/>
      <c r="BQ57" s="237"/>
      <c r="BR57" s="237"/>
      <c r="BS57" s="238"/>
      <c r="BT57" s="237"/>
      <c r="BV57" s="264">
        <f t="shared" si="2"/>
        <v>469</v>
      </c>
      <c r="BW57" s="264">
        <f t="shared" si="3"/>
        <v>722</v>
      </c>
      <c r="BX57" s="264">
        <f t="shared" si="4"/>
        <v>0</v>
      </c>
      <c r="BY57" s="264">
        <f t="shared" si="5"/>
        <v>187</v>
      </c>
      <c r="BZ57" s="264">
        <f t="shared" si="6"/>
        <v>365</v>
      </c>
      <c r="CA57" s="264">
        <f t="shared" si="7"/>
        <v>2393</v>
      </c>
      <c r="CB57" s="264">
        <f t="shared" si="8"/>
        <v>1815</v>
      </c>
      <c r="CC57" s="265">
        <f t="shared" si="9"/>
        <v>1558</v>
      </c>
      <c r="CD57" s="264">
        <f t="shared" si="10"/>
        <v>206</v>
      </c>
      <c r="CE57" s="264">
        <f t="shared" si="11"/>
        <v>214</v>
      </c>
      <c r="CF57" s="264">
        <f t="shared" si="12"/>
        <v>0</v>
      </c>
      <c r="CG57" s="264">
        <f t="shared" si="13"/>
        <v>104</v>
      </c>
      <c r="CH57" s="264">
        <f t="shared" si="14"/>
        <v>88</v>
      </c>
      <c r="CI57" s="264">
        <f t="shared" si="15"/>
        <v>832</v>
      </c>
      <c r="CJ57" s="264">
        <f t="shared" si="16"/>
        <v>485</v>
      </c>
      <c r="CK57" s="265">
        <f t="shared" si="17"/>
        <v>410</v>
      </c>
      <c r="CL57" s="264">
        <f t="shared" si="18"/>
        <v>304</v>
      </c>
      <c r="CM57" s="264">
        <f t="shared" si="19"/>
        <v>393</v>
      </c>
      <c r="CN57" s="264">
        <f t="shared" si="20"/>
        <v>0</v>
      </c>
      <c r="CO57" s="264">
        <f t="shared" si="21"/>
        <v>139</v>
      </c>
      <c r="CP57" s="264">
        <f t="shared" si="22"/>
        <v>179</v>
      </c>
      <c r="CQ57" s="264">
        <f t="shared" si="23"/>
        <v>1322</v>
      </c>
      <c r="CR57" s="264">
        <f t="shared" si="24"/>
        <v>748</v>
      </c>
      <c r="CS57" s="266">
        <f t="shared" si="25"/>
        <v>799</v>
      </c>
      <c r="CT57" s="264">
        <f t="shared" si="26"/>
        <v>447</v>
      </c>
      <c r="CU57" s="264">
        <f t="shared" si="27"/>
        <v>895</v>
      </c>
      <c r="CV57" s="264">
        <f t="shared" si="28"/>
        <v>0</v>
      </c>
      <c r="CW57" s="264">
        <f t="shared" si="29"/>
        <v>318</v>
      </c>
      <c r="CX57" s="264">
        <f t="shared" si="30"/>
        <v>366</v>
      </c>
      <c r="CY57" s="264">
        <f t="shared" si="31"/>
        <v>2682</v>
      </c>
      <c r="CZ57" s="264">
        <f t="shared" si="32"/>
        <v>1889</v>
      </c>
      <c r="DA57" s="265">
        <f t="shared" si="33"/>
        <v>1759</v>
      </c>
      <c r="DB57" s="264">
        <f t="shared" si="34"/>
        <v>196</v>
      </c>
      <c r="DC57" s="264">
        <f t="shared" si="35"/>
        <v>321</v>
      </c>
      <c r="DD57" s="264">
        <f t="shared" si="36"/>
        <v>0</v>
      </c>
      <c r="DE57" s="264">
        <f t="shared" si="37"/>
        <v>118</v>
      </c>
      <c r="DF57" s="264">
        <f t="shared" si="38"/>
        <v>79</v>
      </c>
      <c r="DG57" s="264">
        <f t="shared" si="39"/>
        <v>998</v>
      </c>
      <c r="DH57" s="264">
        <f t="shared" si="40"/>
        <v>515</v>
      </c>
      <c r="DI57" s="265">
        <f t="shared" si="41"/>
        <v>410</v>
      </c>
      <c r="DJ57" s="264">
        <f t="shared" si="42"/>
        <v>285</v>
      </c>
      <c r="DK57" s="264">
        <f t="shared" si="43"/>
        <v>500</v>
      </c>
      <c r="DL57" s="264">
        <f t="shared" si="44"/>
        <v>0</v>
      </c>
      <c r="DM57" s="264">
        <f t="shared" si="45"/>
        <v>178</v>
      </c>
      <c r="DN57" s="264">
        <f t="shared" si="46"/>
        <v>148</v>
      </c>
      <c r="DO57" s="264">
        <f t="shared" si="47"/>
        <v>1545</v>
      </c>
      <c r="DP57" s="264">
        <f t="shared" si="48"/>
        <v>809</v>
      </c>
      <c r="DQ57" s="266">
        <f t="shared" si="49"/>
        <v>860</v>
      </c>
      <c r="DR57" s="279">
        <f>INDEX('Rate Assumptions'!$A$1:$C$32,MATCH('Success Allocation'!DR$3,'Rate Assumptions'!$A$1:$A$32,0),MATCH($DR$1,'Rate Assumptions'!$A$1:$C$1,0))</f>
        <v>2291.7551696336809</v>
      </c>
      <c r="DS57" s="279">
        <f>INDEX('Rate Assumptions'!$A$1:$C$32,MATCH('Success Allocation'!DS$3,'Rate Assumptions'!$A$1:$A$32,0),MATCH($DR$1,'Rate Assumptions'!$A$1:$C$1,0))</f>
        <v>1718.8163772252606</v>
      </c>
      <c r="DT57" s="279">
        <f>INDEX('Rate Assumptions'!$A$1:$C$32,MATCH('Success Allocation'!DT$3,'Rate Assumptions'!$A$1:$A$32,0),MATCH($DR$1,'Rate Assumptions'!$A$1:$C$1,0))</f>
        <v>1718.8163772252606</v>
      </c>
      <c r="DU57" s="279">
        <f>INDEX('Rate Assumptions'!$A$1:$C$32,MATCH('Success Allocation'!DU$3,'Rate Assumptions'!$A$1:$A$32,0),MATCH($DR$1,'Rate Assumptions'!$A$1:$C$1,0))</f>
        <v>1145.8775848168405</v>
      </c>
      <c r="DV57" s="279">
        <f>INDEX('Rate Assumptions'!$A$1:$C$32,MATCH('Success Allocation'!DV$3,'Rate Assumptions'!$A$1:$A$32,0),MATCH($DR$1,'Rate Assumptions'!$A$1:$C$1,0))</f>
        <v>1145.8775848168405</v>
      </c>
      <c r="DW57" s="279">
        <f>INDEX('Rate Assumptions'!$A$1:$C$32,MATCH('Success Allocation'!DW$3,'Rate Assumptions'!$A$1:$A$32,0),MATCH($DR$1,'Rate Assumptions'!$A$1:$C$1,0))</f>
        <v>572.93879240842023</v>
      </c>
      <c r="DX57" s="279">
        <f>INDEX('Rate Assumptions'!$A$1:$C$32,MATCH('Success Allocation'!DX$3,'Rate Assumptions'!$A$1:$A$32,0),MATCH($DR$1,'Rate Assumptions'!$A$1:$C$1,0))</f>
        <v>859.40818861263028</v>
      </c>
      <c r="DY57" s="280">
        <f>INDEX('Rate Assumptions'!$A$1:$C$32,MATCH('Success Allocation'!DY$3,'Rate Assumptions'!$A$1:$A$32,0),MATCH($DR$1,'Rate Assumptions'!$A$1:$C$1,0))</f>
        <v>572.93879240842023</v>
      </c>
      <c r="DZ57" s="279">
        <f>INDEX('Rate Assumptions'!$A$1:$C$32,MATCH('Success Allocation'!DZ$3,'Rate Assumptions'!$A$1:$A$32,0),MATCH($DR$1,'Rate Assumptions'!$A$1:$C$1,0))</f>
        <v>866.31570658079204</v>
      </c>
      <c r="EA57" s="279">
        <f>INDEX('Rate Assumptions'!$A$1:$C$32,MATCH('Success Allocation'!EA$3,'Rate Assumptions'!$A$1:$A$32,0),MATCH($DR$1,'Rate Assumptions'!$A$1:$C$1,0))</f>
        <v>649.73677993559397</v>
      </c>
      <c r="EB57" s="279">
        <f>INDEX('Rate Assumptions'!$A$1:$C$32,MATCH('Success Allocation'!EB$3,'Rate Assumptions'!$A$1:$A$32,0),MATCH($DR$1,'Rate Assumptions'!$A$1:$C$1,0))</f>
        <v>649.73677993559397</v>
      </c>
      <c r="EC57" s="279">
        <f>INDEX('Rate Assumptions'!$A$1:$C$32,MATCH('Success Allocation'!EC$3,'Rate Assumptions'!$A$1:$A$32,0),MATCH($DR$1,'Rate Assumptions'!$A$1:$C$1,0))</f>
        <v>433.15785329039602</v>
      </c>
      <c r="ED57" s="279">
        <f>INDEX('Rate Assumptions'!$A$1:$C$32,MATCH('Success Allocation'!ED$3,'Rate Assumptions'!$A$1:$A$32,0),MATCH($DR$1,'Rate Assumptions'!$A$1:$C$1,0))</f>
        <v>433.15785329039602</v>
      </c>
      <c r="EE57" s="279">
        <f>INDEX('Rate Assumptions'!$A$1:$C$32,MATCH('Success Allocation'!EE$3,'Rate Assumptions'!$A$1:$A$32,0),MATCH($DR$1,'Rate Assumptions'!$A$1:$C$1,0))</f>
        <v>216.57892664519801</v>
      </c>
      <c r="EF57" s="279">
        <f>INDEX('Rate Assumptions'!$A$1:$C$32,MATCH('Success Allocation'!EF$3,'Rate Assumptions'!$A$1:$A$32,0),MATCH($DR$1,'Rate Assumptions'!$A$1:$C$1,0))</f>
        <v>324.86838996779699</v>
      </c>
      <c r="EG57" s="280">
        <f>INDEX('Rate Assumptions'!$A$1:$C$32,MATCH('Success Allocation'!EG$3,'Rate Assumptions'!$A$1:$A$32,0),MATCH($DR$1,'Rate Assumptions'!$A$1:$C$1,0))</f>
        <v>216.57892664519801</v>
      </c>
      <c r="EH57" s="279">
        <f>INDEX('Rate Assumptions'!$A$1:$C$32,MATCH('Success Allocation'!EH$3,'Rate Assumptions'!$A$1:$A$32,0),MATCH($DR$1,'Rate Assumptions'!$A$1:$C$1,0))</f>
        <v>577.54380438719465</v>
      </c>
      <c r="EI57" s="279">
        <f>INDEX('Rate Assumptions'!$A$1:$C$32,MATCH('Success Allocation'!EI$3,'Rate Assumptions'!$A$1:$A$32,0),MATCH($DR$1,'Rate Assumptions'!$A$1:$C$1,0))</f>
        <v>433.15785329039602</v>
      </c>
      <c r="EJ57" s="279">
        <f>INDEX('Rate Assumptions'!$A$1:$C$32,MATCH('Success Allocation'!EJ$3,'Rate Assumptions'!$A$1:$A$32,0),MATCH($DR$1,'Rate Assumptions'!$A$1:$C$1,0))</f>
        <v>433.15785329039602</v>
      </c>
      <c r="EK57" s="279">
        <f>INDEX('Rate Assumptions'!$A$1:$C$32,MATCH('Success Allocation'!EK$3,'Rate Assumptions'!$A$1:$A$32,0),MATCH($DR$1,'Rate Assumptions'!$A$1:$C$1,0))</f>
        <v>288.77190219359733</v>
      </c>
      <c r="EL57" s="279">
        <f>INDEX('Rate Assumptions'!$A$1:$C$32,MATCH('Success Allocation'!EL$3,'Rate Assumptions'!$A$1:$A$32,0),MATCH($DR$1,'Rate Assumptions'!$A$1:$C$1,0))</f>
        <v>288.77190219359733</v>
      </c>
      <c r="EM57" s="279">
        <f>INDEX('Rate Assumptions'!$A$1:$C$32,MATCH('Success Allocation'!EM$3,'Rate Assumptions'!$A$1:$A$32,0),MATCH($DR$1,'Rate Assumptions'!$A$1:$C$1,0))</f>
        <v>144.38595109679866</v>
      </c>
      <c r="EN57" s="279">
        <f>INDEX('Rate Assumptions'!$A$1:$C$32,MATCH('Success Allocation'!EN$3,'Rate Assumptions'!$A$1:$A$32,0),MATCH($DR$1,'Rate Assumptions'!$A$1:$C$1,0))</f>
        <v>216.57892664519801</v>
      </c>
      <c r="EO57" s="281">
        <f>INDEX('Rate Assumptions'!$A$1:$C$32,MATCH('Success Allocation'!EO$3,'Rate Assumptions'!$A$1:$A$32,0),MATCH($DR$1,'Rate Assumptions'!$A$1:$C$1,0))</f>
        <v>144.38595109679866</v>
      </c>
      <c r="EP57" s="170">
        <f t="shared" si="50"/>
        <v>8504950.7243739702</v>
      </c>
    </row>
    <row r="58" spans="1:146">
      <c r="A58" s="223" t="s">
        <v>145</v>
      </c>
      <c r="B58" s="226">
        <v>645</v>
      </c>
      <c r="C58" s="226">
        <v>997</v>
      </c>
      <c r="D58" s="226">
        <v>0</v>
      </c>
      <c r="E58" s="226">
        <v>139</v>
      </c>
      <c r="F58" s="226">
        <v>408</v>
      </c>
      <c r="G58" s="227">
        <v>2752</v>
      </c>
      <c r="H58" s="226">
        <v>2129</v>
      </c>
      <c r="I58" s="228">
        <v>3054</v>
      </c>
      <c r="J58" s="226">
        <v>299</v>
      </c>
      <c r="K58" s="226">
        <v>419</v>
      </c>
      <c r="L58" s="226">
        <v>0</v>
      </c>
      <c r="M58" s="226">
        <v>41</v>
      </c>
      <c r="N58" s="226">
        <v>113</v>
      </c>
      <c r="O58" s="227">
        <v>853</v>
      </c>
      <c r="P58" s="226">
        <v>692</v>
      </c>
      <c r="Q58" s="228">
        <v>378</v>
      </c>
      <c r="R58" s="226">
        <v>411</v>
      </c>
      <c r="S58" s="226">
        <v>598</v>
      </c>
      <c r="T58" s="226">
        <v>0</v>
      </c>
      <c r="U58" s="226">
        <v>74</v>
      </c>
      <c r="V58" s="226">
        <v>189</v>
      </c>
      <c r="W58" s="227">
        <v>1347</v>
      </c>
      <c r="X58" s="226">
        <v>1083</v>
      </c>
      <c r="Y58" s="234">
        <v>737</v>
      </c>
      <c r="Z58" s="237">
        <v>919</v>
      </c>
      <c r="AA58" s="237">
        <v>863</v>
      </c>
      <c r="AB58" s="237">
        <v>0</v>
      </c>
      <c r="AC58" s="237">
        <v>103</v>
      </c>
      <c r="AD58" s="237">
        <v>461</v>
      </c>
      <c r="AE58" s="237">
        <v>2933</v>
      </c>
      <c r="AF58" s="237">
        <v>2224</v>
      </c>
      <c r="AG58" s="228">
        <v>3872</v>
      </c>
      <c r="AH58" s="237">
        <v>380</v>
      </c>
      <c r="AI58" s="237">
        <v>337</v>
      </c>
      <c r="AJ58" s="237">
        <v>0</v>
      </c>
      <c r="AK58" s="237">
        <v>56</v>
      </c>
      <c r="AL58" s="237">
        <v>107</v>
      </c>
      <c r="AM58" s="237">
        <v>857</v>
      </c>
      <c r="AN58" s="237">
        <v>719</v>
      </c>
      <c r="AO58" s="228">
        <v>409</v>
      </c>
      <c r="AP58" s="237">
        <v>572</v>
      </c>
      <c r="AQ58" s="237">
        <v>515</v>
      </c>
      <c r="AR58" s="237">
        <v>0</v>
      </c>
      <c r="AS58" s="237">
        <v>73</v>
      </c>
      <c r="AT58" s="237">
        <v>190</v>
      </c>
      <c r="AU58" s="238">
        <v>1352</v>
      </c>
      <c r="AV58" s="237">
        <v>1135</v>
      </c>
      <c r="AW58" s="234">
        <v>870</v>
      </c>
      <c r="AX58" s="237"/>
      <c r="AY58" s="237"/>
      <c r="AZ58" s="237"/>
      <c r="BA58" s="237"/>
      <c r="BB58" s="237"/>
      <c r="BC58" s="237"/>
      <c r="BD58" s="237"/>
      <c r="BF58" s="237"/>
      <c r="BG58" s="237"/>
      <c r="BH58" s="237"/>
      <c r="BI58" s="237"/>
      <c r="BJ58" s="237"/>
      <c r="BK58" s="237"/>
      <c r="BL58" s="237"/>
      <c r="BN58" s="237"/>
      <c r="BO58" s="237"/>
      <c r="BP58" s="237"/>
      <c r="BQ58" s="237"/>
      <c r="BR58" s="237"/>
      <c r="BS58" s="238"/>
      <c r="BT58" s="237"/>
      <c r="BV58" s="264">
        <f t="shared" si="2"/>
        <v>1193</v>
      </c>
      <c r="BW58" s="264">
        <f t="shared" si="3"/>
        <v>729</v>
      </c>
      <c r="BX58" s="264">
        <f t="shared" si="4"/>
        <v>0</v>
      </c>
      <c r="BY58" s="264">
        <f t="shared" si="5"/>
        <v>67</v>
      </c>
      <c r="BZ58" s="264">
        <f t="shared" si="6"/>
        <v>514</v>
      </c>
      <c r="CA58" s="264">
        <f t="shared" si="7"/>
        <v>3114</v>
      </c>
      <c r="CB58" s="264">
        <f t="shared" si="8"/>
        <v>2319</v>
      </c>
      <c r="CC58" s="265">
        <f t="shared" si="9"/>
        <v>4690</v>
      </c>
      <c r="CD58" s="264">
        <f t="shared" si="10"/>
        <v>461</v>
      </c>
      <c r="CE58" s="264">
        <f t="shared" si="11"/>
        <v>255</v>
      </c>
      <c r="CF58" s="264">
        <f t="shared" si="12"/>
        <v>0</v>
      </c>
      <c r="CG58" s="264">
        <f t="shared" si="13"/>
        <v>71</v>
      </c>
      <c r="CH58" s="264">
        <f t="shared" si="14"/>
        <v>101</v>
      </c>
      <c r="CI58" s="264">
        <f t="shared" si="15"/>
        <v>861</v>
      </c>
      <c r="CJ58" s="264">
        <f t="shared" si="16"/>
        <v>746</v>
      </c>
      <c r="CK58" s="265">
        <f t="shared" si="17"/>
        <v>440</v>
      </c>
      <c r="CL58" s="264">
        <f t="shared" si="18"/>
        <v>733</v>
      </c>
      <c r="CM58" s="264">
        <f t="shared" si="19"/>
        <v>432</v>
      </c>
      <c r="CN58" s="264">
        <f t="shared" si="20"/>
        <v>0</v>
      </c>
      <c r="CO58" s="264">
        <f t="shared" si="21"/>
        <v>72</v>
      </c>
      <c r="CP58" s="264">
        <f t="shared" si="22"/>
        <v>191</v>
      </c>
      <c r="CQ58" s="264">
        <f t="shared" si="23"/>
        <v>1357</v>
      </c>
      <c r="CR58" s="264">
        <f t="shared" si="24"/>
        <v>1187</v>
      </c>
      <c r="CS58" s="266">
        <f t="shared" si="25"/>
        <v>1003</v>
      </c>
      <c r="CT58" s="264">
        <f t="shared" si="26"/>
        <v>919</v>
      </c>
      <c r="CU58" s="264">
        <f t="shared" si="27"/>
        <v>863</v>
      </c>
      <c r="CV58" s="264">
        <f t="shared" si="28"/>
        <v>0</v>
      </c>
      <c r="CW58" s="264">
        <f t="shared" si="29"/>
        <v>103</v>
      </c>
      <c r="CX58" s="264">
        <f t="shared" si="30"/>
        <v>461</v>
      </c>
      <c r="CY58" s="264">
        <f t="shared" si="31"/>
        <v>2933</v>
      </c>
      <c r="CZ58" s="264">
        <f t="shared" si="32"/>
        <v>2224</v>
      </c>
      <c r="DA58" s="265">
        <f t="shared" si="33"/>
        <v>3872</v>
      </c>
      <c r="DB58" s="264">
        <f t="shared" si="34"/>
        <v>380</v>
      </c>
      <c r="DC58" s="264">
        <f t="shared" si="35"/>
        <v>337</v>
      </c>
      <c r="DD58" s="264">
        <f t="shared" si="36"/>
        <v>0</v>
      </c>
      <c r="DE58" s="264">
        <f t="shared" si="37"/>
        <v>56</v>
      </c>
      <c r="DF58" s="264">
        <f t="shared" si="38"/>
        <v>107</v>
      </c>
      <c r="DG58" s="264">
        <f t="shared" si="39"/>
        <v>857</v>
      </c>
      <c r="DH58" s="264">
        <f t="shared" si="40"/>
        <v>719</v>
      </c>
      <c r="DI58" s="265">
        <f t="shared" si="41"/>
        <v>409</v>
      </c>
      <c r="DJ58" s="264">
        <f t="shared" si="42"/>
        <v>572</v>
      </c>
      <c r="DK58" s="264">
        <f t="shared" si="43"/>
        <v>515</v>
      </c>
      <c r="DL58" s="264">
        <f t="shared" si="44"/>
        <v>0</v>
      </c>
      <c r="DM58" s="264">
        <f t="shared" si="45"/>
        <v>73</v>
      </c>
      <c r="DN58" s="264">
        <f t="shared" si="46"/>
        <v>190</v>
      </c>
      <c r="DO58" s="264">
        <f t="shared" si="47"/>
        <v>1352</v>
      </c>
      <c r="DP58" s="264">
        <f t="shared" si="48"/>
        <v>1135</v>
      </c>
      <c r="DQ58" s="266">
        <f t="shared" si="49"/>
        <v>870</v>
      </c>
      <c r="DR58" s="279">
        <f>INDEX('Rate Assumptions'!$A$1:$C$32,MATCH('Success Allocation'!DR$3,'Rate Assumptions'!$A$1:$A$32,0),MATCH($DR$1,'Rate Assumptions'!$A$1:$C$1,0))</f>
        <v>2291.7551696336809</v>
      </c>
      <c r="DS58" s="279">
        <f>INDEX('Rate Assumptions'!$A$1:$C$32,MATCH('Success Allocation'!DS$3,'Rate Assumptions'!$A$1:$A$32,0),MATCH($DR$1,'Rate Assumptions'!$A$1:$C$1,0))</f>
        <v>1718.8163772252606</v>
      </c>
      <c r="DT58" s="279">
        <f>INDEX('Rate Assumptions'!$A$1:$C$32,MATCH('Success Allocation'!DT$3,'Rate Assumptions'!$A$1:$A$32,0),MATCH($DR$1,'Rate Assumptions'!$A$1:$C$1,0))</f>
        <v>1718.8163772252606</v>
      </c>
      <c r="DU58" s="279">
        <f>INDEX('Rate Assumptions'!$A$1:$C$32,MATCH('Success Allocation'!DU$3,'Rate Assumptions'!$A$1:$A$32,0),MATCH($DR$1,'Rate Assumptions'!$A$1:$C$1,0))</f>
        <v>1145.8775848168405</v>
      </c>
      <c r="DV58" s="279">
        <f>INDEX('Rate Assumptions'!$A$1:$C$32,MATCH('Success Allocation'!DV$3,'Rate Assumptions'!$A$1:$A$32,0),MATCH($DR$1,'Rate Assumptions'!$A$1:$C$1,0))</f>
        <v>1145.8775848168405</v>
      </c>
      <c r="DW58" s="279">
        <f>INDEX('Rate Assumptions'!$A$1:$C$32,MATCH('Success Allocation'!DW$3,'Rate Assumptions'!$A$1:$A$32,0),MATCH($DR$1,'Rate Assumptions'!$A$1:$C$1,0))</f>
        <v>572.93879240842023</v>
      </c>
      <c r="DX58" s="279">
        <f>INDEX('Rate Assumptions'!$A$1:$C$32,MATCH('Success Allocation'!DX$3,'Rate Assumptions'!$A$1:$A$32,0),MATCH($DR$1,'Rate Assumptions'!$A$1:$C$1,0))</f>
        <v>859.40818861263028</v>
      </c>
      <c r="DY58" s="280">
        <f>INDEX('Rate Assumptions'!$A$1:$C$32,MATCH('Success Allocation'!DY$3,'Rate Assumptions'!$A$1:$A$32,0),MATCH($DR$1,'Rate Assumptions'!$A$1:$C$1,0))</f>
        <v>572.93879240842023</v>
      </c>
      <c r="DZ58" s="279">
        <f>INDEX('Rate Assumptions'!$A$1:$C$32,MATCH('Success Allocation'!DZ$3,'Rate Assumptions'!$A$1:$A$32,0),MATCH($DR$1,'Rate Assumptions'!$A$1:$C$1,0))</f>
        <v>866.31570658079204</v>
      </c>
      <c r="EA58" s="279">
        <f>INDEX('Rate Assumptions'!$A$1:$C$32,MATCH('Success Allocation'!EA$3,'Rate Assumptions'!$A$1:$A$32,0),MATCH($DR$1,'Rate Assumptions'!$A$1:$C$1,0))</f>
        <v>649.73677993559397</v>
      </c>
      <c r="EB58" s="279">
        <f>INDEX('Rate Assumptions'!$A$1:$C$32,MATCH('Success Allocation'!EB$3,'Rate Assumptions'!$A$1:$A$32,0),MATCH($DR$1,'Rate Assumptions'!$A$1:$C$1,0))</f>
        <v>649.73677993559397</v>
      </c>
      <c r="EC58" s="279">
        <f>INDEX('Rate Assumptions'!$A$1:$C$32,MATCH('Success Allocation'!EC$3,'Rate Assumptions'!$A$1:$A$32,0),MATCH($DR$1,'Rate Assumptions'!$A$1:$C$1,0))</f>
        <v>433.15785329039602</v>
      </c>
      <c r="ED58" s="279">
        <f>INDEX('Rate Assumptions'!$A$1:$C$32,MATCH('Success Allocation'!ED$3,'Rate Assumptions'!$A$1:$A$32,0),MATCH($DR$1,'Rate Assumptions'!$A$1:$C$1,0))</f>
        <v>433.15785329039602</v>
      </c>
      <c r="EE58" s="279">
        <f>INDEX('Rate Assumptions'!$A$1:$C$32,MATCH('Success Allocation'!EE$3,'Rate Assumptions'!$A$1:$A$32,0),MATCH($DR$1,'Rate Assumptions'!$A$1:$C$1,0))</f>
        <v>216.57892664519801</v>
      </c>
      <c r="EF58" s="279">
        <f>INDEX('Rate Assumptions'!$A$1:$C$32,MATCH('Success Allocation'!EF$3,'Rate Assumptions'!$A$1:$A$32,0),MATCH($DR$1,'Rate Assumptions'!$A$1:$C$1,0))</f>
        <v>324.86838996779699</v>
      </c>
      <c r="EG58" s="280">
        <f>INDEX('Rate Assumptions'!$A$1:$C$32,MATCH('Success Allocation'!EG$3,'Rate Assumptions'!$A$1:$A$32,0),MATCH($DR$1,'Rate Assumptions'!$A$1:$C$1,0))</f>
        <v>216.57892664519801</v>
      </c>
      <c r="EH58" s="279">
        <f>INDEX('Rate Assumptions'!$A$1:$C$32,MATCH('Success Allocation'!EH$3,'Rate Assumptions'!$A$1:$A$32,0),MATCH($DR$1,'Rate Assumptions'!$A$1:$C$1,0))</f>
        <v>577.54380438719465</v>
      </c>
      <c r="EI58" s="279">
        <f>INDEX('Rate Assumptions'!$A$1:$C$32,MATCH('Success Allocation'!EI$3,'Rate Assumptions'!$A$1:$A$32,0),MATCH($DR$1,'Rate Assumptions'!$A$1:$C$1,0))</f>
        <v>433.15785329039602</v>
      </c>
      <c r="EJ58" s="279">
        <f>INDEX('Rate Assumptions'!$A$1:$C$32,MATCH('Success Allocation'!EJ$3,'Rate Assumptions'!$A$1:$A$32,0),MATCH($DR$1,'Rate Assumptions'!$A$1:$C$1,0))</f>
        <v>433.15785329039602</v>
      </c>
      <c r="EK58" s="279">
        <f>INDEX('Rate Assumptions'!$A$1:$C$32,MATCH('Success Allocation'!EK$3,'Rate Assumptions'!$A$1:$A$32,0),MATCH($DR$1,'Rate Assumptions'!$A$1:$C$1,0))</f>
        <v>288.77190219359733</v>
      </c>
      <c r="EL58" s="279">
        <f>INDEX('Rate Assumptions'!$A$1:$C$32,MATCH('Success Allocation'!EL$3,'Rate Assumptions'!$A$1:$A$32,0),MATCH($DR$1,'Rate Assumptions'!$A$1:$C$1,0))</f>
        <v>288.77190219359733</v>
      </c>
      <c r="EM58" s="279">
        <f>INDEX('Rate Assumptions'!$A$1:$C$32,MATCH('Success Allocation'!EM$3,'Rate Assumptions'!$A$1:$A$32,0),MATCH($DR$1,'Rate Assumptions'!$A$1:$C$1,0))</f>
        <v>144.38595109679866</v>
      </c>
      <c r="EN58" s="279">
        <f>INDEX('Rate Assumptions'!$A$1:$C$32,MATCH('Success Allocation'!EN$3,'Rate Assumptions'!$A$1:$A$32,0),MATCH($DR$1,'Rate Assumptions'!$A$1:$C$1,0))</f>
        <v>216.57892664519801</v>
      </c>
      <c r="EO58" s="281">
        <f>INDEX('Rate Assumptions'!$A$1:$C$32,MATCH('Success Allocation'!EO$3,'Rate Assumptions'!$A$1:$A$32,0),MATCH($DR$1,'Rate Assumptions'!$A$1:$C$1,0))</f>
        <v>144.38595109679866</v>
      </c>
      <c r="EP58" s="170">
        <f t="shared" si="50"/>
        <v>13564937.273391904</v>
      </c>
    </row>
    <row r="59" spans="1:146">
      <c r="A59" s="223" t="s">
        <v>146</v>
      </c>
      <c r="B59" s="226">
        <v>453</v>
      </c>
      <c r="C59" s="226">
        <v>1041</v>
      </c>
      <c r="D59" s="226">
        <v>0</v>
      </c>
      <c r="E59" s="226">
        <v>255</v>
      </c>
      <c r="F59" s="226">
        <v>626</v>
      </c>
      <c r="G59" s="227">
        <v>3822</v>
      </c>
      <c r="H59" s="226">
        <v>2991</v>
      </c>
      <c r="I59" s="228">
        <v>2518</v>
      </c>
      <c r="J59" s="226">
        <v>214</v>
      </c>
      <c r="K59" s="226">
        <v>443</v>
      </c>
      <c r="L59" s="226">
        <v>0</v>
      </c>
      <c r="M59" s="226">
        <v>103</v>
      </c>
      <c r="N59" s="226">
        <v>171</v>
      </c>
      <c r="O59" s="227">
        <v>1160</v>
      </c>
      <c r="P59" s="226">
        <v>1141</v>
      </c>
      <c r="Q59" s="228">
        <v>474</v>
      </c>
      <c r="R59" s="226">
        <v>296</v>
      </c>
      <c r="S59" s="226">
        <v>635</v>
      </c>
      <c r="T59" s="226">
        <v>0</v>
      </c>
      <c r="U59" s="226">
        <v>149</v>
      </c>
      <c r="V59" s="226">
        <v>253</v>
      </c>
      <c r="W59" s="227">
        <v>1928</v>
      </c>
      <c r="X59" s="226">
        <v>1739</v>
      </c>
      <c r="Y59" s="234">
        <v>1142</v>
      </c>
      <c r="Z59" s="237">
        <v>584</v>
      </c>
      <c r="AA59" s="237">
        <v>1148</v>
      </c>
      <c r="AB59" s="237">
        <v>13</v>
      </c>
      <c r="AC59" s="237">
        <v>615</v>
      </c>
      <c r="AD59" s="237">
        <v>568</v>
      </c>
      <c r="AE59" s="237">
        <v>3758</v>
      </c>
      <c r="AF59" s="237">
        <v>3146</v>
      </c>
      <c r="AG59" s="228">
        <v>2797</v>
      </c>
      <c r="AH59" s="237">
        <v>297</v>
      </c>
      <c r="AI59" s="237">
        <v>523</v>
      </c>
      <c r="AJ59" s="237">
        <v>8</v>
      </c>
      <c r="AK59" s="237">
        <v>162</v>
      </c>
      <c r="AL59" s="237">
        <v>155</v>
      </c>
      <c r="AM59" s="237">
        <v>1153</v>
      </c>
      <c r="AN59" s="237">
        <v>1129</v>
      </c>
      <c r="AO59" s="228">
        <v>510</v>
      </c>
      <c r="AP59" s="237">
        <v>408</v>
      </c>
      <c r="AQ59" s="237">
        <v>720</v>
      </c>
      <c r="AR59" s="237">
        <v>12</v>
      </c>
      <c r="AS59" s="237">
        <v>243</v>
      </c>
      <c r="AT59" s="237">
        <v>220</v>
      </c>
      <c r="AU59" s="238">
        <v>2000</v>
      </c>
      <c r="AV59" s="237">
        <v>1757</v>
      </c>
      <c r="AW59" s="234">
        <v>1265</v>
      </c>
      <c r="AX59" s="237"/>
      <c r="AY59" s="237"/>
      <c r="AZ59" s="237"/>
      <c r="BA59" s="237"/>
      <c r="BB59" s="237"/>
      <c r="BC59" s="237"/>
      <c r="BD59" s="237"/>
      <c r="BF59" s="237"/>
      <c r="BG59" s="237"/>
      <c r="BH59" s="237"/>
      <c r="BI59" s="237"/>
      <c r="BJ59" s="237"/>
      <c r="BK59" s="237"/>
      <c r="BL59" s="237"/>
      <c r="BN59" s="237"/>
      <c r="BO59" s="237"/>
      <c r="BP59" s="237"/>
      <c r="BQ59" s="237"/>
      <c r="BR59" s="237"/>
      <c r="BS59" s="238"/>
      <c r="BT59" s="237"/>
      <c r="BV59" s="264">
        <f t="shared" si="2"/>
        <v>715</v>
      </c>
      <c r="BW59" s="264">
        <f t="shared" si="3"/>
        <v>1255</v>
      </c>
      <c r="BX59" s="264">
        <f t="shared" si="4"/>
        <v>26</v>
      </c>
      <c r="BY59" s="264">
        <f t="shared" si="5"/>
        <v>975</v>
      </c>
      <c r="BZ59" s="264">
        <f t="shared" si="6"/>
        <v>510</v>
      </c>
      <c r="CA59" s="264">
        <f t="shared" si="7"/>
        <v>3694</v>
      </c>
      <c r="CB59" s="264">
        <f t="shared" si="8"/>
        <v>3301</v>
      </c>
      <c r="CC59" s="265">
        <f t="shared" si="9"/>
        <v>3076</v>
      </c>
      <c r="CD59" s="264">
        <f t="shared" si="10"/>
        <v>380</v>
      </c>
      <c r="CE59" s="264">
        <f t="shared" si="11"/>
        <v>603</v>
      </c>
      <c r="CF59" s="264">
        <f t="shared" si="12"/>
        <v>16</v>
      </c>
      <c r="CG59" s="264">
        <f t="shared" si="13"/>
        <v>221</v>
      </c>
      <c r="CH59" s="264">
        <f t="shared" si="14"/>
        <v>139</v>
      </c>
      <c r="CI59" s="264">
        <f t="shared" si="15"/>
        <v>1146</v>
      </c>
      <c r="CJ59" s="264">
        <f t="shared" si="16"/>
        <v>1117</v>
      </c>
      <c r="CK59" s="265">
        <f t="shared" si="17"/>
        <v>546</v>
      </c>
      <c r="CL59" s="264">
        <f t="shared" si="18"/>
        <v>520</v>
      </c>
      <c r="CM59" s="264">
        <f t="shared" si="19"/>
        <v>805</v>
      </c>
      <c r="CN59" s="264">
        <f t="shared" si="20"/>
        <v>24</v>
      </c>
      <c r="CO59" s="264">
        <f t="shared" si="21"/>
        <v>337</v>
      </c>
      <c r="CP59" s="264">
        <f t="shared" si="22"/>
        <v>187</v>
      </c>
      <c r="CQ59" s="264">
        <f t="shared" si="23"/>
        <v>2072</v>
      </c>
      <c r="CR59" s="264">
        <f t="shared" si="24"/>
        <v>1775</v>
      </c>
      <c r="CS59" s="266">
        <f t="shared" si="25"/>
        <v>1388</v>
      </c>
      <c r="CT59" s="264">
        <f t="shared" si="26"/>
        <v>584</v>
      </c>
      <c r="CU59" s="264">
        <f t="shared" si="27"/>
        <v>1148</v>
      </c>
      <c r="CV59" s="264">
        <f t="shared" si="28"/>
        <v>13</v>
      </c>
      <c r="CW59" s="264">
        <f t="shared" si="29"/>
        <v>615</v>
      </c>
      <c r="CX59" s="264">
        <f t="shared" si="30"/>
        <v>568</v>
      </c>
      <c r="CY59" s="264">
        <f t="shared" si="31"/>
        <v>3758</v>
      </c>
      <c r="CZ59" s="264">
        <f t="shared" si="32"/>
        <v>3146</v>
      </c>
      <c r="DA59" s="265">
        <f t="shared" si="33"/>
        <v>2797</v>
      </c>
      <c r="DB59" s="264">
        <f t="shared" si="34"/>
        <v>297</v>
      </c>
      <c r="DC59" s="264">
        <f t="shared" si="35"/>
        <v>523</v>
      </c>
      <c r="DD59" s="264">
        <f t="shared" si="36"/>
        <v>8</v>
      </c>
      <c r="DE59" s="264">
        <f t="shared" si="37"/>
        <v>162</v>
      </c>
      <c r="DF59" s="264">
        <f t="shared" si="38"/>
        <v>155</v>
      </c>
      <c r="DG59" s="264">
        <f t="shared" si="39"/>
        <v>1153</v>
      </c>
      <c r="DH59" s="264">
        <f t="shared" si="40"/>
        <v>1129</v>
      </c>
      <c r="DI59" s="265">
        <f t="shared" si="41"/>
        <v>510</v>
      </c>
      <c r="DJ59" s="264">
        <f t="shared" si="42"/>
        <v>408</v>
      </c>
      <c r="DK59" s="264">
        <f t="shared" si="43"/>
        <v>720</v>
      </c>
      <c r="DL59" s="264">
        <f t="shared" si="44"/>
        <v>12</v>
      </c>
      <c r="DM59" s="264">
        <f t="shared" si="45"/>
        <v>243</v>
      </c>
      <c r="DN59" s="264">
        <f t="shared" si="46"/>
        <v>220</v>
      </c>
      <c r="DO59" s="264">
        <f t="shared" si="47"/>
        <v>2000</v>
      </c>
      <c r="DP59" s="264">
        <f t="shared" si="48"/>
        <v>1757</v>
      </c>
      <c r="DQ59" s="266">
        <f t="shared" si="49"/>
        <v>1265</v>
      </c>
      <c r="DR59" s="279">
        <f>INDEX('Rate Assumptions'!$A$1:$C$32,MATCH('Success Allocation'!DR$3,'Rate Assumptions'!$A$1:$A$32,0),MATCH($DR$1,'Rate Assumptions'!$A$1:$C$1,0))</f>
        <v>2291.7551696336809</v>
      </c>
      <c r="DS59" s="279">
        <f>INDEX('Rate Assumptions'!$A$1:$C$32,MATCH('Success Allocation'!DS$3,'Rate Assumptions'!$A$1:$A$32,0),MATCH($DR$1,'Rate Assumptions'!$A$1:$C$1,0))</f>
        <v>1718.8163772252606</v>
      </c>
      <c r="DT59" s="279">
        <f>INDEX('Rate Assumptions'!$A$1:$C$32,MATCH('Success Allocation'!DT$3,'Rate Assumptions'!$A$1:$A$32,0),MATCH($DR$1,'Rate Assumptions'!$A$1:$C$1,0))</f>
        <v>1718.8163772252606</v>
      </c>
      <c r="DU59" s="279">
        <f>INDEX('Rate Assumptions'!$A$1:$C$32,MATCH('Success Allocation'!DU$3,'Rate Assumptions'!$A$1:$A$32,0),MATCH($DR$1,'Rate Assumptions'!$A$1:$C$1,0))</f>
        <v>1145.8775848168405</v>
      </c>
      <c r="DV59" s="279">
        <f>INDEX('Rate Assumptions'!$A$1:$C$32,MATCH('Success Allocation'!DV$3,'Rate Assumptions'!$A$1:$A$32,0),MATCH($DR$1,'Rate Assumptions'!$A$1:$C$1,0))</f>
        <v>1145.8775848168405</v>
      </c>
      <c r="DW59" s="279">
        <f>INDEX('Rate Assumptions'!$A$1:$C$32,MATCH('Success Allocation'!DW$3,'Rate Assumptions'!$A$1:$A$32,0),MATCH($DR$1,'Rate Assumptions'!$A$1:$C$1,0))</f>
        <v>572.93879240842023</v>
      </c>
      <c r="DX59" s="279">
        <f>INDEX('Rate Assumptions'!$A$1:$C$32,MATCH('Success Allocation'!DX$3,'Rate Assumptions'!$A$1:$A$32,0),MATCH($DR$1,'Rate Assumptions'!$A$1:$C$1,0))</f>
        <v>859.40818861263028</v>
      </c>
      <c r="DY59" s="280">
        <f>INDEX('Rate Assumptions'!$A$1:$C$32,MATCH('Success Allocation'!DY$3,'Rate Assumptions'!$A$1:$A$32,0),MATCH($DR$1,'Rate Assumptions'!$A$1:$C$1,0))</f>
        <v>572.93879240842023</v>
      </c>
      <c r="DZ59" s="279">
        <f>INDEX('Rate Assumptions'!$A$1:$C$32,MATCH('Success Allocation'!DZ$3,'Rate Assumptions'!$A$1:$A$32,0),MATCH($DR$1,'Rate Assumptions'!$A$1:$C$1,0))</f>
        <v>866.31570658079204</v>
      </c>
      <c r="EA59" s="279">
        <f>INDEX('Rate Assumptions'!$A$1:$C$32,MATCH('Success Allocation'!EA$3,'Rate Assumptions'!$A$1:$A$32,0),MATCH($DR$1,'Rate Assumptions'!$A$1:$C$1,0))</f>
        <v>649.73677993559397</v>
      </c>
      <c r="EB59" s="279">
        <f>INDEX('Rate Assumptions'!$A$1:$C$32,MATCH('Success Allocation'!EB$3,'Rate Assumptions'!$A$1:$A$32,0),MATCH($DR$1,'Rate Assumptions'!$A$1:$C$1,0))</f>
        <v>649.73677993559397</v>
      </c>
      <c r="EC59" s="279">
        <f>INDEX('Rate Assumptions'!$A$1:$C$32,MATCH('Success Allocation'!EC$3,'Rate Assumptions'!$A$1:$A$32,0),MATCH($DR$1,'Rate Assumptions'!$A$1:$C$1,0))</f>
        <v>433.15785329039602</v>
      </c>
      <c r="ED59" s="279">
        <f>INDEX('Rate Assumptions'!$A$1:$C$32,MATCH('Success Allocation'!ED$3,'Rate Assumptions'!$A$1:$A$32,0),MATCH($DR$1,'Rate Assumptions'!$A$1:$C$1,0))</f>
        <v>433.15785329039602</v>
      </c>
      <c r="EE59" s="279">
        <f>INDEX('Rate Assumptions'!$A$1:$C$32,MATCH('Success Allocation'!EE$3,'Rate Assumptions'!$A$1:$A$32,0),MATCH($DR$1,'Rate Assumptions'!$A$1:$C$1,0))</f>
        <v>216.57892664519801</v>
      </c>
      <c r="EF59" s="279">
        <f>INDEX('Rate Assumptions'!$A$1:$C$32,MATCH('Success Allocation'!EF$3,'Rate Assumptions'!$A$1:$A$32,0),MATCH($DR$1,'Rate Assumptions'!$A$1:$C$1,0))</f>
        <v>324.86838996779699</v>
      </c>
      <c r="EG59" s="280">
        <f>INDEX('Rate Assumptions'!$A$1:$C$32,MATCH('Success Allocation'!EG$3,'Rate Assumptions'!$A$1:$A$32,0),MATCH($DR$1,'Rate Assumptions'!$A$1:$C$1,0))</f>
        <v>216.57892664519801</v>
      </c>
      <c r="EH59" s="279">
        <f>INDEX('Rate Assumptions'!$A$1:$C$32,MATCH('Success Allocation'!EH$3,'Rate Assumptions'!$A$1:$A$32,0),MATCH($DR$1,'Rate Assumptions'!$A$1:$C$1,0))</f>
        <v>577.54380438719465</v>
      </c>
      <c r="EI59" s="279">
        <f>INDEX('Rate Assumptions'!$A$1:$C$32,MATCH('Success Allocation'!EI$3,'Rate Assumptions'!$A$1:$A$32,0),MATCH($DR$1,'Rate Assumptions'!$A$1:$C$1,0))</f>
        <v>433.15785329039602</v>
      </c>
      <c r="EJ59" s="279">
        <f>INDEX('Rate Assumptions'!$A$1:$C$32,MATCH('Success Allocation'!EJ$3,'Rate Assumptions'!$A$1:$A$32,0),MATCH($DR$1,'Rate Assumptions'!$A$1:$C$1,0))</f>
        <v>433.15785329039602</v>
      </c>
      <c r="EK59" s="279">
        <f>INDEX('Rate Assumptions'!$A$1:$C$32,MATCH('Success Allocation'!EK$3,'Rate Assumptions'!$A$1:$A$32,0),MATCH($DR$1,'Rate Assumptions'!$A$1:$C$1,0))</f>
        <v>288.77190219359733</v>
      </c>
      <c r="EL59" s="279">
        <f>INDEX('Rate Assumptions'!$A$1:$C$32,MATCH('Success Allocation'!EL$3,'Rate Assumptions'!$A$1:$A$32,0),MATCH($DR$1,'Rate Assumptions'!$A$1:$C$1,0))</f>
        <v>288.77190219359733</v>
      </c>
      <c r="EM59" s="279">
        <f>INDEX('Rate Assumptions'!$A$1:$C$32,MATCH('Success Allocation'!EM$3,'Rate Assumptions'!$A$1:$A$32,0),MATCH($DR$1,'Rate Assumptions'!$A$1:$C$1,0))</f>
        <v>144.38595109679866</v>
      </c>
      <c r="EN59" s="279">
        <f>INDEX('Rate Assumptions'!$A$1:$C$32,MATCH('Success Allocation'!EN$3,'Rate Assumptions'!$A$1:$A$32,0),MATCH($DR$1,'Rate Assumptions'!$A$1:$C$1,0))</f>
        <v>216.57892664519801</v>
      </c>
      <c r="EO59" s="281">
        <f>INDEX('Rate Assumptions'!$A$1:$C$32,MATCH('Success Allocation'!EO$3,'Rate Assumptions'!$A$1:$A$32,0),MATCH($DR$1,'Rate Assumptions'!$A$1:$C$1,0))</f>
        <v>144.38595109679866</v>
      </c>
      <c r="EP59" s="170">
        <f t="shared" si="50"/>
        <v>15569122.493123705</v>
      </c>
    </row>
    <row r="60" spans="1:146">
      <c r="A60" s="223" t="s">
        <v>147</v>
      </c>
      <c r="B60" s="226">
        <v>262</v>
      </c>
      <c r="C60" s="226">
        <v>748</v>
      </c>
      <c r="D60" s="226">
        <v>0</v>
      </c>
      <c r="E60" s="226">
        <v>70</v>
      </c>
      <c r="F60" s="226">
        <v>172</v>
      </c>
      <c r="G60" s="227">
        <v>1820</v>
      </c>
      <c r="H60" s="226">
        <v>932</v>
      </c>
      <c r="I60" s="228">
        <v>1661</v>
      </c>
      <c r="J60" s="226">
        <v>172</v>
      </c>
      <c r="K60" s="226">
        <v>490</v>
      </c>
      <c r="L60" s="226">
        <v>0</v>
      </c>
      <c r="M60" s="226">
        <v>39</v>
      </c>
      <c r="N60" s="226">
        <v>78</v>
      </c>
      <c r="O60" s="227">
        <v>1158</v>
      </c>
      <c r="P60" s="226">
        <v>584</v>
      </c>
      <c r="Q60" s="228">
        <v>891</v>
      </c>
      <c r="R60" s="226">
        <v>211</v>
      </c>
      <c r="S60" s="226">
        <v>623</v>
      </c>
      <c r="T60" s="226">
        <v>0</v>
      </c>
      <c r="U60" s="226">
        <v>51</v>
      </c>
      <c r="V60" s="226">
        <v>116</v>
      </c>
      <c r="W60" s="227">
        <v>1491</v>
      </c>
      <c r="X60" s="226">
        <v>711</v>
      </c>
      <c r="Y60" s="234">
        <v>1198</v>
      </c>
      <c r="Z60" s="237">
        <v>425</v>
      </c>
      <c r="AA60" s="237">
        <v>636</v>
      </c>
      <c r="AB60" s="237">
        <v>0</v>
      </c>
      <c r="AC60" s="237">
        <v>153</v>
      </c>
      <c r="AD60" s="237">
        <v>213</v>
      </c>
      <c r="AE60" s="237">
        <v>1825</v>
      </c>
      <c r="AF60" s="237">
        <v>934</v>
      </c>
      <c r="AG60" s="228">
        <v>1827</v>
      </c>
      <c r="AH60" s="237">
        <v>281</v>
      </c>
      <c r="AI60" s="237">
        <v>435</v>
      </c>
      <c r="AJ60" s="237">
        <v>0</v>
      </c>
      <c r="AK60" s="237">
        <v>100</v>
      </c>
      <c r="AL60" s="237">
        <v>107</v>
      </c>
      <c r="AM60" s="237">
        <v>1145</v>
      </c>
      <c r="AN60" s="237">
        <v>549</v>
      </c>
      <c r="AO60" s="228">
        <v>937</v>
      </c>
      <c r="AP60" s="237">
        <v>346</v>
      </c>
      <c r="AQ60" s="237">
        <v>536</v>
      </c>
      <c r="AR60" s="237">
        <v>0</v>
      </c>
      <c r="AS60" s="237">
        <v>125</v>
      </c>
      <c r="AT60" s="237">
        <v>144</v>
      </c>
      <c r="AU60" s="238">
        <v>1459</v>
      </c>
      <c r="AV60" s="237">
        <v>695</v>
      </c>
      <c r="AW60" s="234">
        <v>1343</v>
      </c>
      <c r="AX60" s="237"/>
      <c r="AY60" s="237"/>
      <c r="AZ60" s="237"/>
      <c r="BA60" s="237"/>
      <c r="BB60" s="237"/>
      <c r="BC60" s="237"/>
      <c r="BD60" s="237"/>
      <c r="BF60" s="237"/>
      <c r="BG60" s="237"/>
      <c r="BH60" s="237"/>
      <c r="BI60" s="237"/>
      <c r="BJ60" s="237"/>
      <c r="BK60" s="237"/>
      <c r="BL60" s="237"/>
      <c r="BN60" s="237"/>
      <c r="BO60" s="237"/>
      <c r="BP60" s="237"/>
      <c r="BQ60" s="237"/>
      <c r="BR60" s="237"/>
      <c r="BS60" s="238"/>
      <c r="BT60" s="237"/>
      <c r="BV60" s="264">
        <f t="shared" si="2"/>
        <v>588</v>
      </c>
      <c r="BW60" s="264">
        <f t="shared" si="3"/>
        <v>524</v>
      </c>
      <c r="BX60" s="264">
        <f t="shared" si="4"/>
        <v>0</v>
      </c>
      <c r="BY60" s="264">
        <f t="shared" si="5"/>
        <v>236</v>
      </c>
      <c r="BZ60" s="264">
        <f t="shared" si="6"/>
        <v>254</v>
      </c>
      <c r="CA60" s="264">
        <f t="shared" si="7"/>
        <v>1830</v>
      </c>
      <c r="CB60" s="264">
        <f t="shared" si="8"/>
        <v>936</v>
      </c>
      <c r="CC60" s="265">
        <f t="shared" si="9"/>
        <v>1993</v>
      </c>
      <c r="CD60" s="264">
        <f t="shared" si="10"/>
        <v>390</v>
      </c>
      <c r="CE60" s="264">
        <f t="shared" si="11"/>
        <v>380</v>
      </c>
      <c r="CF60" s="264">
        <f t="shared" si="12"/>
        <v>0</v>
      </c>
      <c r="CG60" s="264">
        <f t="shared" si="13"/>
        <v>161</v>
      </c>
      <c r="CH60" s="264">
        <f t="shared" si="14"/>
        <v>136</v>
      </c>
      <c r="CI60" s="264">
        <f t="shared" si="15"/>
        <v>1132</v>
      </c>
      <c r="CJ60" s="264">
        <f t="shared" si="16"/>
        <v>514</v>
      </c>
      <c r="CK60" s="265">
        <f t="shared" si="17"/>
        <v>983</v>
      </c>
      <c r="CL60" s="264">
        <f t="shared" si="18"/>
        <v>481</v>
      </c>
      <c r="CM60" s="264">
        <f t="shared" si="19"/>
        <v>449</v>
      </c>
      <c r="CN60" s="264">
        <f t="shared" si="20"/>
        <v>0</v>
      </c>
      <c r="CO60" s="264">
        <f t="shared" si="21"/>
        <v>199</v>
      </c>
      <c r="CP60" s="264">
        <f t="shared" si="22"/>
        <v>172</v>
      </c>
      <c r="CQ60" s="264">
        <f t="shared" si="23"/>
        <v>1427</v>
      </c>
      <c r="CR60" s="264">
        <f t="shared" si="24"/>
        <v>679</v>
      </c>
      <c r="CS60" s="266">
        <f t="shared" si="25"/>
        <v>1488</v>
      </c>
      <c r="CT60" s="264">
        <f t="shared" si="26"/>
        <v>425</v>
      </c>
      <c r="CU60" s="264">
        <f t="shared" si="27"/>
        <v>636</v>
      </c>
      <c r="CV60" s="264">
        <f t="shared" si="28"/>
        <v>0</v>
      </c>
      <c r="CW60" s="264">
        <f t="shared" si="29"/>
        <v>153</v>
      </c>
      <c r="CX60" s="264">
        <f t="shared" si="30"/>
        <v>213</v>
      </c>
      <c r="CY60" s="264">
        <f t="shared" si="31"/>
        <v>1825</v>
      </c>
      <c r="CZ60" s="264">
        <f t="shared" si="32"/>
        <v>934</v>
      </c>
      <c r="DA60" s="265">
        <f t="shared" si="33"/>
        <v>1827</v>
      </c>
      <c r="DB60" s="264">
        <f t="shared" si="34"/>
        <v>281</v>
      </c>
      <c r="DC60" s="264">
        <f t="shared" si="35"/>
        <v>435</v>
      </c>
      <c r="DD60" s="264">
        <f t="shared" si="36"/>
        <v>0</v>
      </c>
      <c r="DE60" s="264">
        <f t="shared" si="37"/>
        <v>100</v>
      </c>
      <c r="DF60" s="264">
        <f t="shared" si="38"/>
        <v>107</v>
      </c>
      <c r="DG60" s="264">
        <f t="shared" si="39"/>
        <v>1145</v>
      </c>
      <c r="DH60" s="264">
        <f t="shared" si="40"/>
        <v>549</v>
      </c>
      <c r="DI60" s="265">
        <f t="shared" si="41"/>
        <v>937</v>
      </c>
      <c r="DJ60" s="264">
        <f t="shared" si="42"/>
        <v>346</v>
      </c>
      <c r="DK60" s="264">
        <f t="shared" si="43"/>
        <v>536</v>
      </c>
      <c r="DL60" s="264">
        <f t="shared" si="44"/>
        <v>0</v>
      </c>
      <c r="DM60" s="264">
        <f t="shared" si="45"/>
        <v>125</v>
      </c>
      <c r="DN60" s="264">
        <f t="shared" si="46"/>
        <v>144</v>
      </c>
      <c r="DO60" s="264">
        <f t="shared" si="47"/>
        <v>1459</v>
      </c>
      <c r="DP60" s="264">
        <f t="shared" si="48"/>
        <v>695</v>
      </c>
      <c r="DQ60" s="266">
        <f t="shared" si="49"/>
        <v>1343</v>
      </c>
      <c r="DR60" s="279">
        <f>INDEX('Rate Assumptions'!$A$1:$C$32,MATCH('Success Allocation'!DR$3,'Rate Assumptions'!$A$1:$A$32,0),MATCH($DR$1,'Rate Assumptions'!$A$1:$C$1,0))</f>
        <v>2291.7551696336809</v>
      </c>
      <c r="DS60" s="279">
        <f>INDEX('Rate Assumptions'!$A$1:$C$32,MATCH('Success Allocation'!DS$3,'Rate Assumptions'!$A$1:$A$32,0),MATCH($DR$1,'Rate Assumptions'!$A$1:$C$1,0))</f>
        <v>1718.8163772252606</v>
      </c>
      <c r="DT60" s="279">
        <f>INDEX('Rate Assumptions'!$A$1:$C$32,MATCH('Success Allocation'!DT$3,'Rate Assumptions'!$A$1:$A$32,0),MATCH($DR$1,'Rate Assumptions'!$A$1:$C$1,0))</f>
        <v>1718.8163772252606</v>
      </c>
      <c r="DU60" s="279">
        <f>INDEX('Rate Assumptions'!$A$1:$C$32,MATCH('Success Allocation'!DU$3,'Rate Assumptions'!$A$1:$A$32,0),MATCH($DR$1,'Rate Assumptions'!$A$1:$C$1,0))</f>
        <v>1145.8775848168405</v>
      </c>
      <c r="DV60" s="279">
        <f>INDEX('Rate Assumptions'!$A$1:$C$32,MATCH('Success Allocation'!DV$3,'Rate Assumptions'!$A$1:$A$32,0),MATCH($DR$1,'Rate Assumptions'!$A$1:$C$1,0))</f>
        <v>1145.8775848168405</v>
      </c>
      <c r="DW60" s="279">
        <f>INDEX('Rate Assumptions'!$A$1:$C$32,MATCH('Success Allocation'!DW$3,'Rate Assumptions'!$A$1:$A$32,0),MATCH($DR$1,'Rate Assumptions'!$A$1:$C$1,0))</f>
        <v>572.93879240842023</v>
      </c>
      <c r="DX60" s="279">
        <f>INDEX('Rate Assumptions'!$A$1:$C$32,MATCH('Success Allocation'!DX$3,'Rate Assumptions'!$A$1:$A$32,0),MATCH($DR$1,'Rate Assumptions'!$A$1:$C$1,0))</f>
        <v>859.40818861263028</v>
      </c>
      <c r="DY60" s="280">
        <f>INDEX('Rate Assumptions'!$A$1:$C$32,MATCH('Success Allocation'!DY$3,'Rate Assumptions'!$A$1:$A$32,0),MATCH($DR$1,'Rate Assumptions'!$A$1:$C$1,0))</f>
        <v>572.93879240842023</v>
      </c>
      <c r="DZ60" s="279">
        <f>INDEX('Rate Assumptions'!$A$1:$C$32,MATCH('Success Allocation'!DZ$3,'Rate Assumptions'!$A$1:$A$32,0),MATCH($DR$1,'Rate Assumptions'!$A$1:$C$1,0))</f>
        <v>866.31570658079204</v>
      </c>
      <c r="EA60" s="279">
        <f>INDEX('Rate Assumptions'!$A$1:$C$32,MATCH('Success Allocation'!EA$3,'Rate Assumptions'!$A$1:$A$32,0),MATCH($DR$1,'Rate Assumptions'!$A$1:$C$1,0))</f>
        <v>649.73677993559397</v>
      </c>
      <c r="EB60" s="279">
        <f>INDEX('Rate Assumptions'!$A$1:$C$32,MATCH('Success Allocation'!EB$3,'Rate Assumptions'!$A$1:$A$32,0),MATCH($DR$1,'Rate Assumptions'!$A$1:$C$1,0))</f>
        <v>649.73677993559397</v>
      </c>
      <c r="EC60" s="279">
        <f>INDEX('Rate Assumptions'!$A$1:$C$32,MATCH('Success Allocation'!EC$3,'Rate Assumptions'!$A$1:$A$32,0),MATCH($DR$1,'Rate Assumptions'!$A$1:$C$1,0))</f>
        <v>433.15785329039602</v>
      </c>
      <c r="ED60" s="279">
        <f>INDEX('Rate Assumptions'!$A$1:$C$32,MATCH('Success Allocation'!ED$3,'Rate Assumptions'!$A$1:$A$32,0),MATCH($DR$1,'Rate Assumptions'!$A$1:$C$1,0))</f>
        <v>433.15785329039602</v>
      </c>
      <c r="EE60" s="279">
        <f>INDEX('Rate Assumptions'!$A$1:$C$32,MATCH('Success Allocation'!EE$3,'Rate Assumptions'!$A$1:$A$32,0),MATCH($DR$1,'Rate Assumptions'!$A$1:$C$1,0))</f>
        <v>216.57892664519801</v>
      </c>
      <c r="EF60" s="279">
        <f>INDEX('Rate Assumptions'!$A$1:$C$32,MATCH('Success Allocation'!EF$3,'Rate Assumptions'!$A$1:$A$32,0),MATCH($DR$1,'Rate Assumptions'!$A$1:$C$1,0))</f>
        <v>324.86838996779699</v>
      </c>
      <c r="EG60" s="280">
        <f>INDEX('Rate Assumptions'!$A$1:$C$32,MATCH('Success Allocation'!EG$3,'Rate Assumptions'!$A$1:$A$32,0),MATCH($DR$1,'Rate Assumptions'!$A$1:$C$1,0))</f>
        <v>216.57892664519801</v>
      </c>
      <c r="EH60" s="279">
        <f>INDEX('Rate Assumptions'!$A$1:$C$32,MATCH('Success Allocation'!EH$3,'Rate Assumptions'!$A$1:$A$32,0),MATCH($DR$1,'Rate Assumptions'!$A$1:$C$1,0))</f>
        <v>577.54380438719465</v>
      </c>
      <c r="EI60" s="279">
        <f>INDEX('Rate Assumptions'!$A$1:$C$32,MATCH('Success Allocation'!EI$3,'Rate Assumptions'!$A$1:$A$32,0),MATCH($DR$1,'Rate Assumptions'!$A$1:$C$1,0))</f>
        <v>433.15785329039602</v>
      </c>
      <c r="EJ60" s="279">
        <f>INDEX('Rate Assumptions'!$A$1:$C$32,MATCH('Success Allocation'!EJ$3,'Rate Assumptions'!$A$1:$A$32,0),MATCH($DR$1,'Rate Assumptions'!$A$1:$C$1,0))</f>
        <v>433.15785329039602</v>
      </c>
      <c r="EK60" s="279">
        <f>INDEX('Rate Assumptions'!$A$1:$C$32,MATCH('Success Allocation'!EK$3,'Rate Assumptions'!$A$1:$A$32,0),MATCH($DR$1,'Rate Assumptions'!$A$1:$C$1,0))</f>
        <v>288.77190219359733</v>
      </c>
      <c r="EL60" s="279">
        <f>INDEX('Rate Assumptions'!$A$1:$C$32,MATCH('Success Allocation'!EL$3,'Rate Assumptions'!$A$1:$A$32,0),MATCH($DR$1,'Rate Assumptions'!$A$1:$C$1,0))</f>
        <v>288.77190219359733</v>
      </c>
      <c r="EM60" s="279">
        <f>INDEX('Rate Assumptions'!$A$1:$C$32,MATCH('Success Allocation'!EM$3,'Rate Assumptions'!$A$1:$A$32,0),MATCH($DR$1,'Rate Assumptions'!$A$1:$C$1,0))</f>
        <v>144.38595109679866</v>
      </c>
      <c r="EN60" s="279">
        <f>INDEX('Rate Assumptions'!$A$1:$C$32,MATCH('Success Allocation'!EN$3,'Rate Assumptions'!$A$1:$A$32,0),MATCH($DR$1,'Rate Assumptions'!$A$1:$C$1,0))</f>
        <v>216.57892664519801</v>
      </c>
      <c r="EO60" s="281">
        <f>INDEX('Rate Assumptions'!$A$1:$C$32,MATCH('Success Allocation'!EO$3,'Rate Assumptions'!$A$1:$A$32,0),MATCH($DR$1,'Rate Assumptions'!$A$1:$C$1,0))</f>
        <v>144.38595109679866</v>
      </c>
      <c r="EP60" s="170">
        <f t="shared" si="50"/>
        <v>8290263.6329477374</v>
      </c>
    </row>
    <row r="61" spans="1:146">
      <c r="A61" s="223" t="s">
        <v>148</v>
      </c>
      <c r="B61" s="226">
        <v>169</v>
      </c>
      <c r="C61" s="226">
        <v>513</v>
      </c>
      <c r="D61" s="226">
        <v>0</v>
      </c>
      <c r="E61" s="226">
        <v>98</v>
      </c>
      <c r="F61" s="226">
        <v>117</v>
      </c>
      <c r="G61" s="227">
        <v>1548</v>
      </c>
      <c r="H61" s="226">
        <v>660</v>
      </c>
      <c r="I61" s="228">
        <v>1417</v>
      </c>
      <c r="J61" s="226">
        <v>99</v>
      </c>
      <c r="K61" s="226">
        <v>340</v>
      </c>
      <c r="L61" s="226">
        <v>0</v>
      </c>
      <c r="M61" s="226">
        <v>50</v>
      </c>
      <c r="N61" s="226">
        <v>58</v>
      </c>
      <c r="O61" s="227">
        <v>1010</v>
      </c>
      <c r="P61" s="226">
        <v>290</v>
      </c>
      <c r="Q61" s="228">
        <v>600</v>
      </c>
      <c r="R61" s="226">
        <v>128</v>
      </c>
      <c r="S61" s="226">
        <v>414</v>
      </c>
      <c r="T61" s="226">
        <v>0</v>
      </c>
      <c r="U61" s="226">
        <v>77</v>
      </c>
      <c r="V61" s="226">
        <v>70</v>
      </c>
      <c r="W61" s="227">
        <v>1262</v>
      </c>
      <c r="X61" s="226">
        <v>381</v>
      </c>
      <c r="Y61" s="234">
        <v>895</v>
      </c>
      <c r="Z61" s="237">
        <v>246</v>
      </c>
      <c r="AA61" s="237">
        <v>542</v>
      </c>
      <c r="AB61" s="237">
        <v>2</v>
      </c>
      <c r="AC61" s="237">
        <v>174</v>
      </c>
      <c r="AD61" s="237">
        <v>109</v>
      </c>
      <c r="AE61" s="237">
        <v>1527</v>
      </c>
      <c r="AF61" s="237">
        <v>739</v>
      </c>
      <c r="AG61" s="228">
        <v>1552</v>
      </c>
      <c r="AH61" s="237">
        <v>156</v>
      </c>
      <c r="AI61" s="237">
        <v>375</v>
      </c>
      <c r="AJ61" s="237">
        <v>0</v>
      </c>
      <c r="AK61" s="237">
        <v>101</v>
      </c>
      <c r="AL61" s="237">
        <v>47</v>
      </c>
      <c r="AM61" s="237">
        <v>995</v>
      </c>
      <c r="AN61" s="237">
        <v>320</v>
      </c>
      <c r="AO61" s="228">
        <v>672</v>
      </c>
      <c r="AP61" s="237">
        <v>194</v>
      </c>
      <c r="AQ61" s="237">
        <v>451</v>
      </c>
      <c r="AR61" s="237">
        <v>1</v>
      </c>
      <c r="AS61" s="237">
        <v>134</v>
      </c>
      <c r="AT61" s="237">
        <v>65</v>
      </c>
      <c r="AU61" s="238">
        <v>1264</v>
      </c>
      <c r="AV61" s="237">
        <v>422</v>
      </c>
      <c r="AW61" s="234">
        <v>1009</v>
      </c>
      <c r="AX61" s="237"/>
      <c r="AY61" s="237"/>
      <c r="AZ61" s="237"/>
      <c r="BA61" s="237"/>
      <c r="BB61" s="237"/>
      <c r="BC61" s="237"/>
      <c r="BD61" s="237"/>
      <c r="BF61" s="237"/>
      <c r="BG61" s="237"/>
      <c r="BH61" s="237"/>
      <c r="BI61" s="237"/>
      <c r="BJ61" s="237"/>
      <c r="BK61" s="237"/>
      <c r="BL61" s="237"/>
      <c r="BN61" s="237"/>
      <c r="BO61" s="237"/>
      <c r="BP61" s="237"/>
      <c r="BQ61" s="237"/>
      <c r="BR61" s="237"/>
      <c r="BS61" s="238"/>
      <c r="BT61" s="237"/>
      <c r="BV61" s="264">
        <f t="shared" si="2"/>
        <v>323</v>
      </c>
      <c r="BW61" s="264">
        <f t="shared" si="3"/>
        <v>571</v>
      </c>
      <c r="BX61" s="264">
        <f t="shared" si="4"/>
        <v>4</v>
      </c>
      <c r="BY61" s="264">
        <f t="shared" si="5"/>
        <v>250</v>
      </c>
      <c r="BZ61" s="264">
        <f t="shared" si="6"/>
        <v>101</v>
      </c>
      <c r="CA61" s="264">
        <f t="shared" si="7"/>
        <v>1506</v>
      </c>
      <c r="CB61" s="264">
        <f t="shared" si="8"/>
        <v>818</v>
      </c>
      <c r="CC61" s="265">
        <f t="shared" si="9"/>
        <v>1687</v>
      </c>
      <c r="CD61" s="264">
        <f t="shared" si="10"/>
        <v>213</v>
      </c>
      <c r="CE61" s="264">
        <f t="shared" si="11"/>
        <v>410</v>
      </c>
      <c r="CF61" s="264">
        <f t="shared" si="12"/>
        <v>0</v>
      </c>
      <c r="CG61" s="264">
        <f t="shared" si="13"/>
        <v>152</v>
      </c>
      <c r="CH61" s="264">
        <f t="shared" si="14"/>
        <v>36</v>
      </c>
      <c r="CI61" s="264">
        <f t="shared" si="15"/>
        <v>980</v>
      </c>
      <c r="CJ61" s="264">
        <f t="shared" si="16"/>
        <v>350</v>
      </c>
      <c r="CK61" s="265">
        <f t="shared" si="17"/>
        <v>744</v>
      </c>
      <c r="CL61" s="264">
        <f t="shared" si="18"/>
        <v>260</v>
      </c>
      <c r="CM61" s="264">
        <f t="shared" si="19"/>
        <v>488</v>
      </c>
      <c r="CN61" s="264">
        <f t="shared" si="20"/>
        <v>2</v>
      </c>
      <c r="CO61" s="264">
        <f t="shared" si="21"/>
        <v>191</v>
      </c>
      <c r="CP61" s="264">
        <f t="shared" si="22"/>
        <v>60</v>
      </c>
      <c r="CQ61" s="264">
        <f t="shared" si="23"/>
        <v>1266</v>
      </c>
      <c r="CR61" s="264">
        <f t="shared" si="24"/>
        <v>463</v>
      </c>
      <c r="CS61" s="266">
        <f t="shared" si="25"/>
        <v>1123</v>
      </c>
      <c r="CT61" s="264">
        <f t="shared" si="26"/>
        <v>246</v>
      </c>
      <c r="CU61" s="264">
        <f t="shared" si="27"/>
        <v>542</v>
      </c>
      <c r="CV61" s="264">
        <f t="shared" si="28"/>
        <v>2</v>
      </c>
      <c r="CW61" s="264">
        <f t="shared" si="29"/>
        <v>174</v>
      </c>
      <c r="CX61" s="264">
        <f t="shared" si="30"/>
        <v>109</v>
      </c>
      <c r="CY61" s="264">
        <f t="shared" si="31"/>
        <v>1527</v>
      </c>
      <c r="CZ61" s="264">
        <f t="shared" si="32"/>
        <v>739</v>
      </c>
      <c r="DA61" s="265">
        <f t="shared" si="33"/>
        <v>1552</v>
      </c>
      <c r="DB61" s="264">
        <f t="shared" si="34"/>
        <v>156</v>
      </c>
      <c r="DC61" s="264">
        <f t="shared" si="35"/>
        <v>375</v>
      </c>
      <c r="DD61" s="264">
        <f t="shared" si="36"/>
        <v>0</v>
      </c>
      <c r="DE61" s="264">
        <f t="shared" si="37"/>
        <v>101</v>
      </c>
      <c r="DF61" s="264">
        <f t="shared" si="38"/>
        <v>47</v>
      </c>
      <c r="DG61" s="264">
        <f t="shared" si="39"/>
        <v>995</v>
      </c>
      <c r="DH61" s="264">
        <f t="shared" si="40"/>
        <v>320</v>
      </c>
      <c r="DI61" s="265">
        <f t="shared" si="41"/>
        <v>672</v>
      </c>
      <c r="DJ61" s="264">
        <f t="shared" si="42"/>
        <v>194</v>
      </c>
      <c r="DK61" s="264">
        <f t="shared" si="43"/>
        <v>451</v>
      </c>
      <c r="DL61" s="264">
        <f t="shared" si="44"/>
        <v>1</v>
      </c>
      <c r="DM61" s="264">
        <f t="shared" si="45"/>
        <v>134</v>
      </c>
      <c r="DN61" s="264">
        <f t="shared" si="46"/>
        <v>65</v>
      </c>
      <c r="DO61" s="264">
        <f t="shared" si="47"/>
        <v>1264</v>
      </c>
      <c r="DP61" s="264">
        <f t="shared" si="48"/>
        <v>422</v>
      </c>
      <c r="DQ61" s="266">
        <f t="shared" si="49"/>
        <v>1009</v>
      </c>
      <c r="DR61" s="279">
        <f>INDEX('Rate Assumptions'!$A$1:$C$32,MATCH('Success Allocation'!DR$3,'Rate Assumptions'!$A$1:$A$32,0),MATCH($DR$1,'Rate Assumptions'!$A$1:$C$1,0))</f>
        <v>2291.7551696336809</v>
      </c>
      <c r="DS61" s="279">
        <f>INDEX('Rate Assumptions'!$A$1:$C$32,MATCH('Success Allocation'!DS$3,'Rate Assumptions'!$A$1:$A$32,0),MATCH($DR$1,'Rate Assumptions'!$A$1:$C$1,0))</f>
        <v>1718.8163772252606</v>
      </c>
      <c r="DT61" s="279">
        <f>INDEX('Rate Assumptions'!$A$1:$C$32,MATCH('Success Allocation'!DT$3,'Rate Assumptions'!$A$1:$A$32,0),MATCH($DR$1,'Rate Assumptions'!$A$1:$C$1,0))</f>
        <v>1718.8163772252606</v>
      </c>
      <c r="DU61" s="279">
        <f>INDEX('Rate Assumptions'!$A$1:$C$32,MATCH('Success Allocation'!DU$3,'Rate Assumptions'!$A$1:$A$32,0),MATCH($DR$1,'Rate Assumptions'!$A$1:$C$1,0))</f>
        <v>1145.8775848168405</v>
      </c>
      <c r="DV61" s="279">
        <f>INDEX('Rate Assumptions'!$A$1:$C$32,MATCH('Success Allocation'!DV$3,'Rate Assumptions'!$A$1:$A$32,0),MATCH($DR$1,'Rate Assumptions'!$A$1:$C$1,0))</f>
        <v>1145.8775848168405</v>
      </c>
      <c r="DW61" s="279">
        <f>INDEX('Rate Assumptions'!$A$1:$C$32,MATCH('Success Allocation'!DW$3,'Rate Assumptions'!$A$1:$A$32,0),MATCH($DR$1,'Rate Assumptions'!$A$1:$C$1,0))</f>
        <v>572.93879240842023</v>
      </c>
      <c r="DX61" s="279">
        <f>INDEX('Rate Assumptions'!$A$1:$C$32,MATCH('Success Allocation'!DX$3,'Rate Assumptions'!$A$1:$A$32,0),MATCH($DR$1,'Rate Assumptions'!$A$1:$C$1,0))</f>
        <v>859.40818861263028</v>
      </c>
      <c r="DY61" s="280">
        <f>INDEX('Rate Assumptions'!$A$1:$C$32,MATCH('Success Allocation'!DY$3,'Rate Assumptions'!$A$1:$A$32,0),MATCH($DR$1,'Rate Assumptions'!$A$1:$C$1,0))</f>
        <v>572.93879240842023</v>
      </c>
      <c r="DZ61" s="279">
        <f>INDEX('Rate Assumptions'!$A$1:$C$32,MATCH('Success Allocation'!DZ$3,'Rate Assumptions'!$A$1:$A$32,0),MATCH($DR$1,'Rate Assumptions'!$A$1:$C$1,0))</f>
        <v>866.31570658079204</v>
      </c>
      <c r="EA61" s="279">
        <f>INDEX('Rate Assumptions'!$A$1:$C$32,MATCH('Success Allocation'!EA$3,'Rate Assumptions'!$A$1:$A$32,0),MATCH($DR$1,'Rate Assumptions'!$A$1:$C$1,0))</f>
        <v>649.73677993559397</v>
      </c>
      <c r="EB61" s="279">
        <f>INDEX('Rate Assumptions'!$A$1:$C$32,MATCH('Success Allocation'!EB$3,'Rate Assumptions'!$A$1:$A$32,0),MATCH($DR$1,'Rate Assumptions'!$A$1:$C$1,0))</f>
        <v>649.73677993559397</v>
      </c>
      <c r="EC61" s="279">
        <f>INDEX('Rate Assumptions'!$A$1:$C$32,MATCH('Success Allocation'!EC$3,'Rate Assumptions'!$A$1:$A$32,0),MATCH($DR$1,'Rate Assumptions'!$A$1:$C$1,0))</f>
        <v>433.15785329039602</v>
      </c>
      <c r="ED61" s="279">
        <f>INDEX('Rate Assumptions'!$A$1:$C$32,MATCH('Success Allocation'!ED$3,'Rate Assumptions'!$A$1:$A$32,0),MATCH($DR$1,'Rate Assumptions'!$A$1:$C$1,0))</f>
        <v>433.15785329039602</v>
      </c>
      <c r="EE61" s="279">
        <f>INDEX('Rate Assumptions'!$A$1:$C$32,MATCH('Success Allocation'!EE$3,'Rate Assumptions'!$A$1:$A$32,0),MATCH($DR$1,'Rate Assumptions'!$A$1:$C$1,0))</f>
        <v>216.57892664519801</v>
      </c>
      <c r="EF61" s="279">
        <f>INDEX('Rate Assumptions'!$A$1:$C$32,MATCH('Success Allocation'!EF$3,'Rate Assumptions'!$A$1:$A$32,0),MATCH($DR$1,'Rate Assumptions'!$A$1:$C$1,0))</f>
        <v>324.86838996779699</v>
      </c>
      <c r="EG61" s="280">
        <f>INDEX('Rate Assumptions'!$A$1:$C$32,MATCH('Success Allocation'!EG$3,'Rate Assumptions'!$A$1:$A$32,0),MATCH($DR$1,'Rate Assumptions'!$A$1:$C$1,0))</f>
        <v>216.57892664519801</v>
      </c>
      <c r="EH61" s="279">
        <f>INDEX('Rate Assumptions'!$A$1:$C$32,MATCH('Success Allocation'!EH$3,'Rate Assumptions'!$A$1:$A$32,0),MATCH($DR$1,'Rate Assumptions'!$A$1:$C$1,0))</f>
        <v>577.54380438719465</v>
      </c>
      <c r="EI61" s="279">
        <f>INDEX('Rate Assumptions'!$A$1:$C$32,MATCH('Success Allocation'!EI$3,'Rate Assumptions'!$A$1:$A$32,0),MATCH($DR$1,'Rate Assumptions'!$A$1:$C$1,0))</f>
        <v>433.15785329039602</v>
      </c>
      <c r="EJ61" s="279">
        <f>INDEX('Rate Assumptions'!$A$1:$C$32,MATCH('Success Allocation'!EJ$3,'Rate Assumptions'!$A$1:$A$32,0),MATCH($DR$1,'Rate Assumptions'!$A$1:$C$1,0))</f>
        <v>433.15785329039602</v>
      </c>
      <c r="EK61" s="279">
        <f>INDEX('Rate Assumptions'!$A$1:$C$32,MATCH('Success Allocation'!EK$3,'Rate Assumptions'!$A$1:$A$32,0),MATCH($DR$1,'Rate Assumptions'!$A$1:$C$1,0))</f>
        <v>288.77190219359733</v>
      </c>
      <c r="EL61" s="279">
        <f>INDEX('Rate Assumptions'!$A$1:$C$32,MATCH('Success Allocation'!EL$3,'Rate Assumptions'!$A$1:$A$32,0),MATCH($DR$1,'Rate Assumptions'!$A$1:$C$1,0))</f>
        <v>288.77190219359733</v>
      </c>
      <c r="EM61" s="279">
        <f>INDEX('Rate Assumptions'!$A$1:$C$32,MATCH('Success Allocation'!EM$3,'Rate Assumptions'!$A$1:$A$32,0),MATCH($DR$1,'Rate Assumptions'!$A$1:$C$1,0))</f>
        <v>144.38595109679866</v>
      </c>
      <c r="EN61" s="279">
        <f>INDEX('Rate Assumptions'!$A$1:$C$32,MATCH('Success Allocation'!EN$3,'Rate Assumptions'!$A$1:$A$32,0),MATCH($DR$1,'Rate Assumptions'!$A$1:$C$1,0))</f>
        <v>216.57892664519801</v>
      </c>
      <c r="EO61" s="281">
        <f>INDEX('Rate Assumptions'!$A$1:$C$32,MATCH('Success Allocation'!EO$3,'Rate Assumptions'!$A$1:$A$32,0),MATCH($DR$1,'Rate Assumptions'!$A$1:$C$1,0))</f>
        <v>144.38595109679866</v>
      </c>
      <c r="EP61" s="170">
        <f t="shared" si="50"/>
        <v>6562690.4040416162</v>
      </c>
    </row>
    <row r="62" spans="1:146">
      <c r="A62" s="223" t="s">
        <v>149</v>
      </c>
      <c r="B62" s="226">
        <v>683</v>
      </c>
      <c r="C62" s="226">
        <v>1119</v>
      </c>
      <c r="D62" s="226">
        <v>0</v>
      </c>
      <c r="E62" s="226">
        <v>66</v>
      </c>
      <c r="F62" s="226">
        <v>665</v>
      </c>
      <c r="G62" s="227">
        <v>2659</v>
      </c>
      <c r="H62" s="226">
        <v>1784</v>
      </c>
      <c r="I62" s="228">
        <v>2196</v>
      </c>
      <c r="J62" s="226">
        <v>334</v>
      </c>
      <c r="K62" s="226">
        <v>514</v>
      </c>
      <c r="L62" s="226">
        <v>0</v>
      </c>
      <c r="M62" s="226">
        <v>26</v>
      </c>
      <c r="N62" s="226">
        <v>194</v>
      </c>
      <c r="O62" s="227">
        <v>1143</v>
      </c>
      <c r="P62" s="226">
        <v>603</v>
      </c>
      <c r="Q62" s="228">
        <v>688</v>
      </c>
      <c r="R62" s="226">
        <v>447</v>
      </c>
      <c r="S62" s="226">
        <v>736</v>
      </c>
      <c r="T62" s="226">
        <v>0</v>
      </c>
      <c r="U62" s="226">
        <v>38</v>
      </c>
      <c r="V62" s="226">
        <v>313</v>
      </c>
      <c r="W62" s="227">
        <v>1637</v>
      </c>
      <c r="X62" s="226">
        <v>950</v>
      </c>
      <c r="Y62" s="234">
        <v>1154</v>
      </c>
      <c r="Z62" s="237">
        <v>754</v>
      </c>
      <c r="AA62" s="237">
        <v>1136</v>
      </c>
      <c r="AB62" s="237">
        <v>0</v>
      </c>
      <c r="AC62" s="237">
        <v>80</v>
      </c>
      <c r="AD62" s="237">
        <v>700</v>
      </c>
      <c r="AE62" s="237">
        <v>2547</v>
      </c>
      <c r="AF62" s="237">
        <v>1918</v>
      </c>
      <c r="AG62" s="228">
        <v>2289</v>
      </c>
      <c r="AH62" s="237">
        <v>344</v>
      </c>
      <c r="AI62" s="237">
        <v>523</v>
      </c>
      <c r="AJ62" s="237">
        <v>0</v>
      </c>
      <c r="AK62" s="237">
        <v>35</v>
      </c>
      <c r="AL62" s="237">
        <v>200</v>
      </c>
      <c r="AM62" s="237">
        <v>989</v>
      </c>
      <c r="AN62" s="237">
        <v>665</v>
      </c>
      <c r="AO62" s="228">
        <v>680</v>
      </c>
      <c r="AP62" s="237">
        <v>481</v>
      </c>
      <c r="AQ62" s="237">
        <v>755</v>
      </c>
      <c r="AR62" s="237">
        <v>0</v>
      </c>
      <c r="AS62" s="237">
        <v>52</v>
      </c>
      <c r="AT62" s="237">
        <v>313</v>
      </c>
      <c r="AU62" s="238">
        <v>1503</v>
      </c>
      <c r="AV62" s="237">
        <v>1055</v>
      </c>
      <c r="AW62" s="234">
        <v>1230</v>
      </c>
      <c r="AX62" s="237"/>
      <c r="AY62" s="237"/>
      <c r="AZ62" s="237"/>
      <c r="BA62" s="237"/>
      <c r="BB62" s="237"/>
      <c r="BC62" s="237"/>
      <c r="BD62" s="237"/>
      <c r="BF62" s="237"/>
      <c r="BG62" s="237"/>
      <c r="BH62" s="237"/>
      <c r="BI62" s="237"/>
      <c r="BJ62" s="237"/>
      <c r="BK62" s="237"/>
      <c r="BL62" s="237"/>
      <c r="BN62" s="237"/>
      <c r="BO62" s="237"/>
      <c r="BP62" s="237"/>
      <c r="BQ62" s="237"/>
      <c r="BR62" s="237"/>
      <c r="BS62" s="238"/>
      <c r="BT62" s="237"/>
      <c r="BV62" s="264">
        <f t="shared" si="2"/>
        <v>825</v>
      </c>
      <c r="BW62" s="264">
        <f t="shared" si="3"/>
        <v>1153</v>
      </c>
      <c r="BX62" s="264">
        <f t="shared" si="4"/>
        <v>0</v>
      </c>
      <c r="BY62" s="264">
        <f t="shared" si="5"/>
        <v>94</v>
      </c>
      <c r="BZ62" s="264">
        <f t="shared" si="6"/>
        <v>735</v>
      </c>
      <c r="CA62" s="264">
        <f t="shared" si="7"/>
        <v>2435</v>
      </c>
      <c r="CB62" s="264">
        <f t="shared" si="8"/>
        <v>2052</v>
      </c>
      <c r="CC62" s="265">
        <f t="shared" si="9"/>
        <v>2382</v>
      </c>
      <c r="CD62" s="264">
        <f t="shared" si="10"/>
        <v>354</v>
      </c>
      <c r="CE62" s="264">
        <f t="shared" si="11"/>
        <v>532</v>
      </c>
      <c r="CF62" s="264">
        <f t="shared" si="12"/>
        <v>0</v>
      </c>
      <c r="CG62" s="264">
        <f t="shared" si="13"/>
        <v>44</v>
      </c>
      <c r="CH62" s="264">
        <f t="shared" si="14"/>
        <v>206</v>
      </c>
      <c r="CI62" s="264">
        <f t="shared" si="15"/>
        <v>835</v>
      </c>
      <c r="CJ62" s="264">
        <f t="shared" si="16"/>
        <v>727</v>
      </c>
      <c r="CK62" s="265">
        <f t="shared" si="17"/>
        <v>672</v>
      </c>
      <c r="CL62" s="264">
        <f t="shared" si="18"/>
        <v>515</v>
      </c>
      <c r="CM62" s="264">
        <f t="shared" si="19"/>
        <v>774</v>
      </c>
      <c r="CN62" s="264">
        <f t="shared" si="20"/>
        <v>0</v>
      </c>
      <c r="CO62" s="264">
        <f t="shared" si="21"/>
        <v>66</v>
      </c>
      <c r="CP62" s="264">
        <f t="shared" si="22"/>
        <v>313</v>
      </c>
      <c r="CQ62" s="264">
        <f t="shared" si="23"/>
        <v>1369</v>
      </c>
      <c r="CR62" s="264">
        <f t="shared" si="24"/>
        <v>1160</v>
      </c>
      <c r="CS62" s="266">
        <f t="shared" si="25"/>
        <v>1306</v>
      </c>
      <c r="CT62" s="264">
        <f t="shared" si="26"/>
        <v>754</v>
      </c>
      <c r="CU62" s="264">
        <f t="shared" si="27"/>
        <v>1136</v>
      </c>
      <c r="CV62" s="264">
        <f t="shared" si="28"/>
        <v>0</v>
      </c>
      <c r="CW62" s="264">
        <f t="shared" si="29"/>
        <v>80</v>
      </c>
      <c r="CX62" s="264">
        <f t="shared" si="30"/>
        <v>700</v>
      </c>
      <c r="CY62" s="264">
        <f t="shared" si="31"/>
        <v>2547</v>
      </c>
      <c r="CZ62" s="264">
        <f t="shared" si="32"/>
        <v>1918</v>
      </c>
      <c r="DA62" s="265">
        <f t="shared" si="33"/>
        <v>2289</v>
      </c>
      <c r="DB62" s="264">
        <f t="shared" si="34"/>
        <v>344</v>
      </c>
      <c r="DC62" s="264">
        <f t="shared" si="35"/>
        <v>523</v>
      </c>
      <c r="DD62" s="264">
        <f t="shared" si="36"/>
        <v>0</v>
      </c>
      <c r="DE62" s="264">
        <f t="shared" si="37"/>
        <v>35</v>
      </c>
      <c r="DF62" s="264">
        <f t="shared" si="38"/>
        <v>200</v>
      </c>
      <c r="DG62" s="264">
        <f t="shared" si="39"/>
        <v>989</v>
      </c>
      <c r="DH62" s="264">
        <f t="shared" si="40"/>
        <v>665</v>
      </c>
      <c r="DI62" s="265">
        <f t="shared" si="41"/>
        <v>680</v>
      </c>
      <c r="DJ62" s="264">
        <f t="shared" si="42"/>
        <v>481</v>
      </c>
      <c r="DK62" s="264">
        <f t="shared" si="43"/>
        <v>755</v>
      </c>
      <c r="DL62" s="264">
        <f t="shared" si="44"/>
        <v>0</v>
      </c>
      <c r="DM62" s="264">
        <f t="shared" si="45"/>
        <v>52</v>
      </c>
      <c r="DN62" s="264">
        <f t="shared" si="46"/>
        <v>313</v>
      </c>
      <c r="DO62" s="264">
        <f t="shared" si="47"/>
        <v>1503</v>
      </c>
      <c r="DP62" s="264">
        <f t="shared" si="48"/>
        <v>1055</v>
      </c>
      <c r="DQ62" s="266">
        <f t="shared" si="49"/>
        <v>1230</v>
      </c>
      <c r="DR62" s="279">
        <f>INDEX('Rate Assumptions'!$A$1:$C$32,MATCH('Success Allocation'!DR$3,'Rate Assumptions'!$A$1:$A$32,0),MATCH($DR$1,'Rate Assumptions'!$A$1:$C$1,0))</f>
        <v>2291.7551696336809</v>
      </c>
      <c r="DS62" s="279">
        <f>INDEX('Rate Assumptions'!$A$1:$C$32,MATCH('Success Allocation'!DS$3,'Rate Assumptions'!$A$1:$A$32,0),MATCH($DR$1,'Rate Assumptions'!$A$1:$C$1,0))</f>
        <v>1718.8163772252606</v>
      </c>
      <c r="DT62" s="279">
        <f>INDEX('Rate Assumptions'!$A$1:$C$32,MATCH('Success Allocation'!DT$3,'Rate Assumptions'!$A$1:$A$32,0),MATCH($DR$1,'Rate Assumptions'!$A$1:$C$1,0))</f>
        <v>1718.8163772252606</v>
      </c>
      <c r="DU62" s="279">
        <f>INDEX('Rate Assumptions'!$A$1:$C$32,MATCH('Success Allocation'!DU$3,'Rate Assumptions'!$A$1:$A$32,0),MATCH($DR$1,'Rate Assumptions'!$A$1:$C$1,0))</f>
        <v>1145.8775848168405</v>
      </c>
      <c r="DV62" s="279">
        <f>INDEX('Rate Assumptions'!$A$1:$C$32,MATCH('Success Allocation'!DV$3,'Rate Assumptions'!$A$1:$A$32,0),MATCH($DR$1,'Rate Assumptions'!$A$1:$C$1,0))</f>
        <v>1145.8775848168405</v>
      </c>
      <c r="DW62" s="279">
        <f>INDEX('Rate Assumptions'!$A$1:$C$32,MATCH('Success Allocation'!DW$3,'Rate Assumptions'!$A$1:$A$32,0),MATCH($DR$1,'Rate Assumptions'!$A$1:$C$1,0))</f>
        <v>572.93879240842023</v>
      </c>
      <c r="DX62" s="279">
        <f>INDEX('Rate Assumptions'!$A$1:$C$32,MATCH('Success Allocation'!DX$3,'Rate Assumptions'!$A$1:$A$32,0),MATCH($DR$1,'Rate Assumptions'!$A$1:$C$1,0))</f>
        <v>859.40818861263028</v>
      </c>
      <c r="DY62" s="280">
        <f>INDEX('Rate Assumptions'!$A$1:$C$32,MATCH('Success Allocation'!DY$3,'Rate Assumptions'!$A$1:$A$32,0),MATCH($DR$1,'Rate Assumptions'!$A$1:$C$1,0))</f>
        <v>572.93879240842023</v>
      </c>
      <c r="DZ62" s="279">
        <f>INDEX('Rate Assumptions'!$A$1:$C$32,MATCH('Success Allocation'!DZ$3,'Rate Assumptions'!$A$1:$A$32,0),MATCH($DR$1,'Rate Assumptions'!$A$1:$C$1,0))</f>
        <v>866.31570658079204</v>
      </c>
      <c r="EA62" s="279">
        <f>INDEX('Rate Assumptions'!$A$1:$C$32,MATCH('Success Allocation'!EA$3,'Rate Assumptions'!$A$1:$A$32,0),MATCH($DR$1,'Rate Assumptions'!$A$1:$C$1,0))</f>
        <v>649.73677993559397</v>
      </c>
      <c r="EB62" s="279">
        <f>INDEX('Rate Assumptions'!$A$1:$C$32,MATCH('Success Allocation'!EB$3,'Rate Assumptions'!$A$1:$A$32,0),MATCH($DR$1,'Rate Assumptions'!$A$1:$C$1,0))</f>
        <v>649.73677993559397</v>
      </c>
      <c r="EC62" s="279">
        <f>INDEX('Rate Assumptions'!$A$1:$C$32,MATCH('Success Allocation'!EC$3,'Rate Assumptions'!$A$1:$A$32,0),MATCH($DR$1,'Rate Assumptions'!$A$1:$C$1,0))</f>
        <v>433.15785329039602</v>
      </c>
      <c r="ED62" s="279">
        <f>INDEX('Rate Assumptions'!$A$1:$C$32,MATCH('Success Allocation'!ED$3,'Rate Assumptions'!$A$1:$A$32,0),MATCH($DR$1,'Rate Assumptions'!$A$1:$C$1,0))</f>
        <v>433.15785329039602</v>
      </c>
      <c r="EE62" s="279">
        <f>INDEX('Rate Assumptions'!$A$1:$C$32,MATCH('Success Allocation'!EE$3,'Rate Assumptions'!$A$1:$A$32,0),MATCH($DR$1,'Rate Assumptions'!$A$1:$C$1,0))</f>
        <v>216.57892664519801</v>
      </c>
      <c r="EF62" s="279">
        <f>INDEX('Rate Assumptions'!$A$1:$C$32,MATCH('Success Allocation'!EF$3,'Rate Assumptions'!$A$1:$A$32,0),MATCH($DR$1,'Rate Assumptions'!$A$1:$C$1,0))</f>
        <v>324.86838996779699</v>
      </c>
      <c r="EG62" s="280">
        <f>INDEX('Rate Assumptions'!$A$1:$C$32,MATCH('Success Allocation'!EG$3,'Rate Assumptions'!$A$1:$A$32,0),MATCH($DR$1,'Rate Assumptions'!$A$1:$C$1,0))</f>
        <v>216.57892664519801</v>
      </c>
      <c r="EH62" s="279">
        <f>INDEX('Rate Assumptions'!$A$1:$C$32,MATCH('Success Allocation'!EH$3,'Rate Assumptions'!$A$1:$A$32,0),MATCH($DR$1,'Rate Assumptions'!$A$1:$C$1,0))</f>
        <v>577.54380438719465</v>
      </c>
      <c r="EI62" s="279">
        <f>INDEX('Rate Assumptions'!$A$1:$C$32,MATCH('Success Allocation'!EI$3,'Rate Assumptions'!$A$1:$A$32,0),MATCH($DR$1,'Rate Assumptions'!$A$1:$C$1,0))</f>
        <v>433.15785329039602</v>
      </c>
      <c r="EJ62" s="279">
        <f>INDEX('Rate Assumptions'!$A$1:$C$32,MATCH('Success Allocation'!EJ$3,'Rate Assumptions'!$A$1:$A$32,0),MATCH($DR$1,'Rate Assumptions'!$A$1:$C$1,0))</f>
        <v>433.15785329039602</v>
      </c>
      <c r="EK62" s="279">
        <f>INDEX('Rate Assumptions'!$A$1:$C$32,MATCH('Success Allocation'!EK$3,'Rate Assumptions'!$A$1:$A$32,0),MATCH($DR$1,'Rate Assumptions'!$A$1:$C$1,0))</f>
        <v>288.77190219359733</v>
      </c>
      <c r="EL62" s="279">
        <f>INDEX('Rate Assumptions'!$A$1:$C$32,MATCH('Success Allocation'!EL$3,'Rate Assumptions'!$A$1:$A$32,0),MATCH($DR$1,'Rate Assumptions'!$A$1:$C$1,0))</f>
        <v>288.77190219359733</v>
      </c>
      <c r="EM62" s="279">
        <f>INDEX('Rate Assumptions'!$A$1:$C$32,MATCH('Success Allocation'!EM$3,'Rate Assumptions'!$A$1:$A$32,0),MATCH($DR$1,'Rate Assumptions'!$A$1:$C$1,0))</f>
        <v>144.38595109679866</v>
      </c>
      <c r="EN62" s="279">
        <f>INDEX('Rate Assumptions'!$A$1:$C$32,MATCH('Success Allocation'!EN$3,'Rate Assumptions'!$A$1:$A$32,0),MATCH($DR$1,'Rate Assumptions'!$A$1:$C$1,0))</f>
        <v>216.57892664519801</v>
      </c>
      <c r="EO62" s="281">
        <f>INDEX('Rate Assumptions'!$A$1:$C$32,MATCH('Success Allocation'!EO$3,'Rate Assumptions'!$A$1:$A$32,0),MATCH($DR$1,'Rate Assumptions'!$A$1:$C$1,0))</f>
        <v>144.38595109679866</v>
      </c>
      <c r="EP62" s="170">
        <f t="shared" si="50"/>
        <v>12048574.296834899</v>
      </c>
    </row>
    <row r="63" spans="1:146">
      <c r="A63" s="223" t="s">
        <v>150</v>
      </c>
      <c r="B63" s="226">
        <v>14</v>
      </c>
      <c r="C63" s="226">
        <v>188</v>
      </c>
      <c r="D63" s="226">
        <v>0</v>
      </c>
      <c r="E63" s="226">
        <v>24</v>
      </c>
      <c r="F63" s="226">
        <v>60</v>
      </c>
      <c r="G63" s="227">
        <v>435</v>
      </c>
      <c r="H63" s="226">
        <v>161</v>
      </c>
      <c r="I63" s="228">
        <v>1040</v>
      </c>
      <c r="J63" s="226">
        <v>12</v>
      </c>
      <c r="K63" s="226">
        <v>109</v>
      </c>
      <c r="L63" s="226">
        <v>0</v>
      </c>
      <c r="M63" s="226">
        <v>15</v>
      </c>
      <c r="N63" s="226">
        <v>31</v>
      </c>
      <c r="O63" s="227">
        <v>203</v>
      </c>
      <c r="P63" s="226">
        <v>78</v>
      </c>
      <c r="Q63" s="228">
        <v>145</v>
      </c>
      <c r="R63" s="226">
        <v>12</v>
      </c>
      <c r="S63" s="226">
        <v>117</v>
      </c>
      <c r="T63" s="226">
        <v>0</v>
      </c>
      <c r="U63" s="226">
        <v>17</v>
      </c>
      <c r="V63" s="226">
        <v>32</v>
      </c>
      <c r="W63" s="227">
        <v>246</v>
      </c>
      <c r="X63" s="226">
        <v>78</v>
      </c>
      <c r="Y63" s="234">
        <v>219</v>
      </c>
      <c r="Z63" s="237">
        <v>17</v>
      </c>
      <c r="AA63" s="237">
        <v>161</v>
      </c>
      <c r="AB63" s="237">
        <v>0</v>
      </c>
      <c r="AC63" s="237">
        <v>69</v>
      </c>
      <c r="AD63" s="237">
        <v>104</v>
      </c>
      <c r="AE63" s="237">
        <v>317</v>
      </c>
      <c r="AF63" s="237">
        <v>155</v>
      </c>
      <c r="AG63" s="228">
        <v>1021</v>
      </c>
      <c r="AH63" s="237">
        <v>11</v>
      </c>
      <c r="AI63" s="237">
        <v>106</v>
      </c>
      <c r="AJ63" s="237">
        <v>0</v>
      </c>
      <c r="AK63" s="237">
        <v>35</v>
      </c>
      <c r="AL63" s="237">
        <v>65</v>
      </c>
      <c r="AM63" s="237">
        <v>172</v>
      </c>
      <c r="AN63" s="237">
        <v>69</v>
      </c>
      <c r="AO63" s="228">
        <v>143</v>
      </c>
      <c r="AP63" s="237">
        <v>15</v>
      </c>
      <c r="AQ63" s="237">
        <v>126</v>
      </c>
      <c r="AR63" s="237">
        <v>0</v>
      </c>
      <c r="AS63" s="237">
        <v>37</v>
      </c>
      <c r="AT63" s="237">
        <v>50</v>
      </c>
      <c r="AU63" s="238">
        <v>220</v>
      </c>
      <c r="AV63" s="237">
        <v>65</v>
      </c>
      <c r="AW63" s="234">
        <v>211</v>
      </c>
      <c r="AX63" s="237"/>
      <c r="AY63" s="237"/>
      <c r="AZ63" s="237"/>
      <c r="BA63" s="237"/>
      <c r="BB63" s="237"/>
      <c r="BC63" s="237"/>
      <c r="BD63" s="237"/>
      <c r="BF63" s="237"/>
      <c r="BG63" s="237"/>
      <c r="BH63" s="237"/>
      <c r="BI63" s="237"/>
      <c r="BJ63" s="237"/>
      <c r="BK63" s="237"/>
      <c r="BL63" s="237"/>
      <c r="BN63" s="237"/>
      <c r="BO63" s="237"/>
      <c r="BP63" s="237"/>
      <c r="BQ63" s="237"/>
      <c r="BR63" s="237"/>
      <c r="BS63" s="238"/>
      <c r="BT63" s="237"/>
      <c r="BV63" s="264">
        <f t="shared" si="2"/>
        <v>20</v>
      </c>
      <c r="BW63" s="264">
        <f t="shared" si="3"/>
        <v>134</v>
      </c>
      <c r="BX63" s="264">
        <f t="shared" si="4"/>
        <v>0</v>
      </c>
      <c r="BY63" s="264">
        <f t="shared" si="5"/>
        <v>114</v>
      </c>
      <c r="BZ63" s="264">
        <f t="shared" si="6"/>
        <v>148</v>
      </c>
      <c r="CA63" s="264">
        <f t="shared" si="7"/>
        <v>199</v>
      </c>
      <c r="CB63" s="264">
        <f t="shared" si="8"/>
        <v>149</v>
      </c>
      <c r="CC63" s="265">
        <f t="shared" si="9"/>
        <v>1002</v>
      </c>
      <c r="CD63" s="264">
        <f t="shared" si="10"/>
        <v>10</v>
      </c>
      <c r="CE63" s="264">
        <f t="shared" si="11"/>
        <v>103</v>
      </c>
      <c r="CF63" s="264">
        <f t="shared" si="12"/>
        <v>0</v>
      </c>
      <c r="CG63" s="264">
        <f t="shared" si="13"/>
        <v>55</v>
      </c>
      <c r="CH63" s="264">
        <f t="shared" si="14"/>
        <v>99</v>
      </c>
      <c r="CI63" s="264">
        <f t="shared" si="15"/>
        <v>141</v>
      </c>
      <c r="CJ63" s="264">
        <f t="shared" si="16"/>
        <v>60</v>
      </c>
      <c r="CK63" s="265">
        <f t="shared" si="17"/>
        <v>141</v>
      </c>
      <c r="CL63" s="264">
        <f t="shared" si="18"/>
        <v>18</v>
      </c>
      <c r="CM63" s="264">
        <f t="shared" si="19"/>
        <v>135</v>
      </c>
      <c r="CN63" s="264">
        <f t="shared" si="20"/>
        <v>0</v>
      </c>
      <c r="CO63" s="264">
        <f t="shared" si="21"/>
        <v>57</v>
      </c>
      <c r="CP63" s="264">
        <f t="shared" si="22"/>
        <v>68</v>
      </c>
      <c r="CQ63" s="264">
        <f t="shared" si="23"/>
        <v>194</v>
      </c>
      <c r="CR63" s="264">
        <f t="shared" si="24"/>
        <v>52</v>
      </c>
      <c r="CS63" s="266">
        <f t="shared" si="25"/>
        <v>203</v>
      </c>
      <c r="CT63" s="264">
        <f t="shared" si="26"/>
        <v>17</v>
      </c>
      <c r="CU63" s="264">
        <f t="shared" si="27"/>
        <v>161</v>
      </c>
      <c r="CV63" s="264">
        <f t="shared" si="28"/>
        <v>0</v>
      </c>
      <c r="CW63" s="264">
        <f t="shared" si="29"/>
        <v>69</v>
      </c>
      <c r="CX63" s="264">
        <f t="shared" si="30"/>
        <v>104</v>
      </c>
      <c r="CY63" s="264">
        <f t="shared" si="31"/>
        <v>317</v>
      </c>
      <c r="CZ63" s="264">
        <f t="shared" si="32"/>
        <v>155</v>
      </c>
      <c r="DA63" s="265">
        <f t="shared" si="33"/>
        <v>1021</v>
      </c>
      <c r="DB63" s="264">
        <f t="shared" si="34"/>
        <v>11</v>
      </c>
      <c r="DC63" s="264">
        <f t="shared" si="35"/>
        <v>106</v>
      </c>
      <c r="DD63" s="264">
        <f t="shared" si="36"/>
        <v>0</v>
      </c>
      <c r="DE63" s="264">
        <f t="shared" si="37"/>
        <v>35</v>
      </c>
      <c r="DF63" s="264">
        <f t="shared" si="38"/>
        <v>65</v>
      </c>
      <c r="DG63" s="264">
        <f t="shared" si="39"/>
        <v>172</v>
      </c>
      <c r="DH63" s="264">
        <f t="shared" si="40"/>
        <v>69</v>
      </c>
      <c r="DI63" s="265">
        <f t="shared" si="41"/>
        <v>143</v>
      </c>
      <c r="DJ63" s="264">
        <f t="shared" si="42"/>
        <v>15</v>
      </c>
      <c r="DK63" s="264">
        <f t="shared" si="43"/>
        <v>126</v>
      </c>
      <c r="DL63" s="264">
        <f t="shared" si="44"/>
        <v>0</v>
      </c>
      <c r="DM63" s="264">
        <f t="shared" si="45"/>
        <v>37</v>
      </c>
      <c r="DN63" s="264">
        <f t="shared" si="46"/>
        <v>50</v>
      </c>
      <c r="DO63" s="264">
        <f t="shared" si="47"/>
        <v>220</v>
      </c>
      <c r="DP63" s="264">
        <f t="shared" si="48"/>
        <v>65</v>
      </c>
      <c r="DQ63" s="266">
        <f t="shared" si="49"/>
        <v>211</v>
      </c>
      <c r="DR63" s="279">
        <f>INDEX('Rate Assumptions'!$A$1:$C$32,MATCH('Success Allocation'!DR$3,'Rate Assumptions'!$A$1:$A$32,0),MATCH($DR$1,'Rate Assumptions'!$A$1:$C$1,0))</f>
        <v>2291.7551696336809</v>
      </c>
      <c r="DS63" s="279">
        <f>INDEX('Rate Assumptions'!$A$1:$C$32,MATCH('Success Allocation'!DS$3,'Rate Assumptions'!$A$1:$A$32,0),MATCH($DR$1,'Rate Assumptions'!$A$1:$C$1,0))</f>
        <v>1718.8163772252606</v>
      </c>
      <c r="DT63" s="279">
        <f>INDEX('Rate Assumptions'!$A$1:$C$32,MATCH('Success Allocation'!DT$3,'Rate Assumptions'!$A$1:$A$32,0),MATCH($DR$1,'Rate Assumptions'!$A$1:$C$1,0))</f>
        <v>1718.8163772252606</v>
      </c>
      <c r="DU63" s="279">
        <f>INDEX('Rate Assumptions'!$A$1:$C$32,MATCH('Success Allocation'!DU$3,'Rate Assumptions'!$A$1:$A$32,0),MATCH($DR$1,'Rate Assumptions'!$A$1:$C$1,0))</f>
        <v>1145.8775848168405</v>
      </c>
      <c r="DV63" s="279">
        <f>INDEX('Rate Assumptions'!$A$1:$C$32,MATCH('Success Allocation'!DV$3,'Rate Assumptions'!$A$1:$A$32,0),MATCH($DR$1,'Rate Assumptions'!$A$1:$C$1,0))</f>
        <v>1145.8775848168405</v>
      </c>
      <c r="DW63" s="279">
        <f>INDEX('Rate Assumptions'!$A$1:$C$32,MATCH('Success Allocation'!DW$3,'Rate Assumptions'!$A$1:$A$32,0),MATCH($DR$1,'Rate Assumptions'!$A$1:$C$1,0))</f>
        <v>572.93879240842023</v>
      </c>
      <c r="DX63" s="279">
        <f>INDEX('Rate Assumptions'!$A$1:$C$32,MATCH('Success Allocation'!DX$3,'Rate Assumptions'!$A$1:$A$32,0),MATCH($DR$1,'Rate Assumptions'!$A$1:$C$1,0))</f>
        <v>859.40818861263028</v>
      </c>
      <c r="DY63" s="280">
        <f>INDEX('Rate Assumptions'!$A$1:$C$32,MATCH('Success Allocation'!DY$3,'Rate Assumptions'!$A$1:$A$32,0),MATCH($DR$1,'Rate Assumptions'!$A$1:$C$1,0))</f>
        <v>572.93879240842023</v>
      </c>
      <c r="DZ63" s="279">
        <f>INDEX('Rate Assumptions'!$A$1:$C$32,MATCH('Success Allocation'!DZ$3,'Rate Assumptions'!$A$1:$A$32,0),MATCH($DR$1,'Rate Assumptions'!$A$1:$C$1,0))</f>
        <v>866.31570658079204</v>
      </c>
      <c r="EA63" s="279">
        <f>INDEX('Rate Assumptions'!$A$1:$C$32,MATCH('Success Allocation'!EA$3,'Rate Assumptions'!$A$1:$A$32,0),MATCH($DR$1,'Rate Assumptions'!$A$1:$C$1,0))</f>
        <v>649.73677993559397</v>
      </c>
      <c r="EB63" s="279">
        <f>INDEX('Rate Assumptions'!$A$1:$C$32,MATCH('Success Allocation'!EB$3,'Rate Assumptions'!$A$1:$A$32,0),MATCH($DR$1,'Rate Assumptions'!$A$1:$C$1,0))</f>
        <v>649.73677993559397</v>
      </c>
      <c r="EC63" s="279">
        <f>INDEX('Rate Assumptions'!$A$1:$C$32,MATCH('Success Allocation'!EC$3,'Rate Assumptions'!$A$1:$A$32,0),MATCH($DR$1,'Rate Assumptions'!$A$1:$C$1,0))</f>
        <v>433.15785329039602</v>
      </c>
      <c r="ED63" s="279">
        <f>INDEX('Rate Assumptions'!$A$1:$C$32,MATCH('Success Allocation'!ED$3,'Rate Assumptions'!$A$1:$A$32,0),MATCH($DR$1,'Rate Assumptions'!$A$1:$C$1,0))</f>
        <v>433.15785329039602</v>
      </c>
      <c r="EE63" s="279">
        <f>INDEX('Rate Assumptions'!$A$1:$C$32,MATCH('Success Allocation'!EE$3,'Rate Assumptions'!$A$1:$A$32,0),MATCH($DR$1,'Rate Assumptions'!$A$1:$C$1,0))</f>
        <v>216.57892664519801</v>
      </c>
      <c r="EF63" s="279">
        <f>INDEX('Rate Assumptions'!$A$1:$C$32,MATCH('Success Allocation'!EF$3,'Rate Assumptions'!$A$1:$A$32,0),MATCH($DR$1,'Rate Assumptions'!$A$1:$C$1,0))</f>
        <v>324.86838996779699</v>
      </c>
      <c r="EG63" s="280">
        <f>INDEX('Rate Assumptions'!$A$1:$C$32,MATCH('Success Allocation'!EG$3,'Rate Assumptions'!$A$1:$A$32,0),MATCH($DR$1,'Rate Assumptions'!$A$1:$C$1,0))</f>
        <v>216.57892664519801</v>
      </c>
      <c r="EH63" s="279">
        <f>INDEX('Rate Assumptions'!$A$1:$C$32,MATCH('Success Allocation'!EH$3,'Rate Assumptions'!$A$1:$A$32,0),MATCH($DR$1,'Rate Assumptions'!$A$1:$C$1,0))</f>
        <v>577.54380438719465</v>
      </c>
      <c r="EI63" s="279">
        <f>INDEX('Rate Assumptions'!$A$1:$C$32,MATCH('Success Allocation'!EI$3,'Rate Assumptions'!$A$1:$A$32,0),MATCH($DR$1,'Rate Assumptions'!$A$1:$C$1,0))</f>
        <v>433.15785329039602</v>
      </c>
      <c r="EJ63" s="279">
        <f>INDEX('Rate Assumptions'!$A$1:$C$32,MATCH('Success Allocation'!EJ$3,'Rate Assumptions'!$A$1:$A$32,0),MATCH($DR$1,'Rate Assumptions'!$A$1:$C$1,0))</f>
        <v>433.15785329039602</v>
      </c>
      <c r="EK63" s="279">
        <f>INDEX('Rate Assumptions'!$A$1:$C$32,MATCH('Success Allocation'!EK$3,'Rate Assumptions'!$A$1:$A$32,0),MATCH($DR$1,'Rate Assumptions'!$A$1:$C$1,0))</f>
        <v>288.77190219359733</v>
      </c>
      <c r="EL63" s="279">
        <f>INDEX('Rate Assumptions'!$A$1:$C$32,MATCH('Success Allocation'!EL$3,'Rate Assumptions'!$A$1:$A$32,0),MATCH($DR$1,'Rate Assumptions'!$A$1:$C$1,0))</f>
        <v>288.77190219359733</v>
      </c>
      <c r="EM63" s="279">
        <f>INDEX('Rate Assumptions'!$A$1:$C$32,MATCH('Success Allocation'!EM$3,'Rate Assumptions'!$A$1:$A$32,0),MATCH($DR$1,'Rate Assumptions'!$A$1:$C$1,0))</f>
        <v>144.38595109679866</v>
      </c>
      <c r="EN63" s="279">
        <f>INDEX('Rate Assumptions'!$A$1:$C$32,MATCH('Success Allocation'!EN$3,'Rate Assumptions'!$A$1:$A$32,0),MATCH($DR$1,'Rate Assumptions'!$A$1:$C$1,0))</f>
        <v>216.57892664519801</v>
      </c>
      <c r="EO63" s="281">
        <f>INDEX('Rate Assumptions'!$A$1:$C$32,MATCH('Success Allocation'!EO$3,'Rate Assumptions'!$A$1:$A$32,0),MATCH($DR$1,'Rate Assumptions'!$A$1:$C$1,0))</f>
        <v>144.38595109679866</v>
      </c>
      <c r="EP63" s="170">
        <f t="shared" si="50"/>
        <v>1788939.3636849257</v>
      </c>
    </row>
    <row r="64" spans="1:146">
      <c r="A64" s="223" t="s">
        <v>151</v>
      </c>
      <c r="B64" s="226">
        <v>171</v>
      </c>
      <c r="C64" s="226">
        <v>458</v>
      </c>
      <c r="D64" s="226">
        <v>0</v>
      </c>
      <c r="E64" s="226">
        <v>93</v>
      </c>
      <c r="F64" s="226">
        <v>220</v>
      </c>
      <c r="G64" s="227">
        <v>1201</v>
      </c>
      <c r="H64" s="226">
        <v>881</v>
      </c>
      <c r="I64" s="228">
        <v>1496</v>
      </c>
      <c r="J64" s="226">
        <v>77</v>
      </c>
      <c r="K64" s="226">
        <v>211</v>
      </c>
      <c r="L64" s="226">
        <v>0</v>
      </c>
      <c r="M64" s="226">
        <v>39</v>
      </c>
      <c r="N64" s="226">
        <v>66</v>
      </c>
      <c r="O64" s="227">
        <v>482</v>
      </c>
      <c r="P64" s="226">
        <v>296</v>
      </c>
      <c r="Q64" s="228">
        <v>394</v>
      </c>
      <c r="R64" s="226">
        <v>128</v>
      </c>
      <c r="S64" s="226">
        <v>335</v>
      </c>
      <c r="T64" s="226">
        <v>0</v>
      </c>
      <c r="U64" s="226">
        <v>59</v>
      </c>
      <c r="V64" s="226">
        <v>115</v>
      </c>
      <c r="W64" s="227">
        <v>802</v>
      </c>
      <c r="X64" s="226">
        <v>560</v>
      </c>
      <c r="Y64" s="234">
        <v>767</v>
      </c>
      <c r="Z64" s="237">
        <v>188</v>
      </c>
      <c r="AA64" s="237">
        <v>455</v>
      </c>
      <c r="AB64" s="237">
        <v>0</v>
      </c>
      <c r="AC64" s="237">
        <v>76</v>
      </c>
      <c r="AD64" s="237">
        <v>190</v>
      </c>
      <c r="AE64" s="237">
        <v>1155</v>
      </c>
      <c r="AF64" s="237">
        <v>932</v>
      </c>
      <c r="AG64" s="228">
        <v>1347</v>
      </c>
      <c r="AH64" s="237">
        <v>74</v>
      </c>
      <c r="AI64" s="237">
        <v>219</v>
      </c>
      <c r="AJ64" s="237">
        <v>0</v>
      </c>
      <c r="AK64" s="237">
        <v>39</v>
      </c>
      <c r="AL64" s="237">
        <v>47</v>
      </c>
      <c r="AM64" s="237">
        <v>434</v>
      </c>
      <c r="AN64" s="237">
        <v>309</v>
      </c>
      <c r="AO64" s="228">
        <v>351</v>
      </c>
      <c r="AP64" s="237">
        <v>129</v>
      </c>
      <c r="AQ64" s="237">
        <v>331</v>
      </c>
      <c r="AR64" s="237">
        <v>0</v>
      </c>
      <c r="AS64" s="237">
        <v>63</v>
      </c>
      <c r="AT64" s="237">
        <v>91</v>
      </c>
      <c r="AU64" s="238">
        <v>762</v>
      </c>
      <c r="AV64" s="237">
        <v>578</v>
      </c>
      <c r="AW64" s="234">
        <v>710</v>
      </c>
      <c r="AX64" s="237"/>
      <c r="AY64" s="237"/>
      <c r="AZ64" s="237"/>
      <c r="BA64" s="237"/>
      <c r="BB64" s="237"/>
      <c r="BC64" s="237"/>
      <c r="BD64" s="237"/>
      <c r="BF64" s="237"/>
      <c r="BG64" s="237"/>
      <c r="BH64" s="237"/>
      <c r="BI64" s="237"/>
      <c r="BJ64" s="237"/>
      <c r="BK64" s="237"/>
      <c r="BL64" s="237"/>
      <c r="BN64" s="237"/>
      <c r="BO64" s="237"/>
      <c r="BP64" s="237"/>
      <c r="BQ64" s="237"/>
      <c r="BR64" s="237"/>
      <c r="BS64" s="238"/>
      <c r="BT64" s="237"/>
      <c r="BV64" s="264">
        <f t="shared" si="2"/>
        <v>205</v>
      </c>
      <c r="BW64" s="264">
        <f t="shared" si="3"/>
        <v>452</v>
      </c>
      <c r="BX64" s="264">
        <f t="shared" si="4"/>
        <v>0</v>
      </c>
      <c r="BY64" s="264">
        <f t="shared" si="5"/>
        <v>59</v>
      </c>
      <c r="BZ64" s="264">
        <f t="shared" si="6"/>
        <v>160</v>
      </c>
      <c r="CA64" s="264">
        <f t="shared" si="7"/>
        <v>1109</v>
      </c>
      <c r="CB64" s="264">
        <f t="shared" si="8"/>
        <v>983</v>
      </c>
      <c r="CC64" s="265">
        <f t="shared" si="9"/>
        <v>1198</v>
      </c>
      <c r="CD64" s="264">
        <f t="shared" si="10"/>
        <v>71</v>
      </c>
      <c r="CE64" s="264">
        <f t="shared" si="11"/>
        <v>227</v>
      </c>
      <c r="CF64" s="264">
        <f t="shared" si="12"/>
        <v>0</v>
      </c>
      <c r="CG64" s="264">
        <f t="shared" si="13"/>
        <v>39</v>
      </c>
      <c r="CH64" s="264">
        <f t="shared" si="14"/>
        <v>28</v>
      </c>
      <c r="CI64" s="264">
        <f t="shared" si="15"/>
        <v>386</v>
      </c>
      <c r="CJ64" s="264">
        <f t="shared" si="16"/>
        <v>322</v>
      </c>
      <c r="CK64" s="265">
        <f t="shared" si="17"/>
        <v>308</v>
      </c>
      <c r="CL64" s="264">
        <f t="shared" si="18"/>
        <v>130</v>
      </c>
      <c r="CM64" s="264">
        <f t="shared" si="19"/>
        <v>327</v>
      </c>
      <c r="CN64" s="264">
        <f t="shared" si="20"/>
        <v>0</v>
      </c>
      <c r="CO64" s="264">
        <f t="shared" si="21"/>
        <v>67</v>
      </c>
      <c r="CP64" s="264">
        <f t="shared" si="22"/>
        <v>67</v>
      </c>
      <c r="CQ64" s="264">
        <f t="shared" si="23"/>
        <v>722</v>
      </c>
      <c r="CR64" s="264">
        <f t="shared" si="24"/>
        <v>596</v>
      </c>
      <c r="CS64" s="266">
        <f t="shared" si="25"/>
        <v>653</v>
      </c>
      <c r="CT64" s="264">
        <f t="shared" si="26"/>
        <v>188</v>
      </c>
      <c r="CU64" s="264">
        <f t="shared" si="27"/>
        <v>455</v>
      </c>
      <c r="CV64" s="264">
        <f t="shared" si="28"/>
        <v>0</v>
      </c>
      <c r="CW64" s="264">
        <f t="shared" si="29"/>
        <v>76</v>
      </c>
      <c r="CX64" s="264">
        <f t="shared" si="30"/>
        <v>190</v>
      </c>
      <c r="CY64" s="264">
        <f t="shared" si="31"/>
        <v>1155</v>
      </c>
      <c r="CZ64" s="264">
        <f t="shared" si="32"/>
        <v>932</v>
      </c>
      <c r="DA64" s="265">
        <f t="shared" si="33"/>
        <v>1347</v>
      </c>
      <c r="DB64" s="264">
        <f t="shared" si="34"/>
        <v>74</v>
      </c>
      <c r="DC64" s="264">
        <f t="shared" si="35"/>
        <v>219</v>
      </c>
      <c r="DD64" s="264">
        <f t="shared" si="36"/>
        <v>0</v>
      </c>
      <c r="DE64" s="264">
        <f t="shared" si="37"/>
        <v>39</v>
      </c>
      <c r="DF64" s="264">
        <f t="shared" si="38"/>
        <v>47</v>
      </c>
      <c r="DG64" s="264">
        <f t="shared" si="39"/>
        <v>434</v>
      </c>
      <c r="DH64" s="264">
        <f t="shared" si="40"/>
        <v>309</v>
      </c>
      <c r="DI64" s="265">
        <f t="shared" si="41"/>
        <v>351</v>
      </c>
      <c r="DJ64" s="264">
        <f t="shared" si="42"/>
        <v>129</v>
      </c>
      <c r="DK64" s="264">
        <f t="shared" si="43"/>
        <v>331</v>
      </c>
      <c r="DL64" s="264">
        <f t="shared" si="44"/>
        <v>0</v>
      </c>
      <c r="DM64" s="264">
        <f t="shared" si="45"/>
        <v>63</v>
      </c>
      <c r="DN64" s="264">
        <f t="shared" si="46"/>
        <v>91</v>
      </c>
      <c r="DO64" s="264">
        <f t="shared" si="47"/>
        <v>762</v>
      </c>
      <c r="DP64" s="264">
        <f t="shared" si="48"/>
        <v>578</v>
      </c>
      <c r="DQ64" s="266">
        <f t="shared" si="49"/>
        <v>710</v>
      </c>
      <c r="DR64" s="279">
        <f>INDEX('Rate Assumptions'!$A$1:$C$32,MATCH('Success Allocation'!DR$3,'Rate Assumptions'!$A$1:$A$32,0),MATCH($DR$1,'Rate Assumptions'!$A$1:$C$1,0))</f>
        <v>2291.7551696336809</v>
      </c>
      <c r="DS64" s="279">
        <f>INDEX('Rate Assumptions'!$A$1:$C$32,MATCH('Success Allocation'!DS$3,'Rate Assumptions'!$A$1:$A$32,0),MATCH($DR$1,'Rate Assumptions'!$A$1:$C$1,0))</f>
        <v>1718.8163772252606</v>
      </c>
      <c r="DT64" s="279">
        <f>INDEX('Rate Assumptions'!$A$1:$C$32,MATCH('Success Allocation'!DT$3,'Rate Assumptions'!$A$1:$A$32,0),MATCH($DR$1,'Rate Assumptions'!$A$1:$C$1,0))</f>
        <v>1718.8163772252606</v>
      </c>
      <c r="DU64" s="279">
        <f>INDEX('Rate Assumptions'!$A$1:$C$32,MATCH('Success Allocation'!DU$3,'Rate Assumptions'!$A$1:$A$32,0),MATCH($DR$1,'Rate Assumptions'!$A$1:$C$1,0))</f>
        <v>1145.8775848168405</v>
      </c>
      <c r="DV64" s="279">
        <f>INDEX('Rate Assumptions'!$A$1:$C$32,MATCH('Success Allocation'!DV$3,'Rate Assumptions'!$A$1:$A$32,0),MATCH($DR$1,'Rate Assumptions'!$A$1:$C$1,0))</f>
        <v>1145.8775848168405</v>
      </c>
      <c r="DW64" s="279">
        <f>INDEX('Rate Assumptions'!$A$1:$C$32,MATCH('Success Allocation'!DW$3,'Rate Assumptions'!$A$1:$A$32,0),MATCH($DR$1,'Rate Assumptions'!$A$1:$C$1,0))</f>
        <v>572.93879240842023</v>
      </c>
      <c r="DX64" s="279">
        <f>INDEX('Rate Assumptions'!$A$1:$C$32,MATCH('Success Allocation'!DX$3,'Rate Assumptions'!$A$1:$A$32,0),MATCH($DR$1,'Rate Assumptions'!$A$1:$C$1,0))</f>
        <v>859.40818861263028</v>
      </c>
      <c r="DY64" s="280">
        <f>INDEX('Rate Assumptions'!$A$1:$C$32,MATCH('Success Allocation'!DY$3,'Rate Assumptions'!$A$1:$A$32,0),MATCH($DR$1,'Rate Assumptions'!$A$1:$C$1,0))</f>
        <v>572.93879240842023</v>
      </c>
      <c r="DZ64" s="279">
        <f>INDEX('Rate Assumptions'!$A$1:$C$32,MATCH('Success Allocation'!DZ$3,'Rate Assumptions'!$A$1:$A$32,0),MATCH($DR$1,'Rate Assumptions'!$A$1:$C$1,0))</f>
        <v>866.31570658079204</v>
      </c>
      <c r="EA64" s="279">
        <f>INDEX('Rate Assumptions'!$A$1:$C$32,MATCH('Success Allocation'!EA$3,'Rate Assumptions'!$A$1:$A$32,0),MATCH($DR$1,'Rate Assumptions'!$A$1:$C$1,0))</f>
        <v>649.73677993559397</v>
      </c>
      <c r="EB64" s="279">
        <f>INDEX('Rate Assumptions'!$A$1:$C$32,MATCH('Success Allocation'!EB$3,'Rate Assumptions'!$A$1:$A$32,0),MATCH($DR$1,'Rate Assumptions'!$A$1:$C$1,0))</f>
        <v>649.73677993559397</v>
      </c>
      <c r="EC64" s="279">
        <f>INDEX('Rate Assumptions'!$A$1:$C$32,MATCH('Success Allocation'!EC$3,'Rate Assumptions'!$A$1:$A$32,0),MATCH($DR$1,'Rate Assumptions'!$A$1:$C$1,0))</f>
        <v>433.15785329039602</v>
      </c>
      <c r="ED64" s="279">
        <f>INDEX('Rate Assumptions'!$A$1:$C$32,MATCH('Success Allocation'!ED$3,'Rate Assumptions'!$A$1:$A$32,0),MATCH($DR$1,'Rate Assumptions'!$A$1:$C$1,0))</f>
        <v>433.15785329039602</v>
      </c>
      <c r="EE64" s="279">
        <f>INDEX('Rate Assumptions'!$A$1:$C$32,MATCH('Success Allocation'!EE$3,'Rate Assumptions'!$A$1:$A$32,0),MATCH($DR$1,'Rate Assumptions'!$A$1:$C$1,0))</f>
        <v>216.57892664519801</v>
      </c>
      <c r="EF64" s="279">
        <f>INDEX('Rate Assumptions'!$A$1:$C$32,MATCH('Success Allocation'!EF$3,'Rate Assumptions'!$A$1:$A$32,0),MATCH($DR$1,'Rate Assumptions'!$A$1:$C$1,0))</f>
        <v>324.86838996779699</v>
      </c>
      <c r="EG64" s="280">
        <f>INDEX('Rate Assumptions'!$A$1:$C$32,MATCH('Success Allocation'!EG$3,'Rate Assumptions'!$A$1:$A$32,0),MATCH($DR$1,'Rate Assumptions'!$A$1:$C$1,0))</f>
        <v>216.57892664519801</v>
      </c>
      <c r="EH64" s="279">
        <f>INDEX('Rate Assumptions'!$A$1:$C$32,MATCH('Success Allocation'!EH$3,'Rate Assumptions'!$A$1:$A$32,0),MATCH($DR$1,'Rate Assumptions'!$A$1:$C$1,0))</f>
        <v>577.54380438719465</v>
      </c>
      <c r="EI64" s="279">
        <f>INDEX('Rate Assumptions'!$A$1:$C$32,MATCH('Success Allocation'!EI$3,'Rate Assumptions'!$A$1:$A$32,0),MATCH($DR$1,'Rate Assumptions'!$A$1:$C$1,0))</f>
        <v>433.15785329039602</v>
      </c>
      <c r="EJ64" s="279">
        <f>INDEX('Rate Assumptions'!$A$1:$C$32,MATCH('Success Allocation'!EJ$3,'Rate Assumptions'!$A$1:$A$32,0),MATCH($DR$1,'Rate Assumptions'!$A$1:$C$1,0))</f>
        <v>433.15785329039602</v>
      </c>
      <c r="EK64" s="279">
        <f>INDEX('Rate Assumptions'!$A$1:$C$32,MATCH('Success Allocation'!EK$3,'Rate Assumptions'!$A$1:$A$32,0),MATCH($DR$1,'Rate Assumptions'!$A$1:$C$1,0))</f>
        <v>288.77190219359733</v>
      </c>
      <c r="EL64" s="279">
        <f>INDEX('Rate Assumptions'!$A$1:$C$32,MATCH('Success Allocation'!EL$3,'Rate Assumptions'!$A$1:$A$32,0),MATCH($DR$1,'Rate Assumptions'!$A$1:$C$1,0))</f>
        <v>288.77190219359733</v>
      </c>
      <c r="EM64" s="279">
        <f>INDEX('Rate Assumptions'!$A$1:$C$32,MATCH('Success Allocation'!EM$3,'Rate Assumptions'!$A$1:$A$32,0),MATCH($DR$1,'Rate Assumptions'!$A$1:$C$1,0))</f>
        <v>144.38595109679866</v>
      </c>
      <c r="EN64" s="279">
        <f>INDEX('Rate Assumptions'!$A$1:$C$32,MATCH('Success Allocation'!EN$3,'Rate Assumptions'!$A$1:$A$32,0),MATCH($DR$1,'Rate Assumptions'!$A$1:$C$1,0))</f>
        <v>216.57892664519801</v>
      </c>
      <c r="EO64" s="281">
        <f>INDEX('Rate Assumptions'!$A$1:$C$32,MATCH('Success Allocation'!EO$3,'Rate Assumptions'!$A$1:$A$32,0),MATCH($DR$1,'Rate Assumptions'!$A$1:$C$1,0))</f>
        <v>144.38595109679866</v>
      </c>
      <c r="EP64" s="170">
        <f t="shared" si="50"/>
        <v>4740194.1544213938</v>
      </c>
    </row>
    <row r="65" spans="1:146">
      <c r="A65" s="223" t="s">
        <v>152</v>
      </c>
      <c r="B65" s="226">
        <v>581</v>
      </c>
      <c r="C65" s="226">
        <v>995</v>
      </c>
      <c r="D65" s="226">
        <v>0</v>
      </c>
      <c r="E65" s="226">
        <v>438</v>
      </c>
      <c r="F65" s="226">
        <v>211</v>
      </c>
      <c r="G65" s="227">
        <v>2868</v>
      </c>
      <c r="H65" s="226">
        <v>1710</v>
      </c>
      <c r="I65" s="228">
        <v>3851</v>
      </c>
      <c r="J65" s="226">
        <v>231</v>
      </c>
      <c r="K65" s="226">
        <v>428</v>
      </c>
      <c r="L65" s="226">
        <v>0</v>
      </c>
      <c r="M65" s="226">
        <v>122</v>
      </c>
      <c r="N65" s="226">
        <v>35</v>
      </c>
      <c r="O65" s="227">
        <v>945</v>
      </c>
      <c r="P65" s="226">
        <v>526</v>
      </c>
      <c r="Q65" s="228">
        <v>598</v>
      </c>
      <c r="R65" s="226">
        <v>376</v>
      </c>
      <c r="S65" s="226">
        <v>692</v>
      </c>
      <c r="T65" s="226">
        <v>0</v>
      </c>
      <c r="U65" s="226">
        <v>227</v>
      </c>
      <c r="V65" s="226">
        <v>92</v>
      </c>
      <c r="W65" s="227">
        <v>1711</v>
      </c>
      <c r="X65" s="226">
        <v>917</v>
      </c>
      <c r="Y65" s="234">
        <v>1464</v>
      </c>
      <c r="Z65" s="237">
        <v>643</v>
      </c>
      <c r="AA65" s="237">
        <v>1093</v>
      </c>
      <c r="AB65" s="237">
        <v>0</v>
      </c>
      <c r="AC65" s="237">
        <v>440</v>
      </c>
      <c r="AD65" s="237">
        <v>214</v>
      </c>
      <c r="AE65" s="237">
        <v>2888</v>
      </c>
      <c r="AF65" s="237">
        <v>1599</v>
      </c>
      <c r="AG65" s="228">
        <v>3689</v>
      </c>
      <c r="AH65" s="237">
        <v>244</v>
      </c>
      <c r="AI65" s="237">
        <v>461</v>
      </c>
      <c r="AJ65" s="237">
        <v>0</v>
      </c>
      <c r="AK65" s="237">
        <v>131</v>
      </c>
      <c r="AL65" s="237">
        <v>53</v>
      </c>
      <c r="AM65" s="237">
        <v>993</v>
      </c>
      <c r="AN65" s="237">
        <v>468</v>
      </c>
      <c r="AO65" s="228">
        <v>561</v>
      </c>
      <c r="AP65" s="237">
        <v>405</v>
      </c>
      <c r="AQ65" s="237">
        <v>771</v>
      </c>
      <c r="AR65" s="237">
        <v>0</v>
      </c>
      <c r="AS65" s="237">
        <v>240</v>
      </c>
      <c r="AT65" s="237">
        <v>96</v>
      </c>
      <c r="AU65" s="238">
        <v>1759</v>
      </c>
      <c r="AV65" s="237">
        <v>835</v>
      </c>
      <c r="AW65" s="234">
        <v>1343</v>
      </c>
      <c r="AX65" s="237"/>
      <c r="AY65" s="237"/>
      <c r="AZ65" s="237"/>
      <c r="BA65" s="237"/>
      <c r="BB65" s="237"/>
      <c r="BC65" s="237"/>
      <c r="BD65" s="237"/>
      <c r="BF65" s="237"/>
      <c r="BG65" s="237"/>
      <c r="BH65" s="237"/>
      <c r="BI65" s="237"/>
      <c r="BJ65" s="237"/>
      <c r="BK65" s="237"/>
      <c r="BL65" s="237"/>
      <c r="BN65" s="237"/>
      <c r="BO65" s="237"/>
      <c r="BP65" s="237"/>
      <c r="BQ65" s="237"/>
      <c r="BR65" s="237"/>
      <c r="BS65" s="238"/>
      <c r="BT65" s="237"/>
      <c r="BV65" s="264">
        <f t="shared" si="2"/>
        <v>705</v>
      </c>
      <c r="BW65" s="264">
        <f t="shared" si="3"/>
        <v>1191</v>
      </c>
      <c r="BX65" s="264">
        <f t="shared" si="4"/>
        <v>0</v>
      </c>
      <c r="BY65" s="264">
        <f t="shared" si="5"/>
        <v>442</v>
      </c>
      <c r="BZ65" s="264">
        <f t="shared" si="6"/>
        <v>217</v>
      </c>
      <c r="CA65" s="264">
        <f t="shared" si="7"/>
        <v>2908</v>
      </c>
      <c r="CB65" s="264">
        <f t="shared" si="8"/>
        <v>1488</v>
      </c>
      <c r="CC65" s="265">
        <f t="shared" si="9"/>
        <v>3527</v>
      </c>
      <c r="CD65" s="264">
        <f t="shared" si="10"/>
        <v>257</v>
      </c>
      <c r="CE65" s="264">
        <f t="shared" si="11"/>
        <v>494</v>
      </c>
      <c r="CF65" s="264">
        <f t="shared" si="12"/>
        <v>0</v>
      </c>
      <c r="CG65" s="264">
        <f t="shared" si="13"/>
        <v>140</v>
      </c>
      <c r="CH65" s="264">
        <f t="shared" si="14"/>
        <v>71</v>
      </c>
      <c r="CI65" s="264">
        <f t="shared" si="15"/>
        <v>1041</v>
      </c>
      <c r="CJ65" s="264">
        <f t="shared" si="16"/>
        <v>410</v>
      </c>
      <c r="CK65" s="265">
        <f t="shared" si="17"/>
        <v>524</v>
      </c>
      <c r="CL65" s="264">
        <f t="shared" si="18"/>
        <v>434</v>
      </c>
      <c r="CM65" s="264">
        <f t="shared" si="19"/>
        <v>850</v>
      </c>
      <c r="CN65" s="264">
        <f t="shared" si="20"/>
        <v>0</v>
      </c>
      <c r="CO65" s="264">
        <f t="shared" si="21"/>
        <v>253</v>
      </c>
      <c r="CP65" s="264">
        <f t="shared" si="22"/>
        <v>100</v>
      </c>
      <c r="CQ65" s="264">
        <f t="shared" si="23"/>
        <v>1807</v>
      </c>
      <c r="CR65" s="264">
        <f t="shared" si="24"/>
        <v>753</v>
      </c>
      <c r="CS65" s="266">
        <f t="shared" si="25"/>
        <v>1222</v>
      </c>
      <c r="CT65" s="264">
        <f t="shared" si="26"/>
        <v>643</v>
      </c>
      <c r="CU65" s="264">
        <f t="shared" si="27"/>
        <v>1093</v>
      </c>
      <c r="CV65" s="264">
        <f t="shared" si="28"/>
        <v>0</v>
      </c>
      <c r="CW65" s="264">
        <f t="shared" si="29"/>
        <v>440</v>
      </c>
      <c r="CX65" s="264">
        <f t="shared" si="30"/>
        <v>214</v>
      </c>
      <c r="CY65" s="264">
        <f t="shared" si="31"/>
        <v>2888</v>
      </c>
      <c r="CZ65" s="264">
        <f t="shared" si="32"/>
        <v>1599</v>
      </c>
      <c r="DA65" s="265">
        <f t="shared" si="33"/>
        <v>3689</v>
      </c>
      <c r="DB65" s="264">
        <f t="shared" si="34"/>
        <v>244</v>
      </c>
      <c r="DC65" s="264">
        <f t="shared" si="35"/>
        <v>461</v>
      </c>
      <c r="DD65" s="264">
        <f t="shared" si="36"/>
        <v>0</v>
      </c>
      <c r="DE65" s="264">
        <f t="shared" si="37"/>
        <v>131</v>
      </c>
      <c r="DF65" s="264">
        <f t="shared" si="38"/>
        <v>53</v>
      </c>
      <c r="DG65" s="264">
        <f t="shared" si="39"/>
        <v>993</v>
      </c>
      <c r="DH65" s="264">
        <f t="shared" si="40"/>
        <v>468</v>
      </c>
      <c r="DI65" s="265">
        <f t="shared" si="41"/>
        <v>561</v>
      </c>
      <c r="DJ65" s="264">
        <f t="shared" si="42"/>
        <v>405</v>
      </c>
      <c r="DK65" s="264">
        <f t="shared" si="43"/>
        <v>771</v>
      </c>
      <c r="DL65" s="264">
        <f t="shared" si="44"/>
        <v>0</v>
      </c>
      <c r="DM65" s="264">
        <f t="shared" si="45"/>
        <v>240</v>
      </c>
      <c r="DN65" s="264">
        <f t="shared" si="46"/>
        <v>96</v>
      </c>
      <c r="DO65" s="264">
        <f t="shared" si="47"/>
        <v>1759</v>
      </c>
      <c r="DP65" s="264">
        <f t="shared" si="48"/>
        <v>835</v>
      </c>
      <c r="DQ65" s="266">
        <f t="shared" si="49"/>
        <v>1343</v>
      </c>
      <c r="DR65" s="279">
        <f>INDEX('Rate Assumptions'!$A$1:$C$32,MATCH('Success Allocation'!DR$3,'Rate Assumptions'!$A$1:$A$32,0),MATCH($DR$1,'Rate Assumptions'!$A$1:$C$1,0))</f>
        <v>2291.7551696336809</v>
      </c>
      <c r="DS65" s="279">
        <f>INDEX('Rate Assumptions'!$A$1:$C$32,MATCH('Success Allocation'!DS$3,'Rate Assumptions'!$A$1:$A$32,0),MATCH($DR$1,'Rate Assumptions'!$A$1:$C$1,0))</f>
        <v>1718.8163772252606</v>
      </c>
      <c r="DT65" s="279">
        <f>INDEX('Rate Assumptions'!$A$1:$C$32,MATCH('Success Allocation'!DT$3,'Rate Assumptions'!$A$1:$A$32,0),MATCH($DR$1,'Rate Assumptions'!$A$1:$C$1,0))</f>
        <v>1718.8163772252606</v>
      </c>
      <c r="DU65" s="279">
        <f>INDEX('Rate Assumptions'!$A$1:$C$32,MATCH('Success Allocation'!DU$3,'Rate Assumptions'!$A$1:$A$32,0),MATCH($DR$1,'Rate Assumptions'!$A$1:$C$1,0))</f>
        <v>1145.8775848168405</v>
      </c>
      <c r="DV65" s="279">
        <f>INDEX('Rate Assumptions'!$A$1:$C$32,MATCH('Success Allocation'!DV$3,'Rate Assumptions'!$A$1:$A$32,0),MATCH($DR$1,'Rate Assumptions'!$A$1:$C$1,0))</f>
        <v>1145.8775848168405</v>
      </c>
      <c r="DW65" s="279">
        <f>INDEX('Rate Assumptions'!$A$1:$C$32,MATCH('Success Allocation'!DW$3,'Rate Assumptions'!$A$1:$A$32,0),MATCH($DR$1,'Rate Assumptions'!$A$1:$C$1,0))</f>
        <v>572.93879240842023</v>
      </c>
      <c r="DX65" s="279">
        <f>INDEX('Rate Assumptions'!$A$1:$C$32,MATCH('Success Allocation'!DX$3,'Rate Assumptions'!$A$1:$A$32,0),MATCH($DR$1,'Rate Assumptions'!$A$1:$C$1,0))</f>
        <v>859.40818861263028</v>
      </c>
      <c r="DY65" s="280">
        <f>INDEX('Rate Assumptions'!$A$1:$C$32,MATCH('Success Allocation'!DY$3,'Rate Assumptions'!$A$1:$A$32,0),MATCH($DR$1,'Rate Assumptions'!$A$1:$C$1,0))</f>
        <v>572.93879240842023</v>
      </c>
      <c r="DZ65" s="279">
        <f>INDEX('Rate Assumptions'!$A$1:$C$32,MATCH('Success Allocation'!DZ$3,'Rate Assumptions'!$A$1:$A$32,0),MATCH($DR$1,'Rate Assumptions'!$A$1:$C$1,0))</f>
        <v>866.31570658079204</v>
      </c>
      <c r="EA65" s="279">
        <f>INDEX('Rate Assumptions'!$A$1:$C$32,MATCH('Success Allocation'!EA$3,'Rate Assumptions'!$A$1:$A$32,0),MATCH($DR$1,'Rate Assumptions'!$A$1:$C$1,0))</f>
        <v>649.73677993559397</v>
      </c>
      <c r="EB65" s="279">
        <f>INDEX('Rate Assumptions'!$A$1:$C$32,MATCH('Success Allocation'!EB$3,'Rate Assumptions'!$A$1:$A$32,0),MATCH($DR$1,'Rate Assumptions'!$A$1:$C$1,0))</f>
        <v>649.73677993559397</v>
      </c>
      <c r="EC65" s="279">
        <f>INDEX('Rate Assumptions'!$A$1:$C$32,MATCH('Success Allocation'!EC$3,'Rate Assumptions'!$A$1:$A$32,0),MATCH($DR$1,'Rate Assumptions'!$A$1:$C$1,0))</f>
        <v>433.15785329039602</v>
      </c>
      <c r="ED65" s="279">
        <f>INDEX('Rate Assumptions'!$A$1:$C$32,MATCH('Success Allocation'!ED$3,'Rate Assumptions'!$A$1:$A$32,0),MATCH($DR$1,'Rate Assumptions'!$A$1:$C$1,0))</f>
        <v>433.15785329039602</v>
      </c>
      <c r="EE65" s="279">
        <f>INDEX('Rate Assumptions'!$A$1:$C$32,MATCH('Success Allocation'!EE$3,'Rate Assumptions'!$A$1:$A$32,0),MATCH($DR$1,'Rate Assumptions'!$A$1:$C$1,0))</f>
        <v>216.57892664519801</v>
      </c>
      <c r="EF65" s="279">
        <f>INDEX('Rate Assumptions'!$A$1:$C$32,MATCH('Success Allocation'!EF$3,'Rate Assumptions'!$A$1:$A$32,0),MATCH($DR$1,'Rate Assumptions'!$A$1:$C$1,0))</f>
        <v>324.86838996779699</v>
      </c>
      <c r="EG65" s="280">
        <f>INDEX('Rate Assumptions'!$A$1:$C$32,MATCH('Success Allocation'!EG$3,'Rate Assumptions'!$A$1:$A$32,0),MATCH($DR$1,'Rate Assumptions'!$A$1:$C$1,0))</f>
        <v>216.57892664519801</v>
      </c>
      <c r="EH65" s="279">
        <f>INDEX('Rate Assumptions'!$A$1:$C$32,MATCH('Success Allocation'!EH$3,'Rate Assumptions'!$A$1:$A$32,0),MATCH($DR$1,'Rate Assumptions'!$A$1:$C$1,0))</f>
        <v>577.54380438719465</v>
      </c>
      <c r="EI65" s="279">
        <f>INDEX('Rate Assumptions'!$A$1:$C$32,MATCH('Success Allocation'!EI$3,'Rate Assumptions'!$A$1:$A$32,0),MATCH($DR$1,'Rate Assumptions'!$A$1:$C$1,0))</f>
        <v>433.15785329039602</v>
      </c>
      <c r="EJ65" s="279">
        <f>INDEX('Rate Assumptions'!$A$1:$C$32,MATCH('Success Allocation'!EJ$3,'Rate Assumptions'!$A$1:$A$32,0),MATCH($DR$1,'Rate Assumptions'!$A$1:$C$1,0))</f>
        <v>433.15785329039602</v>
      </c>
      <c r="EK65" s="279">
        <f>INDEX('Rate Assumptions'!$A$1:$C$32,MATCH('Success Allocation'!EK$3,'Rate Assumptions'!$A$1:$A$32,0),MATCH($DR$1,'Rate Assumptions'!$A$1:$C$1,0))</f>
        <v>288.77190219359733</v>
      </c>
      <c r="EL65" s="279">
        <f>INDEX('Rate Assumptions'!$A$1:$C$32,MATCH('Success Allocation'!EL$3,'Rate Assumptions'!$A$1:$A$32,0),MATCH($DR$1,'Rate Assumptions'!$A$1:$C$1,0))</f>
        <v>288.77190219359733</v>
      </c>
      <c r="EM65" s="279">
        <f>INDEX('Rate Assumptions'!$A$1:$C$32,MATCH('Success Allocation'!EM$3,'Rate Assumptions'!$A$1:$A$32,0),MATCH($DR$1,'Rate Assumptions'!$A$1:$C$1,0))</f>
        <v>144.38595109679866</v>
      </c>
      <c r="EN65" s="279">
        <f>INDEX('Rate Assumptions'!$A$1:$C$32,MATCH('Success Allocation'!EN$3,'Rate Assumptions'!$A$1:$A$32,0),MATCH($DR$1,'Rate Assumptions'!$A$1:$C$1,0))</f>
        <v>216.57892664519801</v>
      </c>
      <c r="EO65" s="281">
        <f>INDEX('Rate Assumptions'!$A$1:$C$32,MATCH('Success Allocation'!EO$3,'Rate Assumptions'!$A$1:$A$32,0),MATCH($DR$1,'Rate Assumptions'!$A$1:$C$1,0))</f>
        <v>144.38595109679866</v>
      </c>
      <c r="EP65" s="170">
        <f t="shared" si="50"/>
        <v>11811946.660586614</v>
      </c>
    </row>
    <row r="66" spans="1:146">
      <c r="A66" s="223" t="s">
        <v>153</v>
      </c>
      <c r="B66" s="226">
        <v>982</v>
      </c>
      <c r="C66" s="226">
        <v>1228</v>
      </c>
      <c r="D66" s="226">
        <v>0</v>
      </c>
      <c r="E66" s="226">
        <v>1070</v>
      </c>
      <c r="F66" s="226">
        <v>819</v>
      </c>
      <c r="G66" s="227">
        <v>4491</v>
      </c>
      <c r="H66" s="226">
        <v>3805</v>
      </c>
      <c r="I66" s="228">
        <v>3046</v>
      </c>
      <c r="J66" s="226">
        <v>342</v>
      </c>
      <c r="K66" s="226">
        <v>427</v>
      </c>
      <c r="L66" s="226">
        <v>0</v>
      </c>
      <c r="M66" s="226">
        <v>315</v>
      </c>
      <c r="N66" s="226">
        <v>175</v>
      </c>
      <c r="O66" s="227">
        <v>1188</v>
      </c>
      <c r="P66" s="226">
        <v>1008</v>
      </c>
      <c r="Q66" s="228">
        <v>361</v>
      </c>
      <c r="R66" s="226">
        <v>538</v>
      </c>
      <c r="S66" s="226">
        <v>688</v>
      </c>
      <c r="T66" s="226">
        <v>0</v>
      </c>
      <c r="U66" s="226">
        <v>513</v>
      </c>
      <c r="V66" s="226">
        <v>286</v>
      </c>
      <c r="W66" s="227">
        <v>2254</v>
      </c>
      <c r="X66" s="226">
        <v>1733</v>
      </c>
      <c r="Y66" s="234">
        <v>915</v>
      </c>
      <c r="Z66" s="237">
        <v>1179</v>
      </c>
      <c r="AA66" s="237">
        <v>1315</v>
      </c>
      <c r="AB66" s="237">
        <v>0</v>
      </c>
      <c r="AC66" s="237">
        <v>921</v>
      </c>
      <c r="AD66" s="237">
        <v>955</v>
      </c>
      <c r="AE66" s="237">
        <v>4360</v>
      </c>
      <c r="AF66" s="237">
        <v>4143</v>
      </c>
      <c r="AG66" s="228">
        <v>3567</v>
      </c>
      <c r="AH66" s="237">
        <v>427</v>
      </c>
      <c r="AI66" s="237">
        <v>436</v>
      </c>
      <c r="AJ66" s="237">
        <v>0</v>
      </c>
      <c r="AK66" s="237">
        <v>263</v>
      </c>
      <c r="AL66" s="237">
        <v>209</v>
      </c>
      <c r="AM66" s="237">
        <v>1035</v>
      </c>
      <c r="AN66" s="237">
        <v>1144</v>
      </c>
      <c r="AO66" s="228">
        <v>387</v>
      </c>
      <c r="AP66" s="237">
        <v>624</v>
      </c>
      <c r="AQ66" s="237">
        <v>722</v>
      </c>
      <c r="AR66" s="237">
        <v>0</v>
      </c>
      <c r="AS66" s="237">
        <v>436</v>
      </c>
      <c r="AT66" s="237">
        <v>329</v>
      </c>
      <c r="AU66" s="238">
        <v>2038</v>
      </c>
      <c r="AV66" s="237">
        <v>1888</v>
      </c>
      <c r="AW66" s="234">
        <v>996</v>
      </c>
      <c r="AX66" s="237"/>
      <c r="AY66" s="237"/>
      <c r="AZ66" s="237"/>
      <c r="BA66" s="237"/>
      <c r="BB66" s="237"/>
      <c r="BC66" s="237"/>
      <c r="BD66" s="237"/>
      <c r="BF66" s="237"/>
      <c r="BG66" s="237"/>
      <c r="BH66" s="237"/>
      <c r="BI66" s="237"/>
      <c r="BJ66" s="237"/>
      <c r="BK66" s="237"/>
      <c r="BL66" s="237"/>
      <c r="BN66" s="237"/>
      <c r="BO66" s="237"/>
      <c r="BP66" s="237"/>
      <c r="BQ66" s="237"/>
      <c r="BR66" s="237"/>
      <c r="BS66" s="238"/>
      <c r="BT66" s="237"/>
      <c r="BV66" s="264">
        <f t="shared" si="2"/>
        <v>1376</v>
      </c>
      <c r="BW66" s="264">
        <f t="shared" si="3"/>
        <v>1402</v>
      </c>
      <c r="BX66" s="264">
        <f t="shared" si="4"/>
        <v>0</v>
      </c>
      <c r="BY66" s="264">
        <f t="shared" si="5"/>
        <v>772</v>
      </c>
      <c r="BZ66" s="264">
        <f t="shared" si="6"/>
        <v>1091</v>
      </c>
      <c r="CA66" s="264">
        <f t="shared" si="7"/>
        <v>4229</v>
      </c>
      <c r="CB66" s="264">
        <f t="shared" si="8"/>
        <v>4481</v>
      </c>
      <c r="CC66" s="265">
        <f t="shared" si="9"/>
        <v>4088</v>
      </c>
      <c r="CD66" s="264">
        <f t="shared" si="10"/>
        <v>512</v>
      </c>
      <c r="CE66" s="264">
        <f t="shared" si="11"/>
        <v>445</v>
      </c>
      <c r="CF66" s="264">
        <f t="shared" si="12"/>
        <v>0</v>
      </c>
      <c r="CG66" s="264">
        <f t="shared" si="13"/>
        <v>211</v>
      </c>
      <c r="CH66" s="264">
        <f t="shared" si="14"/>
        <v>243</v>
      </c>
      <c r="CI66" s="264">
        <f t="shared" si="15"/>
        <v>882</v>
      </c>
      <c r="CJ66" s="264">
        <f t="shared" si="16"/>
        <v>1280</v>
      </c>
      <c r="CK66" s="265">
        <f t="shared" si="17"/>
        <v>413</v>
      </c>
      <c r="CL66" s="264">
        <f t="shared" si="18"/>
        <v>710</v>
      </c>
      <c r="CM66" s="264">
        <f t="shared" si="19"/>
        <v>756</v>
      </c>
      <c r="CN66" s="264">
        <f t="shared" si="20"/>
        <v>0</v>
      </c>
      <c r="CO66" s="264">
        <f t="shared" si="21"/>
        <v>359</v>
      </c>
      <c r="CP66" s="264">
        <f t="shared" si="22"/>
        <v>372</v>
      </c>
      <c r="CQ66" s="264">
        <f t="shared" si="23"/>
        <v>1822</v>
      </c>
      <c r="CR66" s="264">
        <f t="shared" si="24"/>
        <v>2043</v>
      </c>
      <c r="CS66" s="266">
        <f t="shared" si="25"/>
        <v>1077</v>
      </c>
      <c r="CT66" s="264">
        <f t="shared" si="26"/>
        <v>1179</v>
      </c>
      <c r="CU66" s="264">
        <f t="shared" si="27"/>
        <v>1315</v>
      </c>
      <c r="CV66" s="264">
        <f t="shared" si="28"/>
        <v>0</v>
      </c>
      <c r="CW66" s="264">
        <f t="shared" si="29"/>
        <v>921</v>
      </c>
      <c r="CX66" s="264">
        <f t="shared" si="30"/>
        <v>955</v>
      </c>
      <c r="CY66" s="264">
        <f t="shared" si="31"/>
        <v>4360</v>
      </c>
      <c r="CZ66" s="264">
        <f t="shared" si="32"/>
        <v>4143</v>
      </c>
      <c r="DA66" s="265">
        <f t="shared" si="33"/>
        <v>3567</v>
      </c>
      <c r="DB66" s="264">
        <f t="shared" si="34"/>
        <v>427</v>
      </c>
      <c r="DC66" s="264">
        <f t="shared" si="35"/>
        <v>436</v>
      </c>
      <c r="DD66" s="264">
        <f t="shared" si="36"/>
        <v>0</v>
      </c>
      <c r="DE66" s="264">
        <f t="shared" si="37"/>
        <v>263</v>
      </c>
      <c r="DF66" s="264">
        <f t="shared" si="38"/>
        <v>209</v>
      </c>
      <c r="DG66" s="264">
        <f t="shared" si="39"/>
        <v>1035</v>
      </c>
      <c r="DH66" s="264">
        <f t="shared" si="40"/>
        <v>1144</v>
      </c>
      <c r="DI66" s="265">
        <f t="shared" si="41"/>
        <v>387</v>
      </c>
      <c r="DJ66" s="264">
        <f t="shared" si="42"/>
        <v>624</v>
      </c>
      <c r="DK66" s="264">
        <f t="shared" si="43"/>
        <v>722</v>
      </c>
      <c r="DL66" s="264">
        <f t="shared" si="44"/>
        <v>0</v>
      </c>
      <c r="DM66" s="264">
        <f t="shared" si="45"/>
        <v>436</v>
      </c>
      <c r="DN66" s="264">
        <f t="shared" si="46"/>
        <v>329</v>
      </c>
      <c r="DO66" s="264">
        <f t="shared" si="47"/>
        <v>2038</v>
      </c>
      <c r="DP66" s="264">
        <f t="shared" si="48"/>
        <v>1888</v>
      </c>
      <c r="DQ66" s="266">
        <f t="shared" si="49"/>
        <v>996</v>
      </c>
      <c r="DR66" s="279">
        <f>INDEX('Rate Assumptions'!$A$1:$C$32,MATCH('Success Allocation'!DR$3,'Rate Assumptions'!$A$1:$A$32,0),MATCH($DR$1,'Rate Assumptions'!$A$1:$C$1,0))</f>
        <v>2291.7551696336809</v>
      </c>
      <c r="DS66" s="279">
        <f>INDEX('Rate Assumptions'!$A$1:$C$32,MATCH('Success Allocation'!DS$3,'Rate Assumptions'!$A$1:$A$32,0),MATCH($DR$1,'Rate Assumptions'!$A$1:$C$1,0))</f>
        <v>1718.8163772252606</v>
      </c>
      <c r="DT66" s="279">
        <f>INDEX('Rate Assumptions'!$A$1:$C$32,MATCH('Success Allocation'!DT$3,'Rate Assumptions'!$A$1:$A$32,0),MATCH($DR$1,'Rate Assumptions'!$A$1:$C$1,0))</f>
        <v>1718.8163772252606</v>
      </c>
      <c r="DU66" s="279">
        <f>INDEX('Rate Assumptions'!$A$1:$C$32,MATCH('Success Allocation'!DU$3,'Rate Assumptions'!$A$1:$A$32,0),MATCH($DR$1,'Rate Assumptions'!$A$1:$C$1,0))</f>
        <v>1145.8775848168405</v>
      </c>
      <c r="DV66" s="279">
        <f>INDEX('Rate Assumptions'!$A$1:$C$32,MATCH('Success Allocation'!DV$3,'Rate Assumptions'!$A$1:$A$32,0),MATCH($DR$1,'Rate Assumptions'!$A$1:$C$1,0))</f>
        <v>1145.8775848168405</v>
      </c>
      <c r="DW66" s="279">
        <f>INDEX('Rate Assumptions'!$A$1:$C$32,MATCH('Success Allocation'!DW$3,'Rate Assumptions'!$A$1:$A$32,0),MATCH($DR$1,'Rate Assumptions'!$A$1:$C$1,0))</f>
        <v>572.93879240842023</v>
      </c>
      <c r="DX66" s="279">
        <f>INDEX('Rate Assumptions'!$A$1:$C$32,MATCH('Success Allocation'!DX$3,'Rate Assumptions'!$A$1:$A$32,0),MATCH($DR$1,'Rate Assumptions'!$A$1:$C$1,0))</f>
        <v>859.40818861263028</v>
      </c>
      <c r="DY66" s="280">
        <f>INDEX('Rate Assumptions'!$A$1:$C$32,MATCH('Success Allocation'!DY$3,'Rate Assumptions'!$A$1:$A$32,0),MATCH($DR$1,'Rate Assumptions'!$A$1:$C$1,0))</f>
        <v>572.93879240842023</v>
      </c>
      <c r="DZ66" s="279">
        <f>INDEX('Rate Assumptions'!$A$1:$C$32,MATCH('Success Allocation'!DZ$3,'Rate Assumptions'!$A$1:$A$32,0),MATCH($DR$1,'Rate Assumptions'!$A$1:$C$1,0))</f>
        <v>866.31570658079204</v>
      </c>
      <c r="EA66" s="279">
        <f>INDEX('Rate Assumptions'!$A$1:$C$32,MATCH('Success Allocation'!EA$3,'Rate Assumptions'!$A$1:$A$32,0),MATCH($DR$1,'Rate Assumptions'!$A$1:$C$1,0))</f>
        <v>649.73677993559397</v>
      </c>
      <c r="EB66" s="279">
        <f>INDEX('Rate Assumptions'!$A$1:$C$32,MATCH('Success Allocation'!EB$3,'Rate Assumptions'!$A$1:$A$32,0),MATCH($DR$1,'Rate Assumptions'!$A$1:$C$1,0))</f>
        <v>649.73677993559397</v>
      </c>
      <c r="EC66" s="279">
        <f>INDEX('Rate Assumptions'!$A$1:$C$32,MATCH('Success Allocation'!EC$3,'Rate Assumptions'!$A$1:$A$32,0),MATCH($DR$1,'Rate Assumptions'!$A$1:$C$1,0))</f>
        <v>433.15785329039602</v>
      </c>
      <c r="ED66" s="279">
        <f>INDEX('Rate Assumptions'!$A$1:$C$32,MATCH('Success Allocation'!ED$3,'Rate Assumptions'!$A$1:$A$32,0),MATCH($DR$1,'Rate Assumptions'!$A$1:$C$1,0))</f>
        <v>433.15785329039602</v>
      </c>
      <c r="EE66" s="279">
        <f>INDEX('Rate Assumptions'!$A$1:$C$32,MATCH('Success Allocation'!EE$3,'Rate Assumptions'!$A$1:$A$32,0),MATCH($DR$1,'Rate Assumptions'!$A$1:$C$1,0))</f>
        <v>216.57892664519801</v>
      </c>
      <c r="EF66" s="279">
        <f>INDEX('Rate Assumptions'!$A$1:$C$32,MATCH('Success Allocation'!EF$3,'Rate Assumptions'!$A$1:$A$32,0),MATCH($DR$1,'Rate Assumptions'!$A$1:$C$1,0))</f>
        <v>324.86838996779699</v>
      </c>
      <c r="EG66" s="280">
        <f>INDEX('Rate Assumptions'!$A$1:$C$32,MATCH('Success Allocation'!EG$3,'Rate Assumptions'!$A$1:$A$32,0),MATCH($DR$1,'Rate Assumptions'!$A$1:$C$1,0))</f>
        <v>216.57892664519801</v>
      </c>
      <c r="EH66" s="279">
        <f>INDEX('Rate Assumptions'!$A$1:$C$32,MATCH('Success Allocation'!EH$3,'Rate Assumptions'!$A$1:$A$32,0),MATCH($DR$1,'Rate Assumptions'!$A$1:$C$1,0))</f>
        <v>577.54380438719465</v>
      </c>
      <c r="EI66" s="279">
        <f>INDEX('Rate Assumptions'!$A$1:$C$32,MATCH('Success Allocation'!EI$3,'Rate Assumptions'!$A$1:$A$32,0),MATCH($DR$1,'Rate Assumptions'!$A$1:$C$1,0))</f>
        <v>433.15785329039602</v>
      </c>
      <c r="EJ66" s="279">
        <f>INDEX('Rate Assumptions'!$A$1:$C$32,MATCH('Success Allocation'!EJ$3,'Rate Assumptions'!$A$1:$A$32,0),MATCH($DR$1,'Rate Assumptions'!$A$1:$C$1,0))</f>
        <v>433.15785329039602</v>
      </c>
      <c r="EK66" s="279">
        <f>INDEX('Rate Assumptions'!$A$1:$C$32,MATCH('Success Allocation'!EK$3,'Rate Assumptions'!$A$1:$A$32,0),MATCH($DR$1,'Rate Assumptions'!$A$1:$C$1,0))</f>
        <v>288.77190219359733</v>
      </c>
      <c r="EL66" s="279">
        <f>INDEX('Rate Assumptions'!$A$1:$C$32,MATCH('Success Allocation'!EL$3,'Rate Assumptions'!$A$1:$A$32,0),MATCH($DR$1,'Rate Assumptions'!$A$1:$C$1,0))</f>
        <v>288.77190219359733</v>
      </c>
      <c r="EM66" s="279">
        <f>INDEX('Rate Assumptions'!$A$1:$C$32,MATCH('Success Allocation'!EM$3,'Rate Assumptions'!$A$1:$A$32,0),MATCH($DR$1,'Rate Assumptions'!$A$1:$C$1,0))</f>
        <v>144.38595109679866</v>
      </c>
      <c r="EN66" s="279">
        <f>INDEX('Rate Assumptions'!$A$1:$C$32,MATCH('Success Allocation'!EN$3,'Rate Assumptions'!$A$1:$A$32,0),MATCH($DR$1,'Rate Assumptions'!$A$1:$C$1,0))</f>
        <v>216.57892664519801</v>
      </c>
      <c r="EO66" s="281">
        <f>INDEX('Rate Assumptions'!$A$1:$C$32,MATCH('Success Allocation'!EO$3,'Rate Assumptions'!$A$1:$A$32,0),MATCH($DR$1,'Rate Assumptions'!$A$1:$C$1,0))</f>
        <v>144.38595109679866</v>
      </c>
      <c r="EP66" s="170">
        <f t="shared" si="50"/>
        <v>19749448.385904148</v>
      </c>
    </row>
    <row r="67" spans="1:146">
      <c r="A67" s="223" t="s">
        <v>154</v>
      </c>
      <c r="B67" s="226">
        <v>582</v>
      </c>
      <c r="C67" s="226">
        <v>723</v>
      </c>
      <c r="D67" s="226">
        <v>0</v>
      </c>
      <c r="E67" s="226">
        <v>185</v>
      </c>
      <c r="F67" s="226">
        <v>187</v>
      </c>
      <c r="G67" s="227">
        <v>2159</v>
      </c>
      <c r="H67" s="226">
        <v>1414</v>
      </c>
      <c r="I67" s="228">
        <v>1788</v>
      </c>
      <c r="J67" s="226">
        <v>363</v>
      </c>
      <c r="K67" s="226">
        <v>443</v>
      </c>
      <c r="L67" s="226">
        <v>0</v>
      </c>
      <c r="M67" s="226">
        <v>116</v>
      </c>
      <c r="N67" s="226">
        <v>78</v>
      </c>
      <c r="O67" s="227">
        <v>1183</v>
      </c>
      <c r="P67" s="226">
        <v>719</v>
      </c>
      <c r="Q67" s="228">
        <v>483</v>
      </c>
      <c r="R67" s="226">
        <v>474</v>
      </c>
      <c r="S67" s="226">
        <v>613</v>
      </c>
      <c r="T67" s="226">
        <v>0</v>
      </c>
      <c r="U67" s="226">
        <v>156</v>
      </c>
      <c r="V67" s="226">
        <v>112</v>
      </c>
      <c r="W67" s="227">
        <v>1706</v>
      </c>
      <c r="X67" s="226">
        <v>1076</v>
      </c>
      <c r="Y67" s="234">
        <v>957</v>
      </c>
      <c r="Z67" s="237">
        <v>678</v>
      </c>
      <c r="AA67" s="237">
        <v>744</v>
      </c>
      <c r="AB67" s="237">
        <v>0</v>
      </c>
      <c r="AC67" s="237">
        <v>159</v>
      </c>
      <c r="AD67" s="237">
        <v>257</v>
      </c>
      <c r="AE67" s="237">
        <v>2091</v>
      </c>
      <c r="AF67" s="237">
        <v>1351</v>
      </c>
      <c r="AG67" s="228">
        <v>1779</v>
      </c>
      <c r="AH67" s="237">
        <v>404</v>
      </c>
      <c r="AI67" s="237">
        <v>444</v>
      </c>
      <c r="AJ67" s="237">
        <v>0</v>
      </c>
      <c r="AK67" s="237">
        <v>92</v>
      </c>
      <c r="AL67" s="237">
        <v>109</v>
      </c>
      <c r="AM67" s="237">
        <v>1159</v>
      </c>
      <c r="AN67" s="237">
        <v>685</v>
      </c>
      <c r="AO67" s="228">
        <v>584</v>
      </c>
      <c r="AP67" s="237">
        <v>537</v>
      </c>
      <c r="AQ67" s="237">
        <v>609</v>
      </c>
      <c r="AR67" s="237">
        <v>0</v>
      </c>
      <c r="AS67" s="237">
        <v>131</v>
      </c>
      <c r="AT67" s="237">
        <v>151</v>
      </c>
      <c r="AU67" s="238">
        <v>1666</v>
      </c>
      <c r="AV67" s="237">
        <v>1006</v>
      </c>
      <c r="AW67" s="234">
        <v>1009</v>
      </c>
      <c r="AX67" s="237"/>
      <c r="AY67" s="237"/>
      <c r="AZ67" s="237"/>
      <c r="BA67" s="237"/>
      <c r="BB67" s="237"/>
      <c r="BC67" s="237"/>
      <c r="BD67" s="237"/>
      <c r="BF67" s="237"/>
      <c r="BG67" s="237"/>
      <c r="BH67" s="237"/>
      <c r="BI67" s="237"/>
      <c r="BJ67" s="237"/>
      <c r="BK67" s="237"/>
      <c r="BL67" s="237"/>
      <c r="BN67" s="237"/>
      <c r="BO67" s="237"/>
      <c r="BP67" s="237"/>
      <c r="BQ67" s="237"/>
      <c r="BR67" s="237"/>
      <c r="BS67" s="238"/>
      <c r="BT67" s="237"/>
      <c r="BV67" s="264">
        <f t="shared" si="2"/>
        <v>774</v>
      </c>
      <c r="BW67" s="264">
        <f t="shared" si="3"/>
        <v>765</v>
      </c>
      <c r="BX67" s="264">
        <f t="shared" si="4"/>
        <v>0</v>
      </c>
      <c r="BY67" s="264">
        <f t="shared" si="5"/>
        <v>133</v>
      </c>
      <c r="BZ67" s="264">
        <f t="shared" si="6"/>
        <v>327</v>
      </c>
      <c r="CA67" s="264">
        <f t="shared" si="7"/>
        <v>2023</v>
      </c>
      <c r="CB67" s="264">
        <f t="shared" si="8"/>
        <v>1288</v>
      </c>
      <c r="CC67" s="265">
        <f t="shared" si="9"/>
        <v>1770</v>
      </c>
      <c r="CD67" s="264">
        <f t="shared" si="10"/>
        <v>445</v>
      </c>
      <c r="CE67" s="264">
        <f t="shared" si="11"/>
        <v>445</v>
      </c>
      <c r="CF67" s="264">
        <f t="shared" si="12"/>
        <v>0</v>
      </c>
      <c r="CG67" s="264">
        <f t="shared" si="13"/>
        <v>68</v>
      </c>
      <c r="CH67" s="264">
        <f t="shared" si="14"/>
        <v>140</v>
      </c>
      <c r="CI67" s="264">
        <f t="shared" si="15"/>
        <v>1135</v>
      </c>
      <c r="CJ67" s="264">
        <f t="shared" si="16"/>
        <v>651</v>
      </c>
      <c r="CK67" s="265">
        <f t="shared" si="17"/>
        <v>685</v>
      </c>
      <c r="CL67" s="264">
        <f t="shared" si="18"/>
        <v>600</v>
      </c>
      <c r="CM67" s="264">
        <f t="shared" si="19"/>
        <v>605</v>
      </c>
      <c r="CN67" s="264">
        <f t="shared" si="20"/>
        <v>0</v>
      </c>
      <c r="CO67" s="264">
        <f t="shared" si="21"/>
        <v>106</v>
      </c>
      <c r="CP67" s="264">
        <f t="shared" si="22"/>
        <v>190</v>
      </c>
      <c r="CQ67" s="264">
        <f t="shared" si="23"/>
        <v>1626</v>
      </c>
      <c r="CR67" s="264">
        <f t="shared" si="24"/>
        <v>936</v>
      </c>
      <c r="CS67" s="266">
        <f t="shared" si="25"/>
        <v>1061</v>
      </c>
      <c r="CT67" s="264">
        <f t="shared" si="26"/>
        <v>678</v>
      </c>
      <c r="CU67" s="264">
        <f t="shared" si="27"/>
        <v>744</v>
      </c>
      <c r="CV67" s="264">
        <f t="shared" si="28"/>
        <v>0</v>
      </c>
      <c r="CW67" s="264">
        <f t="shared" si="29"/>
        <v>159</v>
      </c>
      <c r="CX67" s="264">
        <f t="shared" si="30"/>
        <v>257</v>
      </c>
      <c r="CY67" s="264">
        <f t="shared" si="31"/>
        <v>2091</v>
      </c>
      <c r="CZ67" s="264">
        <f t="shared" si="32"/>
        <v>1351</v>
      </c>
      <c r="DA67" s="265">
        <f t="shared" si="33"/>
        <v>1779</v>
      </c>
      <c r="DB67" s="264">
        <f t="shared" si="34"/>
        <v>404</v>
      </c>
      <c r="DC67" s="264">
        <f t="shared" si="35"/>
        <v>444</v>
      </c>
      <c r="DD67" s="264">
        <f t="shared" si="36"/>
        <v>0</v>
      </c>
      <c r="DE67" s="264">
        <f t="shared" si="37"/>
        <v>92</v>
      </c>
      <c r="DF67" s="264">
        <f t="shared" si="38"/>
        <v>109</v>
      </c>
      <c r="DG67" s="264">
        <f t="shared" si="39"/>
        <v>1159</v>
      </c>
      <c r="DH67" s="264">
        <f t="shared" si="40"/>
        <v>685</v>
      </c>
      <c r="DI67" s="265">
        <f t="shared" si="41"/>
        <v>584</v>
      </c>
      <c r="DJ67" s="264">
        <f t="shared" si="42"/>
        <v>537</v>
      </c>
      <c r="DK67" s="264">
        <f t="shared" si="43"/>
        <v>609</v>
      </c>
      <c r="DL67" s="264">
        <f t="shared" si="44"/>
        <v>0</v>
      </c>
      <c r="DM67" s="264">
        <f t="shared" si="45"/>
        <v>131</v>
      </c>
      <c r="DN67" s="264">
        <f t="shared" si="46"/>
        <v>151</v>
      </c>
      <c r="DO67" s="264">
        <f t="shared" si="47"/>
        <v>1666</v>
      </c>
      <c r="DP67" s="264">
        <f t="shared" si="48"/>
        <v>1006</v>
      </c>
      <c r="DQ67" s="266">
        <f t="shared" si="49"/>
        <v>1009</v>
      </c>
      <c r="DR67" s="279">
        <f>INDEX('Rate Assumptions'!$A$1:$C$32,MATCH('Success Allocation'!DR$3,'Rate Assumptions'!$A$1:$A$32,0),MATCH($DR$1,'Rate Assumptions'!$A$1:$C$1,0))</f>
        <v>2291.7551696336809</v>
      </c>
      <c r="DS67" s="279">
        <f>INDEX('Rate Assumptions'!$A$1:$C$32,MATCH('Success Allocation'!DS$3,'Rate Assumptions'!$A$1:$A$32,0),MATCH($DR$1,'Rate Assumptions'!$A$1:$C$1,0))</f>
        <v>1718.8163772252606</v>
      </c>
      <c r="DT67" s="279">
        <f>INDEX('Rate Assumptions'!$A$1:$C$32,MATCH('Success Allocation'!DT$3,'Rate Assumptions'!$A$1:$A$32,0),MATCH($DR$1,'Rate Assumptions'!$A$1:$C$1,0))</f>
        <v>1718.8163772252606</v>
      </c>
      <c r="DU67" s="279">
        <f>INDEX('Rate Assumptions'!$A$1:$C$32,MATCH('Success Allocation'!DU$3,'Rate Assumptions'!$A$1:$A$32,0),MATCH($DR$1,'Rate Assumptions'!$A$1:$C$1,0))</f>
        <v>1145.8775848168405</v>
      </c>
      <c r="DV67" s="279">
        <f>INDEX('Rate Assumptions'!$A$1:$C$32,MATCH('Success Allocation'!DV$3,'Rate Assumptions'!$A$1:$A$32,0),MATCH($DR$1,'Rate Assumptions'!$A$1:$C$1,0))</f>
        <v>1145.8775848168405</v>
      </c>
      <c r="DW67" s="279">
        <f>INDEX('Rate Assumptions'!$A$1:$C$32,MATCH('Success Allocation'!DW$3,'Rate Assumptions'!$A$1:$A$32,0),MATCH($DR$1,'Rate Assumptions'!$A$1:$C$1,0))</f>
        <v>572.93879240842023</v>
      </c>
      <c r="DX67" s="279">
        <f>INDEX('Rate Assumptions'!$A$1:$C$32,MATCH('Success Allocation'!DX$3,'Rate Assumptions'!$A$1:$A$32,0),MATCH($DR$1,'Rate Assumptions'!$A$1:$C$1,0))</f>
        <v>859.40818861263028</v>
      </c>
      <c r="DY67" s="280">
        <f>INDEX('Rate Assumptions'!$A$1:$C$32,MATCH('Success Allocation'!DY$3,'Rate Assumptions'!$A$1:$A$32,0),MATCH($DR$1,'Rate Assumptions'!$A$1:$C$1,0))</f>
        <v>572.93879240842023</v>
      </c>
      <c r="DZ67" s="279">
        <f>INDEX('Rate Assumptions'!$A$1:$C$32,MATCH('Success Allocation'!DZ$3,'Rate Assumptions'!$A$1:$A$32,0),MATCH($DR$1,'Rate Assumptions'!$A$1:$C$1,0))</f>
        <v>866.31570658079204</v>
      </c>
      <c r="EA67" s="279">
        <f>INDEX('Rate Assumptions'!$A$1:$C$32,MATCH('Success Allocation'!EA$3,'Rate Assumptions'!$A$1:$A$32,0),MATCH($DR$1,'Rate Assumptions'!$A$1:$C$1,0))</f>
        <v>649.73677993559397</v>
      </c>
      <c r="EB67" s="279">
        <f>INDEX('Rate Assumptions'!$A$1:$C$32,MATCH('Success Allocation'!EB$3,'Rate Assumptions'!$A$1:$A$32,0),MATCH($DR$1,'Rate Assumptions'!$A$1:$C$1,0))</f>
        <v>649.73677993559397</v>
      </c>
      <c r="EC67" s="279">
        <f>INDEX('Rate Assumptions'!$A$1:$C$32,MATCH('Success Allocation'!EC$3,'Rate Assumptions'!$A$1:$A$32,0),MATCH($DR$1,'Rate Assumptions'!$A$1:$C$1,0))</f>
        <v>433.15785329039602</v>
      </c>
      <c r="ED67" s="279">
        <f>INDEX('Rate Assumptions'!$A$1:$C$32,MATCH('Success Allocation'!ED$3,'Rate Assumptions'!$A$1:$A$32,0),MATCH($DR$1,'Rate Assumptions'!$A$1:$C$1,0))</f>
        <v>433.15785329039602</v>
      </c>
      <c r="EE67" s="279">
        <f>INDEX('Rate Assumptions'!$A$1:$C$32,MATCH('Success Allocation'!EE$3,'Rate Assumptions'!$A$1:$A$32,0),MATCH($DR$1,'Rate Assumptions'!$A$1:$C$1,0))</f>
        <v>216.57892664519801</v>
      </c>
      <c r="EF67" s="279">
        <f>INDEX('Rate Assumptions'!$A$1:$C$32,MATCH('Success Allocation'!EF$3,'Rate Assumptions'!$A$1:$A$32,0),MATCH($DR$1,'Rate Assumptions'!$A$1:$C$1,0))</f>
        <v>324.86838996779699</v>
      </c>
      <c r="EG67" s="280">
        <f>INDEX('Rate Assumptions'!$A$1:$C$32,MATCH('Success Allocation'!EG$3,'Rate Assumptions'!$A$1:$A$32,0),MATCH($DR$1,'Rate Assumptions'!$A$1:$C$1,0))</f>
        <v>216.57892664519801</v>
      </c>
      <c r="EH67" s="279">
        <f>INDEX('Rate Assumptions'!$A$1:$C$32,MATCH('Success Allocation'!EH$3,'Rate Assumptions'!$A$1:$A$32,0),MATCH($DR$1,'Rate Assumptions'!$A$1:$C$1,0))</f>
        <v>577.54380438719465</v>
      </c>
      <c r="EI67" s="279">
        <f>INDEX('Rate Assumptions'!$A$1:$C$32,MATCH('Success Allocation'!EI$3,'Rate Assumptions'!$A$1:$A$32,0),MATCH($DR$1,'Rate Assumptions'!$A$1:$C$1,0))</f>
        <v>433.15785329039602</v>
      </c>
      <c r="EJ67" s="279">
        <f>INDEX('Rate Assumptions'!$A$1:$C$32,MATCH('Success Allocation'!EJ$3,'Rate Assumptions'!$A$1:$A$32,0),MATCH($DR$1,'Rate Assumptions'!$A$1:$C$1,0))</f>
        <v>433.15785329039602</v>
      </c>
      <c r="EK67" s="279">
        <f>INDEX('Rate Assumptions'!$A$1:$C$32,MATCH('Success Allocation'!EK$3,'Rate Assumptions'!$A$1:$A$32,0),MATCH($DR$1,'Rate Assumptions'!$A$1:$C$1,0))</f>
        <v>288.77190219359733</v>
      </c>
      <c r="EL67" s="279">
        <f>INDEX('Rate Assumptions'!$A$1:$C$32,MATCH('Success Allocation'!EL$3,'Rate Assumptions'!$A$1:$A$32,0),MATCH($DR$1,'Rate Assumptions'!$A$1:$C$1,0))</f>
        <v>288.77190219359733</v>
      </c>
      <c r="EM67" s="279">
        <f>INDEX('Rate Assumptions'!$A$1:$C$32,MATCH('Success Allocation'!EM$3,'Rate Assumptions'!$A$1:$A$32,0),MATCH($DR$1,'Rate Assumptions'!$A$1:$C$1,0))</f>
        <v>144.38595109679866</v>
      </c>
      <c r="EN67" s="279">
        <f>INDEX('Rate Assumptions'!$A$1:$C$32,MATCH('Success Allocation'!EN$3,'Rate Assumptions'!$A$1:$A$32,0),MATCH($DR$1,'Rate Assumptions'!$A$1:$C$1,0))</f>
        <v>216.57892664519801</v>
      </c>
      <c r="EO67" s="281">
        <f>INDEX('Rate Assumptions'!$A$1:$C$32,MATCH('Success Allocation'!EO$3,'Rate Assumptions'!$A$1:$A$32,0),MATCH($DR$1,'Rate Assumptions'!$A$1:$C$1,0))</f>
        <v>144.38595109679866</v>
      </c>
      <c r="EP67" s="170">
        <f t="shared" si="50"/>
        <v>9551040.6566345524</v>
      </c>
    </row>
    <row r="68" spans="1:146">
      <c r="A68" s="223" t="s">
        <v>155</v>
      </c>
      <c r="B68" s="226">
        <v>1326</v>
      </c>
      <c r="C68" s="226">
        <v>1142</v>
      </c>
      <c r="D68" s="226">
        <v>0</v>
      </c>
      <c r="E68" s="226">
        <v>447</v>
      </c>
      <c r="F68" s="226">
        <v>569</v>
      </c>
      <c r="G68" s="227">
        <v>5569</v>
      </c>
      <c r="H68" s="226">
        <v>3072</v>
      </c>
      <c r="I68" s="228">
        <v>5376</v>
      </c>
      <c r="J68" s="226">
        <v>836</v>
      </c>
      <c r="K68" s="226">
        <v>752</v>
      </c>
      <c r="L68" s="226">
        <v>0</v>
      </c>
      <c r="M68" s="226">
        <v>308</v>
      </c>
      <c r="N68" s="226">
        <v>229</v>
      </c>
      <c r="O68" s="227">
        <v>3439</v>
      </c>
      <c r="P68" s="226">
        <v>1628</v>
      </c>
      <c r="Q68" s="228">
        <v>2532</v>
      </c>
      <c r="R68" s="226">
        <v>1077</v>
      </c>
      <c r="S68" s="226">
        <v>967</v>
      </c>
      <c r="T68" s="226">
        <v>0</v>
      </c>
      <c r="U68" s="226">
        <v>395</v>
      </c>
      <c r="V68" s="226">
        <v>320</v>
      </c>
      <c r="W68" s="227">
        <v>4500</v>
      </c>
      <c r="X68" s="226">
        <v>2259</v>
      </c>
      <c r="Y68" s="234">
        <v>3721</v>
      </c>
      <c r="Z68" s="237">
        <v>1710</v>
      </c>
      <c r="AA68" s="237">
        <v>1265</v>
      </c>
      <c r="AB68" s="237">
        <v>0</v>
      </c>
      <c r="AC68" s="237">
        <v>781</v>
      </c>
      <c r="AD68" s="237">
        <v>710</v>
      </c>
      <c r="AE68" s="237">
        <v>5659</v>
      </c>
      <c r="AF68" s="237">
        <v>3309</v>
      </c>
      <c r="AG68" s="228">
        <v>5977</v>
      </c>
      <c r="AH68" s="237">
        <v>1086</v>
      </c>
      <c r="AI68" s="237">
        <v>892</v>
      </c>
      <c r="AJ68" s="237">
        <v>0</v>
      </c>
      <c r="AK68" s="237">
        <v>502</v>
      </c>
      <c r="AL68" s="237">
        <v>348</v>
      </c>
      <c r="AM68" s="237">
        <v>3468</v>
      </c>
      <c r="AN68" s="237">
        <v>1748</v>
      </c>
      <c r="AO68" s="228">
        <v>2762</v>
      </c>
      <c r="AP68" s="237">
        <v>1376</v>
      </c>
      <c r="AQ68" s="237">
        <v>1116</v>
      </c>
      <c r="AR68" s="237">
        <v>0</v>
      </c>
      <c r="AS68" s="237">
        <v>632</v>
      </c>
      <c r="AT68" s="237">
        <v>461</v>
      </c>
      <c r="AU68" s="238">
        <v>4547</v>
      </c>
      <c r="AV68" s="237">
        <v>2413</v>
      </c>
      <c r="AW68" s="234">
        <v>4051</v>
      </c>
      <c r="AX68" s="237"/>
      <c r="AY68" s="237"/>
      <c r="AZ68" s="237"/>
      <c r="BA68" s="237"/>
      <c r="BB68" s="237"/>
      <c r="BC68" s="237"/>
      <c r="BD68" s="237"/>
      <c r="BF68" s="237"/>
      <c r="BG68" s="237"/>
      <c r="BH68" s="237"/>
      <c r="BI68" s="237"/>
      <c r="BJ68" s="237"/>
      <c r="BK68" s="237"/>
      <c r="BL68" s="237"/>
      <c r="BN68" s="237"/>
      <c r="BO68" s="237"/>
      <c r="BP68" s="237"/>
      <c r="BQ68" s="237"/>
      <c r="BR68" s="237"/>
      <c r="BS68" s="238"/>
      <c r="BT68" s="237"/>
      <c r="BV68" s="264">
        <f t="shared" si="2"/>
        <v>2094</v>
      </c>
      <c r="BW68" s="264">
        <f t="shared" si="3"/>
        <v>1388</v>
      </c>
      <c r="BX68" s="264">
        <f t="shared" si="4"/>
        <v>0</v>
      </c>
      <c r="BY68" s="264">
        <f t="shared" si="5"/>
        <v>1115</v>
      </c>
      <c r="BZ68" s="264">
        <f t="shared" si="6"/>
        <v>851</v>
      </c>
      <c r="CA68" s="264">
        <f t="shared" si="7"/>
        <v>5749</v>
      </c>
      <c r="CB68" s="264">
        <f t="shared" si="8"/>
        <v>3546</v>
      </c>
      <c r="CC68" s="265">
        <f t="shared" si="9"/>
        <v>6578</v>
      </c>
      <c r="CD68" s="264">
        <f t="shared" si="10"/>
        <v>1336</v>
      </c>
      <c r="CE68" s="264">
        <f t="shared" si="11"/>
        <v>1032</v>
      </c>
      <c r="CF68" s="264">
        <f t="shared" si="12"/>
        <v>0</v>
      </c>
      <c r="CG68" s="264">
        <f t="shared" si="13"/>
        <v>696</v>
      </c>
      <c r="CH68" s="264">
        <f t="shared" si="14"/>
        <v>467</v>
      </c>
      <c r="CI68" s="264">
        <f t="shared" si="15"/>
        <v>3497</v>
      </c>
      <c r="CJ68" s="264">
        <f t="shared" si="16"/>
        <v>1868</v>
      </c>
      <c r="CK68" s="265">
        <f t="shared" si="17"/>
        <v>2992</v>
      </c>
      <c r="CL68" s="264">
        <f t="shared" si="18"/>
        <v>1675</v>
      </c>
      <c r="CM68" s="264">
        <f t="shared" si="19"/>
        <v>1265</v>
      </c>
      <c r="CN68" s="264">
        <f t="shared" si="20"/>
        <v>0</v>
      </c>
      <c r="CO68" s="264">
        <f t="shared" si="21"/>
        <v>869</v>
      </c>
      <c r="CP68" s="264">
        <f t="shared" si="22"/>
        <v>602</v>
      </c>
      <c r="CQ68" s="264">
        <f t="shared" si="23"/>
        <v>4594</v>
      </c>
      <c r="CR68" s="264">
        <f t="shared" si="24"/>
        <v>2567</v>
      </c>
      <c r="CS68" s="266">
        <f t="shared" si="25"/>
        <v>4381</v>
      </c>
      <c r="CT68" s="264">
        <f t="shared" si="26"/>
        <v>1710</v>
      </c>
      <c r="CU68" s="264">
        <f t="shared" si="27"/>
        <v>1265</v>
      </c>
      <c r="CV68" s="264">
        <f t="shared" si="28"/>
        <v>0</v>
      </c>
      <c r="CW68" s="264">
        <f t="shared" si="29"/>
        <v>781</v>
      </c>
      <c r="CX68" s="264">
        <f t="shared" si="30"/>
        <v>710</v>
      </c>
      <c r="CY68" s="264">
        <f t="shared" si="31"/>
        <v>5659</v>
      </c>
      <c r="CZ68" s="264">
        <f t="shared" si="32"/>
        <v>3309</v>
      </c>
      <c r="DA68" s="265">
        <f t="shared" si="33"/>
        <v>5977</v>
      </c>
      <c r="DB68" s="264">
        <f t="shared" si="34"/>
        <v>1086</v>
      </c>
      <c r="DC68" s="264">
        <f t="shared" si="35"/>
        <v>892</v>
      </c>
      <c r="DD68" s="264">
        <f t="shared" si="36"/>
        <v>0</v>
      </c>
      <c r="DE68" s="264">
        <f t="shared" si="37"/>
        <v>502</v>
      </c>
      <c r="DF68" s="264">
        <f t="shared" si="38"/>
        <v>348</v>
      </c>
      <c r="DG68" s="264">
        <f t="shared" si="39"/>
        <v>3468</v>
      </c>
      <c r="DH68" s="264">
        <f t="shared" si="40"/>
        <v>1748</v>
      </c>
      <c r="DI68" s="265">
        <f t="shared" si="41"/>
        <v>2762</v>
      </c>
      <c r="DJ68" s="264">
        <f t="shared" si="42"/>
        <v>1376</v>
      </c>
      <c r="DK68" s="264">
        <f t="shared" si="43"/>
        <v>1116</v>
      </c>
      <c r="DL68" s="264">
        <f t="shared" si="44"/>
        <v>0</v>
      </c>
      <c r="DM68" s="264">
        <f t="shared" si="45"/>
        <v>632</v>
      </c>
      <c r="DN68" s="264">
        <f t="shared" si="46"/>
        <v>461</v>
      </c>
      <c r="DO68" s="264">
        <f t="shared" si="47"/>
        <v>4547</v>
      </c>
      <c r="DP68" s="264">
        <f t="shared" si="48"/>
        <v>2413</v>
      </c>
      <c r="DQ68" s="266">
        <f t="shared" si="49"/>
        <v>4051</v>
      </c>
      <c r="DR68" s="279">
        <f>INDEX('Rate Assumptions'!$A$1:$C$32,MATCH('Success Allocation'!DR$3,'Rate Assumptions'!$A$1:$A$32,0),MATCH($DR$1,'Rate Assumptions'!$A$1:$C$1,0))</f>
        <v>2291.7551696336809</v>
      </c>
      <c r="DS68" s="279">
        <f>INDEX('Rate Assumptions'!$A$1:$C$32,MATCH('Success Allocation'!DS$3,'Rate Assumptions'!$A$1:$A$32,0),MATCH($DR$1,'Rate Assumptions'!$A$1:$C$1,0))</f>
        <v>1718.8163772252606</v>
      </c>
      <c r="DT68" s="279">
        <f>INDEX('Rate Assumptions'!$A$1:$C$32,MATCH('Success Allocation'!DT$3,'Rate Assumptions'!$A$1:$A$32,0),MATCH($DR$1,'Rate Assumptions'!$A$1:$C$1,0))</f>
        <v>1718.8163772252606</v>
      </c>
      <c r="DU68" s="279">
        <f>INDEX('Rate Assumptions'!$A$1:$C$32,MATCH('Success Allocation'!DU$3,'Rate Assumptions'!$A$1:$A$32,0),MATCH($DR$1,'Rate Assumptions'!$A$1:$C$1,0))</f>
        <v>1145.8775848168405</v>
      </c>
      <c r="DV68" s="279">
        <f>INDEX('Rate Assumptions'!$A$1:$C$32,MATCH('Success Allocation'!DV$3,'Rate Assumptions'!$A$1:$A$32,0),MATCH($DR$1,'Rate Assumptions'!$A$1:$C$1,0))</f>
        <v>1145.8775848168405</v>
      </c>
      <c r="DW68" s="279">
        <f>INDEX('Rate Assumptions'!$A$1:$C$32,MATCH('Success Allocation'!DW$3,'Rate Assumptions'!$A$1:$A$32,0),MATCH($DR$1,'Rate Assumptions'!$A$1:$C$1,0))</f>
        <v>572.93879240842023</v>
      </c>
      <c r="DX68" s="279">
        <f>INDEX('Rate Assumptions'!$A$1:$C$32,MATCH('Success Allocation'!DX$3,'Rate Assumptions'!$A$1:$A$32,0),MATCH($DR$1,'Rate Assumptions'!$A$1:$C$1,0))</f>
        <v>859.40818861263028</v>
      </c>
      <c r="DY68" s="280">
        <f>INDEX('Rate Assumptions'!$A$1:$C$32,MATCH('Success Allocation'!DY$3,'Rate Assumptions'!$A$1:$A$32,0),MATCH($DR$1,'Rate Assumptions'!$A$1:$C$1,0))</f>
        <v>572.93879240842023</v>
      </c>
      <c r="DZ68" s="279">
        <f>INDEX('Rate Assumptions'!$A$1:$C$32,MATCH('Success Allocation'!DZ$3,'Rate Assumptions'!$A$1:$A$32,0),MATCH($DR$1,'Rate Assumptions'!$A$1:$C$1,0))</f>
        <v>866.31570658079204</v>
      </c>
      <c r="EA68" s="279">
        <f>INDEX('Rate Assumptions'!$A$1:$C$32,MATCH('Success Allocation'!EA$3,'Rate Assumptions'!$A$1:$A$32,0),MATCH($DR$1,'Rate Assumptions'!$A$1:$C$1,0))</f>
        <v>649.73677993559397</v>
      </c>
      <c r="EB68" s="279">
        <f>INDEX('Rate Assumptions'!$A$1:$C$32,MATCH('Success Allocation'!EB$3,'Rate Assumptions'!$A$1:$A$32,0),MATCH($DR$1,'Rate Assumptions'!$A$1:$C$1,0))</f>
        <v>649.73677993559397</v>
      </c>
      <c r="EC68" s="279">
        <f>INDEX('Rate Assumptions'!$A$1:$C$32,MATCH('Success Allocation'!EC$3,'Rate Assumptions'!$A$1:$A$32,0),MATCH($DR$1,'Rate Assumptions'!$A$1:$C$1,0))</f>
        <v>433.15785329039602</v>
      </c>
      <c r="ED68" s="279">
        <f>INDEX('Rate Assumptions'!$A$1:$C$32,MATCH('Success Allocation'!ED$3,'Rate Assumptions'!$A$1:$A$32,0),MATCH($DR$1,'Rate Assumptions'!$A$1:$C$1,0))</f>
        <v>433.15785329039602</v>
      </c>
      <c r="EE68" s="279">
        <f>INDEX('Rate Assumptions'!$A$1:$C$32,MATCH('Success Allocation'!EE$3,'Rate Assumptions'!$A$1:$A$32,0),MATCH($DR$1,'Rate Assumptions'!$A$1:$C$1,0))</f>
        <v>216.57892664519801</v>
      </c>
      <c r="EF68" s="279">
        <f>INDEX('Rate Assumptions'!$A$1:$C$32,MATCH('Success Allocation'!EF$3,'Rate Assumptions'!$A$1:$A$32,0),MATCH($DR$1,'Rate Assumptions'!$A$1:$C$1,0))</f>
        <v>324.86838996779699</v>
      </c>
      <c r="EG68" s="280">
        <f>INDEX('Rate Assumptions'!$A$1:$C$32,MATCH('Success Allocation'!EG$3,'Rate Assumptions'!$A$1:$A$32,0),MATCH($DR$1,'Rate Assumptions'!$A$1:$C$1,0))</f>
        <v>216.57892664519801</v>
      </c>
      <c r="EH68" s="279">
        <f>INDEX('Rate Assumptions'!$A$1:$C$32,MATCH('Success Allocation'!EH$3,'Rate Assumptions'!$A$1:$A$32,0),MATCH($DR$1,'Rate Assumptions'!$A$1:$C$1,0))</f>
        <v>577.54380438719465</v>
      </c>
      <c r="EI68" s="279">
        <f>INDEX('Rate Assumptions'!$A$1:$C$32,MATCH('Success Allocation'!EI$3,'Rate Assumptions'!$A$1:$A$32,0),MATCH($DR$1,'Rate Assumptions'!$A$1:$C$1,0))</f>
        <v>433.15785329039602</v>
      </c>
      <c r="EJ68" s="279">
        <f>INDEX('Rate Assumptions'!$A$1:$C$32,MATCH('Success Allocation'!EJ$3,'Rate Assumptions'!$A$1:$A$32,0),MATCH($DR$1,'Rate Assumptions'!$A$1:$C$1,0))</f>
        <v>433.15785329039602</v>
      </c>
      <c r="EK68" s="279">
        <f>INDEX('Rate Assumptions'!$A$1:$C$32,MATCH('Success Allocation'!EK$3,'Rate Assumptions'!$A$1:$A$32,0),MATCH($DR$1,'Rate Assumptions'!$A$1:$C$1,0))</f>
        <v>288.77190219359733</v>
      </c>
      <c r="EL68" s="279">
        <f>INDEX('Rate Assumptions'!$A$1:$C$32,MATCH('Success Allocation'!EL$3,'Rate Assumptions'!$A$1:$A$32,0),MATCH($DR$1,'Rate Assumptions'!$A$1:$C$1,0))</f>
        <v>288.77190219359733</v>
      </c>
      <c r="EM68" s="279">
        <f>INDEX('Rate Assumptions'!$A$1:$C$32,MATCH('Success Allocation'!EM$3,'Rate Assumptions'!$A$1:$A$32,0),MATCH($DR$1,'Rate Assumptions'!$A$1:$C$1,0))</f>
        <v>144.38595109679866</v>
      </c>
      <c r="EN68" s="279">
        <f>INDEX('Rate Assumptions'!$A$1:$C$32,MATCH('Success Allocation'!EN$3,'Rate Assumptions'!$A$1:$A$32,0),MATCH($DR$1,'Rate Assumptions'!$A$1:$C$1,0))</f>
        <v>216.57892664519801</v>
      </c>
      <c r="EO68" s="281">
        <f>INDEX('Rate Assumptions'!$A$1:$C$32,MATCH('Success Allocation'!EO$3,'Rate Assumptions'!$A$1:$A$32,0),MATCH($DR$1,'Rate Assumptions'!$A$1:$C$1,0))</f>
        <v>144.38595109679866</v>
      </c>
      <c r="EP68" s="170">
        <f t="shared" si="50"/>
        <v>27683385.291792892</v>
      </c>
    </row>
    <row r="69" spans="1:146">
      <c r="A69" s="223" t="s">
        <v>156</v>
      </c>
      <c r="B69" s="226">
        <v>1577</v>
      </c>
      <c r="C69" s="226">
        <v>1729</v>
      </c>
      <c r="D69" s="226">
        <v>0</v>
      </c>
      <c r="E69" s="226">
        <v>518</v>
      </c>
      <c r="F69" s="226">
        <v>996</v>
      </c>
      <c r="G69" s="227">
        <v>3828</v>
      </c>
      <c r="H69" s="226">
        <v>3656</v>
      </c>
      <c r="I69" s="228">
        <v>2714</v>
      </c>
      <c r="J69" s="226">
        <v>754</v>
      </c>
      <c r="K69" s="226">
        <v>900</v>
      </c>
      <c r="L69" s="226">
        <v>0</v>
      </c>
      <c r="M69" s="226">
        <v>299</v>
      </c>
      <c r="N69" s="226">
        <v>323</v>
      </c>
      <c r="O69" s="227">
        <v>1722</v>
      </c>
      <c r="P69" s="226">
        <v>1293</v>
      </c>
      <c r="Q69" s="228">
        <v>809</v>
      </c>
      <c r="R69" s="226">
        <v>1052</v>
      </c>
      <c r="S69" s="226">
        <v>1291</v>
      </c>
      <c r="T69" s="226">
        <v>0</v>
      </c>
      <c r="U69" s="226">
        <v>418</v>
      </c>
      <c r="V69" s="226">
        <v>478</v>
      </c>
      <c r="W69" s="227">
        <v>2624</v>
      </c>
      <c r="X69" s="226">
        <v>2018</v>
      </c>
      <c r="Y69" s="234">
        <v>1547</v>
      </c>
      <c r="Z69" s="237">
        <v>1777</v>
      </c>
      <c r="AA69" s="237">
        <v>1754</v>
      </c>
      <c r="AB69" s="237">
        <v>0</v>
      </c>
      <c r="AC69" s="237">
        <v>820</v>
      </c>
      <c r="AD69" s="237">
        <v>1173</v>
      </c>
      <c r="AE69" s="237">
        <v>3942</v>
      </c>
      <c r="AF69" s="237">
        <v>3897</v>
      </c>
      <c r="AG69" s="228">
        <v>2787</v>
      </c>
      <c r="AH69" s="237">
        <v>841</v>
      </c>
      <c r="AI69" s="237">
        <v>943</v>
      </c>
      <c r="AJ69" s="237">
        <v>0</v>
      </c>
      <c r="AK69" s="237">
        <v>382</v>
      </c>
      <c r="AL69" s="237">
        <v>407</v>
      </c>
      <c r="AM69" s="237">
        <v>1774</v>
      </c>
      <c r="AN69" s="237">
        <v>1403</v>
      </c>
      <c r="AO69" s="228">
        <v>886</v>
      </c>
      <c r="AP69" s="237">
        <v>1194</v>
      </c>
      <c r="AQ69" s="237">
        <v>1311</v>
      </c>
      <c r="AR69" s="237">
        <v>0</v>
      </c>
      <c r="AS69" s="237">
        <v>562</v>
      </c>
      <c r="AT69" s="237">
        <v>603</v>
      </c>
      <c r="AU69" s="238">
        <v>2671</v>
      </c>
      <c r="AV69" s="237">
        <v>2213</v>
      </c>
      <c r="AW69" s="234">
        <v>1620</v>
      </c>
      <c r="AX69" s="237"/>
      <c r="AY69" s="237"/>
      <c r="AZ69" s="237"/>
      <c r="BA69" s="237"/>
      <c r="BB69" s="237"/>
      <c r="BC69" s="237"/>
      <c r="BD69" s="237"/>
      <c r="BF69" s="237"/>
      <c r="BG69" s="237"/>
      <c r="BH69" s="237"/>
      <c r="BI69" s="237"/>
      <c r="BJ69" s="237"/>
      <c r="BK69" s="237"/>
      <c r="BL69" s="237"/>
      <c r="BN69" s="237"/>
      <c r="BO69" s="237"/>
      <c r="BP69" s="237"/>
      <c r="BQ69" s="237"/>
      <c r="BR69" s="237"/>
      <c r="BS69" s="238"/>
      <c r="BT69" s="237"/>
      <c r="BV69" s="264">
        <f t="shared" ref="BV69:BV75" si="51">Z69+(Z69-B69)</f>
        <v>1977</v>
      </c>
      <c r="BW69" s="264">
        <f t="shared" ref="BW69:BW75" si="52">AA69+(AA69-C69)</f>
        <v>1779</v>
      </c>
      <c r="BX69" s="264">
        <f t="shared" ref="BX69:BX75" si="53">AB69+(AB69-D69)</f>
        <v>0</v>
      </c>
      <c r="BY69" s="264">
        <f t="shared" ref="BY69:BY75" si="54">AC69+(AC69-E69)</f>
        <v>1122</v>
      </c>
      <c r="BZ69" s="264">
        <f t="shared" ref="BZ69:BZ75" si="55">AD69+(AD69-F69)</f>
        <v>1350</v>
      </c>
      <c r="CA69" s="264">
        <f t="shared" ref="CA69:CA75" si="56">AE69+(AE69-G69)</f>
        <v>4056</v>
      </c>
      <c r="CB69" s="264">
        <f t="shared" ref="CB69:CB75" si="57">AF69+(AF69-H69)</f>
        <v>4138</v>
      </c>
      <c r="CC69" s="265">
        <f t="shared" ref="CC69:CC75" si="58">AG69+(AG69-I69)</f>
        <v>2860</v>
      </c>
      <c r="CD69" s="264">
        <f t="shared" ref="CD69:CD75" si="59">AH69+(AH69-J69)</f>
        <v>928</v>
      </c>
      <c r="CE69" s="264">
        <f t="shared" ref="CE69:CE75" si="60">AI69+(AI69-K69)</f>
        <v>986</v>
      </c>
      <c r="CF69" s="264">
        <f t="shared" ref="CF69:CF75" si="61">AJ69+(AJ69-L69)</f>
        <v>0</v>
      </c>
      <c r="CG69" s="264">
        <f t="shared" ref="CG69:CG75" si="62">AK69+(AK69-M69)</f>
        <v>465</v>
      </c>
      <c r="CH69" s="264">
        <f t="shared" ref="CH69:CH75" si="63">AL69+(AL69-N69)</f>
        <v>491</v>
      </c>
      <c r="CI69" s="264">
        <f t="shared" ref="CI69:CI75" si="64">AM69+(AM69-O69)</f>
        <v>1826</v>
      </c>
      <c r="CJ69" s="264">
        <f t="shared" ref="CJ69:CJ75" si="65">AN69+(AN69-P69)</f>
        <v>1513</v>
      </c>
      <c r="CK69" s="265">
        <f t="shared" ref="CK69:CK75" si="66">AO69+(AO69-Q69)</f>
        <v>963</v>
      </c>
      <c r="CL69" s="264">
        <f t="shared" ref="CL69:CL75" si="67">AP69+(AP69-R69)</f>
        <v>1336</v>
      </c>
      <c r="CM69" s="264">
        <f t="shared" ref="CM69:CM75" si="68">AQ69+(AQ69-S69)</f>
        <v>1331</v>
      </c>
      <c r="CN69" s="264">
        <f t="shared" ref="CN69:CN75" si="69">AR69+(AR69-T69)</f>
        <v>0</v>
      </c>
      <c r="CO69" s="264">
        <f t="shared" ref="CO69:CO75" si="70">AS69+(AS69-U69)</f>
        <v>706</v>
      </c>
      <c r="CP69" s="264">
        <f t="shared" ref="CP69:CP75" si="71">AT69+(AT69-V69)</f>
        <v>728</v>
      </c>
      <c r="CQ69" s="264">
        <f t="shared" ref="CQ69:CQ75" si="72">AU69+(AU69-W69)</f>
        <v>2718</v>
      </c>
      <c r="CR69" s="264">
        <f t="shared" ref="CR69:CR75" si="73">AV69+(AV69-X69)</f>
        <v>2408</v>
      </c>
      <c r="CS69" s="266">
        <f t="shared" ref="CS69:CS75" si="74">AW69+(AW69-Y69)</f>
        <v>1693</v>
      </c>
      <c r="CT69" s="264">
        <f t="shared" ref="CT69:CT75" si="75">AVERAGE(BV69,Z69,B69)</f>
        <v>1777</v>
      </c>
      <c r="CU69" s="264">
        <f t="shared" ref="CU69:CU75" si="76">AVERAGE(BW69,AA69,C69)</f>
        <v>1754</v>
      </c>
      <c r="CV69" s="264">
        <f t="shared" ref="CV69:CV75" si="77">AVERAGE(BX69,AB69,D69)</f>
        <v>0</v>
      </c>
      <c r="CW69" s="264">
        <f t="shared" ref="CW69:CW75" si="78">AVERAGE(BY69,AC69,E69)</f>
        <v>820</v>
      </c>
      <c r="CX69" s="264">
        <f t="shared" ref="CX69:CX75" si="79">AVERAGE(BZ69,AD69,F69)</f>
        <v>1173</v>
      </c>
      <c r="CY69" s="264">
        <f t="shared" ref="CY69:CY75" si="80">AVERAGE(CA69,AE69,G69)</f>
        <v>3942</v>
      </c>
      <c r="CZ69" s="264">
        <f t="shared" ref="CZ69:CZ75" si="81">AVERAGE(CB69,AF69,H69)</f>
        <v>3897</v>
      </c>
      <c r="DA69" s="265">
        <f t="shared" ref="DA69:DA75" si="82">AVERAGE(CC69,AG69,I69)</f>
        <v>2787</v>
      </c>
      <c r="DB69" s="264">
        <f t="shared" ref="DB69:DB75" si="83">AVERAGE(CD69,AH69,J69)</f>
        <v>841</v>
      </c>
      <c r="DC69" s="264">
        <f t="shared" ref="DC69:DC75" si="84">AVERAGE(CE69,AI69,K69)</f>
        <v>943</v>
      </c>
      <c r="DD69" s="264">
        <f t="shared" ref="DD69:DD75" si="85">AVERAGE(CF69,AJ69,L69)</f>
        <v>0</v>
      </c>
      <c r="DE69" s="264">
        <f t="shared" ref="DE69:DE75" si="86">AVERAGE(CG69,AK69,M69)</f>
        <v>382</v>
      </c>
      <c r="DF69" s="264">
        <f t="shared" ref="DF69:DF75" si="87">AVERAGE(CH69,AL69,N69)</f>
        <v>407</v>
      </c>
      <c r="DG69" s="264">
        <f t="shared" ref="DG69:DG75" si="88">AVERAGE(CI69,AM69,O69)</f>
        <v>1774</v>
      </c>
      <c r="DH69" s="264">
        <f t="shared" ref="DH69:DH75" si="89">AVERAGE(CJ69,AN69,P69)</f>
        <v>1403</v>
      </c>
      <c r="DI69" s="265">
        <f t="shared" ref="DI69:DI75" si="90">AVERAGE(CK69,AO69,Q69)</f>
        <v>886</v>
      </c>
      <c r="DJ69" s="264">
        <f t="shared" ref="DJ69:DJ75" si="91">AVERAGE(CL69,AP69,R69)</f>
        <v>1194</v>
      </c>
      <c r="DK69" s="264">
        <f t="shared" ref="DK69:DK75" si="92">AVERAGE(CM69,AQ69,S69)</f>
        <v>1311</v>
      </c>
      <c r="DL69" s="264">
        <f t="shared" ref="DL69:DL75" si="93">AVERAGE(CN69,AR69,T69)</f>
        <v>0</v>
      </c>
      <c r="DM69" s="264">
        <f t="shared" ref="DM69:DM75" si="94">AVERAGE(CO69,AS69,U69)</f>
        <v>562</v>
      </c>
      <c r="DN69" s="264">
        <f t="shared" ref="DN69:DN75" si="95">AVERAGE(CP69,AT69,V69)</f>
        <v>603</v>
      </c>
      <c r="DO69" s="264">
        <f t="shared" ref="DO69:DO75" si="96">AVERAGE(CQ69,AU69,W69)</f>
        <v>2671</v>
      </c>
      <c r="DP69" s="264">
        <f t="shared" ref="DP69:DP75" si="97">AVERAGE(CR69,AV69,X69)</f>
        <v>2213</v>
      </c>
      <c r="DQ69" s="266">
        <f t="shared" ref="DQ69:DQ75" si="98">AVERAGE(CS69,AW69,Y69)</f>
        <v>1620</v>
      </c>
      <c r="DR69" s="279">
        <f>INDEX('Rate Assumptions'!$A$1:$C$32,MATCH('Success Allocation'!DR$3,'Rate Assumptions'!$A$1:$A$32,0),MATCH($DR$1,'Rate Assumptions'!$A$1:$C$1,0))</f>
        <v>2291.7551696336809</v>
      </c>
      <c r="DS69" s="279">
        <f>INDEX('Rate Assumptions'!$A$1:$C$32,MATCH('Success Allocation'!DS$3,'Rate Assumptions'!$A$1:$A$32,0),MATCH($DR$1,'Rate Assumptions'!$A$1:$C$1,0))</f>
        <v>1718.8163772252606</v>
      </c>
      <c r="DT69" s="279">
        <f>INDEX('Rate Assumptions'!$A$1:$C$32,MATCH('Success Allocation'!DT$3,'Rate Assumptions'!$A$1:$A$32,0),MATCH($DR$1,'Rate Assumptions'!$A$1:$C$1,0))</f>
        <v>1718.8163772252606</v>
      </c>
      <c r="DU69" s="279">
        <f>INDEX('Rate Assumptions'!$A$1:$C$32,MATCH('Success Allocation'!DU$3,'Rate Assumptions'!$A$1:$A$32,0),MATCH($DR$1,'Rate Assumptions'!$A$1:$C$1,0))</f>
        <v>1145.8775848168405</v>
      </c>
      <c r="DV69" s="279">
        <f>INDEX('Rate Assumptions'!$A$1:$C$32,MATCH('Success Allocation'!DV$3,'Rate Assumptions'!$A$1:$A$32,0),MATCH($DR$1,'Rate Assumptions'!$A$1:$C$1,0))</f>
        <v>1145.8775848168405</v>
      </c>
      <c r="DW69" s="279">
        <f>INDEX('Rate Assumptions'!$A$1:$C$32,MATCH('Success Allocation'!DW$3,'Rate Assumptions'!$A$1:$A$32,0),MATCH($DR$1,'Rate Assumptions'!$A$1:$C$1,0))</f>
        <v>572.93879240842023</v>
      </c>
      <c r="DX69" s="279">
        <f>INDEX('Rate Assumptions'!$A$1:$C$32,MATCH('Success Allocation'!DX$3,'Rate Assumptions'!$A$1:$A$32,0),MATCH($DR$1,'Rate Assumptions'!$A$1:$C$1,0))</f>
        <v>859.40818861263028</v>
      </c>
      <c r="DY69" s="280">
        <f>INDEX('Rate Assumptions'!$A$1:$C$32,MATCH('Success Allocation'!DY$3,'Rate Assumptions'!$A$1:$A$32,0),MATCH($DR$1,'Rate Assumptions'!$A$1:$C$1,0))</f>
        <v>572.93879240842023</v>
      </c>
      <c r="DZ69" s="279">
        <f>INDEX('Rate Assumptions'!$A$1:$C$32,MATCH('Success Allocation'!DZ$3,'Rate Assumptions'!$A$1:$A$32,0),MATCH($DR$1,'Rate Assumptions'!$A$1:$C$1,0))</f>
        <v>866.31570658079204</v>
      </c>
      <c r="EA69" s="279">
        <f>INDEX('Rate Assumptions'!$A$1:$C$32,MATCH('Success Allocation'!EA$3,'Rate Assumptions'!$A$1:$A$32,0),MATCH($DR$1,'Rate Assumptions'!$A$1:$C$1,0))</f>
        <v>649.73677993559397</v>
      </c>
      <c r="EB69" s="279">
        <f>INDEX('Rate Assumptions'!$A$1:$C$32,MATCH('Success Allocation'!EB$3,'Rate Assumptions'!$A$1:$A$32,0),MATCH($DR$1,'Rate Assumptions'!$A$1:$C$1,0))</f>
        <v>649.73677993559397</v>
      </c>
      <c r="EC69" s="279">
        <f>INDEX('Rate Assumptions'!$A$1:$C$32,MATCH('Success Allocation'!EC$3,'Rate Assumptions'!$A$1:$A$32,0),MATCH($DR$1,'Rate Assumptions'!$A$1:$C$1,0))</f>
        <v>433.15785329039602</v>
      </c>
      <c r="ED69" s="279">
        <f>INDEX('Rate Assumptions'!$A$1:$C$32,MATCH('Success Allocation'!ED$3,'Rate Assumptions'!$A$1:$A$32,0),MATCH($DR$1,'Rate Assumptions'!$A$1:$C$1,0))</f>
        <v>433.15785329039602</v>
      </c>
      <c r="EE69" s="279">
        <f>INDEX('Rate Assumptions'!$A$1:$C$32,MATCH('Success Allocation'!EE$3,'Rate Assumptions'!$A$1:$A$32,0),MATCH($DR$1,'Rate Assumptions'!$A$1:$C$1,0))</f>
        <v>216.57892664519801</v>
      </c>
      <c r="EF69" s="279">
        <f>INDEX('Rate Assumptions'!$A$1:$C$32,MATCH('Success Allocation'!EF$3,'Rate Assumptions'!$A$1:$A$32,0),MATCH($DR$1,'Rate Assumptions'!$A$1:$C$1,0))</f>
        <v>324.86838996779699</v>
      </c>
      <c r="EG69" s="280">
        <f>INDEX('Rate Assumptions'!$A$1:$C$32,MATCH('Success Allocation'!EG$3,'Rate Assumptions'!$A$1:$A$32,0),MATCH($DR$1,'Rate Assumptions'!$A$1:$C$1,0))</f>
        <v>216.57892664519801</v>
      </c>
      <c r="EH69" s="279">
        <f>INDEX('Rate Assumptions'!$A$1:$C$32,MATCH('Success Allocation'!EH$3,'Rate Assumptions'!$A$1:$A$32,0),MATCH($DR$1,'Rate Assumptions'!$A$1:$C$1,0))</f>
        <v>577.54380438719465</v>
      </c>
      <c r="EI69" s="279">
        <f>INDEX('Rate Assumptions'!$A$1:$C$32,MATCH('Success Allocation'!EI$3,'Rate Assumptions'!$A$1:$A$32,0),MATCH($DR$1,'Rate Assumptions'!$A$1:$C$1,0))</f>
        <v>433.15785329039602</v>
      </c>
      <c r="EJ69" s="279">
        <f>INDEX('Rate Assumptions'!$A$1:$C$32,MATCH('Success Allocation'!EJ$3,'Rate Assumptions'!$A$1:$A$32,0),MATCH($DR$1,'Rate Assumptions'!$A$1:$C$1,0))</f>
        <v>433.15785329039602</v>
      </c>
      <c r="EK69" s="279">
        <f>INDEX('Rate Assumptions'!$A$1:$C$32,MATCH('Success Allocation'!EK$3,'Rate Assumptions'!$A$1:$A$32,0),MATCH($DR$1,'Rate Assumptions'!$A$1:$C$1,0))</f>
        <v>288.77190219359733</v>
      </c>
      <c r="EL69" s="279">
        <f>INDEX('Rate Assumptions'!$A$1:$C$32,MATCH('Success Allocation'!EL$3,'Rate Assumptions'!$A$1:$A$32,0),MATCH($DR$1,'Rate Assumptions'!$A$1:$C$1,0))</f>
        <v>288.77190219359733</v>
      </c>
      <c r="EM69" s="279">
        <f>INDEX('Rate Assumptions'!$A$1:$C$32,MATCH('Success Allocation'!EM$3,'Rate Assumptions'!$A$1:$A$32,0),MATCH($DR$1,'Rate Assumptions'!$A$1:$C$1,0))</f>
        <v>144.38595109679866</v>
      </c>
      <c r="EN69" s="279">
        <f>INDEX('Rate Assumptions'!$A$1:$C$32,MATCH('Success Allocation'!EN$3,'Rate Assumptions'!$A$1:$A$32,0),MATCH($DR$1,'Rate Assumptions'!$A$1:$C$1,0))</f>
        <v>216.57892664519801</v>
      </c>
      <c r="EO69" s="281">
        <f>INDEX('Rate Assumptions'!$A$1:$C$32,MATCH('Success Allocation'!EO$3,'Rate Assumptions'!$A$1:$A$32,0),MATCH($DR$1,'Rate Assumptions'!$A$1:$C$1,0))</f>
        <v>144.38595109679866</v>
      </c>
      <c r="EP69" s="170">
        <f t="shared" ref="EP69:EP75" si="99">SUMPRODUCT(BV69:CS69,DR69:EO69)</f>
        <v>23814743.33558232</v>
      </c>
    </row>
    <row r="70" spans="1:146">
      <c r="A70" s="223" t="s">
        <v>157</v>
      </c>
      <c r="B70" s="226">
        <v>103</v>
      </c>
      <c r="C70" s="226">
        <v>704</v>
      </c>
      <c r="D70" s="226">
        <v>0</v>
      </c>
      <c r="E70" s="226">
        <v>74</v>
      </c>
      <c r="F70" s="226">
        <v>99</v>
      </c>
      <c r="G70" s="227">
        <v>1915</v>
      </c>
      <c r="H70" s="226">
        <v>710</v>
      </c>
      <c r="I70" s="228">
        <v>1439</v>
      </c>
      <c r="J70" s="226">
        <v>77</v>
      </c>
      <c r="K70" s="226">
        <v>513</v>
      </c>
      <c r="L70" s="226">
        <v>0</v>
      </c>
      <c r="M70" s="226">
        <v>56</v>
      </c>
      <c r="N70" s="226">
        <v>51</v>
      </c>
      <c r="O70" s="227">
        <v>1292</v>
      </c>
      <c r="P70" s="226">
        <v>424</v>
      </c>
      <c r="Q70" s="228">
        <v>740</v>
      </c>
      <c r="R70" s="226">
        <v>92</v>
      </c>
      <c r="S70" s="226">
        <v>618</v>
      </c>
      <c r="T70" s="226">
        <v>0</v>
      </c>
      <c r="U70" s="226">
        <v>67</v>
      </c>
      <c r="V70" s="226">
        <v>73</v>
      </c>
      <c r="W70" s="227">
        <v>1615</v>
      </c>
      <c r="X70" s="226">
        <v>539</v>
      </c>
      <c r="Y70" s="234">
        <v>1060</v>
      </c>
      <c r="Z70" s="237">
        <v>154</v>
      </c>
      <c r="AA70" s="237">
        <v>714</v>
      </c>
      <c r="AB70" s="237">
        <v>0</v>
      </c>
      <c r="AC70" s="237">
        <v>114</v>
      </c>
      <c r="AD70" s="237">
        <v>123</v>
      </c>
      <c r="AE70" s="237">
        <v>1777</v>
      </c>
      <c r="AF70" s="237">
        <v>686</v>
      </c>
      <c r="AG70" s="228">
        <v>1594</v>
      </c>
      <c r="AH70" s="237">
        <v>116</v>
      </c>
      <c r="AI70" s="237">
        <v>502</v>
      </c>
      <c r="AJ70" s="237">
        <v>0</v>
      </c>
      <c r="AK70" s="237">
        <v>69</v>
      </c>
      <c r="AL70" s="237">
        <v>71</v>
      </c>
      <c r="AM70" s="237">
        <v>1147</v>
      </c>
      <c r="AN70" s="237">
        <v>413</v>
      </c>
      <c r="AO70" s="228">
        <v>802</v>
      </c>
      <c r="AP70" s="237">
        <v>138</v>
      </c>
      <c r="AQ70" s="237">
        <v>619</v>
      </c>
      <c r="AR70" s="237">
        <v>0</v>
      </c>
      <c r="AS70" s="237">
        <v>90</v>
      </c>
      <c r="AT70" s="237">
        <v>98</v>
      </c>
      <c r="AU70" s="238">
        <v>1461</v>
      </c>
      <c r="AV70" s="237">
        <v>528</v>
      </c>
      <c r="AW70" s="234">
        <v>1199</v>
      </c>
      <c r="AX70" s="237"/>
      <c r="AY70" s="237"/>
      <c r="AZ70" s="237"/>
      <c r="BA70" s="237"/>
      <c r="BB70" s="237"/>
      <c r="BC70" s="237"/>
      <c r="BD70" s="237"/>
      <c r="BF70" s="237"/>
      <c r="BG70" s="237"/>
      <c r="BH70" s="237"/>
      <c r="BI70" s="237"/>
      <c r="BJ70" s="237"/>
      <c r="BK70" s="237"/>
      <c r="BL70" s="237"/>
      <c r="BN70" s="237"/>
      <c r="BO70" s="237"/>
      <c r="BP70" s="237"/>
      <c r="BQ70" s="237"/>
      <c r="BR70" s="237"/>
      <c r="BS70" s="238"/>
      <c r="BT70" s="237"/>
      <c r="BV70" s="264">
        <f t="shared" si="51"/>
        <v>205</v>
      </c>
      <c r="BW70" s="264">
        <f t="shared" si="52"/>
        <v>724</v>
      </c>
      <c r="BX70" s="264">
        <f t="shared" si="53"/>
        <v>0</v>
      </c>
      <c r="BY70" s="264">
        <f t="shared" si="54"/>
        <v>154</v>
      </c>
      <c r="BZ70" s="264">
        <f t="shared" si="55"/>
        <v>147</v>
      </c>
      <c r="CA70" s="264">
        <f t="shared" si="56"/>
        <v>1639</v>
      </c>
      <c r="CB70" s="264">
        <f t="shared" si="57"/>
        <v>662</v>
      </c>
      <c r="CC70" s="265">
        <f t="shared" si="58"/>
        <v>1749</v>
      </c>
      <c r="CD70" s="264">
        <f t="shared" si="59"/>
        <v>155</v>
      </c>
      <c r="CE70" s="264">
        <f t="shared" si="60"/>
        <v>491</v>
      </c>
      <c r="CF70" s="264">
        <f t="shared" si="61"/>
        <v>0</v>
      </c>
      <c r="CG70" s="264">
        <f t="shared" si="62"/>
        <v>82</v>
      </c>
      <c r="CH70" s="264">
        <f t="shared" si="63"/>
        <v>91</v>
      </c>
      <c r="CI70" s="264">
        <f t="shared" si="64"/>
        <v>1002</v>
      </c>
      <c r="CJ70" s="264">
        <f t="shared" si="65"/>
        <v>402</v>
      </c>
      <c r="CK70" s="265">
        <f t="shared" si="66"/>
        <v>864</v>
      </c>
      <c r="CL70" s="264">
        <f t="shared" si="67"/>
        <v>184</v>
      </c>
      <c r="CM70" s="264">
        <f t="shared" si="68"/>
        <v>620</v>
      </c>
      <c r="CN70" s="264">
        <f t="shared" si="69"/>
        <v>0</v>
      </c>
      <c r="CO70" s="264">
        <f t="shared" si="70"/>
        <v>113</v>
      </c>
      <c r="CP70" s="264">
        <f t="shared" si="71"/>
        <v>123</v>
      </c>
      <c r="CQ70" s="264">
        <f t="shared" si="72"/>
        <v>1307</v>
      </c>
      <c r="CR70" s="264">
        <f t="shared" si="73"/>
        <v>517</v>
      </c>
      <c r="CS70" s="266">
        <f t="shared" si="74"/>
        <v>1338</v>
      </c>
      <c r="CT70" s="264">
        <f t="shared" si="75"/>
        <v>154</v>
      </c>
      <c r="CU70" s="264">
        <f t="shared" si="76"/>
        <v>714</v>
      </c>
      <c r="CV70" s="264">
        <f t="shared" si="77"/>
        <v>0</v>
      </c>
      <c r="CW70" s="264">
        <f t="shared" si="78"/>
        <v>114</v>
      </c>
      <c r="CX70" s="264">
        <f t="shared" si="79"/>
        <v>123</v>
      </c>
      <c r="CY70" s="264">
        <f t="shared" si="80"/>
        <v>1777</v>
      </c>
      <c r="CZ70" s="264">
        <f t="shared" si="81"/>
        <v>686</v>
      </c>
      <c r="DA70" s="265">
        <f t="shared" si="82"/>
        <v>1594</v>
      </c>
      <c r="DB70" s="264">
        <f t="shared" si="83"/>
        <v>116</v>
      </c>
      <c r="DC70" s="264">
        <f t="shared" si="84"/>
        <v>502</v>
      </c>
      <c r="DD70" s="264">
        <f t="shared" si="85"/>
        <v>0</v>
      </c>
      <c r="DE70" s="264">
        <f t="shared" si="86"/>
        <v>69</v>
      </c>
      <c r="DF70" s="264">
        <f t="shared" si="87"/>
        <v>71</v>
      </c>
      <c r="DG70" s="264">
        <f t="shared" si="88"/>
        <v>1147</v>
      </c>
      <c r="DH70" s="264">
        <f t="shared" si="89"/>
        <v>413</v>
      </c>
      <c r="DI70" s="265">
        <f t="shared" si="90"/>
        <v>802</v>
      </c>
      <c r="DJ70" s="264">
        <f t="shared" si="91"/>
        <v>138</v>
      </c>
      <c r="DK70" s="264">
        <f t="shared" si="92"/>
        <v>619</v>
      </c>
      <c r="DL70" s="264">
        <f t="shared" si="93"/>
        <v>0</v>
      </c>
      <c r="DM70" s="264">
        <f t="shared" si="94"/>
        <v>90</v>
      </c>
      <c r="DN70" s="264">
        <f t="shared" si="95"/>
        <v>98</v>
      </c>
      <c r="DO70" s="264">
        <f t="shared" si="96"/>
        <v>1461</v>
      </c>
      <c r="DP70" s="264">
        <f t="shared" si="97"/>
        <v>528</v>
      </c>
      <c r="DQ70" s="266">
        <f t="shared" si="98"/>
        <v>1199</v>
      </c>
      <c r="DR70" s="279">
        <f>INDEX('Rate Assumptions'!$A$1:$C$32,MATCH('Success Allocation'!DR$3,'Rate Assumptions'!$A$1:$A$32,0),MATCH($DR$1,'Rate Assumptions'!$A$1:$C$1,0))</f>
        <v>2291.7551696336809</v>
      </c>
      <c r="DS70" s="279">
        <f>INDEX('Rate Assumptions'!$A$1:$C$32,MATCH('Success Allocation'!DS$3,'Rate Assumptions'!$A$1:$A$32,0),MATCH($DR$1,'Rate Assumptions'!$A$1:$C$1,0))</f>
        <v>1718.8163772252606</v>
      </c>
      <c r="DT70" s="279">
        <f>INDEX('Rate Assumptions'!$A$1:$C$32,MATCH('Success Allocation'!DT$3,'Rate Assumptions'!$A$1:$A$32,0),MATCH($DR$1,'Rate Assumptions'!$A$1:$C$1,0))</f>
        <v>1718.8163772252606</v>
      </c>
      <c r="DU70" s="279">
        <f>INDEX('Rate Assumptions'!$A$1:$C$32,MATCH('Success Allocation'!DU$3,'Rate Assumptions'!$A$1:$A$32,0),MATCH($DR$1,'Rate Assumptions'!$A$1:$C$1,0))</f>
        <v>1145.8775848168405</v>
      </c>
      <c r="DV70" s="279">
        <f>INDEX('Rate Assumptions'!$A$1:$C$32,MATCH('Success Allocation'!DV$3,'Rate Assumptions'!$A$1:$A$32,0),MATCH($DR$1,'Rate Assumptions'!$A$1:$C$1,0))</f>
        <v>1145.8775848168405</v>
      </c>
      <c r="DW70" s="279">
        <f>INDEX('Rate Assumptions'!$A$1:$C$32,MATCH('Success Allocation'!DW$3,'Rate Assumptions'!$A$1:$A$32,0),MATCH($DR$1,'Rate Assumptions'!$A$1:$C$1,0))</f>
        <v>572.93879240842023</v>
      </c>
      <c r="DX70" s="279">
        <f>INDEX('Rate Assumptions'!$A$1:$C$32,MATCH('Success Allocation'!DX$3,'Rate Assumptions'!$A$1:$A$32,0),MATCH($DR$1,'Rate Assumptions'!$A$1:$C$1,0))</f>
        <v>859.40818861263028</v>
      </c>
      <c r="DY70" s="280">
        <f>INDEX('Rate Assumptions'!$A$1:$C$32,MATCH('Success Allocation'!DY$3,'Rate Assumptions'!$A$1:$A$32,0),MATCH($DR$1,'Rate Assumptions'!$A$1:$C$1,0))</f>
        <v>572.93879240842023</v>
      </c>
      <c r="DZ70" s="279">
        <f>INDEX('Rate Assumptions'!$A$1:$C$32,MATCH('Success Allocation'!DZ$3,'Rate Assumptions'!$A$1:$A$32,0),MATCH($DR$1,'Rate Assumptions'!$A$1:$C$1,0))</f>
        <v>866.31570658079204</v>
      </c>
      <c r="EA70" s="279">
        <f>INDEX('Rate Assumptions'!$A$1:$C$32,MATCH('Success Allocation'!EA$3,'Rate Assumptions'!$A$1:$A$32,0),MATCH($DR$1,'Rate Assumptions'!$A$1:$C$1,0))</f>
        <v>649.73677993559397</v>
      </c>
      <c r="EB70" s="279">
        <f>INDEX('Rate Assumptions'!$A$1:$C$32,MATCH('Success Allocation'!EB$3,'Rate Assumptions'!$A$1:$A$32,0),MATCH($DR$1,'Rate Assumptions'!$A$1:$C$1,0))</f>
        <v>649.73677993559397</v>
      </c>
      <c r="EC70" s="279">
        <f>INDEX('Rate Assumptions'!$A$1:$C$32,MATCH('Success Allocation'!EC$3,'Rate Assumptions'!$A$1:$A$32,0),MATCH($DR$1,'Rate Assumptions'!$A$1:$C$1,0))</f>
        <v>433.15785329039602</v>
      </c>
      <c r="ED70" s="279">
        <f>INDEX('Rate Assumptions'!$A$1:$C$32,MATCH('Success Allocation'!ED$3,'Rate Assumptions'!$A$1:$A$32,0),MATCH($DR$1,'Rate Assumptions'!$A$1:$C$1,0))</f>
        <v>433.15785329039602</v>
      </c>
      <c r="EE70" s="279">
        <f>INDEX('Rate Assumptions'!$A$1:$C$32,MATCH('Success Allocation'!EE$3,'Rate Assumptions'!$A$1:$A$32,0),MATCH($DR$1,'Rate Assumptions'!$A$1:$C$1,0))</f>
        <v>216.57892664519801</v>
      </c>
      <c r="EF70" s="279">
        <f>INDEX('Rate Assumptions'!$A$1:$C$32,MATCH('Success Allocation'!EF$3,'Rate Assumptions'!$A$1:$A$32,0),MATCH($DR$1,'Rate Assumptions'!$A$1:$C$1,0))</f>
        <v>324.86838996779699</v>
      </c>
      <c r="EG70" s="280">
        <f>INDEX('Rate Assumptions'!$A$1:$C$32,MATCH('Success Allocation'!EG$3,'Rate Assumptions'!$A$1:$A$32,0),MATCH($DR$1,'Rate Assumptions'!$A$1:$C$1,0))</f>
        <v>216.57892664519801</v>
      </c>
      <c r="EH70" s="279">
        <f>INDEX('Rate Assumptions'!$A$1:$C$32,MATCH('Success Allocation'!EH$3,'Rate Assumptions'!$A$1:$A$32,0),MATCH($DR$1,'Rate Assumptions'!$A$1:$C$1,0))</f>
        <v>577.54380438719465</v>
      </c>
      <c r="EI70" s="279">
        <f>INDEX('Rate Assumptions'!$A$1:$C$32,MATCH('Success Allocation'!EI$3,'Rate Assumptions'!$A$1:$A$32,0),MATCH($DR$1,'Rate Assumptions'!$A$1:$C$1,0))</f>
        <v>433.15785329039602</v>
      </c>
      <c r="EJ70" s="279">
        <f>INDEX('Rate Assumptions'!$A$1:$C$32,MATCH('Success Allocation'!EJ$3,'Rate Assumptions'!$A$1:$A$32,0),MATCH($DR$1,'Rate Assumptions'!$A$1:$C$1,0))</f>
        <v>433.15785329039602</v>
      </c>
      <c r="EK70" s="279">
        <f>INDEX('Rate Assumptions'!$A$1:$C$32,MATCH('Success Allocation'!EK$3,'Rate Assumptions'!$A$1:$A$32,0),MATCH($DR$1,'Rate Assumptions'!$A$1:$C$1,0))</f>
        <v>288.77190219359733</v>
      </c>
      <c r="EL70" s="279">
        <f>INDEX('Rate Assumptions'!$A$1:$C$32,MATCH('Success Allocation'!EL$3,'Rate Assumptions'!$A$1:$A$32,0),MATCH($DR$1,'Rate Assumptions'!$A$1:$C$1,0))</f>
        <v>288.77190219359733</v>
      </c>
      <c r="EM70" s="279">
        <f>INDEX('Rate Assumptions'!$A$1:$C$32,MATCH('Success Allocation'!EM$3,'Rate Assumptions'!$A$1:$A$32,0),MATCH($DR$1,'Rate Assumptions'!$A$1:$C$1,0))</f>
        <v>144.38595109679866</v>
      </c>
      <c r="EN70" s="279">
        <f>INDEX('Rate Assumptions'!$A$1:$C$32,MATCH('Success Allocation'!EN$3,'Rate Assumptions'!$A$1:$A$32,0),MATCH($DR$1,'Rate Assumptions'!$A$1:$C$1,0))</f>
        <v>216.57892664519801</v>
      </c>
      <c r="EO70" s="281">
        <f>INDEX('Rate Assumptions'!$A$1:$C$32,MATCH('Success Allocation'!EO$3,'Rate Assumptions'!$A$1:$A$32,0),MATCH($DR$1,'Rate Assumptions'!$A$1:$C$1,0))</f>
        <v>144.38595109679866</v>
      </c>
      <c r="EP70" s="170">
        <f t="shared" si="99"/>
        <v>6569004.4851233596</v>
      </c>
    </row>
    <row r="71" spans="1:146">
      <c r="A71" s="223" t="s">
        <v>158</v>
      </c>
      <c r="B71" s="226">
        <v>116</v>
      </c>
      <c r="C71" s="226">
        <v>585</v>
      </c>
      <c r="D71" s="226">
        <v>0</v>
      </c>
      <c r="E71" s="226">
        <v>109</v>
      </c>
      <c r="F71" s="226">
        <v>148</v>
      </c>
      <c r="G71" s="227">
        <v>983</v>
      </c>
      <c r="H71" s="226">
        <v>531</v>
      </c>
      <c r="I71" s="228">
        <v>885</v>
      </c>
      <c r="J71" s="226">
        <v>85</v>
      </c>
      <c r="K71" s="226">
        <v>396</v>
      </c>
      <c r="L71" s="226">
        <v>0</v>
      </c>
      <c r="M71" s="226">
        <v>85</v>
      </c>
      <c r="N71" s="226">
        <v>59</v>
      </c>
      <c r="O71" s="227">
        <v>666</v>
      </c>
      <c r="P71" s="226">
        <v>286</v>
      </c>
      <c r="Q71" s="228">
        <v>519</v>
      </c>
      <c r="R71" s="226">
        <v>106</v>
      </c>
      <c r="S71" s="226">
        <v>491</v>
      </c>
      <c r="T71" s="226">
        <v>0</v>
      </c>
      <c r="U71" s="226">
        <v>100</v>
      </c>
      <c r="V71" s="226">
        <v>81</v>
      </c>
      <c r="W71" s="227">
        <v>831</v>
      </c>
      <c r="X71" s="226">
        <v>363</v>
      </c>
      <c r="Y71" s="234">
        <v>703</v>
      </c>
      <c r="Z71" s="237">
        <v>200</v>
      </c>
      <c r="AA71" s="237">
        <v>576</v>
      </c>
      <c r="AB71" s="237">
        <v>0</v>
      </c>
      <c r="AC71" s="237">
        <v>155</v>
      </c>
      <c r="AD71" s="237">
        <v>115</v>
      </c>
      <c r="AE71" s="237">
        <v>939</v>
      </c>
      <c r="AF71" s="237">
        <v>581</v>
      </c>
      <c r="AG71" s="228">
        <v>935</v>
      </c>
      <c r="AH71" s="237">
        <v>140</v>
      </c>
      <c r="AI71" s="237">
        <v>408</v>
      </c>
      <c r="AJ71" s="237">
        <v>0</v>
      </c>
      <c r="AK71" s="237">
        <v>97</v>
      </c>
      <c r="AL71" s="237">
        <v>64</v>
      </c>
      <c r="AM71" s="237">
        <v>631</v>
      </c>
      <c r="AN71" s="237">
        <v>318</v>
      </c>
      <c r="AO71" s="228">
        <v>513</v>
      </c>
      <c r="AP71" s="237">
        <v>169</v>
      </c>
      <c r="AQ71" s="237">
        <v>499</v>
      </c>
      <c r="AR71" s="237">
        <v>0</v>
      </c>
      <c r="AS71" s="237">
        <v>130</v>
      </c>
      <c r="AT71" s="237">
        <v>78</v>
      </c>
      <c r="AU71" s="238">
        <v>785</v>
      </c>
      <c r="AV71" s="237">
        <v>415</v>
      </c>
      <c r="AW71" s="234">
        <v>734</v>
      </c>
      <c r="AX71" s="237"/>
      <c r="AY71" s="237"/>
      <c r="AZ71" s="237"/>
      <c r="BA71" s="237"/>
      <c r="BB71" s="237"/>
      <c r="BC71" s="237"/>
      <c r="BD71" s="237"/>
      <c r="BF71" s="237"/>
      <c r="BG71" s="237"/>
      <c r="BH71" s="237"/>
      <c r="BI71" s="237"/>
      <c r="BJ71" s="237"/>
      <c r="BK71" s="237"/>
      <c r="BL71" s="237"/>
      <c r="BN71" s="237"/>
      <c r="BO71" s="237"/>
      <c r="BP71" s="237"/>
      <c r="BQ71" s="237"/>
      <c r="BR71" s="237"/>
      <c r="BS71" s="238"/>
      <c r="BT71" s="237"/>
      <c r="BV71" s="264">
        <f t="shared" si="51"/>
        <v>284</v>
      </c>
      <c r="BW71" s="264">
        <f t="shared" si="52"/>
        <v>567</v>
      </c>
      <c r="BX71" s="264">
        <f t="shared" si="53"/>
        <v>0</v>
      </c>
      <c r="BY71" s="264">
        <f t="shared" si="54"/>
        <v>201</v>
      </c>
      <c r="BZ71" s="264">
        <f t="shared" si="55"/>
        <v>82</v>
      </c>
      <c r="CA71" s="264">
        <f t="shared" si="56"/>
        <v>895</v>
      </c>
      <c r="CB71" s="264">
        <f t="shared" si="57"/>
        <v>631</v>
      </c>
      <c r="CC71" s="265">
        <f t="shared" si="58"/>
        <v>985</v>
      </c>
      <c r="CD71" s="264">
        <f t="shared" si="59"/>
        <v>195</v>
      </c>
      <c r="CE71" s="264">
        <f t="shared" si="60"/>
        <v>420</v>
      </c>
      <c r="CF71" s="264">
        <f t="shared" si="61"/>
        <v>0</v>
      </c>
      <c r="CG71" s="264">
        <f t="shared" si="62"/>
        <v>109</v>
      </c>
      <c r="CH71" s="264">
        <f t="shared" si="63"/>
        <v>69</v>
      </c>
      <c r="CI71" s="264">
        <f t="shared" si="64"/>
        <v>596</v>
      </c>
      <c r="CJ71" s="264">
        <f t="shared" si="65"/>
        <v>350</v>
      </c>
      <c r="CK71" s="265">
        <f t="shared" si="66"/>
        <v>507</v>
      </c>
      <c r="CL71" s="264">
        <f t="shared" si="67"/>
        <v>232</v>
      </c>
      <c r="CM71" s="264">
        <f t="shared" si="68"/>
        <v>507</v>
      </c>
      <c r="CN71" s="264">
        <f t="shared" si="69"/>
        <v>0</v>
      </c>
      <c r="CO71" s="264">
        <f t="shared" si="70"/>
        <v>160</v>
      </c>
      <c r="CP71" s="264">
        <f t="shared" si="71"/>
        <v>75</v>
      </c>
      <c r="CQ71" s="264">
        <f t="shared" si="72"/>
        <v>739</v>
      </c>
      <c r="CR71" s="264">
        <f t="shared" si="73"/>
        <v>467</v>
      </c>
      <c r="CS71" s="266">
        <f t="shared" si="74"/>
        <v>765</v>
      </c>
      <c r="CT71" s="264">
        <f t="shared" si="75"/>
        <v>200</v>
      </c>
      <c r="CU71" s="264">
        <f t="shared" si="76"/>
        <v>576</v>
      </c>
      <c r="CV71" s="264">
        <f t="shared" si="77"/>
        <v>0</v>
      </c>
      <c r="CW71" s="264">
        <f t="shared" si="78"/>
        <v>155</v>
      </c>
      <c r="CX71" s="264">
        <f t="shared" si="79"/>
        <v>115</v>
      </c>
      <c r="CY71" s="264">
        <f t="shared" si="80"/>
        <v>939</v>
      </c>
      <c r="CZ71" s="264">
        <f t="shared" si="81"/>
        <v>581</v>
      </c>
      <c r="DA71" s="265">
        <f t="shared" si="82"/>
        <v>935</v>
      </c>
      <c r="DB71" s="264">
        <f t="shared" si="83"/>
        <v>140</v>
      </c>
      <c r="DC71" s="264">
        <f t="shared" si="84"/>
        <v>408</v>
      </c>
      <c r="DD71" s="264">
        <f t="shared" si="85"/>
        <v>0</v>
      </c>
      <c r="DE71" s="264">
        <f t="shared" si="86"/>
        <v>97</v>
      </c>
      <c r="DF71" s="264">
        <f t="shared" si="87"/>
        <v>64</v>
      </c>
      <c r="DG71" s="264">
        <f t="shared" si="88"/>
        <v>631</v>
      </c>
      <c r="DH71" s="264">
        <f t="shared" si="89"/>
        <v>318</v>
      </c>
      <c r="DI71" s="265">
        <f t="shared" si="90"/>
        <v>513</v>
      </c>
      <c r="DJ71" s="264">
        <f t="shared" si="91"/>
        <v>169</v>
      </c>
      <c r="DK71" s="264">
        <f t="shared" si="92"/>
        <v>499</v>
      </c>
      <c r="DL71" s="264">
        <f t="shared" si="93"/>
        <v>0</v>
      </c>
      <c r="DM71" s="264">
        <f t="shared" si="94"/>
        <v>130</v>
      </c>
      <c r="DN71" s="264">
        <f t="shared" si="95"/>
        <v>78</v>
      </c>
      <c r="DO71" s="264">
        <f t="shared" si="96"/>
        <v>785</v>
      </c>
      <c r="DP71" s="264">
        <f t="shared" si="97"/>
        <v>415</v>
      </c>
      <c r="DQ71" s="266">
        <f t="shared" si="98"/>
        <v>734</v>
      </c>
      <c r="DR71" s="279">
        <f>INDEX('Rate Assumptions'!$A$1:$C$32,MATCH('Success Allocation'!DR$3,'Rate Assumptions'!$A$1:$A$32,0),MATCH($DR$1,'Rate Assumptions'!$A$1:$C$1,0))</f>
        <v>2291.7551696336809</v>
      </c>
      <c r="DS71" s="279">
        <f>INDEX('Rate Assumptions'!$A$1:$C$32,MATCH('Success Allocation'!DS$3,'Rate Assumptions'!$A$1:$A$32,0),MATCH($DR$1,'Rate Assumptions'!$A$1:$C$1,0))</f>
        <v>1718.8163772252606</v>
      </c>
      <c r="DT71" s="279">
        <f>INDEX('Rate Assumptions'!$A$1:$C$32,MATCH('Success Allocation'!DT$3,'Rate Assumptions'!$A$1:$A$32,0),MATCH($DR$1,'Rate Assumptions'!$A$1:$C$1,0))</f>
        <v>1718.8163772252606</v>
      </c>
      <c r="DU71" s="279">
        <f>INDEX('Rate Assumptions'!$A$1:$C$32,MATCH('Success Allocation'!DU$3,'Rate Assumptions'!$A$1:$A$32,0),MATCH($DR$1,'Rate Assumptions'!$A$1:$C$1,0))</f>
        <v>1145.8775848168405</v>
      </c>
      <c r="DV71" s="279">
        <f>INDEX('Rate Assumptions'!$A$1:$C$32,MATCH('Success Allocation'!DV$3,'Rate Assumptions'!$A$1:$A$32,0),MATCH($DR$1,'Rate Assumptions'!$A$1:$C$1,0))</f>
        <v>1145.8775848168405</v>
      </c>
      <c r="DW71" s="279">
        <f>INDEX('Rate Assumptions'!$A$1:$C$32,MATCH('Success Allocation'!DW$3,'Rate Assumptions'!$A$1:$A$32,0),MATCH($DR$1,'Rate Assumptions'!$A$1:$C$1,0))</f>
        <v>572.93879240842023</v>
      </c>
      <c r="DX71" s="279">
        <f>INDEX('Rate Assumptions'!$A$1:$C$32,MATCH('Success Allocation'!DX$3,'Rate Assumptions'!$A$1:$A$32,0),MATCH($DR$1,'Rate Assumptions'!$A$1:$C$1,0))</f>
        <v>859.40818861263028</v>
      </c>
      <c r="DY71" s="280">
        <f>INDEX('Rate Assumptions'!$A$1:$C$32,MATCH('Success Allocation'!DY$3,'Rate Assumptions'!$A$1:$A$32,0),MATCH($DR$1,'Rate Assumptions'!$A$1:$C$1,0))</f>
        <v>572.93879240842023</v>
      </c>
      <c r="DZ71" s="279">
        <f>INDEX('Rate Assumptions'!$A$1:$C$32,MATCH('Success Allocation'!DZ$3,'Rate Assumptions'!$A$1:$A$32,0),MATCH($DR$1,'Rate Assumptions'!$A$1:$C$1,0))</f>
        <v>866.31570658079204</v>
      </c>
      <c r="EA71" s="279">
        <f>INDEX('Rate Assumptions'!$A$1:$C$32,MATCH('Success Allocation'!EA$3,'Rate Assumptions'!$A$1:$A$32,0),MATCH($DR$1,'Rate Assumptions'!$A$1:$C$1,0))</f>
        <v>649.73677993559397</v>
      </c>
      <c r="EB71" s="279">
        <f>INDEX('Rate Assumptions'!$A$1:$C$32,MATCH('Success Allocation'!EB$3,'Rate Assumptions'!$A$1:$A$32,0),MATCH($DR$1,'Rate Assumptions'!$A$1:$C$1,0))</f>
        <v>649.73677993559397</v>
      </c>
      <c r="EC71" s="279">
        <f>INDEX('Rate Assumptions'!$A$1:$C$32,MATCH('Success Allocation'!EC$3,'Rate Assumptions'!$A$1:$A$32,0),MATCH($DR$1,'Rate Assumptions'!$A$1:$C$1,0))</f>
        <v>433.15785329039602</v>
      </c>
      <c r="ED71" s="279">
        <f>INDEX('Rate Assumptions'!$A$1:$C$32,MATCH('Success Allocation'!ED$3,'Rate Assumptions'!$A$1:$A$32,0),MATCH($DR$1,'Rate Assumptions'!$A$1:$C$1,0))</f>
        <v>433.15785329039602</v>
      </c>
      <c r="EE71" s="279">
        <f>INDEX('Rate Assumptions'!$A$1:$C$32,MATCH('Success Allocation'!EE$3,'Rate Assumptions'!$A$1:$A$32,0),MATCH($DR$1,'Rate Assumptions'!$A$1:$C$1,0))</f>
        <v>216.57892664519801</v>
      </c>
      <c r="EF71" s="279">
        <f>INDEX('Rate Assumptions'!$A$1:$C$32,MATCH('Success Allocation'!EF$3,'Rate Assumptions'!$A$1:$A$32,0),MATCH($DR$1,'Rate Assumptions'!$A$1:$C$1,0))</f>
        <v>324.86838996779699</v>
      </c>
      <c r="EG71" s="280">
        <f>INDEX('Rate Assumptions'!$A$1:$C$32,MATCH('Success Allocation'!EG$3,'Rate Assumptions'!$A$1:$A$32,0),MATCH($DR$1,'Rate Assumptions'!$A$1:$C$1,0))</f>
        <v>216.57892664519801</v>
      </c>
      <c r="EH71" s="279">
        <f>INDEX('Rate Assumptions'!$A$1:$C$32,MATCH('Success Allocation'!EH$3,'Rate Assumptions'!$A$1:$A$32,0),MATCH($DR$1,'Rate Assumptions'!$A$1:$C$1,0))</f>
        <v>577.54380438719465</v>
      </c>
      <c r="EI71" s="279">
        <f>INDEX('Rate Assumptions'!$A$1:$C$32,MATCH('Success Allocation'!EI$3,'Rate Assumptions'!$A$1:$A$32,0),MATCH($DR$1,'Rate Assumptions'!$A$1:$C$1,0))</f>
        <v>433.15785329039602</v>
      </c>
      <c r="EJ71" s="279">
        <f>INDEX('Rate Assumptions'!$A$1:$C$32,MATCH('Success Allocation'!EJ$3,'Rate Assumptions'!$A$1:$A$32,0),MATCH($DR$1,'Rate Assumptions'!$A$1:$C$1,0))</f>
        <v>433.15785329039602</v>
      </c>
      <c r="EK71" s="279">
        <f>INDEX('Rate Assumptions'!$A$1:$C$32,MATCH('Success Allocation'!EK$3,'Rate Assumptions'!$A$1:$A$32,0),MATCH($DR$1,'Rate Assumptions'!$A$1:$C$1,0))</f>
        <v>288.77190219359733</v>
      </c>
      <c r="EL71" s="279">
        <f>INDEX('Rate Assumptions'!$A$1:$C$32,MATCH('Success Allocation'!EL$3,'Rate Assumptions'!$A$1:$A$32,0),MATCH($DR$1,'Rate Assumptions'!$A$1:$C$1,0))</f>
        <v>288.77190219359733</v>
      </c>
      <c r="EM71" s="279">
        <f>INDEX('Rate Assumptions'!$A$1:$C$32,MATCH('Success Allocation'!EM$3,'Rate Assumptions'!$A$1:$A$32,0),MATCH($DR$1,'Rate Assumptions'!$A$1:$C$1,0))</f>
        <v>144.38595109679866</v>
      </c>
      <c r="EN71" s="279">
        <f>INDEX('Rate Assumptions'!$A$1:$C$32,MATCH('Success Allocation'!EN$3,'Rate Assumptions'!$A$1:$A$32,0),MATCH($DR$1,'Rate Assumptions'!$A$1:$C$1,0))</f>
        <v>216.57892664519801</v>
      </c>
      <c r="EO71" s="281">
        <f>INDEX('Rate Assumptions'!$A$1:$C$32,MATCH('Success Allocation'!EO$3,'Rate Assumptions'!$A$1:$A$32,0),MATCH($DR$1,'Rate Assumptions'!$A$1:$C$1,0))</f>
        <v>144.38595109679866</v>
      </c>
      <c r="EP71" s="170">
        <f t="shared" si="99"/>
        <v>5180397.2285729768</v>
      </c>
    </row>
    <row r="72" spans="1:146">
      <c r="A72" s="223" t="s">
        <v>159</v>
      </c>
      <c r="B72" s="226">
        <v>95</v>
      </c>
      <c r="C72" s="226">
        <v>285</v>
      </c>
      <c r="D72" s="226">
        <v>0</v>
      </c>
      <c r="E72" s="226">
        <v>5</v>
      </c>
      <c r="F72" s="226">
        <v>36</v>
      </c>
      <c r="G72" s="227">
        <v>303</v>
      </c>
      <c r="H72" s="226">
        <v>315</v>
      </c>
      <c r="I72" s="228">
        <v>2184</v>
      </c>
      <c r="J72" s="226">
        <v>61</v>
      </c>
      <c r="K72" s="226">
        <v>162</v>
      </c>
      <c r="L72" s="226">
        <v>0</v>
      </c>
      <c r="M72" s="226">
        <v>1</v>
      </c>
      <c r="N72" s="226">
        <v>11</v>
      </c>
      <c r="O72" s="227">
        <v>178</v>
      </c>
      <c r="P72" s="226">
        <v>131</v>
      </c>
      <c r="Q72" s="228">
        <v>195</v>
      </c>
      <c r="R72" s="226">
        <v>73</v>
      </c>
      <c r="S72" s="226">
        <v>213</v>
      </c>
      <c r="T72" s="226">
        <v>0</v>
      </c>
      <c r="U72" s="226">
        <v>4</v>
      </c>
      <c r="V72" s="226">
        <v>20</v>
      </c>
      <c r="W72" s="227">
        <v>254</v>
      </c>
      <c r="X72" s="226">
        <v>188</v>
      </c>
      <c r="Y72" s="234">
        <v>331</v>
      </c>
      <c r="Z72" s="237">
        <v>101</v>
      </c>
      <c r="AA72" s="237">
        <v>277</v>
      </c>
      <c r="AB72" s="237">
        <v>0</v>
      </c>
      <c r="AC72" s="237">
        <v>6</v>
      </c>
      <c r="AD72" s="237">
        <v>53</v>
      </c>
      <c r="AE72" s="237">
        <v>313</v>
      </c>
      <c r="AF72" s="237">
        <v>309</v>
      </c>
      <c r="AG72" s="228">
        <v>3783</v>
      </c>
      <c r="AH72" s="237">
        <v>65</v>
      </c>
      <c r="AI72" s="237">
        <v>163</v>
      </c>
      <c r="AJ72" s="237">
        <v>0</v>
      </c>
      <c r="AK72" s="237">
        <v>4</v>
      </c>
      <c r="AL72" s="237">
        <v>24</v>
      </c>
      <c r="AM72" s="237">
        <v>185</v>
      </c>
      <c r="AN72" s="237">
        <v>134</v>
      </c>
      <c r="AO72" s="228">
        <v>217</v>
      </c>
      <c r="AP72" s="237">
        <v>85</v>
      </c>
      <c r="AQ72" s="237">
        <v>229</v>
      </c>
      <c r="AR72" s="237">
        <v>0</v>
      </c>
      <c r="AS72" s="237">
        <v>5</v>
      </c>
      <c r="AT72" s="237">
        <v>32</v>
      </c>
      <c r="AU72" s="238">
        <v>267</v>
      </c>
      <c r="AV72" s="237">
        <v>183</v>
      </c>
      <c r="AW72" s="234">
        <v>402</v>
      </c>
      <c r="AX72" s="237"/>
      <c r="AY72" s="237"/>
      <c r="AZ72" s="237"/>
      <c r="BA72" s="237"/>
      <c r="BB72" s="237"/>
      <c r="BC72" s="237"/>
      <c r="BD72" s="237"/>
      <c r="BF72" s="237"/>
      <c r="BG72" s="237"/>
      <c r="BH72" s="237"/>
      <c r="BI72" s="237"/>
      <c r="BJ72" s="237"/>
      <c r="BK72" s="237"/>
      <c r="BL72" s="237"/>
      <c r="BN72" s="237"/>
      <c r="BO72" s="237"/>
      <c r="BP72" s="237"/>
      <c r="BQ72" s="237"/>
      <c r="BR72" s="237"/>
      <c r="BS72" s="238"/>
      <c r="BT72" s="237"/>
      <c r="BV72" s="264">
        <f t="shared" si="51"/>
        <v>107</v>
      </c>
      <c r="BW72" s="264">
        <f t="shared" si="52"/>
        <v>269</v>
      </c>
      <c r="BX72" s="264">
        <f t="shared" si="53"/>
        <v>0</v>
      </c>
      <c r="BY72" s="264">
        <f t="shared" si="54"/>
        <v>7</v>
      </c>
      <c r="BZ72" s="264">
        <f t="shared" si="55"/>
        <v>70</v>
      </c>
      <c r="CA72" s="264">
        <f t="shared" si="56"/>
        <v>323</v>
      </c>
      <c r="CB72" s="264">
        <f t="shared" si="57"/>
        <v>303</v>
      </c>
      <c r="CC72" s="265">
        <f t="shared" si="58"/>
        <v>5382</v>
      </c>
      <c r="CD72" s="264">
        <f t="shared" si="59"/>
        <v>69</v>
      </c>
      <c r="CE72" s="264">
        <f t="shared" si="60"/>
        <v>164</v>
      </c>
      <c r="CF72" s="264">
        <f t="shared" si="61"/>
        <v>0</v>
      </c>
      <c r="CG72" s="264">
        <f t="shared" si="62"/>
        <v>7</v>
      </c>
      <c r="CH72" s="264">
        <f t="shared" si="63"/>
        <v>37</v>
      </c>
      <c r="CI72" s="264">
        <f t="shared" si="64"/>
        <v>192</v>
      </c>
      <c r="CJ72" s="264">
        <f t="shared" si="65"/>
        <v>137</v>
      </c>
      <c r="CK72" s="265">
        <f t="shared" si="66"/>
        <v>239</v>
      </c>
      <c r="CL72" s="264">
        <f t="shared" si="67"/>
        <v>97</v>
      </c>
      <c r="CM72" s="264">
        <f t="shared" si="68"/>
        <v>245</v>
      </c>
      <c r="CN72" s="264">
        <f t="shared" si="69"/>
        <v>0</v>
      </c>
      <c r="CO72" s="264">
        <f t="shared" si="70"/>
        <v>6</v>
      </c>
      <c r="CP72" s="264">
        <f t="shared" si="71"/>
        <v>44</v>
      </c>
      <c r="CQ72" s="264">
        <f t="shared" si="72"/>
        <v>280</v>
      </c>
      <c r="CR72" s="264">
        <f t="shared" si="73"/>
        <v>178</v>
      </c>
      <c r="CS72" s="266">
        <f t="shared" si="74"/>
        <v>473</v>
      </c>
      <c r="CT72" s="264">
        <f t="shared" si="75"/>
        <v>101</v>
      </c>
      <c r="CU72" s="264">
        <f t="shared" si="76"/>
        <v>277</v>
      </c>
      <c r="CV72" s="264">
        <f t="shared" si="77"/>
        <v>0</v>
      </c>
      <c r="CW72" s="264">
        <f t="shared" si="78"/>
        <v>6</v>
      </c>
      <c r="CX72" s="264">
        <f t="shared" si="79"/>
        <v>53</v>
      </c>
      <c r="CY72" s="264">
        <f t="shared" si="80"/>
        <v>313</v>
      </c>
      <c r="CZ72" s="264">
        <f t="shared" si="81"/>
        <v>309</v>
      </c>
      <c r="DA72" s="265">
        <f t="shared" si="82"/>
        <v>3783</v>
      </c>
      <c r="DB72" s="264">
        <f t="shared" si="83"/>
        <v>65</v>
      </c>
      <c r="DC72" s="264">
        <f t="shared" si="84"/>
        <v>163</v>
      </c>
      <c r="DD72" s="264">
        <f t="shared" si="85"/>
        <v>0</v>
      </c>
      <c r="DE72" s="264">
        <f t="shared" si="86"/>
        <v>4</v>
      </c>
      <c r="DF72" s="264">
        <f t="shared" si="87"/>
        <v>24</v>
      </c>
      <c r="DG72" s="264">
        <f t="shared" si="88"/>
        <v>185</v>
      </c>
      <c r="DH72" s="264">
        <f t="shared" si="89"/>
        <v>134</v>
      </c>
      <c r="DI72" s="265">
        <f t="shared" si="90"/>
        <v>217</v>
      </c>
      <c r="DJ72" s="264">
        <f t="shared" si="91"/>
        <v>85</v>
      </c>
      <c r="DK72" s="264">
        <f t="shared" si="92"/>
        <v>229</v>
      </c>
      <c r="DL72" s="264">
        <f t="shared" si="93"/>
        <v>0</v>
      </c>
      <c r="DM72" s="264">
        <f t="shared" si="94"/>
        <v>5</v>
      </c>
      <c r="DN72" s="264">
        <f t="shared" si="95"/>
        <v>32</v>
      </c>
      <c r="DO72" s="264">
        <f t="shared" si="96"/>
        <v>267</v>
      </c>
      <c r="DP72" s="264">
        <f t="shared" si="97"/>
        <v>183</v>
      </c>
      <c r="DQ72" s="266">
        <f t="shared" si="98"/>
        <v>402</v>
      </c>
      <c r="DR72" s="279">
        <f>INDEX('Rate Assumptions'!$A$1:$C$32,MATCH('Success Allocation'!DR$3,'Rate Assumptions'!$A$1:$A$32,0),MATCH($DR$1,'Rate Assumptions'!$A$1:$C$1,0))</f>
        <v>2291.7551696336809</v>
      </c>
      <c r="DS72" s="279">
        <f>INDEX('Rate Assumptions'!$A$1:$C$32,MATCH('Success Allocation'!DS$3,'Rate Assumptions'!$A$1:$A$32,0),MATCH($DR$1,'Rate Assumptions'!$A$1:$C$1,0))</f>
        <v>1718.8163772252606</v>
      </c>
      <c r="DT72" s="279">
        <f>INDEX('Rate Assumptions'!$A$1:$C$32,MATCH('Success Allocation'!DT$3,'Rate Assumptions'!$A$1:$A$32,0),MATCH($DR$1,'Rate Assumptions'!$A$1:$C$1,0))</f>
        <v>1718.8163772252606</v>
      </c>
      <c r="DU72" s="279">
        <f>INDEX('Rate Assumptions'!$A$1:$C$32,MATCH('Success Allocation'!DU$3,'Rate Assumptions'!$A$1:$A$32,0),MATCH($DR$1,'Rate Assumptions'!$A$1:$C$1,0))</f>
        <v>1145.8775848168405</v>
      </c>
      <c r="DV72" s="279">
        <f>INDEX('Rate Assumptions'!$A$1:$C$32,MATCH('Success Allocation'!DV$3,'Rate Assumptions'!$A$1:$A$32,0),MATCH($DR$1,'Rate Assumptions'!$A$1:$C$1,0))</f>
        <v>1145.8775848168405</v>
      </c>
      <c r="DW72" s="279">
        <f>INDEX('Rate Assumptions'!$A$1:$C$32,MATCH('Success Allocation'!DW$3,'Rate Assumptions'!$A$1:$A$32,0),MATCH($DR$1,'Rate Assumptions'!$A$1:$C$1,0))</f>
        <v>572.93879240842023</v>
      </c>
      <c r="DX72" s="279">
        <f>INDEX('Rate Assumptions'!$A$1:$C$32,MATCH('Success Allocation'!DX$3,'Rate Assumptions'!$A$1:$A$32,0),MATCH($DR$1,'Rate Assumptions'!$A$1:$C$1,0))</f>
        <v>859.40818861263028</v>
      </c>
      <c r="DY72" s="280">
        <f>INDEX('Rate Assumptions'!$A$1:$C$32,MATCH('Success Allocation'!DY$3,'Rate Assumptions'!$A$1:$A$32,0),MATCH($DR$1,'Rate Assumptions'!$A$1:$C$1,0))</f>
        <v>572.93879240842023</v>
      </c>
      <c r="DZ72" s="279">
        <f>INDEX('Rate Assumptions'!$A$1:$C$32,MATCH('Success Allocation'!DZ$3,'Rate Assumptions'!$A$1:$A$32,0),MATCH($DR$1,'Rate Assumptions'!$A$1:$C$1,0))</f>
        <v>866.31570658079204</v>
      </c>
      <c r="EA72" s="279">
        <f>INDEX('Rate Assumptions'!$A$1:$C$32,MATCH('Success Allocation'!EA$3,'Rate Assumptions'!$A$1:$A$32,0),MATCH($DR$1,'Rate Assumptions'!$A$1:$C$1,0))</f>
        <v>649.73677993559397</v>
      </c>
      <c r="EB72" s="279">
        <f>INDEX('Rate Assumptions'!$A$1:$C$32,MATCH('Success Allocation'!EB$3,'Rate Assumptions'!$A$1:$A$32,0),MATCH($DR$1,'Rate Assumptions'!$A$1:$C$1,0))</f>
        <v>649.73677993559397</v>
      </c>
      <c r="EC72" s="279">
        <f>INDEX('Rate Assumptions'!$A$1:$C$32,MATCH('Success Allocation'!EC$3,'Rate Assumptions'!$A$1:$A$32,0),MATCH($DR$1,'Rate Assumptions'!$A$1:$C$1,0))</f>
        <v>433.15785329039602</v>
      </c>
      <c r="ED72" s="279">
        <f>INDEX('Rate Assumptions'!$A$1:$C$32,MATCH('Success Allocation'!ED$3,'Rate Assumptions'!$A$1:$A$32,0),MATCH($DR$1,'Rate Assumptions'!$A$1:$C$1,0))</f>
        <v>433.15785329039602</v>
      </c>
      <c r="EE72" s="279">
        <f>INDEX('Rate Assumptions'!$A$1:$C$32,MATCH('Success Allocation'!EE$3,'Rate Assumptions'!$A$1:$A$32,0),MATCH($DR$1,'Rate Assumptions'!$A$1:$C$1,0))</f>
        <v>216.57892664519801</v>
      </c>
      <c r="EF72" s="279">
        <f>INDEX('Rate Assumptions'!$A$1:$C$32,MATCH('Success Allocation'!EF$3,'Rate Assumptions'!$A$1:$A$32,0),MATCH($DR$1,'Rate Assumptions'!$A$1:$C$1,0))</f>
        <v>324.86838996779699</v>
      </c>
      <c r="EG72" s="280">
        <f>INDEX('Rate Assumptions'!$A$1:$C$32,MATCH('Success Allocation'!EG$3,'Rate Assumptions'!$A$1:$A$32,0),MATCH($DR$1,'Rate Assumptions'!$A$1:$C$1,0))</f>
        <v>216.57892664519801</v>
      </c>
      <c r="EH72" s="279">
        <f>INDEX('Rate Assumptions'!$A$1:$C$32,MATCH('Success Allocation'!EH$3,'Rate Assumptions'!$A$1:$A$32,0),MATCH($DR$1,'Rate Assumptions'!$A$1:$C$1,0))</f>
        <v>577.54380438719465</v>
      </c>
      <c r="EI72" s="279">
        <f>INDEX('Rate Assumptions'!$A$1:$C$32,MATCH('Success Allocation'!EI$3,'Rate Assumptions'!$A$1:$A$32,0),MATCH($DR$1,'Rate Assumptions'!$A$1:$C$1,0))</f>
        <v>433.15785329039602</v>
      </c>
      <c r="EJ72" s="279">
        <f>INDEX('Rate Assumptions'!$A$1:$C$32,MATCH('Success Allocation'!EJ$3,'Rate Assumptions'!$A$1:$A$32,0),MATCH($DR$1,'Rate Assumptions'!$A$1:$C$1,0))</f>
        <v>433.15785329039602</v>
      </c>
      <c r="EK72" s="279">
        <f>INDEX('Rate Assumptions'!$A$1:$C$32,MATCH('Success Allocation'!EK$3,'Rate Assumptions'!$A$1:$A$32,0),MATCH($DR$1,'Rate Assumptions'!$A$1:$C$1,0))</f>
        <v>288.77190219359733</v>
      </c>
      <c r="EL72" s="279">
        <f>INDEX('Rate Assumptions'!$A$1:$C$32,MATCH('Success Allocation'!EL$3,'Rate Assumptions'!$A$1:$A$32,0),MATCH($DR$1,'Rate Assumptions'!$A$1:$C$1,0))</f>
        <v>288.77190219359733</v>
      </c>
      <c r="EM72" s="279">
        <f>INDEX('Rate Assumptions'!$A$1:$C$32,MATCH('Success Allocation'!EM$3,'Rate Assumptions'!$A$1:$A$32,0),MATCH($DR$1,'Rate Assumptions'!$A$1:$C$1,0))</f>
        <v>144.38595109679866</v>
      </c>
      <c r="EN72" s="279">
        <f>INDEX('Rate Assumptions'!$A$1:$C$32,MATCH('Success Allocation'!EN$3,'Rate Assumptions'!$A$1:$A$32,0),MATCH($DR$1,'Rate Assumptions'!$A$1:$C$1,0))</f>
        <v>216.57892664519801</v>
      </c>
      <c r="EO72" s="281">
        <f>INDEX('Rate Assumptions'!$A$1:$C$32,MATCH('Success Allocation'!EO$3,'Rate Assumptions'!$A$1:$A$32,0),MATCH($DR$1,'Rate Assumptions'!$A$1:$C$1,0))</f>
        <v>144.38595109679866</v>
      </c>
      <c r="EP72" s="170">
        <f t="shared" si="99"/>
        <v>4971930.2108230386</v>
      </c>
    </row>
    <row r="73" spans="1:146" ht="17.25">
      <c r="A73" s="223" t="s">
        <v>175</v>
      </c>
      <c r="B73" s="226">
        <v>484</v>
      </c>
      <c r="C73" s="226">
        <v>394</v>
      </c>
      <c r="D73" s="226">
        <v>0</v>
      </c>
      <c r="E73" s="226">
        <v>80</v>
      </c>
      <c r="F73" s="226">
        <v>276</v>
      </c>
      <c r="G73" s="227">
        <v>1911</v>
      </c>
      <c r="H73" s="226">
        <v>1892</v>
      </c>
      <c r="I73" s="228">
        <v>1979</v>
      </c>
      <c r="J73" s="226">
        <v>190</v>
      </c>
      <c r="K73" s="226">
        <v>168</v>
      </c>
      <c r="L73" s="226">
        <v>0</v>
      </c>
      <c r="M73" s="226">
        <v>25</v>
      </c>
      <c r="N73" s="226">
        <v>50</v>
      </c>
      <c r="O73" s="227">
        <v>571</v>
      </c>
      <c r="P73" s="226">
        <v>520</v>
      </c>
      <c r="Q73" s="228">
        <v>276</v>
      </c>
      <c r="R73" s="226">
        <v>261</v>
      </c>
      <c r="S73" s="226">
        <v>238</v>
      </c>
      <c r="T73" s="226">
        <v>0</v>
      </c>
      <c r="U73" s="226">
        <v>36</v>
      </c>
      <c r="V73" s="226">
        <v>73</v>
      </c>
      <c r="W73" s="227">
        <v>877</v>
      </c>
      <c r="X73" s="226">
        <v>835</v>
      </c>
      <c r="Y73" s="234">
        <v>603</v>
      </c>
      <c r="Z73" s="237">
        <v>560</v>
      </c>
      <c r="AA73" s="237">
        <v>448</v>
      </c>
      <c r="AB73" s="237">
        <v>0</v>
      </c>
      <c r="AC73" s="237">
        <v>108</v>
      </c>
      <c r="AD73" s="237">
        <v>295</v>
      </c>
      <c r="AE73" s="237">
        <v>1867</v>
      </c>
      <c r="AF73" s="237">
        <v>1795</v>
      </c>
      <c r="AG73" s="228">
        <v>1971</v>
      </c>
      <c r="AH73" s="237">
        <v>232</v>
      </c>
      <c r="AI73" s="237">
        <v>160</v>
      </c>
      <c r="AJ73" s="237">
        <v>0</v>
      </c>
      <c r="AK73" s="237">
        <v>38</v>
      </c>
      <c r="AL73" s="237">
        <v>54</v>
      </c>
      <c r="AM73" s="237">
        <v>515</v>
      </c>
      <c r="AN73" s="237">
        <v>478</v>
      </c>
      <c r="AO73" s="228">
        <v>268</v>
      </c>
      <c r="AP73" s="237">
        <v>320</v>
      </c>
      <c r="AQ73" s="237">
        <v>244</v>
      </c>
      <c r="AR73" s="237">
        <v>0</v>
      </c>
      <c r="AS73" s="237">
        <v>55</v>
      </c>
      <c r="AT73" s="237">
        <v>86</v>
      </c>
      <c r="AU73" s="238">
        <v>802</v>
      </c>
      <c r="AV73" s="237">
        <v>759</v>
      </c>
      <c r="AW73" s="234">
        <v>551</v>
      </c>
      <c r="AX73" s="237"/>
      <c r="AY73" s="237"/>
      <c r="AZ73" s="237"/>
      <c r="BA73" s="237"/>
      <c r="BB73" s="237"/>
      <c r="BC73" s="237"/>
      <c r="BD73" s="237"/>
      <c r="BF73" s="237"/>
      <c r="BG73" s="237"/>
      <c r="BH73" s="237"/>
      <c r="BI73" s="237"/>
      <c r="BJ73" s="237"/>
      <c r="BK73" s="237"/>
      <c r="BL73" s="237"/>
      <c r="BN73" s="237"/>
      <c r="BO73" s="237"/>
      <c r="BP73" s="237"/>
      <c r="BQ73" s="237"/>
      <c r="BR73" s="237"/>
      <c r="BS73" s="238"/>
      <c r="BT73" s="237"/>
      <c r="BV73" s="264">
        <f t="shared" si="51"/>
        <v>636</v>
      </c>
      <c r="BW73" s="264">
        <f t="shared" si="52"/>
        <v>502</v>
      </c>
      <c r="BX73" s="264">
        <f t="shared" si="53"/>
        <v>0</v>
      </c>
      <c r="BY73" s="264">
        <f t="shared" si="54"/>
        <v>136</v>
      </c>
      <c r="BZ73" s="264">
        <f t="shared" si="55"/>
        <v>314</v>
      </c>
      <c r="CA73" s="264">
        <f t="shared" si="56"/>
        <v>1823</v>
      </c>
      <c r="CB73" s="264">
        <f t="shared" si="57"/>
        <v>1698</v>
      </c>
      <c r="CC73" s="265">
        <f t="shared" si="58"/>
        <v>1963</v>
      </c>
      <c r="CD73" s="264">
        <f t="shared" si="59"/>
        <v>274</v>
      </c>
      <c r="CE73" s="264">
        <f t="shared" si="60"/>
        <v>152</v>
      </c>
      <c r="CF73" s="264">
        <f t="shared" si="61"/>
        <v>0</v>
      </c>
      <c r="CG73" s="264">
        <f t="shared" si="62"/>
        <v>51</v>
      </c>
      <c r="CH73" s="264">
        <f t="shared" si="63"/>
        <v>58</v>
      </c>
      <c r="CI73" s="264">
        <f t="shared" si="64"/>
        <v>459</v>
      </c>
      <c r="CJ73" s="264">
        <f t="shared" si="65"/>
        <v>436</v>
      </c>
      <c r="CK73" s="265">
        <f t="shared" si="66"/>
        <v>260</v>
      </c>
      <c r="CL73" s="264">
        <f t="shared" si="67"/>
        <v>379</v>
      </c>
      <c r="CM73" s="264">
        <f t="shared" si="68"/>
        <v>250</v>
      </c>
      <c r="CN73" s="264">
        <f t="shared" si="69"/>
        <v>0</v>
      </c>
      <c r="CO73" s="264">
        <f t="shared" si="70"/>
        <v>74</v>
      </c>
      <c r="CP73" s="264">
        <f t="shared" si="71"/>
        <v>99</v>
      </c>
      <c r="CQ73" s="264">
        <f t="shared" si="72"/>
        <v>727</v>
      </c>
      <c r="CR73" s="264">
        <f t="shared" si="73"/>
        <v>683</v>
      </c>
      <c r="CS73" s="266">
        <f t="shared" si="74"/>
        <v>499</v>
      </c>
      <c r="CT73" s="264">
        <f t="shared" si="75"/>
        <v>560</v>
      </c>
      <c r="CU73" s="264">
        <f t="shared" si="76"/>
        <v>448</v>
      </c>
      <c r="CV73" s="264">
        <f t="shared" si="77"/>
        <v>0</v>
      </c>
      <c r="CW73" s="264">
        <f t="shared" si="78"/>
        <v>108</v>
      </c>
      <c r="CX73" s="264">
        <f t="shared" si="79"/>
        <v>295</v>
      </c>
      <c r="CY73" s="264">
        <f t="shared" si="80"/>
        <v>1867</v>
      </c>
      <c r="CZ73" s="264">
        <f t="shared" si="81"/>
        <v>1795</v>
      </c>
      <c r="DA73" s="265">
        <f t="shared" si="82"/>
        <v>1971</v>
      </c>
      <c r="DB73" s="264">
        <f t="shared" si="83"/>
        <v>232</v>
      </c>
      <c r="DC73" s="264">
        <f t="shared" si="84"/>
        <v>160</v>
      </c>
      <c r="DD73" s="264">
        <f t="shared" si="85"/>
        <v>0</v>
      </c>
      <c r="DE73" s="264">
        <f t="shared" si="86"/>
        <v>38</v>
      </c>
      <c r="DF73" s="264">
        <f t="shared" si="87"/>
        <v>54</v>
      </c>
      <c r="DG73" s="264">
        <f t="shared" si="88"/>
        <v>515</v>
      </c>
      <c r="DH73" s="264">
        <f t="shared" si="89"/>
        <v>478</v>
      </c>
      <c r="DI73" s="265">
        <f t="shared" si="90"/>
        <v>268</v>
      </c>
      <c r="DJ73" s="264">
        <f t="shared" si="91"/>
        <v>320</v>
      </c>
      <c r="DK73" s="264">
        <f t="shared" si="92"/>
        <v>244</v>
      </c>
      <c r="DL73" s="264">
        <f t="shared" si="93"/>
        <v>0</v>
      </c>
      <c r="DM73" s="264">
        <f t="shared" si="94"/>
        <v>55</v>
      </c>
      <c r="DN73" s="264">
        <f t="shared" si="95"/>
        <v>86</v>
      </c>
      <c r="DO73" s="264">
        <f t="shared" si="96"/>
        <v>802</v>
      </c>
      <c r="DP73" s="264">
        <f t="shared" si="97"/>
        <v>759</v>
      </c>
      <c r="DQ73" s="266">
        <f t="shared" si="98"/>
        <v>551</v>
      </c>
      <c r="DR73" s="279">
        <f>INDEX('Rate Assumptions'!$A$1:$C$32,MATCH('Success Allocation'!DR$3,'Rate Assumptions'!$A$1:$A$32,0),MATCH($DR$1,'Rate Assumptions'!$A$1:$C$1,0))</f>
        <v>2291.7551696336809</v>
      </c>
      <c r="DS73" s="279">
        <f>INDEX('Rate Assumptions'!$A$1:$C$32,MATCH('Success Allocation'!DS$3,'Rate Assumptions'!$A$1:$A$32,0),MATCH($DR$1,'Rate Assumptions'!$A$1:$C$1,0))</f>
        <v>1718.8163772252606</v>
      </c>
      <c r="DT73" s="279">
        <f>INDEX('Rate Assumptions'!$A$1:$C$32,MATCH('Success Allocation'!DT$3,'Rate Assumptions'!$A$1:$A$32,0),MATCH($DR$1,'Rate Assumptions'!$A$1:$C$1,0))</f>
        <v>1718.8163772252606</v>
      </c>
      <c r="DU73" s="279">
        <f>INDEX('Rate Assumptions'!$A$1:$C$32,MATCH('Success Allocation'!DU$3,'Rate Assumptions'!$A$1:$A$32,0),MATCH($DR$1,'Rate Assumptions'!$A$1:$C$1,0))</f>
        <v>1145.8775848168405</v>
      </c>
      <c r="DV73" s="279">
        <f>INDEX('Rate Assumptions'!$A$1:$C$32,MATCH('Success Allocation'!DV$3,'Rate Assumptions'!$A$1:$A$32,0),MATCH($DR$1,'Rate Assumptions'!$A$1:$C$1,0))</f>
        <v>1145.8775848168405</v>
      </c>
      <c r="DW73" s="279">
        <f>INDEX('Rate Assumptions'!$A$1:$C$32,MATCH('Success Allocation'!DW$3,'Rate Assumptions'!$A$1:$A$32,0),MATCH($DR$1,'Rate Assumptions'!$A$1:$C$1,0))</f>
        <v>572.93879240842023</v>
      </c>
      <c r="DX73" s="279">
        <f>INDEX('Rate Assumptions'!$A$1:$C$32,MATCH('Success Allocation'!DX$3,'Rate Assumptions'!$A$1:$A$32,0),MATCH($DR$1,'Rate Assumptions'!$A$1:$C$1,0))</f>
        <v>859.40818861263028</v>
      </c>
      <c r="DY73" s="280">
        <f>INDEX('Rate Assumptions'!$A$1:$C$32,MATCH('Success Allocation'!DY$3,'Rate Assumptions'!$A$1:$A$32,0),MATCH($DR$1,'Rate Assumptions'!$A$1:$C$1,0))</f>
        <v>572.93879240842023</v>
      </c>
      <c r="DZ73" s="279">
        <f>INDEX('Rate Assumptions'!$A$1:$C$32,MATCH('Success Allocation'!DZ$3,'Rate Assumptions'!$A$1:$A$32,0),MATCH($DR$1,'Rate Assumptions'!$A$1:$C$1,0))</f>
        <v>866.31570658079204</v>
      </c>
      <c r="EA73" s="279">
        <f>INDEX('Rate Assumptions'!$A$1:$C$32,MATCH('Success Allocation'!EA$3,'Rate Assumptions'!$A$1:$A$32,0),MATCH($DR$1,'Rate Assumptions'!$A$1:$C$1,0))</f>
        <v>649.73677993559397</v>
      </c>
      <c r="EB73" s="279">
        <f>INDEX('Rate Assumptions'!$A$1:$C$32,MATCH('Success Allocation'!EB$3,'Rate Assumptions'!$A$1:$A$32,0),MATCH($DR$1,'Rate Assumptions'!$A$1:$C$1,0))</f>
        <v>649.73677993559397</v>
      </c>
      <c r="EC73" s="279">
        <f>INDEX('Rate Assumptions'!$A$1:$C$32,MATCH('Success Allocation'!EC$3,'Rate Assumptions'!$A$1:$A$32,0),MATCH($DR$1,'Rate Assumptions'!$A$1:$C$1,0))</f>
        <v>433.15785329039602</v>
      </c>
      <c r="ED73" s="279">
        <f>INDEX('Rate Assumptions'!$A$1:$C$32,MATCH('Success Allocation'!ED$3,'Rate Assumptions'!$A$1:$A$32,0),MATCH($DR$1,'Rate Assumptions'!$A$1:$C$1,0))</f>
        <v>433.15785329039602</v>
      </c>
      <c r="EE73" s="279">
        <f>INDEX('Rate Assumptions'!$A$1:$C$32,MATCH('Success Allocation'!EE$3,'Rate Assumptions'!$A$1:$A$32,0),MATCH($DR$1,'Rate Assumptions'!$A$1:$C$1,0))</f>
        <v>216.57892664519801</v>
      </c>
      <c r="EF73" s="279">
        <f>INDEX('Rate Assumptions'!$A$1:$C$32,MATCH('Success Allocation'!EF$3,'Rate Assumptions'!$A$1:$A$32,0),MATCH($DR$1,'Rate Assumptions'!$A$1:$C$1,0))</f>
        <v>324.86838996779699</v>
      </c>
      <c r="EG73" s="280">
        <f>INDEX('Rate Assumptions'!$A$1:$C$32,MATCH('Success Allocation'!EG$3,'Rate Assumptions'!$A$1:$A$32,0),MATCH($DR$1,'Rate Assumptions'!$A$1:$C$1,0))</f>
        <v>216.57892664519801</v>
      </c>
      <c r="EH73" s="279">
        <f>INDEX('Rate Assumptions'!$A$1:$C$32,MATCH('Success Allocation'!EH$3,'Rate Assumptions'!$A$1:$A$32,0),MATCH($DR$1,'Rate Assumptions'!$A$1:$C$1,0))</f>
        <v>577.54380438719465</v>
      </c>
      <c r="EI73" s="279">
        <f>INDEX('Rate Assumptions'!$A$1:$C$32,MATCH('Success Allocation'!EI$3,'Rate Assumptions'!$A$1:$A$32,0),MATCH($DR$1,'Rate Assumptions'!$A$1:$C$1,0))</f>
        <v>433.15785329039602</v>
      </c>
      <c r="EJ73" s="279">
        <f>INDEX('Rate Assumptions'!$A$1:$C$32,MATCH('Success Allocation'!EJ$3,'Rate Assumptions'!$A$1:$A$32,0),MATCH($DR$1,'Rate Assumptions'!$A$1:$C$1,0))</f>
        <v>433.15785329039602</v>
      </c>
      <c r="EK73" s="279">
        <f>INDEX('Rate Assumptions'!$A$1:$C$32,MATCH('Success Allocation'!EK$3,'Rate Assumptions'!$A$1:$A$32,0),MATCH($DR$1,'Rate Assumptions'!$A$1:$C$1,0))</f>
        <v>288.77190219359733</v>
      </c>
      <c r="EL73" s="279">
        <f>INDEX('Rate Assumptions'!$A$1:$C$32,MATCH('Success Allocation'!EL$3,'Rate Assumptions'!$A$1:$A$32,0),MATCH($DR$1,'Rate Assumptions'!$A$1:$C$1,0))</f>
        <v>288.77190219359733</v>
      </c>
      <c r="EM73" s="279">
        <f>INDEX('Rate Assumptions'!$A$1:$C$32,MATCH('Success Allocation'!EM$3,'Rate Assumptions'!$A$1:$A$32,0),MATCH($DR$1,'Rate Assumptions'!$A$1:$C$1,0))</f>
        <v>144.38595109679866</v>
      </c>
      <c r="EN73" s="279">
        <f>INDEX('Rate Assumptions'!$A$1:$C$32,MATCH('Success Allocation'!EN$3,'Rate Assumptions'!$A$1:$A$32,0),MATCH($DR$1,'Rate Assumptions'!$A$1:$C$1,0))</f>
        <v>216.57892664519801</v>
      </c>
      <c r="EO73" s="281">
        <f>INDEX('Rate Assumptions'!$A$1:$C$32,MATCH('Success Allocation'!EO$3,'Rate Assumptions'!$A$1:$A$32,0),MATCH($DR$1,'Rate Assumptions'!$A$1:$C$1,0))</f>
        <v>144.38595109679866</v>
      </c>
      <c r="EP73" s="170">
        <f t="shared" si="99"/>
        <v>7847252.6483982466</v>
      </c>
    </row>
    <row r="74" spans="1:146">
      <c r="A74" s="223" t="s">
        <v>160</v>
      </c>
      <c r="B74" s="226">
        <v>415</v>
      </c>
      <c r="C74" s="226">
        <v>941</v>
      </c>
      <c r="D74" s="226">
        <v>0</v>
      </c>
      <c r="E74" s="226">
        <v>136</v>
      </c>
      <c r="F74" s="226">
        <v>62</v>
      </c>
      <c r="G74" s="227">
        <v>2995</v>
      </c>
      <c r="H74" s="226">
        <v>1458</v>
      </c>
      <c r="I74" s="228">
        <v>3095</v>
      </c>
      <c r="J74" s="226">
        <v>270</v>
      </c>
      <c r="K74" s="226">
        <v>569</v>
      </c>
      <c r="L74" s="226">
        <v>0</v>
      </c>
      <c r="M74" s="226">
        <v>90</v>
      </c>
      <c r="N74" s="226">
        <v>19</v>
      </c>
      <c r="O74" s="227">
        <v>1722</v>
      </c>
      <c r="P74" s="226">
        <v>756</v>
      </c>
      <c r="Q74" s="228">
        <v>1283</v>
      </c>
      <c r="R74" s="226">
        <v>339</v>
      </c>
      <c r="S74" s="226">
        <v>752</v>
      </c>
      <c r="T74" s="226">
        <v>0</v>
      </c>
      <c r="U74" s="226">
        <v>109</v>
      </c>
      <c r="V74" s="226">
        <v>34</v>
      </c>
      <c r="W74" s="227">
        <v>2331</v>
      </c>
      <c r="X74" s="226">
        <v>1092</v>
      </c>
      <c r="Y74" s="234">
        <v>2087</v>
      </c>
      <c r="Z74" s="237">
        <v>523</v>
      </c>
      <c r="AA74" s="237">
        <v>1039</v>
      </c>
      <c r="AB74" s="237">
        <v>0</v>
      </c>
      <c r="AC74" s="237">
        <v>202</v>
      </c>
      <c r="AD74" s="237">
        <v>77</v>
      </c>
      <c r="AE74" s="237">
        <v>2865</v>
      </c>
      <c r="AF74" s="237">
        <v>1519</v>
      </c>
      <c r="AG74" s="228">
        <v>3314</v>
      </c>
      <c r="AH74" s="237">
        <v>308</v>
      </c>
      <c r="AI74" s="237">
        <v>622</v>
      </c>
      <c r="AJ74" s="237">
        <v>0</v>
      </c>
      <c r="AK74" s="237">
        <v>113</v>
      </c>
      <c r="AL74" s="237">
        <v>35</v>
      </c>
      <c r="AM74" s="237">
        <v>1560</v>
      </c>
      <c r="AN74" s="237">
        <v>783</v>
      </c>
      <c r="AO74" s="228">
        <v>1354</v>
      </c>
      <c r="AP74" s="237">
        <v>415</v>
      </c>
      <c r="AQ74" s="237">
        <v>838</v>
      </c>
      <c r="AR74" s="237">
        <v>0</v>
      </c>
      <c r="AS74" s="237">
        <v>156</v>
      </c>
      <c r="AT74" s="237">
        <v>49</v>
      </c>
      <c r="AU74" s="238">
        <v>2150</v>
      </c>
      <c r="AV74" s="237">
        <v>1119</v>
      </c>
      <c r="AW74" s="234">
        <v>2199</v>
      </c>
      <c r="AX74" s="237"/>
      <c r="AY74" s="237"/>
      <c r="AZ74" s="237"/>
      <c r="BA74" s="237"/>
      <c r="BB74" s="237"/>
      <c r="BC74" s="237"/>
      <c r="BD74" s="237"/>
      <c r="BF74" s="237"/>
      <c r="BG74" s="237"/>
      <c r="BH74" s="237"/>
      <c r="BI74" s="237"/>
      <c r="BJ74" s="237"/>
      <c r="BK74" s="237"/>
      <c r="BL74" s="237"/>
      <c r="BN74" s="237"/>
      <c r="BO74" s="237"/>
      <c r="BP74" s="237"/>
      <c r="BQ74" s="237"/>
      <c r="BR74" s="237"/>
      <c r="BS74" s="238"/>
      <c r="BT74" s="237"/>
      <c r="BV74" s="264">
        <f t="shared" si="51"/>
        <v>631</v>
      </c>
      <c r="BW74" s="264">
        <f t="shared" si="52"/>
        <v>1137</v>
      </c>
      <c r="BX74" s="264">
        <f t="shared" si="53"/>
        <v>0</v>
      </c>
      <c r="BY74" s="264">
        <f t="shared" si="54"/>
        <v>268</v>
      </c>
      <c r="BZ74" s="264">
        <f t="shared" si="55"/>
        <v>92</v>
      </c>
      <c r="CA74" s="264">
        <f t="shared" si="56"/>
        <v>2735</v>
      </c>
      <c r="CB74" s="264">
        <f t="shared" si="57"/>
        <v>1580</v>
      </c>
      <c r="CC74" s="265">
        <f t="shared" si="58"/>
        <v>3533</v>
      </c>
      <c r="CD74" s="264">
        <f t="shared" si="59"/>
        <v>346</v>
      </c>
      <c r="CE74" s="264">
        <f t="shared" si="60"/>
        <v>675</v>
      </c>
      <c r="CF74" s="264">
        <f t="shared" si="61"/>
        <v>0</v>
      </c>
      <c r="CG74" s="264">
        <f t="shared" si="62"/>
        <v>136</v>
      </c>
      <c r="CH74" s="264">
        <f t="shared" si="63"/>
        <v>51</v>
      </c>
      <c r="CI74" s="264">
        <f t="shared" si="64"/>
        <v>1398</v>
      </c>
      <c r="CJ74" s="264">
        <f t="shared" si="65"/>
        <v>810</v>
      </c>
      <c r="CK74" s="265">
        <f t="shared" si="66"/>
        <v>1425</v>
      </c>
      <c r="CL74" s="264">
        <f t="shared" si="67"/>
        <v>491</v>
      </c>
      <c r="CM74" s="264">
        <f t="shared" si="68"/>
        <v>924</v>
      </c>
      <c r="CN74" s="264">
        <f t="shared" si="69"/>
        <v>0</v>
      </c>
      <c r="CO74" s="264">
        <f t="shared" si="70"/>
        <v>203</v>
      </c>
      <c r="CP74" s="264">
        <f t="shared" si="71"/>
        <v>64</v>
      </c>
      <c r="CQ74" s="264">
        <f t="shared" si="72"/>
        <v>1969</v>
      </c>
      <c r="CR74" s="264">
        <f t="shared" si="73"/>
        <v>1146</v>
      </c>
      <c r="CS74" s="266">
        <f t="shared" si="74"/>
        <v>2311</v>
      </c>
      <c r="CT74" s="264">
        <f t="shared" si="75"/>
        <v>523</v>
      </c>
      <c r="CU74" s="264">
        <f t="shared" si="76"/>
        <v>1039</v>
      </c>
      <c r="CV74" s="264">
        <f t="shared" si="77"/>
        <v>0</v>
      </c>
      <c r="CW74" s="264">
        <f t="shared" si="78"/>
        <v>202</v>
      </c>
      <c r="CX74" s="264">
        <f t="shared" si="79"/>
        <v>77</v>
      </c>
      <c r="CY74" s="264">
        <f t="shared" si="80"/>
        <v>2865</v>
      </c>
      <c r="CZ74" s="264">
        <f t="shared" si="81"/>
        <v>1519</v>
      </c>
      <c r="DA74" s="265">
        <f t="shared" si="82"/>
        <v>3314</v>
      </c>
      <c r="DB74" s="264">
        <f t="shared" si="83"/>
        <v>308</v>
      </c>
      <c r="DC74" s="264">
        <f t="shared" si="84"/>
        <v>622</v>
      </c>
      <c r="DD74" s="264">
        <f t="shared" si="85"/>
        <v>0</v>
      </c>
      <c r="DE74" s="264">
        <f t="shared" si="86"/>
        <v>113</v>
      </c>
      <c r="DF74" s="264">
        <f t="shared" si="87"/>
        <v>35</v>
      </c>
      <c r="DG74" s="264">
        <f t="shared" si="88"/>
        <v>1560</v>
      </c>
      <c r="DH74" s="264">
        <f t="shared" si="89"/>
        <v>783</v>
      </c>
      <c r="DI74" s="265">
        <f t="shared" si="90"/>
        <v>1354</v>
      </c>
      <c r="DJ74" s="264">
        <f t="shared" si="91"/>
        <v>415</v>
      </c>
      <c r="DK74" s="264">
        <f t="shared" si="92"/>
        <v>838</v>
      </c>
      <c r="DL74" s="264">
        <f t="shared" si="93"/>
        <v>0</v>
      </c>
      <c r="DM74" s="264">
        <f t="shared" si="94"/>
        <v>156</v>
      </c>
      <c r="DN74" s="264">
        <f t="shared" si="95"/>
        <v>49</v>
      </c>
      <c r="DO74" s="264">
        <f t="shared" si="96"/>
        <v>2150</v>
      </c>
      <c r="DP74" s="264">
        <f t="shared" si="97"/>
        <v>1119</v>
      </c>
      <c r="DQ74" s="266">
        <f t="shared" si="98"/>
        <v>2199</v>
      </c>
      <c r="DR74" s="279">
        <f>INDEX('Rate Assumptions'!$A$1:$C$32,MATCH('Success Allocation'!DR$3,'Rate Assumptions'!$A$1:$A$32,0),MATCH($DR$1,'Rate Assumptions'!$A$1:$C$1,0))</f>
        <v>2291.7551696336809</v>
      </c>
      <c r="DS74" s="279">
        <f>INDEX('Rate Assumptions'!$A$1:$C$32,MATCH('Success Allocation'!DS$3,'Rate Assumptions'!$A$1:$A$32,0),MATCH($DR$1,'Rate Assumptions'!$A$1:$C$1,0))</f>
        <v>1718.8163772252606</v>
      </c>
      <c r="DT74" s="279">
        <f>INDEX('Rate Assumptions'!$A$1:$C$32,MATCH('Success Allocation'!DT$3,'Rate Assumptions'!$A$1:$A$32,0),MATCH($DR$1,'Rate Assumptions'!$A$1:$C$1,0))</f>
        <v>1718.8163772252606</v>
      </c>
      <c r="DU74" s="279">
        <f>INDEX('Rate Assumptions'!$A$1:$C$32,MATCH('Success Allocation'!DU$3,'Rate Assumptions'!$A$1:$A$32,0),MATCH($DR$1,'Rate Assumptions'!$A$1:$C$1,0))</f>
        <v>1145.8775848168405</v>
      </c>
      <c r="DV74" s="279">
        <f>INDEX('Rate Assumptions'!$A$1:$C$32,MATCH('Success Allocation'!DV$3,'Rate Assumptions'!$A$1:$A$32,0),MATCH($DR$1,'Rate Assumptions'!$A$1:$C$1,0))</f>
        <v>1145.8775848168405</v>
      </c>
      <c r="DW74" s="279">
        <f>INDEX('Rate Assumptions'!$A$1:$C$32,MATCH('Success Allocation'!DW$3,'Rate Assumptions'!$A$1:$A$32,0),MATCH($DR$1,'Rate Assumptions'!$A$1:$C$1,0))</f>
        <v>572.93879240842023</v>
      </c>
      <c r="DX74" s="279">
        <f>INDEX('Rate Assumptions'!$A$1:$C$32,MATCH('Success Allocation'!DX$3,'Rate Assumptions'!$A$1:$A$32,0),MATCH($DR$1,'Rate Assumptions'!$A$1:$C$1,0))</f>
        <v>859.40818861263028</v>
      </c>
      <c r="DY74" s="280">
        <f>INDEX('Rate Assumptions'!$A$1:$C$32,MATCH('Success Allocation'!DY$3,'Rate Assumptions'!$A$1:$A$32,0),MATCH($DR$1,'Rate Assumptions'!$A$1:$C$1,0))</f>
        <v>572.93879240842023</v>
      </c>
      <c r="DZ74" s="279">
        <f>INDEX('Rate Assumptions'!$A$1:$C$32,MATCH('Success Allocation'!DZ$3,'Rate Assumptions'!$A$1:$A$32,0),MATCH($DR$1,'Rate Assumptions'!$A$1:$C$1,0))</f>
        <v>866.31570658079204</v>
      </c>
      <c r="EA74" s="279">
        <f>INDEX('Rate Assumptions'!$A$1:$C$32,MATCH('Success Allocation'!EA$3,'Rate Assumptions'!$A$1:$A$32,0),MATCH($DR$1,'Rate Assumptions'!$A$1:$C$1,0))</f>
        <v>649.73677993559397</v>
      </c>
      <c r="EB74" s="279">
        <f>INDEX('Rate Assumptions'!$A$1:$C$32,MATCH('Success Allocation'!EB$3,'Rate Assumptions'!$A$1:$A$32,0),MATCH($DR$1,'Rate Assumptions'!$A$1:$C$1,0))</f>
        <v>649.73677993559397</v>
      </c>
      <c r="EC74" s="279">
        <f>INDEX('Rate Assumptions'!$A$1:$C$32,MATCH('Success Allocation'!EC$3,'Rate Assumptions'!$A$1:$A$32,0),MATCH($DR$1,'Rate Assumptions'!$A$1:$C$1,0))</f>
        <v>433.15785329039602</v>
      </c>
      <c r="ED74" s="279">
        <f>INDEX('Rate Assumptions'!$A$1:$C$32,MATCH('Success Allocation'!ED$3,'Rate Assumptions'!$A$1:$A$32,0),MATCH($DR$1,'Rate Assumptions'!$A$1:$C$1,0))</f>
        <v>433.15785329039602</v>
      </c>
      <c r="EE74" s="279">
        <f>INDEX('Rate Assumptions'!$A$1:$C$32,MATCH('Success Allocation'!EE$3,'Rate Assumptions'!$A$1:$A$32,0),MATCH($DR$1,'Rate Assumptions'!$A$1:$C$1,0))</f>
        <v>216.57892664519801</v>
      </c>
      <c r="EF74" s="279">
        <f>INDEX('Rate Assumptions'!$A$1:$C$32,MATCH('Success Allocation'!EF$3,'Rate Assumptions'!$A$1:$A$32,0),MATCH($DR$1,'Rate Assumptions'!$A$1:$C$1,0))</f>
        <v>324.86838996779699</v>
      </c>
      <c r="EG74" s="280">
        <f>INDEX('Rate Assumptions'!$A$1:$C$32,MATCH('Success Allocation'!EG$3,'Rate Assumptions'!$A$1:$A$32,0),MATCH($DR$1,'Rate Assumptions'!$A$1:$C$1,0))</f>
        <v>216.57892664519801</v>
      </c>
      <c r="EH74" s="279">
        <f>INDEX('Rate Assumptions'!$A$1:$C$32,MATCH('Success Allocation'!EH$3,'Rate Assumptions'!$A$1:$A$32,0),MATCH($DR$1,'Rate Assumptions'!$A$1:$C$1,0))</f>
        <v>577.54380438719465</v>
      </c>
      <c r="EI74" s="279">
        <f>INDEX('Rate Assumptions'!$A$1:$C$32,MATCH('Success Allocation'!EI$3,'Rate Assumptions'!$A$1:$A$32,0),MATCH($DR$1,'Rate Assumptions'!$A$1:$C$1,0))</f>
        <v>433.15785329039602</v>
      </c>
      <c r="EJ74" s="279">
        <f>INDEX('Rate Assumptions'!$A$1:$C$32,MATCH('Success Allocation'!EJ$3,'Rate Assumptions'!$A$1:$A$32,0),MATCH($DR$1,'Rate Assumptions'!$A$1:$C$1,0))</f>
        <v>433.15785329039602</v>
      </c>
      <c r="EK74" s="279">
        <f>INDEX('Rate Assumptions'!$A$1:$C$32,MATCH('Success Allocation'!EK$3,'Rate Assumptions'!$A$1:$A$32,0),MATCH($DR$1,'Rate Assumptions'!$A$1:$C$1,0))</f>
        <v>288.77190219359733</v>
      </c>
      <c r="EL74" s="279">
        <f>INDEX('Rate Assumptions'!$A$1:$C$32,MATCH('Success Allocation'!EL$3,'Rate Assumptions'!$A$1:$A$32,0),MATCH($DR$1,'Rate Assumptions'!$A$1:$C$1,0))</f>
        <v>288.77190219359733</v>
      </c>
      <c r="EM74" s="279">
        <f>INDEX('Rate Assumptions'!$A$1:$C$32,MATCH('Success Allocation'!EM$3,'Rate Assumptions'!$A$1:$A$32,0),MATCH($DR$1,'Rate Assumptions'!$A$1:$C$1,0))</f>
        <v>144.38595109679866</v>
      </c>
      <c r="EN74" s="279">
        <f>INDEX('Rate Assumptions'!$A$1:$C$32,MATCH('Success Allocation'!EN$3,'Rate Assumptions'!$A$1:$A$32,0),MATCH($DR$1,'Rate Assumptions'!$A$1:$C$1,0))</f>
        <v>216.57892664519801</v>
      </c>
      <c r="EO74" s="281">
        <f>INDEX('Rate Assumptions'!$A$1:$C$32,MATCH('Success Allocation'!EO$3,'Rate Assumptions'!$A$1:$A$32,0),MATCH($DR$1,'Rate Assumptions'!$A$1:$C$1,0))</f>
        <v>144.38595109679866</v>
      </c>
      <c r="EP74" s="170">
        <f t="shared" si="99"/>
        <v>12082902.02050389</v>
      </c>
    </row>
    <row r="75" spans="1:146">
      <c r="A75" s="223" t="s">
        <v>161</v>
      </c>
      <c r="B75" s="226">
        <v>176</v>
      </c>
      <c r="C75" s="226">
        <v>725</v>
      </c>
      <c r="D75" s="226">
        <v>0</v>
      </c>
      <c r="E75" s="226">
        <v>63</v>
      </c>
      <c r="F75" s="226">
        <v>89</v>
      </c>
      <c r="G75" s="227">
        <v>1463</v>
      </c>
      <c r="H75" s="226">
        <v>752</v>
      </c>
      <c r="I75" s="228">
        <v>1567</v>
      </c>
      <c r="J75" s="226">
        <v>140</v>
      </c>
      <c r="K75" s="226">
        <v>494</v>
      </c>
      <c r="L75" s="226">
        <v>0</v>
      </c>
      <c r="M75" s="226">
        <v>44</v>
      </c>
      <c r="N75" s="226">
        <v>48</v>
      </c>
      <c r="O75" s="227">
        <v>907</v>
      </c>
      <c r="P75" s="226">
        <v>408</v>
      </c>
      <c r="Q75" s="228">
        <v>724</v>
      </c>
      <c r="R75" s="226">
        <v>161</v>
      </c>
      <c r="S75" s="226">
        <v>629</v>
      </c>
      <c r="T75" s="226">
        <v>0</v>
      </c>
      <c r="U75" s="226">
        <v>52</v>
      </c>
      <c r="V75" s="226">
        <v>65</v>
      </c>
      <c r="W75" s="227">
        <v>1236</v>
      </c>
      <c r="X75" s="226">
        <v>558</v>
      </c>
      <c r="Y75" s="234">
        <v>1083</v>
      </c>
      <c r="Z75" s="237">
        <v>239</v>
      </c>
      <c r="AA75" s="237">
        <v>621</v>
      </c>
      <c r="AB75" s="237">
        <v>0</v>
      </c>
      <c r="AC75" s="237">
        <v>99</v>
      </c>
      <c r="AD75" s="237">
        <v>105</v>
      </c>
      <c r="AE75" s="237">
        <v>1365</v>
      </c>
      <c r="AF75" s="237">
        <v>785</v>
      </c>
      <c r="AG75" s="228">
        <v>1753</v>
      </c>
      <c r="AH75" s="237">
        <v>158</v>
      </c>
      <c r="AI75" s="237">
        <v>402</v>
      </c>
      <c r="AJ75" s="237">
        <v>0</v>
      </c>
      <c r="AK75" s="237">
        <v>46</v>
      </c>
      <c r="AL75" s="237">
        <v>48</v>
      </c>
      <c r="AM75" s="237">
        <v>793</v>
      </c>
      <c r="AN75" s="237">
        <v>386</v>
      </c>
      <c r="AO75" s="228">
        <v>798</v>
      </c>
      <c r="AP75" s="237">
        <v>206</v>
      </c>
      <c r="AQ75" s="237">
        <v>533</v>
      </c>
      <c r="AR75" s="237">
        <v>0</v>
      </c>
      <c r="AS75" s="237">
        <v>78</v>
      </c>
      <c r="AT75" s="237">
        <v>70</v>
      </c>
      <c r="AU75" s="238">
        <v>1129</v>
      </c>
      <c r="AV75" s="237">
        <v>532</v>
      </c>
      <c r="AW75" s="234">
        <v>1206</v>
      </c>
      <c r="AX75" s="237"/>
      <c r="AY75" s="237"/>
      <c r="AZ75" s="237"/>
      <c r="BA75" s="237"/>
      <c r="BB75" s="237"/>
      <c r="BC75" s="237"/>
      <c r="BD75" s="237"/>
      <c r="BF75" s="237"/>
      <c r="BG75" s="237"/>
      <c r="BH75" s="237"/>
      <c r="BI75" s="237"/>
      <c r="BJ75" s="237"/>
      <c r="BK75" s="237"/>
      <c r="BL75" s="237"/>
      <c r="BN75" s="237"/>
      <c r="BO75" s="237"/>
      <c r="BP75" s="237"/>
      <c r="BQ75" s="237"/>
      <c r="BR75" s="237"/>
      <c r="BS75" s="238"/>
      <c r="BT75" s="237"/>
      <c r="BV75" s="264">
        <f t="shared" si="51"/>
        <v>302</v>
      </c>
      <c r="BW75" s="264">
        <f t="shared" si="52"/>
        <v>517</v>
      </c>
      <c r="BX75" s="264">
        <f t="shared" si="53"/>
        <v>0</v>
      </c>
      <c r="BY75" s="264">
        <f t="shared" si="54"/>
        <v>135</v>
      </c>
      <c r="BZ75" s="264">
        <f t="shared" si="55"/>
        <v>121</v>
      </c>
      <c r="CA75" s="264">
        <f t="shared" si="56"/>
        <v>1267</v>
      </c>
      <c r="CB75" s="264">
        <f t="shared" si="57"/>
        <v>818</v>
      </c>
      <c r="CC75" s="265">
        <f t="shared" si="58"/>
        <v>1939</v>
      </c>
      <c r="CD75" s="264">
        <f t="shared" si="59"/>
        <v>176</v>
      </c>
      <c r="CE75" s="264">
        <f t="shared" si="60"/>
        <v>310</v>
      </c>
      <c r="CF75" s="264">
        <f t="shared" si="61"/>
        <v>0</v>
      </c>
      <c r="CG75" s="264">
        <f t="shared" si="62"/>
        <v>48</v>
      </c>
      <c r="CH75" s="264">
        <f t="shared" si="63"/>
        <v>48</v>
      </c>
      <c r="CI75" s="264">
        <f t="shared" si="64"/>
        <v>679</v>
      </c>
      <c r="CJ75" s="264">
        <f t="shared" si="65"/>
        <v>364</v>
      </c>
      <c r="CK75" s="265">
        <f t="shared" si="66"/>
        <v>872</v>
      </c>
      <c r="CL75" s="264">
        <f t="shared" si="67"/>
        <v>251</v>
      </c>
      <c r="CM75" s="264">
        <f t="shared" si="68"/>
        <v>437</v>
      </c>
      <c r="CN75" s="264">
        <f t="shared" si="69"/>
        <v>0</v>
      </c>
      <c r="CO75" s="264">
        <f t="shared" si="70"/>
        <v>104</v>
      </c>
      <c r="CP75" s="264">
        <f t="shared" si="71"/>
        <v>75</v>
      </c>
      <c r="CQ75" s="264">
        <f t="shared" si="72"/>
        <v>1022</v>
      </c>
      <c r="CR75" s="264">
        <f t="shared" si="73"/>
        <v>506</v>
      </c>
      <c r="CS75" s="266">
        <f t="shared" si="74"/>
        <v>1329</v>
      </c>
      <c r="CT75" s="264">
        <f t="shared" si="75"/>
        <v>239</v>
      </c>
      <c r="CU75" s="264">
        <f t="shared" si="76"/>
        <v>621</v>
      </c>
      <c r="CV75" s="264">
        <f t="shared" si="77"/>
        <v>0</v>
      </c>
      <c r="CW75" s="264">
        <f t="shared" si="78"/>
        <v>99</v>
      </c>
      <c r="CX75" s="264">
        <f t="shared" si="79"/>
        <v>105</v>
      </c>
      <c r="CY75" s="264">
        <f t="shared" si="80"/>
        <v>1365</v>
      </c>
      <c r="CZ75" s="264">
        <f t="shared" si="81"/>
        <v>785</v>
      </c>
      <c r="DA75" s="265">
        <f t="shared" si="82"/>
        <v>1753</v>
      </c>
      <c r="DB75" s="264">
        <f t="shared" si="83"/>
        <v>158</v>
      </c>
      <c r="DC75" s="264">
        <f t="shared" si="84"/>
        <v>402</v>
      </c>
      <c r="DD75" s="264">
        <f t="shared" si="85"/>
        <v>0</v>
      </c>
      <c r="DE75" s="264">
        <f t="shared" si="86"/>
        <v>46</v>
      </c>
      <c r="DF75" s="264">
        <f t="shared" si="87"/>
        <v>48</v>
      </c>
      <c r="DG75" s="264">
        <f t="shared" si="88"/>
        <v>793</v>
      </c>
      <c r="DH75" s="264">
        <f t="shared" si="89"/>
        <v>386</v>
      </c>
      <c r="DI75" s="265">
        <f t="shared" si="90"/>
        <v>798</v>
      </c>
      <c r="DJ75" s="264">
        <f t="shared" si="91"/>
        <v>206</v>
      </c>
      <c r="DK75" s="264">
        <f t="shared" si="92"/>
        <v>533</v>
      </c>
      <c r="DL75" s="264">
        <f t="shared" si="93"/>
        <v>0</v>
      </c>
      <c r="DM75" s="264">
        <f t="shared" si="94"/>
        <v>78</v>
      </c>
      <c r="DN75" s="264">
        <f t="shared" si="95"/>
        <v>70</v>
      </c>
      <c r="DO75" s="264">
        <f t="shared" si="96"/>
        <v>1129</v>
      </c>
      <c r="DP75" s="264">
        <f t="shared" si="97"/>
        <v>532</v>
      </c>
      <c r="DQ75" s="266">
        <f t="shared" si="98"/>
        <v>1206</v>
      </c>
      <c r="DR75" s="279">
        <f>INDEX('Rate Assumptions'!$A$1:$C$32,MATCH('Success Allocation'!DR$3,'Rate Assumptions'!$A$1:$A$32,0),MATCH($DR$1,'Rate Assumptions'!$A$1:$C$1,0))</f>
        <v>2291.7551696336809</v>
      </c>
      <c r="DS75" s="279">
        <f>INDEX('Rate Assumptions'!$A$1:$C$32,MATCH('Success Allocation'!DS$3,'Rate Assumptions'!$A$1:$A$32,0),MATCH($DR$1,'Rate Assumptions'!$A$1:$C$1,0))</f>
        <v>1718.8163772252606</v>
      </c>
      <c r="DT75" s="279">
        <f>INDEX('Rate Assumptions'!$A$1:$C$32,MATCH('Success Allocation'!DT$3,'Rate Assumptions'!$A$1:$A$32,0),MATCH($DR$1,'Rate Assumptions'!$A$1:$C$1,0))</f>
        <v>1718.8163772252606</v>
      </c>
      <c r="DU75" s="279">
        <f>INDEX('Rate Assumptions'!$A$1:$C$32,MATCH('Success Allocation'!DU$3,'Rate Assumptions'!$A$1:$A$32,0),MATCH($DR$1,'Rate Assumptions'!$A$1:$C$1,0))</f>
        <v>1145.8775848168405</v>
      </c>
      <c r="DV75" s="279">
        <f>INDEX('Rate Assumptions'!$A$1:$C$32,MATCH('Success Allocation'!DV$3,'Rate Assumptions'!$A$1:$A$32,0),MATCH($DR$1,'Rate Assumptions'!$A$1:$C$1,0))</f>
        <v>1145.8775848168405</v>
      </c>
      <c r="DW75" s="279">
        <f>INDEX('Rate Assumptions'!$A$1:$C$32,MATCH('Success Allocation'!DW$3,'Rate Assumptions'!$A$1:$A$32,0),MATCH($DR$1,'Rate Assumptions'!$A$1:$C$1,0))</f>
        <v>572.93879240842023</v>
      </c>
      <c r="DX75" s="279">
        <f>INDEX('Rate Assumptions'!$A$1:$C$32,MATCH('Success Allocation'!DX$3,'Rate Assumptions'!$A$1:$A$32,0),MATCH($DR$1,'Rate Assumptions'!$A$1:$C$1,0))</f>
        <v>859.40818861263028</v>
      </c>
      <c r="DY75" s="280">
        <f>INDEX('Rate Assumptions'!$A$1:$C$32,MATCH('Success Allocation'!DY$3,'Rate Assumptions'!$A$1:$A$32,0),MATCH($DR$1,'Rate Assumptions'!$A$1:$C$1,0))</f>
        <v>572.93879240842023</v>
      </c>
      <c r="DZ75" s="279">
        <f>INDEX('Rate Assumptions'!$A$1:$C$32,MATCH('Success Allocation'!DZ$3,'Rate Assumptions'!$A$1:$A$32,0),MATCH($DR$1,'Rate Assumptions'!$A$1:$C$1,0))</f>
        <v>866.31570658079204</v>
      </c>
      <c r="EA75" s="279">
        <f>INDEX('Rate Assumptions'!$A$1:$C$32,MATCH('Success Allocation'!EA$3,'Rate Assumptions'!$A$1:$A$32,0),MATCH($DR$1,'Rate Assumptions'!$A$1:$C$1,0))</f>
        <v>649.73677993559397</v>
      </c>
      <c r="EB75" s="279">
        <f>INDEX('Rate Assumptions'!$A$1:$C$32,MATCH('Success Allocation'!EB$3,'Rate Assumptions'!$A$1:$A$32,0),MATCH($DR$1,'Rate Assumptions'!$A$1:$C$1,0))</f>
        <v>649.73677993559397</v>
      </c>
      <c r="EC75" s="279">
        <f>INDEX('Rate Assumptions'!$A$1:$C$32,MATCH('Success Allocation'!EC$3,'Rate Assumptions'!$A$1:$A$32,0),MATCH($DR$1,'Rate Assumptions'!$A$1:$C$1,0))</f>
        <v>433.15785329039602</v>
      </c>
      <c r="ED75" s="279">
        <f>INDEX('Rate Assumptions'!$A$1:$C$32,MATCH('Success Allocation'!ED$3,'Rate Assumptions'!$A$1:$A$32,0),MATCH($DR$1,'Rate Assumptions'!$A$1:$C$1,0))</f>
        <v>433.15785329039602</v>
      </c>
      <c r="EE75" s="279">
        <f>INDEX('Rate Assumptions'!$A$1:$C$32,MATCH('Success Allocation'!EE$3,'Rate Assumptions'!$A$1:$A$32,0),MATCH($DR$1,'Rate Assumptions'!$A$1:$C$1,0))</f>
        <v>216.57892664519801</v>
      </c>
      <c r="EF75" s="279">
        <f>INDEX('Rate Assumptions'!$A$1:$C$32,MATCH('Success Allocation'!EF$3,'Rate Assumptions'!$A$1:$A$32,0),MATCH($DR$1,'Rate Assumptions'!$A$1:$C$1,0))</f>
        <v>324.86838996779699</v>
      </c>
      <c r="EG75" s="280">
        <f>INDEX('Rate Assumptions'!$A$1:$C$32,MATCH('Success Allocation'!EG$3,'Rate Assumptions'!$A$1:$A$32,0),MATCH($DR$1,'Rate Assumptions'!$A$1:$C$1,0))</f>
        <v>216.57892664519801</v>
      </c>
      <c r="EH75" s="279">
        <f>INDEX('Rate Assumptions'!$A$1:$C$32,MATCH('Success Allocation'!EH$3,'Rate Assumptions'!$A$1:$A$32,0),MATCH($DR$1,'Rate Assumptions'!$A$1:$C$1,0))</f>
        <v>577.54380438719465</v>
      </c>
      <c r="EI75" s="279">
        <f>INDEX('Rate Assumptions'!$A$1:$C$32,MATCH('Success Allocation'!EI$3,'Rate Assumptions'!$A$1:$A$32,0),MATCH($DR$1,'Rate Assumptions'!$A$1:$C$1,0))</f>
        <v>433.15785329039602</v>
      </c>
      <c r="EJ75" s="279">
        <f>INDEX('Rate Assumptions'!$A$1:$C$32,MATCH('Success Allocation'!EJ$3,'Rate Assumptions'!$A$1:$A$32,0),MATCH($DR$1,'Rate Assumptions'!$A$1:$C$1,0))</f>
        <v>433.15785329039602</v>
      </c>
      <c r="EK75" s="279">
        <f>INDEX('Rate Assumptions'!$A$1:$C$32,MATCH('Success Allocation'!EK$3,'Rate Assumptions'!$A$1:$A$32,0),MATCH($DR$1,'Rate Assumptions'!$A$1:$C$1,0))</f>
        <v>288.77190219359733</v>
      </c>
      <c r="EL75" s="279">
        <f>INDEX('Rate Assumptions'!$A$1:$C$32,MATCH('Success Allocation'!EL$3,'Rate Assumptions'!$A$1:$A$32,0),MATCH($DR$1,'Rate Assumptions'!$A$1:$C$1,0))</f>
        <v>288.77190219359733</v>
      </c>
      <c r="EM75" s="279">
        <f>INDEX('Rate Assumptions'!$A$1:$C$32,MATCH('Success Allocation'!EM$3,'Rate Assumptions'!$A$1:$A$32,0),MATCH($DR$1,'Rate Assumptions'!$A$1:$C$1,0))</f>
        <v>144.38595109679866</v>
      </c>
      <c r="EN75" s="279">
        <f>INDEX('Rate Assumptions'!$A$1:$C$32,MATCH('Success Allocation'!EN$3,'Rate Assumptions'!$A$1:$A$32,0),MATCH($DR$1,'Rate Assumptions'!$A$1:$C$1,0))</f>
        <v>216.57892664519801</v>
      </c>
      <c r="EO75" s="281">
        <f>INDEX('Rate Assumptions'!$A$1:$C$32,MATCH('Success Allocation'!EO$3,'Rate Assumptions'!$A$1:$A$32,0),MATCH($DR$1,'Rate Assumptions'!$A$1:$C$1,0))</f>
        <v>144.38595109679866</v>
      </c>
      <c r="EP75" s="170">
        <f t="shared" si="99"/>
        <v>6098543.5411363672</v>
      </c>
    </row>
    <row r="76" spans="1:146" s="222" customFormat="1" ht="15">
      <c r="A76" s="225" t="s">
        <v>162</v>
      </c>
      <c r="B76" s="229">
        <f>SUM(B4:B75)</f>
        <v>35982</v>
      </c>
      <c r="C76" s="229">
        <f t="shared" ref="C76:Y76" si="100">SUM(C4:C75)</f>
        <v>61057</v>
      </c>
      <c r="D76" s="229">
        <f t="shared" si="100"/>
        <v>0</v>
      </c>
      <c r="E76" s="229">
        <f t="shared" si="100"/>
        <v>18776</v>
      </c>
      <c r="F76" s="229">
        <f t="shared" si="100"/>
        <v>21866</v>
      </c>
      <c r="G76" s="229">
        <f t="shared" si="100"/>
        <v>192108</v>
      </c>
      <c r="H76" s="229">
        <f t="shared" si="100"/>
        <v>121583</v>
      </c>
      <c r="I76" s="13">
        <f t="shared" si="100"/>
        <v>175068</v>
      </c>
      <c r="J76" s="229">
        <f t="shared" si="100"/>
        <v>19968</v>
      </c>
      <c r="K76" s="229">
        <f t="shared" si="100"/>
        <v>33500</v>
      </c>
      <c r="L76" s="229">
        <f t="shared" si="100"/>
        <v>0</v>
      </c>
      <c r="M76" s="229">
        <f t="shared" si="100"/>
        <v>8867</v>
      </c>
      <c r="N76" s="229">
        <f t="shared" si="100"/>
        <v>7365</v>
      </c>
      <c r="O76" s="229">
        <f t="shared" si="100"/>
        <v>88887</v>
      </c>
      <c r="P76" s="229">
        <f t="shared" si="100"/>
        <v>51899</v>
      </c>
      <c r="Q76" s="13">
        <f t="shared" si="100"/>
        <v>46398</v>
      </c>
      <c r="R76" s="229">
        <f t="shared" si="100"/>
        <v>26707</v>
      </c>
      <c r="S76" s="229">
        <f t="shared" si="100"/>
        <v>45622</v>
      </c>
      <c r="T76" s="229">
        <f t="shared" si="100"/>
        <v>0</v>
      </c>
      <c r="U76" s="229">
        <f t="shared" si="100"/>
        <v>12808</v>
      </c>
      <c r="V76" s="229">
        <f t="shared" si="100"/>
        <v>11064</v>
      </c>
      <c r="W76" s="229">
        <f t="shared" si="100"/>
        <v>129478</v>
      </c>
      <c r="X76" s="229">
        <f t="shared" si="100"/>
        <v>76918</v>
      </c>
      <c r="Y76" s="235">
        <f t="shared" si="100"/>
        <v>83068</v>
      </c>
      <c r="Z76" s="239">
        <f>SUM(Z4:Z75)</f>
        <v>43990</v>
      </c>
      <c r="AA76" s="239">
        <f t="shared" ref="AA76:AW76" si="101">SUM(AA4:AA75)</f>
        <v>61822</v>
      </c>
      <c r="AB76" s="239">
        <f t="shared" si="101"/>
        <v>106</v>
      </c>
      <c r="AC76" s="239">
        <f t="shared" si="101"/>
        <v>20974</v>
      </c>
      <c r="AD76" s="239">
        <f t="shared" si="101"/>
        <v>25235</v>
      </c>
      <c r="AE76" s="239">
        <f t="shared" si="101"/>
        <v>186498</v>
      </c>
      <c r="AF76" s="239">
        <f t="shared" si="101"/>
        <v>126481</v>
      </c>
      <c r="AG76" s="13">
        <f t="shared" si="101"/>
        <v>188675</v>
      </c>
      <c r="AH76" s="239">
        <f t="shared" si="101"/>
        <v>24088</v>
      </c>
      <c r="AI76" s="239">
        <f t="shared" si="101"/>
        <v>33490</v>
      </c>
      <c r="AJ76" s="239">
        <f t="shared" si="101"/>
        <v>50</v>
      </c>
      <c r="AK76" s="239">
        <f t="shared" si="101"/>
        <v>9628</v>
      </c>
      <c r="AL76" s="239">
        <f t="shared" si="101"/>
        <v>9110</v>
      </c>
      <c r="AM76" s="239">
        <f t="shared" si="101"/>
        <v>83503</v>
      </c>
      <c r="AN76" s="239">
        <f t="shared" si="101"/>
        <v>53780</v>
      </c>
      <c r="AO76" s="13">
        <f t="shared" si="101"/>
        <v>50646</v>
      </c>
      <c r="AP76" s="239">
        <f t="shared" si="101"/>
        <v>32624</v>
      </c>
      <c r="AQ76" s="239">
        <f t="shared" si="101"/>
        <v>46348</v>
      </c>
      <c r="AR76" s="239">
        <f t="shared" si="101"/>
        <v>84</v>
      </c>
      <c r="AS76" s="239">
        <f t="shared" si="101"/>
        <v>14093</v>
      </c>
      <c r="AT76" s="239">
        <f t="shared" si="101"/>
        <v>13364</v>
      </c>
      <c r="AU76" s="239">
        <f t="shared" si="101"/>
        <v>124252</v>
      </c>
      <c r="AV76" s="239">
        <f t="shared" si="101"/>
        <v>79596</v>
      </c>
      <c r="AW76" s="235">
        <f t="shared" si="101"/>
        <v>90262</v>
      </c>
      <c r="AX76" s="239"/>
      <c r="AY76" s="239"/>
      <c r="AZ76" s="239"/>
      <c r="BA76" s="239"/>
      <c r="BB76" s="239"/>
      <c r="BC76" s="239"/>
      <c r="BD76" s="239"/>
      <c r="BE76" s="13"/>
      <c r="BF76" s="239"/>
      <c r="BG76" s="239"/>
      <c r="BH76" s="239"/>
      <c r="BI76" s="239"/>
      <c r="BJ76" s="239"/>
      <c r="BK76" s="239"/>
      <c r="BL76" s="239"/>
      <c r="BM76" s="13"/>
      <c r="BN76" s="239"/>
      <c r="BO76" s="239"/>
      <c r="BP76" s="239"/>
      <c r="BQ76" s="239"/>
      <c r="BR76" s="239"/>
      <c r="BS76" s="239"/>
      <c r="BT76" s="239"/>
      <c r="BU76" s="235"/>
      <c r="BV76" s="267">
        <f>SUM(BV4:BV75)</f>
        <v>51998</v>
      </c>
      <c r="BW76" s="267">
        <f t="shared" ref="BW76:CS76" si="102">SUM(BW4:BW75)</f>
        <v>62587</v>
      </c>
      <c r="BX76" s="267">
        <f t="shared" si="102"/>
        <v>212</v>
      </c>
      <c r="BY76" s="267">
        <f t="shared" si="102"/>
        <v>23172</v>
      </c>
      <c r="BZ76" s="267">
        <f t="shared" si="102"/>
        <v>28604</v>
      </c>
      <c r="CA76" s="267">
        <f t="shared" si="102"/>
        <v>180888</v>
      </c>
      <c r="CB76" s="267">
        <f t="shared" si="102"/>
        <v>131379</v>
      </c>
      <c r="CC76" s="268">
        <f t="shared" si="102"/>
        <v>202282</v>
      </c>
      <c r="CD76" s="267">
        <f t="shared" si="102"/>
        <v>28208</v>
      </c>
      <c r="CE76" s="267">
        <f t="shared" si="102"/>
        <v>33480</v>
      </c>
      <c r="CF76" s="267">
        <f t="shared" si="102"/>
        <v>100</v>
      </c>
      <c r="CG76" s="267">
        <f t="shared" si="102"/>
        <v>10389</v>
      </c>
      <c r="CH76" s="267">
        <f t="shared" si="102"/>
        <v>10855</v>
      </c>
      <c r="CI76" s="267">
        <f t="shared" si="102"/>
        <v>78119</v>
      </c>
      <c r="CJ76" s="267">
        <f t="shared" si="102"/>
        <v>55661</v>
      </c>
      <c r="CK76" s="268">
        <f t="shared" si="102"/>
        <v>54894</v>
      </c>
      <c r="CL76" s="267">
        <f t="shared" si="102"/>
        <v>38541</v>
      </c>
      <c r="CM76" s="267">
        <f t="shared" si="102"/>
        <v>47074</v>
      </c>
      <c r="CN76" s="267">
        <f t="shared" si="102"/>
        <v>168</v>
      </c>
      <c r="CO76" s="267">
        <f t="shared" si="102"/>
        <v>15378</v>
      </c>
      <c r="CP76" s="267">
        <f t="shared" si="102"/>
        <v>15664</v>
      </c>
      <c r="CQ76" s="267">
        <f t="shared" si="102"/>
        <v>119026</v>
      </c>
      <c r="CR76" s="267">
        <f t="shared" si="102"/>
        <v>82274</v>
      </c>
      <c r="CS76" s="269">
        <f t="shared" si="102"/>
        <v>97456</v>
      </c>
      <c r="CT76" s="267">
        <f t="shared" ref="CT76" si="103">SUM(CT4:CT75)</f>
        <v>43990</v>
      </c>
      <c r="CU76" s="267">
        <f t="shared" ref="CU76" si="104">SUM(CU4:CU75)</f>
        <v>61822</v>
      </c>
      <c r="CV76" s="267">
        <f t="shared" ref="CV76" si="105">SUM(CV4:CV75)</f>
        <v>106</v>
      </c>
      <c r="CW76" s="267">
        <f t="shared" ref="CW76" si="106">SUM(CW4:CW75)</f>
        <v>20974</v>
      </c>
      <c r="CX76" s="267">
        <f t="shared" ref="CX76" si="107">SUM(CX4:CX75)</f>
        <v>25235</v>
      </c>
      <c r="CY76" s="267">
        <f t="shared" ref="CY76" si="108">SUM(CY4:CY75)</f>
        <v>186498</v>
      </c>
      <c r="CZ76" s="267">
        <f t="shared" ref="CZ76" si="109">SUM(CZ4:CZ75)</f>
        <v>126481</v>
      </c>
      <c r="DA76" s="268">
        <f t="shared" ref="DA76" si="110">SUM(DA4:DA75)</f>
        <v>188675</v>
      </c>
      <c r="DB76" s="267">
        <f t="shared" ref="DB76" si="111">SUM(DB4:DB75)</f>
        <v>24088</v>
      </c>
      <c r="DC76" s="267">
        <f t="shared" ref="DC76" si="112">SUM(DC4:DC75)</f>
        <v>33490</v>
      </c>
      <c r="DD76" s="267">
        <f t="shared" ref="DD76" si="113">SUM(DD4:DD75)</f>
        <v>50</v>
      </c>
      <c r="DE76" s="267">
        <f t="shared" ref="DE76" si="114">SUM(DE4:DE75)</f>
        <v>9628</v>
      </c>
      <c r="DF76" s="267">
        <f t="shared" ref="DF76" si="115">SUM(DF4:DF75)</f>
        <v>9110</v>
      </c>
      <c r="DG76" s="267">
        <f t="shared" ref="DG76" si="116">SUM(DG4:DG75)</f>
        <v>83503</v>
      </c>
      <c r="DH76" s="267">
        <f t="shared" ref="DH76" si="117">SUM(DH4:DH75)</f>
        <v>53780</v>
      </c>
      <c r="DI76" s="268">
        <f t="shared" ref="DI76" si="118">SUM(DI4:DI75)</f>
        <v>50646</v>
      </c>
      <c r="DJ76" s="267">
        <f t="shared" ref="DJ76" si="119">SUM(DJ4:DJ75)</f>
        <v>32624</v>
      </c>
      <c r="DK76" s="267">
        <f t="shared" ref="DK76" si="120">SUM(DK4:DK75)</f>
        <v>46348</v>
      </c>
      <c r="DL76" s="267">
        <f t="shared" ref="DL76" si="121">SUM(DL4:DL75)</f>
        <v>84</v>
      </c>
      <c r="DM76" s="267">
        <f t="shared" ref="DM76" si="122">SUM(DM4:DM75)</f>
        <v>14093</v>
      </c>
      <c r="DN76" s="267">
        <f t="shared" ref="DN76" si="123">SUM(DN4:DN75)</f>
        <v>13364</v>
      </c>
      <c r="DO76" s="267">
        <f t="shared" ref="DO76" si="124">SUM(DO4:DO75)</f>
        <v>124252</v>
      </c>
      <c r="DP76" s="267">
        <f t="shared" ref="DP76" si="125">SUM(DP4:DP75)</f>
        <v>79596</v>
      </c>
      <c r="DQ76" s="269">
        <f t="shared" ref="DQ76" si="126">SUM(DQ4:DQ75)</f>
        <v>90262</v>
      </c>
      <c r="DR76" s="282"/>
      <c r="DS76" s="282"/>
      <c r="DT76" s="282"/>
      <c r="DU76" s="282"/>
      <c r="DV76" s="282"/>
      <c r="DW76" s="282"/>
      <c r="DX76" s="282"/>
      <c r="DY76" s="283"/>
      <c r="DZ76" s="282"/>
      <c r="EA76" s="282"/>
      <c r="EB76" s="282"/>
      <c r="EC76" s="282"/>
      <c r="ED76" s="282"/>
      <c r="EE76" s="282"/>
      <c r="EF76" s="282"/>
      <c r="EG76" s="283"/>
      <c r="EH76" s="282"/>
      <c r="EI76" s="282"/>
      <c r="EJ76" s="282"/>
      <c r="EK76" s="282"/>
      <c r="EL76" s="282"/>
      <c r="EM76" s="282"/>
      <c r="EN76" s="282"/>
      <c r="EO76" s="284"/>
      <c r="EP76" s="300">
        <f>SUM(EP4:EP75)</f>
        <v>821986441.02902567</v>
      </c>
    </row>
    <row r="78" spans="1:146">
      <c r="A78" s="223" t="s">
        <v>210</v>
      </c>
      <c r="BV78" s="264">
        <v>4</v>
      </c>
      <c r="BW78" s="264">
        <v>3</v>
      </c>
      <c r="BX78" s="264">
        <v>3</v>
      </c>
      <c r="BY78" s="264">
        <v>2</v>
      </c>
      <c r="BZ78" s="264">
        <v>2</v>
      </c>
      <c r="CA78" s="264">
        <v>1</v>
      </c>
      <c r="CB78" s="264">
        <v>1.5</v>
      </c>
      <c r="CC78" s="265">
        <v>1</v>
      </c>
      <c r="CD78" s="264">
        <v>6</v>
      </c>
      <c r="CE78" s="264">
        <v>4.5</v>
      </c>
      <c r="CF78" s="264">
        <v>4.5</v>
      </c>
      <c r="CG78" s="264">
        <v>3</v>
      </c>
      <c r="CH78" s="264">
        <v>3</v>
      </c>
      <c r="CI78" s="264">
        <v>1.5</v>
      </c>
      <c r="CJ78" s="264">
        <v>2.25</v>
      </c>
      <c r="CK78" s="264">
        <v>1.5</v>
      </c>
      <c r="CL78" s="264">
        <v>4</v>
      </c>
      <c r="CM78" s="264">
        <v>3</v>
      </c>
      <c r="CN78" s="264">
        <v>3</v>
      </c>
      <c r="CO78" s="264">
        <v>2</v>
      </c>
      <c r="CP78" s="264">
        <v>2</v>
      </c>
      <c r="CQ78" s="264">
        <v>1</v>
      </c>
      <c r="CR78" s="264">
        <v>1.5</v>
      </c>
      <c r="CS78" s="264">
        <v>1</v>
      </c>
      <c r="CT78" s="264">
        <v>4</v>
      </c>
      <c r="CU78" s="264">
        <v>3</v>
      </c>
      <c r="CV78" s="264">
        <v>3</v>
      </c>
      <c r="CW78" s="264">
        <v>2</v>
      </c>
      <c r="CX78" s="264">
        <v>2</v>
      </c>
      <c r="CY78" s="264">
        <v>1</v>
      </c>
      <c r="CZ78" s="264">
        <v>1.5</v>
      </c>
      <c r="DA78" s="265">
        <v>1</v>
      </c>
      <c r="DB78" s="264">
        <v>6</v>
      </c>
      <c r="DC78" s="264">
        <v>4.5</v>
      </c>
      <c r="DD78" s="264">
        <v>4.5</v>
      </c>
      <c r="DE78" s="264">
        <v>3</v>
      </c>
      <c r="DF78" s="264">
        <v>3</v>
      </c>
      <c r="DG78" s="264">
        <v>1.5</v>
      </c>
      <c r="DH78" s="264">
        <v>2.25</v>
      </c>
      <c r="DI78" s="264">
        <v>1.5</v>
      </c>
      <c r="DJ78" s="264">
        <v>4</v>
      </c>
      <c r="DK78" s="264">
        <v>3</v>
      </c>
      <c r="DL78" s="264">
        <v>3</v>
      </c>
      <c r="DM78" s="264">
        <v>2</v>
      </c>
      <c r="DN78" s="264">
        <v>2</v>
      </c>
      <c r="DO78" s="264">
        <v>1</v>
      </c>
      <c r="DP78" s="264">
        <v>1.5</v>
      </c>
      <c r="DQ78" s="264">
        <v>1</v>
      </c>
    </row>
    <row r="79" spans="1:146">
      <c r="A79" s="223" t="s">
        <v>209</v>
      </c>
      <c r="BV79" s="316">
        <f>BV78*BV76</f>
        <v>207992</v>
      </c>
      <c r="BW79" s="316">
        <f t="shared" ref="BW79:CC79" si="127">BW78*BW76</f>
        <v>187761</v>
      </c>
      <c r="BX79" s="316">
        <f t="shared" si="127"/>
        <v>636</v>
      </c>
      <c r="BY79" s="316">
        <f t="shared" si="127"/>
        <v>46344</v>
      </c>
      <c r="BZ79" s="316">
        <f t="shared" si="127"/>
        <v>57208</v>
      </c>
      <c r="CA79" s="316">
        <f t="shared" si="127"/>
        <v>180888</v>
      </c>
      <c r="CB79" s="316">
        <f t="shared" si="127"/>
        <v>197068.5</v>
      </c>
      <c r="CC79" s="316">
        <f t="shared" si="127"/>
        <v>202282</v>
      </c>
      <c r="CD79" s="316">
        <f>CC78*CC76</f>
        <v>202282</v>
      </c>
      <c r="CE79" s="316">
        <f t="shared" ref="CE79" si="128">CD78*CD76</f>
        <v>169248</v>
      </c>
      <c r="CF79" s="316">
        <f t="shared" ref="CF79" si="129">CE78*CE76</f>
        <v>150660</v>
      </c>
      <c r="CG79" s="316">
        <f t="shared" ref="CG79" si="130">CF78*CF76</f>
        <v>450</v>
      </c>
      <c r="CH79" s="316">
        <f t="shared" ref="CH79" si="131">CG78*CG76</f>
        <v>31167</v>
      </c>
      <c r="CI79" s="316">
        <f t="shared" ref="CI79" si="132">CH78*CH76</f>
        <v>32565</v>
      </c>
      <c r="CJ79" s="316">
        <f t="shared" ref="CJ79" si="133">CI78*CI76</f>
        <v>117178.5</v>
      </c>
      <c r="CK79" s="316">
        <f t="shared" ref="CK79" si="134">CJ78*CJ76</f>
        <v>125237.25</v>
      </c>
      <c r="CL79" s="316">
        <f t="shared" ref="CL79" si="135">CK78*CK76</f>
        <v>82341</v>
      </c>
      <c r="CM79" s="316">
        <f t="shared" ref="CM79" si="136">CL78*CL76</f>
        <v>154164</v>
      </c>
      <c r="CN79" s="316">
        <f t="shared" ref="CN79" si="137">CM78*CM76</f>
        <v>141222</v>
      </c>
      <c r="CO79" s="316">
        <f t="shared" ref="CO79" si="138">CN78*CN76</f>
        <v>504</v>
      </c>
      <c r="CP79" s="316">
        <f t="shared" ref="CP79" si="139">CO78*CO76</f>
        <v>30756</v>
      </c>
      <c r="CQ79" s="316">
        <f t="shared" ref="CQ79" si="140">CP78*CP76</f>
        <v>31328</v>
      </c>
      <c r="CR79" s="316">
        <f t="shared" ref="CR79" si="141">CQ78*CQ76</f>
        <v>119026</v>
      </c>
      <c r="CS79" s="316">
        <f t="shared" ref="CS79" si="142">CR78*CR76</f>
        <v>123411</v>
      </c>
      <c r="CT79" s="316">
        <f>CT78*CT76</f>
        <v>175960</v>
      </c>
      <c r="CU79" s="316">
        <f t="shared" ref="CU79:DA79" si="143">CU78*CU76</f>
        <v>185466</v>
      </c>
      <c r="CV79" s="316">
        <f t="shared" si="143"/>
        <v>318</v>
      </c>
      <c r="CW79" s="316">
        <f t="shared" si="143"/>
        <v>41948</v>
      </c>
      <c r="CX79" s="316">
        <f t="shared" si="143"/>
        <v>50470</v>
      </c>
      <c r="CY79" s="316">
        <f t="shared" si="143"/>
        <v>186498</v>
      </c>
      <c r="CZ79" s="316">
        <f t="shared" si="143"/>
        <v>189721.5</v>
      </c>
      <c r="DA79" s="316">
        <f t="shared" si="143"/>
        <v>188675</v>
      </c>
      <c r="DB79" s="316">
        <f>DA78*DA76</f>
        <v>188675</v>
      </c>
      <c r="DC79" s="316">
        <f t="shared" ref="DC79:DQ79" si="144">DB78*DB76</f>
        <v>144528</v>
      </c>
      <c r="DD79" s="316">
        <f t="shared" si="144"/>
        <v>150705</v>
      </c>
      <c r="DE79" s="316">
        <f t="shared" si="144"/>
        <v>225</v>
      </c>
      <c r="DF79" s="316">
        <f t="shared" si="144"/>
        <v>28884</v>
      </c>
      <c r="DG79" s="316">
        <f t="shared" si="144"/>
        <v>27330</v>
      </c>
      <c r="DH79" s="316">
        <f t="shared" si="144"/>
        <v>125254.5</v>
      </c>
      <c r="DI79" s="316">
        <f t="shared" si="144"/>
        <v>121005</v>
      </c>
      <c r="DJ79" s="316">
        <f t="shared" si="144"/>
        <v>75969</v>
      </c>
      <c r="DK79" s="316">
        <f t="shared" si="144"/>
        <v>130496</v>
      </c>
      <c r="DL79" s="316">
        <f t="shared" si="144"/>
        <v>139044</v>
      </c>
      <c r="DM79" s="316">
        <f t="shared" si="144"/>
        <v>252</v>
      </c>
      <c r="DN79" s="316">
        <f t="shared" si="144"/>
        <v>28186</v>
      </c>
      <c r="DO79" s="316">
        <f t="shared" si="144"/>
        <v>26728</v>
      </c>
      <c r="DP79" s="316">
        <f t="shared" si="144"/>
        <v>124252</v>
      </c>
      <c r="DQ79" s="316">
        <f t="shared" si="144"/>
        <v>119394</v>
      </c>
    </row>
    <row r="80" spans="1:146">
      <c r="CC80" s="317">
        <f>SUM(BV79:CC79)</f>
        <v>1080179.5</v>
      </c>
      <c r="CK80" s="317">
        <f>SUM(CD79:CK79)</f>
        <v>828787.75</v>
      </c>
      <c r="CS80" s="317">
        <f>SUM(CL79:CS79)</f>
        <v>682752</v>
      </c>
      <c r="DA80" s="317">
        <f>SUM(CT79:DA79)</f>
        <v>1019056.5</v>
      </c>
      <c r="DI80" s="317">
        <f>SUM(DB79:DI79)</f>
        <v>786606.5</v>
      </c>
      <c r="DQ80" s="317">
        <f>SUM(DJ79:DQ79)</f>
        <v>644321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2019-20 Rates</vt:lpstr>
      <vt:lpstr>Rate Assumptions</vt:lpstr>
      <vt:lpstr>CALCULATIONS &gt;&gt;&gt;</vt:lpstr>
      <vt:lpstr>District Specific SCFF</vt:lpstr>
      <vt:lpstr>Base Allocation</vt:lpstr>
      <vt:lpstr>Supplemental Allocation</vt:lpstr>
      <vt:lpstr>Success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Breslow</dc:creator>
  <cp:lastModifiedBy>Jonah Breslow</cp:lastModifiedBy>
  <dcterms:created xsi:type="dcterms:W3CDTF">2019-10-14T19:39:01Z</dcterms:created>
  <dcterms:modified xsi:type="dcterms:W3CDTF">2019-11-04T19:44:31Z</dcterms:modified>
</cp:coreProperties>
</file>