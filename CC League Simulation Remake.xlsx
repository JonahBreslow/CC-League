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6122"/>
  <workbookPr showInkAnnotation="0" autoCompressPictures="0"/>
  <bookViews>
    <workbookView xWindow="32860" yWindow="0" windowWidth="25600" windowHeight="15540" tabRatio="500" activeTab="3"/>
  </bookViews>
  <sheets>
    <sheet name="READ ME" sheetId="1" r:id="rId1"/>
    <sheet name="2019-20 Rates" sheetId="2" r:id="rId2"/>
    <sheet name="Rate Assumptions" sheetId="5" r:id="rId3"/>
    <sheet name="Base Allocation" sheetId="4" r:id="rId4"/>
    <sheet name="Supplemental Allocation" sheetId="7" r:id="rId5"/>
  </sheets>
  <externalReferences>
    <externalReference r:id="rId6"/>
    <externalReference r:id="rId7"/>
  </externalReferences>
  <definedNames>
    <definedName name="_xlnm._FilterDatabase" localSheetId="3" hidden="1">'Base Allocation'!$A$4:$AI$4</definedName>
    <definedName name="_xlnm._FilterDatabase" localSheetId="4" hidden="1">'Supplemental Allocation'!$A$3:$Q$3</definedName>
  </definedNames>
  <calcPr calcId="140000" iterateCount="15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4" i="7" l="1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B6" i="5"/>
  <c r="N5" i="7"/>
  <c r="B7" i="5"/>
  <c r="O5" i="7"/>
  <c r="B8" i="5"/>
  <c r="P5" i="7"/>
  <c r="N6" i="7"/>
  <c r="O6" i="7"/>
  <c r="P6" i="7"/>
  <c r="N7" i="7"/>
  <c r="O7" i="7"/>
  <c r="P7" i="7"/>
  <c r="N8" i="7"/>
  <c r="O8" i="7"/>
  <c r="P8" i="7"/>
  <c r="N9" i="7"/>
  <c r="O9" i="7"/>
  <c r="P9" i="7"/>
  <c r="N10" i="7"/>
  <c r="O10" i="7"/>
  <c r="P10" i="7"/>
  <c r="N11" i="7"/>
  <c r="O11" i="7"/>
  <c r="P11" i="7"/>
  <c r="N12" i="7"/>
  <c r="O12" i="7"/>
  <c r="P12" i="7"/>
  <c r="N13" i="7"/>
  <c r="O13" i="7"/>
  <c r="P13" i="7"/>
  <c r="N14" i="7"/>
  <c r="O14" i="7"/>
  <c r="P14" i="7"/>
  <c r="N15" i="7"/>
  <c r="O15" i="7"/>
  <c r="P15" i="7"/>
  <c r="N16" i="7"/>
  <c r="O16" i="7"/>
  <c r="P16" i="7"/>
  <c r="N17" i="7"/>
  <c r="O17" i="7"/>
  <c r="P17" i="7"/>
  <c r="N18" i="7"/>
  <c r="O18" i="7"/>
  <c r="P18" i="7"/>
  <c r="N19" i="7"/>
  <c r="O19" i="7"/>
  <c r="P19" i="7"/>
  <c r="N20" i="7"/>
  <c r="O20" i="7"/>
  <c r="P20" i="7"/>
  <c r="N21" i="7"/>
  <c r="O21" i="7"/>
  <c r="P21" i="7"/>
  <c r="N22" i="7"/>
  <c r="O22" i="7"/>
  <c r="P22" i="7"/>
  <c r="N23" i="7"/>
  <c r="O23" i="7"/>
  <c r="P23" i="7"/>
  <c r="N24" i="7"/>
  <c r="O24" i="7"/>
  <c r="P24" i="7"/>
  <c r="N25" i="7"/>
  <c r="O25" i="7"/>
  <c r="P25" i="7"/>
  <c r="N26" i="7"/>
  <c r="O26" i="7"/>
  <c r="P26" i="7"/>
  <c r="N27" i="7"/>
  <c r="O27" i="7"/>
  <c r="P27" i="7"/>
  <c r="N28" i="7"/>
  <c r="O28" i="7"/>
  <c r="P28" i="7"/>
  <c r="N29" i="7"/>
  <c r="O29" i="7"/>
  <c r="P29" i="7"/>
  <c r="N30" i="7"/>
  <c r="O30" i="7"/>
  <c r="P30" i="7"/>
  <c r="N31" i="7"/>
  <c r="O31" i="7"/>
  <c r="P31" i="7"/>
  <c r="N32" i="7"/>
  <c r="O32" i="7"/>
  <c r="P32" i="7"/>
  <c r="N33" i="7"/>
  <c r="O33" i="7"/>
  <c r="P33" i="7"/>
  <c r="N34" i="7"/>
  <c r="O34" i="7"/>
  <c r="P34" i="7"/>
  <c r="N35" i="7"/>
  <c r="O35" i="7"/>
  <c r="P35" i="7"/>
  <c r="N36" i="7"/>
  <c r="O36" i="7"/>
  <c r="P36" i="7"/>
  <c r="N37" i="7"/>
  <c r="O37" i="7"/>
  <c r="P37" i="7"/>
  <c r="N38" i="7"/>
  <c r="O38" i="7"/>
  <c r="P38" i="7"/>
  <c r="N39" i="7"/>
  <c r="O39" i="7"/>
  <c r="P39" i="7"/>
  <c r="N40" i="7"/>
  <c r="O40" i="7"/>
  <c r="P40" i="7"/>
  <c r="N41" i="7"/>
  <c r="O41" i="7"/>
  <c r="P41" i="7"/>
  <c r="N42" i="7"/>
  <c r="O42" i="7"/>
  <c r="P42" i="7"/>
  <c r="N43" i="7"/>
  <c r="O43" i="7"/>
  <c r="P43" i="7"/>
  <c r="N44" i="7"/>
  <c r="O44" i="7"/>
  <c r="P44" i="7"/>
  <c r="N45" i="7"/>
  <c r="O45" i="7"/>
  <c r="P45" i="7"/>
  <c r="N46" i="7"/>
  <c r="O46" i="7"/>
  <c r="P46" i="7"/>
  <c r="N47" i="7"/>
  <c r="O47" i="7"/>
  <c r="P47" i="7"/>
  <c r="N48" i="7"/>
  <c r="O48" i="7"/>
  <c r="P48" i="7"/>
  <c r="N49" i="7"/>
  <c r="O49" i="7"/>
  <c r="P49" i="7"/>
  <c r="N50" i="7"/>
  <c r="O50" i="7"/>
  <c r="P50" i="7"/>
  <c r="N51" i="7"/>
  <c r="O51" i="7"/>
  <c r="P51" i="7"/>
  <c r="N52" i="7"/>
  <c r="O52" i="7"/>
  <c r="P52" i="7"/>
  <c r="N53" i="7"/>
  <c r="O53" i="7"/>
  <c r="P53" i="7"/>
  <c r="N54" i="7"/>
  <c r="O54" i="7"/>
  <c r="P54" i="7"/>
  <c r="N55" i="7"/>
  <c r="O55" i="7"/>
  <c r="P55" i="7"/>
  <c r="N56" i="7"/>
  <c r="O56" i="7"/>
  <c r="P56" i="7"/>
  <c r="N57" i="7"/>
  <c r="O57" i="7"/>
  <c r="P57" i="7"/>
  <c r="N58" i="7"/>
  <c r="O58" i="7"/>
  <c r="P58" i="7"/>
  <c r="N59" i="7"/>
  <c r="O59" i="7"/>
  <c r="P59" i="7"/>
  <c r="N60" i="7"/>
  <c r="O60" i="7"/>
  <c r="P60" i="7"/>
  <c r="N61" i="7"/>
  <c r="O61" i="7"/>
  <c r="P61" i="7"/>
  <c r="N62" i="7"/>
  <c r="O62" i="7"/>
  <c r="P62" i="7"/>
  <c r="N63" i="7"/>
  <c r="O63" i="7"/>
  <c r="P63" i="7"/>
  <c r="N64" i="7"/>
  <c r="O64" i="7"/>
  <c r="P64" i="7"/>
  <c r="N65" i="7"/>
  <c r="O65" i="7"/>
  <c r="P65" i="7"/>
  <c r="N66" i="7"/>
  <c r="O66" i="7"/>
  <c r="P66" i="7"/>
  <c r="N67" i="7"/>
  <c r="O67" i="7"/>
  <c r="P67" i="7"/>
  <c r="N68" i="7"/>
  <c r="O68" i="7"/>
  <c r="P68" i="7"/>
  <c r="N69" i="7"/>
  <c r="O69" i="7"/>
  <c r="P69" i="7"/>
  <c r="N70" i="7"/>
  <c r="O70" i="7"/>
  <c r="P70" i="7"/>
  <c r="N71" i="7"/>
  <c r="O71" i="7"/>
  <c r="P71" i="7"/>
  <c r="N72" i="7"/>
  <c r="O72" i="7"/>
  <c r="P72" i="7"/>
  <c r="N73" i="7"/>
  <c r="O73" i="7"/>
  <c r="P73" i="7"/>
  <c r="N74" i="7"/>
  <c r="O74" i="7"/>
  <c r="P74" i="7"/>
  <c r="N75" i="7"/>
  <c r="O75" i="7"/>
  <c r="P75" i="7"/>
  <c r="O4" i="7"/>
  <c r="P4" i="7"/>
  <c r="N4" i="7"/>
  <c r="B2" i="5"/>
  <c r="B3" i="5"/>
  <c r="G76" i="7"/>
  <c r="F76" i="7"/>
  <c r="E76" i="7"/>
  <c r="D76" i="7"/>
  <c r="C76" i="7"/>
  <c r="B76" i="7"/>
  <c r="AD77" i="4"/>
  <c r="W5" i="4"/>
  <c r="X5" i="4"/>
  <c r="AC5" i="4"/>
  <c r="W6" i="4"/>
  <c r="X6" i="4"/>
  <c r="AC6" i="4"/>
  <c r="W7" i="4"/>
  <c r="X7" i="4"/>
  <c r="AC7" i="4"/>
  <c r="W8" i="4"/>
  <c r="X8" i="4"/>
  <c r="AC8" i="4"/>
  <c r="W9" i="4"/>
  <c r="X9" i="4"/>
  <c r="AC9" i="4"/>
  <c r="W10" i="4"/>
  <c r="X10" i="4"/>
  <c r="AC10" i="4"/>
  <c r="W11" i="4"/>
  <c r="X11" i="4"/>
  <c r="AC11" i="4"/>
  <c r="W12" i="4"/>
  <c r="X12" i="4"/>
  <c r="AC12" i="4"/>
  <c r="W13" i="4"/>
  <c r="X13" i="4"/>
  <c r="AC13" i="4"/>
  <c r="W14" i="4"/>
  <c r="X14" i="4"/>
  <c r="AC14" i="4"/>
  <c r="W15" i="4"/>
  <c r="X15" i="4"/>
  <c r="AC15" i="4"/>
  <c r="W16" i="4"/>
  <c r="X16" i="4"/>
  <c r="AC16" i="4"/>
  <c r="W17" i="4"/>
  <c r="X17" i="4"/>
  <c r="AC17" i="4"/>
  <c r="W18" i="4"/>
  <c r="X18" i="4"/>
  <c r="AC18" i="4"/>
  <c r="W19" i="4"/>
  <c r="X19" i="4"/>
  <c r="AC19" i="4"/>
  <c r="W20" i="4"/>
  <c r="X20" i="4"/>
  <c r="AC20" i="4"/>
  <c r="W21" i="4"/>
  <c r="X21" i="4"/>
  <c r="AC21" i="4"/>
  <c r="W22" i="4"/>
  <c r="X22" i="4"/>
  <c r="AC22" i="4"/>
  <c r="W23" i="4"/>
  <c r="X23" i="4"/>
  <c r="AC23" i="4"/>
  <c r="W24" i="4"/>
  <c r="X24" i="4"/>
  <c r="AC24" i="4"/>
  <c r="W25" i="4"/>
  <c r="X25" i="4"/>
  <c r="AC25" i="4"/>
  <c r="W26" i="4"/>
  <c r="X26" i="4"/>
  <c r="AC26" i="4"/>
  <c r="W27" i="4"/>
  <c r="X27" i="4"/>
  <c r="AC27" i="4"/>
  <c r="W28" i="4"/>
  <c r="X28" i="4"/>
  <c r="AC28" i="4"/>
  <c r="W29" i="4"/>
  <c r="X29" i="4"/>
  <c r="AC29" i="4"/>
  <c r="W30" i="4"/>
  <c r="X30" i="4"/>
  <c r="AC30" i="4"/>
  <c r="E31" i="4"/>
  <c r="W31" i="4"/>
  <c r="X31" i="4"/>
  <c r="AC31" i="4"/>
  <c r="W32" i="4"/>
  <c r="X32" i="4"/>
  <c r="AC32" i="4"/>
  <c r="W33" i="4"/>
  <c r="X33" i="4"/>
  <c r="AC33" i="4"/>
  <c r="W34" i="4"/>
  <c r="X34" i="4"/>
  <c r="AC34" i="4"/>
  <c r="W35" i="4"/>
  <c r="X35" i="4"/>
  <c r="AC35" i="4"/>
  <c r="W36" i="4"/>
  <c r="X36" i="4"/>
  <c r="AC36" i="4"/>
  <c r="W37" i="4"/>
  <c r="X37" i="4"/>
  <c r="AC37" i="4"/>
  <c r="W38" i="4"/>
  <c r="X38" i="4"/>
  <c r="AC38" i="4"/>
  <c r="W39" i="4"/>
  <c r="X39" i="4"/>
  <c r="AC39" i="4"/>
  <c r="W40" i="4"/>
  <c r="X40" i="4"/>
  <c r="AC40" i="4"/>
  <c r="W41" i="4"/>
  <c r="X41" i="4"/>
  <c r="AC41" i="4"/>
  <c r="W42" i="4"/>
  <c r="X42" i="4"/>
  <c r="AC42" i="4"/>
  <c r="W43" i="4"/>
  <c r="X43" i="4"/>
  <c r="AC43" i="4"/>
  <c r="W44" i="4"/>
  <c r="X44" i="4"/>
  <c r="AC44" i="4"/>
  <c r="W45" i="4"/>
  <c r="X45" i="4"/>
  <c r="AC45" i="4"/>
  <c r="W46" i="4"/>
  <c r="X46" i="4"/>
  <c r="AC46" i="4"/>
  <c r="W47" i="4"/>
  <c r="X47" i="4"/>
  <c r="AC47" i="4"/>
  <c r="W48" i="4"/>
  <c r="X48" i="4"/>
  <c r="AC48" i="4"/>
  <c r="W49" i="4"/>
  <c r="X49" i="4"/>
  <c r="AC49" i="4"/>
  <c r="W50" i="4"/>
  <c r="X50" i="4"/>
  <c r="AC50" i="4"/>
  <c r="W51" i="4"/>
  <c r="X51" i="4"/>
  <c r="AC51" i="4"/>
  <c r="W52" i="4"/>
  <c r="X52" i="4"/>
  <c r="AC52" i="4"/>
  <c r="W53" i="4"/>
  <c r="X53" i="4"/>
  <c r="AC53" i="4"/>
  <c r="W54" i="4"/>
  <c r="X54" i="4"/>
  <c r="AC54" i="4"/>
  <c r="W55" i="4"/>
  <c r="X55" i="4"/>
  <c r="AC55" i="4"/>
  <c r="W56" i="4"/>
  <c r="X56" i="4"/>
  <c r="AC56" i="4"/>
  <c r="W57" i="4"/>
  <c r="X57" i="4"/>
  <c r="AC57" i="4"/>
  <c r="W58" i="4"/>
  <c r="X58" i="4"/>
  <c r="AC58" i="4"/>
  <c r="W59" i="4"/>
  <c r="X59" i="4"/>
  <c r="AC59" i="4"/>
  <c r="W60" i="4"/>
  <c r="X60" i="4"/>
  <c r="AC60" i="4"/>
  <c r="W61" i="4"/>
  <c r="X61" i="4"/>
  <c r="AC61" i="4"/>
  <c r="W62" i="4"/>
  <c r="X62" i="4"/>
  <c r="AC62" i="4"/>
  <c r="W63" i="4"/>
  <c r="X63" i="4"/>
  <c r="AC63" i="4"/>
  <c r="W64" i="4"/>
  <c r="X64" i="4"/>
  <c r="AC64" i="4"/>
  <c r="W65" i="4"/>
  <c r="X65" i="4"/>
  <c r="AC65" i="4"/>
  <c r="W66" i="4"/>
  <c r="X66" i="4"/>
  <c r="AC66" i="4"/>
  <c r="W67" i="4"/>
  <c r="X67" i="4"/>
  <c r="AC67" i="4"/>
  <c r="W68" i="4"/>
  <c r="X68" i="4"/>
  <c r="AC68" i="4"/>
  <c r="W69" i="4"/>
  <c r="X69" i="4"/>
  <c r="AC69" i="4"/>
  <c r="W70" i="4"/>
  <c r="X70" i="4"/>
  <c r="AC70" i="4"/>
  <c r="W71" i="4"/>
  <c r="X71" i="4"/>
  <c r="AC71" i="4"/>
  <c r="W72" i="4"/>
  <c r="X72" i="4"/>
  <c r="AC72" i="4"/>
  <c r="W73" i="4"/>
  <c r="X73" i="4"/>
  <c r="AC73" i="4"/>
  <c r="W74" i="4"/>
  <c r="X74" i="4"/>
  <c r="AC74" i="4"/>
  <c r="W75" i="4"/>
  <c r="X75" i="4"/>
  <c r="AC75" i="4"/>
  <c r="W76" i="4"/>
  <c r="X76" i="4"/>
  <c r="AC76" i="4"/>
  <c r="AC77" i="4"/>
  <c r="V5" i="4"/>
  <c r="AB5" i="4"/>
  <c r="V6" i="4"/>
  <c r="AB6" i="4"/>
  <c r="V7" i="4"/>
  <c r="AB7" i="4"/>
  <c r="V8" i="4"/>
  <c r="AB8" i="4"/>
  <c r="V9" i="4"/>
  <c r="AB9" i="4"/>
  <c r="V10" i="4"/>
  <c r="AB10" i="4"/>
  <c r="V11" i="4"/>
  <c r="AB11" i="4"/>
  <c r="V12" i="4"/>
  <c r="AB12" i="4"/>
  <c r="V13" i="4"/>
  <c r="AB13" i="4"/>
  <c r="V14" i="4"/>
  <c r="AB14" i="4"/>
  <c r="V15" i="4"/>
  <c r="AB15" i="4"/>
  <c r="V16" i="4"/>
  <c r="AB16" i="4"/>
  <c r="V17" i="4"/>
  <c r="AB17" i="4"/>
  <c r="V18" i="4"/>
  <c r="AB18" i="4"/>
  <c r="V19" i="4"/>
  <c r="AB19" i="4"/>
  <c r="V20" i="4"/>
  <c r="AB20" i="4"/>
  <c r="V21" i="4"/>
  <c r="AB21" i="4"/>
  <c r="V22" i="4"/>
  <c r="AB22" i="4"/>
  <c r="V23" i="4"/>
  <c r="AB23" i="4"/>
  <c r="V24" i="4"/>
  <c r="AB24" i="4"/>
  <c r="V25" i="4"/>
  <c r="AB25" i="4"/>
  <c r="V26" i="4"/>
  <c r="AB26" i="4"/>
  <c r="V27" i="4"/>
  <c r="AB27" i="4"/>
  <c r="V28" i="4"/>
  <c r="AB28" i="4"/>
  <c r="V29" i="4"/>
  <c r="AB29" i="4"/>
  <c r="V30" i="4"/>
  <c r="AB30" i="4"/>
  <c r="V31" i="4"/>
  <c r="AB31" i="4"/>
  <c r="V32" i="4"/>
  <c r="AB32" i="4"/>
  <c r="V33" i="4"/>
  <c r="AB33" i="4"/>
  <c r="V34" i="4"/>
  <c r="AB34" i="4"/>
  <c r="V35" i="4"/>
  <c r="AB35" i="4"/>
  <c r="V36" i="4"/>
  <c r="AB36" i="4"/>
  <c r="V37" i="4"/>
  <c r="AB37" i="4"/>
  <c r="V38" i="4"/>
  <c r="AB38" i="4"/>
  <c r="V39" i="4"/>
  <c r="AB39" i="4"/>
  <c r="V40" i="4"/>
  <c r="AB40" i="4"/>
  <c r="V41" i="4"/>
  <c r="AB41" i="4"/>
  <c r="V42" i="4"/>
  <c r="AB42" i="4"/>
  <c r="V43" i="4"/>
  <c r="AB43" i="4"/>
  <c r="V44" i="4"/>
  <c r="AB44" i="4"/>
  <c r="V45" i="4"/>
  <c r="AB45" i="4"/>
  <c r="V46" i="4"/>
  <c r="AB46" i="4"/>
  <c r="V47" i="4"/>
  <c r="AB47" i="4"/>
  <c r="V48" i="4"/>
  <c r="AB48" i="4"/>
  <c r="V49" i="4"/>
  <c r="AB49" i="4"/>
  <c r="V50" i="4"/>
  <c r="AB50" i="4"/>
  <c r="V51" i="4"/>
  <c r="AB51" i="4"/>
  <c r="V52" i="4"/>
  <c r="AB52" i="4"/>
  <c r="V53" i="4"/>
  <c r="AB53" i="4"/>
  <c r="V54" i="4"/>
  <c r="AB54" i="4"/>
  <c r="V55" i="4"/>
  <c r="AB55" i="4"/>
  <c r="V56" i="4"/>
  <c r="AB56" i="4"/>
  <c r="V57" i="4"/>
  <c r="AB57" i="4"/>
  <c r="V58" i="4"/>
  <c r="AB58" i="4"/>
  <c r="V59" i="4"/>
  <c r="AB59" i="4"/>
  <c r="V60" i="4"/>
  <c r="AB60" i="4"/>
  <c r="V61" i="4"/>
  <c r="AB61" i="4"/>
  <c r="V62" i="4"/>
  <c r="AB62" i="4"/>
  <c r="V63" i="4"/>
  <c r="AB63" i="4"/>
  <c r="V64" i="4"/>
  <c r="AB64" i="4"/>
  <c r="V65" i="4"/>
  <c r="AB65" i="4"/>
  <c r="V66" i="4"/>
  <c r="AB66" i="4"/>
  <c r="V67" i="4"/>
  <c r="AB67" i="4"/>
  <c r="V68" i="4"/>
  <c r="AB68" i="4"/>
  <c r="V69" i="4"/>
  <c r="AB69" i="4"/>
  <c r="V70" i="4"/>
  <c r="AB70" i="4"/>
  <c r="V71" i="4"/>
  <c r="AB71" i="4"/>
  <c r="V72" i="4"/>
  <c r="AB72" i="4"/>
  <c r="V73" i="4"/>
  <c r="AB73" i="4"/>
  <c r="V74" i="4"/>
  <c r="AB74" i="4"/>
  <c r="V75" i="4"/>
  <c r="AB75" i="4"/>
  <c r="V76" i="4"/>
  <c r="AB76" i="4"/>
  <c r="AB77" i="4"/>
  <c r="U5" i="4"/>
  <c r="AA5" i="4"/>
  <c r="U6" i="4"/>
  <c r="AA6" i="4"/>
  <c r="U7" i="4"/>
  <c r="AA7" i="4"/>
  <c r="U8" i="4"/>
  <c r="AA8" i="4"/>
  <c r="U9" i="4"/>
  <c r="AA9" i="4"/>
  <c r="U10" i="4"/>
  <c r="AA10" i="4"/>
  <c r="U11" i="4"/>
  <c r="AA11" i="4"/>
  <c r="U12" i="4"/>
  <c r="AA12" i="4"/>
  <c r="U13" i="4"/>
  <c r="AA13" i="4"/>
  <c r="U14" i="4"/>
  <c r="AA14" i="4"/>
  <c r="U15" i="4"/>
  <c r="AA15" i="4"/>
  <c r="U16" i="4"/>
  <c r="AA16" i="4"/>
  <c r="U17" i="4"/>
  <c r="AA17" i="4"/>
  <c r="U18" i="4"/>
  <c r="AA18" i="4"/>
  <c r="U19" i="4"/>
  <c r="AA19" i="4"/>
  <c r="U20" i="4"/>
  <c r="AA20" i="4"/>
  <c r="U21" i="4"/>
  <c r="AA21" i="4"/>
  <c r="U22" i="4"/>
  <c r="AA22" i="4"/>
  <c r="U23" i="4"/>
  <c r="AA23" i="4"/>
  <c r="U24" i="4"/>
  <c r="AA24" i="4"/>
  <c r="U25" i="4"/>
  <c r="AA25" i="4"/>
  <c r="U26" i="4"/>
  <c r="AA26" i="4"/>
  <c r="U27" i="4"/>
  <c r="AA27" i="4"/>
  <c r="U28" i="4"/>
  <c r="AA28" i="4"/>
  <c r="U29" i="4"/>
  <c r="AA29" i="4"/>
  <c r="U30" i="4"/>
  <c r="AA30" i="4"/>
  <c r="U31" i="4"/>
  <c r="AA31" i="4"/>
  <c r="U32" i="4"/>
  <c r="AA32" i="4"/>
  <c r="U33" i="4"/>
  <c r="AA33" i="4"/>
  <c r="U34" i="4"/>
  <c r="AA34" i="4"/>
  <c r="U35" i="4"/>
  <c r="AA35" i="4"/>
  <c r="U36" i="4"/>
  <c r="AA36" i="4"/>
  <c r="U37" i="4"/>
  <c r="AA37" i="4"/>
  <c r="U38" i="4"/>
  <c r="AA38" i="4"/>
  <c r="U39" i="4"/>
  <c r="AA39" i="4"/>
  <c r="U40" i="4"/>
  <c r="AA40" i="4"/>
  <c r="U41" i="4"/>
  <c r="AA41" i="4"/>
  <c r="U42" i="4"/>
  <c r="AA42" i="4"/>
  <c r="U43" i="4"/>
  <c r="AA43" i="4"/>
  <c r="U44" i="4"/>
  <c r="AA44" i="4"/>
  <c r="U45" i="4"/>
  <c r="AA45" i="4"/>
  <c r="U46" i="4"/>
  <c r="AA46" i="4"/>
  <c r="U47" i="4"/>
  <c r="AA47" i="4"/>
  <c r="U48" i="4"/>
  <c r="AA48" i="4"/>
  <c r="U49" i="4"/>
  <c r="AA49" i="4"/>
  <c r="U50" i="4"/>
  <c r="AA50" i="4"/>
  <c r="U51" i="4"/>
  <c r="AA51" i="4"/>
  <c r="U52" i="4"/>
  <c r="AA52" i="4"/>
  <c r="U53" i="4"/>
  <c r="AA53" i="4"/>
  <c r="U54" i="4"/>
  <c r="AA54" i="4"/>
  <c r="U55" i="4"/>
  <c r="AA55" i="4"/>
  <c r="U56" i="4"/>
  <c r="AA56" i="4"/>
  <c r="U57" i="4"/>
  <c r="AA57" i="4"/>
  <c r="U58" i="4"/>
  <c r="AA58" i="4"/>
  <c r="U59" i="4"/>
  <c r="AA59" i="4"/>
  <c r="U60" i="4"/>
  <c r="AA60" i="4"/>
  <c r="U61" i="4"/>
  <c r="AA61" i="4"/>
  <c r="U62" i="4"/>
  <c r="AA62" i="4"/>
  <c r="U63" i="4"/>
  <c r="AA63" i="4"/>
  <c r="U64" i="4"/>
  <c r="AA64" i="4"/>
  <c r="U65" i="4"/>
  <c r="AA65" i="4"/>
  <c r="U66" i="4"/>
  <c r="AA66" i="4"/>
  <c r="U67" i="4"/>
  <c r="AA67" i="4"/>
  <c r="U68" i="4"/>
  <c r="AA68" i="4"/>
  <c r="U69" i="4"/>
  <c r="AA69" i="4"/>
  <c r="U70" i="4"/>
  <c r="AA70" i="4"/>
  <c r="U71" i="4"/>
  <c r="AA71" i="4"/>
  <c r="U72" i="4"/>
  <c r="AA72" i="4"/>
  <c r="U73" i="4"/>
  <c r="AA73" i="4"/>
  <c r="U74" i="4"/>
  <c r="AA74" i="4"/>
  <c r="U75" i="4"/>
  <c r="AA75" i="4"/>
  <c r="U76" i="4"/>
  <c r="AA76" i="4"/>
  <c r="AA77" i="4"/>
  <c r="T5" i="4"/>
  <c r="Y5" i="4"/>
  <c r="S5" i="4"/>
  <c r="M5" i="4"/>
  <c r="Z5" i="4"/>
  <c r="T6" i="4"/>
  <c r="Y6" i="4"/>
  <c r="S6" i="4"/>
  <c r="M6" i="4"/>
  <c r="Z6" i="4"/>
  <c r="T7" i="4"/>
  <c r="Y7" i="4"/>
  <c r="S7" i="4"/>
  <c r="M7" i="4"/>
  <c r="Z7" i="4"/>
  <c r="T8" i="4"/>
  <c r="Y8" i="4"/>
  <c r="S8" i="4"/>
  <c r="M8" i="4"/>
  <c r="Z8" i="4"/>
  <c r="T9" i="4"/>
  <c r="Y9" i="4"/>
  <c r="S9" i="4"/>
  <c r="M9" i="4"/>
  <c r="Z9" i="4"/>
  <c r="T10" i="4"/>
  <c r="Y10" i="4"/>
  <c r="S10" i="4"/>
  <c r="M10" i="4"/>
  <c r="Z10" i="4"/>
  <c r="T11" i="4"/>
  <c r="Y11" i="4"/>
  <c r="S11" i="4"/>
  <c r="M11" i="4"/>
  <c r="Z11" i="4"/>
  <c r="T12" i="4"/>
  <c r="Y12" i="4"/>
  <c r="S12" i="4"/>
  <c r="M12" i="4"/>
  <c r="Z12" i="4"/>
  <c r="T13" i="4"/>
  <c r="Y13" i="4"/>
  <c r="S13" i="4"/>
  <c r="M13" i="4"/>
  <c r="Z13" i="4"/>
  <c r="T14" i="4"/>
  <c r="Y14" i="4"/>
  <c r="S14" i="4"/>
  <c r="M14" i="4"/>
  <c r="Z14" i="4"/>
  <c r="T15" i="4"/>
  <c r="Y15" i="4"/>
  <c r="S15" i="4"/>
  <c r="M15" i="4"/>
  <c r="Z15" i="4"/>
  <c r="T16" i="4"/>
  <c r="Y16" i="4"/>
  <c r="S16" i="4"/>
  <c r="M16" i="4"/>
  <c r="Z16" i="4"/>
  <c r="T17" i="4"/>
  <c r="Y17" i="4"/>
  <c r="S17" i="4"/>
  <c r="M17" i="4"/>
  <c r="Z17" i="4"/>
  <c r="T18" i="4"/>
  <c r="Y18" i="4"/>
  <c r="S18" i="4"/>
  <c r="M18" i="4"/>
  <c r="Z18" i="4"/>
  <c r="T19" i="4"/>
  <c r="Y19" i="4"/>
  <c r="S19" i="4"/>
  <c r="M19" i="4"/>
  <c r="Z19" i="4"/>
  <c r="T20" i="4"/>
  <c r="Y20" i="4"/>
  <c r="S20" i="4"/>
  <c r="M20" i="4"/>
  <c r="Z20" i="4"/>
  <c r="T21" i="4"/>
  <c r="Y21" i="4"/>
  <c r="S21" i="4"/>
  <c r="M21" i="4"/>
  <c r="Z21" i="4"/>
  <c r="T22" i="4"/>
  <c r="Y22" i="4"/>
  <c r="S22" i="4"/>
  <c r="M22" i="4"/>
  <c r="Z22" i="4"/>
  <c r="T23" i="4"/>
  <c r="Y23" i="4"/>
  <c r="S23" i="4"/>
  <c r="M23" i="4"/>
  <c r="Z23" i="4"/>
  <c r="T24" i="4"/>
  <c r="Y24" i="4"/>
  <c r="S24" i="4"/>
  <c r="M24" i="4"/>
  <c r="Z24" i="4"/>
  <c r="T25" i="4"/>
  <c r="Y25" i="4"/>
  <c r="S25" i="4"/>
  <c r="M25" i="4"/>
  <c r="Z25" i="4"/>
  <c r="T26" i="4"/>
  <c r="Y26" i="4"/>
  <c r="S26" i="4"/>
  <c r="M26" i="4"/>
  <c r="Z26" i="4"/>
  <c r="T27" i="4"/>
  <c r="Y27" i="4"/>
  <c r="S27" i="4"/>
  <c r="M27" i="4"/>
  <c r="Z27" i="4"/>
  <c r="T28" i="4"/>
  <c r="Y28" i="4"/>
  <c r="S28" i="4"/>
  <c r="M28" i="4"/>
  <c r="Z28" i="4"/>
  <c r="T29" i="4"/>
  <c r="Y29" i="4"/>
  <c r="S29" i="4"/>
  <c r="M29" i="4"/>
  <c r="Z29" i="4"/>
  <c r="T30" i="4"/>
  <c r="Y30" i="4"/>
  <c r="S30" i="4"/>
  <c r="M30" i="4"/>
  <c r="Z30" i="4"/>
  <c r="T31" i="4"/>
  <c r="Y31" i="4"/>
  <c r="S31" i="4"/>
  <c r="M31" i="4"/>
  <c r="Z31" i="4"/>
  <c r="T32" i="4"/>
  <c r="Y32" i="4"/>
  <c r="S32" i="4"/>
  <c r="M32" i="4"/>
  <c r="Z32" i="4"/>
  <c r="T33" i="4"/>
  <c r="Y33" i="4"/>
  <c r="S33" i="4"/>
  <c r="M33" i="4"/>
  <c r="Z33" i="4"/>
  <c r="T34" i="4"/>
  <c r="Y34" i="4"/>
  <c r="S34" i="4"/>
  <c r="M34" i="4"/>
  <c r="Z34" i="4"/>
  <c r="T35" i="4"/>
  <c r="Y35" i="4"/>
  <c r="S35" i="4"/>
  <c r="M35" i="4"/>
  <c r="Z35" i="4"/>
  <c r="T36" i="4"/>
  <c r="Y36" i="4"/>
  <c r="S36" i="4"/>
  <c r="M36" i="4"/>
  <c r="Z36" i="4"/>
  <c r="T37" i="4"/>
  <c r="Y37" i="4"/>
  <c r="S37" i="4"/>
  <c r="M37" i="4"/>
  <c r="Z37" i="4"/>
  <c r="T38" i="4"/>
  <c r="Y38" i="4"/>
  <c r="S38" i="4"/>
  <c r="M38" i="4"/>
  <c r="Z38" i="4"/>
  <c r="T39" i="4"/>
  <c r="Y39" i="4"/>
  <c r="S39" i="4"/>
  <c r="M39" i="4"/>
  <c r="Z39" i="4"/>
  <c r="T40" i="4"/>
  <c r="Y40" i="4"/>
  <c r="S40" i="4"/>
  <c r="M40" i="4"/>
  <c r="Z40" i="4"/>
  <c r="T41" i="4"/>
  <c r="Y41" i="4"/>
  <c r="S41" i="4"/>
  <c r="M41" i="4"/>
  <c r="Z41" i="4"/>
  <c r="T42" i="4"/>
  <c r="Y42" i="4"/>
  <c r="S42" i="4"/>
  <c r="M42" i="4"/>
  <c r="Z42" i="4"/>
  <c r="T43" i="4"/>
  <c r="Y43" i="4"/>
  <c r="S43" i="4"/>
  <c r="M43" i="4"/>
  <c r="Z43" i="4"/>
  <c r="T44" i="4"/>
  <c r="Y44" i="4"/>
  <c r="S44" i="4"/>
  <c r="M44" i="4"/>
  <c r="Z44" i="4"/>
  <c r="T45" i="4"/>
  <c r="Y45" i="4"/>
  <c r="S45" i="4"/>
  <c r="M45" i="4"/>
  <c r="Z45" i="4"/>
  <c r="T46" i="4"/>
  <c r="Y46" i="4"/>
  <c r="S46" i="4"/>
  <c r="M46" i="4"/>
  <c r="Z46" i="4"/>
  <c r="T47" i="4"/>
  <c r="Y47" i="4"/>
  <c r="S47" i="4"/>
  <c r="M47" i="4"/>
  <c r="Z47" i="4"/>
  <c r="T48" i="4"/>
  <c r="Y48" i="4"/>
  <c r="S48" i="4"/>
  <c r="M48" i="4"/>
  <c r="Z48" i="4"/>
  <c r="T49" i="4"/>
  <c r="Y49" i="4"/>
  <c r="S49" i="4"/>
  <c r="M49" i="4"/>
  <c r="Z49" i="4"/>
  <c r="T50" i="4"/>
  <c r="Y50" i="4"/>
  <c r="S50" i="4"/>
  <c r="M50" i="4"/>
  <c r="Z50" i="4"/>
  <c r="T51" i="4"/>
  <c r="Y51" i="4"/>
  <c r="S51" i="4"/>
  <c r="M51" i="4"/>
  <c r="Z51" i="4"/>
  <c r="T52" i="4"/>
  <c r="Y52" i="4"/>
  <c r="S52" i="4"/>
  <c r="M52" i="4"/>
  <c r="Z52" i="4"/>
  <c r="T53" i="4"/>
  <c r="Y53" i="4"/>
  <c r="S53" i="4"/>
  <c r="M53" i="4"/>
  <c r="Z53" i="4"/>
  <c r="T54" i="4"/>
  <c r="Y54" i="4"/>
  <c r="S54" i="4"/>
  <c r="M54" i="4"/>
  <c r="Z54" i="4"/>
  <c r="T55" i="4"/>
  <c r="Y55" i="4"/>
  <c r="S55" i="4"/>
  <c r="M55" i="4"/>
  <c r="Z55" i="4"/>
  <c r="T56" i="4"/>
  <c r="Y56" i="4"/>
  <c r="S56" i="4"/>
  <c r="M56" i="4"/>
  <c r="Z56" i="4"/>
  <c r="T57" i="4"/>
  <c r="Y57" i="4"/>
  <c r="S57" i="4"/>
  <c r="M57" i="4"/>
  <c r="Z57" i="4"/>
  <c r="T58" i="4"/>
  <c r="Y58" i="4"/>
  <c r="S58" i="4"/>
  <c r="M58" i="4"/>
  <c r="Z58" i="4"/>
  <c r="T59" i="4"/>
  <c r="Y59" i="4"/>
  <c r="S59" i="4"/>
  <c r="M59" i="4"/>
  <c r="Z59" i="4"/>
  <c r="T60" i="4"/>
  <c r="Y60" i="4"/>
  <c r="S60" i="4"/>
  <c r="M60" i="4"/>
  <c r="Z60" i="4"/>
  <c r="T61" i="4"/>
  <c r="Y61" i="4"/>
  <c r="S61" i="4"/>
  <c r="M61" i="4"/>
  <c r="Z61" i="4"/>
  <c r="T62" i="4"/>
  <c r="Y62" i="4"/>
  <c r="S62" i="4"/>
  <c r="M62" i="4"/>
  <c r="Z62" i="4"/>
  <c r="T63" i="4"/>
  <c r="Y63" i="4"/>
  <c r="S63" i="4"/>
  <c r="M63" i="4"/>
  <c r="Z63" i="4"/>
  <c r="T64" i="4"/>
  <c r="Y64" i="4"/>
  <c r="S64" i="4"/>
  <c r="M64" i="4"/>
  <c r="Z64" i="4"/>
  <c r="T65" i="4"/>
  <c r="Y65" i="4"/>
  <c r="S65" i="4"/>
  <c r="M65" i="4"/>
  <c r="Z65" i="4"/>
  <c r="T66" i="4"/>
  <c r="Y66" i="4"/>
  <c r="S66" i="4"/>
  <c r="M66" i="4"/>
  <c r="Z66" i="4"/>
  <c r="T67" i="4"/>
  <c r="Y67" i="4"/>
  <c r="S67" i="4"/>
  <c r="M67" i="4"/>
  <c r="Z67" i="4"/>
  <c r="T68" i="4"/>
  <c r="Y68" i="4"/>
  <c r="S68" i="4"/>
  <c r="M68" i="4"/>
  <c r="Z68" i="4"/>
  <c r="T69" i="4"/>
  <c r="Y69" i="4"/>
  <c r="S69" i="4"/>
  <c r="M69" i="4"/>
  <c r="Z69" i="4"/>
  <c r="T70" i="4"/>
  <c r="Y70" i="4"/>
  <c r="S70" i="4"/>
  <c r="M70" i="4"/>
  <c r="Z70" i="4"/>
  <c r="T71" i="4"/>
  <c r="Y71" i="4"/>
  <c r="S71" i="4"/>
  <c r="M71" i="4"/>
  <c r="Z71" i="4"/>
  <c r="T72" i="4"/>
  <c r="Y72" i="4"/>
  <c r="S72" i="4"/>
  <c r="M72" i="4"/>
  <c r="Z72" i="4"/>
  <c r="T73" i="4"/>
  <c r="Y73" i="4"/>
  <c r="S73" i="4"/>
  <c r="M73" i="4"/>
  <c r="Z73" i="4"/>
  <c r="T74" i="4"/>
  <c r="Y74" i="4"/>
  <c r="S74" i="4"/>
  <c r="M74" i="4"/>
  <c r="Z74" i="4"/>
  <c r="T75" i="4"/>
  <c r="Y75" i="4"/>
  <c r="S75" i="4"/>
  <c r="M75" i="4"/>
  <c r="Z75" i="4"/>
  <c r="T76" i="4"/>
  <c r="Y76" i="4"/>
  <c r="S76" i="4"/>
  <c r="M76" i="4"/>
  <c r="Z76" i="4"/>
  <c r="Z77" i="4"/>
  <c r="T77" i="4"/>
  <c r="U77" i="4"/>
  <c r="V77" i="4"/>
  <c r="W77" i="4"/>
  <c r="X77" i="4"/>
  <c r="Y77" i="4"/>
  <c r="AE6" i="4"/>
  <c r="AF6" i="4"/>
  <c r="B4" i="5"/>
  <c r="AG6" i="4"/>
  <c r="B5" i="5"/>
  <c r="AH6" i="4"/>
  <c r="AE7" i="4"/>
  <c r="AF7" i="4"/>
  <c r="AG7" i="4"/>
  <c r="AH7" i="4"/>
  <c r="AE8" i="4"/>
  <c r="AF8" i="4"/>
  <c r="AG8" i="4"/>
  <c r="AH8" i="4"/>
  <c r="AE9" i="4"/>
  <c r="AF9" i="4"/>
  <c r="AG9" i="4"/>
  <c r="AH9" i="4"/>
  <c r="AE10" i="4"/>
  <c r="AF10" i="4"/>
  <c r="AG10" i="4"/>
  <c r="AH10" i="4"/>
  <c r="AE11" i="4"/>
  <c r="AF11" i="4"/>
  <c r="AG11" i="4"/>
  <c r="AH11" i="4"/>
  <c r="AE12" i="4"/>
  <c r="AF12" i="4"/>
  <c r="AG12" i="4"/>
  <c r="AH12" i="4"/>
  <c r="AE13" i="4"/>
  <c r="AF13" i="4"/>
  <c r="AG13" i="4"/>
  <c r="AH13" i="4"/>
  <c r="AE14" i="4"/>
  <c r="AF14" i="4"/>
  <c r="AG14" i="4"/>
  <c r="AH14" i="4"/>
  <c r="AE15" i="4"/>
  <c r="AF15" i="4"/>
  <c r="AG15" i="4"/>
  <c r="AH15" i="4"/>
  <c r="AE16" i="4"/>
  <c r="AF16" i="4"/>
  <c r="AG16" i="4"/>
  <c r="AH16" i="4"/>
  <c r="AE17" i="4"/>
  <c r="AF17" i="4"/>
  <c r="AG17" i="4"/>
  <c r="AH17" i="4"/>
  <c r="AE18" i="4"/>
  <c r="AF18" i="4"/>
  <c r="AG18" i="4"/>
  <c r="AH18" i="4"/>
  <c r="AE19" i="4"/>
  <c r="AF19" i="4"/>
  <c r="AG19" i="4"/>
  <c r="AH19" i="4"/>
  <c r="AE20" i="4"/>
  <c r="AF20" i="4"/>
  <c r="AG20" i="4"/>
  <c r="AH20" i="4"/>
  <c r="AE21" i="4"/>
  <c r="AF21" i="4"/>
  <c r="AG21" i="4"/>
  <c r="AH21" i="4"/>
  <c r="AE22" i="4"/>
  <c r="AF22" i="4"/>
  <c r="AG22" i="4"/>
  <c r="AH22" i="4"/>
  <c r="AE23" i="4"/>
  <c r="AF23" i="4"/>
  <c r="AG23" i="4"/>
  <c r="AH23" i="4"/>
  <c r="AE24" i="4"/>
  <c r="AF24" i="4"/>
  <c r="AG24" i="4"/>
  <c r="AH24" i="4"/>
  <c r="AE25" i="4"/>
  <c r="AF25" i="4"/>
  <c r="AG25" i="4"/>
  <c r="AH25" i="4"/>
  <c r="AE26" i="4"/>
  <c r="AF26" i="4"/>
  <c r="AG26" i="4"/>
  <c r="AH26" i="4"/>
  <c r="AE27" i="4"/>
  <c r="AF27" i="4"/>
  <c r="AG27" i="4"/>
  <c r="AH27" i="4"/>
  <c r="AE28" i="4"/>
  <c r="AF28" i="4"/>
  <c r="AG28" i="4"/>
  <c r="AH28" i="4"/>
  <c r="AE29" i="4"/>
  <c r="AF29" i="4"/>
  <c r="AG29" i="4"/>
  <c r="AH29" i="4"/>
  <c r="AE30" i="4"/>
  <c r="AF30" i="4"/>
  <c r="AG30" i="4"/>
  <c r="AH30" i="4"/>
  <c r="AE31" i="4"/>
  <c r="AF31" i="4"/>
  <c r="AG31" i="4"/>
  <c r="AH31" i="4"/>
  <c r="AE32" i="4"/>
  <c r="AF32" i="4"/>
  <c r="AG32" i="4"/>
  <c r="AH32" i="4"/>
  <c r="AE33" i="4"/>
  <c r="AF33" i="4"/>
  <c r="AG33" i="4"/>
  <c r="AH33" i="4"/>
  <c r="AE34" i="4"/>
  <c r="AF34" i="4"/>
  <c r="AG34" i="4"/>
  <c r="AH34" i="4"/>
  <c r="AE35" i="4"/>
  <c r="AF35" i="4"/>
  <c r="AG35" i="4"/>
  <c r="AH35" i="4"/>
  <c r="AE36" i="4"/>
  <c r="AF36" i="4"/>
  <c r="AG36" i="4"/>
  <c r="AH36" i="4"/>
  <c r="AE37" i="4"/>
  <c r="AF37" i="4"/>
  <c r="AG37" i="4"/>
  <c r="AH37" i="4"/>
  <c r="AE38" i="4"/>
  <c r="AF38" i="4"/>
  <c r="AG38" i="4"/>
  <c r="AH38" i="4"/>
  <c r="AE39" i="4"/>
  <c r="AF39" i="4"/>
  <c r="AG39" i="4"/>
  <c r="AH39" i="4"/>
  <c r="AE40" i="4"/>
  <c r="AF40" i="4"/>
  <c r="AG40" i="4"/>
  <c r="AH40" i="4"/>
  <c r="AE41" i="4"/>
  <c r="AF41" i="4"/>
  <c r="AG41" i="4"/>
  <c r="AH41" i="4"/>
  <c r="AE42" i="4"/>
  <c r="AF42" i="4"/>
  <c r="AG42" i="4"/>
  <c r="AH42" i="4"/>
  <c r="AE43" i="4"/>
  <c r="AF43" i="4"/>
  <c r="AG43" i="4"/>
  <c r="AH43" i="4"/>
  <c r="AE44" i="4"/>
  <c r="AF44" i="4"/>
  <c r="AG44" i="4"/>
  <c r="AH44" i="4"/>
  <c r="AE45" i="4"/>
  <c r="AF45" i="4"/>
  <c r="AG45" i="4"/>
  <c r="AH45" i="4"/>
  <c r="AE46" i="4"/>
  <c r="AF46" i="4"/>
  <c r="AG46" i="4"/>
  <c r="AH46" i="4"/>
  <c r="AE47" i="4"/>
  <c r="AF47" i="4"/>
  <c r="AG47" i="4"/>
  <c r="AH47" i="4"/>
  <c r="AE48" i="4"/>
  <c r="AF48" i="4"/>
  <c r="AG48" i="4"/>
  <c r="AH48" i="4"/>
  <c r="AE49" i="4"/>
  <c r="AF49" i="4"/>
  <c r="AG49" i="4"/>
  <c r="AH49" i="4"/>
  <c r="AE50" i="4"/>
  <c r="AF50" i="4"/>
  <c r="AG50" i="4"/>
  <c r="AH50" i="4"/>
  <c r="AE51" i="4"/>
  <c r="AF51" i="4"/>
  <c r="AG51" i="4"/>
  <c r="AH51" i="4"/>
  <c r="AE52" i="4"/>
  <c r="AF52" i="4"/>
  <c r="AG52" i="4"/>
  <c r="AH52" i="4"/>
  <c r="AE53" i="4"/>
  <c r="AF53" i="4"/>
  <c r="AG53" i="4"/>
  <c r="AH53" i="4"/>
  <c r="AE54" i="4"/>
  <c r="AF54" i="4"/>
  <c r="AG54" i="4"/>
  <c r="AH54" i="4"/>
  <c r="AE55" i="4"/>
  <c r="AF55" i="4"/>
  <c r="AG55" i="4"/>
  <c r="AH55" i="4"/>
  <c r="AE56" i="4"/>
  <c r="AF56" i="4"/>
  <c r="AG56" i="4"/>
  <c r="AH56" i="4"/>
  <c r="AE57" i="4"/>
  <c r="AF57" i="4"/>
  <c r="AG57" i="4"/>
  <c r="AH57" i="4"/>
  <c r="AE58" i="4"/>
  <c r="AF58" i="4"/>
  <c r="AG58" i="4"/>
  <c r="AH58" i="4"/>
  <c r="AE59" i="4"/>
  <c r="AF59" i="4"/>
  <c r="AG59" i="4"/>
  <c r="AH59" i="4"/>
  <c r="AE60" i="4"/>
  <c r="AF60" i="4"/>
  <c r="AG60" i="4"/>
  <c r="AH60" i="4"/>
  <c r="AE61" i="4"/>
  <c r="AF61" i="4"/>
  <c r="AG61" i="4"/>
  <c r="AH61" i="4"/>
  <c r="AE62" i="4"/>
  <c r="AF62" i="4"/>
  <c r="AG62" i="4"/>
  <c r="AH62" i="4"/>
  <c r="AE63" i="4"/>
  <c r="AF63" i="4"/>
  <c r="AG63" i="4"/>
  <c r="AH63" i="4"/>
  <c r="AE64" i="4"/>
  <c r="AF64" i="4"/>
  <c r="AG64" i="4"/>
  <c r="AH64" i="4"/>
  <c r="AE65" i="4"/>
  <c r="AF65" i="4"/>
  <c r="AG65" i="4"/>
  <c r="AH65" i="4"/>
  <c r="AE66" i="4"/>
  <c r="AF66" i="4"/>
  <c r="AG66" i="4"/>
  <c r="AH66" i="4"/>
  <c r="AE67" i="4"/>
  <c r="AF67" i="4"/>
  <c r="AG67" i="4"/>
  <c r="AH67" i="4"/>
  <c r="AE68" i="4"/>
  <c r="AF68" i="4"/>
  <c r="AG68" i="4"/>
  <c r="AH68" i="4"/>
  <c r="AE69" i="4"/>
  <c r="AF69" i="4"/>
  <c r="AG69" i="4"/>
  <c r="AH69" i="4"/>
  <c r="AE70" i="4"/>
  <c r="AF70" i="4"/>
  <c r="AG70" i="4"/>
  <c r="AH70" i="4"/>
  <c r="AE71" i="4"/>
  <c r="AF71" i="4"/>
  <c r="AG71" i="4"/>
  <c r="AH71" i="4"/>
  <c r="AE72" i="4"/>
  <c r="AF72" i="4"/>
  <c r="AG72" i="4"/>
  <c r="AH72" i="4"/>
  <c r="AE73" i="4"/>
  <c r="AF73" i="4"/>
  <c r="AG73" i="4"/>
  <c r="AH73" i="4"/>
  <c r="AE74" i="4"/>
  <c r="AF74" i="4"/>
  <c r="AG74" i="4"/>
  <c r="AH74" i="4"/>
  <c r="AE75" i="4"/>
  <c r="AF75" i="4"/>
  <c r="AG75" i="4"/>
  <c r="AH75" i="4"/>
  <c r="AE76" i="4"/>
  <c r="AF76" i="4"/>
  <c r="AG76" i="4"/>
  <c r="AH76" i="4"/>
  <c r="AF5" i="4"/>
  <c r="AG5" i="4"/>
  <c r="AH5" i="4"/>
  <c r="AE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5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E102" i="2"/>
  <c r="E74" i="2"/>
  <c r="E55" i="2"/>
  <c r="E8" i="2"/>
  <c r="E10" i="2"/>
  <c r="E14" i="2"/>
  <c r="E32" i="2"/>
  <c r="E35" i="2"/>
  <c r="E42" i="2"/>
  <c r="E104" i="2"/>
  <c r="G92" i="2"/>
  <c r="H92" i="2"/>
  <c r="G93" i="2"/>
  <c r="H93" i="2"/>
  <c r="G94" i="2"/>
  <c r="H94" i="2"/>
  <c r="G95" i="2"/>
  <c r="H95" i="2"/>
  <c r="G96" i="2"/>
  <c r="H96" i="2"/>
  <c r="G97" i="2"/>
  <c r="H97" i="2"/>
  <c r="G98" i="2"/>
  <c r="H98" i="2"/>
  <c r="G99" i="2"/>
  <c r="H99" i="2"/>
  <c r="H100" i="2"/>
  <c r="G81" i="2"/>
  <c r="H81" i="2"/>
  <c r="G82" i="2"/>
  <c r="H82" i="2"/>
  <c r="G83" i="2"/>
  <c r="H83" i="2"/>
  <c r="G84" i="2"/>
  <c r="H84" i="2"/>
  <c r="G85" i="2"/>
  <c r="H85" i="2"/>
  <c r="G86" i="2"/>
  <c r="H86" i="2"/>
  <c r="G87" i="2"/>
  <c r="H87" i="2"/>
  <c r="G88" i="2"/>
  <c r="H88" i="2"/>
  <c r="H89" i="2"/>
  <c r="E105" i="2"/>
  <c r="C104" i="2"/>
  <c r="G100" i="2"/>
  <c r="F100" i="2"/>
  <c r="E100" i="2"/>
  <c r="G89" i="2"/>
  <c r="F89" i="2"/>
  <c r="E89" i="2"/>
  <c r="H80" i="2"/>
  <c r="E34" i="2"/>
  <c r="E38" i="2"/>
  <c r="E76" i="2"/>
  <c r="G64" i="2"/>
  <c r="H64" i="2"/>
  <c r="G65" i="2"/>
  <c r="H65" i="2"/>
  <c r="G66" i="2"/>
  <c r="H66" i="2"/>
  <c r="G67" i="2"/>
  <c r="H67" i="2"/>
  <c r="G68" i="2"/>
  <c r="H68" i="2"/>
  <c r="G69" i="2"/>
  <c r="H69" i="2"/>
  <c r="G70" i="2"/>
  <c r="H70" i="2"/>
  <c r="G71" i="2"/>
  <c r="H71" i="2"/>
  <c r="H72" i="2"/>
  <c r="E77" i="2"/>
  <c r="C76" i="2"/>
  <c r="G72" i="2"/>
  <c r="F72" i="2"/>
  <c r="E72" i="2"/>
  <c r="H63" i="2"/>
  <c r="E13" i="2"/>
  <c r="E28" i="2"/>
  <c r="E57" i="2"/>
  <c r="F50" i="2"/>
  <c r="G50" i="2"/>
  <c r="H50" i="2"/>
  <c r="F51" i="2"/>
  <c r="G51" i="2"/>
  <c r="H51" i="2"/>
  <c r="F52" i="2"/>
  <c r="G52" i="2"/>
  <c r="H52" i="2"/>
  <c r="H53" i="2"/>
  <c r="E58" i="2"/>
  <c r="C57" i="2"/>
  <c r="G53" i="2"/>
  <c r="F53" i="2"/>
  <c r="E53" i="2"/>
  <c r="H49" i="2"/>
  <c r="E43" i="2"/>
  <c r="E44" i="2"/>
  <c r="H44" i="2"/>
  <c r="I44" i="2"/>
  <c r="E39" i="2"/>
  <c r="E40" i="2"/>
  <c r="H40" i="2"/>
  <c r="I40" i="2"/>
  <c r="E36" i="2"/>
  <c r="C32" i="2"/>
  <c r="E29" i="2"/>
  <c r="E30" i="2"/>
  <c r="H30" i="2"/>
  <c r="I30" i="2"/>
  <c r="E12" i="2"/>
  <c r="E17" i="2"/>
  <c r="E22" i="2"/>
  <c r="E24" i="2"/>
  <c r="E26" i="2"/>
  <c r="H26" i="2"/>
  <c r="I26" i="2"/>
  <c r="C17" i="2"/>
  <c r="E15" i="2"/>
  <c r="C15" i="2"/>
  <c r="AI76" i="4"/>
  <c r="AI75" i="4"/>
  <c r="AI74" i="4"/>
  <c r="AI73" i="4"/>
  <c r="AI72" i="4"/>
  <c r="AI71" i="4"/>
  <c r="AI70" i="4"/>
  <c r="AI69" i="4"/>
  <c r="AI68" i="4"/>
  <c r="AI67" i="4"/>
  <c r="AI66" i="4"/>
  <c r="AI65" i="4"/>
  <c r="AI64" i="4"/>
  <c r="AI63" i="4"/>
  <c r="AI62" i="4"/>
  <c r="AI61" i="4"/>
  <c r="AI60" i="4"/>
  <c r="AI59" i="4"/>
  <c r="AI58" i="4"/>
  <c r="AI57" i="4"/>
  <c r="AI56" i="4"/>
  <c r="AI55" i="4"/>
  <c r="AI54" i="4"/>
  <c r="AI53" i="4"/>
  <c r="AI52" i="4"/>
  <c r="AI51" i="4"/>
  <c r="AI50" i="4"/>
  <c r="AI49" i="4"/>
  <c r="AI48" i="4"/>
  <c r="AI47" i="4"/>
  <c r="AI46" i="4"/>
  <c r="AI45" i="4"/>
  <c r="AI44" i="4"/>
  <c r="AI43" i="4"/>
  <c r="AI42" i="4"/>
  <c r="AI41" i="4"/>
  <c r="AI40" i="4"/>
  <c r="AI39" i="4"/>
  <c r="AI38" i="4"/>
  <c r="AI37" i="4"/>
  <c r="AI36" i="4"/>
  <c r="AI35" i="4"/>
  <c r="AI34" i="4"/>
  <c r="AI33" i="4"/>
  <c r="AI32" i="4"/>
  <c r="AI31" i="4"/>
  <c r="AI30" i="4"/>
  <c r="AI29" i="4"/>
  <c r="AI28" i="4"/>
  <c r="AI27" i="4"/>
  <c r="AI26" i="4"/>
  <c r="AI25" i="4"/>
  <c r="AI24" i="4"/>
  <c r="AI23" i="4"/>
  <c r="AI22" i="4"/>
  <c r="AI21" i="4"/>
  <c r="AI20" i="4"/>
  <c r="AI19" i="4"/>
  <c r="AI18" i="4"/>
  <c r="AI17" i="4"/>
  <c r="AI16" i="4"/>
  <c r="AI15" i="4"/>
  <c r="AI14" i="4"/>
  <c r="AI13" i="4"/>
  <c r="AI12" i="4"/>
  <c r="AI11" i="4"/>
  <c r="AI10" i="4"/>
  <c r="AI9" i="4"/>
  <c r="AI8" i="4"/>
  <c r="AI7" i="4"/>
  <c r="AI6" i="4"/>
  <c r="AI5" i="4"/>
  <c r="AI77" i="4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76" i="7"/>
</calcChain>
</file>

<file path=xl/sharedStrings.xml><?xml version="1.0" encoding="utf-8"?>
<sst xmlns="http://schemas.openxmlformats.org/spreadsheetml/2006/main" count="296" uniqueCount="177">
  <si>
    <t>Calculated with data available as of October 10, 2019</t>
  </si>
  <si>
    <t>EdCode</t>
  </si>
  <si>
    <t>84750.4(b)(2)</t>
  </si>
  <si>
    <t>2019-20 TCR by DOF at Budget Act</t>
  </si>
  <si>
    <t>Budget Act 2019</t>
  </si>
  <si>
    <t>Provision 2(a)(1)</t>
  </si>
  <si>
    <t>Growth</t>
  </si>
  <si>
    <t>Hold Harmless - DOF</t>
  </si>
  <si>
    <t>84750.4(b)(1)</t>
  </si>
  <si>
    <t>Cost of CDCP FTES</t>
  </si>
  <si>
    <t>Cost of Noncredit FTES</t>
  </si>
  <si>
    <t>subtotal</t>
  </si>
  <si>
    <t>Funds Available for Distribution</t>
  </si>
  <si>
    <t>84750.4(b)(2)(A)</t>
  </si>
  <si>
    <t>Base Allocation</t>
  </si>
  <si>
    <t>84750.4(b)(2)(B)</t>
  </si>
  <si>
    <t>Supplemental Allocation</t>
  </si>
  <si>
    <t>84750.4(b)(2)(C)(i)</t>
  </si>
  <si>
    <t>Student Success Allocation</t>
  </si>
  <si>
    <t>Cost of Basic Allocation</t>
  </si>
  <si>
    <t>84750.4(d)(3)</t>
  </si>
  <si>
    <t>Cost of Incarcerated Students</t>
  </si>
  <si>
    <t>Cost of Special Admit Students</t>
  </si>
  <si>
    <t>Funds for New Credit FTES Rate</t>
  </si>
  <si>
    <t>3 year average Credit FTES</t>
  </si>
  <si>
    <t>2018-19</t>
  </si>
  <si>
    <t>dif</t>
  </si>
  <si>
    <t>%dif</t>
  </si>
  <si>
    <t>84750.4(d)(1)(C)(ii)</t>
  </si>
  <si>
    <t>New Credit FTES Rate</t>
  </si>
  <si>
    <t>84750.4(b)(2)(C)(i)(ii)</t>
  </si>
  <si>
    <t>Total Point Count</t>
  </si>
  <si>
    <t>New Supplemental Allocation Point Value</t>
  </si>
  <si>
    <t>Main Component</t>
  </si>
  <si>
    <t>Equity Component</t>
  </si>
  <si>
    <t>Point Count for Main Component</t>
  </si>
  <si>
    <t>New Main Component Point Value</t>
  </si>
  <si>
    <t>Point Count for Equity Component</t>
  </si>
  <si>
    <t>New Equity Component Point Value</t>
  </si>
  <si>
    <t>Supplemental</t>
  </si>
  <si>
    <t>Points</t>
  </si>
  <si>
    <r>
      <t>Total Counts</t>
    </r>
    <r>
      <rPr>
        <b/>
        <vertAlign val="superscript"/>
        <sz val="11"/>
        <rFont val="Calibri"/>
        <family val="2"/>
        <scheme val="minor"/>
      </rPr>
      <t>1</t>
    </r>
  </si>
  <si>
    <t>Total Points</t>
  </si>
  <si>
    <t>Total Dollars</t>
  </si>
  <si>
    <t>Metrics</t>
  </si>
  <si>
    <t>(a)</t>
  </si>
  <si>
    <t>(b)</t>
  </si>
  <si>
    <t>(c) = (a) * (b)</t>
  </si>
  <si>
    <t>AB 540 Students</t>
  </si>
  <si>
    <t>Pell Grant Recipients</t>
  </si>
  <si>
    <t>Promise Grant Recipients</t>
  </si>
  <si>
    <t>Total</t>
  </si>
  <si>
    <t>Supplemental Rate Per Point</t>
  </si>
  <si>
    <t>Goal seek to zero</t>
  </si>
  <si>
    <t>Student Success</t>
  </si>
  <si>
    <t>All Students</t>
  </si>
  <si>
    <t>Associate Degrees for Transfers</t>
  </si>
  <si>
    <t>Associate Degrees</t>
  </si>
  <si>
    <t>Baccalaureate Degrees</t>
  </si>
  <si>
    <t>Credit Certificates</t>
  </si>
  <si>
    <t>Transfer Level Math and English</t>
  </si>
  <si>
    <t>Transfers</t>
  </si>
  <si>
    <t>Nine or More CTE Units</t>
  </si>
  <si>
    <t>Regional Living Wage</t>
  </si>
  <si>
    <t>Student Success Main Component Rate per Point</t>
  </si>
  <si>
    <t>Student Success Equity Rate per Point</t>
  </si>
  <si>
    <t>2016-17</t>
  </si>
  <si>
    <t>2017-18</t>
  </si>
  <si>
    <t>FTES Data</t>
  </si>
  <si>
    <t xml:space="preserve">Inmates in Correctional Facilities Education FTES </t>
  </si>
  <si>
    <t>Special Admit
FTES</t>
  </si>
  <si>
    <t>Excluding Inmates and Special Admit</t>
  </si>
  <si>
    <t>District</t>
  </si>
  <si>
    <t>Credit</t>
  </si>
  <si>
    <t>Noncredit</t>
  </si>
  <si>
    <t>CDCP</t>
  </si>
  <si>
    <t>zzzTotals</t>
  </si>
  <si>
    <t>2019-20 Projection</t>
  </si>
  <si>
    <t xml:space="preserve">FTES </t>
  </si>
  <si>
    <t>Noncredit FTES</t>
  </si>
  <si>
    <t>CDCP FTES</t>
  </si>
  <si>
    <t>Special Admits and Students in Correctional Facilities FTES</t>
  </si>
  <si>
    <t>3-Year Average Credit FTES (Excluding Inmates and Special Admits)</t>
  </si>
  <si>
    <t>Blue indicates raw data</t>
  </si>
  <si>
    <t>Indicates projected estimates</t>
  </si>
  <si>
    <t>Model Inputs</t>
  </si>
  <si>
    <t>Credit FTES</t>
  </si>
  <si>
    <t>Basic Allocation DOF</t>
  </si>
  <si>
    <t>Rate Assumptions</t>
  </si>
  <si>
    <t>BASE ALLOCATION</t>
  </si>
  <si>
    <t>Allocation Calculations</t>
  </si>
  <si>
    <t>Pell Grant Recipients
Totals</t>
  </si>
  <si>
    <t>2016-17 
AB540 Headcount</t>
  </si>
  <si>
    <t>California Promise Grant Recipients Totals</t>
  </si>
  <si>
    <t>2017-18 
AB540 Headcount</t>
  </si>
  <si>
    <t>Allan Hancock</t>
  </si>
  <si>
    <t>Antelope</t>
  </si>
  <si>
    <t>Barstow</t>
  </si>
  <si>
    <t>Butte</t>
  </si>
  <si>
    <t>Cabrillo</t>
  </si>
  <si>
    <t>Cerritos</t>
  </si>
  <si>
    <t>Chabot-Las Positas</t>
  </si>
  <si>
    <t>Chaffey</t>
  </si>
  <si>
    <t>Citrus</t>
  </si>
  <si>
    <t>Coast</t>
  </si>
  <si>
    <t>Compton</t>
  </si>
  <si>
    <t>Contra Costa</t>
  </si>
  <si>
    <t>Copper Mountain</t>
  </si>
  <si>
    <t>Desert</t>
  </si>
  <si>
    <t>El Camino</t>
  </si>
  <si>
    <t>Feather River</t>
  </si>
  <si>
    <t>Gavilan</t>
  </si>
  <si>
    <t>Glendale</t>
  </si>
  <si>
    <t>Grossmont-Cuyamaca</t>
  </si>
  <si>
    <t>Hartnell</t>
  </si>
  <si>
    <t>Imperial</t>
  </si>
  <si>
    <t>Kern</t>
  </si>
  <si>
    <t>Lake Tahoe</t>
  </si>
  <si>
    <t>Lassen</t>
  </si>
  <si>
    <t>Long Beach</t>
  </si>
  <si>
    <t>Los Angeles</t>
  </si>
  <si>
    <t>Los Rios</t>
  </si>
  <si>
    <t>Marin</t>
  </si>
  <si>
    <t>Mendocino</t>
  </si>
  <si>
    <t>Merced</t>
  </si>
  <si>
    <t>MiraCosta</t>
  </si>
  <si>
    <t>Monterey</t>
  </si>
  <si>
    <t>Mt. San Antonio</t>
  </si>
  <si>
    <t>Mt. San Jacinto</t>
  </si>
  <si>
    <t>Napa</t>
  </si>
  <si>
    <t>North Orange</t>
  </si>
  <si>
    <t>Ohlone</t>
  </si>
  <si>
    <t>Palo Verde</t>
  </si>
  <si>
    <t>Palomar</t>
  </si>
  <si>
    <t>Pasadena</t>
  </si>
  <si>
    <t>Peralta</t>
  </si>
  <si>
    <t>Rancho Santiago</t>
  </si>
  <si>
    <t>Redwoods</t>
  </si>
  <si>
    <t>Rio Hondo</t>
  </si>
  <si>
    <t>Riverside</t>
  </si>
  <si>
    <t>San Bernardino</t>
  </si>
  <si>
    <t>San Diego</t>
  </si>
  <si>
    <t>San Francisco</t>
  </si>
  <si>
    <t>San Joaquin Delta</t>
  </si>
  <si>
    <t>San Jose</t>
  </si>
  <si>
    <t>San Luis Obispo</t>
  </si>
  <si>
    <t>San Mateo</t>
  </si>
  <si>
    <t>Santa Barbara</t>
  </si>
  <si>
    <t>Santa Clarita</t>
  </si>
  <si>
    <t>Santa Monica</t>
  </si>
  <si>
    <t>Sequoias</t>
  </si>
  <si>
    <t>Shasta Tehama</t>
  </si>
  <si>
    <t>Sierra</t>
  </si>
  <si>
    <t>Siskiyous</t>
  </si>
  <si>
    <t>Solano</t>
  </si>
  <si>
    <t>Sonoma</t>
  </si>
  <si>
    <t>South Orange County</t>
  </si>
  <si>
    <t>Southwestern</t>
  </si>
  <si>
    <t>State Center</t>
  </si>
  <si>
    <t>Ventura</t>
  </si>
  <si>
    <t>Victor Valley</t>
  </si>
  <si>
    <t>West Hills</t>
  </si>
  <si>
    <t>West Kern</t>
  </si>
  <si>
    <t>Yosemite</t>
  </si>
  <si>
    <t>Yuba</t>
  </si>
  <si>
    <t>Statewide Total</t>
  </si>
  <si>
    <t>?</t>
  </si>
  <si>
    <t>Rates</t>
  </si>
  <si>
    <t>Pell Grant Recipients Totals</t>
  </si>
  <si>
    <t>2017-18  AB540 Headcount</t>
  </si>
  <si>
    <r>
      <t>Foothill-De Anza</t>
    </r>
    <r>
      <rPr>
        <vertAlign val="superscript"/>
        <sz val="12"/>
        <color theme="1"/>
        <rFont val="Calibri"/>
        <scheme val="minor"/>
      </rPr>
      <t>3</t>
    </r>
  </si>
  <si>
    <r>
      <t>West Valley-Mission</t>
    </r>
    <r>
      <rPr>
        <vertAlign val="superscript"/>
        <sz val="12"/>
        <color theme="1"/>
        <rFont val="Calibri"/>
        <scheme val="minor"/>
      </rPr>
      <t>2</t>
    </r>
  </si>
  <si>
    <t>SUPPLEMENTAL ALLOCATION</t>
  </si>
  <si>
    <t>Notes</t>
  </si>
  <si>
    <t>Count</t>
  </si>
  <si>
    <t>Rate</t>
  </si>
  <si>
    <t xml:space="preserve">Need to verify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</si>
</sst>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  <numFmt numFmtId="166" formatCode="_(* #,##0.00_);_(* \(#,##0.00\);_(* &quot;-&quot;??_);_(@_)"/>
    <numFmt numFmtId="167" formatCode="_(* #,##0_);_(* \(#,##0\);_(* &quot;-&quot;??_);_(@_)"/>
    <numFmt numFmtId="168" formatCode="_(&quot;$&quot;* #,##0.0000_);_(&quot;$&quot;* \(#,##0.0000\);_(&quot;$&quot;* &quot;-&quot;??_);_(@_)"/>
    <numFmt numFmtId="169" formatCode="0.00000000000%"/>
    <numFmt numFmtId="170" formatCode="_(&quot;$&quot;* #,##0_);_(&quot;$&quot;* \(#,##0\);_(&quot;$&quot;* &quot;-&quot;_);_(@_)"/>
    <numFmt numFmtId="171" formatCode="#,##0.0_);\(#,##0.0\)"/>
    <numFmt numFmtId="172" formatCode="&quot;$&quot;#,##0.00_);\(&quot;$&quot;#,##0.00\)"/>
    <numFmt numFmtId="184" formatCode="_-* #,##0_-;\-* #,##0_-;_-* &quot;-&quot;??_-;_-@_-"/>
    <numFmt numFmtId="187" formatCode="[$-10409]#,##0;\(#,##0\)"/>
  </numFmts>
  <fonts count="19" x14ac:knownFonts="1">
    <font>
      <sz val="12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sz val="12"/>
      <color rgb="FF3F3F76"/>
      <name val="Calibri"/>
      <family val="2"/>
      <charset val="129"/>
      <scheme val="minor"/>
    </font>
    <font>
      <b/>
      <sz val="12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</font>
    <font>
      <b/>
      <vertAlign val="superscript"/>
      <sz val="11"/>
      <name val="Calibri"/>
      <family val="2"/>
      <scheme val="minor"/>
    </font>
    <font>
      <u/>
      <sz val="12"/>
      <color theme="10"/>
      <name val="Calibri"/>
      <family val="2"/>
      <charset val="129"/>
      <scheme val="minor"/>
    </font>
    <font>
      <u/>
      <sz val="12"/>
      <color theme="11"/>
      <name val="Calibri"/>
      <family val="2"/>
      <charset val="129"/>
      <scheme val="minor"/>
    </font>
    <font>
      <b/>
      <sz val="12"/>
      <color indexed="8"/>
      <name val="Calibri"/>
      <scheme val="minor"/>
    </font>
    <font>
      <sz val="10"/>
      <name val="MS Sans Serif"/>
      <family val="2"/>
    </font>
    <font>
      <sz val="10"/>
      <name val="Arial"/>
      <family val="2"/>
    </font>
    <font>
      <b/>
      <sz val="12"/>
      <name val="Calibri"/>
      <scheme val="minor"/>
    </font>
    <font>
      <sz val="12"/>
      <color indexed="8"/>
      <name val="Calibri"/>
      <scheme val="minor"/>
    </font>
    <font>
      <vertAlign val="superscript"/>
      <sz val="12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87D57C"/>
        <bgColor indexed="64"/>
      </patternFill>
    </fill>
  </fills>
  <borders count="2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rgb="FF7F7F7F"/>
      </right>
      <top style="thin">
        <color auto="1"/>
      </top>
      <bottom style="thin">
        <color rgb="FF7F7F7F"/>
      </bottom>
      <diagonal/>
    </border>
    <border>
      <left/>
      <right style="thin">
        <color rgb="FF7F7F7F"/>
      </right>
      <top style="thin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auto="1"/>
      </top>
      <bottom style="thin">
        <color rgb="FF7F7F7F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/>
      <right style="thin">
        <color auto="1"/>
      </right>
      <top style="thin">
        <color rgb="FF7F7F7F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34998626667073579"/>
      </top>
      <bottom style="thin">
        <color theme="0" tint="-0.14996795556505021"/>
      </bottom>
      <diagonal/>
    </border>
  </borders>
  <cellStyleXfs count="12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4" fillId="0" borderId="0"/>
    <xf numFmtId="0" fontId="15" fillId="0" borderId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198">
    <xf numFmtId="0" fontId="0" fillId="0" borderId="0" xfId="0"/>
    <xf numFmtId="0" fontId="2" fillId="2" borderId="2" xfId="4" applyBorder="1" applyAlignment="1">
      <alignment vertical="center"/>
    </xf>
    <xf numFmtId="0" fontId="2" fillId="2" borderId="3" xfId="4" applyBorder="1" applyAlignment="1">
      <alignment vertical="center"/>
    </xf>
    <xf numFmtId="0" fontId="2" fillId="2" borderId="4" xfId="4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165" fontId="1" fillId="0" borderId="8" xfId="2" applyNumberFormat="1" applyBorder="1"/>
    <xf numFmtId="0" fontId="0" fillId="0" borderId="9" xfId="0" applyBorder="1" applyAlignment="1">
      <alignment horizontal="left" wrapText="1"/>
    </xf>
    <xf numFmtId="0" fontId="0" fillId="0" borderId="0" xfId="0" applyAlignment="1">
      <alignment horizontal="left" wrapText="1"/>
    </xf>
    <xf numFmtId="165" fontId="1" fillId="0" borderId="10" xfId="2" applyNumberFormat="1" applyBorder="1"/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7" fontId="4" fillId="3" borderId="10" xfId="1" applyNumberFormat="1" applyFont="1" applyFill="1" applyBorder="1"/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167" fontId="1" fillId="0" borderId="10" xfId="1" applyNumberFormat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9" xfId="0" applyBorder="1" applyAlignment="1">
      <alignment horizontal="right" wrapText="1"/>
    </xf>
    <xf numFmtId="0" fontId="0" fillId="0" borderId="0" xfId="0" applyAlignment="1">
      <alignment horizontal="right" wrapText="1"/>
    </xf>
    <xf numFmtId="165" fontId="1" fillId="0" borderId="11" xfId="2" applyNumberFormat="1" applyBorder="1"/>
    <xf numFmtId="0" fontId="5" fillId="0" borderId="12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right" vertical="top" wrapText="1"/>
    </xf>
    <xf numFmtId="165" fontId="1" fillId="0" borderId="14" xfId="2" applyNumberFormat="1" applyBorder="1" applyAlignment="1">
      <alignment vertical="top"/>
    </xf>
    <xf numFmtId="167" fontId="0" fillId="0" borderId="0" xfId="0" applyNumberFormat="1"/>
    <xf numFmtId="0" fontId="5" fillId="0" borderId="0" xfId="0" applyFont="1" applyAlignment="1">
      <alignment horizontal="right" vertical="top" wrapText="1"/>
    </xf>
    <xf numFmtId="165" fontId="1" fillId="0" borderId="0" xfId="2" applyNumberFormat="1" applyAlignment="1">
      <alignment vertical="top"/>
    </xf>
    <xf numFmtId="0" fontId="0" fillId="0" borderId="15" xfId="0" applyBorder="1" applyAlignment="1">
      <alignment horizontal="left"/>
    </xf>
    <xf numFmtId="9" fontId="0" fillId="0" borderId="5" xfId="0" applyNumberFormat="1" applyBorder="1"/>
    <xf numFmtId="9" fontId="0" fillId="0" borderId="0" xfId="0" applyNumberFormat="1"/>
    <xf numFmtId="0" fontId="0" fillId="0" borderId="0" xfId="0" applyAlignment="1">
      <alignment vertical="top"/>
    </xf>
    <xf numFmtId="0" fontId="0" fillId="0" borderId="12" xfId="0" applyBorder="1" applyAlignment="1">
      <alignment horizontal="right"/>
    </xf>
    <xf numFmtId="0" fontId="5" fillId="0" borderId="13" xfId="0" applyFont="1" applyBorder="1" applyAlignment="1">
      <alignment horizontal="center"/>
    </xf>
    <xf numFmtId="165" fontId="0" fillId="0" borderId="16" xfId="0" applyNumberFormat="1" applyBorder="1"/>
    <xf numFmtId="0" fontId="5" fillId="0" borderId="0" xfId="0" applyFont="1" applyAlignment="1">
      <alignment horizontal="right" wrapText="1"/>
    </xf>
    <xf numFmtId="0" fontId="0" fillId="0" borderId="15" xfId="0" applyBorder="1"/>
    <xf numFmtId="165" fontId="0" fillId="0" borderId="11" xfId="0" applyNumberFormat="1" applyBorder="1"/>
    <xf numFmtId="165" fontId="0" fillId="0" borderId="0" xfId="0" applyNumberFormat="1"/>
    <xf numFmtId="0" fontId="0" fillId="0" borderId="9" xfId="0" applyBorder="1"/>
    <xf numFmtId="0" fontId="0" fillId="0" borderId="10" xfId="0" applyBorder="1"/>
    <xf numFmtId="165" fontId="1" fillId="0" borderId="0" xfId="2" applyNumberFormat="1"/>
    <xf numFmtId="167" fontId="0" fillId="0" borderId="0" xfId="1" applyNumberFormat="1" applyFont="1" applyAlignment="1">
      <alignment horizontal="center" wrapText="1"/>
    </xf>
    <xf numFmtId="49" fontId="6" fillId="0" borderId="9" xfId="1" applyNumberFormat="1" applyFont="1" applyBorder="1" applyAlignment="1">
      <alignment vertical="top"/>
    </xf>
    <xf numFmtId="167" fontId="1" fillId="0" borderId="0" xfId="1" applyNumberFormat="1"/>
    <xf numFmtId="0" fontId="5" fillId="0" borderId="9" xfId="0" applyFont="1" applyBorder="1" applyAlignment="1">
      <alignment horizontal="left" wrapText="1"/>
    </xf>
    <xf numFmtId="0" fontId="5" fillId="0" borderId="0" xfId="0" applyFont="1" applyAlignment="1">
      <alignment horizontal="left" wrapText="1"/>
    </xf>
    <xf numFmtId="165" fontId="0" fillId="0" borderId="10" xfId="0" applyNumberFormat="1" applyBorder="1"/>
    <xf numFmtId="0" fontId="0" fillId="0" borderId="9" xfId="0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166" fontId="0" fillId="0" borderId="10" xfId="0" applyNumberFormat="1" applyBorder="1"/>
    <xf numFmtId="166" fontId="0" fillId="0" borderId="9" xfId="0" applyNumberFormat="1" applyBorder="1"/>
    <xf numFmtId="165" fontId="7" fillId="0" borderId="0" xfId="2" applyNumberFormat="1" applyFont="1" applyAlignment="1">
      <alignment horizontal="right" vertical="center"/>
    </xf>
    <xf numFmtId="0" fontId="0" fillId="0" borderId="0" xfId="0" quotePrefix="1" applyAlignment="1">
      <alignment horizontal="center"/>
    </xf>
    <xf numFmtId="0" fontId="4" fillId="4" borderId="12" xfId="0" applyFont="1" applyFill="1" applyBorder="1"/>
    <xf numFmtId="0" fontId="4" fillId="4" borderId="13" xfId="0" applyFont="1" applyFill="1" applyBorder="1"/>
    <xf numFmtId="164" fontId="4" fillId="0" borderId="16" xfId="2" applyNumberFormat="1" applyFont="1" applyBorder="1"/>
    <xf numFmtId="44" fontId="8" fillId="0" borderId="0" xfId="2" applyFont="1" applyAlignment="1">
      <alignment horizontal="right" vertical="center"/>
    </xf>
    <xf numFmtId="44" fontId="0" fillId="0" borderId="0" xfId="2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5" fillId="0" borderId="0" xfId="0" applyFont="1" applyAlignment="1">
      <alignment horizontal="right"/>
    </xf>
    <xf numFmtId="44" fontId="0" fillId="0" borderId="0" xfId="2" applyFont="1"/>
    <xf numFmtId="0" fontId="0" fillId="0" borderId="15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horizontal="right"/>
    </xf>
    <xf numFmtId="168" fontId="4" fillId="4" borderId="16" xfId="2" applyNumberFormat="1" applyFont="1" applyFill="1" applyBorder="1"/>
    <xf numFmtId="0" fontId="0" fillId="0" borderId="15" xfId="0" applyBorder="1" applyAlignment="1">
      <alignment vertical="top"/>
    </xf>
    <xf numFmtId="0" fontId="0" fillId="0" borderId="5" xfId="0" applyBorder="1" applyAlignment="1">
      <alignment vertical="top"/>
    </xf>
    <xf numFmtId="165" fontId="1" fillId="0" borderId="11" xfId="2" applyNumberFormat="1" applyBorder="1" applyAlignment="1">
      <alignment vertical="top"/>
    </xf>
    <xf numFmtId="44" fontId="0" fillId="0" borderId="0" xfId="2" applyFont="1" applyAlignment="1">
      <alignment vertical="top"/>
    </xf>
    <xf numFmtId="0" fontId="0" fillId="0" borderId="0" xfId="0" applyAlignment="1">
      <alignment horizontal="center" vertical="top" wrapText="1"/>
    </xf>
    <xf numFmtId="167" fontId="0" fillId="0" borderId="10" xfId="0" applyNumberFormat="1" applyBorder="1"/>
    <xf numFmtId="169" fontId="7" fillId="0" borderId="0" xfId="3" applyNumberFormat="1" applyFont="1" applyAlignment="1">
      <alignment horizontal="left" vertical="center"/>
    </xf>
    <xf numFmtId="0" fontId="0" fillId="0" borderId="9" xfId="0" applyBorder="1" applyAlignment="1">
      <alignment vertical="top"/>
    </xf>
    <xf numFmtId="9" fontId="0" fillId="0" borderId="0" xfId="0" applyNumberFormat="1" applyAlignment="1">
      <alignment vertical="top"/>
    </xf>
    <xf numFmtId="165" fontId="1" fillId="0" borderId="10" xfId="2" applyNumberFormat="1" applyBorder="1" applyAlignment="1">
      <alignment vertical="top"/>
    </xf>
    <xf numFmtId="0" fontId="8" fillId="0" borderId="0" xfId="0" applyFont="1" applyAlignment="1">
      <alignment horizontal="left" vertical="center"/>
    </xf>
    <xf numFmtId="43" fontId="8" fillId="0" borderId="0" xfId="1" applyFont="1" applyAlignment="1">
      <alignment horizontal="right" vertical="center"/>
    </xf>
    <xf numFmtId="0" fontId="0" fillId="0" borderId="12" xfId="0" applyBorder="1"/>
    <xf numFmtId="0" fontId="0" fillId="0" borderId="13" xfId="0" applyBorder="1"/>
    <xf numFmtId="165" fontId="1" fillId="0" borderId="16" xfId="2" applyNumberFormat="1" applyBorder="1"/>
    <xf numFmtId="167" fontId="0" fillId="0" borderId="11" xfId="0" applyNumberFormat="1" applyBorder="1"/>
    <xf numFmtId="167" fontId="0" fillId="0" borderId="10" xfId="1" applyNumberFormat="1" applyFont="1" applyBorder="1"/>
    <xf numFmtId="10" fontId="0" fillId="0" borderId="0" xfId="0" applyNumberFormat="1"/>
    <xf numFmtId="0" fontId="4" fillId="4" borderId="9" xfId="0" applyFont="1" applyFill="1" applyBorder="1"/>
    <xf numFmtId="0" fontId="4" fillId="4" borderId="0" xfId="0" applyFont="1" applyFill="1"/>
    <xf numFmtId="168" fontId="4" fillId="4" borderId="11" xfId="2" applyNumberFormat="1" applyFont="1" applyFill="1" applyBorder="1"/>
    <xf numFmtId="169" fontId="8" fillId="0" borderId="0" xfId="3" applyNumberFormat="1" applyFont="1" applyAlignment="1">
      <alignment horizontal="left" vertical="center"/>
    </xf>
    <xf numFmtId="0" fontId="8" fillId="0" borderId="0" xfId="0" applyFont="1" applyAlignment="1">
      <alignment horizontal="left" vertical="top" wrapText="1"/>
    </xf>
    <xf numFmtId="44" fontId="8" fillId="0" borderId="0" xfId="2" applyFont="1" applyAlignment="1">
      <alignment horizontal="right" vertical="top"/>
    </xf>
    <xf numFmtId="43" fontId="0" fillId="0" borderId="0" xfId="1" applyFont="1" applyAlignment="1">
      <alignment vertical="top"/>
    </xf>
    <xf numFmtId="43" fontId="0" fillId="0" borderId="0" xfId="1" applyFont="1" applyAlignment="1">
      <alignment horizontal="center"/>
    </xf>
    <xf numFmtId="10" fontId="9" fillId="0" borderId="0" xfId="3" applyNumberFormat="1" applyFont="1" applyAlignment="1">
      <alignment horizontal="center" vertical="top"/>
    </xf>
    <xf numFmtId="0" fontId="7" fillId="5" borderId="17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/>
    <xf numFmtId="37" fontId="8" fillId="0" borderId="0" xfId="0" applyNumberFormat="1" applyFont="1"/>
    <xf numFmtId="170" fontId="8" fillId="0" borderId="0" xfId="2" applyNumberFormat="1" applyFont="1"/>
    <xf numFmtId="167" fontId="8" fillId="0" borderId="0" xfId="1" applyNumberFormat="1" applyFont="1"/>
    <xf numFmtId="0" fontId="8" fillId="0" borderId="0" xfId="0" applyFont="1" applyAlignment="1">
      <alignment horizontal="right"/>
    </xf>
    <xf numFmtId="171" fontId="8" fillId="0" borderId="5" xfId="0" applyNumberFormat="1" applyFont="1" applyBorder="1"/>
    <xf numFmtId="37" fontId="8" fillId="0" borderId="5" xfId="0" applyNumberFormat="1" applyFont="1" applyBorder="1"/>
    <xf numFmtId="170" fontId="8" fillId="0" borderId="5" xfId="2" applyNumberFormat="1" applyFont="1" applyBorder="1"/>
    <xf numFmtId="164" fontId="8" fillId="6" borderId="0" xfId="0" applyNumberFormat="1" applyFont="1" applyFill="1"/>
    <xf numFmtId="165" fontId="8" fillId="0" borderId="0" xfId="0" applyNumberFormat="1" applyFont="1"/>
    <xf numFmtId="165" fontId="8" fillId="7" borderId="0" xfId="0" applyNumberFormat="1" applyFont="1" applyFill="1"/>
    <xf numFmtId="0" fontId="8" fillId="0" borderId="0" xfId="0" applyFont="1" applyAlignment="1">
      <alignment wrapText="1"/>
    </xf>
    <xf numFmtId="44" fontId="8" fillId="6" borderId="0" xfId="2" applyFont="1" applyFill="1"/>
    <xf numFmtId="44" fontId="8" fillId="8" borderId="0" xfId="2" applyFont="1" applyFill="1"/>
    <xf numFmtId="167" fontId="8" fillId="0" borderId="0" xfId="0" applyNumberFormat="1" applyFont="1"/>
    <xf numFmtId="0" fontId="5" fillId="0" borderId="0" xfId="0" applyFont="1" applyAlignment="1">
      <alignment horizontal="center"/>
    </xf>
    <xf numFmtId="172" fontId="5" fillId="0" borderId="0" xfId="0" applyNumberFormat="1" applyFont="1"/>
    <xf numFmtId="0" fontId="0" fillId="0" borderId="0" xfId="0" applyAlignment="1"/>
    <xf numFmtId="0" fontId="0" fillId="0" borderId="0" xfId="0" applyFill="1" applyBorder="1" applyAlignment="1"/>
    <xf numFmtId="0" fontId="3" fillId="0" borderId="0" xfId="0" applyFont="1" applyFill="1" applyBorder="1" applyAlignment="1">
      <alignment vertical="center"/>
    </xf>
    <xf numFmtId="0" fontId="3" fillId="10" borderId="0" xfId="0" applyFont="1" applyFill="1" applyAlignment="1">
      <alignment horizontal="centerContinuous"/>
    </xf>
    <xf numFmtId="184" fontId="0" fillId="10" borderId="0" xfId="1" applyNumberFormat="1" applyFont="1" applyFill="1" applyAlignment="1">
      <alignment horizontal="right"/>
    </xf>
    <xf numFmtId="184" fontId="0" fillId="3" borderId="19" xfId="1" applyNumberFormat="1" applyFont="1" applyFill="1" applyBorder="1"/>
    <xf numFmtId="184" fontId="0" fillId="3" borderId="0" xfId="1" applyNumberFormat="1" applyFont="1" applyFill="1"/>
    <xf numFmtId="184" fontId="0" fillId="3" borderId="21" xfId="1" applyNumberFormat="1" applyFont="1" applyFill="1" applyBorder="1"/>
    <xf numFmtId="0" fontId="0" fillId="3" borderId="6" xfId="0" applyFill="1" applyBorder="1" applyAlignment="1">
      <alignment horizontal="left"/>
    </xf>
    <xf numFmtId="0" fontId="0" fillId="10" borderId="0" xfId="0" applyFill="1" applyAlignment="1"/>
    <xf numFmtId="0" fontId="0" fillId="9" borderId="0" xfId="0" applyFill="1" applyAlignment="1"/>
    <xf numFmtId="184" fontId="3" fillId="10" borderId="0" xfId="1" applyNumberFormat="1" applyFont="1" applyFill="1"/>
    <xf numFmtId="0" fontId="0" fillId="3" borderId="0" xfId="0" applyFont="1" applyFill="1"/>
    <xf numFmtId="0" fontId="3" fillId="3" borderId="0" xfId="0" applyFont="1" applyFill="1" applyBorder="1" applyAlignment="1">
      <alignment horizontal="center" vertical="center" wrapText="1"/>
    </xf>
    <xf numFmtId="0" fontId="0" fillId="3" borderId="13" xfId="0" applyFont="1" applyFill="1" applyBorder="1"/>
    <xf numFmtId="184" fontId="0" fillId="3" borderId="0" xfId="0" applyNumberFormat="1" applyFont="1" applyFill="1"/>
    <xf numFmtId="184" fontId="3" fillId="3" borderId="0" xfId="1" applyNumberFormat="1" applyFont="1" applyFill="1"/>
    <xf numFmtId="184" fontId="3" fillId="11" borderId="0" xfId="0" applyNumberFormat="1" applyFont="1" applyFill="1"/>
    <xf numFmtId="184" fontId="3" fillId="3" borderId="22" xfId="1" applyNumberFormat="1" applyFont="1" applyFill="1" applyBorder="1"/>
    <xf numFmtId="0" fontId="0" fillId="0" borderId="0" xfId="0" applyFont="1" applyFill="1" applyAlignment="1">
      <alignment wrapText="1"/>
    </xf>
    <xf numFmtId="0" fontId="3" fillId="3" borderId="0" xfId="0" applyFont="1" applyFill="1" applyAlignment="1">
      <alignment horizontal="centerContinuous" wrapText="1"/>
    </xf>
    <xf numFmtId="0" fontId="3" fillId="3" borderId="0" xfId="0" applyFont="1" applyFill="1" applyAlignment="1">
      <alignment horizontal="centerContinuous"/>
    </xf>
    <xf numFmtId="0" fontId="0" fillId="3" borderId="0" xfId="0" applyFont="1" applyFill="1" applyAlignment="1">
      <alignment horizontal="centerContinuous"/>
    </xf>
    <xf numFmtId="0" fontId="0" fillId="10" borderId="0" xfId="0" applyFont="1" applyFill="1" applyAlignment="1">
      <alignment horizontal="centerContinuous"/>
    </xf>
    <xf numFmtId="0" fontId="0" fillId="9" borderId="0" xfId="0" applyFont="1" applyFill="1"/>
    <xf numFmtId="0" fontId="0" fillId="11" borderId="0" xfId="0" applyFont="1" applyFill="1"/>
    <xf numFmtId="0" fontId="0" fillId="0" borderId="0" xfId="0" applyFont="1" applyFill="1"/>
    <xf numFmtId="0" fontId="3" fillId="3" borderId="0" xfId="0" applyFont="1" applyFill="1" applyBorder="1" applyAlignment="1">
      <alignment horizontal="centerContinuous" vertical="center" wrapText="1"/>
    </xf>
    <xf numFmtId="0" fontId="3" fillId="10" borderId="0" xfId="0" applyFont="1" applyFill="1" applyBorder="1" applyAlignment="1">
      <alignment horizontal="centerContinuous" vertical="center" wrapText="1"/>
    </xf>
    <xf numFmtId="0" fontId="3" fillId="10" borderId="0" xfId="0" applyFont="1" applyFill="1" applyBorder="1" applyAlignment="1">
      <alignment horizontal="center" vertical="center" wrapText="1"/>
    </xf>
    <xf numFmtId="0" fontId="0" fillId="0" borderId="0" xfId="0" applyFont="1" applyFill="1" applyBorder="1"/>
    <xf numFmtId="0" fontId="0" fillId="0" borderId="13" xfId="0" applyFont="1" applyFill="1" applyBorder="1"/>
    <xf numFmtId="0" fontId="3" fillId="3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 applyProtection="1">
      <alignment horizontal="center" vertical="center" wrapText="1"/>
      <protection locked="0"/>
    </xf>
    <xf numFmtId="0" fontId="3" fillId="0" borderId="13" xfId="0" applyFont="1" applyFill="1" applyBorder="1" applyAlignment="1">
      <alignment horizontal="left" vertical="center" wrapText="1"/>
    </xf>
    <xf numFmtId="0" fontId="3" fillId="10" borderId="13" xfId="0" applyFont="1" applyFill="1" applyBorder="1" applyAlignment="1">
      <alignment horizontal="center" vertical="center" wrapText="1"/>
    </xf>
    <xf numFmtId="0" fontId="13" fillId="10" borderId="13" xfId="0" applyFont="1" applyFill="1" applyBorder="1" applyAlignment="1" applyProtection="1">
      <alignment horizontal="center" vertical="center" wrapText="1"/>
      <protection locked="0"/>
    </xf>
    <xf numFmtId="0" fontId="0" fillId="10" borderId="13" xfId="0" applyFont="1" applyFill="1" applyBorder="1"/>
    <xf numFmtId="0" fontId="0" fillId="9" borderId="13" xfId="0" applyFont="1" applyFill="1" applyBorder="1"/>
    <xf numFmtId="0" fontId="0" fillId="11" borderId="13" xfId="0" applyFont="1" applyFill="1" applyBorder="1"/>
    <xf numFmtId="0" fontId="0" fillId="3" borderId="20" xfId="0" applyFont="1" applyFill="1" applyBorder="1"/>
    <xf numFmtId="0" fontId="0" fillId="10" borderId="0" xfId="0" applyFont="1" applyFill="1"/>
    <xf numFmtId="0" fontId="0" fillId="0" borderId="19" xfId="0" applyFont="1" applyFill="1" applyBorder="1"/>
    <xf numFmtId="184" fontId="0" fillId="10" borderId="0" xfId="0" applyNumberFormat="1" applyFont="1" applyFill="1"/>
    <xf numFmtId="2" fontId="0" fillId="9" borderId="0" xfId="0" applyNumberFormat="1" applyFont="1" applyFill="1"/>
    <xf numFmtId="184" fontId="0" fillId="11" borderId="0" xfId="0" applyNumberFormat="1" applyFont="1" applyFill="1"/>
    <xf numFmtId="0" fontId="0" fillId="0" borderId="19" xfId="0" applyFont="1" applyFill="1" applyBorder="1" applyAlignment="1">
      <alignment horizontal="right"/>
    </xf>
    <xf numFmtId="0" fontId="3" fillId="9" borderId="0" xfId="0" applyFont="1" applyFill="1" applyAlignment="1">
      <alignment horizontal="center" vertical="center" wrapText="1"/>
    </xf>
    <xf numFmtId="0" fontId="3" fillId="11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wrapText="1"/>
    </xf>
    <xf numFmtId="0" fontId="0" fillId="3" borderId="0" xfId="0" applyFont="1" applyFill="1" applyBorder="1" applyAlignment="1">
      <alignment horizontal="right"/>
    </xf>
    <xf numFmtId="0" fontId="0" fillId="3" borderId="0" xfId="0" applyFont="1" applyFill="1" applyBorder="1"/>
    <xf numFmtId="167" fontId="0" fillId="3" borderId="0" xfId="1" applyNumberFormat="1" applyFont="1" applyFill="1"/>
    <xf numFmtId="0" fontId="3" fillId="0" borderId="0" xfId="0" applyFont="1" applyFill="1" applyBorder="1"/>
    <xf numFmtId="0" fontId="3" fillId="3" borderId="0" xfId="0" applyFont="1" applyFill="1" applyBorder="1" applyAlignment="1">
      <alignment horizontal="centerContinuous"/>
    </xf>
    <xf numFmtId="0" fontId="3" fillId="3" borderId="0" xfId="0" applyFont="1" applyFill="1" applyBorder="1" applyAlignment="1">
      <alignment horizontal="center" vertical="center"/>
    </xf>
    <xf numFmtId="0" fontId="3" fillId="10" borderId="0" xfId="0" applyFont="1" applyFill="1" applyBorder="1" applyAlignment="1">
      <alignment horizontal="centerContinuous"/>
    </xf>
    <xf numFmtId="0" fontId="0" fillId="10" borderId="0" xfId="0" applyFont="1" applyFill="1" applyBorder="1"/>
    <xf numFmtId="184" fontId="0" fillId="10" borderId="0" xfId="0" applyNumberFormat="1" applyFont="1" applyFill="1" applyBorder="1"/>
    <xf numFmtId="0" fontId="3" fillId="9" borderId="0" xfId="0" applyFont="1" applyFill="1" applyAlignment="1">
      <alignment horizontal="centerContinuous"/>
    </xf>
    <xf numFmtId="0" fontId="3" fillId="9" borderId="0" xfId="0" applyFont="1" applyFill="1" applyBorder="1" applyAlignment="1">
      <alignment horizontal="centerContinuous"/>
    </xf>
    <xf numFmtId="0" fontId="0" fillId="9" borderId="0" xfId="0" applyFont="1" applyFill="1" applyBorder="1"/>
    <xf numFmtId="43" fontId="0" fillId="9" borderId="0" xfId="1" applyFont="1" applyFill="1" applyAlignment="1">
      <alignment horizontal="right"/>
    </xf>
    <xf numFmtId="43" fontId="0" fillId="9" borderId="0" xfId="1" applyFont="1" applyFill="1"/>
    <xf numFmtId="0" fontId="0" fillId="0" borderId="0" xfId="0" applyFont="1"/>
    <xf numFmtId="0" fontId="3" fillId="0" borderId="13" xfId="0" applyFont="1" applyFill="1" applyBorder="1" applyAlignment="1">
      <alignment wrapText="1"/>
    </xf>
    <xf numFmtId="0" fontId="16" fillId="3" borderId="13" xfId="79" applyFont="1" applyFill="1" applyBorder="1" applyAlignment="1">
      <alignment horizontal="center" wrapText="1"/>
    </xf>
    <xf numFmtId="167" fontId="16" fillId="3" borderId="13" xfId="1" applyNumberFormat="1" applyFont="1" applyFill="1" applyBorder="1" applyAlignment="1">
      <alignment horizontal="center" wrapText="1"/>
    </xf>
    <xf numFmtId="0" fontId="3" fillId="10" borderId="13" xfId="0" applyFont="1" applyFill="1" applyBorder="1" applyAlignment="1">
      <alignment wrapText="1"/>
    </xf>
    <xf numFmtId="0" fontId="3" fillId="9" borderId="13" xfId="0" applyFont="1" applyFill="1" applyBorder="1" applyAlignment="1">
      <alignment wrapText="1"/>
    </xf>
    <xf numFmtId="0" fontId="3" fillId="0" borderId="0" xfId="0" applyFont="1" applyFill="1" applyBorder="1" applyAlignment="1">
      <alignment horizontal="left" wrapText="1"/>
    </xf>
    <xf numFmtId="187" fontId="17" fillId="3" borderId="0" xfId="80" applyNumberFormat="1" applyFont="1" applyFill="1" applyBorder="1" applyAlignment="1" applyProtection="1">
      <alignment horizontal="right" wrapText="1" readingOrder="1"/>
      <protection locked="0"/>
    </xf>
    <xf numFmtId="0" fontId="3" fillId="0" borderId="0" xfId="0" applyFont="1" applyFill="1" applyBorder="1" applyAlignment="1">
      <alignment horizontal="right"/>
    </xf>
    <xf numFmtId="167" fontId="3" fillId="3" borderId="0" xfId="1" applyNumberFormat="1" applyFont="1" applyFill="1" applyBorder="1"/>
    <xf numFmtId="0" fontId="3" fillId="3" borderId="0" xfId="0" applyFont="1" applyFill="1" applyBorder="1"/>
    <xf numFmtId="184" fontId="3" fillId="10" borderId="0" xfId="0" applyNumberFormat="1" applyFont="1" applyFill="1" applyBorder="1"/>
    <xf numFmtId="184" fontId="0" fillId="11" borderId="0" xfId="1" applyNumberFormat="1" applyFont="1" applyFill="1"/>
    <xf numFmtId="184" fontId="3" fillId="11" borderId="13" xfId="1" applyNumberFormat="1" applyFont="1" applyFill="1" applyBorder="1" applyAlignment="1">
      <alignment horizontal="center" vertical="center" wrapText="1"/>
    </xf>
    <xf numFmtId="184" fontId="0" fillId="11" borderId="0" xfId="1" applyNumberFormat="1" applyFont="1" applyFill="1" applyBorder="1"/>
    <xf numFmtId="184" fontId="3" fillId="11" borderId="0" xfId="1" applyNumberFormat="1" applyFont="1" applyFill="1"/>
    <xf numFmtId="43" fontId="3" fillId="9" borderId="0" xfId="1" applyFont="1" applyFill="1"/>
    <xf numFmtId="0" fontId="3" fillId="0" borderId="0" xfId="0" applyFont="1"/>
  </cellXfs>
  <cellStyles count="123">
    <cellStyle name="Comma" xfId="1" builtinId="3"/>
    <cellStyle name="Currency" xfId="2" builtinId="4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Input" xfId="4" builtinId="20"/>
    <cellStyle name="Normal" xfId="0" builtinId="0"/>
    <cellStyle name="Normal 2" xfId="79"/>
    <cellStyle name="Normal 2 2" xfId="80"/>
    <cellStyle name="Percent" xfId="3" builtinId="5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rci/AppData/Local/Microsoft/Windows/INetCache/Content.Outlook/BZC0ZU13/2019-20%20P1%20-%20047%20(rates%20estimator%20October%2010%202019%20Final%20for%20mtg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in%202018-19%20SCFF%2078%20(analysis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0| TableOfContent"/>
      <sheetName val="20| Workbook Information"/>
      <sheetName val="30| MetricNamingConvention"/>
      <sheetName val="40| NamesDistrictCollegeCenter"/>
      <sheetName val="50| Data Dictionary"/>
      <sheetName val="60| Hold Harmless Provisions"/>
      <sheetName val="61| Ed Code 84750.4"/>
      <sheetName val="70|FiscalYears+DataYears"/>
      <sheetName val="71|Timeline"/>
      <sheetName val="80| Data Status"/>
      <sheetName val="90| Whiteboard"/>
      <sheetName val="100| Exhibit C"/>
      <sheetName val="110| Exhibit C data"/>
      <sheetName val="200| Budget Act"/>
      <sheetName val="210| EPA Budget"/>
      <sheetName val="220| Funds and Balances"/>
      <sheetName val="300| ApportChart-19-20CONF"/>
      <sheetName val="310| Memo Table"/>
      <sheetName val="400| CY Allocations"/>
      <sheetName val="401| Minimum Revenue rpt"/>
      <sheetName val="410| Exhibit R"/>
      <sheetName val="420| calc RevenueSources"/>
      <sheetName val="430| calc EPA Revenue"/>
      <sheetName val="440| Adjustments"/>
      <sheetName val="510| Base Allocation"/>
      <sheetName val="511| BasicAllocation"/>
      <sheetName val="512| FTES Allocation"/>
      <sheetName val="512.1| 10Districts higher rates"/>
      <sheetName val="520| SupplementalAllocation"/>
      <sheetName val="530| StudentSuccessAllocation"/>
      <sheetName val="600| calc Basic Allocation"/>
      <sheetName val="601| CollegeBasicAlloc"/>
      <sheetName val="601.1| PivotCollegeBasicAlloc"/>
      <sheetName val="602| CenterFunding"/>
      <sheetName val="610| calc FTES revenue"/>
      <sheetName val="611| FTES restore PY PPY PPPY"/>
      <sheetName val="612| Growth Target"/>
      <sheetName val="613| Growth - Demographics"/>
      <sheetName val="614| FTES Target"/>
      <sheetName val="710| FTES Data"/>
      <sheetName val="720| Supplemental Data"/>
      <sheetName val="730| Student Success 3 year avg"/>
      <sheetName val="800| FTES History"/>
      <sheetName val="801| 2019-20 Rates"/>
      <sheetName val="810| RatesSizesCollegesCenters"/>
      <sheetName val="811| RatesFTEStraditionalCredit"/>
      <sheetName val="812| RatesFTES-Incar-SpAdmit"/>
      <sheetName val="813| RatesFTES-CDCP-NC"/>
      <sheetName val="820| Rates-Supplemental"/>
      <sheetName val="830| Rates-StudentSuccess"/>
      <sheetName val="900| FTES-CY"/>
      <sheetName val="901| FTES-PY"/>
      <sheetName val="902| FTES-PPY"/>
      <sheetName val="903| FTES-PPPY"/>
      <sheetName val="910| IncarceratedCredit-CY"/>
      <sheetName val="911| IncarceratedCredit-PY"/>
      <sheetName val="912| IncarceratedCredit-PPY"/>
      <sheetName val="920| SpecialAdmitCredit-CY"/>
      <sheetName val="921| SpecialAdmitCredit-PY"/>
      <sheetName val="922| SpecialAdmitCredit-PPY"/>
      <sheetName val="930| CollegeFTES-CY"/>
      <sheetName val="931| CollegeFTES-PY"/>
      <sheetName val="932| CollegeFTES-PPY"/>
      <sheetName val="933| CollegeFTES-PPPY"/>
      <sheetName val="940| CenterFTES-CY"/>
      <sheetName val="941| CenterFTES-PY"/>
      <sheetName val="942| CenterFTES-PPY"/>
      <sheetName val="943| CenterFTES-PPPY"/>
      <sheetName val="950| AB540Headcount-PY"/>
      <sheetName val="961| Metric-PPY"/>
      <sheetName val="961.1| Transfer PPY"/>
      <sheetName val="951| Metric-PY"/>
      <sheetName val="952| Metric-PPY"/>
      <sheetName val="953| Metric-PPPY"/>
      <sheetName val="960| Property Tax"/>
      <sheetName val="970| Enrollment Fee"/>
      <sheetName val="980| FTFH"/>
      <sheetName val="990| 2017-18 TC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>
        <row r="83">
          <cell r="B83">
            <v>59199</v>
          </cell>
          <cell r="C83">
            <v>448958</v>
          </cell>
          <cell r="D83">
            <v>988526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Workbook Information"/>
      <sheetName val="Ed Code Section 84750.4"/>
      <sheetName val="Data Dictionary"/>
      <sheetName val="Hold Harmless Provisions"/>
      <sheetName val="NamesDistrictCollegeCenter"/>
      <sheetName val="FTESCollegeCreditNoncredit-PPPY"/>
      <sheetName val="FTESCollegeCreditNoncredit-PPY"/>
      <sheetName val="FTESCollegeCreditNoncredit-PY"/>
      <sheetName val="FTESCollegeCreditNoncredit-CY"/>
      <sheetName val="FTESDistrictCreditNoncredit PPY"/>
      <sheetName val="FTESDistrictCreditNoncredit PY"/>
      <sheetName val="FTESCenters-PPPY"/>
      <sheetName val="FTESCenters-PPY"/>
      <sheetName val="FTESCenters-PY"/>
      <sheetName val="FTESCenters-CY"/>
      <sheetName val="FTESSpecialAdmitCredit PY"/>
      <sheetName val="FY Identified"/>
      <sheetName val="calcBasicAlloc"/>
      <sheetName val="Exhibit-C-p1Data"/>
      <sheetName val="Exhibit C p.1"/>
      <sheetName val="Exhibit-C-p2Data"/>
      <sheetName val="Exhibit C p.2"/>
      <sheetName val="Exhibit-C-p3Data"/>
      <sheetName val="Exhibit C p.3"/>
      <sheetName val="18-19 Systemwide Detail"/>
      <sheetName val="Rates-Sizes-Colleges-Centers"/>
      <sheetName val="Rates-FTES-Traditional-Credit"/>
      <sheetName val="Rates-Other"/>
      <sheetName val="calc17-18TCRplusCOLAs"/>
      <sheetName val="2018-19 Allocations"/>
      <sheetName val="1. Base Allocation"/>
      <sheetName val="1a.BasicAllocation"/>
      <sheetName val="1b. calcBaseFTESallocation"/>
      <sheetName val="1ba. calcFTES"/>
      <sheetName val="1c. FTES - inputs - rf"/>
      <sheetName val="1d. FTES restoration - 2017-18"/>
      <sheetName val="1e. FTES - original with $"/>
      <sheetName val="Sheet1"/>
      <sheetName val="Sheet3"/>
      <sheetName val="Sheet2"/>
      <sheetName val="2. Supplemental Allocation"/>
      <sheetName val="2a. Supplemental Data"/>
      <sheetName val="3. Student Success Allocation"/>
      <sheetName val="3a. Student Success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B11" t="str">
            <v>Allan Hancock Joint CCD</v>
          </cell>
        </row>
        <row r="12">
          <cell r="B12" t="str">
            <v>Antelope Valley CCD</v>
          </cell>
        </row>
        <row r="13">
          <cell r="B13" t="str">
            <v>Barstow CCD</v>
          </cell>
        </row>
        <row r="14">
          <cell r="B14" t="str">
            <v>Butte-Glenn CCD</v>
          </cell>
        </row>
        <row r="15">
          <cell r="B15" t="str">
            <v>Cabrillo CCD</v>
          </cell>
        </row>
        <row r="16">
          <cell r="B16" t="str">
            <v>Cerritos CCD</v>
          </cell>
        </row>
        <row r="17">
          <cell r="B17" t="str">
            <v>Chabot-Las Positas CCD</v>
          </cell>
        </row>
        <row r="18">
          <cell r="B18" t="str">
            <v>Chaffey CCD</v>
          </cell>
        </row>
        <row r="19">
          <cell r="B19" t="str">
            <v>Citrus CCD</v>
          </cell>
        </row>
        <row r="20">
          <cell r="B20" t="str">
            <v>Coast CCD</v>
          </cell>
        </row>
        <row r="21">
          <cell r="B21" t="str">
            <v>Compton CCD</v>
          </cell>
        </row>
        <row r="22">
          <cell r="B22" t="str">
            <v>Contra Costa CCD</v>
          </cell>
        </row>
        <row r="23">
          <cell r="B23" t="str">
            <v>Copper Mountain CCD</v>
          </cell>
        </row>
        <row r="24">
          <cell r="B24" t="str">
            <v>Desert CCD</v>
          </cell>
        </row>
        <row r="25">
          <cell r="B25" t="str">
            <v>El Camino CCD</v>
          </cell>
        </row>
        <row r="26">
          <cell r="B26" t="str">
            <v>Feather River CCD</v>
          </cell>
        </row>
        <row r="27">
          <cell r="B27" t="str">
            <v>Foothill-DeAnza CCD</v>
          </cell>
        </row>
        <row r="28">
          <cell r="B28" t="str">
            <v>Gavilan Joint CCD</v>
          </cell>
        </row>
        <row r="29">
          <cell r="B29" t="str">
            <v>Glendale CCD</v>
          </cell>
        </row>
        <row r="30">
          <cell r="B30" t="str">
            <v>Grossmont-Cuyamaca CCD</v>
          </cell>
        </row>
        <row r="31">
          <cell r="B31" t="str">
            <v>Hartnell CCD</v>
          </cell>
        </row>
        <row r="32">
          <cell r="B32" t="str">
            <v>Imperial CCD</v>
          </cell>
        </row>
        <row r="33">
          <cell r="B33" t="str">
            <v>Kern CCD</v>
          </cell>
        </row>
        <row r="34">
          <cell r="B34" t="str">
            <v>Lake Tahoe CCD</v>
          </cell>
        </row>
        <row r="35">
          <cell r="B35" t="str">
            <v>Lassen CCD</v>
          </cell>
        </row>
        <row r="36">
          <cell r="B36" t="str">
            <v>Long Beach CCD</v>
          </cell>
        </row>
        <row r="37">
          <cell r="B37" t="str">
            <v>Los Angeles CCD</v>
          </cell>
        </row>
        <row r="38">
          <cell r="B38" t="str">
            <v>Los Rios CCD</v>
          </cell>
        </row>
        <row r="39">
          <cell r="B39" t="str">
            <v>Marin CCD</v>
          </cell>
        </row>
        <row r="40">
          <cell r="B40" t="str">
            <v>Mendocino-Lake CCD</v>
          </cell>
        </row>
        <row r="41">
          <cell r="B41" t="str">
            <v>Merced CCD</v>
          </cell>
        </row>
        <row r="42">
          <cell r="B42" t="str">
            <v>MiraCosta CCD</v>
          </cell>
        </row>
        <row r="43">
          <cell r="B43" t="str">
            <v>Monterey Peninsula CCD</v>
          </cell>
        </row>
        <row r="44">
          <cell r="B44" t="str">
            <v>Mt. San Antonio CCD</v>
          </cell>
        </row>
        <row r="45">
          <cell r="B45" t="str">
            <v>Mt. San Jacinto CCD</v>
          </cell>
        </row>
        <row r="46">
          <cell r="B46" t="str">
            <v>Napa Valley CCD</v>
          </cell>
        </row>
        <row r="47">
          <cell r="B47" t="str">
            <v>North Orange County CCD</v>
          </cell>
        </row>
        <row r="48">
          <cell r="B48" t="str">
            <v>Ohlone CCD</v>
          </cell>
        </row>
        <row r="49">
          <cell r="B49" t="str">
            <v>Palo Verde CCD</v>
          </cell>
        </row>
        <row r="50">
          <cell r="B50" t="str">
            <v>Palomar CCD</v>
          </cell>
        </row>
        <row r="51">
          <cell r="B51" t="str">
            <v>Pasadena Area CCD</v>
          </cell>
        </row>
        <row r="52">
          <cell r="B52" t="str">
            <v>Peralta CCD</v>
          </cell>
        </row>
        <row r="53">
          <cell r="B53" t="str">
            <v>Rancho Santiago CCD</v>
          </cell>
        </row>
        <row r="54">
          <cell r="B54" t="str">
            <v>Redwoods CCD</v>
          </cell>
        </row>
        <row r="55">
          <cell r="B55" t="str">
            <v>Rio Hondo CCD</v>
          </cell>
        </row>
        <row r="56">
          <cell r="B56" t="str">
            <v>Riverside CCD</v>
          </cell>
        </row>
        <row r="57">
          <cell r="B57" t="str">
            <v>San Bernardino CCD</v>
          </cell>
        </row>
        <row r="58">
          <cell r="B58" t="str">
            <v>San Diego CCD</v>
          </cell>
        </row>
        <row r="59">
          <cell r="B59" t="str">
            <v>San Francisco CCD</v>
          </cell>
        </row>
        <row r="60">
          <cell r="B60" t="str">
            <v>San Joaquin Delta CCD</v>
          </cell>
        </row>
        <row r="61">
          <cell r="B61" t="str">
            <v>San Jose-Evergreen CCD</v>
          </cell>
        </row>
        <row r="62">
          <cell r="B62" t="str">
            <v>San Luis Obispo County CCD</v>
          </cell>
        </row>
        <row r="63">
          <cell r="B63" t="str">
            <v>San Mateo County CCD</v>
          </cell>
        </row>
        <row r="64">
          <cell r="B64" t="str">
            <v>Santa Barbara CCD</v>
          </cell>
        </row>
        <row r="65">
          <cell r="B65" t="str">
            <v>Santa Clarita CCD</v>
          </cell>
        </row>
        <row r="66">
          <cell r="B66" t="str">
            <v>Santa Monica CCD</v>
          </cell>
        </row>
        <row r="67">
          <cell r="B67" t="str">
            <v>Sequoias CCD</v>
          </cell>
        </row>
        <row r="68">
          <cell r="B68" t="str">
            <v>Shasta-Tehama-Trinity CCD</v>
          </cell>
        </row>
        <row r="69">
          <cell r="B69" t="str">
            <v>Sierra Joint CCD</v>
          </cell>
        </row>
        <row r="70">
          <cell r="B70" t="str">
            <v>Siskiyou Joint CCD</v>
          </cell>
        </row>
        <row r="71">
          <cell r="B71" t="str">
            <v>Solano CCD</v>
          </cell>
        </row>
        <row r="72">
          <cell r="B72" t="str">
            <v>Sonoma County CCD</v>
          </cell>
        </row>
        <row r="73">
          <cell r="B73" t="str">
            <v>South Orange County CCD</v>
          </cell>
        </row>
        <row r="74">
          <cell r="B74" t="str">
            <v>Southwestern CCD</v>
          </cell>
        </row>
        <row r="75">
          <cell r="B75" t="str">
            <v>State Center CCD</v>
          </cell>
        </row>
        <row r="76">
          <cell r="B76" t="str">
            <v>Ventura County CCD</v>
          </cell>
        </row>
        <row r="77">
          <cell r="B77" t="str">
            <v>Victor Valley CCD</v>
          </cell>
        </row>
        <row r="78">
          <cell r="B78" t="str">
            <v>West Hills CCD</v>
          </cell>
        </row>
        <row r="79">
          <cell r="B79" t="str">
            <v>West Kern CCD</v>
          </cell>
        </row>
        <row r="80">
          <cell r="B80" t="str">
            <v>West Valley-Mission CCD</v>
          </cell>
        </row>
        <row r="81">
          <cell r="B81" t="str">
            <v>Yosemite CCD</v>
          </cell>
        </row>
        <row r="82">
          <cell r="B82" t="str">
            <v>Yuba CCD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selection activeCell="B5" sqref="B5"/>
    </sheetView>
  </sheetViews>
  <sheetFormatPr baseColWidth="10" defaultRowHeight="15" x14ac:dyDescent="0"/>
  <cols>
    <col min="1" max="1" width="19.33203125" style="116" customWidth="1"/>
    <col min="2" max="2" width="11.1640625" style="116" bestFit="1" customWidth="1"/>
    <col min="3" max="10" width="10.83203125" style="116"/>
  </cols>
  <sheetData>
    <row r="1" spans="1:2">
      <c r="A1" s="124"/>
      <c r="B1" s="116" t="s">
        <v>83</v>
      </c>
    </row>
    <row r="2" spans="1:2">
      <c r="A2" s="125"/>
      <c r="B2" s="116" t="s">
        <v>84</v>
      </c>
    </row>
    <row r="3" spans="1:2">
      <c r="A3" s="126"/>
      <c r="B3" s="116" t="s">
        <v>88</v>
      </c>
    </row>
    <row r="4" spans="1:2">
      <c r="A4" s="164"/>
      <c r="B4" s="116" t="s">
        <v>90</v>
      </c>
    </row>
    <row r="5" spans="1:2">
      <c r="A5" s="117"/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8"/>
  <sheetViews>
    <sheetView topLeftCell="C11" workbookViewId="0">
      <selection activeCell="E30" sqref="E30"/>
    </sheetView>
  </sheetViews>
  <sheetFormatPr baseColWidth="10" defaultColWidth="9.1640625" defaultRowHeight="15" outlineLevelCol="1" x14ac:dyDescent="0"/>
  <cols>
    <col min="1" max="1" width="15.1640625" hidden="1" customWidth="1" outlineLevel="1"/>
    <col min="2" max="2" width="20" hidden="1" customWidth="1" outlineLevel="1"/>
    <col min="3" max="3" width="33.6640625" customWidth="1" collapsed="1"/>
    <col min="4" max="4" width="4.5" bestFit="1" customWidth="1"/>
    <col min="5" max="5" width="15.33203125" customWidth="1"/>
    <col min="6" max="6" width="8.33203125" bestFit="1" customWidth="1"/>
    <col min="7" max="7" width="12.83203125" bestFit="1" customWidth="1"/>
    <col min="8" max="8" width="20" customWidth="1"/>
    <col min="9" max="9" width="6.33203125" bestFit="1" customWidth="1"/>
    <col min="10" max="11" width="10.6640625" customWidth="1"/>
  </cols>
  <sheetData>
    <row r="1" spans="1:8">
      <c r="C1" s="1" t="s">
        <v>0</v>
      </c>
      <c r="D1" s="2"/>
      <c r="E1" s="3"/>
      <c r="F1" s="4"/>
      <c r="G1" s="4"/>
      <c r="H1" s="4"/>
    </row>
    <row r="2" spans="1:8">
      <c r="A2" t="s">
        <v>1</v>
      </c>
      <c r="B2" t="s">
        <v>2</v>
      </c>
      <c r="C2" s="5" t="s">
        <v>3</v>
      </c>
      <c r="D2" s="6"/>
      <c r="E2" s="7">
        <v>7430429651</v>
      </c>
    </row>
    <row r="3" spans="1:8">
      <c r="C3" s="8"/>
      <c r="D3" s="9"/>
      <c r="E3" s="10"/>
    </row>
    <row r="4" spans="1:8">
      <c r="A4" t="s">
        <v>4</v>
      </c>
      <c r="B4" t="s">
        <v>5</v>
      </c>
      <c r="C4" s="8" t="s">
        <v>6</v>
      </c>
      <c r="D4" s="9"/>
      <c r="E4" s="10">
        <v>24727000</v>
      </c>
    </row>
    <row r="5" spans="1:8">
      <c r="A5" t="s">
        <v>1</v>
      </c>
      <c r="B5" t="s">
        <v>2</v>
      </c>
      <c r="C5" s="11" t="s">
        <v>7</v>
      </c>
      <c r="D5" s="12"/>
      <c r="E5" s="13">
        <v>122305070.2235925</v>
      </c>
    </row>
    <row r="6" spans="1:8">
      <c r="A6" t="s">
        <v>1</v>
      </c>
      <c r="B6" t="s">
        <v>8</v>
      </c>
      <c r="C6" s="14" t="s">
        <v>9</v>
      </c>
      <c r="D6" s="15"/>
      <c r="E6" s="16">
        <v>216366451</v>
      </c>
      <c r="F6" s="17"/>
    </row>
    <row r="7" spans="1:8">
      <c r="A7" t="s">
        <v>1</v>
      </c>
      <c r="B7" t="s">
        <v>8</v>
      </c>
      <c r="C7" s="14" t="s">
        <v>10</v>
      </c>
      <c r="D7" s="15"/>
      <c r="E7" s="16">
        <v>110682048</v>
      </c>
      <c r="H7" s="18"/>
    </row>
    <row r="8" spans="1:8">
      <c r="C8" s="19" t="s">
        <v>11</v>
      </c>
      <c r="D8" s="20"/>
      <c r="E8" s="21">
        <f>SUM(E4:E7)</f>
        <v>474080569.22359252</v>
      </c>
    </row>
    <row r="9" spans="1:8">
      <c r="C9" s="19"/>
      <c r="D9" s="20"/>
      <c r="E9" s="10"/>
    </row>
    <row r="10" spans="1:8">
      <c r="C10" s="22" t="s">
        <v>12</v>
      </c>
      <c r="D10" s="23"/>
      <c r="E10" s="24">
        <f>E2-E8</f>
        <v>6956349081.7764072</v>
      </c>
      <c r="F10" s="25"/>
    </row>
    <row r="11" spans="1:8">
      <c r="C11" s="26"/>
      <c r="D11" s="26"/>
      <c r="E11" s="27"/>
      <c r="F11" s="25"/>
    </row>
    <row r="12" spans="1:8">
      <c r="A12" t="s">
        <v>1</v>
      </c>
      <c r="B12" t="s">
        <v>13</v>
      </c>
      <c r="C12" s="28" t="s">
        <v>14</v>
      </c>
      <c r="D12" s="29">
        <v>0.7</v>
      </c>
      <c r="E12" s="21">
        <f>ROUND(D12*E10,0)</f>
        <v>4869444357</v>
      </c>
      <c r="F12" s="25"/>
    </row>
    <row r="13" spans="1:8">
      <c r="A13" t="s">
        <v>1</v>
      </c>
      <c r="B13" t="s">
        <v>15</v>
      </c>
      <c r="C13" s="11" t="s">
        <v>16</v>
      </c>
      <c r="D13" s="30">
        <v>0.2</v>
      </c>
      <c r="E13" s="16">
        <f>ROUND(D13*E10,0)</f>
        <v>1391269816</v>
      </c>
      <c r="F13" s="25"/>
    </row>
    <row r="14" spans="1:8">
      <c r="A14" t="s">
        <v>1</v>
      </c>
      <c r="B14" t="s">
        <v>17</v>
      </c>
      <c r="C14" s="11" t="s">
        <v>18</v>
      </c>
      <c r="D14" s="30">
        <v>0.1</v>
      </c>
      <c r="E14" s="16">
        <f>ROUND(D14*E10,0)</f>
        <v>695634908</v>
      </c>
      <c r="F14" s="25"/>
    </row>
    <row r="15" spans="1:8" s="31" customFormat="1">
      <c r="C15" s="32" t="str">
        <f>C10</f>
        <v>Funds Available for Distribution</v>
      </c>
      <c r="D15" s="33"/>
      <c r="E15" s="34">
        <f>SUM(E12:E14)</f>
        <v>6956349081</v>
      </c>
    </row>
    <row r="16" spans="1:8">
      <c r="C16" s="35"/>
      <c r="D16" s="35"/>
      <c r="E16" s="27"/>
    </row>
    <row r="17" spans="1:11">
      <c r="C17" s="36" t="str">
        <f>C12</f>
        <v>Base Allocation</v>
      </c>
      <c r="D17" s="4"/>
      <c r="E17" s="37">
        <f>E12</f>
        <v>4869444357</v>
      </c>
      <c r="F17" s="38"/>
    </row>
    <row r="18" spans="1:11">
      <c r="C18" s="39"/>
      <c r="E18" s="40"/>
      <c r="F18" s="41"/>
    </row>
    <row r="19" spans="1:11">
      <c r="C19" s="14" t="s">
        <v>19</v>
      </c>
      <c r="D19" s="15"/>
      <c r="E19" s="10">
        <v>620217582</v>
      </c>
      <c r="F19" s="42"/>
    </row>
    <row r="20" spans="1:11">
      <c r="A20" t="s">
        <v>1</v>
      </c>
      <c r="B20" t="s">
        <v>20</v>
      </c>
      <c r="C20" s="14" t="s">
        <v>21</v>
      </c>
      <c r="D20" s="15"/>
      <c r="E20" s="16">
        <v>25634535</v>
      </c>
      <c r="F20" s="43"/>
    </row>
    <row r="21" spans="1:11">
      <c r="A21" t="s">
        <v>1</v>
      </c>
      <c r="B21" t="s">
        <v>20</v>
      </c>
      <c r="C21" s="14" t="s">
        <v>22</v>
      </c>
      <c r="D21" s="15"/>
      <c r="E21" s="16">
        <v>205252980</v>
      </c>
      <c r="F21" s="43"/>
    </row>
    <row r="22" spans="1:11">
      <c r="C22" s="19" t="s">
        <v>11</v>
      </c>
      <c r="D22" s="20"/>
      <c r="E22" s="21">
        <f>SUM(E19:E21)</f>
        <v>851105097</v>
      </c>
      <c r="F22" s="44"/>
    </row>
    <row r="23" spans="1:11">
      <c r="C23" s="39"/>
      <c r="E23" s="40"/>
      <c r="F23" s="38"/>
    </row>
    <row r="24" spans="1:11">
      <c r="C24" s="45" t="s">
        <v>23</v>
      </c>
      <c r="D24" s="46"/>
      <c r="E24" s="47">
        <f>E17-E22</f>
        <v>4018339260</v>
      </c>
      <c r="F24" s="48"/>
      <c r="G24" s="49"/>
    </row>
    <row r="25" spans="1:11">
      <c r="C25" s="8" t="s">
        <v>24</v>
      </c>
      <c r="D25" s="9"/>
      <c r="E25" s="50">
        <v>1007459.5558666184</v>
      </c>
      <c r="F25" s="51"/>
      <c r="G25" s="52" t="s">
        <v>25</v>
      </c>
      <c r="H25" s="18" t="s">
        <v>26</v>
      </c>
      <c r="I25" s="53" t="s">
        <v>27</v>
      </c>
    </row>
    <row r="26" spans="1:11">
      <c r="A26" t="s">
        <v>1</v>
      </c>
      <c r="B26" t="s">
        <v>28</v>
      </c>
      <c r="C26" s="54" t="s">
        <v>29</v>
      </c>
      <c r="D26" s="55"/>
      <c r="E26" s="56">
        <f>E24/E25</f>
        <v>3988.586178572119</v>
      </c>
      <c r="G26" s="57">
        <v>3727</v>
      </c>
      <c r="H26" s="58">
        <f>E26-G26</f>
        <v>261.58617857211902</v>
      </c>
      <c r="I26" s="59">
        <f>H26/G26</f>
        <v>7.0186793284711307E-2</v>
      </c>
    </row>
    <row r="27" spans="1:11">
      <c r="F27" s="60"/>
      <c r="G27" s="17"/>
      <c r="H27" s="61"/>
    </row>
    <row r="28" spans="1:11">
      <c r="C28" s="62" t="s">
        <v>16</v>
      </c>
      <c r="D28" s="63"/>
      <c r="E28" s="21">
        <f>E13</f>
        <v>1391269816</v>
      </c>
      <c r="F28" s="64"/>
      <c r="H28" s="61"/>
    </row>
    <row r="29" spans="1:11">
      <c r="A29" s="31" t="s">
        <v>1</v>
      </c>
      <c r="B29" s="31" t="s">
        <v>30</v>
      </c>
      <c r="C29" s="39" t="s">
        <v>31</v>
      </c>
      <c r="E29" s="16">
        <f>G53</f>
        <v>1496683</v>
      </c>
      <c r="F29" s="64"/>
      <c r="H29" s="61"/>
    </row>
    <row r="30" spans="1:11">
      <c r="C30" s="54" t="s">
        <v>32</v>
      </c>
      <c r="D30" s="55"/>
      <c r="E30" s="65">
        <f>E28/E29</f>
        <v>929.56879713339436</v>
      </c>
      <c r="F30" s="64"/>
      <c r="G30" s="57">
        <v>919</v>
      </c>
      <c r="H30" s="58">
        <f>E30-G30</f>
        <v>10.568797133394355</v>
      </c>
      <c r="I30" s="59">
        <f>H30/G30</f>
        <v>1.150032332251834E-2</v>
      </c>
    </row>
    <row r="31" spans="1:11">
      <c r="H31" s="61"/>
    </row>
    <row r="32" spans="1:11" s="31" customFormat="1">
      <c r="A32"/>
      <c r="B32"/>
      <c r="C32" s="66" t="str">
        <f>C14</f>
        <v>Student Success Allocation</v>
      </c>
      <c r="D32" s="67"/>
      <c r="E32" s="68">
        <f>E14</f>
        <v>695634908</v>
      </c>
      <c r="H32" s="69"/>
      <c r="K32" s="70"/>
    </row>
    <row r="33" spans="3:11">
      <c r="C33" s="39"/>
      <c r="E33" s="71"/>
      <c r="G33" s="72"/>
      <c r="H33" s="61"/>
      <c r="I33" s="52"/>
    </row>
    <row r="34" spans="3:11">
      <c r="C34" s="73" t="s">
        <v>33</v>
      </c>
      <c r="D34" s="74">
        <v>0.75</v>
      </c>
      <c r="E34" s="75">
        <f>ROUND(D34*E32,0)</f>
        <v>521726181</v>
      </c>
      <c r="G34" s="76"/>
      <c r="H34" s="61"/>
      <c r="I34" s="57"/>
    </row>
    <row r="35" spans="3:11">
      <c r="C35" s="39" t="s">
        <v>34</v>
      </c>
      <c r="D35" s="30">
        <v>0.25</v>
      </c>
      <c r="E35" s="71">
        <f>ROUND(D35*E32,0)</f>
        <v>173908727</v>
      </c>
      <c r="G35" s="76"/>
      <c r="H35" s="61"/>
      <c r="I35" s="77"/>
    </row>
    <row r="36" spans="3:11">
      <c r="C36" s="78"/>
      <c r="D36" s="79"/>
      <c r="E36" s="80">
        <f>SUM(E34:E35)</f>
        <v>695634908</v>
      </c>
      <c r="H36" s="61"/>
    </row>
    <row r="37" spans="3:11">
      <c r="E37" s="10"/>
      <c r="H37" s="61"/>
    </row>
    <row r="38" spans="3:11">
      <c r="C38" s="62" t="s">
        <v>33</v>
      </c>
      <c r="D38" s="63"/>
      <c r="E38" s="81">
        <f>E34</f>
        <v>521726181</v>
      </c>
      <c r="G38" s="12"/>
      <c r="H38" s="61"/>
      <c r="J38" s="18"/>
      <c r="K38" s="18"/>
    </row>
    <row r="39" spans="3:11">
      <c r="C39" s="39" t="s">
        <v>35</v>
      </c>
      <c r="E39" s="82">
        <f>G72</f>
        <v>910614.16666666674</v>
      </c>
      <c r="G39" s="12"/>
      <c r="H39" s="61"/>
      <c r="I39" s="83"/>
      <c r="J39" s="18"/>
      <c r="K39" s="18"/>
    </row>
    <row r="40" spans="3:11">
      <c r="C40" s="84" t="s">
        <v>36</v>
      </c>
      <c r="D40" s="85"/>
      <c r="E40" s="86">
        <f>IF(E39&gt;0,(E38/E39),0)</f>
        <v>572.93879240842023</v>
      </c>
      <c r="G40" s="57">
        <v>440</v>
      </c>
      <c r="H40" s="58">
        <f>E40-G40</f>
        <v>132.93879240842023</v>
      </c>
      <c r="I40" s="59">
        <f>H40/G40</f>
        <v>0.30213361911004599</v>
      </c>
      <c r="J40" s="18"/>
      <c r="K40" s="18"/>
    </row>
    <row r="41" spans="3:11">
      <c r="C41" s="39"/>
      <c r="E41" s="40"/>
      <c r="G41" s="87"/>
      <c r="H41" s="61"/>
      <c r="I41" s="77"/>
    </row>
    <row r="42" spans="3:11">
      <c r="C42" s="14" t="s">
        <v>34</v>
      </c>
      <c r="D42" s="15"/>
      <c r="E42" s="71">
        <f>E35</f>
        <v>173908727</v>
      </c>
      <c r="G42" s="87"/>
      <c r="H42" s="61"/>
      <c r="I42" s="77"/>
    </row>
    <row r="43" spans="3:11">
      <c r="C43" s="39" t="s">
        <v>37</v>
      </c>
      <c r="E43" s="82">
        <f>G89+G100</f>
        <v>1204471.2500000002</v>
      </c>
      <c r="G43" s="88"/>
      <c r="H43" s="89"/>
      <c r="I43" s="90"/>
      <c r="J43" s="91"/>
      <c r="K43" s="92"/>
    </row>
    <row r="44" spans="3:11">
      <c r="C44" s="54" t="s">
        <v>38</v>
      </c>
      <c r="D44" s="55"/>
      <c r="E44" s="65">
        <f>IF(E43&gt;0,(E42/E43),0)</f>
        <v>144.38595109679866</v>
      </c>
      <c r="G44" s="57">
        <v>111</v>
      </c>
      <c r="H44" s="58">
        <f>E44-G44</f>
        <v>33.385951096798664</v>
      </c>
      <c r="I44" s="59">
        <f>H44/G44</f>
        <v>0.30077433420539335</v>
      </c>
      <c r="J44" s="91"/>
      <c r="K44" s="92"/>
    </row>
    <row r="46" spans="3:11">
      <c r="C46" s="93" t="s">
        <v>39</v>
      </c>
      <c r="D46" s="94"/>
      <c r="E46" s="94"/>
      <c r="F46" s="94"/>
      <c r="G46" s="94"/>
      <c r="H46" s="95"/>
    </row>
    <row r="47" spans="3:11">
      <c r="C47" s="96"/>
      <c r="D47" s="96"/>
      <c r="E47" s="96"/>
      <c r="F47" s="96"/>
      <c r="G47" s="96"/>
      <c r="H47" s="96"/>
    </row>
    <row r="48" spans="3:11" ht="30">
      <c r="C48" s="97"/>
      <c r="D48" s="97"/>
      <c r="E48" s="96" t="s">
        <v>40</v>
      </c>
      <c r="F48" s="98" t="s">
        <v>41</v>
      </c>
      <c r="G48" s="96" t="s">
        <v>42</v>
      </c>
      <c r="H48" s="96" t="s">
        <v>43</v>
      </c>
    </row>
    <row r="49" spans="3:8">
      <c r="C49" s="99" t="s">
        <v>44</v>
      </c>
      <c r="D49" s="99"/>
      <c r="E49" s="98" t="s">
        <v>45</v>
      </c>
      <c r="F49" s="98" t="s">
        <v>46</v>
      </c>
      <c r="G49" s="98" t="s">
        <v>47</v>
      </c>
      <c r="H49" s="98" t="str">
        <f>CONCATENATE("(d) = (c) * $",TEXT(E55,"#,###"))</f>
        <v>(d) = (c) * $930</v>
      </c>
    </row>
    <row r="50" spans="3:8">
      <c r="C50" s="97" t="s">
        <v>48</v>
      </c>
      <c r="D50" s="97"/>
      <c r="E50" s="97">
        <v>1</v>
      </c>
      <c r="F50" s="100">
        <f>'[1]720| Supplemental Data'!B83</f>
        <v>59199</v>
      </c>
      <c r="G50" s="100">
        <f>F50*E50</f>
        <v>59199</v>
      </c>
      <c r="H50" s="101">
        <f>G50*$E$55</f>
        <v>55029543.221499816</v>
      </c>
    </row>
    <row r="51" spans="3:8">
      <c r="C51" s="97" t="s">
        <v>49</v>
      </c>
      <c r="D51" s="97"/>
      <c r="E51" s="97">
        <v>1</v>
      </c>
      <c r="F51" s="100">
        <f>'[1]720| Supplemental Data'!C83</f>
        <v>448958</v>
      </c>
      <c r="G51" s="100">
        <f>F51*E51</f>
        <v>448958</v>
      </c>
      <c r="H51" s="102">
        <f>G51*$E$55</f>
        <v>417337348.02341449</v>
      </c>
    </row>
    <row r="52" spans="3:8">
      <c r="C52" s="97" t="s">
        <v>50</v>
      </c>
      <c r="D52" s="97"/>
      <c r="E52" s="97">
        <v>1</v>
      </c>
      <c r="F52" s="100">
        <f>'[1]720| Supplemental Data'!D83</f>
        <v>988526</v>
      </c>
      <c r="G52" s="100">
        <f>F52*E52</f>
        <v>988526</v>
      </c>
      <c r="H52" s="102">
        <f>G52*$E$55</f>
        <v>918902924.75508583</v>
      </c>
    </row>
    <row r="53" spans="3:8">
      <c r="C53" s="103" t="s">
        <v>51</v>
      </c>
      <c r="D53" s="103"/>
      <c r="E53" s="104">
        <f>SUM(E50:E52)</f>
        <v>3</v>
      </c>
      <c r="F53" s="105">
        <f>SUM(F50:F52)</f>
        <v>1496683</v>
      </c>
      <c r="G53" s="105">
        <f>SUM(G50:G52)</f>
        <v>1496683</v>
      </c>
      <c r="H53" s="106">
        <f>SUM(H50:H52)</f>
        <v>1391269816</v>
      </c>
    </row>
    <row r="54" spans="3:8">
      <c r="C54" s="97"/>
      <c r="D54" s="97"/>
      <c r="E54" s="97"/>
      <c r="F54" s="97"/>
      <c r="G54" s="97"/>
      <c r="H54" s="97"/>
    </row>
    <row r="55" spans="3:8">
      <c r="C55" s="97" t="s">
        <v>52</v>
      </c>
      <c r="D55" s="97"/>
      <c r="E55" s="107">
        <f>E30</f>
        <v>929.56879713339436</v>
      </c>
      <c r="F55" s="97"/>
      <c r="G55" s="97"/>
      <c r="H55" s="97"/>
    </row>
    <row r="56" spans="3:8">
      <c r="C56" s="97"/>
      <c r="D56" s="97"/>
      <c r="E56" s="108"/>
      <c r="F56" s="97"/>
      <c r="G56" s="97"/>
      <c r="H56" s="97"/>
    </row>
    <row r="57" spans="3:8">
      <c r="C57" s="64" t="str">
        <f>C28</f>
        <v>Supplemental Allocation</v>
      </c>
      <c r="D57" s="64"/>
      <c r="E57" s="41">
        <f>E28</f>
        <v>1391269816</v>
      </c>
      <c r="G57" s="97"/>
      <c r="H57" s="97"/>
    </row>
    <row r="58" spans="3:8">
      <c r="C58" s="103" t="s">
        <v>53</v>
      </c>
      <c r="D58" s="103"/>
      <c r="E58" s="109">
        <f>E57-H53</f>
        <v>0</v>
      </c>
      <c r="G58" s="97"/>
      <c r="H58" s="97"/>
    </row>
    <row r="59" spans="3:8">
      <c r="C59" s="97"/>
      <c r="D59" s="97"/>
      <c r="E59" s="97"/>
      <c r="F59" s="97"/>
      <c r="G59" s="97"/>
      <c r="H59" s="97"/>
    </row>
    <row r="60" spans="3:8">
      <c r="C60" s="93" t="s">
        <v>54</v>
      </c>
      <c r="D60" s="94"/>
      <c r="E60" s="94"/>
      <c r="F60" s="94"/>
      <c r="G60" s="94"/>
      <c r="H60" s="95"/>
    </row>
    <row r="61" spans="3:8">
      <c r="C61" s="97"/>
      <c r="D61" s="97"/>
      <c r="E61" s="97"/>
      <c r="F61" s="97"/>
      <c r="G61" s="97"/>
      <c r="H61" s="97"/>
    </row>
    <row r="62" spans="3:8" ht="30">
      <c r="C62" s="97"/>
      <c r="D62" s="97"/>
      <c r="E62" s="96" t="s">
        <v>40</v>
      </c>
      <c r="F62" s="98" t="s">
        <v>41</v>
      </c>
      <c r="G62" s="96" t="s">
        <v>42</v>
      </c>
      <c r="H62" s="96" t="s">
        <v>43</v>
      </c>
    </row>
    <row r="63" spans="3:8">
      <c r="C63" s="99" t="s">
        <v>55</v>
      </c>
      <c r="D63" s="99"/>
      <c r="E63" s="98" t="s">
        <v>45</v>
      </c>
      <c r="F63" s="98" t="s">
        <v>46</v>
      </c>
      <c r="G63" s="98" t="s">
        <v>47</v>
      </c>
      <c r="H63" s="98" t="str">
        <f>CONCATENATE("(d) = (c) * $",TEXT(E74,"#,###"))</f>
        <v>(d) = (c) * $573</v>
      </c>
    </row>
    <row r="64" spans="3:8">
      <c r="C64" t="s">
        <v>56</v>
      </c>
      <c r="E64">
        <v>4</v>
      </c>
      <c r="F64" s="100">
        <v>41335.333333333343</v>
      </c>
      <c r="G64" s="100">
        <f t="shared" ref="G64:G71" si="0">F64*E64</f>
        <v>165341.33333333337</v>
      </c>
      <c r="H64" s="108">
        <f t="shared" ref="H64:H71" si="1">$E$74*G64</f>
        <v>94730463.8551981</v>
      </c>
    </row>
    <row r="65" spans="3:8">
      <c r="C65" t="s">
        <v>57</v>
      </c>
      <c r="E65">
        <v>3</v>
      </c>
      <c r="F65" s="100">
        <v>61562.666666666657</v>
      </c>
      <c r="G65" s="100">
        <f t="shared" si="0"/>
        <v>184687.99999999997</v>
      </c>
      <c r="H65" s="102">
        <f t="shared" si="1"/>
        <v>105814919.69232629</v>
      </c>
    </row>
    <row r="66" spans="3:8">
      <c r="C66" t="s">
        <v>58</v>
      </c>
      <c r="E66">
        <v>3</v>
      </c>
      <c r="F66" s="100">
        <v>70.666666666666657</v>
      </c>
      <c r="G66" s="100">
        <f t="shared" si="0"/>
        <v>211.99999999999997</v>
      </c>
      <c r="H66" s="102">
        <f t="shared" si="1"/>
        <v>121463.02399058508</v>
      </c>
    </row>
    <row r="67" spans="3:8">
      <c r="C67" t="s">
        <v>59</v>
      </c>
      <c r="E67">
        <v>2</v>
      </c>
      <c r="F67" s="100">
        <v>20245.666666666679</v>
      </c>
      <c r="G67" s="100">
        <f t="shared" si="0"/>
        <v>40491.333333333358</v>
      </c>
      <c r="H67" s="102">
        <f t="shared" si="1"/>
        <v>23199055.623006828</v>
      </c>
    </row>
    <row r="68" spans="3:8">
      <c r="C68" t="s">
        <v>60</v>
      </c>
      <c r="E68">
        <v>2</v>
      </c>
      <c r="F68" s="100">
        <v>24095.666666666668</v>
      </c>
      <c r="G68" s="100">
        <f t="shared" si="0"/>
        <v>48191.333333333336</v>
      </c>
      <c r="H68" s="102">
        <f t="shared" si="1"/>
        <v>27610684.324551649</v>
      </c>
    </row>
    <row r="69" spans="3:8">
      <c r="C69" t="s">
        <v>61</v>
      </c>
      <c r="E69">
        <v>1.5</v>
      </c>
      <c r="F69" s="100">
        <v>68005</v>
      </c>
      <c r="G69" s="100">
        <f t="shared" si="0"/>
        <v>102007.5</v>
      </c>
      <c r="H69" s="102">
        <f t="shared" si="1"/>
        <v>58444053.866601929</v>
      </c>
    </row>
    <row r="70" spans="3:8">
      <c r="C70" t="s">
        <v>62</v>
      </c>
      <c r="E70">
        <v>1</v>
      </c>
      <c r="F70" s="100">
        <v>185323.33333333337</v>
      </c>
      <c r="G70" s="100">
        <f t="shared" si="0"/>
        <v>185323.33333333337</v>
      </c>
      <c r="H70" s="102">
        <f t="shared" si="1"/>
        <v>106178926.80510315</v>
      </c>
    </row>
    <row r="71" spans="3:8">
      <c r="C71" t="s">
        <v>63</v>
      </c>
      <c r="E71">
        <v>1</v>
      </c>
      <c r="F71" s="100">
        <v>184359.33333333334</v>
      </c>
      <c r="G71" s="100">
        <f t="shared" si="0"/>
        <v>184359.33333333334</v>
      </c>
      <c r="H71" s="102">
        <f t="shared" si="1"/>
        <v>105626613.80922142</v>
      </c>
    </row>
    <row r="72" spans="3:8">
      <c r="C72" s="103" t="s">
        <v>51</v>
      </c>
      <c r="D72" s="103"/>
      <c r="E72" s="104">
        <f>SUM(E64:E71)</f>
        <v>17.5</v>
      </c>
      <c r="F72" s="105">
        <f>SUM(F64:F71)</f>
        <v>584997.66666666674</v>
      </c>
      <c r="G72" s="105">
        <f>SUM(G64:G71)</f>
        <v>910614.16666666674</v>
      </c>
      <c r="H72" s="106">
        <f>SUM(H64:H71)</f>
        <v>521726180.99999988</v>
      </c>
    </row>
    <row r="73" spans="3:8">
      <c r="C73" s="97"/>
      <c r="D73" s="97"/>
      <c r="E73" s="97"/>
      <c r="F73" s="97"/>
      <c r="G73" s="97"/>
      <c r="H73" s="97"/>
    </row>
    <row r="74" spans="3:8" ht="28">
      <c r="C74" s="110" t="s">
        <v>64</v>
      </c>
      <c r="D74" s="110"/>
      <c r="E74" s="111">
        <f>E40</f>
        <v>572.93879240842023</v>
      </c>
      <c r="F74" s="97"/>
      <c r="G74" s="97"/>
      <c r="H74" s="97"/>
    </row>
    <row r="75" spans="3:8">
      <c r="C75" s="97"/>
      <c r="D75" s="97"/>
      <c r="E75" s="108"/>
      <c r="F75" s="97"/>
      <c r="G75" s="97"/>
      <c r="H75" s="97"/>
    </row>
    <row r="76" spans="3:8">
      <c r="C76" s="64" t="str">
        <f>C38</f>
        <v>Main Component</v>
      </c>
      <c r="D76" s="64"/>
      <c r="E76" s="41">
        <f>E38</f>
        <v>521726181</v>
      </c>
      <c r="G76" s="97"/>
      <c r="H76" s="97"/>
    </row>
    <row r="77" spans="3:8">
      <c r="C77" s="103" t="s">
        <v>53</v>
      </c>
      <c r="D77" s="103"/>
      <c r="E77" s="109">
        <f>E76-H72</f>
        <v>0</v>
      </c>
      <c r="G77" s="97"/>
      <c r="H77" s="97"/>
    </row>
    <row r="78" spans="3:8">
      <c r="C78" s="97"/>
      <c r="D78" s="97"/>
      <c r="E78" s="97"/>
      <c r="F78" s="97"/>
      <c r="G78" s="97"/>
      <c r="H78" s="97"/>
    </row>
    <row r="79" spans="3:8" ht="30">
      <c r="C79" s="97"/>
      <c r="D79" s="97"/>
      <c r="E79" s="96" t="s">
        <v>40</v>
      </c>
      <c r="F79" s="98" t="s">
        <v>41</v>
      </c>
      <c r="G79" s="96" t="s">
        <v>42</v>
      </c>
      <c r="H79" s="96" t="s">
        <v>43</v>
      </c>
    </row>
    <row r="80" spans="3:8">
      <c r="C80" s="99" t="s">
        <v>49</v>
      </c>
      <c r="D80" s="99"/>
      <c r="E80" s="98" t="s">
        <v>45</v>
      </c>
      <c r="F80" s="98" t="s">
        <v>46</v>
      </c>
      <c r="G80" s="98" t="s">
        <v>47</v>
      </c>
      <c r="H80" s="98" t="str">
        <f>CONCATENATE("(d) = (c) * $",TEXT(E102,"#,###"))</f>
        <v>(d) = (c) * $144</v>
      </c>
    </row>
    <row r="81" spans="3:8">
      <c r="C81" t="s">
        <v>56</v>
      </c>
      <c r="E81">
        <v>6</v>
      </c>
      <c r="F81" s="100">
        <v>22725.333333333336</v>
      </c>
      <c r="G81" s="100">
        <f>F81*E81</f>
        <v>136352</v>
      </c>
      <c r="H81" s="108">
        <f t="shared" ref="H81:H88" si="2">$E$102*G81</f>
        <v>19687313.203950692</v>
      </c>
    </row>
    <row r="82" spans="3:8">
      <c r="C82" t="s">
        <v>57</v>
      </c>
      <c r="E82">
        <v>4.5</v>
      </c>
      <c r="F82" s="100">
        <v>33490.333333333343</v>
      </c>
      <c r="G82" s="100">
        <f t="shared" ref="G82:G88" si="3">F82*E82</f>
        <v>150706.50000000006</v>
      </c>
      <c r="H82" s="102">
        <f t="shared" si="2"/>
        <v>21759901.338969696</v>
      </c>
    </row>
    <row r="83" spans="3:8">
      <c r="C83" t="s">
        <v>58</v>
      </c>
      <c r="E83">
        <v>4.5</v>
      </c>
      <c r="F83" s="100">
        <v>33.333333333333336</v>
      </c>
      <c r="G83" s="100">
        <f t="shared" si="3"/>
        <v>150</v>
      </c>
      <c r="H83" s="102">
        <f t="shared" si="2"/>
        <v>21657.892664519801</v>
      </c>
    </row>
    <row r="84" spans="3:8">
      <c r="C84" t="s">
        <v>59</v>
      </c>
      <c r="E84">
        <v>3</v>
      </c>
      <c r="F84" s="100">
        <v>9376.6666666666679</v>
      </c>
      <c r="G84" s="100">
        <f t="shared" si="3"/>
        <v>28130.000000000004</v>
      </c>
      <c r="H84" s="102">
        <f t="shared" si="2"/>
        <v>4061576.804352947</v>
      </c>
    </row>
    <row r="85" spans="3:8">
      <c r="C85" t="s">
        <v>60</v>
      </c>
      <c r="E85">
        <v>3</v>
      </c>
      <c r="F85" s="100">
        <v>8522.6666666666661</v>
      </c>
      <c r="G85" s="100">
        <f t="shared" si="3"/>
        <v>25568</v>
      </c>
      <c r="H85" s="102">
        <f t="shared" si="2"/>
        <v>3691659.9976429483</v>
      </c>
    </row>
    <row r="86" spans="3:8">
      <c r="C86" t="s">
        <v>61</v>
      </c>
      <c r="E86">
        <v>2.25</v>
      </c>
      <c r="F86" s="100">
        <v>32186.333333333325</v>
      </c>
      <c r="G86" s="100">
        <f t="shared" si="3"/>
        <v>72419.249999999985</v>
      </c>
      <c r="H86" s="102">
        <f t="shared" si="2"/>
        <v>10456322.288966835</v>
      </c>
    </row>
    <row r="87" spans="3:8">
      <c r="C87" t="s">
        <v>62</v>
      </c>
      <c r="E87">
        <v>1.5</v>
      </c>
      <c r="F87" s="100">
        <v>83658.333333333358</v>
      </c>
      <c r="G87" s="100">
        <f t="shared" si="3"/>
        <v>125487.50000000003</v>
      </c>
      <c r="H87" s="102">
        <f t="shared" si="2"/>
        <v>18118632.038259525</v>
      </c>
    </row>
    <row r="88" spans="3:8">
      <c r="C88" t="s">
        <v>63</v>
      </c>
      <c r="E88">
        <v>1.5</v>
      </c>
      <c r="F88" s="100">
        <v>49276.000000000015</v>
      </c>
      <c r="G88" s="100">
        <f t="shared" si="3"/>
        <v>73914.000000000029</v>
      </c>
      <c r="H88" s="102">
        <f t="shared" si="2"/>
        <v>10672143.189368781</v>
      </c>
    </row>
    <row r="89" spans="3:8">
      <c r="C89" s="103" t="s">
        <v>51</v>
      </c>
      <c r="D89" s="103"/>
      <c r="E89" s="104">
        <f>SUM(E81:E88)</f>
        <v>26.25</v>
      </c>
      <c r="F89" s="105">
        <f>SUM(F81:F88)</f>
        <v>239269.00000000006</v>
      </c>
      <c r="G89" s="105">
        <f>SUM(G81:G88)</f>
        <v>612727.25000000012</v>
      </c>
      <c r="H89" s="106">
        <f>SUM(H81:H88)</f>
        <v>88469206.754175946</v>
      </c>
    </row>
    <row r="90" spans="3:8">
      <c r="C90" s="97"/>
      <c r="D90" s="97"/>
      <c r="E90" s="97"/>
      <c r="F90" s="97"/>
      <c r="G90" s="97"/>
      <c r="H90" s="97"/>
    </row>
    <row r="91" spans="3:8">
      <c r="C91" s="99" t="s">
        <v>50</v>
      </c>
      <c r="D91" s="99"/>
      <c r="E91" s="97"/>
      <c r="F91" s="97"/>
      <c r="G91" s="97"/>
      <c r="H91" s="97"/>
    </row>
    <row r="92" spans="3:8">
      <c r="C92" t="s">
        <v>56</v>
      </c>
      <c r="E92">
        <v>4</v>
      </c>
      <c r="F92" s="102">
        <v>30664.333333333339</v>
      </c>
      <c r="G92" s="102">
        <f>F92*E92</f>
        <v>122657.33333333336</v>
      </c>
      <c r="H92" s="102">
        <f t="shared" ref="H92:H99" si="4">G92*$E$102</f>
        <v>17709995.732330404</v>
      </c>
    </row>
    <row r="93" spans="3:8">
      <c r="C93" t="s">
        <v>57</v>
      </c>
      <c r="E93">
        <v>3</v>
      </c>
      <c r="F93" s="102">
        <v>46101.333333333321</v>
      </c>
      <c r="G93" s="102">
        <f t="shared" ref="G93:G99" si="5">F93*E93</f>
        <v>138303.99999999997</v>
      </c>
      <c r="H93" s="102">
        <f t="shared" si="4"/>
        <v>19969154.58049164</v>
      </c>
    </row>
    <row r="94" spans="3:8">
      <c r="C94" t="s">
        <v>58</v>
      </c>
      <c r="E94">
        <v>3</v>
      </c>
      <c r="F94" s="102">
        <v>55.999999999999993</v>
      </c>
      <c r="G94" s="102">
        <f t="shared" si="5"/>
        <v>167.99999999999997</v>
      </c>
      <c r="H94" s="102">
        <f t="shared" si="4"/>
        <v>24256.839784262171</v>
      </c>
    </row>
    <row r="95" spans="3:8">
      <c r="C95" t="s">
        <v>59</v>
      </c>
      <c r="E95">
        <v>2</v>
      </c>
      <c r="F95" s="102">
        <v>13667.000000000002</v>
      </c>
      <c r="G95" s="102">
        <f t="shared" si="5"/>
        <v>27334.000000000004</v>
      </c>
      <c r="H95" s="102">
        <f t="shared" si="4"/>
        <v>3946645.5872798953</v>
      </c>
    </row>
    <row r="96" spans="3:8">
      <c r="C96" t="s">
        <v>60</v>
      </c>
      <c r="E96">
        <v>2</v>
      </c>
      <c r="F96" s="102">
        <v>12594.999999999996</v>
      </c>
      <c r="G96" s="102">
        <f t="shared" si="5"/>
        <v>25189.999999999993</v>
      </c>
      <c r="H96" s="102">
        <f t="shared" si="4"/>
        <v>3637082.1081283572</v>
      </c>
    </row>
    <row r="97" spans="3:9">
      <c r="C97" t="s">
        <v>61</v>
      </c>
      <c r="E97">
        <v>1.5</v>
      </c>
      <c r="F97" s="102">
        <v>44228.000000000022</v>
      </c>
      <c r="G97" s="102">
        <f t="shared" si="5"/>
        <v>66342.000000000029</v>
      </c>
      <c r="H97" s="102">
        <f t="shared" si="4"/>
        <v>9578852.7676638216</v>
      </c>
    </row>
    <row r="98" spans="3:9">
      <c r="C98" t="s">
        <v>62</v>
      </c>
      <c r="E98">
        <v>1</v>
      </c>
      <c r="F98" s="102">
        <v>123803.00000000006</v>
      </c>
      <c r="G98" s="102">
        <f t="shared" si="5"/>
        <v>123803.00000000006</v>
      </c>
      <c r="H98" s="102">
        <f t="shared" si="4"/>
        <v>17875413.903636973</v>
      </c>
    </row>
    <row r="99" spans="3:9">
      <c r="C99" t="s">
        <v>63</v>
      </c>
      <c r="E99">
        <v>1</v>
      </c>
      <c r="F99" s="102">
        <v>87945.666666666657</v>
      </c>
      <c r="G99" s="102">
        <f t="shared" si="5"/>
        <v>87945.666666666657</v>
      </c>
      <c r="H99" s="102">
        <f t="shared" si="4"/>
        <v>12698118.726508688</v>
      </c>
    </row>
    <row r="100" spans="3:9">
      <c r="C100" s="103" t="s">
        <v>51</v>
      </c>
      <c r="D100" s="103"/>
      <c r="E100" s="104">
        <f>SUM(E92:E99)</f>
        <v>17.5</v>
      </c>
      <c r="F100" s="105">
        <f>SUM(F92:F99)</f>
        <v>359060.33333333337</v>
      </c>
      <c r="G100" s="105">
        <f>SUM(G92:G99)</f>
        <v>591744.00000000012</v>
      </c>
      <c r="H100" s="106">
        <f>SUM(H92:H99)</f>
        <v>85439520.245824039</v>
      </c>
    </row>
    <row r="101" spans="3:9">
      <c r="C101" s="97"/>
      <c r="D101" s="97"/>
      <c r="E101" s="97"/>
      <c r="F101" s="97"/>
      <c r="G101" s="97"/>
      <c r="H101" s="97"/>
    </row>
    <row r="102" spans="3:9">
      <c r="C102" s="110" t="s">
        <v>65</v>
      </c>
      <c r="D102" s="110"/>
      <c r="E102" s="112">
        <f>E44</f>
        <v>144.38595109679866</v>
      </c>
      <c r="F102" s="97"/>
      <c r="G102" s="113"/>
      <c r="H102" s="108"/>
      <c r="I102" s="25"/>
    </row>
    <row r="103" spans="3:9">
      <c r="C103" s="97"/>
      <c r="D103" s="97"/>
      <c r="E103" s="108"/>
      <c r="F103" s="97"/>
      <c r="G103" s="97"/>
      <c r="H103" s="97"/>
    </row>
    <row r="104" spans="3:9">
      <c r="C104" s="64" t="str">
        <f>C42</f>
        <v>Equity Component</v>
      </c>
      <c r="D104" s="64"/>
      <c r="E104" s="41">
        <f>E42</f>
        <v>173908727</v>
      </c>
      <c r="G104" s="97"/>
      <c r="H104" s="97"/>
    </row>
    <row r="105" spans="3:9">
      <c r="C105" s="103" t="s">
        <v>53</v>
      </c>
      <c r="D105" s="103"/>
      <c r="E105" s="109">
        <f>E104-H100-H89</f>
        <v>0</v>
      </c>
      <c r="G105" s="97"/>
    </row>
    <row r="106" spans="3:9">
      <c r="C106" s="103"/>
      <c r="D106" s="103"/>
      <c r="E106" s="108"/>
      <c r="G106" s="97"/>
      <c r="I106" s="96"/>
    </row>
    <row r="107" spans="3:9">
      <c r="I107" s="114"/>
    </row>
    <row r="108" spans="3:9">
      <c r="I108" s="114"/>
    </row>
    <row r="109" spans="3:9">
      <c r="I109" s="115"/>
    </row>
    <row r="110" spans="3:9">
      <c r="I110" s="115"/>
    </row>
    <row r="111" spans="3:9">
      <c r="I111" s="115"/>
    </row>
    <row r="112" spans="3:9">
      <c r="I112" s="115"/>
    </row>
    <row r="115" spans="1:2">
      <c r="A115" s="31"/>
      <c r="B115" s="31"/>
    </row>
    <row r="118" spans="1:2" s="31" customFormat="1">
      <c r="A118"/>
      <c r="B118"/>
    </row>
  </sheetData>
  <mergeCells count="2">
    <mergeCell ref="C46:H46"/>
    <mergeCell ref="C60:H60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D13" sqref="D13"/>
    </sheetView>
  </sheetViews>
  <sheetFormatPr baseColWidth="10" defaultRowHeight="15" x14ac:dyDescent="0"/>
  <cols>
    <col min="1" max="1" width="48.33203125" style="146" bestFit="1" customWidth="1"/>
    <col min="2" max="2" width="16.1640625" style="179" bestFit="1" customWidth="1"/>
    <col min="3" max="16384" width="10.83203125" style="180"/>
  </cols>
  <sheetData>
    <row r="1" spans="1:3">
      <c r="A1" s="169" t="s">
        <v>174</v>
      </c>
      <c r="B1" s="196" t="s">
        <v>175</v>
      </c>
      <c r="C1" s="197" t="s">
        <v>173</v>
      </c>
    </row>
    <row r="2" spans="1:3">
      <c r="A2" s="146" t="s">
        <v>86</v>
      </c>
      <c r="B2" s="178">
        <f>'2019-20 Rates'!E26</f>
        <v>3988.586178572119</v>
      </c>
      <c r="C2" s="180" t="s">
        <v>176</v>
      </c>
    </row>
    <row r="3" spans="1:3">
      <c r="A3" s="146" t="s">
        <v>79</v>
      </c>
      <c r="B3" s="178">
        <f>B2</f>
        <v>3988.586178572119</v>
      </c>
      <c r="C3" s="180" t="s">
        <v>176</v>
      </c>
    </row>
    <row r="4" spans="1:3">
      <c r="A4" s="146" t="s">
        <v>80</v>
      </c>
      <c r="B4" s="178">
        <f t="shared" ref="B4:B5" si="0">B3</f>
        <v>3988.586178572119</v>
      </c>
      <c r="C4" s="180" t="s">
        <v>176</v>
      </c>
    </row>
    <row r="5" spans="1:3">
      <c r="A5" s="146" t="s">
        <v>81</v>
      </c>
      <c r="B5" s="178">
        <f t="shared" si="0"/>
        <v>3988.586178572119</v>
      </c>
      <c r="C5" s="180" t="s">
        <v>176</v>
      </c>
    </row>
    <row r="6" spans="1:3">
      <c r="A6" s="165" t="s">
        <v>168</v>
      </c>
      <c r="B6" s="179">
        <f>'2019-20 Rates'!$E$30</f>
        <v>929.56879713339436</v>
      </c>
      <c r="C6" s="180" t="s">
        <v>176</v>
      </c>
    </row>
    <row r="7" spans="1:3">
      <c r="A7" s="165" t="s">
        <v>169</v>
      </c>
      <c r="B7" s="179">
        <f>'2019-20 Rates'!$E$30</f>
        <v>929.56879713339436</v>
      </c>
      <c r="C7" s="180" t="s">
        <v>176</v>
      </c>
    </row>
    <row r="8" spans="1:3">
      <c r="A8" s="165" t="s">
        <v>93</v>
      </c>
      <c r="B8" s="179">
        <f>'2019-20 Rates'!$E$30</f>
        <v>929.56879713339436</v>
      </c>
      <c r="C8" s="180" t="s">
        <v>176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7"/>
  <sheetViews>
    <sheetView tabSelected="1" workbookViewId="0">
      <pane xSplit="1" ySplit="4" topLeftCell="W5" activePane="bottomRight" state="frozen"/>
      <selection pane="topRight" activeCell="B1" sqref="B1"/>
      <selection pane="bottomLeft" activeCell="A6" sqref="A6"/>
      <selection pane="bottomRight" activeCell="AK2" sqref="AK2"/>
    </sheetView>
  </sheetViews>
  <sheetFormatPr baseColWidth="10" defaultRowHeight="15" x14ac:dyDescent="0"/>
  <cols>
    <col min="1" max="1" width="20.83203125" style="142" customWidth="1"/>
    <col min="2" max="2" width="15" style="128" customWidth="1"/>
    <col min="3" max="3" width="15.83203125" style="128" customWidth="1"/>
    <col min="4" max="4" width="14.5" style="128" customWidth="1"/>
    <col min="5" max="5" width="14" style="128" customWidth="1"/>
    <col min="6" max="6" width="13.83203125" style="128" customWidth="1"/>
    <col min="7" max="7" width="16.1640625" style="128" customWidth="1"/>
    <col min="8" max="8" width="15" style="128" customWidth="1"/>
    <col min="9" max="9" width="15.83203125" style="128" customWidth="1"/>
    <col min="10" max="10" width="14.5" style="128" customWidth="1"/>
    <col min="11" max="11" width="14" style="128" customWidth="1"/>
    <col min="12" max="12" width="13.83203125" style="128" customWidth="1"/>
    <col min="13" max="13" width="16.1640625" style="128" customWidth="1"/>
    <col min="14" max="14" width="15" style="128" customWidth="1"/>
    <col min="15" max="15" width="15.83203125" style="128" customWidth="1"/>
    <col min="16" max="16" width="14.5" style="128" customWidth="1"/>
    <col min="17" max="17" width="14" style="128" customWidth="1"/>
    <col min="18" max="18" width="13.83203125" style="128" customWidth="1"/>
    <col min="19" max="19" width="16.1640625" style="128" customWidth="1"/>
    <col min="20" max="20" width="15" style="157" customWidth="1"/>
    <col min="21" max="21" width="15.83203125" style="157" customWidth="1"/>
    <col min="22" max="22" width="14.5" style="157" customWidth="1"/>
    <col min="23" max="23" width="14" style="157" customWidth="1"/>
    <col min="24" max="24" width="13.83203125" style="157" customWidth="1"/>
    <col min="25" max="25" width="16.1640625" style="157" customWidth="1"/>
    <col min="26" max="29" width="11" style="157" bestFit="1" customWidth="1"/>
    <col min="30" max="30" width="12.6640625" style="128" bestFit="1" customWidth="1"/>
    <col min="31" max="34" width="11" style="140" bestFit="1" customWidth="1"/>
    <col min="35" max="35" width="16.1640625" style="141" bestFit="1" customWidth="1"/>
    <col min="36" max="16384" width="10.83203125" style="142"/>
  </cols>
  <sheetData>
    <row r="1" spans="1:37">
      <c r="A1" s="135"/>
      <c r="B1" s="136" t="s">
        <v>66</v>
      </c>
      <c r="C1" s="136"/>
      <c r="D1" s="136"/>
      <c r="E1" s="136"/>
      <c r="F1" s="136"/>
      <c r="G1" s="136"/>
      <c r="H1" s="136" t="s">
        <v>67</v>
      </c>
      <c r="I1" s="136"/>
      <c r="J1" s="136"/>
      <c r="K1" s="136"/>
      <c r="L1" s="136"/>
      <c r="M1" s="136"/>
      <c r="N1" s="137" t="s">
        <v>25</v>
      </c>
      <c r="O1" s="138"/>
      <c r="P1" s="138"/>
      <c r="Q1" s="138"/>
      <c r="R1" s="138"/>
      <c r="S1" s="138"/>
      <c r="T1" s="119" t="s">
        <v>77</v>
      </c>
      <c r="U1" s="139"/>
      <c r="V1" s="139"/>
      <c r="W1" s="139"/>
      <c r="X1" s="139"/>
      <c r="Y1" s="139"/>
      <c r="Z1" s="119" t="s">
        <v>85</v>
      </c>
      <c r="AA1" s="119"/>
      <c r="AB1" s="119"/>
      <c r="AC1" s="119"/>
      <c r="AE1" s="175" t="s">
        <v>167</v>
      </c>
      <c r="AF1" s="175"/>
      <c r="AG1" s="175"/>
      <c r="AH1" s="175"/>
    </row>
    <row r="2" spans="1:37" s="146" customFormat="1" ht="105">
      <c r="A2" s="118" t="s">
        <v>68</v>
      </c>
      <c r="B2" s="143" t="s">
        <v>78</v>
      </c>
      <c r="C2" s="143"/>
      <c r="D2" s="143"/>
      <c r="E2" s="129" t="s">
        <v>69</v>
      </c>
      <c r="F2" s="129" t="s">
        <v>70</v>
      </c>
      <c r="G2" s="129" t="s">
        <v>71</v>
      </c>
      <c r="H2" s="143" t="s">
        <v>78</v>
      </c>
      <c r="I2" s="143"/>
      <c r="J2" s="143"/>
      <c r="K2" s="129" t="s">
        <v>69</v>
      </c>
      <c r="L2" s="129" t="s">
        <v>70</v>
      </c>
      <c r="M2" s="129" t="s">
        <v>71</v>
      </c>
      <c r="N2" s="143" t="s">
        <v>78</v>
      </c>
      <c r="O2" s="143"/>
      <c r="P2" s="143"/>
      <c r="Q2" s="129" t="s">
        <v>69</v>
      </c>
      <c r="R2" s="129" t="s">
        <v>70</v>
      </c>
      <c r="S2" s="129" t="s">
        <v>71</v>
      </c>
      <c r="T2" s="144" t="s">
        <v>78</v>
      </c>
      <c r="U2" s="144"/>
      <c r="V2" s="144"/>
      <c r="W2" s="145" t="s">
        <v>69</v>
      </c>
      <c r="X2" s="145" t="s">
        <v>70</v>
      </c>
      <c r="Y2" s="145" t="s">
        <v>71</v>
      </c>
      <c r="Z2" s="145" t="s">
        <v>82</v>
      </c>
      <c r="AA2" s="145" t="s">
        <v>79</v>
      </c>
      <c r="AB2" s="145" t="s">
        <v>80</v>
      </c>
      <c r="AC2" s="145" t="s">
        <v>81</v>
      </c>
      <c r="AD2" s="129" t="s">
        <v>87</v>
      </c>
      <c r="AE2" s="163" t="s">
        <v>86</v>
      </c>
      <c r="AF2" s="163" t="s">
        <v>79</v>
      </c>
      <c r="AG2" s="163" t="s">
        <v>80</v>
      </c>
      <c r="AH2" s="163" t="s">
        <v>81</v>
      </c>
      <c r="AI2" s="164" t="s">
        <v>89</v>
      </c>
      <c r="AK2" s="169"/>
    </row>
    <row r="3" spans="1:37" s="147" customFormat="1">
      <c r="B3" s="148" t="s">
        <v>73</v>
      </c>
      <c r="C3" s="148" t="s">
        <v>74</v>
      </c>
      <c r="D3" s="148" t="s">
        <v>75</v>
      </c>
      <c r="E3" s="148" t="s">
        <v>73</v>
      </c>
      <c r="F3" s="149" t="s">
        <v>73</v>
      </c>
      <c r="G3" s="149" t="s">
        <v>73</v>
      </c>
      <c r="H3" s="148" t="s">
        <v>73</v>
      </c>
      <c r="I3" s="148" t="s">
        <v>74</v>
      </c>
      <c r="J3" s="148" t="s">
        <v>75</v>
      </c>
      <c r="K3" s="148" t="s">
        <v>73</v>
      </c>
      <c r="L3" s="149" t="s">
        <v>73</v>
      </c>
      <c r="M3" s="149" t="s">
        <v>73</v>
      </c>
      <c r="N3" s="148" t="s">
        <v>73</v>
      </c>
      <c r="O3" s="148" t="s">
        <v>74</v>
      </c>
      <c r="P3" s="148" t="s">
        <v>75</v>
      </c>
      <c r="Q3" s="148" t="s">
        <v>73</v>
      </c>
      <c r="R3" s="149" t="s">
        <v>73</v>
      </c>
      <c r="S3" s="149" t="s">
        <v>73</v>
      </c>
      <c r="T3" s="151" t="s">
        <v>73</v>
      </c>
      <c r="U3" s="151" t="s">
        <v>74</v>
      </c>
      <c r="V3" s="151" t="s">
        <v>75</v>
      </c>
      <c r="W3" s="151" t="s">
        <v>73</v>
      </c>
      <c r="X3" s="152" t="s">
        <v>73</v>
      </c>
      <c r="Y3" s="152" t="s">
        <v>73</v>
      </c>
      <c r="Z3" s="153"/>
      <c r="AA3" s="153"/>
      <c r="AB3" s="153"/>
      <c r="AC3" s="153"/>
      <c r="AD3" s="130"/>
      <c r="AE3" s="154"/>
      <c r="AF3" s="154"/>
      <c r="AG3" s="154"/>
      <c r="AH3" s="154"/>
      <c r="AI3" s="155"/>
    </row>
    <row r="4" spans="1:37">
      <c r="A4" s="150" t="s">
        <v>72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</row>
    <row r="5" spans="1:37">
      <c r="A5" s="158" t="str">
        <f>[2]NamesDistrictCollegeCenter!B11</f>
        <v>Allan Hancock Joint CCD</v>
      </c>
      <c r="B5" s="121">
        <v>9202.61</v>
      </c>
      <c r="C5" s="121">
        <v>499.92</v>
      </c>
      <c r="D5" s="121">
        <v>319.04000000000002</v>
      </c>
      <c r="E5" s="121">
        <v>106.5</v>
      </c>
      <c r="F5" s="121">
        <v>425.76</v>
      </c>
      <c r="G5" s="121">
        <f t="shared" ref="G5:G68" si="0">B5-E5-F5</f>
        <v>8670.35</v>
      </c>
      <c r="H5" s="121">
        <v>7860.1600000000008</v>
      </c>
      <c r="I5" s="121">
        <v>431.70000000000005</v>
      </c>
      <c r="J5" s="121">
        <v>261.70000000000005</v>
      </c>
      <c r="K5" s="121">
        <v>83.47</v>
      </c>
      <c r="L5" s="121">
        <v>436.82</v>
      </c>
      <c r="M5" s="121">
        <f>H5-K5-L5</f>
        <v>7339.8700000000008</v>
      </c>
      <c r="N5" s="122">
        <v>8984.08</v>
      </c>
      <c r="O5" s="122">
        <v>401.82</v>
      </c>
      <c r="P5" s="122">
        <v>255.44</v>
      </c>
      <c r="Q5" s="122">
        <v>73.67</v>
      </c>
      <c r="R5" s="122">
        <v>420.1</v>
      </c>
      <c r="S5" s="122">
        <f>N5-Q5-R5</f>
        <v>8490.31</v>
      </c>
      <c r="T5" s="120">
        <f>IF((H5-B5)*(1/3)+(N5-H5)*(2/3) + N5&gt;0,N5+(H5-B5)*(1/3)+(N5-H5)*(2/3),N5)</f>
        <v>9285.8766666666652</v>
      </c>
      <c r="U5" s="120">
        <f>IF((I5-C5)*(1/3)+(O5-I5)*(2/3) + O5&gt;0,O5+(I5-C5)*(1/3)+(O5-I5)*(2/3),O5)</f>
        <v>359.15999999999997</v>
      </c>
      <c r="V5" s="120">
        <f>IF((J5-D5)*(1/3)+(P5-J5)*(2/3) + P5&gt;0,P5+(J5-D5)*(1/3)+(P5-J5)*(2/3),P5)</f>
        <v>232.15333333333331</v>
      </c>
      <c r="W5" s="120">
        <f>IF((K5-E5)*(1/3)+(Q5-K5)*(2/3) + Q5&gt;0,Q5+(K5-E5)*(1/3)+(Q5-K5)*(2/3),Q5)</f>
        <v>59.460000000000008</v>
      </c>
      <c r="X5" s="120">
        <f>IF((L5-F5)*(1/3)+(R5-L5)*(2/3) + R5&gt;0,R5+(L5-F5)*(1/3)+(R5-L5)*(2/3),R5)</f>
        <v>412.64000000000004</v>
      </c>
      <c r="Y5" s="120">
        <f>T5-W5-X5</f>
        <v>8813.7766666666666</v>
      </c>
      <c r="Z5" s="159">
        <f>AVERAGE(Y5,S5,M5)</f>
        <v>8214.6522222222211</v>
      </c>
      <c r="AA5" s="159">
        <f>U5</f>
        <v>359.15999999999997</v>
      </c>
      <c r="AB5" s="159">
        <f>V5</f>
        <v>232.15333333333331</v>
      </c>
      <c r="AC5" s="159">
        <f>SUM(W5:X5)</f>
        <v>472.1</v>
      </c>
      <c r="AD5" s="131">
        <v>6742470.1229999997</v>
      </c>
      <c r="AE5" s="160">
        <f>INDEX('Rate Assumptions'!$A:$B,MATCH('Base Allocation'!AE$2,'Rate Assumptions'!$A:$A,0),2)</f>
        <v>3988.586178572119</v>
      </c>
      <c r="AF5" s="160">
        <f>INDEX('Rate Assumptions'!$A:$B,MATCH('Base Allocation'!AF$2,'Rate Assumptions'!$A:$A,0),2)</f>
        <v>3988.586178572119</v>
      </c>
      <c r="AG5" s="160">
        <f>INDEX('Rate Assumptions'!$A:$B,MATCH('Base Allocation'!AG$2,'Rate Assumptions'!$A:$A,0),2)</f>
        <v>3988.586178572119</v>
      </c>
      <c r="AH5" s="160">
        <f>INDEX('Rate Assumptions'!$A:$B,MATCH('Base Allocation'!AH$2,'Rate Assumptions'!$A:$A,0),2)</f>
        <v>3988.586178572119</v>
      </c>
      <c r="AI5" s="161">
        <f>AD5+SUMPRODUCT(Z5:AC5,AE5:AH5)</f>
        <v>43748834.161774933</v>
      </c>
    </row>
    <row r="6" spans="1:37">
      <c r="A6" s="158" t="str">
        <f>[2]NamesDistrictCollegeCenter!B12</f>
        <v>Antelope Valley CCD</v>
      </c>
      <c r="B6" s="121">
        <v>10523.449999999999</v>
      </c>
      <c r="C6" s="121">
        <v>4.5</v>
      </c>
      <c r="D6" s="121">
        <v>39.28</v>
      </c>
      <c r="E6" s="121">
        <v>8.68</v>
      </c>
      <c r="F6" s="121">
        <v>302.60000000000002</v>
      </c>
      <c r="G6" s="121">
        <f t="shared" si="0"/>
        <v>10212.169999999998</v>
      </c>
      <c r="H6" s="121">
        <v>10527.039999999999</v>
      </c>
      <c r="I6" s="121">
        <v>7.9199660000000005</v>
      </c>
      <c r="J6" s="121">
        <v>80.880057999999991</v>
      </c>
      <c r="K6" s="121">
        <v>1.79</v>
      </c>
      <c r="L6" s="121">
        <v>308.01</v>
      </c>
      <c r="M6" s="121">
        <f>H6-K6-L6</f>
        <v>10217.239999999998</v>
      </c>
      <c r="N6" s="122">
        <v>10968.8</v>
      </c>
      <c r="O6" s="122">
        <v>7.6099999999999994</v>
      </c>
      <c r="P6" s="122">
        <v>55.1</v>
      </c>
      <c r="Q6" s="122">
        <v>11.01</v>
      </c>
      <c r="R6" s="122">
        <v>341.84</v>
      </c>
      <c r="S6" s="122">
        <f t="shared" ref="S6:S69" si="1">N6-Q6-R6</f>
        <v>10615.949999999999</v>
      </c>
      <c r="T6" s="120">
        <f>IF((H6-B6)*(1/3)+(N6-H6)*(2/3) + N6&gt;0,N6+(H6-B6)*(1/3)+(N6-H6)*(2/3),N6)</f>
        <v>11264.503333333332</v>
      </c>
      <c r="U6" s="120">
        <f>IF((I6-C6)*(1/3)+(O6-I6)*(2/3) + O6&gt;0,O6+(I6-C6)*(1/3)+(O6-I6)*(2/3),O6)</f>
        <v>8.5433446666666661</v>
      </c>
      <c r="V6" s="120">
        <f>IF((J6-D6)*(1/3)+(P6-J6)*(2/3) + P6&gt;0,P6+(J6-D6)*(1/3)+(P6-J6)*(2/3),P6)</f>
        <v>51.779980666666674</v>
      </c>
      <c r="W6" s="120">
        <f>IF((K6-E6)*(1/3)+(Q6-K6)*(2/3) + Q6&gt;0,Q6+(K6-E6)*(1/3)+(Q6-K6)*(2/3),Q6)</f>
        <v>14.86</v>
      </c>
      <c r="X6" s="120">
        <f>IF((L6-F6)*(1/3)+(R6-L6)*(2/3) + R6&gt;0,R6+(L6-F6)*(1/3)+(R6-L6)*(2/3),R6)</f>
        <v>366.19666666666666</v>
      </c>
      <c r="Y6" s="120">
        <f t="shared" ref="Y6:Y69" si="2">T6-W6-X6</f>
        <v>10883.446666666665</v>
      </c>
      <c r="Z6" s="159">
        <f>AVERAGE(Y6,S6,M6)</f>
        <v>10572.212222222221</v>
      </c>
      <c r="AA6" s="159">
        <f t="shared" ref="AA6:AA69" si="3">U6</f>
        <v>8.5433446666666661</v>
      </c>
      <c r="AB6" s="159">
        <f t="shared" ref="AB6:AB69" si="4">V6</f>
        <v>51.779980666666674</v>
      </c>
      <c r="AC6" s="159">
        <f t="shared" ref="AC6:AC69" si="5">SUM(W6:X6)</f>
        <v>381.05666666666667</v>
      </c>
      <c r="AD6" s="131">
        <v>6742470.1229999997</v>
      </c>
      <c r="AE6" s="160">
        <f>INDEX('Rate Assumptions'!$A:$B,MATCH('Base Allocation'!AE$2,'Rate Assumptions'!$A:$A,0),2)</f>
        <v>3988.586178572119</v>
      </c>
      <c r="AF6" s="160">
        <f>INDEX('Rate Assumptions'!$A:$B,MATCH('Base Allocation'!AF$2,'Rate Assumptions'!$A:$A,0),2)</f>
        <v>3988.586178572119</v>
      </c>
      <c r="AG6" s="160">
        <f>INDEX('Rate Assumptions'!$A:$B,MATCH('Base Allocation'!AG$2,'Rate Assumptions'!$A:$A,0),2)</f>
        <v>3988.586178572119</v>
      </c>
      <c r="AH6" s="160">
        <f>INDEX('Rate Assumptions'!$A:$B,MATCH('Base Allocation'!AH$2,'Rate Assumptions'!$A:$A,0),2)</f>
        <v>3988.586178572119</v>
      </c>
      <c r="AI6" s="161">
        <f>AD6+SUMPRODUCT(Z6:AC6,AE6:AH6)</f>
        <v>50671131.805076256</v>
      </c>
    </row>
    <row r="7" spans="1:37">
      <c r="A7" s="158" t="str">
        <f>[2]NamesDistrictCollegeCenter!B13</f>
        <v>Barstow CCD</v>
      </c>
      <c r="B7" s="121">
        <v>2565.1499069999995</v>
      </c>
      <c r="C7" s="121">
        <v>17.72</v>
      </c>
      <c r="D7" s="121">
        <v>0</v>
      </c>
      <c r="E7" s="121"/>
      <c r="F7" s="121">
        <v>39.21</v>
      </c>
      <c r="G7" s="121">
        <f t="shared" si="0"/>
        <v>2525.9399069999995</v>
      </c>
      <c r="H7" s="121">
        <v>2320.7099999999996</v>
      </c>
      <c r="I7" s="121">
        <v>29.82</v>
      </c>
      <c r="J7" s="121">
        <v>0</v>
      </c>
      <c r="K7" s="121"/>
      <c r="L7" s="121">
        <v>43.74</v>
      </c>
      <c r="M7" s="121">
        <f>H7-K7-L7</f>
        <v>2276.9699999999998</v>
      </c>
      <c r="N7" s="122">
        <v>2552.27</v>
      </c>
      <c r="O7" s="122">
        <v>29.84</v>
      </c>
      <c r="P7" s="122">
        <v>0</v>
      </c>
      <c r="Q7" s="122">
        <v>0</v>
      </c>
      <c r="R7" s="122">
        <v>0</v>
      </c>
      <c r="S7" s="122">
        <f t="shared" si="1"/>
        <v>2552.27</v>
      </c>
      <c r="T7" s="120">
        <f>IF((H7-B7)*(1/3)+(N7-H7)*(2/3) + N7&gt;0,N7+(H7-B7)*(1/3)+(N7-H7)*(2/3),N7)</f>
        <v>2625.1633643333334</v>
      </c>
      <c r="U7" s="120">
        <f>IF((I7-C7)*(1/3)+(O7-I7)*(2/3) + O7&gt;0,O7+(I7-C7)*(1/3)+(O7-I7)*(2/3),O7)</f>
        <v>33.88666666666667</v>
      </c>
      <c r="V7" s="120">
        <f>IF((J7-D7)*(1/3)+(P7-J7)*(2/3) + P7&gt;0,P7+(J7-D7)*(1/3)+(P7-J7)*(2/3),P7)</f>
        <v>0</v>
      </c>
      <c r="W7" s="120">
        <f>IF((K7-E7)*(1/3)+(Q7-K7)*(2/3) + Q7&gt;0,Q7+(K7-E7)*(1/3)+(Q7-K7)*(2/3),Q7)</f>
        <v>0</v>
      </c>
      <c r="X7" s="120">
        <f>IF((L7-F7)*(1/3)+(R7-L7)*(2/3) + R7&gt;0,R7+(L7-F7)*(1/3)+(R7-L7)*(2/3),R7)</f>
        <v>0</v>
      </c>
      <c r="Y7" s="120">
        <f t="shared" si="2"/>
        <v>2625.1633643333334</v>
      </c>
      <c r="Z7" s="159">
        <f>AVERAGE(Y7,S7,M7)</f>
        <v>2484.8011214444446</v>
      </c>
      <c r="AA7" s="159">
        <f t="shared" si="3"/>
        <v>33.88666666666667</v>
      </c>
      <c r="AB7" s="159">
        <f t="shared" si="4"/>
        <v>0</v>
      </c>
      <c r="AC7" s="159">
        <f t="shared" si="5"/>
        <v>0</v>
      </c>
      <c r="AD7" s="131">
        <v>5332192.5425999993</v>
      </c>
      <c r="AE7" s="160">
        <f>INDEX('Rate Assumptions'!$A:$B,MATCH('Base Allocation'!AE$2,'Rate Assumptions'!$A:$A,0),2)</f>
        <v>3988.586178572119</v>
      </c>
      <c r="AF7" s="160">
        <f>INDEX('Rate Assumptions'!$A:$B,MATCH('Base Allocation'!AF$2,'Rate Assumptions'!$A:$A,0),2)</f>
        <v>3988.586178572119</v>
      </c>
      <c r="AG7" s="160">
        <f>INDEX('Rate Assumptions'!$A:$B,MATCH('Base Allocation'!AG$2,'Rate Assumptions'!$A:$A,0),2)</f>
        <v>3988.586178572119</v>
      </c>
      <c r="AH7" s="160">
        <f>INDEX('Rate Assumptions'!$A:$B,MATCH('Base Allocation'!AH$2,'Rate Assumptions'!$A:$A,0),2)</f>
        <v>3988.586178572119</v>
      </c>
      <c r="AI7" s="161">
        <f>AD7+SUMPRODUCT(Z7:AC7,AE7:AH7)</f>
        <v>15378195.84239836</v>
      </c>
    </row>
    <row r="8" spans="1:37">
      <c r="A8" s="158" t="str">
        <f>[2]NamesDistrictCollegeCenter!B14</f>
        <v>Butte-Glenn CCD</v>
      </c>
      <c r="B8" s="121">
        <v>8717.9200000000019</v>
      </c>
      <c r="C8" s="121">
        <v>1245.24</v>
      </c>
      <c r="D8" s="121">
        <v>23.440000000000005</v>
      </c>
      <c r="E8" s="121"/>
      <c r="F8" s="121">
        <v>172.12</v>
      </c>
      <c r="G8" s="121">
        <f t="shared" si="0"/>
        <v>8545.8000000000011</v>
      </c>
      <c r="H8" s="121">
        <v>9162.4000920000017</v>
      </c>
      <c r="I8" s="121">
        <v>1195.77</v>
      </c>
      <c r="J8" s="121">
        <v>25.050000000000004</v>
      </c>
      <c r="K8" s="121"/>
      <c r="L8" s="121">
        <v>185.72</v>
      </c>
      <c r="M8" s="121">
        <f>H8-K8-L8</f>
        <v>8976.6800920000023</v>
      </c>
      <c r="N8" s="122">
        <v>9162.4</v>
      </c>
      <c r="O8" s="122">
        <v>1195.77</v>
      </c>
      <c r="P8" s="122">
        <v>25.050000000000004</v>
      </c>
      <c r="Q8" s="122">
        <v>0</v>
      </c>
      <c r="R8" s="122">
        <v>185.72</v>
      </c>
      <c r="S8" s="122">
        <f t="shared" si="1"/>
        <v>8976.68</v>
      </c>
      <c r="T8" s="120">
        <f>IF((H8-B8)*(1/3)+(N8-H8)*(2/3) + N8&gt;0,N8+(H8-B8)*(1/3)+(N8-H8)*(2/3),N8)</f>
        <v>9310.5599693333315</v>
      </c>
      <c r="U8" s="120">
        <f>IF((I8-C8)*(1/3)+(O8-I8)*(2/3) + O8&gt;0,O8+(I8-C8)*(1/3)+(O8-I8)*(2/3),O8)</f>
        <v>1179.28</v>
      </c>
      <c r="V8" s="120">
        <f>IF((J8-D8)*(1/3)+(P8-J8)*(2/3) + P8&gt;0,P8+(J8-D8)*(1/3)+(P8-J8)*(2/3),P8)</f>
        <v>25.58666666666667</v>
      </c>
      <c r="W8" s="120">
        <f>IF((K8-E8)*(1/3)+(Q8-K8)*(2/3) + Q8&gt;0,Q8+(K8-E8)*(1/3)+(Q8-K8)*(2/3),Q8)</f>
        <v>0</v>
      </c>
      <c r="X8" s="120">
        <f>IF((L8-F8)*(1/3)+(R8-L8)*(2/3) + R8&gt;0,R8+(L8-F8)*(1/3)+(R8-L8)*(2/3),R8)</f>
        <v>190.25333333333333</v>
      </c>
      <c r="Y8" s="120">
        <f t="shared" si="2"/>
        <v>9120.3066359999975</v>
      </c>
      <c r="Z8" s="159">
        <f>AVERAGE(Y8,S8,M8)</f>
        <v>9024.5555760000007</v>
      </c>
      <c r="AA8" s="159">
        <f t="shared" si="3"/>
        <v>1179.28</v>
      </c>
      <c r="AB8" s="159">
        <f t="shared" si="4"/>
        <v>25.58666666666667</v>
      </c>
      <c r="AC8" s="159">
        <f t="shared" si="5"/>
        <v>190.25333333333333</v>
      </c>
      <c r="AD8" s="131">
        <v>6742470.1229999997</v>
      </c>
      <c r="AE8" s="160">
        <f>INDEX('Rate Assumptions'!$A:$B,MATCH('Base Allocation'!AE$2,'Rate Assumptions'!$A:$A,0),2)</f>
        <v>3988.586178572119</v>
      </c>
      <c r="AF8" s="160">
        <f>INDEX('Rate Assumptions'!$A:$B,MATCH('Base Allocation'!AF$2,'Rate Assumptions'!$A:$A,0),2)</f>
        <v>3988.586178572119</v>
      </c>
      <c r="AG8" s="160">
        <f>INDEX('Rate Assumptions'!$A:$B,MATCH('Base Allocation'!AG$2,'Rate Assumptions'!$A:$A,0),2)</f>
        <v>3988.586178572119</v>
      </c>
      <c r="AH8" s="160">
        <f>INDEX('Rate Assumptions'!$A:$B,MATCH('Base Allocation'!AH$2,'Rate Assumptions'!$A:$A,0),2)</f>
        <v>3988.586178572119</v>
      </c>
      <c r="AI8" s="161">
        <f>AD8+SUMPRODUCT(Z8:AC8,AE8:AH8)</f>
        <v>48302244.11063908</v>
      </c>
    </row>
    <row r="9" spans="1:37">
      <c r="A9" s="158" t="str">
        <f>[2]NamesDistrictCollegeCenter!B15</f>
        <v>Cabrillo CCD</v>
      </c>
      <c r="B9" s="121">
        <v>10208.64</v>
      </c>
      <c r="C9" s="121">
        <v>181.85999999999999</v>
      </c>
      <c r="D9" s="121">
        <v>2.96</v>
      </c>
      <c r="E9" s="121"/>
      <c r="F9" s="121">
        <v>300.29000000000002</v>
      </c>
      <c r="G9" s="121">
        <f t="shared" si="0"/>
        <v>9908.3499999999985</v>
      </c>
      <c r="H9" s="121">
        <v>8791.82</v>
      </c>
      <c r="I9" s="121">
        <v>136.63</v>
      </c>
      <c r="J9" s="121">
        <v>15</v>
      </c>
      <c r="K9" s="121"/>
      <c r="L9" s="121">
        <v>285.12</v>
      </c>
      <c r="M9" s="121">
        <f>H9-K9-L9</f>
        <v>8506.6999999999989</v>
      </c>
      <c r="N9" s="122">
        <v>9763.41</v>
      </c>
      <c r="O9" s="122">
        <v>481.52000000000004</v>
      </c>
      <c r="P9" s="122">
        <v>55.93</v>
      </c>
      <c r="Q9" s="122">
        <v>0</v>
      </c>
      <c r="R9" s="122">
        <v>234.9</v>
      </c>
      <c r="S9" s="122">
        <f t="shared" si="1"/>
        <v>9528.51</v>
      </c>
      <c r="T9" s="120">
        <f>IF((H9-B9)*(1/3)+(N9-H9)*(2/3) + N9&gt;0,N9+(H9-B9)*(1/3)+(N9-H9)*(2/3),N9)</f>
        <v>9938.8633333333346</v>
      </c>
      <c r="U9" s="120">
        <f>IF((I9-C9)*(1/3)+(O9-I9)*(2/3) + O9&gt;0,O9+(I9-C9)*(1/3)+(O9-I9)*(2/3),O9)</f>
        <v>696.37000000000012</v>
      </c>
      <c r="V9" s="120">
        <f>IF((J9-D9)*(1/3)+(P9-J9)*(2/3) + P9&gt;0,P9+(J9-D9)*(1/3)+(P9-J9)*(2/3),P9)</f>
        <v>87.23</v>
      </c>
      <c r="W9" s="120">
        <f>IF((K9-E9)*(1/3)+(Q9-K9)*(2/3) + Q9&gt;0,Q9+(K9-E9)*(1/3)+(Q9-K9)*(2/3),Q9)</f>
        <v>0</v>
      </c>
      <c r="X9" s="120">
        <f>IF((L9-F9)*(1/3)+(R9-L9)*(2/3) + R9&gt;0,R9+(L9-F9)*(1/3)+(R9-L9)*(2/3),R9)</f>
        <v>196.36333333333334</v>
      </c>
      <c r="Y9" s="120">
        <f t="shared" si="2"/>
        <v>9742.5000000000018</v>
      </c>
      <c r="Z9" s="159">
        <f>AVERAGE(Y9,S9,M9)</f>
        <v>9259.2366666666658</v>
      </c>
      <c r="AA9" s="159">
        <f t="shared" si="3"/>
        <v>696.37000000000012</v>
      </c>
      <c r="AB9" s="159">
        <f t="shared" si="4"/>
        <v>87.23</v>
      </c>
      <c r="AC9" s="159">
        <f t="shared" si="5"/>
        <v>196.36333333333334</v>
      </c>
      <c r="AD9" s="131">
        <v>6742470.1229999997</v>
      </c>
      <c r="AE9" s="160">
        <f>INDEX('Rate Assumptions'!$A:$B,MATCH('Base Allocation'!AE$2,'Rate Assumptions'!$A:$A,0),2)</f>
        <v>3988.586178572119</v>
      </c>
      <c r="AF9" s="160">
        <f>INDEX('Rate Assumptions'!$A:$B,MATCH('Base Allocation'!AF$2,'Rate Assumptions'!$A:$A,0),2)</f>
        <v>3988.586178572119</v>
      </c>
      <c r="AG9" s="160">
        <f>INDEX('Rate Assumptions'!$A:$B,MATCH('Base Allocation'!AG$2,'Rate Assumptions'!$A:$A,0),2)</f>
        <v>3988.586178572119</v>
      </c>
      <c r="AH9" s="160">
        <f>INDEX('Rate Assumptions'!$A:$B,MATCH('Base Allocation'!AH$2,'Rate Assumptions'!$A:$A,0),2)</f>
        <v>3988.586178572119</v>
      </c>
      <c r="AI9" s="161">
        <f>AD9+SUMPRODUCT(Z9:AC9,AE9:AH9)</f>
        <v>47582401.722635627</v>
      </c>
    </row>
    <row r="10" spans="1:37">
      <c r="A10" s="158" t="str">
        <f>[2]NamesDistrictCollegeCenter!B16</f>
        <v>Cerritos CCD</v>
      </c>
      <c r="B10" s="121">
        <v>16303.43</v>
      </c>
      <c r="C10" s="121">
        <v>138.5</v>
      </c>
      <c r="D10" s="121">
        <v>279.76</v>
      </c>
      <c r="E10" s="121"/>
      <c r="F10" s="121">
        <v>81.08</v>
      </c>
      <c r="G10" s="121">
        <f t="shared" si="0"/>
        <v>16222.35</v>
      </c>
      <c r="H10" s="121">
        <v>16254.429999999998</v>
      </c>
      <c r="I10" s="121">
        <v>273.90999999999997</v>
      </c>
      <c r="J10" s="121">
        <v>249.77</v>
      </c>
      <c r="K10" s="121"/>
      <c r="L10" s="121">
        <v>91</v>
      </c>
      <c r="M10" s="121">
        <f>H10-K10-L10</f>
        <v>16163.429999999998</v>
      </c>
      <c r="N10" s="122">
        <v>15924.63</v>
      </c>
      <c r="O10" s="122">
        <v>273.90999999999997</v>
      </c>
      <c r="P10" s="122">
        <v>249.77</v>
      </c>
      <c r="Q10" s="122">
        <v>0</v>
      </c>
      <c r="R10" s="122">
        <v>106.49</v>
      </c>
      <c r="S10" s="122">
        <f t="shared" si="1"/>
        <v>15818.14</v>
      </c>
      <c r="T10" s="120">
        <f>IF((H10-B10)*(1/3)+(N10-H10)*(2/3) + N10&gt;0,N10+(H10-B10)*(1/3)+(N10-H10)*(2/3),N10)</f>
        <v>15688.429999999998</v>
      </c>
      <c r="U10" s="120">
        <f>IF((I10-C10)*(1/3)+(O10-I10)*(2/3) + O10&gt;0,O10+(I10-C10)*(1/3)+(O10-I10)*(2/3),O10)</f>
        <v>319.04666666666662</v>
      </c>
      <c r="V10" s="120">
        <f>IF((J10-D10)*(1/3)+(P10-J10)*(2/3) + P10&gt;0,P10+(J10-D10)*(1/3)+(P10-J10)*(2/3),P10)</f>
        <v>239.77333333333334</v>
      </c>
      <c r="W10" s="120">
        <f>IF((K10-E10)*(1/3)+(Q10-K10)*(2/3) + Q10&gt;0,Q10+(K10-E10)*(1/3)+(Q10-K10)*(2/3),Q10)</f>
        <v>0</v>
      </c>
      <c r="X10" s="120">
        <f>IF((L10-F10)*(1/3)+(R10-L10)*(2/3) + R10&gt;0,R10+(L10-F10)*(1/3)+(R10-L10)*(2/3),R10)</f>
        <v>120.12333333333333</v>
      </c>
      <c r="Y10" s="120">
        <f t="shared" si="2"/>
        <v>15568.306666666665</v>
      </c>
      <c r="Z10" s="159">
        <f>AVERAGE(Y10,S10,M10)</f>
        <v>15849.958888888888</v>
      </c>
      <c r="AA10" s="159">
        <f t="shared" si="3"/>
        <v>319.04666666666662</v>
      </c>
      <c r="AB10" s="159">
        <f t="shared" si="4"/>
        <v>239.77333333333334</v>
      </c>
      <c r="AC10" s="159">
        <f t="shared" si="5"/>
        <v>120.12333333333333</v>
      </c>
      <c r="AD10" s="131">
        <v>5393976.0983999996</v>
      </c>
      <c r="AE10" s="160">
        <f>INDEX('Rate Assumptions'!$A:$B,MATCH('Base Allocation'!AE$2,'Rate Assumptions'!$A:$A,0),2)</f>
        <v>3988.586178572119</v>
      </c>
      <c r="AF10" s="160">
        <f>INDEX('Rate Assumptions'!$A:$B,MATCH('Base Allocation'!AF$2,'Rate Assumptions'!$A:$A,0),2)</f>
        <v>3988.586178572119</v>
      </c>
      <c r="AG10" s="160">
        <f>INDEX('Rate Assumptions'!$A:$B,MATCH('Base Allocation'!AG$2,'Rate Assumptions'!$A:$A,0),2)</f>
        <v>3988.586178572119</v>
      </c>
      <c r="AH10" s="160">
        <f>INDEX('Rate Assumptions'!$A:$B,MATCH('Base Allocation'!AH$2,'Rate Assumptions'!$A:$A,0),2)</f>
        <v>3988.586178572119</v>
      </c>
      <c r="AI10" s="161">
        <f>AD10+SUMPRODUCT(Z10:AC10,AE10:AH10)</f>
        <v>71320927.048925534</v>
      </c>
    </row>
    <row r="11" spans="1:37">
      <c r="A11" s="158" t="str">
        <f>[2]NamesDistrictCollegeCenter!B17</f>
        <v>Chabot-Las Positas CCD</v>
      </c>
      <c r="B11" s="121">
        <v>15460.45</v>
      </c>
      <c r="C11" s="121">
        <v>164.82999999999998</v>
      </c>
      <c r="D11" s="121">
        <v>0</v>
      </c>
      <c r="E11" s="121"/>
      <c r="F11" s="121">
        <v>212.72</v>
      </c>
      <c r="G11" s="121">
        <f t="shared" si="0"/>
        <v>15247.730000000001</v>
      </c>
      <c r="H11" s="121">
        <v>18651.602642000002</v>
      </c>
      <c r="I11" s="121">
        <v>171.54999999999998</v>
      </c>
      <c r="J11" s="121">
        <v>0</v>
      </c>
      <c r="K11" s="121"/>
      <c r="L11" s="121">
        <v>278.60000000000002</v>
      </c>
      <c r="M11" s="121">
        <f>H11-K11-L11</f>
        <v>18373.002642000003</v>
      </c>
      <c r="N11" s="122">
        <v>15239.66</v>
      </c>
      <c r="O11" s="122">
        <v>179.03</v>
      </c>
      <c r="P11" s="122">
        <v>0</v>
      </c>
      <c r="Q11" s="122">
        <v>0</v>
      </c>
      <c r="R11" s="122">
        <v>366.03</v>
      </c>
      <c r="S11" s="122">
        <f t="shared" si="1"/>
        <v>14873.63</v>
      </c>
      <c r="T11" s="120">
        <f>IF((H11-B11)*(1/3)+(N11-H11)*(2/3) + N11&gt;0,N11+(H11-B11)*(1/3)+(N11-H11)*(2/3),N11)</f>
        <v>14028.749119333334</v>
      </c>
      <c r="U11" s="120">
        <f>IF((I11-C11)*(1/3)+(O11-I11)*(2/3) + O11&gt;0,O11+(I11-C11)*(1/3)+(O11-I11)*(2/3),O11)</f>
        <v>186.25666666666669</v>
      </c>
      <c r="V11" s="120">
        <f>IF((J11-D11)*(1/3)+(P11-J11)*(2/3) + P11&gt;0,P11+(J11-D11)*(1/3)+(P11-J11)*(2/3),P11)</f>
        <v>0</v>
      </c>
      <c r="W11" s="120">
        <f>IF((K11-E11)*(1/3)+(Q11-K11)*(2/3) + Q11&gt;0,Q11+(K11-E11)*(1/3)+(Q11-K11)*(2/3),Q11)</f>
        <v>0</v>
      </c>
      <c r="X11" s="120">
        <f>IF((L11-F11)*(1/3)+(R11-L11)*(2/3) + R11&gt;0,R11+(L11-F11)*(1/3)+(R11-L11)*(2/3),R11)</f>
        <v>446.27666666666664</v>
      </c>
      <c r="Y11" s="120">
        <f t="shared" si="2"/>
        <v>13582.472452666667</v>
      </c>
      <c r="Z11" s="159">
        <f>AVERAGE(Y11,S11,M11)</f>
        <v>15609.701698222221</v>
      </c>
      <c r="AA11" s="159">
        <f t="shared" si="3"/>
        <v>186.25666666666669</v>
      </c>
      <c r="AB11" s="159">
        <f t="shared" si="4"/>
        <v>0</v>
      </c>
      <c r="AC11" s="159">
        <f t="shared" si="5"/>
        <v>446.27666666666664</v>
      </c>
      <c r="AD11" s="131">
        <v>8765209.6109999996</v>
      </c>
      <c r="AE11" s="160">
        <f>INDEX('Rate Assumptions'!$A:$B,MATCH('Base Allocation'!AE$2,'Rate Assumptions'!$A:$A,0),2)</f>
        <v>3988.586178572119</v>
      </c>
      <c r="AF11" s="160">
        <f>INDEX('Rate Assumptions'!$A:$B,MATCH('Base Allocation'!AF$2,'Rate Assumptions'!$A:$A,0),2)</f>
        <v>3988.586178572119</v>
      </c>
      <c r="AG11" s="160">
        <f>INDEX('Rate Assumptions'!$A:$B,MATCH('Base Allocation'!AG$2,'Rate Assumptions'!$A:$A,0),2)</f>
        <v>3988.586178572119</v>
      </c>
      <c r="AH11" s="160">
        <f>INDEX('Rate Assumptions'!$A:$B,MATCH('Base Allocation'!AH$2,'Rate Assumptions'!$A:$A,0),2)</f>
        <v>3988.586178572119</v>
      </c>
      <c r="AI11" s="161">
        <f>AD11+SUMPRODUCT(Z11:AC11,AE11:AH11)</f>
        <v>73548763.766982362</v>
      </c>
    </row>
    <row r="12" spans="1:37">
      <c r="A12" s="158" t="str">
        <f>[2]NamesDistrictCollegeCenter!B18</f>
        <v>Chaffey CCD</v>
      </c>
      <c r="B12" s="121">
        <v>16000.019969999999</v>
      </c>
      <c r="C12" s="121">
        <v>385.28000000000003</v>
      </c>
      <c r="D12" s="121">
        <v>0</v>
      </c>
      <c r="E12" s="121"/>
      <c r="F12" s="121">
        <v>131.12</v>
      </c>
      <c r="G12" s="121">
        <f t="shared" si="0"/>
        <v>15868.899969999999</v>
      </c>
      <c r="H12" s="121">
        <v>14222.029999999999</v>
      </c>
      <c r="I12" s="121">
        <v>404.90000000000003</v>
      </c>
      <c r="J12" s="121">
        <v>0</v>
      </c>
      <c r="K12" s="121">
        <v>59.64</v>
      </c>
      <c r="L12" s="121">
        <v>182.02</v>
      </c>
      <c r="M12" s="121">
        <f>H12-K12-L12</f>
        <v>13980.369999999999</v>
      </c>
      <c r="N12" s="122">
        <v>16545.68</v>
      </c>
      <c r="O12" s="122">
        <v>370.29</v>
      </c>
      <c r="P12" s="122">
        <v>0</v>
      </c>
      <c r="Q12" s="122">
        <v>47.26</v>
      </c>
      <c r="R12" s="122">
        <v>240.26</v>
      </c>
      <c r="S12" s="122">
        <f t="shared" si="1"/>
        <v>16258.160000000002</v>
      </c>
      <c r="T12" s="120">
        <f>IF((H12-B12)*(1/3)+(N12-H12)*(2/3) + N12&gt;0,N12+(H12-B12)*(1/3)+(N12-H12)*(2/3),N12)</f>
        <v>17502.116676666668</v>
      </c>
      <c r="U12" s="120">
        <f>IF((I12-C12)*(1/3)+(O12-I12)*(2/3) + O12&gt;0,O12+(I12-C12)*(1/3)+(O12-I12)*(2/3),O12)</f>
        <v>353.75666666666672</v>
      </c>
      <c r="V12" s="120">
        <f>IF((J12-D12)*(1/3)+(P12-J12)*(2/3) + P12&gt;0,P12+(J12-D12)*(1/3)+(P12-J12)*(2/3),P12)</f>
        <v>0</v>
      </c>
      <c r="W12" s="120">
        <f>IF((K12-E12)*(1/3)+(Q12-K12)*(2/3) + Q12&gt;0,Q12+(K12-E12)*(1/3)+(Q12-K12)*(2/3),Q12)</f>
        <v>58.88666666666667</v>
      </c>
      <c r="X12" s="120">
        <f>IF((L12-F12)*(1/3)+(R12-L12)*(2/3) + R12&gt;0,R12+(L12-F12)*(1/3)+(R12-L12)*(2/3),R12)</f>
        <v>296.05333333333334</v>
      </c>
      <c r="Y12" s="120">
        <f t="shared" si="2"/>
        <v>17147.17667666667</v>
      </c>
      <c r="Z12" s="159">
        <f>AVERAGE(Y12,S12,M12)</f>
        <v>15795.235558888889</v>
      </c>
      <c r="AA12" s="159">
        <f t="shared" si="3"/>
        <v>353.75666666666672</v>
      </c>
      <c r="AB12" s="159">
        <f t="shared" si="4"/>
        <v>0</v>
      </c>
      <c r="AC12" s="159">
        <f t="shared" si="5"/>
        <v>354.94</v>
      </c>
      <c r="AD12" s="131">
        <v>8090964.1475999998</v>
      </c>
      <c r="AE12" s="160">
        <f>INDEX('Rate Assumptions'!$A:$B,MATCH('Base Allocation'!AE$2,'Rate Assumptions'!$A:$A,0),2)</f>
        <v>3988.586178572119</v>
      </c>
      <c r="AF12" s="160">
        <f>INDEX('Rate Assumptions'!$A:$B,MATCH('Base Allocation'!AF$2,'Rate Assumptions'!$A:$A,0),2)</f>
        <v>3988.586178572119</v>
      </c>
      <c r="AG12" s="160">
        <f>INDEX('Rate Assumptions'!$A:$B,MATCH('Base Allocation'!AG$2,'Rate Assumptions'!$A:$A,0),2)</f>
        <v>3988.586178572119</v>
      </c>
      <c r="AH12" s="160">
        <f>INDEX('Rate Assumptions'!$A:$B,MATCH('Base Allocation'!AH$2,'Rate Assumptions'!$A:$A,0),2)</f>
        <v>3988.586178572119</v>
      </c>
      <c r="AI12" s="161">
        <f>AD12+SUMPRODUCT(Z12:AC12,AE12:AH12)</f>
        <v>73918320.114541888</v>
      </c>
    </row>
    <row r="13" spans="1:37">
      <c r="A13" s="158" t="str">
        <f>[2]NamesDistrictCollegeCenter!B19</f>
        <v>Citrus CCD</v>
      </c>
      <c r="B13" s="121">
        <v>11468.249939000001</v>
      </c>
      <c r="C13" s="121">
        <v>219.1</v>
      </c>
      <c r="D13" s="121">
        <v>113.84</v>
      </c>
      <c r="E13" s="121"/>
      <c r="F13" s="121">
        <v>129.29</v>
      </c>
      <c r="G13" s="121">
        <f t="shared" si="0"/>
        <v>11338.959939</v>
      </c>
      <c r="H13" s="121">
        <v>11617.945227000002</v>
      </c>
      <c r="I13" s="121">
        <v>295.13</v>
      </c>
      <c r="J13" s="121">
        <v>99.64</v>
      </c>
      <c r="K13" s="121"/>
      <c r="L13" s="121">
        <v>208.13</v>
      </c>
      <c r="M13" s="121">
        <f>H13-K13-L13</f>
        <v>11409.815227000003</v>
      </c>
      <c r="N13" s="122">
        <v>11053.78</v>
      </c>
      <c r="O13" s="122">
        <v>295.13</v>
      </c>
      <c r="P13" s="122">
        <v>99.64</v>
      </c>
      <c r="Q13" s="122">
        <v>0</v>
      </c>
      <c r="R13" s="122">
        <v>289.74</v>
      </c>
      <c r="S13" s="122">
        <f t="shared" si="1"/>
        <v>10764.04</v>
      </c>
      <c r="T13" s="120">
        <f>IF((H13-B13)*(1/3)+(N13-H13)*(2/3) + N13&gt;0,N13+(H13-B13)*(1/3)+(N13-H13)*(2/3),N13)</f>
        <v>10727.568278000001</v>
      </c>
      <c r="U13" s="120">
        <f>IF((I13-C13)*(1/3)+(O13-I13)*(2/3) + O13&gt;0,O13+(I13-C13)*(1/3)+(O13-I13)*(2/3),O13)</f>
        <v>320.47333333333336</v>
      </c>
      <c r="V13" s="120">
        <f>IF((J13-D13)*(1/3)+(P13-J13)*(2/3) + P13&gt;0,P13+(J13-D13)*(1/3)+(P13-J13)*(2/3),P13)</f>
        <v>94.906666666666666</v>
      </c>
      <c r="W13" s="120">
        <f>IF((K13-E13)*(1/3)+(Q13-K13)*(2/3) + Q13&gt;0,Q13+(K13-E13)*(1/3)+(Q13-K13)*(2/3),Q13)</f>
        <v>0</v>
      </c>
      <c r="X13" s="120">
        <f>IF((L13-F13)*(1/3)+(R13-L13)*(2/3) + R13&gt;0,R13+(L13-F13)*(1/3)+(R13-L13)*(2/3),R13)</f>
        <v>370.42666666666668</v>
      </c>
      <c r="Y13" s="120">
        <f t="shared" si="2"/>
        <v>10357.141611333334</v>
      </c>
      <c r="Z13" s="159">
        <f>AVERAGE(Y13,S13,M13)</f>
        <v>10843.665612777779</v>
      </c>
      <c r="AA13" s="159">
        <f t="shared" si="3"/>
        <v>320.47333333333336</v>
      </c>
      <c r="AB13" s="159">
        <f t="shared" si="4"/>
        <v>94.906666666666666</v>
      </c>
      <c r="AC13" s="159">
        <f t="shared" si="5"/>
        <v>370.42666666666668</v>
      </c>
      <c r="AD13" s="131">
        <v>5393976.0983999996</v>
      </c>
      <c r="AE13" s="160">
        <f>INDEX('Rate Assumptions'!$A:$B,MATCH('Base Allocation'!AE$2,'Rate Assumptions'!$A:$A,0),2)</f>
        <v>3988.586178572119</v>
      </c>
      <c r="AF13" s="160">
        <f>INDEX('Rate Assumptions'!$A:$B,MATCH('Base Allocation'!AF$2,'Rate Assumptions'!$A:$A,0),2)</f>
        <v>3988.586178572119</v>
      </c>
      <c r="AG13" s="160">
        <f>INDEX('Rate Assumptions'!$A:$B,MATCH('Base Allocation'!AG$2,'Rate Assumptions'!$A:$A,0),2)</f>
        <v>3988.586178572119</v>
      </c>
      <c r="AH13" s="160">
        <f>INDEX('Rate Assumptions'!$A:$B,MATCH('Base Allocation'!AH$2,'Rate Assumptions'!$A:$A,0),2)</f>
        <v>3988.586178572119</v>
      </c>
      <c r="AI13" s="161">
        <f>AD13+SUMPRODUCT(Z13:AC13,AE13:AH13)</f>
        <v>51779128.496279709</v>
      </c>
    </row>
    <row r="14" spans="1:37">
      <c r="A14" s="158" t="str">
        <f>[2]NamesDistrictCollegeCenter!B20</f>
        <v>Coast CCD</v>
      </c>
      <c r="B14" s="121">
        <v>29983.059999999994</v>
      </c>
      <c r="C14" s="121">
        <v>309.27</v>
      </c>
      <c r="D14" s="121">
        <v>0</v>
      </c>
      <c r="E14" s="121"/>
      <c r="F14" s="121">
        <v>78.42</v>
      </c>
      <c r="G14" s="121">
        <f t="shared" si="0"/>
        <v>29904.639999999996</v>
      </c>
      <c r="H14" s="121">
        <v>32276.789907999995</v>
      </c>
      <c r="I14" s="121">
        <v>349.01011299999999</v>
      </c>
      <c r="J14" s="121">
        <v>0</v>
      </c>
      <c r="K14" s="121">
        <v>201.08</v>
      </c>
      <c r="L14" s="121">
        <v>187.33</v>
      </c>
      <c r="M14" s="121">
        <f>H14-K14-L14</f>
        <v>31888.379907999992</v>
      </c>
      <c r="N14" s="122">
        <v>30455.94</v>
      </c>
      <c r="O14" s="122">
        <v>47.380000000000052</v>
      </c>
      <c r="P14" s="122">
        <v>313.08999999999997</v>
      </c>
      <c r="Q14" s="122">
        <v>0</v>
      </c>
      <c r="R14" s="122">
        <v>174.29</v>
      </c>
      <c r="S14" s="122">
        <f t="shared" si="1"/>
        <v>30281.649999999998</v>
      </c>
      <c r="T14" s="120">
        <f>IF((H14-B14)*(1/3)+(N14-H14)*(2/3) + N14&gt;0,N14+(H14-B14)*(1/3)+(N14-H14)*(2/3),N14)</f>
        <v>30006.616697333335</v>
      </c>
      <c r="U14" s="120">
        <f>IF((I14-C14)*(1/3)+(O14-I14)*(2/3) + O14&gt;0,O14+(I14-C14)*(1/3)+(O14-I14)*(2/3),O14)</f>
        <v>47.380000000000052</v>
      </c>
      <c r="V14" s="120">
        <f>IF((J14-D14)*(1/3)+(P14-J14)*(2/3) + P14&gt;0,P14+(J14-D14)*(1/3)+(P14-J14)*(2/3),P14)</f>
        <v>521.81666666666661</v>
      </c>
      <c r="W14" s="120">
        <f>IF((K14-E14)*(1/3)+(Q14-K14)*(2/3) + Q14&gt;0,Q14+(K14-E14)*(1/3)+(Q14-K14)*(2/3),Q14)</f>
        <v>0</v>
      </c>
      <c r="X14" s="120">
        <f>IF((L14-F14)*(1/3)+(R14-L14)*(2/3) + R14&gt;0,R14+(L14-F14)*(1/3)+(R14-L14)*(2/3),R14)</f>
        <v>201.89999999999998</v>
      </c>
      <c r="Y14" s="120">
        <f t="shared" si="2"/>
        <v>29804.716697333333</v>
      </c>
      <c r="Z14" s="159">
        <f>AVERAGE(Y14,S14,M14)</f>
        <v>30658.24886844444</v>
      </c>
      <c r="AA14" s="159">
        <f t="shared" si="3"/>
        <v>47.380000000000052</v>
      </c>
      <c r="AB14" s="159">
        <f t="shared" si="4"/>
        <v>521.81666666666661</v>
      </c>
      <c r="AC14" s="159">
        <f t="shared" si="5"/>
        <v>201.89999999999998</v>
      </c>
      <c r="AD14" s="131">
        <v>12810689.6196</v>
      </c>
      <c r="AE14" s="160">
        <f>INDEX('Rate Assumptions'!$A:$B,MATCH('Base Allocation'!AE$2,'Rate Assumptions'!$A:$A,0),2)</f>
        <v>3988.586178572119</v>
      </c>
      <c r="AF14" s="160">
        <f>INDEX('Rate Assumptions'!$A:$B,MATCH('Base Allocation'!AF$2,'Rate Assumptions'!$A:$A,0),2)</f>
        <v>3988.586178572119</v>
      </c>
      <c r="AG14" s="160">
        <f>INDEX('Rate Assumptions'!$A:$B,MATCH('Base Allocation'!AG$2,'Rate Assumptions'!$A:$A,0),2)</f>
        <v>3988.586178572119</v>
      </c>
      <c r="AH14" s="160">
        <f>INDEX('Rate Assumptions'!$A:$B,MATCH('Base Allocation'!AH$2,'Rate Assumptions'!$A:$A,0),2)</f>
        <v>3988.586178572119</v>
      </c>
      <c r="AI14" s="161">
        <f>AD14+SUMPRODUCT(Z14:AC14,AE14:AH14)</f>
        <v>138169342.82251149</v>
      </c>
    </row>
    <row r="15" spans="1:37">
      <c r="A15" s="158" t="str">
        <f>[2]NamesDistrictCollegeCenter!B21</f>
        <v>Compton CCD</v>
      </c>
      <c r="B15" s="121">
        <v>5088.510000000002</v>
      </c>
      <c r="C15" s="121">
        <v>21.279999999999998</v>
      </c>
      <c r="D15" s="121">
        <v>0</v>
      </c>
      <c r="E15" s="121"/>
      <c r="F15" s="121">
        <v>195.16</v>
      </c>
      <c r="G15" s="121">
        <f t="shared" si="0"/>
        <v>4893.3500000000022</v>
      </c>
      <c r="H15" s="121">
        <v>5961.6899290000019</v>
      </c>
      <c r="I15" s="121">
        <v>18.52</v>
      </c>
      <c r="J15" s="121">
        <v>0</v>
      </c>
      <c r="K15" s="121"/>
      <c r="L15" s="121">
        <v>245.21</v>
      </c>
      <c r="M15" s="121">
        <f>H15-K15-L15</f>
        <v>5716.4799290000019</v>
      </c>
      <c r="N15" s="122">
        <v>5961.69</v>
      </c>
      <c r="O15" s="122">
        <v>18.52</v>
      </c>
      <c r="P15" s="122">
        <v>0</v>
      </c>
      <c r="Q15" s="122">
        <v>0</v>
      </c>
      <c r="R15" s="122">
        <v>241.07041136638867</v>
      </c>
      <c r="S15" s="122">
        <f t="shared" si="1"/>
        <v>5720.6195886336109</v>
      </c>
      <c r="T15" s="120">
        <f>IF((H15-B15)*(1/3)+(N15-H15)*(2/3) + N15&gt;0,N15+(H15-B15)*(1/3)+(N15-H15)*(2/3),N15)</f>
        <v>6252.7500236666647</v>
      </c>
      <c r="U15" s="120">
        <f>IF((I15-C15)*(1/3)+(O15-I15)*(2/3) + O15&gt;0,O15+(I15-C15)*(1/3)+(O15-I15)*(2/3),O15)</f>
        <v>17.600000000000001</v>
      </c>
      <c r="V15" s="120">
        <f>IF((J15-D15)*(1/3)+(P15-J15)*(2/3) + P15&gt;0,P15+(J15-D15)*(1/3)+(P15-J15)*(2/3),P15)</f>
        <v>0</v>
      </c>
      <c r="W15" s="120">
        <f>IF((K15-E15)*(1/3)+(Q15-K15)*(2/3) + Q15&gt;0,Q15+(K15-E15)*(1/3)+(Q15-K15)*(2/3),Q15)</f>
        <v>0</v>
      </c>
      <c r="X15" s="120">
        <f>IF((L15-F15)*(1/3)+(R15-L15)*(2/3) + R15&gt;0,R15+(L15-F15)*(1/3)+(R15-L15)*(2/3),R15)</f>
        <v>254.9940189439811</v>
      </c>
      <c r="Y15" s="120">
        <f t="shared" si="2"/>
        <v>5997.7560047226834</v>
      </c>
      <c r="Z15" s="159">
        <f>AVERAGE(Y15,S15,M15)</f>
        <v>5811.6185074520981</v>
      </c>
      <c r="AA15" s="159">
        <f t="shared" si="3"/>
        <v>17.600000000000001</v>
      </c>
      <c r="AB15" s="159">
        <f t="shared" si="4"/>
        <v>0</v>
      </c>
      <c r="AC15" s="159">
        <f t="shared" si="5"/>
        <v>254.9940189439811</v>
      </c>
      <c r="AD15" s="131">
        <v>4045480.0085999998</v>
      </c>
      <c r="AE15" s="160">
        <f>INDEX('Rate Assumptions'!$A:$B,MATCH('Base Allocation'!AE$2,'Rate Assumptions'!$A:$A,0),2)</f>
        <v>3988.586178572119</v>
      </c>
      <c r="AF15" s="160">
        <f>INDEX('Rate Assumptions'!$A:$B,MATCH('Base Allocation'!AF$2,'Rate Assumptions'!$A:$A,0),2)</f>
        <v>3988.586178572119</v>
      </c>
      <c r="AG15" s="160">
        <f>INDEX('Rate Assumptions'!$A:$B,MATCH('Base Allocation'!AG$2,'Rate Assumptions'!$A:$A,0),2)</f>
        <v>3988.586178572119</v>
      </c>
      <c r="AH15" s="160">
        <f>INDEX('Rate Assumptions'!$A:$B,MATCH('Base Allocation'!AH$2,'Rate Assumptions'!$A:$A,0),2)</f>
        <v>3988.586178572119</v>
      </c>
      <c r="AI15" s="161">
        <f>AD15+SUMPRODUCT(Z15:AC15,AE15:AH15)</f>
        <v>28312885.998878755</v>
      </c>
    </row>
    <row r="16" spans="1:37">
      <c r="A16" s="158" t="str">
        <f>[2]NamesDistrictCollegeCenter!B22</f>
        <v>Contra Costa CCD</v>
      </c>
      <c r="B16" s="121">
        <v>23962.510000000002</v>
      </c>
      <c r="C16" s="121">
        <v>153.79000000000002</v>
      </c>
      <c r="D16" s="121">
        <v>0</v>
      </c>
      <c r="E16" s="121"/>
      <c r="F16" s="121">
        <v>583.12</v>
      </c>
      <c r="G16" s="121">
        <f t="shared" si="0"/>
        <v>23379.390000000003</v>
      </c>
      <c r="H16" s="121">
        <v>29269.360051</v>
      </c>
      <c r="I16" s="121">
        <v>148.56</v>
      </c>
      <c r="J16" s="121">
        <v>0</v>
      </c>
      <c r="K16" s="121"/>
      <c r="L16" s="121">
        <v>1002.35</v>
      </c>
      <c r="M16" s="121">
        <f>H16-K16-L16</f>
        <v>28267.010051000001</v>
      </c>
      <c r="N16" s="122">
        <v>25136.880000000001</v>
      </c>
      <c r="O16" s="122">
        <v>153.55000000000001</v>
      </c>
      <c r="P16" s="122">
        <v>0</v>
      </c>
      <c r="Q16" s="122">
        <v>0</v>
      </c>
      <c r="R16" s="122">
        <v>895.81</v>
      </c>
      <c r="S16" s="122">
        <f t="shared" si="1"/>
        <v>24241.07</v>
      </c>
      <c r="T16" s="120">
        <f>IF((H16-B16)*(1/3)+(N16-H16)*(2/3) + N16&gt;0,N16+(H16-B16)*(1/3)+(N16-H16)*(2/3),N16)</f>
        <v>24150.843316333336</v>
      </c>
      <c r="U16" s="120">
        <f>IF((I16-C16)*(1/3)+(O16-I16)*(2/3) + O16&gt;0,O16+(I16-C16)*(1/3)+(O16-I16)*(2/3),O16)</f>
        <v>155.13333333333335</v>
      </c>
      <c r="V16" s="120">
        <f>IF((J16-D16)*(1/3)+(P16-J16)*(2/3) + P16&gt;0,P16+(J16-D16)*(1/3)+(P16-J16)*(2/3),P16)</f>
        <v>0</v>
      </c>
      <c r="W16" s="120">
        <f>IF((K16-E16)*(1/3)+(Q16-K16)*(2/3) + Q16&gt;0,Q16+(K16-E16)*(1/3)+(Q16-K16)*(2/3),Q16)</f>
        <v>0</v>
      </c>
      <c r="X16" s="120">
        <f>IF((L16-F16)*(1/3)+(R16-L16)*(2/3) + R16&gt;0,R16+(L16-F16)*(1/3)+(R16-L16)*(2/3),R16)</f>
        <v>964.52666666666653</v>
      </c>
      <c r="Y16" s="120">
        <f t="shared" si="2"/>
        <v>23186.316649666671</v>
      </c>
      <c r="Z16" s="159">
        <f>AVERAGE(Y16,S16,M16)</f>
        <v>25231.465566888892</v>
      </c>
      <c r="AA16" s="159">
        <f t="shared" si="3"/>
        <v>155.13333333333335</v>
      </c>
      <c r="AB16" s="159">
        <f t="shared" si="4"/>
        <v>0</v>
      </c>
      <c r="AC16" s="159">
        <f t="shared" si="5"/>
        <v>964.52666666666653</v>
      </c>
      <c r="AD16" s="131">
        <v>15507677.6688</v>
      </c>
      <c r="AE16" s="160">
        <f>INDEX('Rate Assumptions'!$A:$B,MATCH('Base Allocation'!AE$2,'Rate Assumptions'!$A:$A,0),2)</f>
        <v>3988.586178572119</v>
      </c>
      <c r="AF16" s="160">
        <f>INDEX('Rate Assumptions'!$A:$B,MATCH('Base Allocation'!AF$2,'Rate Assumptions'!$A:$A,0),2)</f>
        <v>3988.586178572119</v>
      </c>
      <c r="AG16" s="160">
        <f>INDEX('Rate Assumptions'!$A:$B,MATCH('Base Allocation'!AG$2,'Rate Assumptions'!$A:$A,0),2)</f>
        <v>3988.586178572119</v>
      </c>
      <c r="AH16" s="160">
        <f>INDEX('Rate Assumptions'!$A:$B,MATCH('Base Allocation'!AH$2,'Rate Assumptions'!$A:$A,0),2)</f>
        <v>3988.586178572119</v>
      </c>
      <c r="AI16" s="161">
        <f>AD16+SUMPRODUCT(Z16:AC16,AE16:AH16)</f>
        <v>120611412.89471143</v>
      </c>
    </row>
    <row r="17" spans="1:35">
      <c r="A17" s="158" t="str">
        <f>[2]NamesDistrictCollegeCenter!B23</f>
        <v>Copper Mountain CCD</v>
      </c>
      <c r="B17" s="121">
        <v>1318.9300000000003</v>
      </c>
      <c r="C17" s="121">
        <v>91.78</v>
      </c>
      <c r="D17" s="121">
        <v>3.13</v>
      </c>
      <c r="E17" s="121"/>
      <c r="F17" s="121">
        <v>3.38</v>
      </c>
      <c r="G17" s="121">
        <f t="shared" si="0"/>
        <v>1315.5500000000002</v>
      </c>
      <c r="H17" s="121">
        <v>1431.8299930000003</v>
      </c>
      <c r="I17" s="121">
        <v>87.31</v>
      </c>
      <c r="J17" s="121">
        <v>2.98</v>
      </c>
      <c r="K17" s="121"/>
      <c r="L17" s="121">
        <v>3.64</v>
      </c>
      <c r="M17" s="121">
        <f>H17-K17-L17</f>
        <v>1428.1899930000002</v>
      </c>
      <c r="N17" s="122">
        <v>1452.68</v>
      </c>
      <c r="O17" s="122">
        <v>66.606676631239722</v>
      </c>
      <c r="P17" s="122">
        <v>1.44</v>
      </c>
      <c r="Q17" s="122">
        <v>0</v>
      </c>
      <c r="R17" s="122">
        <v>0</v>
      </c>
      <c r="S17" s="122">
        <f t="shared" si="1"/>
        <v>1452.68</v>
      </c>
      <c r="T17" s="120">
        <f>IF((H17-B17)*(1/3)+(N17-H17)*(2/3) + N17&gt;0,N17+(H17-B17)*(1/3)+(N17-H17)*(2/3),N17)</f>
        <v>1504.2133356666666</v>
      </c>
      <c r="U17" s="120">
        <f>IF((I17-C17)*(1/3)+(O17-I17)*(2/3) + O17&gt;0,O17+(I17-C17)*(1/3)+(O17-I17)*(2/3),O17)</f>
        <v>51.314461052066207</v>
      </c>
      <c r="V17" s="120">
        <f>IF((J17-D17)*(1/3)+(P17-J17)*(2/3) + P17&gt;0,P17+(J17-D17)*(1/3)+(P17-J17)*(2/3),P17)</f>
        <v>0.36333333333333329</v>
      </c>
      <c r="W17" s="120">
        <f>IF((K17-E17)*(1/3)+(Q17-K17)*(2/3) + Q17&gt;0,Q17+(K17-E17)*(1/3)+(Q17-K17)*(2/3),Q17)</f>
        <v>0</v>
      </c>
      <c r="X17" s="120">
        <f>IF((L17-F17)*(1/3)+(R17-L17)*(2/3) + R17&gt;0,R17+(L17-F17)*(1/3)+(R17-L17)*(2/3),R17)</f>
        <v>0</v>
      </c>
      <c r="Y17" s="120">
        <f t="shared" si="2"/>
        <v>1504.2133356666666</v>
      </c>
      <c r="Z17" s="159">
        <f>AVERAGE(Y17,S17,M17)</f>
        <v>1461.6944428888889</v>
      </c>
      <c r="AA17" s="159">
        <f t="shared" si="3"/>
        <v>51.314461052066207</v>
      </c>
      <c r="AB17" s="159">
        <f t="shared" si="4"/>
        <v>0.36333333333333329</v>
      </c>
      <c r="AC17" s="159">
        <f t="shared" si="5"/>
        <v>0</v>
      </c>
      <c r="AD17" s="131">
        <v>5332192.5425999993</v>
      </c>
      <c r="AE17" s="160">
        <f>INDEX('Rate Assumptions'!$A:$B,MATCH('Base Allocation'!AE$2,'Rate Assumptions'!$A:$A,0),2)</f>
        <v>3988.586178572119</v>
      </c>
      <c r="AF17" s="160">
        <f>INDEX('Rate Assumptions'!$A:$B,MATCH('Base Allocation'!AF$2,'Rate Assumptions'!$A:$A,0),2)</f>
        <v>3988.586178572119</v>
      </c>
      <c r="AG17" s="160">
        <f>INDEX('Rate Assumptions'!$A:$B,MATCH('Base Allocation'!AG$2,'Rate Assumptions'!$A:$A,0),2)</f>
        <v>3988.586178572119</v>
      </c>
      <c r="AH17" s="160">
        <f>INDEX('Rate Assumptions'!$A:$B,MATCH('Base Allocation'!AH$2,'Rate Assumptions'!$A:$A,0),2)</f>
        <v>3988.586178572119</v>
      </c>
      <c r="AI17" s="161">
        <f>AD17+SUMPRODUCT(Z17:AC17,AE17:AH17)</f>
        <v>11368408.13122699</v>
      </c>
    </row>
    <row r="18" spans="1:35">
      <c r="A18" s="158" t="str">
        <f>[2]NamesDistrictCollegeCenter!B24</f>
        <v>Desert CCD</v>
      </c>
      <c r="B18" s="121">
        <v>7758.6100003561596</v>
      </c>
      <c r="C18" s="121">
        <v>40.669999999999959</v>
      </c>
      <c r="D18" s="121">
        <v>738.4</v>
      </c>
      <c r="E18" s="121"/>
      <c r="F18" s="121">
        <v>45.02</v>
      </c>
      <c r="G18" s="121">
        <f t="shared" si="0"/>
        <v>7713.5900003561592</v>
      </c>
      <c r="H18" s="121">
        <v>9398.6090733561596</v>
      </c>
      <c r="I18" s="121">
        <v>59.719999999999956</v>
      </c>
      <c r="J18" s="121">
        <v>668.2</v>
      </c>
      <c r="K18" s="121"/>
      <c r="L18" s="121">
        <v>298.45</v>
      </c>
      <c r="M18" s="121">
        <f>H18-K18-L18</f>
        <v>9100.1590733561588</v>
      </c>
      <c r="N18" s="122">
        <v>8637.27</v>
      </c>
      <c r="O18" s="122">
        <v>303.89999999999986</v>
      </c>
      <c r="P18" s="122">
        <v>1465.7436389317008</v>
      </c>
      <c r="Q18" s="122">
        <v>0</v>
      </c>
      <c r="R18" s="122">
        <v>0</v>
      </c>
      <c r="S18" s="122">
        <f t="shared" si="1"/>
        <v>8637.27</v>
      </c>
      <c r="T18" s="120">
        <f>IF((H18-B18)*(1/3)+(N18-H18)*(2/3) + N18&gt;0,N18+(H18-B18)*(1/3)+(N18-H18)*(2/3),N18)</f>
        <v>8676.376975429228</v>
      </c>
      <c r="U18" s="120">
        <f>IF((I18-C18)*(1/3)+(O18-I18)*(2/3) + O18&gt;0,O18+(I18-C18)*(1/3)+(O18-I18)*(2/3),O18)</f>
        <v>473.03666666666646</v>
      </c>
      <c r="V18" s="120">
        <f>IF((J18-D18)*(1/3)+(P18-J18)*(2/3) + P18&gt;0,P18+(J18-D18)*(1/3)+(P18-J18)*(2/3),P18)</f>
        <v>1974.0393982195012</v>
      </c>
      <c r="W18" s="120">
        <f>IF((K18-E18)*(1/3)+(Q18-K18)*(2/3) + Q18&gt;0,Q18+(K18-E18)*(1/3)+(Q18-K18)*(2/3),Q18)</f>
        <v>0</v>
      </c>
      <c r="X18" s="120">
        <f>IF((L18-F18)*(1/3)+(R18-L18)*(2/3) + R18&gt;0,R18+(L18-F18)*(1/3)+(R18-L18)*(2/3),R18)</f>
        <v>0</v>
      </c>
      <c r="Y18" s="120">
        <f t="shared" si="2"/>
        <v>8676.376975429228</v>
      </c>
      <c r="Z18" s="159">
        <f>AVERAGE(Y18,S18,M18)</f>
        <v>8804.6020162617951</v>
      </c>
      <c r="AA18" s="159">
        <f t="shared" si="3"/>
        <v>473.03666666666646</v>
      </c>
      <c r="AB18" s="159">
        <f t="shared" si="4"/>
        <v>1974.0393982195012</v>
      </c>
      <c r="AC18" s="159">
        <f t="shared" si="5"/>
        <v>0</v>
      </c>
      <c r="AD18" s="131">
        <v>6742470.1229999997</v>
      </c>
      <c r="AE18" s="160">
        <f>INDEX('Rate Assumptions'!$A:$B,MATCH('Base Allocation'!AE$2,'Rate Assumptions'!$A:$A,0),2)</f>
        <v>3988.586178572119</v>
      </c>
      <c r="AF18" s="160">
        <f>INDEX('Rate Assumptions'!$A:$B,MATCH('Base Allocation'!AF$2,'Rate Assumptions'!$A:$A,0),2)</f>
        <v>3988.586178572119</v>
      </c>
      <c r="AG18" s="160">
        <f>INDEX('Rate Assumptions'!$A:$B,MATCH('Base Allocation'!AG$2,'Rate Assumptions'!$A:$A,0),2)</f>
        <v>3988.586178572119</v>
      </c>
      <c r="AH18" s="160">
        <f>INDEX('Rate Assumptions'!$A:$B,MATCH('Base Allocation'!AH$2,'Rate Assumptions'!$A:$A,0),2)</f>
        <v>3988.586178572119</v>
      </c>
      <c r="AI18" s="161">
        <f>AD18+SUMPRODUCT(Z18:AC18,AE18:AH18)</f>
        <v>51620757.803209633</v>
      </c>
    </row>
    <row r="19" spans="1:35">
      <c r="A19" s="158" t="str">
        <f>[2]NamesDistrictCollegeCenter!B25</f>
        <v>El Camino CCD</v>
      </c>
      <c r="B19" s="121">
        <v>17898.23</v>
      </c>
      <c r="C19" s="121">
        <v>30.3</v>
      </c>
      <c r="D19" s="121">
        <v>0</v>
      </c>
      <c r="E19" s="121"/>
      <c r="F19" s="121">
        <v>233.94</v>
      </c>
      <c r="G19" s="121">
        <f t="shared" si="0"/>
        <v>17664.29</v>
      </c>
      <c r="H19" s="121">
        <v>19587.659949000001</v>
      </c>
      <c r="I19" s="121">
        <v>55.19</v>
      </c>
      <c r="J19" s="121">
        <v>0</v>
      </c>
      <c r="K19" s="121"/>
      <c r="L19" s="121">
        <v>360.76</v>
      </c>
      <c r="M19" s="121">
        <f>H19-K19-L19</f>
        <v>19226.899949000002</v>
      </c>
      <c r="N19" s="122">
        <v>18479.54</v>
      </c>
      <c r="O19" s="122">
        <v>55.19</v>
      </c>
      <c r="P19" s="122">
        <v>0</v>
      </c>
      <c r="Q19" s="122">
        <v>0</v>
      </c>
      <c r="R19" s="122">
        <v>541.30999999999995</v>
      </c>
      <c r="S19" s="122">
        <f t="shared" si="1"/>
        <v>17938.23</v>
      </c>
      <c r="T19" s="120">
        <f>IF((H19-B19)*(1/3)+(N19-H19)*(2/3) + N19&gt;0,N19+(H19-B19)*(1/3)+(N19-H19)*(2/3),N19)</f>
        <v>18303.93668366667</v>
      </c>
      <c r="U19" s="120">
        <f>IF((I19-C19)*(1/3)+(O19-I19)*(2/3) + O19&gt;0,O19+(I19-C19)*(1/3)+(O19-I19)*(2/3),O19)</f>
        <v>63.486666666666665</v>
      </c>
      <c r="V19" s="120">
        <f>IF((J19-D19)*(1/3)+(P19-J19)*(2/3) + P19&gt;0,P19+(J19-D19)*(1/3)+(P19-J19)*(2/3),P19)</f>
        <v>0</v>
      </c>
      <c r="W19" s="120">
        <f>IF((K19-E19)*(1/3)+(Q19-K19)*(2/3) + Q19&gt;0,Q19+(K19-E19)*(1/3)+(Q19-K19)*(2/3),Q19)</f>
        <v>0</v>
      </c>
      <c r="X19" s="120">
        <f>IF((L19-F19)*(1/3)+(R19-L19)*(2/3) + R19&gt;0,R19+(L19-F19)*(1/3)+(R19-L19)*(2/3),R19)</f>
        <v>703.94999999999993</v>
      </c>
      <c r="Y19" s="120">
        <f t="shared" si="2"/>
        <v>17599.98668366667</v>
      </c>
      <c r="Z19" s="159">
        <f>AVERAGE(Y19,S19,M19)</f>
        <v>18255.038877555558</v>
      </c>
      <c r="AA19" s="159">
        <f t="shared" si="3"/>
        <v>63.486666666666665</v>
      </c>
      <c r="AB19" s="159">
        <f t="shared" si="4"/>
        <v>0</v>
      </c>
      <c r="AC19" s="159">
        <f t="shared" si="5"/>
        <v>703.94999999999993</v>
      </c>
      <c r="AD19" s="131">
        <v>10787950.1316</v>
      </c>
      <c r="AE19" s="160">
        <f>INDEX('Rate Assumptions'!$A:$B,MATCH('Base Allocation'!AE$2,'Rate Assumptions'!$A:$A,0),2)</f>
        <v>3988.586178572119</v>
      </c>
      <c r="AF19" s="160">
        <f>INDEX('Rate Assumptions'!$A:$B,MATCH('Base Allocation'!AF$2,'Rate Assumptions'!$A:$A,0),2)</f>
        <v>3988.586178572119</v>
      </c>
      <c r="AG19" s="160">
        <f>INDEX('Rate Assumptions'!$A:$B,MATCH('Base Allocation'!AG$2,'Rate Assumptions'!$A:$A,0),2)</f>
        <v>3988.586178572119</v>
      </c>
      <c r="AH19" s="160">
        <f>INDEX('Rate Assumptions'!$A:$B,MATCH('Base Allocation'!AH$2,'Rate Assumptions'!$A:$A,0),2)</f>
        <v>3988.586178572119</v>
      </c>
      <c r="AI19" s="161">
        <f>AD19+SUMPRODUCT(Z19:AC19,AE19:AH19)</f>
        <v>86660733.169510901</v>
      </c>
    </row>
    <row r="20" spans="1:35">
      <c r="A20" s="158" t="str">
        <f>[2]NamesDistrictCollegeCenter!B26</f>
        <v>Feather River CCD</v>
      </c>
      <c r="B20" s="121">
        <v>1580.2900000000002</v>
      </c>
      <c r="C20" s="121">
        <v>33.300000000000011</v>
      </c>
      <c r="D20" s="121">
        <v>0</v>
      </c>
      <c r="E20" s="121">
        <v>273.92</v>
      </c>
      <c r="F20" s="121">
        <v>116.74</v>
      </c>
      <c r="G20" s="121">
        <f t="shared" si="0"/>
        <v>1189.6300000000001</v>
      </c>
      <c r="H20" s="121">
        <v>1599.3681070000002</v>
      </c>
      <c r="I20" s="121">
        <v>39.20000000000001</v>
      </c>
      <c r="J20" s="121">
        <v>0</v>
      </c>
      <c r="K20" s="121">
        <v>301.23</v>
      </c>
      <c r="L20" s="121">
        <v>92.89</v>
      </c>
      <c r="M20" s="121">
        <f>H20-K20-L20</f>
        <v>1205.2481070000001</v>
      </c>
      <c r="N20" s="122">
        <v>1603.11</v>
      </c>
      <c r="O20" s="122">
        <v>37.07</v>
      </c>
      <c r="P20" s="122">
        <v>0</v>
      </c>
      <c r="Q20" s="122">
        <v>257.66214631127315</v>
      </c>
      <c r="R20" s="122">
        <v>0</v>
      </c>
      <c r="S20" s="122">
        <f t="shared" si="1"/>
        <v>1345.4478536887268</v>
      </c>
      <c r="T20" s="120">
        <f>IF((H20-B20)*(1/3)+(N20-H20)*(2/3) + N20&gt;0,N20+(H20-B20)*(1/3)+(N20-H20)*(2/3),N20)</f>
        <v>1611.963964333333</v>
      </c>
      <c r="U20" s="120">
        <f>IF((I20-C20)*(1/3)+(O20-I20)*(2/3) + O20&gt;0,O20+(I20-C20)*(1/3)+(O20-I20)*(2/3),O20)</f>
        <v>37.61666666666666</v>
      </c>
      <c r="V20" s="120">
        <f>IF((J20-D20)*(1/3)+(P20-J20)*(2/3) + P20&gt;0,P20+(J20-D20)*(1/3)+(P20-J20)*(2/3),P20)</f>
        <v>0</v>
      </c>
      <c r="W20" s="120">
        <f>IF((K20-E20)*(1/3)+(Q20-K20)*(2/3) + Q20&gt;0,Q20+(K20-E20)*(1/3)+(Q20-K20)*(2/3),Q20)</f>
        <v>237.72024385212191</v>
      </c>
      <c r="X20" s="120">
        <f>IF((L20-F20)*(1/3)+(R20-L20)*(2/3) + R20&gt;0,R20+(L20-F20)*(1/3)+(R20-L20)*(2/3),R20)</f>
        <v>0</v>
      </c>
      <c r="Y20" s="120">
        <f t="shared" si="2"/>
        <v>1374.2437204812111</v>
      </c>
      <c r="Z20" s="159">
        <f>AVERAGE(Y20,S20,M20)</f>
        <v>1308.3132270566459</v>
      </c>
      <c r="AA20" s="159">
        <f t="shared" si="3"/>
        <v>37.61666666666666</v>
      </c>
      <c r="AB20" s="159">
        <f t="shared" si="4"/>
        <v>0</v>
      </c>
      <c r="AC20" s="159">
        <f t="shared" si="5"/>
        <v>237.72024385212191</v>
      </c>
      <c r="AD20" s="131">
        <v>5332192.5425999993</v>
      </c>
      <c r="AE20" s="160">
        <f>INDEX('Rate Assumptions'!$A:$B,MATCH('Base Allocation'!AE$2,'Rate Assumptions'!$A:$A,0),2)</f>
        <v>3988.586178572119</v>
      </c>
      <c r="AF20" s="160">
        <f>INDEX('Rate Assumptions'!$A:$B,MATCH('Base Allocation'!AF$2,'Rate Assumptions'!$A:$A,0),2)</f>
        <v>3988.586178572119</v>
      </c>
      <c r="AG20" s="160">
        <f>INDEX('Rate Assumptions'!$A:$B,MATCH('Base Allocation'!AG$2,'Rate Assumptions'!$A:$A,0),2)</f>
        <v>3988.586178572119</v>
      </c>
      <c r="AH20" s="160">
        <f>INDEX('Rate Assumptions'!$A:$B,MATCH('Base Allocation'!AH$2,'Rate Assumptions'!$A:$A,0),2)</f>
        <v>3988.586178572119</v>
      </c>
      <c r="AI20" s="161">
        <f>AD20+SUMPRODUCT(Z20:AC20,AE20:AH20)</f>
        <v>11648717.593027212</v>
      </c>
    </row>
    <row r="21" spans="1:35">
      <c r="A21" s="158" t="str">
        <f>[2]NamesDistrictCollegeCenter!B27</f>
        <v>Foothill-DeAnza CCD</v>
      </c>
      <c r="B21" s="121">
        <v>25518.78</v>
      </c>
      <c r="C21" s="121">
        <v>264.28999999999996</v>
      </c>
      <c r="D21" s="121">
        <v>184.45000000000002</v>
      </c>
      <c r="E21" s="121"/>
      <c r="F21" s="121">
        <v>693.85</v>
      </c>
      <c r="G21" s="121">
        <f t="shared" si="0"/>
        <v>24824.93</v>
      </c>
      <c r="H21" s="121">
        <v>23961.87</v>
      </c>
      <c r="I21" s="121">
        <v>238.56999999999996</v>
      </c>
      <c r="J21" s="121">
        <v>283.28000000000003</v>
      </c>
      <c r="K21" s="121"/>
      <c r="L21" s="121">
        <v>575.87</v>
      </c>
      <c r="M21" s="121">
        <f>H21-K21-L21</f>
        <v>23386</v>
      </c>
      <c r="N21" s="122">
        <v>22677.1</v>
      </c>
      <c r="O21" s="122">
        <v>238.56999999999996</v>
      </c>
      <c r="P21" s="122">
        <v>283.28000000000003</v>
      </c>
      <c r="Q21" s="122">
        <v>0</v>
      </c>
      <c r="R21" s="122">
        <v>755</v>
      </c>
      <c r="S21" s="122">
        <f t="shared" si="1"/>
        <v>21922.1</v>
      </c>
      <c r="T21" s="120">
        <f>IF((H21-B21)*(1/3)+(N21-H21)*(2/3) + N21&gt;0,N21+(H21-B21)*(1/3)+(N21-H21)*(2/3),N21)</f>
        <v>21301.616666666665</v>
      </c>
      <c r="U21" s="120">
        <f>IF((I21-C21)*(1/3)+(O21-I21)*(2/3) + O21&gt;0,O21+(I21-C21)*(1/3)+(O21-I21)*(2/3),O21)</f>
        <v>229.99666666666664</v>
      </c>
      <c r="V21" s="120">
        <f>IF((J21-D21)*(1/3)+(P21-J21)*(2/3) + P21&gt;0,P21+(J21-D21)*(1/3)+(P21-J21)*(2/3),P21)</f>
        <v>316.22333333333336</v>
      </c>
      <c r="W21" s="120">
        <f>IF((K21-E21)*(1/3)+(Q21-K21)*(2/3) + Q21&gt;0,Q21+(K21-E21)*(1/3)+(Q21-K21)*(2/3),Q21)</f>
        <v>0</v>
      </c>
      <c r="X21" s="120">
        <f>IF((L21-F21)*(1/3)+(R21-L21)*(2/3) + R21&gt;0,R21+(L21-F21)*(1/3)+(R21-L21)*(2/3),R21)</f>
        <v>835.09333333333325</v>
      </c>
      <c r="Y21" s="120">
        <f t="shared" si="2"/>
        <v>20466.523333333331</v>
      </c>
      <c r="Z21" s="159">
        <f>AVERAGE(Y21,S21,M21)</f>
        <v>21924.874444444442</v>
      </c>
      <c r="AA21" s="159">
        <f t="shared" si="3"/>
        <v>229.99666666666664</v>
      </c>
      <c r="AB21" s="159">
        <f t="shared" si="4"/>
        <v>316.22333333333336</v>
      </c>
      <c r="AC21" s="159">
        <f t="shared" si="5"/>
        <v>835.09333333333325</v>
      </c>
      <c r="AD21" s="131">
        <v>10787952.196799999</v>
      </c>
      <c r="AE21" s="160">
        <f>INDEX('Rate Assumptions'!$A:$B,MATCH('Base Allocation'!AE$2,'Rate Assumptions'!$A:$A,0),2)</f>
        <v>3988.586178572119</v>
      </c>
      <c r="AF21" s="160">
        <f>INDEX('Rate Assumptions'!$A:$B,MATCH('Base Allocation'!AF$2,'Rate Assumptions'!$A:$A,0),2)</f>
        <v>3988.586178572119</v>
      </c>
      <c r="AG21" s="160">
        <f>INDEX('Rate Assumptions'!$A:$B,MATCH('Base Allocation'!AG$2,'Rate Assumptions'!$A:$A,0),2)</f>
        <v>3988.586178572119</v>
      </c>
      <c r="AH21" s="160">
        <f>INDEX('Rate Assumptions'!$A:$B,MATCH('Base Allocation'!AH$2,'Rate Assumptions'!$A:$A,0),2)</f>
        <v>3988.586178572119</v>
      </c>
      <c r="AI21" s="161">
        <f>AD21+SUMPRODUCT(Z21:AC21,AE21:AH21)</f>
        <v>103746690.64245088</v>
      </c>
    </row>
    <row r="22" spans="1:35">
      <c r="A22" s="158" t="str">
        <f>[2]NamesDistrictCollegeCenter!B28</f>
        <v>Gavilan Joint CCD</v>
      </c>
      <c r="B22" s="121">
        <v>4751.6037240000014</v>
      </c>
      <c r="C22" s="121">
        <v>454.97899999999993</v>
      </c>
      <c r="D22" s="121">
        <v>114.54</v>
      </c>
      <c r="E22" s="121">
        <v>0.54</v>
      </c>
      <c r="F22" s="121">
        <v>189.99</v>
      </c>
      <c r="G22" s="121">
        <f t="shared" si="0"/>
        <v>4561.0737240000017</v>
      </c>
      <c r="H22" s="121">
        <v>4106.6200000000017</v>
      </c>
      <c r="I22" s="121">
        <v>481.46999999999991</v>
      </c>
      <c r="J22" s="121">
        <v>117.69000000000001</v>
      </c>
      <c r="K22" s="121">
        <v>0.44</v>
      </c>
      <c r="L22" s="121">
        <v>187.71</v>
      </c>
      <c r="M22" s="121">
        <f>H22-K22-L22</f>
        <v>3918.4700000000021</v>
      </c>
      <c r="N22" s="122">
        <v>4934.71</v>
      </c>
      <c r="O22" s="122">
        <v>292.21999999999997</v>
      </c>
      <c r="P22" s="122">
        <v>117.74</v>
      </c>
      <c r="Q22" s="122">
        <v>0</v>
      </c>
      <c r="R22" s="122">
        <v>220.04</v>
      </c>
      <c r="S22" s="122">
        <f t="shared" si="1"/>
        <v>4714.67</v>
      </c>
      <c r="T22" s="120">
        <f>IF((H22-B22)*(1/3)+(N22-H22)*(2/3) + N22&gt;0,N22+(H22-B22)*(1/3)+(N22-H22)*(2/3),N22)</f>
        <v>5271.7754253333324</v>
      </c>
      <c r="U22" s="120">
        <f>IF((I22-C22)*(1/3)+(O22-I22)*(2/3) + O22&gt;0,O22+(I22-C22)*(1/3)+(O22-I22)*(2/3),O22)</f>
        <v>174.88366666666667</v>
      </c>
      <c r="V22" s="120">
        <f>IF((J22-D22)*(1/3)+(P22-J22)*(2/3) + P22&gt;0,P22+(J22-D22)*(1/3)+(P22-J22)*(2/3),P22)</f>
        <v>118.82333333333331</v>
      </c>
      <c r="W22" s="120">
        <f>IF((K22-E22)*(1/3)+(Q22-K22)*(2/3) + Q22&gt;0,Q22+(K22-E22)*(1/3)+(Q22-K22)*(2/3),Q22)</f>
        <v>0</v>
      </c>
      <c r="X22" s="120">
        <f>IF((L22-F22)*(1/3)+(R22-L22)*(2/3) + R22&gt;0,R22+(L22-F22)*(1/3)+(R22-L22)*(2/3),R22)</f>
        <v>240.83333333333331</v>
      </c>
      <c r="Y22" s="120">
        <f t="shared" si="2"/>
        <v>5030.9420919999993</v>
      </c>
      <c r="Z22" s="159">
        <f>AVERAGE(Y22,S22,M22)</f>
        <v>4554.6940306666665</v>
      </c>
      <c r="AA22" s="159">
        <f t="shared" si="3"/>
        <v>174.88366666666667</v>
      </c>
      <c r="AB22" s="159">
        <f t="shared" si="4"/>
        <v>118.82333333333331</v>
      </c>
      <c r="AC22" s="159">
        <f t="shared" si="5"/>
        <v>240.83333333333331</v>
      </c>
      <c r="AD22" s="131">
        <v>5332192.5425999993</v>
      </c>
      <c r="AE22" s="160">
        <f>INDEX('Rate Assumptions'!$A:$B,MATCH('Base Allocation'!AE$2,'Rate Assumptions'!$A:$A,0),2)</f>
        <v>3988.586178572119</v>
      </c>
      <c r="AF22" s="160">
        <f>INDEX('Rate Assumptions'!$A:$B,MATCH('Base Allocation'!AF$2,'Rate Assumptions'!$A:$A,0),2)</f>
        <v>3988.586178572119</v>
      </c>
      <c r="AG22" s="160">
        <f>INDEX('Rate Assumptions'!$A:$B,MATCH('Base Allocation'!AG$2,'Rate Assumptions'!$A:$A,0),2)</f>
        <v>3988.586178572119</v>
      </c>
      <c r="AH22" s="160">
        <f>INDEX('Rate Assumptions'!$A:$B,MATCH('Base Allocation'!AH$2,'Rate Assumptions'!$A:$A,0),2)</f>
        <v>3988.586178572119</v>
      </c>
      <c r="AI22" s="161">
        <f>AD22+SUMPRODUCT(Z22:AC22,AE22:AH22)</f>
        <v>25631042.386364665</v>
      </c>
    </row>
    <row r="23" spans="1:35">
      <c r="A23" s="158" t="str">
        <f>[2]NamesDistrictCollegeCenter!B29</f>
        <v>Glendale CCD</v>
      </c>
      <c r="B23" s="121">
        <v>12449.54</v>
      </c>
      <c r="C23" s="121">
        <v>243.84999999999991</v>
      </c>
      <c r="D23" s="121">
        <v>2847.21</v>
      </c>
      <c r="E23" s="121"/>
      <c r="F23" s="121">
        <v>230.88</v>
      </c>
      <c r="G23" s="121">
        <f t="shared" si="0"/>
        <v>12218.660000000002</v>
      </c>
      <c r="H23" s="121">
        <v>11026.53</v>
      </c>
      <c r="I23" s="121">
        <v>272.55999999999989</v>
      </c>
      <c r="J23" s="121">
        <v>2656.3</v>
      </c>
      <c r="K23" s="121"/>
      <c r="L23" s="121">
        <v>282.49</v>
      </c>
      <c r="M23" s="121">
        <f>H23-K23-L23</f>
        <v>10744.04</v>
      </c>
      <c r="N23" s="122">
        <v>11143.41</v>
      </c>
      <c r="O23" s="122">
        <v>183.49376685325996</v>
      </c>
      <c r="P23" s="122">
        <v>2536.14</v>
      </c>
      <c r="Q23" s="122">
        <v>0</v>
      </c>
      <c r="R23" s="122">
        <v>299.60000000000002</v>
      </c>
      <c r="S23" s="122">
        <f t="shared" si="1"/>
        <v>10843.81</v>
      </c>
      <c r="T23" s="120">
        <f>IF((H23-B23)*(1/3)+(N23-H23)*(2/3) + N23&gt;0,N23+(H23-B23)*(1/3)+(N23-H23)*(2/3),N23)</f>
        <v>10746.993333333334</v>
      </c>
      <c r="U23" s="120">
        <f>IF((I23-C23)*(1/3)+(O23-I23)*(2/3) + O23&gt;0,O23+(I23-C23)*(1/3)+(O23-I23)*(2/3),O23)</f>
        <v>133.68627808876667</v>
      </c>
      <c r="V23" s="120">
        <f>IF((J23-D23)*(1/3)+(P23-J23)*(2/3) + P23&gt;0,P23+(J23-D23)*(1/3)+(P23-J23)*(2/3),P23)</f>
        <v>2392.3966666666661</v>
      </c>
      <c r="W23" s="120">
        <f>IF((K23-E23)*(1/3)+(Q23-K23)*(2/3) + Q23&gt;0,Q23+(K23-E23)*(1/3)+(Q23-K23)*(2/3),Q23)</f>
        <v>0</v>
      </c>
      <c r="X23" s="120">
        <f>IF((L23-F23)*(1/3)+(R23-L23)*(2/3) + R23&gt;0,R23+(L23-F23)*(1/3)+(R23-L23)*(2/3),R23)</f>
        <v>328.21000000000004</v>
      </c>
      <c r="Y23" s="120">
        <f t="shared" si="2"/>
        <v>10418.783333333333</v>
      </c>
      <c r="Z23" s="159">
        <f>AVERAGE(Y23,S23,M23)</f>
        <v>10668.877777777778</v>
      </c>
      <c r="AA23" s="159">
        <f t="shared" si="3"/>
        <v>133.68627808876667</v>
      </c>
      <c r="AB23" s="159">
        <f t="shared" si="4"/>
        <v>2392.3966666666661</v>
      </c>
      <c r="AC23" s="159">
        <f t="shared" si="5"/>
        <v>328.21000000000004</v>
      </c>
      <c r="AD23" s="131">
        <v>6742470.1229999997</v>
      </c>
      <c r="AE23" s="160">
        <f>INDEX('Rate Assumptions'!$A:$B,MATCH('Base Allocation'!AE$2,'Rate Assumptions'!$A:$A,0),2)</f>
        <v>3988.586178572119</v>
      </c>
      <c r="AF23" s="160">
        <f>INDEX('Rate Assumptions'!$A:$B,MATCH('Base Allocation'!AF$2,'Rate Assumptions'!$A:$A,0),2)</f>
        <v>3988.586178572119</v>
      </c>
      <c r="AG23" s="160">
        <f>INDEX('Rate Assumptions'!$A:$B,MATCH('Base Allocation'!AG$2,'Rate Assumptions'!$A:$A,0),2)</f>
        <v>3988.586178572119</v>
      </c>
      <c r="AH23" s="160">
        <f>INDEX('Rate Assumptions'!$A:$B,MATCH('Base Allocation'!AH$2,'Rate Assumptions'!$A:$A,0),2)</f>
        <v>3988.586178572119</v>
      </c>
      <c r="AI23" s="161">
        <f>AD23+SUMPRODUCT(Z23:AC23,AE23:AH23)</f>
        <v>60680801.957367092</v>
      </c>
    </row>
    <row r="24" spans="1:35">
      <c r="A24" s="158" t="str">
        <f>[2]NamesDistrictCollegeCenter!B30</f>
        <v>Grossmont-Cuyamaca CCD</v>
      </c>
      <c r="B24" s="121">
        <v>19064.970071000003</v>
      </c>
      <c r="C24" s="121">
        <v>20.18</v>
      </c>
      <c r="D24" s="121">
        <v>0</v>
      </c>
      <c r="E24" s="121"/>
      <c r="F24" s="121">
        <v>317.76</v>
      </c>
      <c r="G24" s="121">
        <f t="shared" si="0"/>
        <v>18747.210071000005</v>
      </c>
      <c r="H24" s="121">
        <v>17160.770000000004</v>
      </c>
      <c r="I24" s="121">
        <v>19.71</v>
      </c>
      <c r="J24" s="121">
        <v>0</v>
      </c>
      <c r="K24" s="121"/>
      <c r="L24" s="121">
        <v>334.9</v>
      </c>
      <c r="M24" s="121">
        <f>H24-K24-L24</f>
        <v>16825.870000000003</v>
      </c>
      <c r="N24" s="122">
        <v>17730.400000000001</v>
      </c>
      <c r="O24" s="122">
        <v>17.02</v>
      </c>
      <c r="P24" s="122">
        <v>0</v>
      </c>
      <c r="Q24" s="122">
        <v>5.42</v>
      </c>
      <c r="R24" s="122">
        <v>298.79000000000002</v>
      </c>
      <c r="S24" s="122">
        <f t="shared" si="1"/>
        <v>17426.190000000002</v>
      </c>
      <c r="T24" s="120">
        <f>IF((H24-B24)*(1/3)+(N24-H24)*(2/3) + N24&gt;0,N24+(H24-B24)*(1/3)+(N24-H24)*(2/3),N24)</f>
        <v>17475.419976333331</v>
      </c>
      <c r="U24" s="120">
        <f>IF((I24-C24)*(1/3)+(O24-I24)*(2/3) + O24&gt;0,O24+(I24-C24)*(1/3)+(O24-I24)*(2/3),O24)</f>
        <v>15.069999999999999</v>
      </c>
      <c r="V24" s="120">
        <f>IF((J24-D24)*(1/3)+(P24-J24)*(2/3) + P24&gt;0,P24+(J24-D24)*(1/3)+(P24-J24)*(2/3),P24)</f>
        <v>0</v>
      </c>
      <c r="W24" s="120">
        <f>IF((K24-E24)*(1/3)+(Q24-K24)*(2/3) + Q24&gt;0,Q24+(K24-E24)*(1/3)+(Q24-K24)*(2/3),Q24)</f>
        <v>9.0333333333333332</v>
      </c>
      <c r="X24" s="120">
        <f>IF((L24-F24)*(1/3)+(R24-L24)*(2/3) + R24&gt;0,R24+(L24-F24)*(1/3)+(R24-L24)*(2/3),R24)</f>
        <v>280.43</v>
      </c>
      <c r="Y24" s="120">
        <f t="shared" si="2"/>
        <v>17185.956642999998</v>
      </c>
      <c r="Z24" s="159">
        <f>AVERAGE(Y24,S24,M24)</f>
        <v>17146.005547666668</v>
      </c>
      <c r="AA24" s="159">
        <f t="shared" si="3"/>
        <v>15.069999999999999</v>
      </c>
      <c r="AB24" s="159">
        <f t="shared" si="4"/>
        <v>0</v>
      </c>
      <c r="AC24" s="159">
        <f t="shared" si="5"/>
        <v>289.46333333333337</v>
      </c>
      <c r="AD24" s="131">
        <v>8765209.6109999996</v>
      </c>
      <c r="AE24" s="160">
        <f>INDEX('Rate Assumptions'!$A:$B,MATCH('Base Allocation'!AE$2,'Rate Assumptions'!$A:$A,0),2)</f>
        <v>3988.586178572119</v>
      </c>
      <c r="AF24" s="160">
        <f>INDEX('Rate Assumptions'!$A:$B,MATCH('Base Allocation'!AF$2,'Rate Assumptions'!$A:$A,0),2)</f>
        <v>3988.586178572119</v>
      </c>
      <c r="AG24" s="160">
        <f>INDEX('Rate Assumptions'!$A:$B,MATCH('Base Allocation'!AG$2,'Rate Assumptions'!$A:$A,0),2)</f>
        <v>3988.586178572119</v>
      </c>
      <c r="AH24" s="160">
        <f>INDEX('Rate Assumptions'!$A:$B,MATCH('Base Allocation'!AH$2,'Rate Assumptions'!$A:$A,0),2)</f>
        <v>3988.586178572119</v>
      </c>
      <c r="AI24" s="161">
        <f>AD24+SUMPRODUCT(Z24:AC24,AE24:AH24)</f>
        <v>78368187.800391972</v>
      </c>
    </row>
    <row r="25" spans="1:35">
      <c r="A25" s="158" t="str">
        <f>[2]NamesDistrictCollegeCenter!B31</f>
        <v>Hartnell CCD</v>
      </c>
      <c r="B25" s="121">
        <v>7340.3599370000002</v>
      </c>
      <c r="C25" s="121">
        <v>4.43</v>
      </c>
      <c r="D25" s="121">
        <v>0</v>
      </c>
      <c r="E25" s="121"/>
      <c r="F25" s="121">
        <v>33.53</v>
      </c>
      <c r="G25" s="121">
        <f t="shared" si="0"/>
        <v>7306.8299370000004</v>
      </c>
      <c r="H25" s="121">
        <v>7356.089911</v>
      </c>
      <c r="I25" s="121">
        <v>2.91</v>
      </c>
      <c r="J25" s="121">
        <v>0</v>
      </c>
      <c r="K25" s="121">
        <v>65.25</v>
      </c>
      <c r="L25" s="121">
        <v>48.47</v>
      </c>
      <c r="M25" s="121">
        <f>H25-K25-L25</f>
        <v>7242.3699109999998</v>
      </c>
      <c r="N25" s="122">
        <v>7327.45</v>
      </c>
      <c r="O25" s="122">
        <v>14.44</v>
      </c>
      <c r="P25" s="122">
        <v>12.24</v>
      </c>
      <c r="Q25" s="122">
        <v>77.930000000000007</v>
      </c>
      <c r="R25" s="122">
        <v>50.386016690851328</v>
      </c>
      <c r="S25" s="122">
        <f t="shared" si="1"/>
        <v>7199.1339833091479</v>
      </c>
      <c r="T25" s="120">
        <f>IF((H25-B25)*(1/3)+(N25-H25)*(2/3) + N25&gt;0,N25+(H25-B25)*(1/3)+(N25-H25)*(2/3),N25)</f>
        <v>7313.6000506666669</v>
      </c>
      <c r="U25" s="120">
        <f>IF((I25-C25)*(1/3)+(O25-I25)*(2/3) + O25&gt;0,O25+(I25-C25)*(1/3)+(O25-I25)*(2/3),O25)</f>
        <v>21.619999999999997</v>
      </c>
      <c r="V25" s="120">
        <f>IF((J25-D25)*(1/3)+(P25-J25)*(2/3) + P25&gt;0,P25+(J25-D25)*(1/3)+(P25-J25)*(2/3),P25)</f>
        <v>20.399999999999999</v>
      </c>
      <c r="W25" s="120">
        <f>IF((K25-E25)*(1/3)+(Q25-K25)*(2/3) + Q25&gt;0,Q25+(K25-E25)*(1/3)+(Q25-K25)*(2/3),Q25)</f>
        <v>108.13333333333334</v>
      </c>
      <c r="X25" s="120">
        <f>IF((L25-F25)*(1/3)+(R25-L25)*(2/3) + R25&gt;0,R25+(L25-F25)*(1/3)+(R25-L25)*(2/3),R25)</f>
        <v>56.64336115141888</v>
      </c>
      <c r="Y25" s="120">
        <f t="shared" si="2"/>
        <v>7148.8233561819152</v>
      </c>
      <c r="Z25" s="159">
        <f>AVERAGE(Y25,S25,M25)</f>
        <v>7196.7757501636879</v>
      </c>
      <c r="AA25" s="159">
        <f t="shared" si="3"/>
        <v>21.619999999999997</v>
      </c>
      <c r="AB25" s="159">
        <f t="shared" si="4"/>
        <v>20.399999999999999</v>
      </c>
      <c r="AC25" s="159">
        <f t="shared" si="5"/>
        <v>164.77669448475223</v>
      </c>
      <c r="AD25" s="131">
        <v>4382603.2566</v>
      </c>
      <c r="AE25" s="160">
        <f>INDEX('Rate Assumptions'!$A:$B,MATCH('Base Allocation'!AE$2,'Rate Assumptions'!$A:$A,0),2)</f>
        <v>3988.586178572119</v>
      </c>
      <c r="AF25" s="160">
        <f>INDEX('Rate Assumptions'!$A:$B,MATCH('Base Allocation'!AF$2,'Rate Assumptions'!$A:$A,0),2)</f>
        <v>3988.586178572119</v>
      </c>
      <c r="AG25" s="160">
        <f>INDEX('Rate Assumptions'!$A:$B,MATCH('Base Allocation'!AG$2,'Rate Assumptions'!$A:$A,0),2)</f>
        <v>3988.586178572119</v>
      </c>
      <c r="AH25" s="160">
        <f>INDEX('Rate Assumptions'!$A:$B,MATCH('Base Allocation'!AH$2,'Rate Assumptions'!$A:$A,0),2)</f>
        <v>3988.586178572119</v>
      </c>
      <c r="AI25" s="161">
        <f>AD25+SUMPRODUCT(Z25:AC25,AE25:AH25)</f>
        <v>33912389.981382161</v>
      </c>
    </row>
    <row r="26" spans="1:35">
      <c r="A26" s="158" t="str">
        <f>[2]NamesDistrictCollegeCenter!B32</f>
        <v>Imperial CCD</v>
      </c>
      <c r="B26" s="121">
        <v>6799.880000000001</v>
      </c>
      <c r="C26" s="121">
        <v>38.44</v>
      </c>
      <c r="D26" s="121">
        <v>15.96</v>
      </c>
      <c r="E26" s="121">
        <v>55.11</v>
      </c>
      <c r="F26" s="121">
        <v>21.49</v>
      </c>
      <c r="G26" s="121">
        <f t="shared" si="0"/>
        <v>6723.2800000000016</v>
      </c>
      <c r="H26" s="121">
        <v>7347.2481080000007</v>
      </c>
      <c r="I26" s="121">
        <v>24.1</v>
      </c>
      <c r="J26" s="121">
        <v>24.22</v>
      </c>
      <c r="K26" s="121">
        <v>167.75</v>
      </c>
      <c r="L26" s="121">
        <v>61.2</v>
      </c>
      <c r="M26" s="121">
        <f>H26-K26-L26</f>
        <v>7118.2981080000009</v>
      </c>
      <c r="N26" s="122">
        <v>7403.73</v>
      </c>
      <c r="O26" s="122">
        <v>31.870000000000005</v>
      </c>
      <c r="P26" s="122">
        <v>14.4</v>
      </c>
      <c r="Q26" s="122">
        <v>219.04</v>
      </c>
      <c r="R26" s="122">
        <v>1.9395991617424897</v>
      </c>
      <c r="S26" s="122">
        <f t="shared" si="1"/>
        <v>7182.7504008382575</v>
      </c>
      <c r="T26" s="120">
        <f>IF((H26-B26)*(1/3)+(N26-H26)*(2/3) + N26&gt;0,N26+(H26-B26)*(1/3)+(N26-H26)*(2/3),N26)</f>
        <v>7623.8406306666648</v>
      </c>
      <c r="U26" s="120">
        <f>IF((I26-C26)*(1/3)+(O26-I26)*(2/3) + O26&gt;0,O26+(I26-C26)*(1/3)+(O26-I26)*(2/3),O26)</f>
        <v>32.27000000000001</v>
      </c>
      <c r="V26" s="120">
        <f>IF((J26-D26)*(1/3)+(P26-J26)*(2/3) + P26&gt;0,P26+(J26-D26)*(1/3)+(P26-J26)*(2/3),P26)</f>
        <v>10.606666666666667</v>
      </c>
      <c r="W26" s="120">
        <f>IF((K26-E26)*(1/3)+(Q26-K26)*(2/3) + Q26&gt;0,Q26+(K26-E26)*(1/3)+(Q26-K26)*(2/3),Q26)</f>
        <v>290.77999999999997</v>
      </c>
      <c r="X26" s="120">
        <f>IF((L26-F26)*(1/3)+(R26-L26)*(2/3) + R26&gt;0,R26+(L26-F26)*(1/3)+(R26-L26)*(2/3),R26)</f>
        <v>1.9395991617424897</v>
      </c>
      <c r="Y26" s="120">
        <f t="shared" si="2"/>
        <v>7331.1210315049229</v>
      </c>
      <c r="Z26" s="159">
        <f>AVERAGE(Y26,S26,M26)</f>
        <v>7210.7231801143935</v>
      </c>
      <c r="AA26" s="159">
        <f t="shared" si="3"/>
        <v>32.27000000000001</v>
      </c>
      <c r="AB26" s="159">
        <f t="shared" si="4"/>
        <v>10.606666666666667</v>
      </c>
      <c r="AC26" s="159">
        <f t="shared" si="5"/>
        <v>292.71959916174245</v>
      </c>
      <c r="AD26" s="131">
        <v>4045480.0085999998</v>
      </c>
      <c r="AE26" s="160">
        <f>INDEX('Rate Assumptions'!$A:$B,MATCH('Base Allocation'!AE$2,'Rate Assumptions'!$A:$A,0),2)</f>
        <v>3988.586178572119</v>
      </c>
      <c r="AF26" s="160">
        <f>INDEX('Rate Assumptions'!$A:$B,MATCH('Base Allocation'!AF$2,'Rate Assumptions'!$A:$A,0),2)</f>
        <v>3988.586178572119</v>
      </c>
      <c r="AG26" s="160">
        <f>INDEX('Rate Assumptions'!$A:$B,MATCH('Base Allocation'!AG$2,'Rate Assumptions'!$A:$A,0),2)</f>
        <v>3988.586178572119</v>
      </c>
      <c r="AH26" s="160">
        <f>INDEX('Rate Assumptions'!$A:$B,MATCH('Base Allocation'!AH$2,'Rate Assumptions'!$A:$A,0),2)</f>
        <v>3988.586178572119</v>
      </c>
      <c r="AI26" s="161">
        <f>AD26+SUMPRODUCT(Z26:AC26,AE26:AH26)</f>
        <v>34144625.449777476</v>
      </c>
    </row>
    <row r="27" spans="1:35">
      <c r="A27" s="158" t="str">
        <f>[2]NamesDistrictCollegeCenter!B33</f>
        <v>Kern CCD</v>
      </c>
      <c r="B27" s="121">
        <v>21647.559923000004</v>
      </c>
      <c r="C27" s="121">
        <v>74.239999999999995</v>
      </c>
      <c r="D27" s="121">
        <v>0</v>
      </c>
      <c r="E27" s="121">
        <v>3.88</v>
      </c>
      <c r="F27" s="121">
        <v>1141.01</v>
      </c>
      <c r="G27" s="121">
        <f t="shared" si="0"/>
        <v>20502.669923000005</v>
      </c>
      <c r="H27" s="121">
        <v>22475.839032000003</v>
      </c>
      <c r="I27" s="121">
        <v>26.64</v>
      </c>
      <c r="J27" s="121">
        <v>29.99</v>
      </c>
      <c r="K27" s="121">
        <v>476.99</v>
      </c>
      <c r="L27" s="121">
        <v>1325.59</v>
      </c>
      <c r="M27" s="121">
        <f>H27-K27-L27</f>
        <v>20673.259032000002</v>
      </c>
      <c r="N27" s="122">
        <v>23271.77</v>
      </c>
      <c r="O27" s="122">
        <v>65.88</v>
      </c>
      <c r="P27" s="122">
        <v>40.97</v>
      </c>
      <c r="Q27" s="122">
        <v>735.11</v>
      </c>
      <c r="R27" s="122">
        <v>556.43719587542955</v>
      </c>
      <c r="S27" s="122">
        <f t="shared" si="1"/>
        <v>21980.222804124569</v>
      </c>
      <c r="T27" s="120">
        <f>IF((H27-B27)*(1/3)+(N27-H27)*(2/3) + N27&gt;0,N27+(H27-B27)*(1/3)+(N27-H27)*(2/3),N27)</f>
        <v>24078.483681666665</v>
      </c>
      <c r="U27" s="120">
        <f>IF((I27-C27)*(1/3)+(O27-I27)*(2/3) + O27&gt;0,O27+(I27-C27)*(1/3)+(O27-I27)*(2/3),O27)</f>
        <v>76.173333333333332</v>
      </c>
      <c r="V27" s="120">
        <f>IF((J27-D27)*(1/3)+(P27-J27)*(2/3) + P27&gt;0,P27+(J27-D27)*(1/3)+(P27-J27)*(2/3),P27)</f>
        <v>58.286666666666669</v>
      </c>
      <c r="W27" s="120">
        <f>IF((K27-E27)*(1/3)+(Q27-K27)*(2/3) + Q27&gt;0,Q27+(K27-E27)*(1/3)+(Q27-K27)*(2/3),Q27)</f>
        <v>1064.8933333333332</v>
      </c>
      <c r="X27" s="120">
        <f>IF((L27-F27)*(1/3)+(R27-L27)*(2/3) + R27&gt;0,R27+(L27-F27)*(1/3)+(R27-L27)*(2/3),R27)</f>
        <v>105.19532645904928</v>
      </c>
      <c r="Y27" s="120">
        <f t="shared" si="2"/>
        <v>22908.395021874283</v>
      </c>
      <c r="Z27" s="159">
        <f>AVERAGE(Y27,S27,M27)</f>
        <v>21853.958952666286</v>
      </c>
      <c r="AA27" s="159">
        <f t="shared" si="3"/>
        <v>76.173333333333332</v>
      </c>
      <c r="AB27" s="159">
        <f t="shared" si="4"/>
        <v>58.286666666666669</v>
      </c>
      <c r="AC27" s="159">
        <f t="shared" si="5"/>
        <v>1170.0886597923825</v>
      </c>
      <c r="AD27" s="131">
        <v>17024735.382599998</v>
      </c>
      <c r="AE27" s="160">
        <f>INDEX('Rate Assumptions'!$A:$B,MATCH('Base Allocation'!AE$2,'Rate Assumptions'!$A:$A,0),2)</f>
        <v>3988.586178572119</v>
      </c>
      <c r="AF27" s="160">
        <f>INDEX('Rate Assumptions'!$A:$B,MATCH('Base Allocation'!AF$2,'Rate Assumptions'!$A:$A,0),2)</f>
        <v>3988.586178572119</v>
      </c>
      <c r="AG27" s="160">
        <f>INDEX('Rate Assumptions'!$A:$B,MATCH('Base Allocation'!AG$2,'Rate Assumptions'!$A:$A,0),2)</f>
        <v>3988.586178572119</v>
      </c>
      <c r="AH27" s="160">
        <f>INDEX('Rate Assumptions'!$A:$B,MATCH('Base Allocation'!AH$2,'Rate Assumptions'!$A:$A,0),2)</f>
        <v>3988.586178572119</v>
      </c>
      <c r="AI27" s="161">
        <f>AD27+SUMPRODUCT(Z27:AC27,AE27:AH27)</f>
        <v>109394438.76200984</v>
      </c>
    </row>
    <row r="28" spans="1:35">
      <c r="A28" s="158" t="str">
        <f>[2]NamesDistrictCollegeCenter!B34</f>
        <v>Lake Tahoe CCD</v>
      </c>
      <c r="B28" s="121">
        <v>1663.3</v>
      </c>
      <c r="C28" s="121">
        <v>56.419921000000002</v>
      </c>
      <c r="D28" s="121">
        <v>14.09</v>
      </c>
      <c r="E28" s="121">
        <v>690.1</v>
      </c>
      <c r="F28" s="121">
        <v>30.88</v>
      </c>
      <c r="G28" s="121">
        <f t="shared" si="0"/>
        <v>942.31999999999994</v>
      </c>
      <c r="H28" s="121">
        <v>1628.82</v>
      </c>
      <c r="I28" s="121">
        <v>40.14</v>
      </c>
      <c r="J28" s="121">
        <v>9.870000000000001</v>
      </c>
      <c r="K28" s="121">
        <v>741.25</v>
      </c>
      <c r="L28" s="121">
        <v>41.54</v>
      </c>
      <c r="M28" s="121">
        <f>H28-K28-L28</f>
        <v>846.03</v>
      </c>
      <c r="N28" s="122">
        <v>1834.13</v>
      </c>
      <c r="O28" s="122">
        <v>52.89</v>
      </c>
      <c r="P28" s="122">
        <v>5.98</v>
      </c>
      <c r="Q28" s="122">
        <v>132.8498680089775</v>
      </c>
      <c r="R28" s="122">
        <v>0</v>
      </c>
      <c r="S28" s="122">
        <f t="shared" si="1"/>
        <v>1701.2801319910227</v>
      </c>
      <c r="T28" s="120">
        <f>IF((H28-B28)*(1/3)+(N28-H28)*(2/3) + N28&gt;0,N28+(H28-B28)*(1/3)+(N28-H28)*(2/3),N28)</f>
        <v>1959.5100000000002</v>
      </c>
      <c r="U28" s="120">
        <f>IF((I28-C28)*(1/3)+(O28-I28)*(2/3) + O28&gt;0,O28+(I28-C28)*(1/3)+(O28-I28)*(2/3),O28)</f>
        <v>55.963359666666669</v>
      </c>
      <c r="V28" s="120">
        <f>IF((J28-D28)*(1/3)+(P28-J28)*(2/3) + P28&gt;0,P28+(J28-D28)*(1/3)+(P28-J28)*(2/3),P28)</f>
        <v>1.9800000000000004</v>
      </c>
      <c r="W28" s="120">
        <f>IF((K28-E28)*(1/3)+(Q28-K28)*(2/3) + Q28&gt;0,Q28+(K28-E28)*(1/3)+(Q28-K28)*(2/3),Q28)</f>
        <v>132.8498680089775</v>
      </c>
      <c r="X28" s="120">
        <f>IF((L28-F28)*(1/3)+(R28-L28)*(2/3) + R28&gt;0,R28+(L28-F28)*(1/3)+(R28-L28)*(2/3),R28)</f>
        <v>0</v>
      </c>
      <c r="Y28" s="120">
        <f t="shared" si="2"/>
        <v>1826.6601319910228</v>
      </c>
      <c r="Z28" s="159">
        <f>AVERAGE(Y28,S28,M28)</f>
        <v>1457.9900879940151</v>
      </c>
      <c r="AA28" s="159">
        <f t="shared" si="3"/>
        <v>55.963359666666669</v>
      </c>
      <c r="AB28" s="159">
        <f t="shared" si="4"/>
        <v>1.9800000000000004</v>
      </c>
      <c r="AC28" s="159">
        <f t="shared" si="5"/>
        <v>132.8498680089775</v>
      </c>
      <c r="AD28" s="131">
        <v>5332192.5425999993</v>
      </c>
      <c r="AE28" s="160">
        <f>INDEX('Rate Assumptions'!$A:$B,MATCH('Base Allocation'!AE$2,'Rate Assumptions'!$A:$A,0),2)</f>
        <v>3988.586178572119</v>
      </c>
      <c r="AF28" s="160">
        <f>INDEX('Rate Assumptions'!$A:$B,MATCH('Base Allocation'!AF$2,'Rate Assumptions'!$A:$A,0),2)</f>
        <v>3988.586178572119</v>
      </c>
      <c r="AG28" s="160">
        <f>INDEX('Rate Assumptions'!$A:$B,MATCH('Base Allocation'!AG$2,'Rate Assumptions'!$A:$A,0),2)</f>
        <v>3988.586178572119</v>
      </c>
      <c r="AH28" s="160">
        <f>INDEX('Rate Assumptions'!$A:$B,MATCH('Base Allocation'!AH$2,'Rate Assumptions'!$A:$A,0),2)</f>
        <v>3988.586178572119</v>
      </c>
      <c r="AI28" s="161">
        <f>AD28+SUMPRODUCT(Z28:AC28,AE28:AH28)</f>
        <v>11908506.886940312</v>
      </c>
    </row>
    <row r="29" spans="1:35">
      <c r="A29" s="158" t="str">
        <f>[2]NamesDistrictCollegeCenter!B35</f>
        <v>Lassen CCD</v>
      </c>
      <c r="B29" s="121">
        <v>1570.5699300000001</v>
      </c>
      <c r="C29" s="121">
        <v>23.93</v>
      </c>
      <c r="D29" s="121">
        <v>1.62</v>
      </c>
      <c r="E29" s="121">
        <v>497</v>
      </c>
      <c r="F29" s="121">
        <v>35.5</v>
      </c>
      <c r="G29" s="121">
        <f t="shared" si="0"/>
        <v>1038.0699300000001</v>
      </c>
      <c r="H29" s="121">
        <v>1341.9</v>
      </c>
      <c r="I29" s="121">
        <v>12.959999999999999</v>
      </c>
      <c r="J29" s="121">
        <v>2.6</v>
      </c>
      <c r="K29" s="121">
        <v>613.04</v>
      </c>
      <c r="L29" s="121">
        <v>88.43</v>
      </c>
      <c r="M29" s="121">
        <f>H29-K29-L29</f>
        <v>640.43000000000006</v>
      </c>
      <c r="N29" s="122">
        <v>1581.71</v>
      </c>
      <c r="O29" s="122">
        <v>10.280000000000001</v>
      </c>
      <c r="P29" s="122">
        <v>2.0499999999999998</v>
      </c>
      <c r="Q29" s="122">
        <v>761.86121529308264</v>
      </c>
      <c r="R29" s="122">
        <v>0</v>
      </c>
      <c r="S29" s="122">
        <f t="shared" si="1"/>
        <v>819.8487847069174</v>
      </c>
      <c r="T29" s="120">
        <f>IF((H29-B29)*(1/3)+(N29-H29)*(2/3) + N29&gt;0,N29+(H29-B29)*(1/3)+(N29-H29)*(2/3),N29)</f>
        <v>1665.3600233333332</v>
      </c>
      <c r="U29" s="120">
        <f>IF((I29-C29)*(1/3)+(O29-I29)*(2/3) + O29&gt;0,O29+(I29-C29)*(1/3)+(O29-I29)*(2/3),O29)</f>
        <v>4.8366666666666696</v>
      </c>
      <c r="V29" s="120">
        <f>IF((J29-D29)*(1/3)+(P29-J29)*(2/3) + P29&gt;0,P29+(J29-D29)*(1/3)+(P29-J29)*(2/3),P29)</f>
        <v>2.0099999999999998</v>
      </c>
      <c r="W29" s="120">
        <f>IF((K29-E29)*(1/3)+(Q29-K29)*(2/3) + Q29&gt;0,Q29+(K29-E29)*(1/3)+(Q29-K29)*(2/3),Q29)</f>
        <v>899.75535882180441</v>
      </c>
      <c r="X29" s="120">
        <f>IF((L29-F29)*(1/3)+(R29-L29)*(2/3) + R29&gt;0,R29+(L29-F29)*(1/3)+(R29-L29)*(2/3),R29)</f>
        <v>0</v>
      </c>
      <c r="Y29" s="120">
        <f t="shared" si="2"/>
        <v>765.60466451152877</v>
      </c>
      <c r="Z29" s="159">
        <f>AVERAGE(Y29,S29,M29)</f>
        <v>741.96114973948204</v>
      </c>
      <c r="AA29" s="159">
        <f t="shared" si="3"/>
        <v>4.8366666666666696</v>
      </c>
      <c r="AB29" s="159">
        <f t="shared" si="4"/>
        <v>2.0099999999999998</v>
      </c>
      <c r="AC29" s="159">
        <f t="shared" si="5"/>
        <v>899.75535882180441</v>
      </c>
      <c r="AD29" s="131">
        <v>5332192.5425999993</v>
      </c>
      <c r="AE29" s="160">
        <f>INDEX('Rate Assumptions'!$A:$B,MATCH('Base Allocation'!AE$2,'Rate Assumptions'!$A:$A,0),2)</f>
        <v>3988.586178572119</v>
      </c>
      <c r="AF29" s="160">
        <f>INDEX('Rate Assumptions'!$A:$B,MATCH('Base Allocation'!AF$2,'Rate Assumptions'!$A:$A,0),2)</f>
        <v>3988.586178572119</v>
      </c>
      <c r="AG29" s="160">
        <f>INDEX('Rate Assumptions'!$A:$B,MATCH('Base Allocation'!AG$2,'Rate Assumptions'!$A:$A,0),2)</f>
        <v>3988.586178572119</v>
      </c>
      <c r="AH29" s="160">
        <f>INDEX('Rate Assumptions'!$A:$B,MATCH('Base Allocation'!AH$2,'Rate Assumptions'!$A:$A,0),2)</f>
        <v>3988.586178572119</v>
      </c>
      <c r="AI29" s="161">
        <f>AD29+SUMPRODUCT(Z29:AC29,AE29:AH29)</f>
        <v>11907628.837817181</v>
      </c>
    </row>
    <row r="30" spans="1:35">
      <c r="A30" s="158" t="str">
        <f>[2]NamesDistrictCollegeCenter!B36</f>
        <v>Long Beach CCD</v>
      </c>
      <c r="B30" s="121">
        <v>20580.630004999999</v>
      </c>
      <c r="C30" s="121">
        <v>108.52</v>
      </c>
      <c r="D30" s="121">
        <v>386.81</v>
      </c>
      <c r="E30" s="121"/>
      <c r="F30" s="121">
        <v>105.44</v>
      </c>
      <c r="G30" s="121">
        <f t="shared" si="0"/>
        <v>20475.190005</v>
      </c>
      <c r="H30" s="121">
        <v>18388.579999999998</v>
      </c>
      <c r="I30" s="121">
        <v>100.53</v>
      </c>
      <c r="J30" s="121">
        <v>407.61</v>
      </c>
      <c r="K30" s="121"/>
      <c r="L30" s="121">
        <v>76.14</v>
      </c>
      <c r="M30" s="121">
        <f>H30-K30-L30</f>
        <v>18312.439999999999</v>
      </c>
      <c r="N30" s="122">
        <v>18747.16</v>
      </c>
      <c r="O30" s="122">
        <v>60.889999999999986</v>
      </c>
      <c r="P30" s="122">
        <v>395.54</v>
      </c>
      <c r="Q30" s="122">
        <v>0</v>
      </c>
      <c r="R30" s="122">
        <v>157.24</v>
      </c>
      <c r="S30" s="122">
        <f t="shared" si="1"/>
        <v>18589.919999999998</v>
      </c>
      <c r="T30" s="120">
        <f>IF((H30-B30)*(1/3)+(N30-H30)*(2/3) + N30&gt;0,N30+(H30-B30)*(1/3)+(N30-H30)*(2/3),N30)</f>
        <v>18255.529998333332</v>
      </c>
      <c r="U30" s="120">
        <f>IF((I30-C30)*(1/3)+(O30-I30)*(2/3) + O30&gt;0,O30+(I30-C30)*(1/3)+(O30-I30)*(2/3),O30)</f>
        <v>31.799999999999976</v>
      </c>
      <c r="V30" s="120">
        <f>IF((J30-D30)*(1/3)+(P30-J30)*(2/3) + P30&gt;0,P30+(J30-D30)*(1/3)+(P30-J30)*(2/3),P30)</f>
        <v>394.42666666666668</v>
      </c>
      <c r="W30" s="120">
        <f>IF((K30-E30)*(1/3)+(Q30-K30)*(2/3) + Q30&gt;0,Q30+(K30-E30)*(1/3)+(Q30-K30)*(2/3),Q30)</f>
        <v>0</v>
      </c>
      <c r="X30" s="120">
        <f>IF((L30-F30)*(1/3)+(R30-L30)*(2/3) + R30&gt;0,R30+(L30-F30)*(1/3)+(R30-L30)*(2/3),R30)</f>
        <v>201.54000000000002</v>
      </c>
      <c r="Y30" s="120">
        <f t="shared" si="2"/>
        <v>18053.989998333331</v>
      </c>
      <c r="Z30" s="159">
        <f>AVERAGE(Y30,S30,M30)</f>
        <v>18318.783332777777</v>
      </c>
      <c r="AA30" s="159">
        <f t="shared" si="3"/>
        <v>31.799999999999976</v>
      </c>
      <c r="AB30" s="159">
        <f t="shared" si="4"/>
        <v>394.42666666666668</v>
      </c>
      <c r="AC30" s="159">
        <f t="shared" si="5"/>
        <v>201.54000000000002</v>
      </c>
      <c r="AD30" s="131">
        <v>8090964.1475999998</v>
      </c>
      <c r="AE30" s="160">
        <f>INDEX('Rate Assumptions'!$A:$B,MATCH('Base Allocation'!AE$2,'Rate Assumptions'!$A:$A,0),2)</f>
        <v>3988.586178572119</v>
      </c>
      <c r="AF30" s="160">
        <f>INDEX('Rate Assumptions'!$A:$B,MATCH('Base Allocation'!AF$2,'Rate Assumptions'!$A:$A,0),2)</f>
        <v>3988.586178572119</v>
      </c>
      <c r="AG30" s="160">
        <f>INDEX('Rate Assumptions'!$A:$B,MATCH('Base Allocation'!AG$2,'Rate Assumptions'!$A:$A,0),2)</f>
        <v>3988.586178572119</v>
      </c>
      <c r="AH30" s="160">
        <f>INDEX('Rate Assumptions'!$A:$B,MATCH('Base Allocation'!AH$2,'Rate Assumptions'!$A:$A,0),2)</f>
        <v>3988.586178572119</v>
      </c>
      <c r="AI30" s="161">
        <f>AD30+SUMPRODUCT(Z30:AC30,AE30:AH30)</f>
        <v>83660911.607009694</v>
      </c>
    </row>
    <row r="31" spans="1:35">
      <c r="A31" s="158" t="str">
        <f>[2]NamesDistrictCollegeCenter!B37</f>
        <v>Los Angeles CCD</v>
      </c>
      <c r="B31" s="121">
        <v>101333.9319</v>
      </c>
      <c r="C31" s="121">
        <v>2226.65</v>
      </c>
      <c r="D31" s="121">
        <v>4423.7</v>
      </c>
      <c r="E31" s="121">
        <f>41.86+13.74</f>
        <v>55.6</v>
      </c>
      <c r="F31" s="121">
        <v>5149.3999999999996</v>
      </c>
      <c r="G31" s="121">
        <f t="shared" si="0"/>
        <v>96128.931899999996</v>
      </c>
      <c r="H31" s="121">
        <v>93053.62</v>
      </c>
      <c r="I31" s="121">
        <v>2917.27</v>
      </c>
      <c r="J31" s="121">
        <v>4074.5899999999997</v>
      </c>
      <c r="K31" s="121">
        <v>27.630000000000003</v>
      </c>
      <c r="L31" s="121">
        <v>5496.54</v>
      </c>
      <c r="M31" s="121">
        <f>H31-K31-L31</f>
        <v>87529.45</v>
      </c>
      <c r="N31" s="122">
        <v>90768.6</v>
      </c>
      <c r="O31" s="122">
        <v>2719.16</v>
      </c>
      <c r="P31" s="122">
        <v>4512.28</v>
      </c>
      <c r="Q31" s="122">
        <v>20</v>
      </c>
      <c r="R31" s="122">
        <v>5496.54</v>
      </c>
      <c r="S31" s="122">
        <f t="shared" si="1"/>
        <v>85252.060000000012</v>
      </c>
      <c r="T31" s="120">
        <f>IF((H31-B31)*(1/3)+(N31-H31)*(2/3) + N31&gt;0,N31+(H31-B31)*(1/3)+(N31-H31)*(2/3),N31)</f>
        <v>86485.149366666679</v>
      </c>
      <c r="U31" s="120">
        <f>IF((I31-C31)*(1/3)+(O31-I31)*(2/3) + O31&gt;0,O31+(I31-C31)*(1/3)+(O31-I31)*(2/3),O31)</f>
        <v>2817.2933333333331</v>
      </c>
      <c r="V31" s="120">
        <f>IF((J31-D31)*(1/3)+(P31-J31)*(2/3) + P31&gt;0,P31+(J31-D31)*(1/3)+(P31-J31)*(2/3),P31)</f>
        <v>4687.7033333333329</v>
      </c>
      <c r="W31" s="120">
        <f>IF((K31-E31)*(1/3)+(Q31-K31)*(2/3) + Q31&gt;0,Q31+(K31-E31)*(1/3)+(Q31-K31)*(2/3),Q31)</f>
        <v>5.59</v>
      </c>
      <c r="X31" s="120">
        <f>IF((L31-F31)*(1/3)+(R31-L31)*(2/3) + R31&gt;0,R31+(L31-F31)*(1/3)+(R31-L31)*(2/3),R31)</f>
        <v>5612.2533333333331</v>
      </c>
      <c r="Y31" s="120">
        <f t="shared" si="2"/>
        <v>80867.306033333356</v>
      </c>
      <c r="Z31" s="159">
        <f>AVERAGE(Y31,S31,M31)</f>
        <v>84549.605344444455</v>
      </c>
      <c r="AA31" s="159">
        <f t="shared" si="3"/>
        <v>2817.2933333333331</v>
      </c>
      <c r="AB31" s="159">
        <f t="shared" si="4"/>
        <v>4687.7033333333329</v>
      </c>
      <c r="AC31" s="159">
        <f t="shared" si="5"/>
        <v>5617.8433333333332</v>
      </c>
      <c r="AD31" s="131">
        <v>40454813.509800002</v>
      </c>
      <c r="AE31" s="160">
        <f>INDEX('Rate Assumptions'!$A:$B,MATCH('Base Allocation'!AE$2,'Rate Assumptions'!$A:$A,0),2)</f>
        <v>3988.586178572119</v>
      </c>
      <c r="AF31" s="160">
        <f>INDEX('Rate Assumptions'!$A:$B,MATCH('Base Allocation'!AF$2,'Rate Assumptions'!$A:$A,0),2)</f>
        <v>3988.586178572119</v>
      </c>
      <c r="AG31" s="160">
        <f>INDEX('Rate Assumptions'!$A:$B,MATCH('Base Allocation'!AG$2,'Rate Assumptions'!$A:$A,0),2)</f>
        <v>3988.586178572119</v>
      </c>
      <c r="AH31" s="160">
        <f>INDEX('Rate Assumptions'!$A:$B,MATCH('Base Allocation'!AH$2,'Rate Assumptions'!$A:$A,0),2)</f>
        <v>3988.586178572119</v>
      </c>
      <c r="AI31" s="161">
        <f>AD31+SUMPRODUCT(Z31:AC31,AE31:AH31)</f>
        <v>430029779.03799182</v>
      </c>
    </row>
    <row r="32" spans="1:35">
      <c r="A32" s="158" t="str">
        <f>[2]NamesDistrictCollegeCenter!B38</f>
        <v>Los Rios CCD</v>
      </c>
      <c r="B32" s="121">
        <v>52402.089926000001</v>
      </c>
      <c r="C32" s="121">
        <v>237.67</v>
      </c>
      <c r="D32" s="121">
        <v>0</v>
      </c>
      <c r="E32" s="121"/>
      <c r="F32" s="121">
        <v>358.34</v>
      </c>
      <c r="G32" s="121">
        <f t="shared" si="0"/>
        <v>52043.749926000004</v>
      </c>
      <c r="H32" s="121">
        <v>44183.24</v>
      </c>
      <c r="I32" s="121">
        <v>129.82</v>
      </c>
      <c r="J32" s="121">
        <v>0</v>
      </c>
      <c r="K32" s="121">
        <v>60.8</v>
      </c>
      <c r="L32" s="121">
        <v>449.12</v>
      </c>
      <c r="M32" s="121">
        <f>H32-K32-L32</f>
        <v>43673.319999999992</v>
      </c>
      <c r="N32" s="122">
        <v>52019.38</v>
      </c>
      <c r="O32" s="122">
        <v>240.84</v>
      </c>
      <c r="P32" s="122">
        <v>0</v>
      </c>
      <c r="Q32" s="122">
        <v>93.53</v>
      </c>
      <c r="R32" s="122">
        <v>545.42999999999995</v>
      </c>
      <c r="S32" s="122">
        <f t="shared" si="1"/>
        <v>51380.42</v>
      </c>
      <c r="T32" s="120">
        <f>IF((H32-B32)*(1/3)+(N32-H32)*(2/3) + N32&gt;0,N32+(H32-B32)*(1/3)+(N32-H32)*(2/3),N32)</f>
        <v>54503.856691333327</v>
      </c>
      <c r="U32" s="120">
        <f>IF((I32-C32)*(1/3)+(O32-I32)*(2/3) + O32&gt;0,O32+(I32-C32)*(1/3)+(O32-I32)*(2/3),O32)</f>
        <v>278.90333333333336</v>
      </c>
      <c r="V32" s="120">
        <f>IF((J32-D32)*(1/3)+(P32-J32)*(2/3) + P32&gt;0,P32+(J32-D32)*(1/3)+(P32-J32)*(2/3),P32)</f>
        <v>0</v>
      </c>
      <c r="W32" s="120">
        <f>IF((K32-E32)*(1/3)+(Q32-K32)*(2/3) + Q32&gt;0,Q32+(K32-E32)*(1/3)+(Q32-K32)*(2/3),Q32)</f>
        <v>135.61666666666667</v>
      </c>
      <c r="X32" s="120">
        <f>IF((L32-F32)*(1/3)+(R32-L32)*(2/3) + R32&gt;0,R32+(L32-F32)*(1/3)+(R32-L32)*(2/3),R32)</f>
        <v>639.89666666666653</v>
      </c>
      <c r="Y32" s="120">
        <f t="shared" si="2"/>
        <v>53728.343357999991</v>
      </c>
      <c r="Z32" s="159">
        <f>AVERAGE(Y32,S32,M32)</f>
        <v>49594.027785999991</v>
      </c>
      <c r="AA32" s="159">
        <f t="shared" si="3"/>
        <v>278.90333333333336</v>
      </c>
      <c r="AB32" s="159">
        <f t="shared" si="4"/>
        <v>0</v>
      </c>
      <c r="AC32" s="159">
        <f t="shared" si="5"/>
        <v>775.51333333333321</v>
      </c>
      <c r="AD32" s="131">
        <v>26295630.898199998</v>
      </c>
      <c r="AE32" s="160">
        <f>INDEX('Rate Assumptions'!$A:$B,MATCH('Base Allocation'!AE$2,'Rate Assumptions'!$A:$A,0),2)</f>
        <v>3988.586178572119</v>
      </c>
      <c r="AF32" s="160">
        <f>INDEX('Rate Assumptions'!$A:$B,MATCH('Base Allocation'!AF$2,'Rate Assumptions'!$A:$A,0),2)</f>
        <v>3988.586178572119</v>
      </c>
      <c r="AG32" s="160">
        <f>INDEX('Rate Assumptions'!$A:$B,MATCH('Base Allocation'!AG$2,'Rate Assumptions'!$A:$A,0),2)</f>
        <v>3988.586178572119</v>
      </c>
      <c r="AH32" s="160">
        <f>INDEX('Rate Assumptions'!$A:$B,MATCH('Base Allocation'!AH$2,'Rate Assumptions'!$A:$A,0),2)</f>
        <v>3988.586178572119</v>
      </c>
      <c r="AI32" s="161">
        <f>AD32+SUMPRODUCT(Z32:AC32,AE32:AH32)</f>
        <v>228311316.40828392</v>
      </c>
    </row>
    <row r="33" spans="1:35">
      <c r="A33" s="158" t="str">
        <f>[2]NamesDistrictCollegeCenter!B39</f>
        <v>Marin CCD</v>
      </c>
      <c r="B33" s="121">
        <v>3452.6599999999994</v>
      </c>
      <c r="C33" s="121">
        <v>270.67</v>
      </c>
      <c r="D33" s="121">
        <v>0</v>
      </c>
      <c r="E33" s="121"/>
      <c r="F33" s="121">
        <v>150.63999999999999</v>
      </c>
      <c r="G33" s="121">
        <f t="shared" si="0"/>
        <v>3302.0199999999995</v>
      </c>
      <c r="H33" s="121">
        <v>3439.7299999999996</v>
      </c>
      <c r="I33" s="121">
        <v>284.79000000000002</v>
      </c>
      <c r="J33" s="121">
        <v>0</v>
      </c>
      <c r="K33" s="121"/>
      <c r="L33" s="121">
        <v>201.12</v>
      </c>
      <c r="M33" s="121">
        <f>H33-K33-L33</f>
        <v>3238.6099999999997</v>
      </c>
      <c r="N33" s="122">
        <v>3090.03</v>
      </c>
      <c r="O33" s="122">
        <v>284.79000000000002</v>
      </c>
      <c r="P33" s="122">
        <v>0</v>
      </c>
      <c r="Q33" s="122">
        <v>0</v>
      </c>
      <c r="R33" s="122">
        <v>156.55000000000001</v>
      </c>
      <c r="S33" s="122">
        <f t="shared" si="1"/>
        <v>2933.48</v>
      </c>
      <c r="T33" s="120">
        <f>IF((H33-B33)*(1/3)+(N33-H33)*(2/3) + N33&gt;0,N33+(H33-B33)*(1/3)+(N33-H33)*(2/3),N33)</f>
        <v>2852.5866666666675</v>
      </c>
      <c r="U33" s="120">
        <f>IF((I33-C33)*(1/3)+(O33-I33)*(2/3) + O33&gt;0,O33+(I33-C33)*(1/3)+(O33-I33)*(2/3),O33)</f>
        <v>289.49666666666667</v>
      </c>
      <c r="V33" s="120">
        <f>IF((J33-D33)*(1/3)+(P33-J33)*(2/3) + P33&gt;0,P33+(J33-D33)*(1/3)+(P33-J33)*(2/3),P33)</f>
        <v>0</v>
      </c>
      <c r="W33" s="120">
        <f>IF((K33-E33)*(1/3)+(Q33-K33)*(2/3) + Q33&gt;0,Q33+(K33-E33)*(1/3)+(Q33-K33)*(2/3),Q33)</f>
        <v>0</v>
      </c>
      <c r="X33" s="120">
        <f>IF((L33-F33)*(1/3)+(R33-L33)*(2/3) + R33&gt;0,R33+(L33-F33)*(1/3)+(R33-L33)*(2/3),R33)</f>
        <v>143.66333333333336</v>
      </c>
      <c r="Y33" s="120">
        <f t="shared" si="2"/>
        <v>2708.9233333333341</v>
      </c>
      <c r="Z33" s="159">
        <f>AVERAGE(Y33,S33,M33)</f>
        <v>2960.3377777777773</v>
      </c>
      <c r="AA33" s="159">
        <f t="shared" si="3"/>
        <v>289.49666666666667</v>
      </c>
      <c r="AB33" s="159">
        <f t="shared" si="4"/>
        <v>0</v>
      </c>
      <c r="AC33" s="159">
        <f t="shared" si="5"/>
        <v>143.66333333333336</v>
      </c>
      <c r="AD33" s="131">
        <v>4045480.0085999998</v>
      </c>
      <c r="AE33" s="160">
        <f>INDEX('Rate Assumptions'!$A:$B,MATCH('Base Allocation'!AE$2,'Rate Assumptions'!$A:$A,0),2)</f>
        <v>3988.586178572119</v>
      </c>
      <c r="AF33" s="160">
        <f>INDEX('Rate Assumptions'!$A:$B,MATCH('Base Allocation'!AF$2,'Rate Assumptions'!$A:$A,0),2)</f>
        <v>3988.586178572119</v>
      </c>
      <c r="AG33" s="160">
        <f>INDEX('Rate Assumptions'!$A:$B,MATCH('Base Allocation'!AG$2,'Rate Assumptions'!$A:$A,0),2)</f>
        <v>3988.586178572119</v>
      </c>
      <c r="AH33" s="160">
        <f>INDEX('Rate Assumptions'!$A:$B,MATCH('Base Allocation'!AH$2,'Rate Assumptions'!$A:$A,0),2)</f>
        <v>3988.586178572119</v>
      </c>
      <c r="AI33" s="161">
        <f>AD33+SUMPRODUCT(Z33:AC33,AE33:AH33)</f>
        <v>17580738.342059642</v>
      </c>
    </row>
    <row r="34" spans="1:35">
      <c r="A34" s="158" t="str">
        <f>[2]NamesDistrictCollegeCenter!B40</f>
        <v>Mendocino-Lake CCD</v>
      </c>
      <c r="B34" s="121">
        <v>2983.3100019999997</v>
      </c>
      <c r="C34" s="121">
        <v>42.120000000000005</v>
      </c>
      <c r="D34" s="121">
        <v>39.6</v>
      </c>
      <c r="E34" s="121"/>
      <c r="F34" s="121">
        <v>398.58</v>
      </c>
      <c r="G34" s="121">
        <f t="shared" si="0"/>
        <v>2584.7300019999998</v>
      </c>
      <c r="H34" s="121">
        <v>2369.96</v>
      </c>
      <c r="I34" s="121">
        <v>36.400000000000006</v>
      </c>
      <c r="J34" s="121">
        <v>49.79</v>
      </c>
      <c r="K34" s="121"/>
      <c r="L34" s="121">
        <v>205.79</v>
      </c>
      <c r="M34" s="121">
        <f>H34-K34-L34</f>
        <v>2164.17</v>
      </c>
      <c r="N34" s="122">
        <v>2803.41</v>
      </c>
      <c r="O34" s="122">
        <v>31.980000000000004</v>
      </c>
      <c r="P34" s="122">
        <v>56.25</v>
      </c>
      <c r="Q34" s="122">
        <v>0</v>
      </c>
      <c r="R34" s="122">
        <v>288.98</v>
      </c>
      <c r="S34" s="122">
        <f t="shared" si="1"/>
        <v>2514.4299999999998</v>
      </c>
      <c r="T34" s="120">
        <f>IF((H34-B34)*(1/3)+(N34-H34)*(2/3) + N34&gt;0,N34+(H34-B34)*(1/3)+(N34-H34)*(2/3),N34)</f>
        <v>2887.9266659999998</v>
      </c>
      <c r="U34" s="120">
        <f>IF((I34-C34)*(1/3)+(O34-I34)*(2/3) + O34&gt;0,O34+(I34-C34)*(1/3)+(O34-I34)*(2/3),O34)</f>
        <v>27.126666666666669</v>
      </c>
      <c r="V34" s="120">
        <f>IF((J34-D34)*(1/3)+(P34-J34)*(2/3) + P34&gt;0,P34+(J34-D34)*(1/3)+(P34-J34)*(2/3),P34)</f>
        <v>63.953333333333333</v>
      </c>
      <c r="W34" s="120">
        <f>IF((K34-E34)*(1/3)+(Q34-K34)*(2/3) + Q34&gt;0,Q34+(K34-E34)*(1/3)+(Q34-K34)*(2/3),Q34)</f>
        <v>0</v>
      </c>
      <c r="X34" s="120">
        <f>IF((L34-F34)*(1/3)+(R34-L34)*(2/3) + R34&gt;0,R34+(L34-F34)*(1/3)+(R34-L34)*(2/3),R34)</f>
        <v>280.17666666666673</v>
      </c>
      <c r="Y34" s="120">
        <f t="shared" si="2"/>
        <v>2607.7499993333331</v>
      </c>
      <c r="Z34" s="159">
        <f>AVERAGE(Y34,S34,M34)</f>
        <v>2428.783333111111</v>
      </c>
      <c r="AA34" s="159">
        <f t="shared" si="3"/>
        <v>27.126666666666669</v>
      </c>
      <c r="AB34" s="159">
        <f t="shared" si="4"/>
        <v>63.953333333333333</v>
      </c>
      <c r="AC34" s="159">
        <f t="shared" si="5"/>
        <v>280.17666666666673</v>
      </c>
      <c r="AD34" s="131">
        <v>6343562.2866000002</v>
      </c>
      <c r="AE34" s="160">
        <f>INDEX('Rate Assumptions'!$A:$B,MATCH('Base Allocation'!AE$2,'Rate Assumptions'!$A:$A,0),2)</f>
        <v>3988.586178572119</v>
      </c>
      <c r="AF34" s="160">
        <f>INDEX('Rate Assumptions'!$A:$B,MATCH('Base Allocation'!AF$2,'Rate Assumptions'!$A:$A,0),2)</f>
        <v>3988.586178572119</v>
      </c>
      <c r="AG34" s="160">
        <f>INDEX('Rate Assumptions'!$A:$B,MATCH('Base Allocation'!AG$2,'Rate Assumptions'!$A:$A,0),2)</f>
        <v>3988.586178572119</v>
      </c>
      <c r="AH34" s="160">
        <f>INDEX('Rate Assumptions'!$A:$B,MATCH('Base Allocation'!AH$2,'Rate Assumptions'!$A:$A,0),2)</f>
        <v>3988.586178572119</v>
      </c>
      <c r="AI34" s="161">
        <f>AD34+SUMPRODUCT(Z34:AC34,AE34:AH34)</f>
        <v>17511763.129162725</v>
      </c>
    </row>
    <row r="35" spans="1:35">
      <c r="A35" s="158" t="str">
        <f>[2]NamesDistrictCollegeCenter!B41</f>
        <v>Merced CCD</v>
      </c>
      <c r="B35" s="121">
        <v>8760.9799640000019</v>
      </c>
      <c r="C35" s="121">
        <v>228.52999999999997</v>
      </c>
      <c r="D35" s="121">
        <v>560.37</v>
      </c>
      <c r="E35" s="121">
        <v>45.26</v>
      </c>
      <c r="F35" s="121">
        <v>357.36</v>
      </c>
      <c r="G35" s="121">
        <f t="shared" si="0"/>
        <v>8358.3599640000011</v>
      </c>
      <c r="H35" s="121">
        <v>8379.0300000000025</v>
      </c>
      <c r="I35" s="121">
        <v>183.31999999999996</v>
      </c>
      <c r="J35" s="121">
        <v>690.09</v>
      </c>
      <c r="K35" s="121">
        <v>75</v>
      </c>
      <c r="L35" s="121">
        <v>519.14</v>
      </c>
      <c r="M35" s="121">
        <f>H35-K35-L35</f>
        <v>7784.8900000000021</v>
      </c>
      <c r="N35" s="122">
        <v>8971.49</v>
      </c>
      <c r="O35" s="122">
        <v>365.69999999999993</v>
      </c>
      <c r="P35" s="122">
        <v>663.84</v>
      </c>
      <c r="Q35" s="122">
        <v>147.21</v>
      </c>
      <c r="R35" s="122">
        <v>72.941232431869736</v>
      </c>
      <c r="S35" s="122">
        <f t="shared" si="1"/>
        <v>8751.3387675681315</v>
      </c>
      <c r="T35" s="120">
        <f>IF((H35-B35)*(1/3)+(N35-H35)*(2/3) + N35&gt;0,N35+(H35-B35)*(1/3)+(N35-H35)*(2/3),N35)</f>
        <v>9239.1466786666642</v>
      </c>
      <c r="U35" s="120">
        <f>IF((I35-C35)*(1/3)+(O35-I35)*(2/3) + O35&gt;0,O35+(I35-C35)*(1/3)+(O35-I35)*(2/3),O35)</f>
        <v>472.21666666666658</v>
      </c>
      <c r="V35" s="120">
        <f>IF((J35-D35)*(1/3)+(P35-J35)*(2/3) + P35&gt;0,P35+(J35-D35)*(1/3)+(P35-J35)*(2/3),P35)</f>
        <v>689.58</v>
      </c>
      <c r="W35" s="120">
        <f>IF((K35-E35)*(1/3)+(Q35-K35)*(2/3) + Q35&gt;0,Q35+(K35-E35)*(1/3)+(Q35-K35)*(2/3),Q35)</f>
        <v>205.26333333333332</v>
      </c>
      <c r="X35" s="120">
        <f>IF((L35-F35)*(1/3)+(R35-L35)*(2/3) + R35&gt;0,R35+(L35-F35)*(1/3)+(R35-L35)*(2/3),R35)</f>
        <v>72.941232431869736</v>
      </c>
      <c r="Y35" s="120">
        <f t="shared" si="2"/>
        <v>8960.9421129014627</v>
      </c>
      <c r="Z35" s="159">
        <f>AVERAGE(Y35,S35,M35)</f>
        <v>8499.056960156533</v>
      </c>
      <c r="AA35" s="159">
        <f t="shared" si="3"/>
        <v>472.21666666666658</v>
      </c>
      <c r="AB35" s="159">
        <f t="shared" si="4"/>
        <v>689.58</v>
      </c>
      <c r="AC35" s="159">
        <f t="shared" si="5"/>
        <v>278.20456576520303</v>
      </c>
      <c r="AD35" s="131">
        <v>5393974.0331999995</v>
      </c>
      <c r="AE35" s="160">
        <f>INDEX('Rate Assumptions'!$A:$B,MATCH('Base Allocation'!AE$2,'Rate Assumptions'!$A:$A,0),2)</f>
        <v>3988.586178572119</v>
      </c>
      <c r="AF35" s="160">
        <f>INDEX('Rate Assumptions'!$A:$B,MATCH('Base Allocation'!AF$2,'Rate Assumptions'!$A:$A,0),2)</f>
        <v>3988.586178572119</v>
      </c>
      <c r="AG35" s="160">
        <f>INDEX('Rate Assumptions'!$A:$B,MATCH('Base Allocation'!AG$2,'Rate Assumptions'!$A:$A,0),2)</f>
        <v>3988.586178572119</v>
      </c>
      <c r="AH35" s="160">
        <f>INDEX('Rate Assumptions'!$A:$B,MATCH('Base Allocation'!AH$2,'Rate Assumptions'!$A:$A,0),2)</f>
        <v>3988.586178572119</v>
      </c>
      <c r="AI35" s="161">
        <f>AD35+SUMPRODUCT(Z35:AC35,AE35:AH35)</f>
        <v>45036764.16818209</v>
      </c>
    </row>
    <row r="36" spans="1:35">
      <c r="A36" s="158" t="str">
        <f>[2]NamesDistrictCollegeCenter!B42</f>
        <v>MiraCosta CCD</v>
      </c>
      <c r="B36" s="121">
        <v>10299.250000000002</v>
      </c>
      <c r="C36" s="121">
        <v>782.45</v>
      </c>
      <c r="D36" s="121">
        <v>0</v>
      </c>
      <c r="E36" s="121"/>
      <c r="F36" s="121">
        <v>151.13</v>
      </c>
      <c r="G36" s="121">
        <f t="shared" si="0"/>
        <v>10148.120000000003</v>
      </c>
      <c r="H36" s="121">
        <v>10274.230000000001</v>
      </c>
      <c r="I36" s="121">
        <v>759.88</v>
      </c>
      <c r="J36" s="121">
        <v>0</v>
      </c>
      <c r="K36" s="121"/>
      <c r="L36" s="121">
        <v>150.49</v>
      </c>
      <c r="M36" s="121">
        <f>H36-K36-L36</f>
        <v>10123.740000000002</v>
      </c>
      <c r="N36" s="122">
        <v>9249.7099999999991</v>
      </c>
      <c r="O36" s="122">
        <v>759.88</v>
      </c>
      <c r="P36" s="122">
        <v>0</v>
      </c>
      <c r="Q36" s="122">
        <v>0</v>
      </c>
      <c r="R36" s="122">
        <v>122.55</v>
      </c>
      <c r="S36" s="122">
        <f t="shared" si="1"/>
        <v>9127.16</v>
      </c>
      <c r="T36" s="120">
        <f>IF((H36-B36)*(1/3)+(N36-H36)*(2/3) + N36&gt;0,N36+(H36-B36)*(1/3)+(N36-H36)*(2/3),N36)</f>
        <v>8558.3566666666648</v>
      </c>
      <c r="U36" s="120">
        <f>IF((I36-C36)*(1/3)+(O36-I36)*(2/3) + O36&gt;0,O36+(I36-C36)*(1/3)+(O36-I36)*(2/3),O36)</f>
        <v>752.35666666666668</v>
      </c>
      <c r="V36" s="120">
        <f>IF((J36-D36)*(1/3)+(P36-J36)*(2/3) + P36&gt;0,P36+(J36-D36)*(1/3)+(P36-J36)*(2/3),P36)</f>
        <v>0</v>
      </c>
      <c r="W36" s="120">
        <f>IF((K36-E36)*(1/3)+(Q36-K36)*(2/3) + Q36&gt;0,Q36+(K36-E36)*(1/3)+(Q36-K36)*(2/3),Q36)</f>
        <v>0</v>
      </c>
      <c r="X36" s="120">
        <f>IF((L36-F36)*(1/3)+(R36-L36)*(2/3) + R36&gt;0,R36+(L36-F36)*(1/3)+(R36-L36)*(2/3),R36)</f>
        <v>103.71000000000001</v>
      </c>
      <c r="Y36" s="120">
        <f t="shared" si="2"/>
        <v>8454.6466666666656</v>
      </c>
      <c r="Z36" s="159">
        <f>AVERAGE(Y36,S36,M36)</f>
        <v>9235.1822222222218</v>
      </c>
      <c r="AA36" s="159">
        <f t="shared" si="3"/>
        <v>752.35666666666668</v>
      </c>
      <c r="AB36" s="159">
        <f t="shared" si="4"/>
        <v>0</v>
      </c>
      <c r="AC36" s="159">
        <f t="shared" si="5"/>
        <v>103.71000000000001</v>
      </c>
      <c r="AD36" s="131">
        <v>6742470.1229999997</v>
      </c>
      <c r="AE36" s="160">
        <f>INDEX('Rate Assumptions'!$A:$B,MATCH('Base Allocation'!AE$2,'Rate Assumptions'!$A:$A,0),2)</f>
        <v>3988.586178572119</v>
      </c>
      <c r="AF36" s="160">
        <f>INDEX('Rate Assumptions'!$A:$B,MATCH('Base Allocation'!AF$2,'Rate Assumptions'!$A:$A,0),2)</f>
        <v>3988.586178572119</v>
      </c>
      <c r="AG36" s="160">
        <f>INDEX('Rate Assumptions'!$A:$B,MATCH('Base Allocation'!AG$2,'Rate Assumptions'!$A:$A,0),2)</f>
        <v>3988.586178572119</v>
      </c>
      <c r="AH36" s="160">
        <f>INDEX('Rate Assumptions'!$A:$B,MATCH('Base Allocation'!AH$2,'Rate Assumptions'!$A:$A,0),2)</f>
        <v>3988.586178572119</v>
      </c>
      <c r="AI36" s="161">
        <f>AD36+SUMPRODUCT(Z36:AC36,AE36:AH36)</f>
        <v>46992285.965753466</v>
      </c>
    </row>
    <row r="37" spans="1:35">
      <c r="A37" s="158" t="str">
        <f>[2]NamesDistrictCollegeCenter!B43</f>
        <v>Monterey Peninsula CCD</v>
      </c>
      <c r="B37" s="121">
        <v>6258.5700600000009</v>
      </c>
      <c r="C37" s="121">
        <v>355.89999999999992</v>
      </c>
      <c r="D37" s="121">
        <v>82.58</v>
      </c>
      <c r="E37" s="121"/>
      <c r="F37" s="121">
        <v>120.21</v>
      </c>
      <c r="G37" s="121">
        <f t="shared" si="0"/>
        <v>6138.3600600000009</v>
      </c>
      <c r="H37" s="121">
        <v>5956.3000000000011</v>
      </c>
      <c r="I37" s="121">
        <v>230.01999999999992</v>
      </c>
      <c r="J37" s="121">
        <v>87.89</v>
      </c>
      <c r="K37" s="121"/>
      <c r="L37" s="121">
        <v>140.1</v>
      </c>
      <c r="M37" s="121">
        <f>H37-K37-L37</f>
        <v>5816.2000000000007</v>
      </c>
      <c r="N37" s="122">
        <v>5968.8</v>
      </c>
      <c r="O37" s="122">
        <v>293.83</v>
      </c>
      <c r="P37" s="122">
        <v>37.24</v>
      </c>
      <c r="Q37" s="122">
        <v>0</v>
      </c>
      <c r="R37" s="122">
        <v>149.9</v>
      </c>
      <c r="S37" s="122">
        <f t="shared" si="1"/>
        <v>5818.9000000000005</v>
      </c>
      <c r="T37" s="120">
        <f>IF((H37-B37)*(1/3)+(N37-H37)*(2/3) + N37&gt;0,N37+(H37-B37)*(1/3)+(N37-H37)*(2/3),N37)</f>
        <v>5876.3766466666666</v>
      </c>
      <c r="U37" s="120">
        <f>IF((I37-C37)*(1/3)+(O37-I37)*(2/3) + O37&gt;0,O37+(I37-C37)*(1/3)+(O37-I37)*(2/3),O37)</f>
        <v>294.41000000000003</v>
      </c>
      <c r="V37" s="120">
        <f>IF((J37-D37)*(1/3)+(P37-J37)*(2/3) + P37&gt;0,P37+(J37-D37)*(1/3)+(P37-J37)*(2/3),P37)</f>
        <v>5.2433333333333394</v>
      </c>
      <c r="W37" s="120">
        <f>IF((K37-E37)*(1/3)+(Q37-K37)*(2/3) + Q37&gt;0,Q37+(K37-E37)*(1/3)+(Q37-K37)*(2/3),Q37)</f>
        <v>0</v>
      </c>
      <c r="X37" s="120">
        <f>IF((L37-F37)*(1/3)+(R37-L37)*(2/3) + R37&gt;0,R37+(L37-F37)*(1/3)+(R37-L37)*(2/3),R37)</f>
        <v>163.06333333333333</v>
      </c>
      <c r="Y37" s="120">
        <f t="shared" si="2"/>
        <v>5713.3133133333331</v>
      </c>
      <c r="Z37" s="159">
        <f>AVERAGE(Y37,S37,M37)</f>
        <v>5782.8044377777778</v>
      </c>
      <c r="AA37" s="159">
        <f t="shared" si="3"/>
        <v>294.41000000000003</v>
      </c>
      <c r="AB37" s="159">
        <f t="shared" si="4"/>
        <v>5.2433333333333394</v>
      </c>
      <c r="AC37" s="159">
        <f t="shared" si="5"/>
        <v>163.06333333333333</v>
      </c>
      <c r="AD37" s="131">
        <v>4382603.2566</v>
      </c>
      <c r="AE37" s="160">
        <f>INDEX('Rate Assumptions'!$A:$B,MATCH('Base Allocation'!AE$2,'Rate Assumptions'!$A:$A,0),2)</f>
        <v>3988.586178572119</v>
      </c>
      <c r="AF37" s="160">
        <f>INDEX('Rate Assumptions'!$A:$B,MATCH('Base Allocation'!AF$2,'Rate Assumptions'!$A:$A,0),2)</f>
        <v>3988.586178572119</v>
      </c>
      <c r="AG37" s="160">
        <f>INDEX('Rate Assumptions'!$A:$B,MATCH('Base Allocation'!AG$2,'Rate Assumptions'!$A:$A,0),2)</f>
        <v>3988.586178572119</v>
      </c>
      <c r="AH37" s="160">
        <f>INDEX('Rate Assumptions'!$A:$B,MATCH('Base Allocation'!AH$2,'Rate Assumptions'!$A:$A,0),2)</f>
        <v>3988.586178572119</v>
      </c>
      <c r="AI37" s="161">
        <f>AD37+SUMPRODUCT(Z37:AC37,AE37:AH37)</f>
        <v>29293402.411767587</v>
      </c>
    </row>
    <row r="38" spans="1:35">
      <c r="A38" s="158" t="str">
        <f>[2]NamesDistrictCollegeCenter!B44</f>
        <v>Mt. San Antonio CCD</v>
      </c>
      <c r="B38" s="121">
        <v>24240.05</v>
      </c>
      <c r="C38" s="121">
        <v>1697.1799999999998</v>
      </c>
      <c r="D38" s="121">
        <v>5080.4000000000005</v>
      </c>
      <c r="E38" s="121"/>
      <c r="F38" s="121">
        <v>24.49</v>
      </c>
      <c r="G38" s="121">
        <f t="shared" si="0"/>
        <v>24215.559999999998</v>
      </c>
      <c r="H38" s="121">
        <v>24977.134903999999</v>
      </c>
      <c r="I38" s="121">
        <v>1557.8100000000004</v>
      </c>
      <c r="J38" s="121">
        <v>6169.3700000000008</v>
      </c>
      <c r="K38" s="121"/>
      <c r="L38" s="121">
        <v>108.69</v>
      </c>
      <c r="M38" s="121">
        <f>H38-K38-L38</f>
        <v>24868.444904</v>
      </c>
      <c r="N38" s="122">
        <v>24957.29</v>
      </c>
      <c r="O38" s="122">
        <v>1636.0300000000007</v>
      </c>
      <c r="P38" s="122">
        <v>6299.98</v>
      </c>
      <c r="Q38" s="122">
        <v>0</v>
      </c>
      <c r="R38" s="122">
        <v>57.30697723485217</v>
      </c>
      <c r="S38" s="122">
        <f t="shared" si="1"/>
        <v>24899.983022765147</v>
      </c>
      <c r="T38" s="120">
        <f>IF((H38-B38)*(1/3)+(N38-H38)*(2/3) + N38&gt;0,N38+(H38-B38)*(1/3)+(N38-H38)*(2/3),N38)</f>
        <v>25189.755032000001</v>
      </c>
      <c r="U38" s="120">
        <f>IF((I38-C38)*(1/3)+(O38-I38)*(2/3) + O38&gt;0,O38+(I38-C38)*(1/3)+(O38-I38)*(2/3),O38)</f>
        <v>1641.7200000000009</v>
      </c>
      <c r="V38" s="120">
        <f>IF((J38-D38)*(1/3)+(P38-J38)*(2/3) + P38&gt;0,P38+(J38-D38)*(1/3)+(P38-J38)*(2/3),P38)</f>
        <v>6750.0433333333322</v>
      </c>
      <c r="W38" s="120">
        <f>IF((K38-E38)*(1/3)+(Q38-K38)*(2/3) + Q38&gt;0,Q38+(K38-E38)*(1/3)+(Q38-K38)*(2/3),Q38)</f>
        <v>0</v>
      </c>
      <c r="X38" s="120">
        <f>IF((L38-F38)*(1/3)+(R38-L38)*(2/3) + R38&gt;0,R38+(L38-F38)*(1/3)+(R38-L38)*(2/3),R38)</f>
        <v>51.118295391420283</v>
      </c>
      <c r="Y38" s="120">
        <f t="shared" si="2"/>
        <v>25138.63673660858</v>
      </c>
      <c r="Z38" s="159">
        <f>AVERAGE(Y38,S38,M38)</f>
        <v>24969.021554457911</v>
      </c>
      <c r="AA38" s="159">
        <f t="shared" si="3"/>
        <v>1641.7200000000009</v>
      </c>
      <c r="AB38" s="159">
        <f t="shared" si="4"/>
        <v>6750.0433333333322</v>
      </c>
      <c r="AC38" s="159">
        <f t="shared" si="5"/>
        <v>51.118295391420283</v>
      </c>
      <c r="AD38" s="131">
        <v>6742470.1229999997</v>
      </c>
      <c r="AE38" s="160">
        <f>INDEX('Rate Assumptions'!$A:$B,MATCH('Base Allocation'!AE$2,'Rate Assumptions'!$A:$A,0),2)</f>
        <v>3988.586178572119</v>
      </c>
      <c r="AF38" s="160">
        <f>INDEX('Rate Assumptions'!$A:$B,MATCH('Base Allocation'!AF$2,'Rate Assumptions'!$A:$A,0),2)</f>
        <v>3988.586178572119</v>
      </c>
      <c r="AG38" s="160">
        <f>INDEX('Rate Assumptions'!$A:$B,MATCH('Base Allocation'!AG$2,'Rate Assumptions'!$A:$A,0),2)</f>
        <v>3988.586178572119</v>
      </c>
      <c r="AH38" s="160">
        <f>INDEX('Rate Assumptions'!$A:$B,MATCH('Base Allocation'!AH$2,'Rate Assumptions'!$A:$A,0),2)</f>
        <v>3988.586178572119</v>
      </c>
      <c r="AI38" s="161">
        <f>AD38+SUMPRODUCT(Z38:AC38,AE38:AH38)</f>
        <v>140008725.35923216</v>
      </c>
    </row>
    <row r="39" spans="1:35">
      <c r="A39" s="158" t="str">
        <f>[2]NamesDistrictCollegeCenter!B45</f>
        <v>Mt. San Jacinto CCD</v>
      </c>
      <c r="B39" s="121">
        <v>11828.490023</v>
      </c>
      <c r="C39" s="121">
        <v>320.34000000000003</v>
      </c>
      <c r="D39" s="121">
        <v>271.38</v>
      </c>
      <c r="E39" s="121"/>
      <c r="F39" s="121">
        <v>100.61</v>
      </c>
      <c r="G39" s="121">
        <f t="shared" si="0"/>
        <v>11727.880023</v>
      </c>
      <c r="H39" s="121">
        <v>10195.460000000001</v>
      </c>
      <c r="I39" s="121">
        <v>367.36</v>
      </c>
      <c r="J39" s="121">
        <v>242.17</v>
      </c>
      <c r="K39" s="121"/>
      <c r="L39" s="121">
        <v>79.69</v>
      </c>
      <c r="M39" s="121">
        <f>H39-K39-L39</f>
        <v>10115.77</v>
      </c>
      <c r="N39" s="122">
        <v>11454.47</v>
      </c>
      <c r="O39" s="122">
        <v>274.04000000000002</v>
      </c>
      <c r="P39" s="122">
        <v>260.8</v>
      </c>
      <c r="Q39" s="122">
        <v>0</v>
      </c>
      <c r="R39" s="122">
        <v>141.21</v>
      </c>
      <c r="S39" s="122">
        <f t="shared" si="1"/>
        <v>11313.26</v>
      </c>
      <c r="T39" s="120">
        <f>IF((H39-B39)*(1/3)+(N39-H39)*(2/3) + N39&gt;0,N39+(H39-B39)*(1/3)+(N39-H39)*(2/3),N39)</f>
        <v>11749.466658999998</v>
      </c>
      <c r="U39" s="120">
        <f>IF((I39-C39)*(1/3)+(O39-I39)*(2/3) + O39&gt;0,O39+(I39-C39)*(1/3)+(O39-I39)*(2/3),O39)</f>
        <v>227.50000000000006</v>
      </c>
      <c r="V39" s="120">
        <f>IF((J39-D39)*(1/3)+(P39-J39)*(2/3) + P39&gt;0,P39+(J39-D39)*(1/3)+(P39-J39)*(2/3),P39)</f>
        <v>263.48333333333335</v>
      </c>
      <c r="W39" s="120">
        <f>IF((K39-E39)*(1/3)+(Q39-K39)*(2/3) + Q39&gt;0,Q39+(K39-E39)*(1/3)+(Q39-K39)*(2/3),Q39)</f>
        <v>0</v>
      </c>
      <c r="X39" s="120">
        <f>IF((L39-F39)*(1/3)+(R39-L39)*(2/3) + R39&gt;0,R39+(L39-F39)*(1/3)+(R39-L39)*(2/3),R39)</f>
        <v>175.25</v>
      </c>
      <c r="Y39" s="120">
        <f t="shared" si="2"/>
        <v>11574.216658999998</v>
      </c>
      <c r="Z39" s="159">
        <f>AVERAGE(Y39,S39,M39)</f>
        <v>11001.082219666665</v>
      </c>
      <c r="AA39" s="159">
        <f t="shared" si="3"/>
        <v>227.50000000000006</v>
      </c>
      <c r="AB39" s="159">
        <f t="shared" si="4"/>
        <v>263.48333333333335</v>
      </c>
      <c r="AC39" s="159">
        <f t="shared" si="5"/>
        <v>175.25</v>
      </c>
      <c r="AD39" s="131">
        <v>6742470.1229999997</v>
      </c>
      <c r="AE39" s="160">
        <f>INDEX('Rate Assumptions'!$A:$B,MATCH('Base Allocation'!AE$2,'Rate Assumptions'!$A:$A,0),2)</f>
        <v>3988.586178572119</v>
      </c>
      <c r="AF39" s="160">
        <f>INDEX('Rate Assumptions'!$A:$B,MATCH('Base Allocation'!AF$2,'Rate Assumptions'!$A:$A,0),2)</f>
        <v>3988.586178572119</v>
      </c>
      <c r="AG39" s="160">
        <f>INDEX('Rate Assumptions'!$A:$B,MATCH('Base Allocation'!AG$2,'Rate Assumptions'!$A:$A,0),2)</f>
        <v>3988.586178572119</v>
      </c>
      <c r="AH39" s="160">
        <f>INDEX('Rate Assumptions'!$A:$B,MATCH('Base Allocation'!AH$2,'Rate Assumptions'!$A:$A,0),2)</f>
        <v>3988.586178572119</v>
      </c>
      <c r="AI39" s="161">
        <f>AD39+SUMPRODUCT(Z39:AC39,AE39:AH39)</f>
        <v>53278563.678735316</v>
      </c>
    </row>
    <row r="40" spans="1:35">
      <c r="A40" s="158" t="str">
        <f>[2]NamesDistrictCollegeCenter!B46</f>
        <v>Napa Valley CCD</v>
      </c>
      <c r="B40" s="121">
        <v>4840.9999999999991</v>
      </c>
      <c r="C40" s="121">
        <v>453.46000000000004</v>
      </c>
      <c r="D40" s="121">
        <v>11.99</v>
      </c>
      <c r="E40" s="121"/>
      <c r="F40" s="121">
        <v>129.38999999999999</v>
      </c>
      <c r="G40" s="121">
        <f t="shared" si="0"/>
        <v>4711.6099999999988</v>
      </c>
      <c r="H40" s="121">
        <v>4749.6299999999992</v>
      </c>
      <c r="I40" s="121">
        <v>418.75000000000006</v>
      </c>
      <c r="J40" s="121">
        <v>5.7700000000000005</v>
      </c>
      <c r="K40" s="121"/>
      <c r="L40" s="121">
        <v>185.77</v>
      </c>
      <c r="M40" s="121">
        <f>H40-K40-L40</f>
        <v>4563.8599999999988</v>
      </c>
      <c r="N40" s="122">
        <v>4597.67</v>
      </c>
      <c r="O40" s="122">
        <v>418.75000000000006</v>
      </c>
      <c r="P40" s="122">
        <v>5.7700000000000005</v>
      </c>
      <c r="Q40" s="122">
        <v>0</v>
      </c>
      <c r="R40" s="122">
        <v>143.47</v>
      </c>
      <c r="S40" s="122">
        <f t="shared" si="1"/>
        <v>4454.2</v>
      </c>
      <c r="T40" s="120">
        <f>IF((H40-B40)*(1/3)+(N40-H40)*(2/3) + N40&gt;0,N40+(H40-B40)*(1/3)+(N40-H40)*(2/3),N40)</f>
        <v>4465.9066666666668</v>
      </c>
      <c r="U40" s="120">
        <f>IF((I40-C40)*(1/3)+(O40-I40)*(2/3) + O40&gt;0,O40+(I40-C40)*(1/3)+(O40-I40)*(2/3),O40)</f>
        <v>407.18000000000006</v>
      </c>
      <c r="V40" s="120">
        <f>IF((J40-D40)*(1/3)+(P40-J40)*(2/3) + P40&gt;0,P40+(J40-D40)*(1/3)+(P40-J40)*(2/3),P40)</f>
        <v>3.6966666666666672</v>
      </c>
      <c r="W40" s="120">
        <f>IF((K40-E40)*(1/3)+(Q40-K40)*(2/3) + Q40&gt;0,Q40+(K40-E40)*(1/3)+(Q40-K40)*(2/3),Q40)</f>
        <v>0</v>
      </c>
      <c r="X40" s="120">
        <f>IF((L40-F40)*(1/3)+(R40-L40)*(2/3) + R40&gt;0,R40+(L40-F40)*(1/3)+(R40-L40)*(2/3),R40)</f>
        <v>134.06333333333333</v>
      </c>
      <c r="Y40" s="120">
        <f t="shared" si="2"/>
        <v>4331.8433333333332</v>
      </c>
      <c r="Z40" s="159">
        <f>AVERAGE(Y40,S40,M40)</f>
        <v>4449.967777777777</v>
      </c>
      <c r="AA40" s="159">
        <f t="shared" si="3"/>
        <v>407.18000000000006</v>
      </c>
      <c r="AB40" s="159">
        <f t="shared" si="4"/>
        <v>3.6966666666666672</v>
      </c>
      <c r="AC40" s="159">
        <f t="shared" si="5"/>
        <v>134.06333333333333</v>
      </c>
      <c r="AD40" s="131">
        <v>4719726.5045999996</v>
      </c>
      <c r="AE40" s="160">
        <f>INDEX('Rate Assumptions'!$A:$B,MATCH('Base Allocation'!AE$2,'Rate Assumptions'!$A:$A,0),2)</f>
        <v>3988.586178572119</v>
      </c>
      <c r="AF40" s="160">
        <f>INDEX('Rate Assumptions'!$A:$B,MATCH('Base Allocation'!AF$2,'Rate Assumptions'!$A:$A,0),2)</f>
        <v>3988.586178572119</v>
      </c>
      <c r="AG40" s="160">
        <f>INDEX('Rate Assumptions'!$A:$B,MATCH('Base Allocation'!AG$2,'Rate Assumptions'!$A:$A,0),2)</f>
        <v>3988.586178572119</v>
      </c>
      <c r="AH40" s="160">
        <f>INDEX('Rate Assumptions'!$A:$B,MATCH('Base Allocation'!AH$2,'Rate Assumptions'!$A:$A,0),2)</f>
        <v>3988.586178572119</v>
      </c>
      <c r="AI40" s="161">
        <f>AD40+SUMPRODUCT(Z40:AC40,AE40:AH40)</f>
        <v>24642346.630286817</v>
      </c>
    </row>
    <row r="41" spans="1:35">
      <c r="A41" s="158" t="str">
        <f>[2]NamesDistrictCollegeCenter!B47</f>
        <v>North Orange County CCD</v>
      </c>
      <c r="B41" s="121">
        <v>32051.030064999999</v>
      </c>
      <c r="C41" s="121">
        <v>2631.7900000000004</v>
      </c>
      <c r="D41" s="121">
        <v>2565.56</v>
      </c>
      <c r="E41" s="121"/>
      <c r="F41" s="121">
        <v>263.70999999999998</v>
      </c>
      <c r="G41" s="121">
        <f t="shared" si="0"/>
        <v>31787.320065</v>
      </c>
      <c r="H41" s="121">
        <v>27208.32</v>
      </c>
      <c r="I41" s="121">
        <v>2573.5700000000006</v>
      </c>
      <c r="J41" s="121">
        <v>2664.91</v>
      </c>
      <c r="K41" s="121"/>
      <c r="L41" s="121">
        <v>251.8</v>
      </c>
      <c r="M41" s="121">
        <f>H41-K41-L41</f>
        <v>26956.52</v>
      </c>
      <c r="N41" s="122">
        <v>28054.18</v>
      </c>
      <c r="O41" s="122">
        <v>4039.74</v>
      </c>
      <c r="P41" s="122">
        <v>1066.1400000000001</v>
      </c>
      <c r="Q41" s="122">
        <v>0</v>
      </c>
      <c r="R41" s="122">
        <v>504.2</v>
      </c>
      <c r="S41" s="122">
        <f t="shared" si="1"/>
        <v>27549.98</v>
      </c>
      <c r="T41" s="120">
        <f>IF((H41-B41)*(1/3)+(N41-H41)*(2/3) + N41&gt;0,N41+(H41-B41)*(1/3)+(N41-H41)*(2/3),N41)</f>
        <v>27003.849978333332</v>
      </c>
      <c r="U41" s="120">
        <f>IF((I41-C41)*(1/3)+(O41-I41)*(2/3) + O41&gt;0,O41+(I41-C41)*(1/3)+(O41-I41)*(2/3),O41)</f>
        <v>4997.7799999999988</v>
      </c>
      <c r="V41" s="120">
        <f>IF((J41-D41)*(1/3)+(P41-J41)*(2/3) + P41&gt;0,P41+(J41-D41)*(1/3)+(P41-J41)*(2/3),P41)</f>
        <v>33.410000000000309</v>
      </c>
      <c r="W41" s="120">
        <f>IF((K41-E41)*(1/3)+(Q41-K41)*(2/3) + Q41&gt;0,Q41+(K41-E41)*(1/3)+(Q41-K41)*(2/3),Q41)</f>
        <v>0</v>
      </c>
      <c r="X41" s="120">
        <f>IF((L41-F41)*(1/3)+(R41-L41)*(2/3) + R41&gt;0,R41+(L41-F41)*(1/3)+(R41-L41)*(2/3),R41)</f>
        <v>668.49666666666667</v>
      </c>
      <c r="Y41" s="120">
        <f t="shared" si="2"/>
        <v>26335.353311666666</v>
      </c>
      <c r="Z41" s="159">
        <f>AVERAGE(Y41,S41,M41)</f>
        <v>26947.284437222221</v>
      </c>
      <c r="AA41" s="159">
        <f t="shared" si="3"/>
        <v>4997.7799999999988</v>
      </c>
      <c r="AB41" s="159">
        <f t="shared" si="4"/>
        <v>33.410000000000309</v>
      </c>
      <c r="AC41" s="159">
        <f t="shared" si="5"/>
        <v>668.49666666666667</v>
      </c>
      <c r="AD41" s="131">
        <v>10787952.196799999</v>
      </c>
      <c r="AE41" s="160">
        <f>INDEX('Rate Assumptions'!$A:$B,MATCH('Base Allocation'!AE$2,'Rate Assumptions'!$A:$A,0),2)</f>
        <v>3988.586178572119</v>
      </c>
      <c r="AF41" s="160">
        <f>INDEX('Rate Assumptions'!$A:$B,MATCH('Base Allocation'!AF$2,'Rate Assumptions'!$A:$A,0),2)</f>
        <v>3988.586178572119</v>
      </c>
      <c r="AG41" s="160">
        <f>INDEX('Rate Assumptions'!$A:$B,MATCH('Base Allocation'!AG$2,'Rate Assumptions'!$A:$A,0),2)</f>
        <v>3988.586178572119</v>
      </c>
      <c r="AH41" s="160">
        <f>INDEX('Rate Assumptions'!$A:$B,MATCH('Base Allocation'!AH$2,'Rate Assumptions'!$A:$A,0),2)</f>
        <v>3988.586178572119</v>
      </c>
      <c r="AI41" s="161">
        <f>AD41+SUMPRODUCT(Z41:AC41,AE41:AH41)</f>
        <v>141003209.91401455</v>
      </c>
    </row>
    <row r="42" spans="1:35">
      <c r="A42" s="158" t="str">
        <f>[2]NamesDistrictCollegeCenter!B48</f>
        <v>Ohlone CCD</v>
      </c>
      <c r="B42" s="121">
        <v>8239.9999019999996</v>
      </c>
      <c r="C42" s="121">
        <v>0</v>
      </c>
      <c r="D42" s="121">
        <v>0</v>
      </c>
      <c r="E42" s="121"/>
      <c r="F42" s="121">
        <v>1307.92</v>
      </c>
      <c r="G42" s="121">
        <f t="shared" si="0"/>
        <v>6932.0799019999995</v>
      </c>
      <c r="H42" s="121">
        <v>6833.4599999999991</v>
      </c>
      <c r="I42" s="121">
        <v>0</v>
      </c>
      <c r="J42" s="121">
        <v>0</v>
      </c>
      <c r="K42" s="121"/>
      <c r="L42" s="121">
        <v>943.95</v>
      </c>
      <c r="M42" s="121">
        <f>H42-K42-L42</f>
        <v>5889.5099999999993</v>
      </c>
      <c r="N42" s="122">
        <v>7850.49</v>
      </c>
      <c r="O42" s="122">
        <v>3.0000000000000027E-2</v>
      </c>
      <c r="P42" s="122">
        <v>1.48</v>
      </c>
      <c r="Q42" s="122">
        <v>0</v>
      </c>
      <c r="R42" s="122">
        <v>492.6</v>
      </c>
      <c r="S42" s="122">
        <f t="shared" si="1"/>
        <v>7357.8899999999994</v>
      </c>
      <c r="T42" s="120">
        <f>IF((H42-B42)*(1/3)+(N42-H42)*(2/3) + N42&gt;0,N42+(H42-B42)*(1/3)+(N42-H42)*(2/3),N42)</f>
        <v>8059.6633659999998</v>
      </c>
      <c r="U42" s="120">
        <f>IF((I42-C42)*(1/3)+(O42-I42)*(2/3) + O42&gt;0,O42+(I42-C42)*(1/3)+(O42-I42)*(2/3),O42)</f>
        <v>5.0000000000000044E-2</v>
      </c>
      <c r="V42" s="120">
        <f>IF((J42-D42)*(1/3)+(P42-J42)*(2/3) + P42&gt;0,P42+(J42-D42)*(1/3)+(P42-J42)*(2/3),P42)</f>
        <v>2.4666666666666668</v>
      </c>
      <c r="W42" s="120">
        <f>IF((K42-E42)*(1/3)+(Q42-K42)*(2/3) + Q42&gt;0,Q42+(K42-E42)*(1/3)+(Q42-K42)*(2/3),Q42)</f>
        <v>0</v>
      </c>
      <c r="X42" s="120">
        <f>IF((L42-F42)*(1/3)+(R42-L42)*(2/3) + R42&gt;0,R42+(L42-F42)*(1/3)+(R42-L42)*(2/3),R42)</f>
        <v>70.376666666666722</v>
      </c>
      <c r="Y42" s="120">
        <f t="shared" si="2"/>
        <v>7989.2866993333328</v>
      </c>
      <c r="Z42" s="159">
        <f>AVERAGE(Y42,S42,M42)</f>
        <v>7078.8955664444438</v>
      </c>
      <c r="AA42" s="159">
        <f t="shared" si="3"/>
        <v>5.0000000000000044E-2</v>
      </c>
      <c r="AB42" s="159">
        <f t="shared" si="4"/>
        <v>2.4666666666666668</v>
      </c>
      <c r="AC42" s="159">
        <f t="shared" si="5"/>
        <v>70.376666666666722</v>
      </c>
      <c r="AD42" s="131">
        <v>5393974.0331999995</v>
      </c>
      <c r="AE42" s="160">
        <f>INDEX('Rate Assumptions'!$A:$B,MATCH('Base Allocation'!AE$2,'Rate Assumptions'!$A:$A,0),2)</f>
        <v>3988.586178572119</v>
      </c>
      <c r="AF42" s="160">
        <f>INDEX('Rate Assumptions'!$A:$B,MATCH('Base Allocation'!AF$2,'Rate Assumptions'!$A:$A,0),2)</f>
        <v>3988.586178572119</v>
      </c>
      <c r="AG42" s="160">
        <f>INDEX('Rate Assumptions'!$A:$B,MATCH('Base Allocation'!AG$2,'Rate Assumptions'!$A:$A,0),2)</f>
        <v>3988.586178572119</v>
      </c>
      <c r="AH42" s="160">
        <f>INDEX('Rate Assumptions'!$A:$B,MATCH('Base Allocation'!AH$2,'Rate Assumptions'!$A:$A,0),2)</f>
        <v>3988.586178572119</v>
      </c>
      <c r="AI42" s="161">
        <f>AD42+SUMPRODUCT(Z42:AC42,AE42:AH42)</f>
        <v>33919500.390919149</v>
      </c>
    </row>
    <row r="43" spans="1:35">
      <c r="A43" s="158" t="str">
        <f>[2]NamesDistrictCollegeCenter!B49</f>
        <v>Palo Verde CCD</v>
      </c>
      <c r="B43" s="121">
        <v>1957.9300189999997</v>
      </c>
      <c r="C43" s="121">
        <v>21.959999999999994</v>
      </c>
      <c r="D43" s="121">
        <v>115.11</v>
      </c>
      <c r="E43" s="121">
        <v>890.02</v>
      </c>
      <c r="F43" s="121">
        <v>58.77</v>
      </c>
      <c r="G43" s="121">
        <f t="shared" si="0"/>
        <v>1009.1400189999997</v>
      </c>
      <c r="H43" s="121">
        <v>2051.5482519999996</v>
      </c>
      <c r="I43" s="121">
        <v>12.510000000000005</v>
      </c>
      <c r="J43" s="121">
        <v>101.02</v>
      </c>
      <c r="K43" s="121">
        <v>816.79</v>
      </c>
      <c r="L43" s="121">
        <v>50.25</v>
      </c>
      <c r="M43" s="121">
        <f>H43-K43-L43</f>
        <v>1184.5082519999996</v>
      </c>
      <c r="N43" s="122">
        <v>2067.14</v>
      </c>
      <c r="O43" s="122">
        <v>23.48</v>
      </c>
      <c r="P43" s="122">
        <v>6.019999999999996</v>
      </c>
      <c r="Q43" s="122">
        <v>723.94755290616342</v>
      </c>
      <c r="R43" s="122">
        <v>0</v>
      </c>
      <c r="S43" s="122">
        <f t="shared" si="1"/>
        <v>1343.1924470938366</v>
      </c>
      <c r="T43" s="120">
        <f>IF((H43-B43)*(1/3)+(N43-H43)*(2/3) + N43&gt;0,N43+(H43-B43)*(1/3)+(N43-H43)*(2/3),N43)</f>
        <v>2108.7405763333336</v>
      </c>
      <c r="U43" s="120">
        <f>IF((I43-C43)*(1/3)+(O43-I43)*(2/3) + O43&gt;0,O43+(I43-C43)*(1/3)+(O43-I43)*(2/3),O43)</f>
        <v>27.643333333333334</v>
      </c>
      <c r="V43" s="120">
        <f>IF((J43-D43)*(1/3)+(P43-J43)*(2/3) + P43&gt;0,P43+(J43-D43)*(1/3)+(P43-J43)*(2/3),P43)</f>
        <v>6.019999999999996</v>
      </c>
      <c r="W43" s="120">
        <f>IF((K43-E43)*(1/3)+(Q43-K43)*(2/3) + Q43&gt;0,Q43+(K43-E43)*(1/3)+(Q43-K43)*(2/3),Q43)</f>
        <v>637.64258817693906</v>
      </c>
      <c r="X43" s="120">
        <f>IF((L43-F43)*(1/3)+(R43-L43)*(2/3) + R43&gt;0,R43+(L43-F43)*(1/3)+(R43-L43)*(2/3),R43)</f>
        <v>0</v>
      </c>
      <c r="Y43" s="120">
        <f t="shared" si="2"/>
        <v>1471.0979881563944</v>
      </c>
      <c r="Z43" s="159">
        <f>AVERAGE(Y43,S43,M43)</f>
        <v>1332.9328957500768</v>
      </c>
      <c r="AA43" s="159">
        <f t="shared" si="3"/>
        <v>27.643333333333334</v>
      </c>
      <c r="AB43" s="159">
        <f t="shared" si="4"/>
        <v>6.019999999999996</v>
      </c>
      <c r="AC43" s="159">
        <f t="shared" si="5"/>
        <v>637.64258817693906</v>
      </c>
      <c r="AD43" s="131">
        <v>5500755.1991999997</v>
      </c>
      <c r="AE43" s="160">
        <f>INDEX('Rate Assumptions'!$A:$B,MATCH('Base Allocation'!AE$2,'Rate Assumptions'!$A:$A,0),2)</f>
        <v>3988.586178572119</v>
      </c>
      <c r="AF43" s="160">
        <f>INDEX('Rate Assumptions'!$A:$B,MATCH('Base Allocation'!AF$2,'Rate Assumptions'!$A:$A,0),2)</f>
        <v>3988.586178572119</v>
      </c>
      <c r="AG43" s="160">
        <f>INDEX('Rate Assumptions'!$A:$B,MATCH('Base Allocation'!AG$2,'Rate Assumptions'!$A:$A,0),2)</f>
        <v>3988.586178572119</v>
      </c>
      <c r="AH43" s="160">
        <f>INDEX('Rate Assumptions'!$A:$B,MATCH('Base Allocation'!AH$2,'Rate Assumptions'!$A:$A,0),2)</f>
        <v>3988.586178572119</v>
      </c>
      <c r="AI43" s="161">
        <f>AD43+SUMPRODUCT(Z43:AC43,AE43:AH43)</f>
        <v>13494834.44428236</v>
      </c>
    </row>
    <row r="44" spans="1:35">
      <c r="A44" s="158" t="str">
        <f>[2]NamesDistrictCollegeCenter!B50</f>
        <v>Palomar CCD</v>
      </c>
      <c r="B44" s="121">
        <v>17424.789972000002</v>
      </c>
      <c r="C44" s="121">
        <v>289.81</v>
      </c>
      <c r="D44" s="121">
        <v>504.25</v>
      </c>
      <c r="E44" s="121"/>
      <c r="F44" s="121">
        <v>453.88</v>
      </c>
      <c r="G44" s="121">
        <f t="shared" si="0"/>
        <v>16970.909972000001</v>
      </c>
      <c r="H44" s="121">
        <v>18449.839941000002</v>
      </c>
      <c r="I44" s="121">
        <v>276.86</v>
      </c>
      <c r="J44" s="121">
        <v>422.24</v>
      </c>
      <c r="K44" s="121">
        <v>1.52</v>
      </c>
      <c r="L44" s="121">
        <v>522.44000000000005</v>
      </c>
      <c r="M44" s="121">
        <f>H44-K44-L44</f>
        <v>17925.879941000003</v>
      </c>
      <c r="N44" s="122">
        <v>17225.78</v>
      </c>
      <c r="O44" s="122">
        <v>276.86</v>
      </c>
      <c r="P44" s="122">
        <v>422.24</v>
      </c>
      <c r="Q44" s="122">
        <v>13.22</v>
      </c>
      <c r="R44" s="122">
        <v>495</v>
      </c>
      <c r="S44" s="122">
        <f t="shared" si="1"/>
        <v>16717.559999999998</v>
      </c>
      <c r="T44" s="120">
        <f>IF((H44-B44)*(1/3)+(N44-H44)*(2/3) + N44&gt;0,N44+(H44-B44)*(1/3)+(N44-H44)*(2/3),N44)</f>
        <v>16751.423362333331</v>
      </c>
      <c r="U44" s="120">
        <f>IF((I44-C44)*(1/3)+(O44-I44)*(2/3) + O44&gt;0,O44+(I44-C44)*(1/3)+(O44-I44)*(2/3),O44)</f>
        <v>272.54333333333335</v>
      </c>
      <c r="V44" s="120">
        <f>IF((J44-D44)*(1/3)+(P44-J44)*(2/3) + P44&gt;0,P44+(J44-D44)*(1/3)+(P44-J44)*(2/3),P44)</f>
        <v>394.90333333333336</v>
      </c>
      <c r="W44" s="120">
        <f>IF((K44-E44)*(1/3)+(Q44-K44)*(2/3) + Q44&gt;0,Q44+(K44-E44)*(1/3)+(Q44-K44)*(2/3),Q44)</f>
        <v>21.526666666666667</v>
      </c>
      <c r="X44" s="120">
        <f>IF((L44-F44)*(1/3)+(R44-L44)*(2/3) + R44&gt;0,R44+(L44-F44)*(1/3)+(R44-L44)*(2/3),R44)</f>
        <v>499.56</v>
      </c>
      <c r="Y44" s="120">
        <f t="shared" si="2"/>
        <v>16230.336695666663</v>
      </c>
      <c r="Z44" s="159">
        <f>AVERAGE(Y44,S44,M44)</f>
        <v>16957.925545555554</v>
      </c>
      <c r="AA44" s="159">
        <f t="shared" si="3"/>
        <v>272.54333333333335</v>
      </c>
      <c r="AB44" s="159">
        <f t="shared" si="4"/>
        <v>394.90333333333336</v>
      </c>
      <c r="AC44" s="159">
        <f t="shared" si="5"/>
        <v>521.0866666666667</v>
      </c>
      <c r="AD44" s="131">
        <v>6742470.1229999997</v>
      </c>
      <c r="AE44" s="160">
        <f>INDEX('Rate Assumptions'!$A:$B,MATCH('Base Allocation'!AE$2,'Rate Assumptions'!$A:$A,0),2)</f>
        <v>3988.586178572119</v>
      </c>
      <c r="AF44" s="160">
        <f>INDEX('Rate Assumptions'!$A:$B,MATCH('Base Allocation'!AF$2,'Rate Assumptions'!$A:$A,0),2)</f>
        <v>3988.586178572119</v>
      </c>
      <c r="AG44" s="160">
        <f>INDEX('Rate Assumptions'!$A:$B,MATCH('Base Allocation'!AG$2,'Rate Assumptions'!$A:$A,0),2)</f>
        <v>3988.586178572119</v>
      </c>
      <c r="AH44" s="160">
        <f>INDEX('Rate Assumptions'!$A:$B,MATCH('Base Allocation'!AH$2,'Rate Assumptions'!$A:$A,0),2)</f>
        <v>3988.586178572119</v>
      </c>
      <c r="AI44" s="161">
        <f>AD44+SUMPRODUCT(Z44:AC44,AE44:AH44)</f>
        <v>79121185.197363526</v>
      </c>
    </row>
    <row r="45" spans="1:35">
      <c r="A45" s="158" t="str">
        <f>[2]NamesDistrictCollegeCenter!B51</f>
        <v>Pasadena Area CCD</v>
      </c>
      <c r="B45" s="121">
        <v>22765.300016000001</v>
      </c>
      <c r="C45" s="121">
        <v>166.57000000000016</v>
      </c>
      <c r="D45" s="121">
        <v>1056.3499999999999</v>
      </c>
      <c r="E45" s="121"/>
      <c r="F45" s="121">
        <v>252.26</v>
      </c>
      <c r="G45" s="121">
        <f t="shared" si="0"/>
        <v>22513.040016000003</v>
      </c>
      <c r="H45" s="121">
        <v>22801.970091000003</v>
      </c>
      <c r="I45" s="121">
        <v>152.76999999999998</v>
      </c>
      <c r="J45" s="121">
        <v>1033.81</v>
      </c>
      <c r="K45" s="121"/>
      <c r="L45" s="121">
        <v>206.91</v>
      </c>
      <c r="M45" s="121">
        <f>H45-K45-L45</f>
        <v>22595.060091000003</v>
      </c>
      <c r="N45" s="122">
        <v>22816.07</v>
      </c>
      <c r="O45" s="122">
        <v>147.35620612397321</v>
      </c>
      <c r="P45" s="122">
        <v>943.76</v>
      </c>
      <c r="Q45" s="122">
        <v>0</v>
      </c>
      <c r="R45" s="122">
        <v>264.18</v>
      </c>
      <c r="S45" s="122">
        <f t="shared" si="1"/>
        <v>22551.89</v>
      </c>
      <c r="T45" s="120">
        <f>IF((H45-B45)*(1/3)+(N45-H45)*(2/3) + N45&gt;0,N45+(H45-B45)*(1/3)+(N45-H45)*(2/3),N45)</f>
        <v>22837.693297666665</v>
      </c>
      <c r="U45" s="120">
        <f>IF((I45-C45)*(1/3)+(O45-I45)*(2/3) + O45&gt;0,O45+(I45-C45)*(1/3)+(O45-I45)*(2/3),O45)</f>
        <v>139.14701020662199</v>
      </c>
      <c r="V45" s="120">
        <f>IF((J45-D45)*(1/3)+(P45-J45)*(2/3) + P45&gt;0,P45+(J45-D45)*(1/3)+(P45-J45)*(2/3),P45)</f>
        <v>876.21333333333337</v>
      </c>
      <c r="W45" s="120">
        <f>IF((K45-E45)*(1/3)+(Q45-K45)*(2/3) + Q45&gt;0,Q45+(K45-E45)*(1/3)+(Q45-K45)*(2/3),Q45)</f>
        <v>0</v>
      </c>
      <c r="X45" s="120">
        <f>IF((L45-F45)*(1/3)+(R45-L45)*(2/3) + R45&gt;0,R45+(L45-F45)*(1/3)+(R45-L45)*(2/3),R45)</f>
        <v>287.24333333333334</v>
      </c>
      <c r="Y45" s="120">
        <f t="shared" si="2"/>
        <v>22550.449964333333</v>
      </c>
      <c r="Z45" s="159">
        <f>AVERAGE(Y45,S45,M45)</f>
        <v>22565.800018444443</v>
      </c>
      <c r="AA45" s="159">
        <f t="shared" si="3"/>
        <v>139.14701020662199</v>
      </c>
      <c r="AB45" s="159">
        <f t="shared" si="4"/>
        <v>876.21333333333337</v>
      </c>
      <c r="AC45" s="159">
        <f t="shared" si="5"/>
        <v>287.24333333333334</v>
      </c>
      <c r="AD45" s="131">
        <v>8090964.1475999998</v>
      </c>
      <c r="AE45" s="160">
        <f>INDEX('Rate Assumptions'!$A:$B,MATCH('Base Allocation'!AE$2,'Rate Assumptions'!$A:$A,0),2)</f>
        <v>3988.586178572119</v>
      </c>
      <c r="AF45" s="160">
        <f>INDEX('Rate Assumptions'!$A:$B,MATCH('Base Allocation'!AF$2,'Rate Assumptions'!$A:$A,0),2)</f>
        <v>3988.586178572119</v>
      </c>
      <c r="AG45" s="160">
        <f>INDEX('Rate Assumptions'!$A:$B,MATCH('Base Allocation'!AG$2,'Rate Assumptions'!$A:$A,0),2)</f>
        <v>3988.586178572119</v>
      </c>
      <c r="AH45" s="160">
        <f>INDEX('Rate Assumptions'!$A:$B,MATCH('Base Allocation'!AH$2,'Rate Assumptions'!$A:$A,0),2)</f>
        <v>3988.586178572119</v>
      </c>
      <c r="AI45" s="161">
        <f>AD45+SUMPRODUCT(Z45:AC45,AE45:AH45)</f>
        <v>103292149.23132399</v>
      </c>
    </row>
    <row r="46" spans="1:35">
      <c r="A46" s="158" t="str">
        <f>[2]NamesDistrictCollegeCenter!B52</f>
        <v>Peralta CCD</v>
      </c>
      <c r="B46" s="121">
        <v>15624.749999999996</v>
      </c>
      <c r="C46" s="121">
        <v>143.57</v>
      </c>
      <c r="D46" s="121">
        <v>0</v>
      </c>
      <c r="E46" s="121"/>
      <c r="F46" s="121">
        <v>1093.24</v>
      </c>
      <c r="G46" s="121">
        <f t="shared" si="0"/>
        <v>14531.509999999997</v>
      </c>
      <c r="H46" s="121">
        <v>18684.530063999995</v>
      </c>
      <c r="I46" s="121">
        <v>117.31</v>
      </c>
      <c r="J46" s="121">
        <v>0</v>
      </c>
      <c r="K46" s="121"/>
      <c r="L46" s="121">
        <v>0</v>
      </c>
      <c r="M46" s="121">
        <f>H46-K46-L46</f>
        <v>18684.530063999995</v>
      </c>
      <c r="N46" s="122">
        <v>16601.38</v>
      </c>
      <c r="O46" s="122">
        <v>117.31</v>
      </c>
      <c r="P46" s="122">
        <v>0</v>
      </c>
      <c r="Q46" s="122">
        <v>0</v>
      </c>
      <c r="R46" s="122">
        <v>881.32</v>
      </c>
      <c r="S46" s="122">
        <f t="shared" si="1"/>
        <v>15720.060000000001</v>
      </c>
      <c r="T46" s="120">
        <f>IF((H46-B46)*(1/3)+(N46-H46)*(2/3) + N46&gt;0,N46+(H46-B46)*(1/3)+(N46-H46)*(2/3),N46)</f>
        <v>16232.539978666671</v>
      </c>
      <c r="U46" s="120">
        <f>IF((I46-C46)*(1/3)+(O46-I46)*(2/3) + O46&gt;0,O46+(I46-C46)*(1/3)+(O46-I46)*(2/3),O46)</f>
        <v>108.55666666666667</v>
      </c>
      <c r="V46" s="120">
        <f>IF((J46-D46)*(1/3)+(P46-J46)*(2/3) + P46&gt;0,P46+(J46-D46)*(1/3)+(P46-J46)*(2/3),P46)</f>
        <v>0</v>
      </c>
      <c r="W46" s="120">
        <f>IF((K46-E46)*(1/3)+(Q46-K46)*(2/3) + Q46&gt;0,Q46+(K46-E46)*(1/3)+(Q46-K46)*(2/3),Q46)</f>
        <v>0</v>
      </c>
      <c r="X46" s="120">
        <f>IF((L46-F46)*(1/3)+(R46-L46)*(2/3) + R46&gt;0,R46+(L46-F46)*(1/3)+(R46-L46)*(2/3),R46)</f>
        <v>1104.4533333333334</v>
      </c>
      <c r="Y46" s="120">
        <f t="shared" si="2"/>
        <v>15128.086645333338</v>
      </c>
      <c r="Z46" s="159">
        <f>AVERAGE(Y46,S46,M46)</f>
        <v>16510.892236444444</v>
      </c>
      <c r="AA46" s="159">
        <f t="shared" si="3"/>
        <v>108.55666666666667</v>
      </c>
      <c r="AB46" s="159">
        <f t="shared" si="4"/>
        <v>0</v>
      </c>
      <c r="AC46" s="159">
        <f t="shared" si="5"/>
        <v>1104.4533333333334</v>
      </c>
      <c r="AD46" s="131">
        <v>16181921.067</v>
      </c>
      <c r="AE46" s="160">
        <f>INDEX('Rate Assumptions'!$A:$B,MATCH('Base Allocation'!AE$2,'Rate Assumptions'!$A:$A,0),2)</f>
        <v>3988.586178572119</v>
      </c>
      <c r="AF46" s="160">
        <f>INDEX('Rate Assumptions'!$A:$B,MATCH('Base Allocation'!AF$2,'Rate Assumptions'!$A:$A,0),2)</f>
        <v>3988.586178572119</v>
      </c>
      <c r="AG46" s="160">
        <f>INDEX('Rate Assumptions'!$A:$B,MATCH('Base Allocation'!AG$2,'Rate Assumptions'!$A:$A,0),2)</f>
        <v>3988.586178572119</v>
      </c>
      <c r="AH46" s="160">
        <f>INDEX('Rate Assumptions'!$A:$B,MATCH('Base Allocation'!AH$2,'Rate Assumptions'!$A:$A,0),2)</f>
        <v>3988.586178572119</v>
      </c>
      <c r="AI46" s="161">
        <f>AD46+SUMPRODUCT(Z46:AC46,AE46:AH46)</f>
        <v>86875232.557645783</v>
      </c>
    </row>
    <row r="47" spans="1:35">
      <c r="A47" s="158" t="str">
        <f>[2]NamesDistrictCollegeCenter!B53</f>
        <v>Rancho Santiago CCD</v>
      </c>
      <c r="B47" s="121">
        <v>21499.15</v>
      </c>
      <c r="C47" s="121">
        <v>854.66000000000031</v>
      </c>
      <c r="D47" s="121">
        <v>5163.5000000000009</v>
      </c>
      <c r="E47" s="121">
        <v>6.72</v>
      </c>
      <c r="F47" s="121">
        <v>1944.53</v>
      </c>
      <c r="G47" s="121">
        <f t="shared" si="0"/>
        <v>19547.900000000001</v>
      </c>
      <c r="H47" s="121">
        <v>23301.942965000002</v>
      </c>
      <c r="I47" s="121">
        <v>1092.2800000000002</v>
      </c>
      <c r="J47" s="121">
        <v>4981.71</v>
      </c>
      <c r="K47" s="121"/>
      <c r="L47" s="121">
        <v>2196.94</v>
      </c>
      <c r="M47" s="121">
        <f>H47-K47-L47</f>
        <v>21105.002965000003</v>
      </c>
      <c r="N47" s="122">
        <v>21492.12</v>
      </c>
      <c r="O47" s="122">
        <v>1092.2800000000002</v>
      </c>
      <c r="P47" s="122">
        <v>4981.71</v>
      </c>
      <c r="Q47" s="122">
        <v>0</v>
      </c>
      <c r="R47" s="122">
        <v>2583.27</v>
      </c>
      <c r="S47" s="122">
        <f t="shared" si="1"/>
        <v>18908.849999999999</v>
      </c>
      <c r="T47" s="120">
        <f>IF((H47-B47)*(1/3)+(N47-H47)*(2/3) + N47&gt;0,N47+(H47-B47)*(1/3)+(N47-H47)*(2/3),N47)</f>
        <v>20886.502344999997</v>
      </c>
      <c r="U47" s="120">
        <f>IF((I47-C47)*(1/3)+(O47-I47)*(2/3) + O47&gt;0,O47+(I47-C47)*(1/3)+(O47-I47)*(2/3),O47)</f>
        <v>1171.4866666666669</v>
      </c>
      <c r="V47" s="120">
        <f>IF((J47-D47)*(1/3)+(P47-J47)*(2/3) + P47&gt;0,P47+(J47-D47)*(1/3)+(P47-J47)*(2/3),P47)</f>
        <v>4921.1133333333328</v>
      </c>
      <c r="W47" s="120">
        <f>IF((K47-E47)*(1/3)+(Q47-K47)*(2/3) + Q47&gt;0,Q47+(K47-E47)*(1/3)+(Q47-K47)*(2/3),Q47)</f>
        <v>0</v>
      </c>
      <c r="X47" s="120">
        <f>IF((L47-F47)*(1/3)+(R47-L47)*(2/3) + R47&gt;0,R47+(L47-F47)*(1/3)+(R47-L47)*(2/3),R47)</f>
        <v>2924.96</v>
      </c>
      <c r="Y47" s="120">
        <f t="shared" si="2"/>
        <v>17961.542344999998</v>
      </c>
      <c r="Z47" s="159">
        <f>AVERAGE(Y47,S47,M47)</f>
        <v>19325.131770000004</v>
      </c>
      <c r="AA47" s="159">
        <f t="shared" si="3"/>
        <v>1171.4866666666669</v>
      </c>
      <c r="AB47" s="159">
        <f t="shared" si="4"/>
        <v>4921.1133333333328</v>
      </c>
      <c r="AC47" s="159">
        <f t="shared" si="5"/>
        <v>2924.96</v>
      </c>
      <c r="AD47" s="131">
        <v>12136444.156199999</v>
      </c>
      <c r="AE47" s="160">
        <f>INDEX('Rate Assumptions'!$A:$B,MATCH('Base Allocation'!AE$2,'Rate Assumptions'!$A:$A,0),2)</f>
        <v>3988.586178572119</v>
      </c>
      <c r="AF47" s="160">
        <f>INDEX('Rate Assumptions'!$A:$B,MATCH('Base Allocation'!AF$2,'Rate Assumptions'!$A:$A,0),2)</f>
        <v>3988.586178572119</v>
      </c>
      <c r="AG47" s="160">
        <f>INDEX('Rate Assumptions'!$A:$B,MATCH('Base Allocation'!AG$2,'Rate Assumptions'!$A:$A,0),2)</f>
        <v>3988.586178572119</v>
      </c>
      <c r="AH47" s="160">
        <f>INDEX('Rate Assumptions'!$A:$B,MATCH('Base Allocation'!AH$2,'Rate Assumptions'!$A:$A,0),2)</f>
        <v>3988.586178572119</v>
      </c>
      <c r="AI47" s="161">
        <f>AD47+SUMPRODUCT(Z47:AC47,AE47:AH47)</f>
        <v>125183712.81355175</v>
      </c>
    </row>
    <row r="48" spans="1:35">
      <c r="A48" s="158" t="str">
        <f>[2]NamesDistrictCollegeCenter!B54</f>
        <v>Redwoods CCD</v>
      </c>
      <c r="B48" s="121">
        <v>3900.8599999999997</v>
      </c>
      <c r="C48" s="121">
        <v>31.840000000000003</v>
      </c>
      <c r="D48" s="121">
        <v>85.85</v>
      </c>
      <c r="E48" s="121"/>
      <c r="F48" s="121">
        <v>209.78</v>
      </c>
      <c r="G48" s="121">
        <f t="shared" si="0"/>
        <v>3691.0799999999995</v>
      </c>
      <c r="H48" s="121">
        <v>3477.4500000000003</v>
      </c>
      <c r="I48" s="121">
        <v>87</v>
      </c>
      <c r="J48" s="121">
        <v>83.5</v>
      </c>
      <c r="K48" s="121"/>
      <c r="L48" s="121">
        <v>165.43</v>
      </c>
      <c r="M48" s="121">
        <f>H48-K48-L48</f>
        <v>3312.0200000000004</v>
      </c>
      <c r="N48" s="122">
        <v>3470.29</v>
      </c>
      <c r="O48" s="122">
        <v>89.19</v>
      </c>
      <c r="P48" s="122">
        <v>65.180000000000007</v>
      </c>
      <c r="Q48" s="122">
        <v>116.57</v>
      </c>
      <c r="R48" s="122">
        <v>190.75</v>
      </c>
      <c r="S48" s="122">
        <f t="shared" si="1"/>
        <v>3162.97</v>
      </c>
      <c r="T48" s="120">
        <f>IF((H48-B48)*(1/3)+(N48-H48)*(2/3) + N48&gt;0,N48+(H48-B48)*(1/3)+(N48-H48)*(2/3),N48)</f>
        <v>3324.38</v>
      </c>
      <c r="U48" s="120">
        <f>IF((I48-C48)*(1/3)+(O48-I48)*(2/3) + O48&gt;0,O48+(I48-C48)*(1/3)+(O48-I48)*(2/3),O48)</f>
        <v>109.03666666666665</v>
      </c>
      <c r="V48" s="120">
        <f>IF((J48-D48)*(1/3)+(P48-J48)*(2/3) + P48&gt;0,P48+(J48-D48)*(1/3)+(P48-J48)*(2/3),P48)</f>
        <v>52.183333333333351</v>
      </c>
      <c r="W48" s="120">
        <f>IF((K48-E48)*(1/3)+(Q48-K48)*(2/3) + Q48&gt;0,Q48+(K48-E48)*(1/3)+(Q48-K48)*(2/3),Q48)</f>
        <v>194.2833333333333</v>
      </c>
      <c r="X48" s="120">
        <f>IF((L48-F48)*(1/3)+(R48-L48)*(2/3) + R48&gt;0,R48+(L48-F48)*(1/3)+(R48-L48)*(2/3),R48)</f>
        <v>192.84666666666666</v>
      </c>
      <c r="Y48" s="120">
        <f t="shared" si="2"/>
        <v>2937.25</v>
      </c>
      <c r="Z48" s="159">
        <f>AVERAGE(Y48,S48,M48)</f>
        <v>3137.4133333333334</v>
      </c>
      <c r="AA48" s="159">
        <f t="shared" si="3"/>
        <v>109.03666666666665</v>
      </c>
      <c r="AB48" s="159">
        <f t="shared" si="4"/>
        <v>52.183333333333351</v>
      </c>
      <c r="AC48" s="159">
        <f t="shared" si="5"/>
        <v>387.13</v>
      </c>
      <c r="AD48" s="131">
        <v>6006439.0385999996</v>
      </c>
      <c r="AE48" s="160">
        <f>INDEX('Rate Assumptions'!$A:$B,MATCH('Base Allocation'!AE$2,'Rate Assumptions'!$A:$A,0),2)</f>
        <v>3988.586178572119</v>
      </c>
      <c r="AF48" s="160">
        <f>INDEX('Rate Assumptions'!$A:$B,MATCH('Base Allocation'!AF$2,'Rate Assumptions'!$A:$A,0),2)</f>
        <v>3988.586178572119</v>
      </c>
      <c r="AG48" s="160">
        <f>INDEX('Rate Assumptions'!$A:$B,MATCH('Base Allocation'!AG$2,'Rate Assumptions'!$A:$A,0),2)</f>
        <v>3988.586178572119</v>
      </c>
      <c r="AH48" s="160">
        <f>INDEX('Rate Assumptions'!$A:$B,MATCH('Base Allocation'!AH$2,'Rate Assumptions'!$A:$A,0),2)</f>
        <v>3988.586178572119</v>
      </c>
      <c r="AI48" s="161">
        <f>AD48+SUMPRODUCT(Z48:AC48,AE48:AH48)</f>
        <v>20707423.727421235</v>
      </c>
    </row>
    <row r="49" spans="1:35">
      <c r="A49" s="158" t="str">
        <f>[2]NamesDistrictCollegeCenter!B55</f>
        <v>Rio Hondo CCD</v>
      </c>
      <c r="B49" s="121">
        <v>11122.72</v>
      </c>
      <c r="C49" s="121">
        <v>462.45000000000005</v>
      </c>
      <c r="D49" s="121">
        <v>34.290000000000006</v>
      </c>
      <c r="E49" s="121"/>
      <c r="F49" s="121">
        <v>197.97</v>
      </c>
      <c r="G49" s="121">
        <f t="shared" si="0"/>
        <v>10924.75</v>
      </c>
      <c r="H49" s="121">
        <v>12782.115179999999</v>
      </c>
      <c r="I49" s="121">
        <v>452.83</v>
      </c>
      <c r="J49" s="121">
        <v>36.490000000000009</v>
      </c>
      <c r="K49" s="121"/>
      <c r="L49" s="121">
        <v>442.48</v>
      </c>
      <c r="M49" s="121">
        <f>H49-K49-L49</f>
        <v>12339.635179999999</v>
      </c>
      <c r="N49" s="122">
        <v>12504.11</v>
      </c>
      <c r="O49" s="122">
        <v>452.83</v>
      </c>
      <c r="P49" s="122">
        <v>36.490000000000009</v>
      </c>
      <c r="Q49" s="122">
        <v>0</v>
      </c>
      <c r="R49" s="122">
        <v>360.98</v>
      </c>
      <c r="S49" s="122">
        <f t="shared" si="1"/>
        <v>12143.130000000001</v>
      </c>
      <c r="T49" s="120">
        <f>IF((H49-B49)*(1/3)+(N49-H49)*(2/3) + N49&gt;0,N49+(H49-B49)*(1/3)+(N49-H49)*(2/3),N49)</f>
        <v>12871.904940000002</v>
      </c>
      <c r="U49" s="120">
        <f>IF((I49-C49)*(1/3)+(O49-I49)*(2/3) + O49&gt;0,O49+(I49-C49)*(1/3)+(O49-I49)*(2/3),O49)</f>
        <v>449.62333333333328</v>
      </c>
      <c r="V49" s="120">
        <f>IF((J49-D49)*(1/3)+(P49-J49)*(2/3) + P49&gt;0,P49+(J49-D49)*(1/3)+(P49-J49)*(2/3),P49)</f>
        <v>37.223333333333343</v>
      </c>
      <c r="W49" s="120">
        <f>IF((K49-E49)*(1/3)+(Q49-K49)*(2/3) + Q49&gt;0,Q49+(K49-E49)*(1/3)+(Q49-K49)*(2/3),Q49)</f>
        <v>0</v>
      </c>
      <c r="X49" s="120">
        <f>IF((L49-F49)*(1/3)+(R49-L49)*(2/3) + R49&gt;0,R49+(L49-F49)*(1/3)+(R49-L49)*(2/3),R49)</f>
        <v>388.15000000000003</v>
      </c>
      <c r="Y49" s="120">
        <f t="shared" si="2"/>
        <v>12483.754940000003</v>
      </c>
      <c r="Z49" s="159">
        <f>AVERAGE(Y49,S49,M49)</f>
        <v>12322.173373333333</v>
      </c>
      <c r="AA49" s="159">
        <f t="shared" si="3"/>
        <v>449.62333333333328</v>
      </c>
      <c r="AB49" s="159">
        <f t="shared" si="4"/>
        <v>37.223333333333343</v>
      </c>
      <c r="AC49" s="159">
        <f t="shared" si="5"/>
        <v>388.15000000000003</v>
      </c>
      <c r="AD49" s="131">
        <v>5393976.0983999996</v>
      </c>
      <c r="AE49" s="160">
        <f>INDEX('Rate Assumptions'!$A:$B,MATCH('Base Allocation'!AE$2,'Rate Assumptions'!$A:$A,0),2)</f>
        <v>3988.586178572119</v>
      </c>
      <c r="AF49" s="160">
        <f>INDEX('Rate Assumptions'!$A:$B,MATCH('Base Allocation'!AF$2,'Rate Assumptions'!$A:$A,0),2)</f>
        <v>3988.586178572119</v>
      </c>
      <c r="AG49" s="160">
        <f>INDEX('Rate Assumptions'!$A:$B,MATCH('Base Allocation'!AG$2,'Rate Assumptions'!$A:$A,0),2)</f>
        <v>3988.586178572119</v>
      </c>
      <c r="AH49" s="160">
        <f>INDEX('Rate Assumptions'!$A:$B,MATCH('Base Allocation'!AH$2,'Rate Assumptions'!$A:$A,0),2)</f>
        <v>3988.586178572119</v>
      </c>
      <c r="AI49" s="161">
        <f>AD49+SUMPRODUCT(Z49:AC49,AE49:AH49)</f>
        <v>58032026.116210051</v>
      </c>
    </row>
    <row r="50" spans="1:35">
      <c r="A50" s="158" t="str">
        <f>[2]NamesDistrictCollegeCenter!B56</f>
        <v>Riverside CCD</v>
      </c>
      <c r="B50" s="121">
        <v>29578.890019999995</v>
      </c>
      <c r="C50" s="121">
        <v>73.45</v>
      </c>
      <c r="D50" s="121">
        <v>0</v>
      </c>
      <c r="E50" s="121"/>
      <c r="F50" s="121">
        <v>712.52</v>
      </c>
      <c r="G50" s="121">
        <f t="shared" si="0"/>
        <v>28866.370019999995</v>
      </c>
      <c r="H50" s="121">
        <v>30445.289231999996</v>
      </c>
      <c r="I50" s="121">
        <v>82.070000000000007</v>
      </c>
      <c r="J50" s="121">
        <v>0</v>
      </c>
      <c r="K50" s="121">
        <v>34.909999999999997</v>
      </c>
      <c r="L50" s="121">
        <v>802.83</v>
      </c>
      <c r="M50" s="121">
        <f>H50-K50-L50</f>
        <v>29607.549231999994</v>
      </c>
      <c r="N50" s="122">
        <v>29802.73</v>
      </c>
      <c r="O50" s="122">
        <v>145.31</v>
      </c>
      <c r="P50" s="122">
        <v>0</v>
      </c>
      <c r="Q50" s="122">
        <v>83</v>
      </c>
      <c r="R50" s="122">
        <v>850</v>
      </c>
      <c r="S50" s="122">
        <f t="shared" si="1"/>
        <v>28869.73</v>
      </c>
      <c r="T50" s="120">
        <f>IF((H50-B50)*(1/3)+(N50-H50)*(2/3) + N50&gt;0,N50+(H50-B50)*(1/3)+(N50-H50)*(2/3),N50)</f>
        <v>29663.156916000004</v>
      </c>
      <c r="U50" s="120">
        <f>IF((I50-C50)*(1/3)+(O50-I50)*(2/3) + O50&gt;0,O50+(I50-C50)*(1/3)+(O50-I50)*(2/3),O50)</f>
        <v>190.34333333333333</v>
      </c>
      <c r="V50" s="120">
        <f>IF((J50-D50)*(1/3)+(P50-J50)*(2/3) + P50&gt;0,P50+(J50-D50)*(1/3)+(P50-J50)*(2/3),P50)</f>
        <v>0</v>
      </c>
      <c r="W50" s="120">
        <f>IF((K50-E50)*(1/3)+(Q50-K50)*(2/3) + Q50&gt;0,Q50+(K50-E50)*(1/3)+(Q50-K50)*(2/3),Q50)</f>
        <v>126.69666666666667</v>
      </c>
      <c r="X50" s="120">
        <f>IF((L50-F50)*(1/3)+(R50-L50)*(2/3) + R50&gt;0,R50+(L50-F50)*(1/3)+(R50-L50)*(2/3),R50)</f>
        <v>911.55</v>
      </c>
      <c r="Y50" s="120">
        <f t="shared" si="2"/>
        <v>28624.910249333338</v>
      </c>
      <c r="Z50" s="159">
        <f>AVERAGE(Y50,S50,M50)</f>
        <v>29034.063160444446</v>
      </c>
      <c r="AA50" s="159">
        <f t="shared" si="3"/>
        <v>190.34333333333333</v>
      </c>
      <c r="AB50" s="159">
        <f t="shared" si="4"/>
        <v>0</v>
      </c>
      <c r="AC50" s="159">
        <f t="shared" si="5"/>
        <v>1038.2466666666667</v>
      </c>
      <c r="AD50" s="131">
        <v>12810689.6196</v>
      </c>
      <c r="AE50" s="160">
        <f>INDEX('Rate Assumptions'!$A:$B,MATCH('Base Allocation'!AE$2,'Rate Assumptions'!$A:$A,0),2)</f>
        <v>3988.586178572119</v>
      </c>
      <c r="AF50" s="160">
        <f>INDEX('Rate Assumptions'!$A:$B,MATCH('Base Allocation'!AF$2,'Rate Assumptions'!$A:$A,0),2)</f>
        <v>3988.586178572119</v>
      </c>
      <c r="AG50" s="160">
        <f>INDEX('Rate Assumptions'!$A:$B,MATCH('Base Allocation'!AG$2,'Rate Assumptions'!$A:$A,0),2)</f>
        <v>3988.586178572119</v>
      </c>
      <c r="AH50" s="160">
        <f>INDEX('Rate Assumptions'!$A:$B,MATCH('Base Allocation'!AH$2,'Rate Assumptions'!$A:$A,0),2)</f>
        <v>3988.586178572119</v>
      </c>
      <c r="AI50" s="161">
        <f>AD50+SUMPRODUCT(Z50:AC50,AE50:AH50)</f>
        <v>133515889.74227059</v>
      </c>
    </row>
    <row r="51" spans="1:35">
      <c r="A51" s="158" t="str">
        <f>[2]NamesDistrictCollegeCenter!B57</f>
        <v>San Bernardino CCD</v>
      </c>
      <c r="B51" s="121">
        <v>14114.1</v>
      </c>
      <c r="C51" s="121">
        <v>139.13</v>
      </c>
      <c r="D51" s="121">
        <v>0</v>
      </c>
      <c r="E51" s="121"/>
      <c r="F51" s="121">
        <v>117.7</v>
      </c>
      <c r="G51" s="121">
        <f t="shared" si="0"/>
        <v>13996.4</v>
      </c>
      <c r="H51" s="121">
        <v>15066.38991</v>
      </c>
      <c r="I51" s="121">
        <v>162.569987</v>
      </c>
      <c r="J51" s="121">
        <v>75.200006999999999</v>
      </c>
      <c r="K51" s="121"/>
      <c r="L51" s="121">
        <v>229.32</v>
      </c>
      <c r="M51" s="121">
        <f>H51-K51-L51</f>
        <v>14837.06991</v>
      </c>
      <c r="N51" s="122">
        <v>15138.77</v>
      </c>
      <c r="O51" s="122">
        <v>294.24</v>
      </c>
      <c r="P51" s="122">
        <v>46.34</v>
      </c>
      <c r="Q51" s="122">
        <v>0</v>
      </c>
      <c r="R51" s="122">
        <v>348.40757244557352</v>
      </c>
      <c r="S51" s="122">
        <f t="shared" si="1"/>
        <v>14790.362427554426</v>
      </c>
      <c r="T51" s="120">
        <f>IF((H51-B51)*(1/3)+(N51-H51)*(2/3) + N51&gt;0,N51+(H51-B51)*(1/3)+(N51-H51)*(2/3),N51)</f>
        <v>15504.453363333334</v>
      </c>
      <c r="U51" s="120">
        <f>IF((I51-C51)*(1/3)+(O51-I51)*(2/3) + O51&gt;0,O51+(I51-C51)*(1/3)+(O51-I51)*(2/3),O51)</f>
        <v>389.83333766666669</v>
      </c>
      <c r="V51" s="120">
        <f>IF((J51-D51)*(1/3)+(P51-J51)*(2/3) + P51&gt;0,P51+(J51-D51)*(1/3)+(P51-J51)*(2/3),P51)</f>
        <v>52.16666433333333</v>
      </c>
      <c r="W51" s="120">
        <f>IF((K51-E51)*(1/3)+(Q51-K51)*(2/3) + Q51&gt;0,Q51+(K51-E51)*(1/3)+(Q51-K51)*(2/3),Q51)</f>
        <v>0</v>
      </c>
      <c r="X51" s="120">
        <f>IF((L51-F51)*(1/3)+(R51-L51)*(2/3) + R51&gt;0,R51+(L51-F51)*(1/3)+(R51-L51)*(2/3),R51)</f>
        <v>465.00595407595586</v>
      </c>
      <c r="Y51" s="120">
        <f t="shared" si="2"/>
        <v>15039.447409257378</v>
      </c>
      <c r="Z51" s="159">
        <f>AVERAGE(Y51,S51,M51)</f>
        <v>14888.959915603935</v>
      </c>
      <c r="AA51" s="159">
        <f t="shared" si="3"/>
        <v>389.83333766666669</v>
      </c>
      <c r="AB51" s="159">
        <f t="shared" si="4"/>
        <v>52.16666433333333</v>
      </c>
      <c r="AC51" s="159">
        <f t="shared" si="5"/>
        <v>465.00595407595586</v>
      </c>
      <c r="AD51" s="131">
        <v>8765209.6109999996</v>
      </c>
      <c r="AE51" s="160">
        <f>INDEX('Rate Assumptions'!$A:$B,MATCH('Base Allocation'!AE$2,'Rate Assumptions'!$A:$A,0),2)</f>
        <v>3988.586178572119</v>
      </c>
      <c r="AF51" s="160">
        <f>INDEX('Rate Assumptions'!$A:$B,MATCH('Base Allocation'!AF$2,'Rate Assumptions'!$A:$A,0),2)</f>
        <v>3988.586178572119</v>
      </c>
      <c r="AG51" s="160">
        <f>INDEX('Rate Assumptions'!$A:$B,MATCH('Base Allocation'!AG$2,'Rate Assumptions'!$A:$A,0),2)</f>
        <v>3988.586178572119</v>
      </c>
      <c r="AH51" s="160">
        <f>INDEX('Rate Assumptions'!$A:$B,MATCH('Base Allocation'!AH$2,'Rate Assumptions'!$A:$A,0),2)</f>
        <v>3988.586178572119</v>
      </c>
      <c r="AI51" s="161">
        <f>AD51+SUMPRODUCT(Z51:AC51,AE51:AH51)</f>
        <v>71768780.763979316</v>
      </c>
    </row>
    <row r="52" spans="1:35">
      <c r="A52" s="158" t="str">
        <f>[2]NamesDistrictCollegeCenter!B58</f>
        <v>San Diego CCD</v>
      </c>
      <c r="B52" s="121">
        <v>34927.689990999999</v>
      </c>
      <c r="C52" s="121">
        <v>2061.91</v>
      </c>
      <c r="D52" s="121">
        <v>6532.08</v>
      </c>
      <c r="E52" s="121"/>
      <c r="F52" s="121">
        <v>630.17999999999995</v>
      </c>
      <c r="G52" s="121">
        <f t="shared" si="0"/>
        <v>34297.509990999999</v>
      </c>
      <c r="H52" s="121">
        <v>35115.99</v>
      </c>
      <c r="I52" s="121">
        <v>2049.8999999999996</v>
      </c>
      <c r="J52" s="121">
        <v>6114.8099999999995</v>
      </c>
      <c r="K52" s="121"/>
      <c r="L52" s="121">
        <v>864.16</v>
      </c>
      <c r="M52" s="121">
        <f>H52-K52-L52</f>
        <v>34251.829999999994</v>
      </c>
      <c r="N52" s="122">
        <v>32509.53</v>
      </c>
      <c r="O52" s="122">
        <v>2049.8999999999996</v>
      </c>
      <c r="P52" s="122">
        <v>6114.8099999999995</v>
      </c>
      <c r="Q52" s="122">
        <v>0</v>
      </c>
      <c r="R52" s="122">
        <v>992.19</v>
      </c>
      <c r="S52" s="122">
        <f t="shared" si="1"/>
        <v>31517.34</v>
      </c>
      <c r="T52" s="120">
        <f>IF((H52-B52)*(1/3)+(N52-H52)*(2/3) + N52&gt;0,N52+(H52-B52)*(1/3)+(N52-H52)*(2/3),N52)</f>
        <v>30834.656669666667</v>
      </c>
      <c r="U52" s="120">
        <f>IF((I52-C52)*(1/3)+(O52-I52)*(2/3) + O52&gt;0,O52+(I52-C52)*(1/3)+(O52-I52)*(2/3),O52)</f>
        <v>2045.8966666666663</v>
      </c>
      <c r="V52" s="120">
        <f>IF((J52-D52)*(1/3)+(P52-J52)*(2/3) + P52&gt;0,P52+(J52-D52)*(1/3)+(P52-J52)*(2/3),P52)</f>
        <v>5975.7199999999993</v>
      </c>
      <c r="W52" s="120">
        <f>IF((K52-E52)*(1/3)+(Q52-K52)*(2/3) + Q52&gt;0,Q52+(K52-E52)*(1/3)+(Q52-K52)*(2/3),Q52)</f>
        <v>0</v>
      </c>
      <c r="X52" s="120">
        <f>IF((L52-F52)*(1/3)+(R52-L52)*(2/3) + R52&gt;0,R52+(L52-F52)*(1/3)+(R52-L52)*(2/3),R52)</f>
        <v>1155.5366666666669</v>
      </c>
      <c r="Y52" s="120">
        <f t="shared" si="2"/>
        <v>29679.120003</v>
      </c>
      <c r="Z52" s="159">
        <f>AVERAGE(Y52,S52,M52)</f>
        <v>31816.096667666669</v>
      </c>
      <c r="AA52" s="159">
        <f t="shared" si="3"/>
        <v>2045.8966666666663</v>
      </c>
      <c r="AB52" s="159">
        <f t="shared" si="4"/>
        <v>5975.7199999999993</v>
      </c>
      <c r="AC52" s="159">
        <f t="shared" si="5"/>
        <v>1155.5366666666669</v>
      </c>
      <c r="AD52" s="131">
        <v>20901657.897599999</v>
      </c>
      <c r="AE52" s="160">
        <f>INDEX('Rate Assumptions'!$A:$B,MATCH('Base Allocation'!AE$2,'Rate Assumptions'!$A:$A,0),2)</f>
        <v>3988.586178572119</v>
      </c>
      <c r="AF52" s="160">
        <f>INDEX('Rate Assumptions'!$A:$B,MATCH('Base Allocation'!AF$2,'Rate Assumptions'!$A:$A,0),2)</f>
        <v>3988.586178572119</v>
      </c>
      <c r="AG52" s="160">
        <f>INDEX('Rate Assumptions'!$A:$B,MATCH('Base Allocation'!AG$2,'Rate Assumptions'!$A:$A,0),2)</f>
        <v>3988.586178572119</v>
      </c>
      <c r="AH52" s="160">
        <f>INDEX('Rate Assumptions'!$A:$B,MATCH('Base Allocation'!AH$2,'Rate Assumptions'!$A:$A,0),2)</f>
        <v>3988.586178572119</v>
      </c>
      <c r="AI52" s="161">
        <f>AD52+SUMPRODUCT(Z52:AC52,AE52:AH52)</f>
        <v>184406768.26634011</v>
      </c>
    </row>
    <row r="53" spans="1:35">
      <c r="A53" s="158" t="str">
        <f>[2]NamesDistrictCollegeCenter!B59</f>
        <v>San Francisco CCD</v>
      </c>
      <c r="B53" s="121">
        <v>14108.980000199999</v>
      </c>
      <c r="C53" s="121">
        <v>1699.39</v>
      </c>
      <c r="D53" s="121">
        <v>4713.1500000000005</v>
      </c>
      <c r="E53" s="121">
        <v>3.5900000000000003</v>
      </c>
      <c r="F53" s="121">
        <v>203.6</v>
      </c>
      <c r="G53" s="121">
        <f t="shared" si="0"/>
        <v>13901.790000199999</v>
      </c>
      <c r="H53" s="121">
        <v>16031.3399082</v>
      </c>
      <c r="I53" s="121">
        <v>1734.96</v>
      </c>
      <c r="J53" s="121">
        <v>4542.28</v>
      </c>
      <c r="K53" s="121">
        <v>7.68</v>
      </c>
      <c r="L53" s="121">
        <v>305.14999999999998</v>
      </c>
      <c r="M53" s="121">
        <f>H53-K53-L53</f>
        <v>15718.5099082</v>
      </c>
      <c r="N53" s="122">
        <v>16460.46</v>
      </c>
      <c r="O53" s="122">
        <v>1695.9582946937273</v>
      </c>
      <c r="P53" s="122">
        <v>4177.63</v>
      </c>
      <c r="Q53" s="122">
        <v>19.91</v>
      </c>
      <c r="R53" s="122">
        <v>271.83999999999997</v>
      </c>
      <c r="S53" s="122">
        <f t="shared" si="1"/>
        <v>16168.71</v>
      </c>
      <c r="T53" s="120">
        <f>IF((H53-B53)*(1/3)+(N53-H53)*(2/3) + N53&gt;0,N53+(H53-B53)*(1/3)+(N53-H53)*(2/3),N53)</f>
        <v>17387.326697199998</v>
      </c>
      <c r="U53" s="120">
        <f>IF((I53-C53)*(1/3)+(O53-I53)*(2/3) + O53&gt;0,O53+(I53-C53)*(1/3)+(O53-I53)*(2/3),O53)</f>
        <v>1681.8138244895454</v>
      </c>
      <c r="V53" s="120">
        <f>IF((J53-D53)*(1/3)+(P53-J53)*(2/3) + P53&gt;0,P53+(J53-D53)*(1/3)+(P53-J53)*(2/3),P53)</f>
        <v>3877.5733333333333</v>
      </c>
      <c r="W53" s="120">
        <f>IF((K53-E53)*(1/3)+(Q53-K53)*(2/3) + Q53&gt;0,Q53+(K53-E53)*(1/3)+(Q53-K53)*(2/3),Q53)</f>
        <v>29.426666666666666</v>
      </c>
      <c r="X53" s="120">
        <f>IF((L53-F53)*(1/3)+(R53-L53)*(2/3) + R53&gt;0,R53+(L53-F53)*(1/3)+(R53-L53)*(2/3),R53)</f>
        <v>283.48333333333329</v>
      </c>
      <c r="Y53" s="120">
        <f t="shared" si="2"/>
        <v>17074.416697199998</v>
      </c>
      <c r="Z53" s="159">
        <f>AVERAGE(Y53,S53,M53)</f>
        <v>16320.545535133335</v>
      </c>
      <c r="AA53" s="159">
        <f t="shared" si="3"/>
        <v>1681.8138244895454</v>
      </c>
      <c r="AB53" s="159">
        <f t="shared" si="4"/>
        <v>3877.5733333333333</v>
      </c>
      <c r="AC53" s="159">
        <f t="shared" si="5"/>
        <v>312.90999999999997</v>
      </c>
      <c r="AD53" s="131">
        <v>13653501.869999999</v>
      </c>
      <c r="AE53" s="160">
        <f>INDEX('Rate Assumptions'!$A:$B,MATCH('Base Allocation'!AE$2,'Rate Assumptions'!$A:$A,0),2)</f>
        <v>3988.586178572119</v>
      </c>
      <c r="AF53" s="160">
        <f>INDEX('Rate Assumptions'!$A:$B,MATCH('Base Allocation'!AF$2,'Rate Assumptions'!$A:$A,0),2)</f>
        <v>3988.586178572119</v>
      </c>
      <c r="AG53" s="160">
        <f>INDEX('Rate Assumptions'!$A:$B,MATCH('Base Allocation'!AG$2,'Rate Assumptions'!$A:$A,0),2)</f>
        <v>3988.586178572119</v>
      </c>
      <c r="AH53" s="160">
        <f>INDEX('Rate Assumptions'!$A:$B,MATCH('Base Allocation'!AH$2,'Rate Assumptions'!$A:$A,0),2)</f>
        <v>3988.586178572119</v>
      </c>
      <c r="AI53" s="161">
        <f>AD53+SUMPRODUCT(Z53:AC53,AE53:AH53)</f>
        <v>102171567.4983504</v>
      </c>
    </row>
    <row r="54" spans="1:35">
      <c r="A54" s="158" t="str">
        <f>[2]NamesDistrictCollegeCenter!B60</f>
        <v>San Joaquin Delta CCD</v>
      </c>
      <c r="B54" s="121">
        <v>13337.72</v>
      </c>
      <c r="C54" s="121">
        <v>175.48999999999998</v>
      </c>
      <c r="D54" s="121">
        <v>0</v>
      </c>
      <c r="E54" s="121"/>
      <c r="F54" s="121">
        <v>425.5</v>
      </c>
      <c r="G54" s="121">
        <f t="shared" si="0"/>
        <v>12912.22</v>
      </c>
      <c r="H54" s="121">
        <v>15729.639937</v>
      </c>
      <c r="I54" s="121">
        <v>170.36</v>
      </c>
      <c r="J54" s="121">
        <v>0</v>
      </c>
      <c r="K54" s="121">
        <v>20.09</v>
      </c>
      <c r="L54" s="121">
        <v>481.3</v>
      </c>
      <c r="M54" s="121">
        <f>H54-K54-L54</f>
        <v>15228.249937000001</v>
      </c>
      <c r="N54" s="122">
        <v>14732.93</v>
      </c>
      <c r="O54" s="122">
        <v>170.36</v>
      </c>
      <c r="P54" s="122">
        <v>0</v>
      </c>
      <c r="Q54" s="122">
        <v>13.44</v>
      </c>
      <c r="R54" s="122">
        <v>528.41999999999996</v>
      </c>
      <c r="S54" s="122">
        <f t="shared" si="1"/>
        <v>14191.07</v>
      </c>
      <c r="T54" s="120">
        <f>IF((H54-B54)*(1/3)+(N54-H54)*(2/3) + N54&gt;0,N54+(H54-B54)*(1/3)+(N54-H54)*(2/3),N54)</f>
        <v>14865.763354333334</v>
      </c>
      <c r="U54" s="120">
        <f>IF((I54-C54)*(1/3)+(O54-I54)*(2/3) + O54&gt;0,O54+(I54-C54)*(1/3)+(O54-I54)*(2/3),O54)</f>
        <v>168.65000000000003</v>
      </c>
      <c r="V54" s="120">
        <f>IF((J54-D54)*(1/3)+(P54-J54)*(2/3) + P54&gt;0,P54+(J54-D54)*(1/3)+(P54-J54)*(2/3),P54)</f>
        <v>0</v>
      </c>
      <c r="W54" s="120">
        <f>IF((K54-E54)*(1/3)+(Q54-K54)*(2/3) + Q54&gt;0,Q54+(K54-E54)*(1/3)+(Q54-K54)*(2/3),Q54)</f>
        <v>15.703333333333333</v>
      </c>
      <c r="X54" s="120">
        <f>IF((L54-F54)*(1/3)+(R54-L54)*(2/3) + R54&gt;0,R54+(L54-F54)*(1/3)+(R54-L54)*(2/3),R54)</f>
        <v>578.43333333333328</v>
      </c>
      <c r="Y54" s="120">
        <f t="shared" si="2"/>
        <v>14271.626687666669</v>
      </c>
      <c r="Z54" s="159">
        <f>AVERAGE(Y54,S54,M54)</f>
        <v>14563.64887488889</v>
      </c>
      <c r="AA54" s="159">
        <f t="shared" si="3"/>
        <v>168.65000000000003</v>
      </c>
      <c r="AB54" s="159">
        <f t="shared" si="4"/>
        <v>0</v>
      </c>
      <c r="AC54" s="159">
        <f t="shared" si="5"/>
        <v>594.13666666666666</v>
      </c>
      <c r="AD54" s="131">
        <v>6742470.1229999997</v>
      </c>
      <c r="AE54" s="160">
        <f>INDEX('Rate Assumptions'!$A:$B,MATCH('Base Allocation'!AE$2,'Rate Assumptions'!$A:$A,0),2)</f>
        <v>3988.586178572119</v>
      </c>
      <c r="AF54" s="160">
        <f>INDEX('Rate Assumptions'!$A:$B,MATCH('Base Allocation'!AF$2,'Rate Assumptions'!$A:$A,0),2)</f>
        <v>3988.586178572119</v>
      </c>
      <c r="AG54" s="160">
        <f>INDEX('Rate Assumptions'!$A:$B,MATCH('Base Allocation'!AG$2,'Rate Assumptions'!$A:$A,0),2)</f>
        <v>3988.586178572119</v>
      </c>
      <c r="AH54" s="160">
        <f>INDEX('Rate Assumptions'!$A:$B,MATCH('Base Allocation'!AH$2,'Rate Assumptions'!$A:$A,0),2)</f>
        <v>3988.586178572119</v>
      </c>
      <c r="AI54" s="161">
        <f>AD54+SUMPRODUCT(Z54:AC54,AE54:AH54)</f>
        <v>67873279.090824991</v>
      </c>
    </row>
    <row r="55" spans="1:35">
      <c r="A55" s="158" t="str">
        <f>[2]NamesDistrictCollegeCenter!B61</f>
        <v>San Jose-Evergreen CCD</v>
      </c>
      <c r="B55" s="121">
        <v>11234.879999999997</v>
      </c>
      <c r="C55" s="121">
        <v>116.72</v>
      </c>
      <c r="D55" s="121">
        <v>0</v>
      </c>
      <c r="E55" s="121"/>
      <c r="F55" s="121">
        <v>193.38</v>
      </c>
      <c r="G55" s="121">
        <f t="shared" si="0"/>
        <v>11041.499999999998</v>
      </c>
      <c r="H55" s="121">
        <v>11715.929990999997</v>
      </c>
      <c r="I55" s="121">
        <v>197.11002100000002</v>
      </c>
      <c r="J55" s="121">
        <v>0</v>
      </c>
      <c r="K55" s="121"/>
      <c r="L55" s="121">
        <v>308.31</v>
      </c>
      <c r="M55" s="121">
        <f>H55-K55-L55</f>
        <v>11407.619990999998</v>
      </c>
      <c r="N55" s="122">
        <v>12055.63</v>
      </c>
      <c r="O55" s="122">
        <v>213.42</v>
      </c>
      <c r="P55" s="122">
        <v>0</v>
      </c>
      <c r="Q55" s="122">
        <v>0</v>
      </c>
      <c r="R55" s="122">
        <v>262.19</v>
      </c>
      <c r="S55" s="122">
        <f t="shared" si="1"/>
        <v>11793.439999999999</v>
      </c>
      <c r="T55" s="120">
        <f>IF((H55-B55)*(1/3)+(N55-H55)*(2/3) + N55&gt;0,N55+(H55-B55)*(1/3)+(N55-H55)*(2/3),N55)</f>
        <v>12442.446669666666</v>
      </c>
      <c r="U55" s="120">
        <f>IF((I55-C55)*(1/3)+(O55-I55)*(2/3) + O55&gt;0,O55+(I55-C55)*(1/3)+(O55-I55)*(2/3),O55)</f>
        <v>251.08999299999996</v>
      </c>
      <c r="V55" s="120">
        <f>IF((J55-D55)*(1/3)+(P55-J55)*(2/3) + P55&gt;0,P55+(J55-D55)*(1/3)+(P55-J55)*(2/3),P55)</f>
        <v>0</v>
      </c>
      <c r="W55" s="120">
        <f>IF((K55-E55)*(1/3)+(Q55-K55)*(2/3) + Q55&gt;0,Q55+(K55-E55)*(1/3)+(Q55-K55)*(2/3),Q55)</f>
        <v>0</v>
      </c>
      <c r="X55" s="120">
        <f>IF((L55-F55)*(1/3)+(R55-L55)*(2/3) + R55&gt;0,R55+(L55-F55)*(1/3)+(R55-L55)*(2/3),R55)</f>
        <v>269.75333333333333</v>
      </c>
      <c r="Y55" s="120">
        <f t="shared" si="2"/>
        <v>12172.693336333332</v>
      </c>
      <c r="Z55" s="159">
        <f>AVERAGE(Y55,S55,M55)</f>
        <v>11791.25110911111</v>
      </c>
      <c r="AA55" s="159">
        <f t="shared" si="3"/>
        <v>251.08999299999996</v>
      </c>
      <c r="AB55" s="159">
        <f t="shared" si="4"/>
        <v>0</v>
      </c>
      <c r="AC55" s="159">
        <f t="shared" si="5"/>
        <v>269.75333333333333</v>
      </c>
      <c r="AD55" s="131">
        <v>8090961.0498000002</v>
      </c>
      <c r="AE55" s="160">
        <f>INDEX('Rate Assumptions'!$A:$B,MATCH('Base Allocation'!AE$2,'Rate Assumptions'!$A:$A,0),2)</f>
        <v>3988.586178572119</v>
      </c>
      <c r="AF55" s="160">
        <f>INDEX('Rate Assumptions'!$A:$B,MATCH('Base Allocation'!AF$2,'Rate Assumptions'!$A:$A,0),2)</f>
        <v>3988.586178572119</v>
      </c>
      <c r="AG55" s="160">
        <f>INDEX('Rate Assumptions'!$A:$B,MATCH('Base Allocation'!AG$2,'Rate Assumptions'!$A:$A,0),2)</f>
        <v>3988.586178572119</v>
      </c>
      <c r="AH55" s="160">
        <f>INDEX('Rate Assumptions'!$A:$B,MATCH('Base Allocation'!AH$2,'Rate Assumptions'!$A:$A,0),2)</f>
        <v>3988.586178572119</v>
      </c>
      <c r="AI55" s="161">
        <f>AD55+SUMPRODUCT(Z55:AC55,AE55:AH55)</f>
        <v>57198810.7442884</v>
      </c>
    </row>
    <row r="56" spans="1:35">
      <c r="A56" s="158" t="str">
        <f>[2]NamesDistrictCollegeCenter!B62</f>
        <v>San Luis Obispo County CCD</v>
      </c>
      <c r="B56" s="121">
        <v>6739.4199999999983</v>
      </c>
      <c r="C56" s="121">
        <v>149.56</v>
      </c>
      <c r="D56" s="121">
        <v>239.43</v>
      </c>
      <c r="E56" s="121">
        <v>20.799999999999997</v>
      </c>
      <c r="F56" s="121">
        <v>562.09</v>
      </c>
      <c r="G56" s="121">
        <f t="shared" si="0"/>
        <v>6156.5299999999979</v>
      </c>
      <c r="H56" s="121">
        <v>7933.1099999999979</v>
      </c>
      <c r="I56" s="121">
        <v>337.21000000000004</v>
      </c>
      <c r="J56" s="121">
        <v>161.71</v>
      </c>
      <c r="K56" s="121">
        <v>39.18</v>
      </c>
      <c r="L56" s="121">
        <v>769.85</v>
      </c>
      <c r="M56" s="121">
        <f>H56-K56-L56</f>
        <v>7124.0799999999972</v>
      </c>
      <c r="N56" s="122">
        <v>6801.35</v>
      </c>
      <c r="O56" s="122">
        <v>370.1</v>
      </c>
      <c r="P56" s="122">
        <v>217.1</v>
      </c>
      <c r="Q56" s="122">
        <v>110.22</v>
      </c>
      <c r="R56" s="122">
        <v>772.89</v>
      </c>
      <c r="S56" s="122">
        <f t="shared" si="1"/>
        <v>5918.24</v>
      </c>
      <c r="T56" s="120">
        <f>IF((H56-B56)*(1/3)+(N56-H56)*(2/3) + N56&gt;0,N56+(H56-B56)*(1/3)+(N56-H56)*(2/3),N56)</f>
        <v>6444.7400000000016</v>
      </c>
      <c r="U56" s="120">
        <f>IF((I56-C56)*(1/3)+(O56-I56)*(2/3) + O56&gt;0,O56+(I56-C56)*(1/3)+(O56-I56)*(2/3),O56)</f>
        <v>454.57666666666671</v>
      </c>
      <c r="V56" s="120">
        <f>IF((J56-D56)*(1/3)+(P56-J56)*(2/3) + P56&gt;0,P56+(J56-D56)*(1/3)+(P56-J56)*(2/3),P56)</f>
        <v>228.11999999999998</v>
      </c>
      <c r="W56" s="120">
        <f>IF((K56-E56)*(1/3)+(Q56-K56)*(2/3) + Q56&gt;0,Q56+(K56-E56)*(1/3)+(Q56-K56)*(2/3),Q56)</f>
        <v>163.70666666666665</v>
      </c>
      <c r="X56" s="120">
        <f>IF((L56-F56)*(1/3)+(R56-L56)*(2/3) + R56&gt;0,R56+(L56-F56)*(1/3)+(R56-L56)*(2/3),R56)</f>
        <v>844.17</v>
      </c>
      <c r="Y56" s="120">
        <f t="shared" si="2"/>
        <v>5436.8633333333346</v>
      </c>
      <c r="Z56" s="159">
        <f>AVERAGE(Y56,S56,M56)</f>
        <v>6159.7277777777772</v>
      </c>
      <c r="AA56" s="159">
        <f t="shared" si="3"/>
        <v>454.57666666666671</v>
      </c>
      <c r="AB56" s="159">
        <f t="shared" si="4"/>
        <v>228.11999999999998</v>
      </c>
      <c r="AC56" s="159">
        <f t="shared" si="5"/>
        <v>1007.8766666666666</v>
      </c>
      <c r="AD56" s="131">
        <v>5393974.0331999995</v>
      </c>
      <c r="AE56" s="160">
        <f>INDEX('Rate Assumptions'!$A:$B,MATCH('Base Allocation'!AE$2,'Rate Assumptions'!$A:$A,0),2)</f>
        <v>3988.586178572119</v>
      </c>
      <c r="AF56" s="160">
        <f>INDEX('Rate Assumptions'!$A:$B,MATCH('Base Allocation'!AF$2,'Rate Assumptions'!$A:$A,0),2)</f>
        <v>3988.586178572119</v>
      </c>
      <c r="AG56" s="160">
        <f>INDEX('Rate Assumptions'!$A:$B,MATCH('Base Allocation'!AG$2,'Rate Assumptions'!$A:$A,0),2)</f>
        <v>3988.586178572119</v>
      </c>
      <c r="AH56" s="160">
        <f>INDEX('Rate Assumptions'!$A:$B,MATCH('Base Allocation'!AH$2,'Rate Assumptions'!$A:$A,0),2)</f>
        <v>3988.586178572119</v>
      </c>
      <c r="AI56" s="161">
        <f>AD56+SUMPRODUCT(Z56:AC56,AE56:AH56)</f>
        <v>36705576.542607129</v>
      </c>
    </row>
    <row r="57" spans="1:35">
      <c r="A57" s="158" t="str">
        <f>[2]NamesDistrictCollegeCenter!B63</f>
        <v>San Mateo County CCD</v>
      </c>
      <c r="B57" s="121">
        <v>16348.829999999998</v>
      </c>
      <c r="C57" s="121">
        <v>57.88000000000001</v>
      </c>
      <c r="D57" s="121">
        <v>0</v>
      </c>
      <c r="E57" s="121">
        <v>4.5999999999999996</v>
      </c>
      <c r="F57" s="121">
        <v>563.44000000000005</v>
      </c>
      <c r="G57" s="121">
        <f t="shared" si="0"/>
        <v>15780.789999999997</v>
      </c>
      <c r="H57" s="121">
        <v>15680.999999999998</v>
      </c>
      <c r="I57" s="121">
        <v>41.480000000000011</v>
      </c>
      <c r="J57" s="121">
        <v>0</v>
      </c>
      <c r="K57" s="121"/>
      <c r="L57" s="121">
        <v>847.58</v>
      </c>
      <c r="M57" s="121">
        <f>H57-K57-L57</f>
        <v>14833.419999999998</v>
      </c>
      <c r="N57" s="122">
        <v>15232.02</v>
      </c>
      <c r="O57" s="122">
        <v>41.480000000000011</v>
      </c>
      <c r="P57" s="122">
        <v>0</v>
      </c>
      <c r="Q57" s="122">
        <v>3.26</v>
      </c>
      <c r="R57" s="122">
        <v>851.36</v>
      </c>
      <c r="S57" s="122">
        <f t="shared" si="1"/>
        <v>14377.4</v>
      </c>
      <c r="T57" s="120">
        <f>IF((H57-B57)*(1/3)+(N57-H57)*(2/3) + N57&gt;0,N57+(H57-B57)*(1/3)+(N57-H57)*(2/3),N57)</f>
        <v>14710.090000000002</v>
      </c>
      <c r="U57" s="120">
        <f>IF((I57-C57)*(1/3)+(O57-I57)*(2/3) + O57&gt;0,O57+(I57-C57)*(1/3)+(O57-I57)*(2/3),O57)</f>
        <v>36.013333333333343</v>
      </c>
      <c r="V57" s="120">
        <f>IF((J57-D57)*(1/3)+(P57-J57)*(2/3) + P57&gt;0,P57+(J57-D57)*(1/3)+(P57-J57)*(2/3),P57)</f>
        <v>0</v>
      </c>
      <c r="W57" s="120">
        <f>IF((K57-E57)*(1/3)+(Q57-K57)*(2/3) + Q57&gt;0,Q57+(K57-E57)*(1/3)+(Q57-K57)*(2/3),Q57)</f>
        <v>3.8999999999999995</v>
      </c>
      <c r="X57" s="120">
        <f>IF((L57-F57)*(1/3)+(R57-L57)*(2/3) + R57&gt;0,R57+(L57-F57)*(1/3)+(R57-L57)*(2/3),R57)</f>
        <v>948.59333333333336</v>
      </c>
      <c r="Y57" s="120">
        <f t="shared" si="2"/>
        <v>13757.596666666668</v>
      </c>
      <c r="Z57" s="159">
        <f>AVERAGE(Y57,S57,M57)</f>
        <v>14322.805555555555</v>
      </c>
      <c r="AA57" s="159">
        <f t="shared" si="3"/>
        <v>36.013333333333343</v>
      </c>
      <c r="AB57" s="159">
        <f t="shared" si="4"/>
        <v>0</v>
      </c>
      <c r="AC57" s="159">
        <f t="shared" si="5"/>
        <v>952.49333333333334</v>
      </c>
      <c r="AD57" s="131">
        <v>12136441.0584</v>
      </c>
      <c r="AE57" s="160">
        <f>INDEX('Rate Assumptions'!$A:$B,MATCH('Base Allocation'!AE$2,'Rate Assumptions'!$A:$A,0),2)</f>
        <v>3988.586178572119</v>
      </c>
      <c r="AF57" s="160">
        <f>INDEX('Rate Assumptions'!$A:$B,MATCH('Base Allocation'!AF$2,'Rate Assumptions'!$A:$A,0),2)</f>
        <v>3988.586178572119</v>
      </c>
      <c r="AG57" s="160">
        <f>INDEX('Rate Assumptions'!$A:$B,MATCH('Base Allocation'!AG$2,'Rate Assumptions'!$A:$A,0),2)</f>
        <v>3988.586178572119</v>
      </c>
      <c r="AH57" s="160">
        <f>INDEX('Rate Assumptions'!$A:$B,MATCH('Base Allocation'!AH$2,'Rate Assumptions'!$A:$A,0),2)</f>
        <v>3988.586178572119</v>
      </c>
      <c r="AI57" s="161">
        <f>AD57+SUMPRODUCT(Z57:AC57,AE57:AH57)</f>
        <v>73206929.363757908</v>
      </c>
    </row>
    <row r="58" spans="1:35">
      <c r="A58" s="158" t="str">
        <f>[2]NamesDistrictCollegeCenter!B64</f>
        <v>Santa Barbara CCD</v>
      </c>
      <c r="B58" s="121">
        <v>11805.670000000002</v>
      </c>
      <c r="C58" s="121">
        <v>2.7400000000000375</v>
      </c>
      <c r="D58" s="121">
        <v>571.46</v>
      </c>
      <c r="E58" s="121"/>
      <c r="F58" s="121">
        <v>709.7</v>
      </c>
      <c r="G58" s="121">
        <f t="shared" si="0"/>
        <v>11095.970000000001</v>
      </c>
      <c r="H58" s="121">
        <v>11660.820000000002</v>
      </c>
      <c r="I58" s="121">
        <v>294.71000000000004</v>
      </c>
      <c r="J58" s="121">
        <v>489.98</v>
      </c>
      <c r="K58" s="121">
        <v>3.25</v>
      </c>
      <c r="L58" s="121">
        <v>726.33</v>
      </c>
      <c r="M58" s="121">
        <f>H58-K58-L58</f>
        <v>10931.240000000002</v>
      </c>
      <c r="N58" s="122">
        <v>11437.29</v>
      </c>
      <c r="O58" s="122">
        <v>698.44</v>
      </c>
      <c r="P58" s="122">
        <v>413.72</v>
      </c>
      <c r="Q58" s="122">
        <v>4.05</v>
      </c>
      <c r="R58" s="122">
        <v>357.25</v>
      </c>
      <c r="S58" s="122">
        <f t="shared" si="1"/>
        <v>11075.990000000002</v>
      </c>
      <c r="T58" s="120">
        <f>IF((H58-B58)*(1/3)+(N58-H58)*(2/3) + N58&gt;0,N58+(H58-B58)*(1/3)+(N58-H58)*(2/3),N58)</f>
        <v>11239.986666666668</v>
      </c>
      <c r="U58" s="120">
        <f>IF((I58-C58)*(1/3)+(O58-I58)*(2/3) + O58&gt;0,O58+(I58-C58)*(1/3)+(O58-I58)*(2/3),O58)</f>
        <v>1064.9166666666667</v>
      </c>
      <c r="V58" s="120">
        <f>IF((J58-D58)*(1/3)+(P58-J58)*(2/3) + P58&gt;0,P58+(J58-D58)*(1/3)+(P58-J58)*(2/3),P58)</f>
        <v>335.72</v>
      </c>
      <c r="W58" s="120">
        <f>IF((K58-E58)*(1/3)+(Q58-K58)*(2/3) + Q58&gt;0,Q58+(K58-E58)*(1/3)+(Q58-K58)*(2/3),Q58)</f>
        <v>5.6666666666666661</v>
      </c>
      <c r="X58" s="120">
        <f>IF((L58-F58)*(1/3)+(R58-L58)*(2/3) + R58&gt;0,R58+(L58-F58)*(1/3)+(R58-L58)*(2/3),R58)</f>
        <v>116.74000000000001</v>
      </c>
      <c r="Y58" s="120">
        <f t="shared" si="2"/>
        <v>11117.580000000002</v>
      </c>
      <c r="Z58" s="159">
        <f>AVERAGE(Y58,S58,M58)</f>
        <v>11041.603333333334</v>
      </c>
      <c r="AA58" s="159">
        <f t="shared" si="3"/>
        <v>1064.9166666666667</v>
      </c>
      <c r="AB58" s="159">
        <f t="shared" si="4"/>
        <v>335.72</v>
      </c>
      <c r="AC58" s="159">
        <f t="shared" si="5"/>
        <v>122.40666666666668</v>
      </c>
      <c r="AD58" s="131">
        <v>7416716.6189999999</v>
      </c>
      <c r="AE58" s="160">
        <f>INDEX('Rate Assumptions'!$A:$B,MATCH('Base Allocation'!AE$2,'Rate Assumptions'!$A:$A,0),2)</f>
        <v>3988.586178572119</v>
      </c>
      <c r="AF58" s="160">
        <f>INDEX('Rate Assumptions'!$A:$B,MATCH('Base Allocation'!AF$2,'Rate Assumptions'!$A:$A,0),2)</f>
        <v>3988.586178572119</v>
      </c>
      <c r="AG58" s="160">
        <f>INDEX('Rate Assumptions'!$A:$B,MATCH('Base Allocation'!AG$2,'Rate Assumptions'!$A:$A,0),2)</f>
        <v>3988.586178572119</v>
      </c>
      <c r="AH58" s="160">
        <f>INDEX('Rate Assumptions'!$A:$B,MATCH('Base Allocation'!AH$2,'Rate Assumptions'!$A:$A,0),2)</f>
        <v>3988.586178572119</v>
      </c>
      <c r="AI58" s="161">
        <f>AD58+SUMPRODUCT(Z58:AC58,AE58:AH58)</f>
        <v>57531892.652308911</v>
      </c>
    </row>
    <row r="59" spans="1:35">
      <c r="A59" s="158" t="str">
        <f>[2]NamesDistrictCollegeCenter!B65</f>
        <v>Santa Clarita CCD</v>
      </c>
      <c r="B59" s="121">
        <v>16098.699926000001</v>
      </c>
      <c r="C59" s="121">
        <v>221.51999999999998</v>
      </c>
      <c r="D59" s="121">
        <v>123.86</v>
      </c>
      <c r="E59" s="121">
        <v>2.39</v>
      </c>
      <c r="F59" s="121">
        <v>675.23</v>
      </c>
      <c r="G59" s="121">
        <f t="shared" si="0"/>
        <v>15421.079926000002</v>
      </c>
      <c r="H59" s="121">
        <v>16308.519304000001</v>
      </c>
      <c r="I59" s="121">
        <v>237.73999999999998</v>
      </c>
      <c r="J59" s="121">
        <v>167</v>
      </c>
      <c r="K59" s="121">
        <v>27.8</v>
      </c>
      <c r="L59" s="121">
        <v>983.67</v>
      </c>
      <c r="M59" s="121">
        <f>H59-K59-L59</f>
        <v>15297.049304000002</v>
      </c>
      <c r="N59" s="122">
        <v>15732.13</v>
      </c>
      <c r="O59" s="122">
        <v>237.73999999999998</v>
      </c>
      <c r="P59" s="122">
        <v>167</v>
      </c>
      <c r="Q59" s="122">
        <v>22.73</v>
      </c>
      <c r="R59" s="122">
        <v>840.5</v>
      </c>
      <c r="S59" s="122">
        <f t="shared" si="1"/>
        <v>14868.9</v>
      </c>
      <c r="T59" s="120">
        <f>IF((H59-B59)*(1/3)+(N59-H59)*(2/3) + N59&gt;0,N59+(H59-B59)*(1/3)+(N59-H59)*(2/3),N59)</f>
        <v>15417.810256666664</v>
      </c>
      <c r="U59" s="120">
        <f>IF((I59-C59)*(1/3)+(O59-I59)*(2/3) + O59&gt;0,O59+(I59-C59)*(1/3)+(O59-I59)*(2/3),O59)</f>
        <v>243.14666666666665</v>
      </c>
      <c r="V59" s="120">
        <f>IF((J59-D59)*(1/3)+(P59-J59)*(2/3) + P59&gt;0,P59+(J59-D59)*(1/3)+(P59-J59)*(2/3),P59)</f>
        <v>181.38</v>
      </c>
      <c r="W59" s="120">
        <f>IF((K59-E59)*(1/3)+(Q59-K59)*(2/3) + Q59&gt;0,Q59+(K59-E59)*(1/3)+(Q59-K59)*(2/3),Q59)</f>
        <v>27.82</v>
      </c>
      <c r="X59" s="120">
        <f>IF((L59-F59)*(1/3)+(R59-L59)*(2/3) + R59&gt;0,R59+(L59-F59)*(1/3)+(R59-L59)*(2/3),R59)</f>
        <v>847.86666666666667</v>
      </c>
      <c r="Y59" s="120">
        <f t="shared" si="2"/>
        <v>14542.123589999997</v>
      </c>
      <c r="Z59" s="159">
        <f>AVERAGE(Y59,S59,M59)</f>
        <v>14902.690964666666</v>
      </c>
      <c r="AA59" s="159">
        <f t="shared" si="3"/>
        <v>243.14666666666665</v>
      </c>
      <c r="AB59" s="159">
        <f t="shared" si="4"/>
        <v>181.38</v>
      </c>
      <c r="AC59" s="159">
        <f t="shared" si="5"/>
        <v>875.68666666666672</v>
      </c>
      <c r="AD59" s="131">
        <v>6742470.1229999997</v>
      </c>
      <c r="AE59" s="160">
        <f>INDEX('Rate Assumptions'!$A:$B,MATCH('Base Allocation'!AE$2,'Rate Assumptions'!$A:$A,0),2)</f>
        <v>3988.586178572119</v>
      </c>
      <c r="AF59" s="160">
        <f>INDEX('Rate Assumptions'!$A:$B,MATCH('Base Allocation'!AF$2,'Rate Assumptions'!$A:$A,0),2)</f>
        <v>3988.586178572119</v>
      </c>
      <c r="AG59" s="160">
        <f>INDEX('Rate Assumptions'!$A:$B,MATCH('Base Allocation'!AG$2,'Rate Assumptions'!$A:$A,0),2)</f>
        <v>3988.586178572119</v>
      </c>
      <c r="AH59" s="160">
        <f>INDEX('Rate Assumptions'!$A:$B,MATCH('Base Allocation'!AH$2,'Rate Assumptions'!$A:$A,0),2)</f>
        <v>3988.586178572119</v>
      </c>
      <c r="AI59" s="161">
        <f>AD59+SUMPRODUCT(Z59:AC59,AE59:AH59)</f>
        <v>71369150.258729592</v>
      </c>
    </row>
    <row r="60" spans="1:35">
      <c r="A60" s="158" t="str">
        <f>[2]NamesDistrictCollegeCenter!B66</f>
        <v>Santa Monica CCD</v>
      </c>
      <c r="B60" s="121">
        <v>22257.879993000002</v>
      </c>
      <c r="C60" s="121">
        <v>584.5</v>
      </c>
      <c r="D60" s="121">
        <v>167.47</v>
      </c>
      <c r="E60" s="121"/>
      <c r="F60" s="121">
        <v>247.18</v>
      </c>
      <c r="G60" s="121">
        <f t="shared" si="0"/>
        <v>22010.699993000002</v>
      </c>
      <c r="H60" s="121">
        <v>17871.400000000001</v>
      </c>
      <c r="I60" s="121">
        <v>599.80999999999995</v>
      </c>
      <c r="J60" s="121">
        <v>157.57</v>
      </c>
      <c r="K60" s="121"/>
      <c r="L60" s="121">
        <v>273.43</v>
      </c>
      <c r="M60" s="121">
        <f>H60-K60-L60</f>
        <v>17597.97</v>
      </c>
      <c r="N60" s="122">
        <v>19636.32</v>
      </c>
      <c r="O60" s="122">
        <v>622.78</v>
      </c>
      <c r="P60" s="122">
        <v>119.98</v>
      </c>
      <c r="Q60" s="122">
        <v>0</v>
      </c>
      <c r="R60" s="122">
        <v>263.89999999999998</v>
      </c>
      <c r="S60" s="122">
        <f t="shared" si="1"/>
        <v>19372.419999999998</v>
      </c>
      <c r="T60" s="120">
        <f>IF((H60-B60)*(1/3)+(N60-H60)*(2/3) + N60&gt;0,N60+(H60-B60)*(1/3)+(N60-H60)*(2/3),N60)</f>
        <v>19350.773335666665</v>
      </c>
      <c r="U60" s="120">
        <f>IF((I60-C60)*(1/3)+(O60-I60)*(2/3) + O60&gt;0,O60+(I60-C60)*(1/3)+(O60-I60)*(2/3),O60)</f>
        <v>643.19666666666672</v>
      </c>
      <c r="V60" s="120">
        <f>IF((J60-D60)*(1/3)+(P60-J60)*(2/3) + P60&gt;0,P60+(J60-D60)*(1/3)+(P60-J60)*(2/3),P60)</f>
        <v>91.620000000000019</v>
      </c>
      <c r="W60" s="120">
        <f>IF((K60-E60)*(1/3)+(Q60-K60)*(2/3) + Q60&gt;0,Q60+(K60-E60)*(1/3)+(Q60-K60)*(2/3),Q60)</f>
        <v>0</v>
      </c>
      <c r="X60" s="120">
        <f>IF((L60-F60)*(1/3)+(R60-L60)*(2/3) + R60&gt;0,R60+(L60-F60)*(1/3)+(R60-L60)*(2/3),R60)</f>
        <v>266.29666666666662</v>
      </c>
      <c r="Y60" s="120">
        <f t="shared" si="2"/>
        <v>19084.476669</v>
      </c>
      <c r="Z60" s="159">
        <f>AVERAGE(Y60,S60,M60)</f>
        <v>18684.955556333331</v>
      </c>
      <c r="AA60" s="159">
        <f t="shared" si="3"/>
        <v>643.19666666666672</v>
      </c>
      <c r="AB60" s="159">
        <f t="shared" si="4"/>
        <v>91.620000000000019</v>
      </c>
      <c r="AC60" s="159">
        <f t="shared" si="5"/>
        <v>266.29666666666662</v>
      </c>
      <c r="AD60" s="131">
        <v>8090964.1475999998</v>
      </c>
      <c r="AE60" s="160">
        <f>INDEX('Rate Assumptions'!$A:$B,MATCH('Base Allocation'!AE$2,'Rate Assumptions'!$A:$A,0),2)</f>
        <v>3988.586178572119</v>
      </c>
      <c r="AF60" s="160">
        <f>INDEX('Rate Assumptions'!$A:$B,MATCH('Base Allocation'!AF$2,'Rate Assumptions'!$A:$A,0),2)</f>
        <v>3988.586178572119</v>
      </c>
      <c r="AG60" s="160">
        <f>INDEX('Rate Assumptions'!$A:$B,MATCH('Base Allocation'!AG$2,'Rate Assumptions'!$A:$A,0),2)</f>
        <v>3988.586178572119</v>
      </c>
      <c r="AH60" s="160">
        <f>INDEX('Rate Assumptions'!$A:$B,MATCH('Base Allocation'!AH$2,'Rate Assumptions'!$A:$A,0),2)</f>
        <v>3988.586178572119</v>
      </c>
      <c r="AI60" s="161">
        <f>AD60+SUMPRODUCT(Z60:AC60,AE60:AH60)</f>
        <v>86610546.431343034</v>
      </c>
    </row>
    <row r="61" spans="1:35">
      <c r="A61" s="158" t="str">
        <f>[2]NamesDistrictCollegeCenter!B67</f>
        <v>Sequoias CCD</v>
      </c>
      <c r="B61" s="121">
        <v>9141.4800400000022</v>
      </c>
      <c r="C61" s="121">
        <v>392.17000000000007</v>
      </c>
      <c r="D61" s="121">
        <v>166.56</v>
      </c>
      <c r="E61" s="121"/>
      <c r="F61" s="121">
        <v>335.52</v>
      </c>
      <c r="G61" s="121">
        <f t="shared" si="0"/>
        <v>8805.9600400000018</v>
      </c>
      <c r="H61" s="121">
        <v>9685.2526810000018</v>
      </c>
      <c r="I61" s="121">
        <v>472.08000000000004</v>
      </c>
      <c r="J61" s="121">
        <v>173.46</v>
      </c>
      <c r="K61" s="121"/>
      <c r="L61" s="121">
        <v>443.21</v>
      </c>
      <c r="M61" s="121">
        <f>H61-K61-L61</f>
        <v>9242.0426810000026</v>
      </c>
      <c r="N61" s="122">
        <v>9707.5</v>
      </c>
      <c r="O61" s="122">
        <v>344.8</v>
      </c>
      <c r="P61" s="122">
        <v>109.19</v>
      </c>
      <c r="Q61" s="122">
        <v>0</v>
      </c>
      <c r="R61" s="122">
        <v>465.38</v>
      </c>
      <c r="S61" s="122">
        <f t="shared" si="1"/>
        <v>9242.1200000000008</v>
      </c>
      <c r="T61" s="120">
        <f>IF((H61-B61)*(1/3)+(N61-H61)*(2/3) + N61&gt;0,N61+(H61-B61)*(1/3)+(N61-H61)*(2/3),N61)</f>
        <v>9903.5890929999987</v>
      </c>
      <c r="U61" s="120">
        <f>IF((I61-C61)*(1/3)+(O61-I61)*(2/3) + O61&gt;0,O61+(I61-C61)*(1/3)+(O61-I61)*(2/3),O61)</f>
        <v>286.58333333333331</v>
      </c>
      <c r="V61" s="120">
        <f>IF((J61-D61)*(1/3)+(P61-J61)*(2/3) + P61&gt;0,P61+(J61-D61)*(1/3)+(P61-J61)*(2/3),P61)</f>
        <v>68.643333333333317</v>
      </c>
      <c r="W61" s="120">
        <f>IF((K61-E61)*(1/3)+(Q61-K61)*(2/3) + Q61&gt;0,Q61+(K61-E61)*(1/3)+(Q61-K61)*(2/3),Q61)</f>
        <v>0</v>
      </c>
      <c r="X61" s="120">
        <f>IF((L61-F61)*(1/3)+(R61-L61)*(2/3) + R61&gt;0,R61+(L61-F61)*(1/3)+(R61-L61)*(2/3),R61)</f>
        <v>516.05666666666662</v>
      </c>
      <c r="Y61" s="120">
        <f t="shared" si="2"/>
        <v>9387.5324263333314</v>
      </c>
      <c r="Z61" s="159">
        <f>AVERAGE(Y61,S61,M61)</f>
        <v>9290.5650357777795</v>
      </c>
      <c r="AA61" s="159">
        <f t="shared" si="3"/>
        <v>286.58333333333331</v>
      </c>
      <c r="AB61" s="159">
        <f t="shared" si="4"/>
        <v>68.643333333333317</v>
      </c>
      <c r="AC61" s="159">
        <f t="shared" si="5"/>
        <v>516.05666666666662</v>
      </c>
      <c r="AD61" s="131">
        <v>8090964.1475999998</v>
      </c>
      <c r="AE61" s="160">
        <f>INDEX('Rate Assumptions'!$A:$B,MATCH('Base Allocation'!AE$2,'Rate Assumptions'!$A:$A,0),2)</f>
        <v>3988.586178572119</v>
      </c>
      <c r="AF61" s="160">
        <f>INDEX('Rate Assumptions'!$A:$B,MATCH('Base Allocation'!AF$2,'Rate Assumptions'!$A:$A,0),2)</f>
        <v>3988.586178572119</v>
      </c>
      <c r="AG61" s="160">
        <f>INDEX('Rate Assumptions'!$A:$B,MATCH('Base Allocation'!AG$2,'Rate Assumptions'!$A:$A,0),2)</f>
        <v>3988.586178572119</v>
      </c>
      <c r="AH61" s="160">
        <f>INDEX('Rate Assumptions'!$A:$B,MATCH('Base Allocation'!AH$2,'Rate Assumptions'!$A:$A,0),2)</f>
        <v>3988.586178572119</v>
      </c>
      <c r="AI61" s="161">
        <f>AD61+SUMPRODUCT(Z61:AC61,AE61:AH61)</f>
        <v>48622372.101382218</v>
      </c>
    </row>
    <row r="62" spans="1:35">
      <c r="A62" s="158" t="str">
        <f>[2]NamesDistrictCollegeCenter!B68</f>
        <v>Shasta-Tehama-Trinity CCD</v>
      </c>
      <c r="B62" s="121">
        <v>7040.1499189999986</v>
      </c>
      <c r="C62" s="121">
        <v>148.20999999999998</v>
      </c>
      <c r="D62" s="121">
        <v>34.699999999999996</v>
      </c>
      <c r="E62" s="121"/>
      <c r="F62" s="121">
        <v>627.39</v>
      </c>
      <c r="G62" s="121">
        <f t="shared" si="0"/>
        <v>6412.7599189999983</v>
      </c>
      <c r="H62" s="121">
        <v>6089.4699999999984</v>
      </c>
      <c r="I62" s="121">
        <v>135.30999999999997</v>
      </c>
      <c r="J62" s="121">
        <v>32.809999999999995</v>
      </c>
      <c r="K62" s="121"/>
      <c r="L62" s="121">
        <v>701.11</v>
      </c>
      <c r="M62" s="121">
        <f>H62-K62-L62</f>
        <v>5388.3599999999988</v>
      </c>
      <c r="N62" s="122">
        <v>7053.81</v>
      </c>
      <c r="O62" s="122">
        <v>125.16</v>
      </c>
      <c r="P62" s="122">
        <v>19.22</v>
      </c>
      <c r="Q62" s="122">
        <v>0.86</v>
      </c>
      <c r="R62" s="122">
        <v>729.55356525881143</v>
      </c>
      <c r="S62" s="122">
        <f t="shared" si="1"/>
        <v>6323.3964347411893</v>
      </c>
      <c r="T62" s="120">
        <f>IF((H62-B62)*(1/3)+(N62-H62)*(2/3) + N62&gt;0,N62+(H62-B62)*(1/3)+(N62-H62)*(2/3),N62)</f>
        <v>7379.8100270000014</v>
      </c>
      <c r="U62" s="120">
        <f>IF((I62-C62)*(1/3)+(O62-I62)*(2/3) + O62&gt;0,O62+(I62-C62)*(1/3)+(O62-I62)*(2/3),O62)</f>
        <v>114.09333333333335</v>
      </c>
      <c r="V62" s="120">
        <f>IF((J62-D62)*(1/3)+(P62-J62)*(2/3) + P62&gt;0,P62+(J62-D62)*(1/3)+(P62-J62)*(2/3),P62)</f>
        <v>9.5300000000000029</v>
      </c>
      <c r="W62" s="120">
        <f>IF((K62-E62)*(1/3)+(Q62-K62)*(2/3) + Q62&gt;0,Q62+(K62-E62)*(1/3)+(Q62-K62)*(2/3),Q62)</f>
        <v>1.4333333333333331</v>
      </c>
      <c r="X62" s="120">
        <f>IF((L62-F62)*(1/3)+(R62-L62)*(2/3) + R62&gt;0,R62+(L62-F62)*(1/3)+(R62-L62)*(2/3),R62)</f>
        <v>773.08927543135246</v>
      </c>
      <c r="Y62" s="120">
        <f t="shared" si="2"/>
        <v>6605.2874182353153</v>
      </c>
      <c r="Z62" s="159">
        <f>AVERAGE(Y62,S62,M62)</f>
        <v>6105.6812843255002</v>
      </c>
      <c r="AA62" s="159">
        <f t="shared" si="3"/>
        <v>114.09333333333335</v>
      </c>
      <c r="AB62" s="159">
        <f t="shared" si="4"/>
        <v>9.5300000000000029</v>
      </c>
      <c r="AC62" s="159">
        <f t="shared" si="5"/>
        <v>774.52260876468574</v>
      </c>
      <c r="AD62" s="131">
        <v>4045480.0085999998</v>
      </c>
      <c r="AE62" s="160">
        <f>INDEX('Rate Assumptions'!$A:$B,MATCH('Base Allocation'!AE$2,'Rate Assumptions'!$A:$A,0),2)</f>
        <v>3988.586178572119</v>
      </c>
      <c r="AF62" s="160">
        <f>INDEX('Rate Assumptions'!$A:$B,MATCH('Base Allocation'!AF$2,'Rate Assumptions'!$A:$A,0),2)</f>
        <v>3988.586178572119</v>
      </c>
      <c r="AG62" s="160">
        <f>INDEX('Rate Assumptions'!$A:$B,MATCH('Base Allocation'!AG$2,'Rate Assumptions'!$A:$A,0),2)</f>
        <v>3988.586178572119</v>
      </c>
      <c r="AH62" s="160">
        <f>INDEX('Rate Assumptions'!$A:$B,MATCH('Base Allocation'!AH$2,'Rate Assumptions'!$A:$A,0),2)</f>
        <v>3988.586178572119</v>
      </c>
      <c r="AI62" s="161">
        <f>AD62+SUMPRODUCT(Z62:AC62,AE62:AH62)</f>
        <v>31980848.481019948</v>
      </c>
    </row>
    <row r="63" spans="1:35">
      <c r="A63" s="158" t="str">
        <f>[2]NamesDistrictCollegeCenter!B69</f>
        <v>Sierra Joint CCD</v>
      </c>
      <c r="B63" s="121">
        <v>12366.82</v>
      </c>
      <c r="C63" s="121">
        <v>274.82</v>
      </c>
      <c r="D63" s="121">
        <v>0</v>
      </c>
      <c r="E63" s="121"/>
      <c r="F63" s="121">
        <v>214.52</v>
      </c>
      <c r="G63" s="121">
        <f t="shared" si="0"/>
        <v>12152.3</v>
      </c>
      <c r="H63" s="121">
        <v>14916.480178999998</v>
      </c>
      <c r="I63" s="121">
        <v>308.75</v>
      </c>
      <c r="J63" s="121">
        <v>0</v>
      </c>
      <c r="K63" s="121"/>
      <c r="L63" s="121">
        <v>407.66</v>
      </c>
      <c r="M63" s="121">
        <f>H63-K63-L63</f>
        <v>14508.820178999998</v>
      </c>
      <c r="N63" s="122">
        <v>12537.92</v>
      </c>
      <c r="O63" s="122">
        <v>345.66</v>
      </c>
      <c r="P63" s="122">
        <v>7.7</v>
      </c>
      <c r="Q63" s="122">
        <v>0</v>
      </c>
      <c r="R63" s="122">
        <v>423.71</v>
      </c>
      <c r="S63" s="122">
        <f t="shared" si="1"/>
        <v>12114.210000000001</v>
      </c>
      <c r="T63" s="120">
        <f>IF((H63-B63)*(1/3)+(N63-H63)*(2/3) + N63&gt;0,N63+(H63-B63)*(1/3)+(N63-H63)*(2/3),N63)</f>
        <v>11802.099940333334</v>
      </c>
      <c r="U63" s="120">
        <f>IF((I63-C63)*(1/3)+(O63-I63)*(2/3) + O63&gt;0,O63+(I63-C63)*(1/3)+(O63-I63)*(2/3),O63)</f>
        <v>381.57666666666671</v>
      </c>
      <c r="V63" s="120">
        <f>IF((J63-D63)*(1/3)+(P63-J63)*(2/3) + P63&gt;0,P63+(J63-D63)*(1/3)+(P63-J63)*(2/3),P63)</f>
        <v>12.833333333333332</v>
      </c>
      <c r="W63" s="120">
        <f>IF((K63-E63)*(1/3)+(Q63-K63)*(2/3) + Q63&gt;0,Q63+(K63-E63)*(1/3)+(Q63-K63)*(2/3),Q63)</f>
        <v>0</v>
      </c>
      <c r="X63" s="120">
        <f>IF((L63-F63)*(1/3)+(R63-L63)*(2/3) + R63&gt;0,R63+(L63-F63)*(1/3)+(R63-L63)*(2/3),R63)</f>
        <v>498.78999999999996</v>
      </c>
      <c r="Y63" s="120">
        <f t="shared" si="2"/>
        <v>11303.309940333333</v>
      </c>
      <c r="Z63" s="159">
        <f>AVERAGE(Y63,S63,M63)</f>
        <v>12642.113373111109</v>
      </c>
      <c r="AA63" s="159">
        <f t="shared" si="3"/>
        <v>381.57666666666671</v>
      </c>
      <c r="AB63" s="159">
        <f t="shared" si="4"/>
        <v>12.833333333333332</v>
      </c>
      <c r="AC63" s="159">
        <f t="shared" si="5"/>
        <v>498.78999999999996</v>
      </c>
      <c r="AD63" s="131">
        <v>6911032.7796</v>
      </c>
      <c r="AE63" s="160">
        <f>INDEX('Rate Assumptions'!$A:$B,MATCH('Base Allocation'!AE$2,'Rate Assumptions'!$A:$A,0),2)</f>
        <v>3988.586178572119</v>
      </c>
      <c r="AF63" s="160">
        <f>INDEX('Rate Assumptions'!$A:$B,MATCH('Base Allocation'!AF$2,'Rate Assumptions'!$A:$A,0),2)</f>
        <v>3988.586178572119</v>
      </c>
      <c r="AG63" s="160">
        <f>INDEX('Rate Assumptions'!$A:$B,MATCH('Base Allocation'!AG$2,'Rate Assumptions'!$A:$A,0),2)</f>
        <v>3988.586178572119</v>
      </c>
      <c r="AH63" s="160">
        <f>INDEX('Rate Assumptions'!$A:$B,MATCH('Base Allocation'!AH$2,'Rate Assumptions'!$A:$A,0),2)</f>
        <v>3988.586178572119</v>
      </c>
      <c r="AI63" s="161">
        <f>AD63+SUMPRODUCT(Z63:AC63,AE63:AH63)</f>
        <v>60897796.622233339</v>
      </c>
    </row>
    <row r="64" spans="1:35">
      <c r="A64" s="158" t="str">
        <f>[2]NamesDistrictCollegeCenter!B70</f>
        <v>Siskiyou Joint CCD</v>
      </c>
      <c r="B64" s="121">
        <v>1935.6400000000003</v>
      </c>
      <c r="C64" s="121">
        <v>58.109999999999964</v>
      </c>
      <c r="D64" s="121">
        <v>505.14</v>
      </c>
      <c r="E64" s="121"/>
      <c r="F64" s="121">
        <v>94.43</v>
      </c>
      <c r="G64" s="121">
        <f t="shared" si="0"/>
        <v>1841.2100000000003</v>
      </c>
      <c r="H64" s="121">
        <v>1780.3400000000004</v>
      </c>
      <c r="I64" s="121">
        <v>80.459999999999965</v>
      </c>
      <c r="J64" s="121">
        <v>592.54</v>
      </c>
      <c r="K64" s="121"/>
      <c r="L64" s="121">
        <v>88.75</v>
      </c>
      <c r="M64" s="121">
        <f>H64-K64-L64</f>
        <v>1691.5900000000004</v>
      </c>
      <c r="N64" s="122">
        <v>1421.93</v>
      </c>
      <c r="O64" s="122">
        <v>102.13999999999999</v>
      </c>
      <c r="P64" s="122">
        <v>679.83</v>
      </c>
      <c r="Q64" s="122">
        <v>0</v>
      </c>
      <c r="R64" s="122">
        <v>64.040000000000006</v>
      </c>
      <c r="S64" s="122">
        <f t="shared" si="1"/>
        <v>1357.89</v>
      </c>
      <c r="T64" s="120">
        <f>IF((H64-B64)*(1/3)+(N64-H64)*(2/3) + N64&gt;0,N64+(H64-B64)*(1/3)+(N64-H64)*(2/3),N64)</f>
        <v>1131.2233333333331</v>
      </c>
      <c r="U64" s="120">
        <f>IF((I64-C64)*(1/3)+(O64-I64)*(2/3) + O64&gt;0,O64+(I64-C64)*(1/3)+(O64-I64)*(2/3),O64)</f>
        <v>124.04333333333334</v>
      </c>
      <c r="V64" s="120">
        <f>IF((J64-D64)*(1/3)+(P64-J64)*(2/3) + P64&gt;0,P64+(J64-D64)*(1/3)+(P64-J64)*(2/3),P64)</f>
        <v>767.15666666666675</v>
      </c>
      <c r="W64" s="120">
        <f>IF((K64-E64)*(1/3)+(Q64-K64)*(2/3) + Q64&gt;0,Q64+(K64-E64)*(1/3)+(Q64-K64)*(2/3),Q64)</f>
        <v>0</v>
      </c>
      <c r="X64" s="120">
        <f>IF((L64-F64)*(1/3)+(R64-L64)*(2/3) + R64&gt;0,R64+(L64-F64)*(1/3)+(R64-L64)*(2/3),R64)</f>
        <v>45.673333333333339</v>
      </c>
      <c r="Y64" s="120">
        <f t="shared" si="2"/>
        <v>1085.5499999999997</v>
      </c>
      <c r="Z64" s="159">
        <f>AVERAGE(Y64,S64,M64)</f>
        <v>1378.3433333333332</v>
      </c>
      <c r="AA64" s="159">
        <f t="shared" si="3"/>
        <v>124.04333333333334</v>
      </c>
      <c r="AB64" s="159">
        <f t="shared" si="4"/>
        <v>767.15666666666675</v>
      </c>
      <c r="AC64" s="159">
        <f t="shared" si="5"/>
        <v>45.673333333333339</v>
      </c>
      <c r="AD64" s="131">
        <v>5332192.5425999993</v>
      </c>
      <c r="AE64" s="160">
        <f>INDEX('Rate Assumptions'!$A:$B,MATCH('Base Allocation'!AE$2,'Rate Assumptions'!$A:$A,0),2)</f>
        <v>3988.586178572119</v>
      </c>
      <c r="AF64" s="160">
        <f>INDEX('Rate Assumptions'!$A:$B,MATCH('Base Allocation'!AF$2,'Rate Assumptions'!$A:$A,0),2)</f>
        <v>3988.586178572119</v>
      </c>
      <c r="AG64" s="160">
        <f>INDEX('Rate Assumptions'!$A:$B,MATCH('Base Allocation'!AG$2,'Rate Assumptions'!$A:$A,0),2)</f>
        <v>3988.586178572119</v>
      </c>
      <c r="AH64" s="160">
        <f>INDEX('Rate Assumptions'!$A:$B,MATCH('Base Allocation'!AH$2,'Rate Assumptions'!$A:$A,0),2)</f>
        <v>3988.586178572119</v>
      </c>
      <c r="AI64" s="161">
        <f>AD64+SUMPRODUCT(Z64:AC64,AE64:AH64)</f>
        <v>14566633.739666481</v>
      </c>
    </row>
    <row r="65" spans="1:35">
      <c r="A65" s="158" t="str">
        <f>[2]NamesDistrictCollegeCenter!B71</f>
        <v>Solano CCD</v>
      </c>
      <c r="B65" s="121">
        <v>6447.5199999999986</v>
      </c>
      <c r="C65" s="121">
        <v>37.480000000000004</v>
      </c>
      <c r="D65" s="121">
        <v>0</v>
      </c>
      <c r="E65" s="121">
        <v>91.04</v>
      </c>
      <c r="F65" s="121">
        <v>266.87</v>
      </c>
      <c r="G65" s="121">
        <f t="shared" si="0"/>
        <v>6089.6099999999988</v>
      </c>
      <c r="H65" s="121">
        <v>7907.2699999999986</v>
      </c>
      <c r="I65" s="121">
        <v>79.639883999999995</v>
      </c>
      <c r="J65" s="121">
        <v>0</v>
      </c>
      <c r="K65" s="121">
        <v>74.87</v>
      </c>
      <c r="L65" s="121">
        <v>476.15</v>
      </c>
      <c r="M65" s="121">
        <f>H65-K65-L65</f>
        <v>7356.2499999999991</v>
      </c>
      <c r="N65" s="122">
        <v>6150.89</v>
      </c>
      <c r="O65" s="122">
        <v>79.639883999999995</v>
      </c>
      <c r="P65" s="122">
        <v>0</v>
      </c>
      <c r="Q65" s="122">
        <v>81.77</v>
      </c>
      <c r="R65" s="122">
        <v>330.38</v>
      </c>
      <c r="S65" s="122">
        <f t="shared" si="1"/>
        <v>5738.74</v>
      </c>
      <c r="T65" s="120">
        <f>IF((H65-B65)*(1/3)+(N65-H65)*(2/3) + N65&gt;0,N65+(H65-B65)*(1/3)+(N65-H65)*(2/3),N65)</f>
        <v>5466.5533333333351</v>
      </c>
      <c r="U65" s="120">
        <f>IF((I65-C65)*(1/3)+(O65-I65)*(2/3) + O65&gt;0,O65+(I65-C65)*(1/3)+(O65-I65)*(2/3),O65)</f>
        <v>93.693178666666654</v>
      </c>
      <c r="V65" s="120">
        <f>IF((J65-D65)*(1/3)+(P65-J65)*(2/3) + P65&gt;0,P65+(J65-D65)*(1/3)+(P65-J65)*(2/3),P65)</f>
        <v>0</v>
      </c>
      <c r="W65" s="120">
        <f>IF((K65-E65)*(1/3)+(Q65-K65)*(2/3) + Q65&gt;0,Q65+(K65-E65)*(1/3)+(Q65-K65)*(2/3),Q65)</f>
        <v>80.97999999999999</v>
      </c>
      <c r="X65" s="120">
        <f>IF((L65-F65)*(1/3)+(R65-L65)*(2/3) + R65&gt;0,R65+(L65-F65)*(1/3)+(R65-L65)*(2/3),R65)</f>
        <v>302.96000000000004</v>
      </c>
      <c r="Y65" s="120">
        <f t="shared" si="2"/>
        <v>5082.6133333333355</v>
      </c>
      <c r="Z65" s="159">
        <f>AVERAGE(Y65,S65,M65)</f>
        <v>6059.2011111111124</v>
      </c>
      <c r="AA65" s="159">
        <f t="shared" si="3"/>
        <v>93.693178666666654</v>
      </c>
      <c r="AB65" s="159">
        <f t="shared" si="4"/>
        <v>0</v>
      </c>
      <c r="AC65" s="159">
        <f t="shared" si="5"/>
        <v>383.94000000000005</v>
      </c>
      <c r="AD65" s="131">
        <v>6742469.0904000001</v>
      </c>
      <c r="AE65" s="160">
        <f>INDEX('Rate Assumptions'!$A:$B,MATCH('Base Allocation'!AE$2,'Rate Assumptions'!$A:$A,0),2)</f>
        <v>3988.586178572119</v>
      </c>
      <c r="AF65" s="160">
        <f>INDEX('Rate Assumptions'!$A:$B,MATCH('Base Allocation'!AF$2,'Rate Assumptions'!$A:$A,0),2)</f>
        <v>3988.586178572119</v>
      </c>
      <c r="AG65" s="160">
        <f>INDEX('Rate Assumptions'!$A:$B,MATCH('Base Allocation'!AG$2,'Rate Assumptions'!$A:$A,0),2)</f>
        <v>3988.586178572119</v>
      </c>
      <c r="AH65" s="160">
        <f>INDEX('Rate Assumptions'!$A:$B,MATCH('Base Allocation'!AH$2,'Rate Assumptions'!$A:$A,0),2)</f>
        <v>3988.586178572119</v>
      </c>
      <c r="AI65" s="161">
        <f>AD65+SUMPRODUCT(Z65:AC65,AE65:AH65)</f>
        <v>32815195.99022394</v>
      </c>
    </row>
    <row r="66" spans="1:35">
      <c r="A66" s="158" t="str">
        <f>[2]NamesDistrictCollegeCenter!B72</f>
        <v>Sonoma County CCD</v>
      </c>
      <c r="B66" s="121">
        <v>13615.209999999995</v>
      </c>
      <c r="C66" s="121">
        <v>2409.2800000000002</v>
      </c>
      <c r="D66" s="121">
        <v>567.70000000000005</v>
      </c>
      <c r="E66" s="121">
        <v>4.75</v>
      </c>
      <c r="F66" s="121">
        <v>418.19</v>
      </c>
      <c r="G66" s="121">
        <f t="shared" si="0"/>
        <v>13192.269999999995</v>
      </c>
      <c r="H66" s="121">
        <v>16040.469999999996</v>
      </c>
      <c r="I66" s="121">
        <v>2860.299978</v>
      </c>
      <c r="J66" s="121">
        <v>550.23</v>
      </c>
      <c r="K66" s="121">
        <v>2.59</v>
      </c>
      <c r="L66" s="121">
        <v>523.80999999999995</v>
      </c>
      <c r="M66" s="121">
        <f>H66-K66-L66</f>
        <v>15514.069999999996</v>
      </c>
      <c r="N66" s="122">
        <v>16239</v>
      </c>
      <c r="O66" s="122">
        <v>2574</v>
      </c>
      <c r="P66" s="122">
        <v>638</v>
      </c>
      <c r="Q66" s="122">
        <v>10.1</v>
      </c>
      <c r="R66" s="122">
        <v>508.41</v>
      </c>
      <c r="S66" s="122">
        <f t="shared" si="1"/>
        <v>15720.49</v>
      </c>
      <c r="T66" s="120">
        <f>IF((H66-B66)*(1/3)+(N66-H66)*(2/3) + N66&gt;0,N66+(H66-B66)*(1/3)+(N66-H66)*(2/3),N66)</f>
        <v>17179.773333333334</v>
      </c>
      <c r="U66" s="120">
        <f>IF((I66-C66)*(1/3)+(O66-I66)*(2/3) + O66&gt;0,O66+(I66-C66)*(1/3)+(O66-I66)*(2/3),O66)</f>
        <v>2533.4733406666664</v>
      </c>
      <c r="V66" s="120">
        <f>IF((J66-D66)*(1/3)+(P66-J66)*(2/3) + P66&gt;0,P66+(J66-D66)*(1/3)+(P66-J66)*(2/3),P66)</f>
        <v>690.68999999999994</v>
      </c>
      <c r="W66" s="120">
        <f>IF((K66-E66)*(1/3)+(Q66-K66)*(2/3) + Q66&gt;0,Q66+(K66-E66)*(1/3)+(Q66-K66)*(2/3),Q66)</f>
        <v>14.386666666666665</v>
      </c>
      <c r="X66" s="120">
        <f>IF((L66-F66)*(1/3)+(R66-L66)*(2/3) + R66&gt;0,R66+(L66-F66)*(1/3)+(R66-L66)*(2/3),R66)</f>
        <v>533.35</v>
      </c>
      <c r="Y66" s="120">
        <f t="shared" si="2"/>
        <v>16632.03666666667</v>
      </c>
      <c r="Z66" s="159">
        <f>AVERAGE(Y66,S66,M66)</f>
        <v>15955.532222222222</v>
      </c>
      <c r="AA66" s="159">
        <f t="shared" si="3"/>
        <v>2533.4733406666664</v>
      </c>
      <c r="AB66" s="159">
        <f t="shared" si="4"/>
        <v>690.68999999999994</v>
      </c>
      <c r="AC66" s="159">
        <f t="shared" si="5"/>
        <v>547.73666666666668</v>
      </c>
      <c r="AD66" s="131">
        <v>9776581.4201999996</v>
      </c>
      <c r="AE66" s="160">
        <f>INDEX('Rate Assumptions'!$A:$B,MATCH('Base Allocation'!AE$2,'Rate Assumptions'!$A:$A,0),2)</f>
        <v>3988.586178572119</v>
      </c>
      <c r="AF66" s="160">
        <f>INDEX('Rate Assumptions'!$A:$B,MATCH('Base Allocation'!AF$2,'Rate Assumptions'!$A:$A,0),2)</f>
        <v>3988.586178572119</v>
      </c>
      <c r="AG66" s="160">
        <f>INDEX('Rate Assumptions'!$A:$B,MATCH('Base Allocation'!AG$2,'Rate Assumptions'!$A:$A,0),2)</f>
        <v>3988.586178572119</v>
      </c>
      <c r="AH66" s="160">
        <f>INDEX('Rate Assumptions'!$A:$B,MATCH('Base Allocation'!AH$2,'Rate Assumptions'!$A:$A,0),2)</f>
        <v>3988.586178572119</v>
      </c>
      <c r="AI66" s="161">
        <f>AD66+SUMPRODUCT(Z66:AC66,AE66:AH66)</f>
        <v>88461144.949723452</v>
      </c>
    </row>
    <row r="67" spans="1:35">
      <c r="A67" s="158" t="str">
        <f>[2]NamesDistrictCollegeCenter!B73</f>
        <v>South Orange County CCD</v>
      </c>
      <c r="B67" s="121">
        <v>24706.37</v>
      </c>
      <c r="C67" s="121">
        <v>2243.0898389999998</v>
      </c>
      <c r="D67" s="121">
        <v>415.98</v>
      </c>
      <c r="E67" s="121"/>
      <c r="F67" s="121">
        <v>593.07000000000005</v>
      </c>
      <c r="G67" s="121">
        <f t="shared" si="0"/>
        <v>24113.3</v>
      </c>
      <c r="H67" s="121">
        <v>23956.44</v>
      </c>
      <c r="I67" s="121">
        <v>2042.1199999999997</v>
      </c>
      <c r="J67" s="121">
        <v>977.03</v>
      </c>
      <c r="K67" s="121"/>
      <c r="L67" s="121">
        <v>693.52</v>
      </c>
      <c r="M67" s="121">
        <f>H67-K67-L67</f>
        <v>23262.92</v>
      </c>
      <c r="N67" s="122">
        <v>23248.43</v>
      </c>
      <c r="O67" s="122">
        <v>2104.67</v>
      </c>
      <c r="P67" s="122">
        <v>1070.21</v>
      </c>
      <c r="Q67" s="122">
        <v>0</v>
      </c>
      <c r="R67" s="122">
        <v>750.08</v>
      </c>
      <c r="S67" s="122">
        <f t="shared" si="1"/>
        <v>22498.35</v>
      </c>
      <c r="T67" s="120">
        <f>IF((H67-B67)*(1/3)+(N67-H67)*(2/3) + N67&gt;0,N67+(H67-B67)*(1/3)+(N67-H67)*(2/3),N67)</f>
        <v>22526.44666666667</v>
      </c>
      <c r="U67" s="120">
        <f>IF((I67-C67)*(1/3)+(O67-I67)*(2/3) + O67&gt;0,O67+(I67-C67)*(1/3)+(O67-I67)*(2/3),O67)</f>
        <v>2079.3800536666668</v>
      </c>
      <c r="V67" s="120">
        <f>IF((J67-D67)*(1/3)+(P67-J67)*(2/3) + P67&gt;0,P67+(J67-D67)*(1/3)+(P67-J67)*(2/3),P67)</f>
        <v>1319.3466666666668</v>
      </c>
      <c r="W67" s="120">
        <f>IF((K67-E67)*(1/3)+(Q67-K67)*(2/3) + Q67&gt;0,Q67+(K67-E67)*(1/3)+(Q67-K67)*(2/3),Q67)</f>
        <v>0</v>
      </c>
      <c r="X67" s="120">
        <f>IF((L67-F67)*(1/3)+(R67-L67)*(2/3) + R67&gt;0,R67+(L67-F67)*(1/3)+(R67-L67)*(2/3),R67)</f>
        <v>821.2700000000001</v>
      </c>
      <c r="Y67" s="120">
        <f t="shared" si="2"/>
        <v>21705.17666666667</v>
      </c>
      <c r="Z67" s="159">
        <f>AVERAGE(Y67,S67,M67)</f>
        <v>22488.815555555557</v>
      </c>
      <c r="AA67" s="159">
        <f t="shared" si="3"/>
        <v>2079.3800536666668</v>
      </c>
      <c r="AB67" s="159">
        <f t="shared" si="4"/>
        <v>1319.3466666666668</v>
      </c>
      <c r="AC67" s="159">
        <f t="shared" si="5"/>
        <v>821.2700000000001</v>
      </c>
      <c r="AD67" s="131">
        <v>9439458.1721999999</v>
      </c>
      <c r="AE67" s="160">
        <f>INDEX('Rate Assumptions'!$A:$B,MATCH('Base Allocation'!AE$2,'Rate Assumptions'!$A:$A,0),2)</f>
        <v>3988.586178572119</v>
      </c>
      <c r="AF67" s="160">
        <f>INDEX('Rate Assumptions'!$A:$B,MATCH('Base Allocation'!AF$2,'Rate Assumptions'!$A:$A,0),2)</f>
        <v>3988.586178572119</v>
      </c>
      <c r="AG67" s="160">
        <f>INDEX('Rate Assumptions'!$A:$B,MATCH('Base Allocation'!AG$2,'Rate Assumptions'!$A:$A,0),2)</f>
        <v>3988.586178572119</v>
      </c>
      <c r="AH67" s="160">
        <f>INDEX('Rate Assumptions'!$A:$B,MATCH('Base Allocation'!AH$2,'Rate Assumptions'!$A:$A,0),2)</f>
        <v>3988.586178572119</v>
      </c>
      <c r="AI67" s="161">
        <f>AD67+SUMPRODUCT(Z67:AC67,AE67:AH67)</f>
        <v>115969857.66188776</v>
      </c>
    </row>
    <row r="68" spans="1:35">
      <c r="A68" s="158" t="str">
        <f>[2]NamesDistrictCollegeCenter!B74</f>
        <v>Southwestern CCD</v>
      </c>
      <c r="B68" s="121">
        <v>15625.789987</v>
      </c>
      <c r="C68" s="121">
        <v>212.31</v>
      </c>
      <c r="D68" s="121">
        <v>38.970000000000006</v>
      </c>
      <c r="E68" s="121">
        <v>28.75</v>
      </c>
      <c r="F68" s="121">
        <v>154.74</v>
      </c>
      <c r="G68" s="121">
        <f t="shared" si="0"/>
        <v>15442.299987</v>
      </c>
      <c r="H68" s="121">
        <v>13083.04</v>
      </c>
      <c r="I68" s="121">
        <v>196.28</v>
      </c>
      <c r="J68" s="121">
        <v>38.400000000000006</v>
      </c>
      <c r="K68" s="121">
        <v>72.45</v>
      </c>
      <c r="L68" s="121">
        <v>232.12</v>
      </c>
      <c r="M68" s="121">
        <f>H68-K68-L68</f>
        <v>12778.47</v>
      </c>
      <c r="N68" s="122">
        <v>14539.77</v>
      </c>
      <c r="O68" s="122">
        <v>252.73999999999998</v>
      </c>
      <c r="P68" s="122">
        <v>21.97</v>
      </c>
      <c r="Q68" s="122">
        <v>62.87</v>
      </c>
      <c r="R68" s="122">
        <v>232.12</v>
      </c>
      <c r="S68" s="122">
        <f t="shared" si="1"/>
        <v>14244.779999999999</v>
      </c>
      <c r="T68" s="120">
        <f>IF((H68-B68)*(1/3)+(N68-H68)*(2/3) + N68&gt;0,N68+(H68-B68)*(1/3)+(N68-H68)*(2/3),N68)</f>
        <v>14663.340004333335</v>
      </c>
      <c r="U68" s="120">
        <f>IF((I68-C68)*(1/3)+(O68-I68)*(2/3) + O68&gt;0,O68+(I68-C68)*(1/3)+(O68-I68)*(2/3),O68)</f>
        <v>285.03666666666663</v>
      </c>
      <c r="V68" s="120">
        <f>IF((J68-D68)*(1/3)+(P68-J68)*(2/3) + P68&gt;0,P68+(J68-D68)*(1/3)+(P68-J68)*(2/3),P68)</f>
        <v>10.826666666666661</v>
      </c>
      <c r="W68" s="120">
        <f>IF((K68-E68)*(1/3)+(Q68-K68)*(2/3) + Q68&gt;0,Q68+(K68-E68)*(1/3)+(Q68-K68)*(2/3),Q68)</f>
        <v>71.05</v>
      </c>
      <c r="X68" s="120">
        <f>IF((L68-F68)*(1/3)+(R68-L68)*(2/3) + R68&gt;0,R68+(L68-F68)*(1/3)+(R68-L68)*(2/3),R68)</f>
        <v>257.91333333333336</v>
      </c>
      <c r="Y68" s="120">
        <f t="shared" si="2"/>
        <v>14334.376671000002</v>
      </c>
      <c r="Z68" s="159">
        <f>AVERAGE(Y68,S68,M68)</f>
        <v>13785.875556999999</v>
      </c>
      <c r="AA68" s="159">
        <f t="shared" si="3"/>
        <v>285.03666666666663</v>
      </c>
      <c r="AB68" s="159">
        <f t="shared" si="4"/>
        <v>10.826666666666661</v>
      </c>
      <c r="AC68" s="159">
        <f t="shared" si="5"/>
        <v>328.96333333333337</v>
      </c>
      <c r="AD68" s="131">
        <v>9439458.1721999999</v>
      </c>
      <c r="AE68" s="160">
        <f>INDEX('Rate Assumptions'!$A:$B,MATCH('Base Allocation'!AE$2,'Rate Assumptions'!$A:$A,0),2)</f>
        <v>3988.586178572119</v>
      </c>
      <c r="AF68" s="160">
        <f>INDEX('Rate Assumptions'!$A:$B,MATCH('Base Allocation'!AF$2,'Rate Assumptions'!$A:$A,0),2)</f>
        <v>3988.586178572119</v>
      </c>
      <c r="AG68" s="160">
        <f>INDEX('Rate Assumptions'!$A:$B,MATCH('Base Allocation'!AG$2,'Rate Assumptions'!$A:$A,0),2)</f>
        <v>3988.586178572119</v>
      </c>
      <c r="AH68" s="160">
        <f>INDEX('Rate Assumptions'!$A:$B,MATCH('Base Allocation'!AH$2,'Rate Assumptions'!$A:$A,0),2)</f>
        <v>3988.586178572119</v>
      </c>
      <c r="AI68" s="161">
        <f>AD68+SUMPRODUCT(Z68:AC68,AE68:AH68)</f>
        <v>66917785.885035373</v>
      </c>
    </row>
    <row r="69" spans="1:35">
      <c r="A69" s="158" t="str">
        <f>[2]NamesDistrictCollegeCenter!B75</f>
        <v>State Center CCD</v>
      </c>
      <c r="B69" s="121">
        <v>26963.420000000006</v>
      </c>
      <c r="C69" s="121">
        <v>231</v>
      </c>
      <c r="D69" s="121">
        <v>129.60000000000002</v>
      </c>
      <c r="E69" s="121"/>
      <c r="F69" s="121">
        <v>951.28</v>
      </c>
      <c r="G69" s="121">
        <f t="shared" ref="G69:G76" si="6">B69-E69-F69</f>
        <v>26012.140000000007</v>
      </c>
      <c r="H69" s="121">
        <v>31058.822104000006</v>
      </c>
      <c r="I69" s="121">
        <v>310.10000000000002</v>
      </c>
      <c r="J69" s="121">
        <v>171.51000000000002</v>
      </c>
      <c r="K69" s="121"/>
      <c r="L69" s="121">
        <v>1450.43</v>
      </c>
      <c r="M69" s="121">
        <f>H69-K69-L69</f>
        <v>29608.392104000006</v>
      </c>
      <c r="N69" s="122">
        <v>29862.79</v>
      </c>
      <c r="O69" s="122">
        <v>310.10000000000002</v>
      </c>
      <c r="P69" s="122">
        <v>171.51000000000002</v>
      </c>
      <c r="Q69" s="122">
        <v>0</v>
      </c>
      <c r="R69" s="122">
        <v>1651.08</v>
      </c>
      <c r="S69" s="122">
        <f t="shared" si="1"/>
        <v>28211.71</v>
      </c>
      <c r="T69" s="120">
        <f>IF((H69-B69)*(1/3)+(N69-H69)*(2/3) + N69&gt;0,N69+(H69-B69)*(1/3)+(N69-H69)*(2/3),N69)</f>
        <v>30430.569298666662</v>
      </c>
      <c r="U69" s="120">
        <f>IF((I69-C69)*(1/3)+(O69-I69)*(2/3) + O69&gt;0,O69+(I69-C69)*(1/3)+(O69-I69)*(2/3),O69)</f>
        <v>336.4666666666667</v>
      </c>
      <c r="V69" s="120">
        <f>IF((J69-D69)*(1/3)+(P69-J69)*(2/3) + P69&gt;0,P69+(J69-D69)*(1/3)+(P69-J69)*(2/3),P69)</f>
        <v>185.48000000000002</v>
      </c>
      <c r="W69" s="120">
        <f>IF((K69-E69)*(1/3)+(Q69-K69)*(2/3) + Q69&gt;0,Q69+(K69-E69)*(1/3)+(Q69-K69)*(2/3),Q69)</f>
        <v>0</v>
      </c>
      <c r="X69" s="120">
        <f>IF((L69-F69)*(1/3)+(R69-L69)*(2/3) + R69&gt;0,R69+(L69-F69)*(1/3)+(R69-L69)*(2/3),R69)</f>
        <v>1951.23</v>
      </c>
      <c r="Y69" s="120">
        <f t="shared" si="2"/>
        <v>28479.339298666662</v>
      </c>
      <c r="Z69" s="159">
        <f>AVERAGE(Y69,S69,M69)</f>
        <v>28766.480467555561</v>
      </c>
      <c r="AA69" s="159">
        <f t="shared" si="3"/>
        <v>336.4666666666667</v>
      </c>
      <c r="AB69" s="159">
        <f t="shared" si="4"/>
        <v>185.48000000000002</v>
      </c>
      <c r="AC69" s="159">
        <f t="shared" si="5"/>
        <v>1951.23</v>
      </c>
      <c r="AD69" s="131">
        <v>15507677.6688</v>
      </c>
      <c r="AE69" s="160">
        <f>INDEX('Rate Assumptions'!$A:$B,MATCH('Base Allocation'!AE$2,'Rate Assumptions'!$A:$A,0),2)</f>
        <v>3988.586178572119</v>
      </c>
      <c r="AF69" s="160">
        <f>INDEX('Rate Assumptions'!$A:$B,MATCH('Base Allocation'!AF$2,'Rate Assumptions'!$A:$A,0),2)</f>
        <v>3988.586178572119</v>
      </c>
      <c r="AG69" s="160">
        <f>INDEX('Rate Assumptions'!$A:$B,MATCH('Base Allocation'!AG$2,'Rate Assumptions'!$A:$A,0),2)</f>
        <v>3988.586178572119</v>
      </c>
      <c r="AH69" s="160">
        <f>INDEX('Rate Assumptions'!$A:$B,MATCH('Base Allocation'!AH$2,'Rate Assumptions'!$A:$A,0),2)</f>
        <v>3988.586178572119</v>
      </c>
      <c r="AI69" s="161">
        <f>AD69+SUMPRODUCT(Z69:AC69,AE69:AH69)</f>
        <v>140109742.33769068</v>
      </c>
    </row>
    <row r="70" spans="1:35">
      <c r="A70" s="158" t="str">
        <f>[2]NamesDistrictCollegeCenter!B76</f>
        <v>Ventura County CCD</v>
      </c>
      <c r="B70" s="121">
        <v>25334.640000000007</v>
      </c>
      <c r="C70" s="121">
        <v>72.22999999999999</v>
      </c>
      <c r="D70" s="121">
        <v>0</v>
      </c>
      <c r="E70" s="121"/>
      <c r="F70" s="121">
        <v>592.75</v>
      </c>
      <c r="G70" s="121">
        <f t="shared" si="6"/>
        <v>24741.890000000007</v>
      </c>
      <c r="H70" s="121">
        <v>26548.327543000007</v>
      </c>
      <c r="I70" s="121">
        <v>116.97</v>
      </c>
      <c r="J70" s="121">
        <v>1.69</v>
      </c>
      <c r="K70" s="121"/>
      <c r="L70" s="121">
        <v>749.34</v>
      </c>
      <c r="M70" s="121">
        <f>H70-K70-L70</f>
        <v>25798.987543000007</v>
      </c>
      <c r="N70" s="122">
        <v>24971.89</v>
      </c>
      <c r="O70" s="122">
        <v>113.94999999999999</v>
      </c>
      <c r="P70" s="122">
        <v>3.65</v>
      </c>
      <c r="Q70" s="122">
        <v>4.76</v>
      </c>
      <c r="R70" s="122">
        <v>1568.5</v>
      </c>
      <c r="S70" s="122">
        <f t="shared" ref="S70:S76" si="7">N70-Q70-R70</f>
        <v>23398.63</v>
      </c>
      <c r="T70" s="120">
        <f>IF((H70-B70)*(1/3)+(N70-H70)*(2/3) + N70&gt;0,N70+(H70-B70)*(1/3)+(N70-H70)*(2/3),N70)</f>
        <v>24325.494152333329</v>
      </c>
      <c r="U70" s="120">
        <f>IF((I70-C70)*(1/3)+(O70-I70)*(2/3) + O70&gt;0,O70+(I70-C70)*(1/3)+(O70-I70)*(2/3),O70)</f>
        <v>126.84999999999998</v>
      </c>
      <c r="V70" s="120">
        <f>IF((J70-D70)*(1/3)+(P70-J70)*(2/3) + P70&gt;0,P70+(J70-D70)*(1/3)+(P70-J70)*(2/3),P70)</f>
        <v>5.52</v>
      </c>
      <c r="W70" s="120">
        <f>IF((K70-E70)*(1/3)+(Q70-K70)*(2/3) + Q70&gt;0,Q70+(K70-E70)*(1/3)+(Q70-K70)*(2/3),Q70)</f>
        <v>7.9333333333333327</v>
      </c>
      <c r="X70" s="120">
        <f>IF((L70-F70)*(1/3)+(R70-L70)*(2/3) + R70&gt;0,R70+(L70-F70)*(1/3)+(R70-L70)*(2/3),R70)</f>
        <v>2166.8033333333333</v>
      </c>
      <c r="Y70" s="120">
        <f t="shared" ref="Y70:Y76" si="8">T70-W70-X70</f>
        <v>22150.757485666662</v>
      </c>
      <c r="Z70" s="159">
        <f>AVERAGE(Y70,S70,M70)</f>
        <v>23782.791676222227</v>
      </c>
      <c r="AA70" s="159">
        <f t="shared" ref="AA70:AA76" si="9">U70</f>
        <v>126.84999999999998</v>
      </c>
      <c r="AB70" s="159">
        <f t="shared" ref="AB70:AB76" si="10">V70</f>
        <v>5.52</v>
      </c>
      <c r="AC70" s="159">
        <f t="shared" ref="AC70:AC76" si="11">SUM(W70:X70)</f>
        <v>2174.7366666666667</v>
      </c>
      <c r="AD70" s="131">
        <v>13484938.1808</v>
      </c>
      <c r="AE70" s="160">
        <f>INDEX('Rate Assumptions'!$A:$B,MATCH('Base Allocation'!AE$2,'Rate Assumptions'!$A:$A,0),2)</f>
        <v>3988.586178572119</v>
      </c>
      <c r="AF70" s="160">
        <f>INDEX('Rate Assumptions'!$A:$B,MATCH('Base Allocation'!AF$2,'Rate Assumptions'!$A:$A,0),2)</f>
        <v>3988.586178572119</v>
      </c>
      <c r="AG70" s="160">
        <f>INDEX('Rate Assumptions'!$A:$B,MATCH('Base Allocation'!AG$2,'Rate Assumptions'!$A:$A,0),2)</f>
        <v>3988.586178572119</v>
      </c>
      <c r="AH70" s="160">
        <f>INDEX('Rate Assumptions'!$A:$B,MATCH('Base Allocation'!AH$2,'Rate Assumptions'!$A:$A,0),2)</f>
        <v>3988.586178572119</v>
      </c>
      <c r="AI70" s="161">
        <f>AD70+SUMPRODUCT(Z70:AC70,AE70:AH70)</f>
        <v>117546746.11159828</v>
      </c>
    </row>
    <row r="71" spans="1:35">
      <c r="A71" s="158" t="str">
        <f>[2]NamesDistrictCollegeCenter!B77</f>
        <v>Victor Valley CCD</v>
      </c>
      <c r="B71" s="121">
        <v>9420.2099219999982</v>
      </c>
      <c r="C71" s="121">
        <v>54.72</v>
      </c>
      <c r="D71" s="121">
        <v>0</v>
      </c>
      <c r="E71" s="121"/>
      <c r="F71" s="121">
        <v>994.72</v>
      </c>
      <c r="G71" s="121">
        <f t="shared" si="6"/>
        <v>8425.4899219999988</v>
      </c>
      <c r="H71" s="121">
        <v>9561.0413739999985</v>
      </c>
      <c r="I71" s="121">
        <v>79.12</v>
      </c>
      <c r="J71" s="121">
        <v>0</v>
      </c>
      <c r="K71" s="121"/>
      <c r="L71" s="121">
        <v>560.21</v>
      </c>
      <c r="M71" s="121">
        <f>H71-K71-L71</f>
        <v>9000.8313739999976</v>
      </c>
      <c r="N71" s="122">
        <v>9596.02</v>
      </c>
      <c r="O71" s="122">
        <v>57.68</v>
      </c>
      <c r="P71" s="122">
        <v>0</v>
      </c>
      <c r="Q71" s="122">
        <v>0</v>
      </c>
      <c r="R71" s="122">
        <v>372.01</v>
      </c>
      <c r="S71" s="122">
        <f t="shared" si="7"/>
        <v>9224.01</v>
      </c>
      <c r="T71" s="120">
        <f>IF((H71-B71)*(1/3)+(N71-H71)*(2/3) + N71&gt;0,N71+(H71-B71)*(1/3)+(N71-H71)*(2/3),N71)</f>
        <v>9666.2829013333339</v>
      </c>
      <c r="U71" s="120">
        <f>IF((I71-C71)*(1/3)+(O71-I71)*(2/3) + O71&gt;0,O71+(I71-C71)*(1/3)+(O71-I71)*(2/3),O71)</f>
        <v>51.519999999999996</v>
      </c>
      <c r="V71" s="120">
        <f>IF((J71-D71)*(1/3)+(P71-J71)*(2/3) + P71&gt;0,P71+(J71-D71)*(1/3)+(P71-J71)*(2/3),P71)</f>
        <v>0</v>
      </c>
      <c r="W71" s="120">
        <f>IF((K71-E71)*(1/3)+(Q71-K71)*(2/3) + Q71&gt;0,Q71+(K71-E71)*(1/3)+(Q71-K71)*(2/3),Q71)</f>
        <v>0</v>
      </c>
      <c r="X71" s="120">
        <f>IF((L71-F71)*(1/3)+(R71-L71)*(2/3) + R71&gt;0,R71+(L71-F71)*(1/3)+(R71-L71)*(2/3),R71)</f>
        <v>101.70666666666665</v>
      </c>
      <c r="Y71" s="120">
        <f t="shared" si="8"/>
        <v>9564.576234666667</v>
      </c>
      <c r="Z71" s="159">
        <f>AVERAGE(Y71,S71,M71)</f>
        <v>9263.1392028888895</v>
      </c>
      <c r="AA71" s="159">
        <f t="shared" si="9"/>
        <v>51.519999999999996</v>
      </c>
      <c r="AB71" s="159">
        <f t="shared" si="10"/>
        <v>0</v>
      </c>
      <c r="AC71" s="159">
        <f t="shared" si="11"/>
        <v>101.70666666666665</v>
      </c>
      <c r="AD71" s="131">
        <v>4045480.0085999998</v>
      </c>
      <c r="AE71" s="160">
        <f>INDEX('Rate Assumptions'!$A:$B,MATCH('Base Allocation'!AE$2,'Rate Assumptions'!$A:$A,0),2)</f>
        <v>3988.586178572119</v>
      </c>
      <c r="AF71" s="160">
        <f>INDEX('Rate Assumptions'!$A:$B,MATCH('Base Allocation'!AF$2,'Rate Assumptions'!$A:$A,0),2)</f>
        <v>3988.586178572119</v>
      </c>
      <c r="AG71" s="160">
        <f>INDEX('Rate Assumptions'!$A:$B,MATCH('Base Allocation'!AG$2,'Rate Assumptions'!$A:$A,0),2)</f>
        <v>3988.586178572119</v>
      </c>
      <c r="AH71" s="160">
        <f>INDEX('Rate Assumptions'!$A:$B,MATCH('Base Allocation'!AH$2,'Rate Assumptions'!$A:$A,0),2)</f>
        <v>3988.586178572119</v>
      </c>
      <c r="AI71" s="161">
        <f>AD71+SUMPRODUCT(Z71:AC71,AE71:AH71)</f>
        <v>41603466.768287517</v>
      </c>
    </row>
    <row r="72" spans="1:35">
      <c r="A72" s="158" t="str">
        <f>[2]NamesDistrictCollegeCenter!B78</f>
        <v>West Hills CCD</v>
      </c>
      <c r="B72" s="121">
        <v>5148.6799360000005</v>
      </c>
      <c r="C72" s="121">
        <v>351.54999999999995</v>
      </c>
      <c r="D72" s="121">
        <v>0</v>
      </c>
      <c r="E72" s="121"/>
      <c r="F72" s="121">
        <v>340.41</v>
      </c>
      <c r="G72" s="121">
        <f t="shared" si="6"/>
        <v>4808.2699360000006</v>
      </c>
      <c r="H72" s="121">
        <v>5384.0108210000008</v>
      </c>
      <c r="I72" s="121">
        <v>363.34999999999997</v>
      </c>
      <c r="J72" s="121">
        <v>0</v>
      </c>
      <c r="K72" s="121">
        <v>44.489999999999995</v>
      </c>
      <c r="L72" s="121">
        <v>512.37</v>
      </c>
      <c r="M72" s="121">
        <f>H72-K72-L72</f>
        <v>4827.1508210000011</v>
      </c>
      <c r="N72" s="122">
        <v>5791.4</v>
      </c>
      <c r="O72" s="122">
        <v>319.88</v>
      </c>
      <c r="P72" s="122">
        <v>0</v>
      </c>
      <c r="Q72" s="122">
        <v>148.04</v>
      </c>
      <c r="R72" s="122">
        <v>316.95987423270151</v>
      </c>
      <c r="S72" s="122">
        <f t="shared" si="7"/>
        <v>5326.4001257672981</v>
      </c>
      <c r="T72" s="120">
        <f>IF((H72-B72)*(1/3)+(N72-H72)*(2/3) + N72&gt;0,N72+(H72-B72)*(1/3)+(N72-H72)*(2/3),N72)</f>
        <v>6141.4364143333323</v>
      </c>
      <c r="U72" s="120">
        <f>IF((I72-C72)*(1/3)+(O72-I72)*(2/3) + O72&gt;0,O72+(I72-C72)*(1/3)+(O72-I72)*(2/3),O72)</f>
        <v>294.83333333333337</v>
      </c>
      <c r="V72" s="120">
        <f>IF((J72-D72)*(1/3)+(P72-J72)*(2/3) + P72&gt;0,P72+(J72-D72)*(1/3)+(P72-J72)*(2/3),P72)</f>
        <v>0</v>
      </c>
      <c r="W72" s="120">
        <f>IF((K72-E72)*(1/3)+(Q72-K72)*(2/3) + Q72&gt;0,Q72+(K72-E72)*(1/3)+(Q72-K72)*(2/3),Q72)</f>
        <v>231.90333333333334</v>
      </c>
      <c r="X72" s="120">
        <f>IF((L72-F72)*(1/3)+(R72-L72)*(2/3) + R72&gt;0,R72+(L72-F72)*(1/3)+(R72-L72)*(2/3),R72)</f>
        <v>244.0064570545025</v>
      </c>
      <c r="Y72" s="120">
        <f t="shared" si="8"/>
        <v>5665.5266239454959</v>
      </c>
      <c r="Z72" s="159">
        <f>AVERAGE(Y72,S72,M72)</f>
        <v>5273.0258569042653</v>
      </c>
      <c r="AA72" s="159">
        <f t="shared" si="9"/>
        <v>294.83333333333337</v>
      </c>
      <c r="AB72" s="159">
        <f t="shared" si="10"/>
        <v>0</v>
      </c>
      <c r="AC72" s="159">
        <f t="shared" si="11"/>
        <v>475.90979038783587</v>
      </c>
      <c r="AD72" s="131">
        <v>8428084.2977999989</v>
      </c>
      <c r="AE72" s="160">
        <f>INDEX('Rate Assumptions'!$A:$B,MATCH('Base Allocation'!AE$2,'Rate Assumptions'!$A:$A,0),2)</f>
        <v>3988.586178572119</v>
      </c>
      <c r="AF72" s="160">
        <f>INDEX('Rate Assumptions'!$A:$B,MATCH('Base Allocation'!AF$2,'Rate Assumptions'!$A:$A,0),2)</f>
        <v>3988.586178572119</v>
      </c>
      <c r="AG72" s="160">
        <f>INDEX('Rate Assumptions'!$A:$B,MATCH('Base Allocation'!AG$2,'Rate Assumptions'!$A:$A,0),2)</f>
        <v>3988.586178572119</v>
      </c>
      <c r="AH72" s="160">
        <f>INDEX('Rate Assumptions'!$A:$B,MATCH('Base Allocation'!AH$2,'Rate Assumptions'!$A:$A,0),2)</f>
        <v>3988.586178572119</v>
      </c>
      <c r="AI72" s="161">
        <f>AD72+SUMPRODUCT(Z72:AC72,AE72:AH72)</f>
        <v>32534177.720405512</v>
      </c>
    </row>
    <row r="73" spans="1:35">
      <c r="A73" s="158" t="str">
        <f>[2]NamesDistrictCollegeCenter!B79</f>
        <v>West Kern CCD</v>
      </c>
      <c r="B73" s="121">
        <v>2609.5800659999995</v>
      </c>
      <c r="C73" s="121">
        <v>31.34</v>
      </c>
      <c r="D73" s="121">
        <v>0</v>
      </c>
      <c r="E73" s="121">
        <v>58.7</v>
      </c>
      <c r="F73" s="121">
        <v>17.57</v>
      </c>
      <c r="G73" s="121">
        <f t="shared" si="6"/>
        <v>2533.3100659999996</v>
      </c>
      <c r="H73" s="121">
        <v>2827.0941699999994</v>
      </c>
      <c r="I73" s="121">
        <v>0.42000000000000171</v>
      </c>
      <c r="J73" s="121">
        <v>0</v>
      </c>
      <c r="K73" s="121">
        <v>44.040000000000006</v>
      </c>
      <c r="L73" s="121">
        <v>17.420000000000002</v>
      </c>
      <c r="M73" s="121">
        <f>H73-K73-L73</f>
        <v>2765.6341699999994</v>
      </c>
      <c r="N73" s="122">
        <v>2909.06</v>
      </c>
      <c r="O73" s="122">
        <v>0</v>
      </c>
      <c r="P73" s="122">
        <v>0</v>
      </c>
      <c r="Q73" s="122">
        <v>50.127583295720932</v>
      </c>
      <c r="R73" s="122">
        <v>0</v>
      </c>
      <c r="S73" s="122">
        <f t="shared" si="7"/>
        <v>2858.9324167042791</v>
      </c>
      <c r="T73" s="120">
        <f>IF((H73-B73)*(1/3)+(N73-H73)*(2/3) + N73&gt;0,N73+(H73-B73)*(1/3)+(N73-H73)*(2/3),N73)</f>
        <v>3036.2085880000004</v>
      </c>
      <c r="U73" s="120">
        <f>IF((I73-C73)*(1/3)+(O73-I73)*(2/3) + O73&gt;0,O73+(I73-C73)*(1/3)+(O73-I73)*(2/3),O73)</f>
        <v>0</v>
      </c>
      <c r="V73" s="120">
        <f>IF((J73-D73)*(1/3)+(P73-J73)*(2/3) + P73&gt;0,P73+(J73-D73)*(1/3)+(P73-J73)*(2/3),P73)</f>
        <v>0</v>
      </c>
      <c r="W73" s="120">
        <f>IF((K73-E73)*(1/3)+(Q73-K73)*(2/3) + Q73&gt;0,Q73+(K73-E73)*(1/3)+(Q73-K73)*(2/3),Q73)</f>
        <v>49.299305492868221</v>
      </c>
      <c r="X73" s="120">
        <f>IF((L73-F73)*(1/3)+(R73-L73)*(2/3) + R73&gt;0,R73+(L73-F73)*(1/3)+(R73-L73)*(2/3),R73)</f>
        <v>0</v>
      </c>
      <c r="Y73" s="120">
        <f t="shared" si="8"/>
        <v>2986.909282507132</v>
      </c>
      <c r="Z73" s="159">
        <f>AVERAGE(Y73,S73,M73)</f>
        <v>2870.4919564038032</v>
      </c>
      <c r="AA73" s="159">
        <f t="shared" si="9"/>
        <v>0</v>
      </c>
      <c r="AB73" s="159">
        <f t="shared" si="10"/>
        <v>0</v>
      </c>
      <c r="AC73" s="159">
        <f t="shared" si="11"/>
        <v>49.299305492868221</v>
      </c>
      <c r="AD73" s="131">
        <v>5332192.5425999993</v>
      </c>
      <c r="AE73" s="160">
        <f>INDEX('Rate Assumptions'!$A:$B,MATCH('Base Allocation'!AE$2,'Rate Assumptions'!$A:$A,0),2)</f>
        <v>3988.586178572119</v>
      </c>
      <c r="AF73" s="160">
        <f>INDEX('Rate Assumptions'!$A:$B,MATCH('Base Allocation'!AF$2,'Rate Assumptions'!$A:$A,0),2)</f>
        <v>3988.586178572119</v>
      </c>
      <c r="AG73" s="160">
        <f>INDEX('Rate Assumptions'!$A:$B,MATCH('Base Allocation'!AG$2,'Rate Assumptions'!$A:$A,0),2)</f>
        <v>3988.586178572119</v>
      </c>
      <c r="AH73" s="160">
        <f>INDEX('Rate Assumptions'!$A:$B,MATCH('Base Allocation'!AH$2,'Rate Assumptions'!$A:$A,0),2)</f>
        <v>3988.586178572119</v>
      </c>
      <c r="AI73" s="161">
        <f>AD73+SUMPRODUCT(Z73:AC73,AE73:AH73)</f>
        <v>16978031.61411671</v>
      </c>
    </row>
    <row r="74" spans="1:35">
      <c r="A74" s="158" t="str">
        <f>[2]NamesDistrictCollegeCenter!B80</f>
        <v>West Valley-Mission CCD</v>
      </c>
      <c r="B74" s="121">
        <v>11784.29</v>
      </c>
      <c r="C74" s="121">
        <v>1030.4400000000003</v>
      </c>
      <c r="D74" s="121">
        <v>0</v>
      </c>
      <c r="E74" s="121"/>
      <c r="F74" s="121">
        <v>293.69</v>
      </c>
      <c r="G74" s="121">
        <f t="shared" si="6"/>
        <v>11490.6</v>
      </c>
      <c r="H74" s="121">
        <v>11473.35</v>
      </c>
      <c r="I74" s="121">
        <v>1198.9900000000002</v>
      </c>
      <c r="J74" s="121">
        <v>0</v>
      </c>
      <c r="K74" s="121">
        <v>0.87000000000000011</v>
      </c>
      <c r="L74" s="121">
        <v>497.63</v>
      </c>
      <c r="M74" s="121">
        <f>H74-K74-L74</f>
        <v>10974.85</v>
      </c>
      <c r="N74" s="122">
        <v>10022.19</v>
      </c>
      <c r="O74" s="122">
        <v>1198.9900000000002</v>
      </c>
      <c r="P74" s="122">
        <v>3.8018210856508343</v>
      </c>
      <c r="Q74" s="122">
        <v>0</v>
      </c>
      <c r="R74" s="122">
        <v>410.43</v>
      </c>
      <c r="S74" s="122">
        <f t="shared" si="7"/>
        <v>9611.76</v>
      </c>
      <c r="T74" s="120">
        <f>IF((H74-B74)*(1/3)+(N74-H74)*(2/3) + N74&gt;0,N74+(H74-B74)*(1/3)+(N74-H74)*(2/3),N74)</f>
        <v>8951.1033333333326</v>
      </c>
      <c r="U74" s="120">
        <f>IF((I74-C74)*(1/3)+(O74-I74)*(2/3) + O74&gt;0,O74+(I74-C74)*(1/3)+(O74-I74)*(2/3),O74)</f>
        <v>1255.1733333333336</v>
      </c>
      <c r="V74" s="120">
        <f>IF((J74-D74)*(1/3)+(P74-J74)*(2/3) + P74&gt;0,P74+(J74-D74)*(1/3)+(P74-J74)*(2/3),P74)</f>
        <v>6.3363684760847239</v>
      </c>
      <c r="W74" s="120">
        <f>IF((K74-E74)*(1/3)+(Q74-K74)*(2/3) + Q74&gt;0,Q74+(K74-E74)*(1/3)+(Q74-K74)*(2/3),Q74)</f>
        <v>0</v>
      </c>
      <c r="X74" s="120">
        <f>IF((L74-F74)*(1/3)+(R74-L74)*(2/3) + R74&gt;0,R74+(L74-F74)*(1/3)+(R74-L74)*(2/3),R74)</f>
        <v>420.27666666666664</v>
      </c>
      <c r="Y74" s="120">
        <f t="shared" si="8"/>
        <v>8530.8266666666659</v>
      </c>
      <c r="Z74" s="159">
        <f>AVERAGE(Y74,S74,M74)</f>
        <v>9705.8122222222228</v>
      </c>
      <c r="AA74" s="159">
        <f t="shared" si="9"/>
        <v>1255.1733333333336</v>
      </c>
      <c r="AB74" s="159">
        <f t="shared" si="10"/>
        <v>6.3363684760847239</v>
      </c>
      <c r="AC74" s="159">
        <f t="shared" si="11"/>
        <v>420.27666666666664</v>
      </c>
      <c r="AD74" s="131">
        <v>8090961.0498000002</v>
      </c>
      <c r="AE74" s="160">
        <f>INDEX('Rate Assumptions'!$A:$B,MATCH('Base Allocation'!AE$2,'Rate Assumptions'!$A:$A,0),2)</f>
        <v>3988.586178572119</v>
      </c>
      <c r="AF74" s="160">
        <f>INDEX('Rate Assumptions'!$A:$B,MATCH('Base Allocation'!AF$2,'Rate Assumptions'!$A:$A,0),2)</f>
        <v>3988.586178572119</v>
      </c>
      <c r="AG74" s="160">
        <f>INDEX('Rate Assumptions'!$A:$B,MATCH('Base Allocation'!AG$2,'Rate Assumptions'!$A:$A,0),2)</f>
        <v>3988.586178572119</v>
      </c>
      <c r="AH74" s="160">
        <f>INDEX('Rate Assumptions'!$A:$B,MATCH('Base Allocation'!AH$2,'Rate Assumptions'!$A:$A,0),2)</f>
        <v>3988.586178572119</v>
      </c>
      <c r="AI74" s="161">
        <f>AD74+SUMPRODUCT(Z74:AC74,AE74:AH74)</f>
        <v>53511379.395786613</v>
      </c>
    </row>
    <row r="75" spans="1:35">
      <c r="A75" s="158" t="str">
        <f>[2]NamesDistrictCollegeCenter!B81</f>
        <v>Yosemite CCD</v>
      </c>
      <c r="B75" s="121">
        <v>15038.760000000002</v>
      </c>
      <c r="C75" s="121">
        <v>203.32999999999998</v>
      </c>
      <c r="D75" s="121">
        <v>186.56</v>
      </c>
      <c r="E75" s="121">
        <v>32.369999999999997</v>
      </c>
      <c r="F75" s="121">
        <v>209.8</v>
      </c>
      <c r="G75" s="121">
        <f t="shared" si="6"/>
        <v>14796.590000000002</v>
      </c>
      <c r="H75" s="121">
        <v>16104.270000000002</v>
      </c>
      <c r="I75" s="121">
        <v>238.450108</v>
      </c>
      <c r="J75" s="121">
        <v>233.61</v>
      </c>
      <c r="K75" s="121">
        <v>76.53</v>
      </c>
      <c r="L75" s="121">
        <v>282.12</v>
      </c>
      <c r="M75" s="121">
        <f>H75-K75-L75</f>
        <v>15745.62</v>
      </c>
      <c r="N75" s="122">
        <v>15515.44</v>
      </c>
      <c r="O75" s="122">
        <v>275.23</v>
      </c>
      <c r="P75" s="122">
        <v>256.14</v>
      </c>
      <c r="Q75" s="122">
        <v>89.13</v>
      </c>
      <c r="R75" s="122">
        <v>313.32</v>
      </c>
      <c r="S75" s="122">
        <f t="shared" si="7"/>
        <v>15112.990000000002</v>
      </c>
      <c r="T75" s="120">
        <f>IF((H75-B75)*(1/3)+(N75-H75)*(2/3) + N75&gt;0,N75+(H75-B75)*(1/3)+(N75-H75)*(2/3),N75)</f>
        <v>15478.056666666665</v>
      </c>
      <c r="U75" s="120">
        <f>IF((I75-C75)*(1/3)+(O75-I75)*(2/3) + O75&gt;0,O75+(I75-C75)*(1/3)+(O75-I75)*(2/3),O75)</f>
        <v>311.45663066666668</v>
      </c>
      <c r="V75" s="120">
        <f>IF((J75-D75)*(1/3)+(P75-J75)*(2/3) + P75&gt;0,P75+(J75-D75)*(1/3)+(P75-J75)*(2/3),P75)</f>
        <v>286.84333333333331</v>
      </c>
      <c r="W75" s="120">
        <f>IF((K75-E75)*(1/3)+(Q75-K75)*(2/3) + Q75&gt;0,Q75+(K75-E75)*(1/3)+(Q75-K75)*(2/3),Q75)</f>
        <v>112.24999999999999</v>
      </c>
      <c r="X75" s="120">
        <f>IF((L75-F75)*(1/3)+(R75-L75)*(2/3) + R75&gt;0,R75+(L75-F75)*(1/3)+(R75-L75)*(2/3),R75)</f>
        <v>358.22666666666669</v>
      </c>
      <c r="Y75" s="120">
        <f t="shared" si="8"/>
        <v>15007.579999999998</v>
      </c>
      <c r="Z75" s="159">
        <f>AVERAGE(Y75,S75,M75)</f>
        <v>15288.730000000001</v>
      </c>
      <c r="AA75" s="159">
        <f t="shared" si="9"/>
        <v>311.45663066666668</v>
      </c>
      <c r="AB75" s="159">
        <f t="shared" si="10"/>
        <v>286.84333333333331</v>
      </c>
      <c r="AC75" s="159">
        <f t="shared" si="11"/>
        <v>470.47666666666669</v>
      </c>
      <c r="AD75" s="131">
        <v>8765209.6109999996</v>
      </c>
      <c r="AE75" s="160">
        <f>INDEX('Rate Assumptions'!$A:$B,MATCH('Base Allocation'!AE$2,'Rate Assumptions'!$A:$A,0),2)</f>
        <v>3988.586178572119</v>
      </c>
      <c r="AF75" s="160">
        <f>INDEX('Rate Assumptions'!$A:$B,MATCH('Base Allocation'!AF$2,'Rate Assumptions'!$A:$A,0),2)</f>
        <v>3988.586178572119</v>
      </c>
      <c r="AG75" s="160">
        <f>INDEX('Rate Assumptions'!$A:$B,MATCH('Base Allocation'!AG$2,'Rate Assumptions'!$A:$A,0),2)</f>
        <v>3988.586178572119</v>
      </c>
      <c r="AH75" s="160">
        <f>INDEX('Rate Assumptions'!$A:$B,MATCH('Base Allocation'!AH$2,'Rate Assumptions'!$A:$A,0),2)</f>
        <v>3988.586178572119</v>
      </c>
      <c r="AI75" s="161">
        <f>AD75+SUMPRODUCT(Z75:AC75,AE75:AH75)</f>
        <v>74008534.473978862</v>
      </c>
    </row>
    <row r="76" spans="1:35">
      <c r="A76" s="158" t="str">
        <f>[2]NamesDistrictCollegeCenter!B82</f>
        <v>Yuba CCD</v>
      </c>
      <c r="B76" s="123">
        <v>7446.38</v>
      </c>
      <c r="C76" s="123">
        <v>179.63000000000002</v>
      </c>
      <c r="D76" s="123">
        <v>0</v>
      </c>
      <c r="E76" s="123"/>
      <c r="F76" s="121">
        <v>339.94</v>
      </c>
      <c r="G76" s="121">
        <f t="shared" si="6"/>
        <v>7106.4400000000005</v>
      </c>
      <c r="H76" s="123">
        <v>7424.91</v>
      </c>
      <c r="I76" s="123">
        <v>197.27000000000004</v>
      </c>
      <c r="J76" s="123">
        <v>3.82</v>
      </c>
      <c r="K76" s="123"/>
      <c r="L76" s="123">
        <v>397.51</v>
      </c>
      <c r="M76" s="121">
        <f>H76-K76-L76</f>
        <v>7027.4</v>
      </c>
      <c r="N76" s="122">
        <v>7477.98</v>
      </c>
      <c r="O76" s="122">
        <v>145.92000000000002</v>
      </c>
      <c r="P76" s="122">
        <v>2.1</v>
      </c>
      <c r="Q76" s="122">
        <v>0</v>
      </c>
      <c r="R76" s="122">
        <v>211.55791869461183</v>
      </c>
      <c r="S76" s="122">
        <f t="shared" si="7"/>
        <v>7266.422081305388</v>
      </c>
      <c r="T76" s="120">
        <f>IF((H76-B76)*(1/3)+(N76-H76)*(2/3) + N76&gt;0,N76+(H76-B76)*(1/3)+(N76-H76)*(2/3),N76)</f>
        <v>7506.2033333333329</v>
      </c>
      <c r="U76" s="120">
        <f>IF((I76-C76)*(1/3)+(O76-I76)*(2/3) + O76&gt;0,O76+(I76-C76)*(1/3)+(O76-I76)*(2/3),O76)</f>
        <v>117.56666666666666</v>
      </c>
      <c r="V76" s="120">
        <f>IF((J76-D76)*(1/3)+(P76-J76)*(2/3) + P76&gt;0,P76+(J76-D76)*(1/3)+(P76-J76)*(2/3),P76)</f>
        <v>2.2266666666666666</v>
      </c>
      <c r="W76" s="120">
        <f>IF((K76-E76)*(1/3)+(Q76-K76)*(2/3) + Q76&gt;0,Q76+(K76-E76)*(1/3)+(Q76-K76)*(2/3),Q76)</f>
        <v>0</v>
      </c>
      <c r="X76" s="120">
        <f>IF((L76-F76)*(1/3)+(R76-L76)*(2/3) + R76&gt;0,R76+(L76-F76)*(1/3)+(R76-L76)*(2/3),R76)</f>
        <v>106.77986449101972</v>
      </c>
      <c r="Y76" s="120">
        <f t="shared" si="8"/>
        <v>7399.423468842313</v>
      </c>
      <c r="Z76" s="159">
        <f>AVERAGE(Y76,S76,M76)</f>
        <v>7231.0818500492342</v>
      </c>
      <c r="AA76" s="159">
        <f t="shared" si="9"/>
        <v>117.56666666666666</v>
      </c>
      <c r="AB76" s="159">
        <f t="shared" si="10"/>
        <v>2.2266666666666666</v>
      </c>
      <c r="AC76" s="159">
        <f t="shared" si="11"/>
        <v>106.77986449101972</v>
      </c>
      <c r="AD76" s="131">
        <v>10113701.5704</v>
      </c>
      <c r="AE76" s="160">
        <f>INDEX('Rate Assumptions'!$A:$B,MATCH('Base Allocation'!AE$2,'Rate Assumptions'!$A:$A,0),2)</f>
        <v>3988.586178572119</v>
      </c>
      <c r="AF76" s="160">
        <f>INDEX('Rate Assumptions'!$A:$B,MATCH('Base Allocation'!AF$2,'Rate Assumptions'!$A:$A,0),2)</f>
        <v>3988.586178572119</v>
      </c>
      <c r="AG76" s="160">
        <f>INDEX('Rate Assumptions'!$A:$B,MATCH('Base Allocation'!AG$2,'Rate Assumptions'!$A:$A,0),2)</f>
        <v>3988.586178572119</v>
      </c>
      <c r="AH76" s="160">
        <f>INDEX('Rate Assumptions'!$A:$B,MATCH('Base Allocation'!AH$2,'Rate Assumptions'!$A:$A,0),2)</f>
        <v>3988.586178572119</v>
      </c>
      <c r="AI76" s="161">
        <f>AD76+SUMPRODUCT(Z76:AC76,AE76:AH76)</f>
        <v>39859201.418907188</v>
      </c>
    </row>
    <row r="77" spans="1:35">
      <c r="A77" s="162" t="s">
        <v>76</v>
      </c>
      <c r="B77" s="134">
        <f t="shared" ref="B77:G77" si="12">SUM(B5:B76)</f>
        <v>1055591.8150555561</v>
      </c>
      <c r="C77" s="134">
        <f t="shared" si="12"/>
        <v>29256.238760000011</v>
      </c>
      <c r="D77" s="134">
        <f t="shared" si="12"/>
        <v>39472.119999999995</v>
      </c>
      <c r="E77" s="134">
        <f t="shared" si="12"/>
        <v>2880.3199999999993</v>
      </c>
      <c r="F77" s="134">
        <f t="shared" si="12"/>
        <v>30057.919999999991</v>
      </c>
      <c r="G77" s="134">
        <f t="shared" si="12"/>
        <v>1022653.5750555563</v>
      </c>
      <c r="H77" s="134">
        <f t="shared" ref="H77:AC77" si="13">SUM(H5:H76)</f>
        <v>1054297.2405735559</v>
      </c>
      <c r="I77" s="134">
        <f t="shared" si="13"/>
        <v>31162.510056999996</v>
      </c>
      <c r="J77" s="134">
        <f t="shared" si="13"/>
        <v>40061.780065000014</v>
      </c>
      <c r="K77" s="134">
        <f t="shared" si="13"/>
        <v>4142.42</v>
      </c>
      <c r="L77" s="134">
        <f t="shared" si="13"/>
        <v>34174.070000000007</v>
      </c>
      <c r="M77" s="134">
        <f t="shared" si="13"/>
        <v>1015980.7505735559</v>
      </c>
      <c r="N77" s="132">
        <f t="shared" si="13"/>
        <v>1041120.9800000002</v>
      </c>
      <c r="O77" s="132">
        <f t="shared" si="13"/>
        <v>33039.0548283022</v>
      </c>
      <c r="P77" s="132">
        <f t="shared" si="13"/>
        <v>39528.625460017356</v>
      </c>
      <c r="Q77" s="132">
        <f t="shared" si="13"/>
        <v>4140.5583658152173</v>
      </c>
      <c r="R77" s="132">
        <f t="shared" si="13"/>
        <v>34010.65036339283</v>
      </c>
      <c r="S77" s="132">
        <f t="shared" si="13"/>
        <v>1002969.7712707918</v>
      </c>
      <c r="T77" s="127">
        <f t="shared" si="13"/>
        <v>1031905.2814569625</v>
      </c>
      <c r="U77" s="127">
        <f t="shared" si="13"/>
        <v>35123.935145837015</v>
      </c>
      <c r="V77" s="127">
        <f t="shared" si="13"/>
        <v>39437.772411695594</v>
      </c>
      <c r="W77" s="127">
        <f t="shared" si="13"/>
        <v>5018.450697686043</v>
      </c>
      <c r="X77" s="127">
        <f t="shared" si="13"/>
        <v>35871.373384592313</v>
      </c>
      <c r="Y77" s="127">
        <f t="shared" si="13"/>
        <v>991015.45737468393</v>
      </c>
      <c r="Z77" s="127">
        <f t="shared" si="13"/>
        <v>1003321.9930730107</v>
      </c>
      <c r="AA77" s="127">
        <f t="shared" si="13"/>
        <v>35123.935145837015</v>
      </c>
      <c r="AB77" s="127">
        <f t="shared" si="13"/>
        <v>39437.772411695594</v>
      </c>
      <c r="AC77" s="127">
        <f t="shared" si="13"/>
        <v>40889.824082278348</v>
      </c>
      <c r="AD77" s="132">
        <f>SUM(AD5:AD76)</f>
        <v>628729878.32280004</v>
      </c>
      <c r="AE77" s="160"/>
      <c r="AF77" s="160"/>
      <c r="AG77" s="160"/>
      <c r="AH77" s="160"/>
      <c r="AI77" s="133">
        <f>SUM(AI5:AI76)</f>
        <v>5091054495.9447737</v>
      </c>
    </row>
  </sheetData>
  <autoFilter ref="A4:AI4"/>
  <pageMargins left="0.75" right="0.75" top="1" bottom="1" header="0.5" footer="0.5"/>
  <pageSetup orientation="portrait" horizontalDpi="4294967292" verticalDpi="4294967292"/>
  <ignoredErrors>
    <ignoredError sqref="W7:Y76 AJ7:XFD75 AE5:AH6 AJ76:XFD76 AE7:AH76 AD7:AD76 Z7:AC76" emptyCellReference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6"/>
  <sheetViews>
    <sheetView workbookViewId="0">
      <pane xSplit="1" ySplit="3" topLeftCell="B51" activePane="bottomRight" state="frozen"/>
      <selection pane="topRight" activeCell="B1" sqref="B1"/>
      <selection pane="bottomLeft" activeCell="A4" sqref="A4"/>
      <selection pane="bottomRight" activeCell="Q79" sqref="Q79"/>
    </sheetView>
  </sheetViews>
  <sheetFormatPr baseColWidth="10" defaultColWidth="8.6640625" defaultRowHeight="15" x14ac:dyDescent="0"/>
  <cols>
    <col min="1" max="1" width="18.5" style="146" bestFit="1" customWidth="1"/>
    <col min="2" max="2" width="11" style="167" bestFit="1" customWidth="1"/>
    <col min="3" max="3" width="10" style="167" bestFit="1" customWidth="1"/>
    <col min="4" max="5" width="11" style="167" bestFit="1" customWidth="1"/>
    <col min="6" max="6" width="10" style="167" bestFit="1" customWidth="1"/>
    <col min="7" max="8" width="11" style="167" bestFit="1" customWidth="1"/>
    <col min="9" max="9" width="10" style="167" bestFit="1" customWidth="1"/>
    <col min="10" max="10" width="11" style="167" bestFit="1" customWidth="1"/>
    <col min="11" max="11" width="11" style="173" bestFit="1" customWidth="1"/>
    <col min="12" max="12" width="10" style="173" bestFit="1" customWidth="1"/>
    <col min="13" max="13" width="11" style="173" bestFit="1" customWidth="1"/>
    <col min="14" max="14" width="11" style="177" bestFit="1" customWidth="1"/>
    <col min="15" max="15" width="10" style="177" bestFit="1" customWidth="1"/>
    <col min="16" max="16" width="11" style="177" bestFit="1" customWidth="1"/>
    <col min="17" max="17" width="16.6640625" style="192" bestFit="1" customWidth="1"/>
    <col min="18" max="16384" width="8.6640625" style="146"/>
  </cols>
  <sheetData>
    <row r="1" spans="1:17" s="169" customFormat="1">
      <c r="B1" s="170" t="s">
        <v>66</v>
      </c>
      <c r="C1" s="170"/>
      <c r="D1" s="170"/>
      <c r="E1" s="170" t="s">
        <v>67</v>
      </c>
      <c r="F1" s="170"/>
      <c r="G1" s="170"/>
      <c r="H1" s="170" t="s">
        <v>25</v>
      </c>
      <c r="I1" s="170"/>
      <c r="J1" s="170"/>
      <c r="K1" s="172" t="s">
        <v>77</v>
      </c>
      <c r="L1" s="172"/>
      <c r="M1" s="172"/>
      <c r="N1" s="176" t="s">
        <v>167</v>
      </c>
      <c r="O1" s="176"/>
      <c r="P1" s="176"/>
      <c r="Q1" s="192"/>
    </row>
    <row r="2" spans="1:17" s="181" customFormat="1" ht="75">
      <c r="B2" s="182" t="s">
        <v>91</v>
      </c>
      <c r="C2" s="183" t="s">
        <v>92</v>
      </c>
      <c r="D2" s="182" t="s">
        <v>93</v>
      </c>
      <c r="E2" s="182" t="s">
        <v>91</v>
      </c>
      <c r="F2" s="183" t="s">
        <v>94</v>
      </c>
      <c r="G2" s="182" t="s">
        <v>93</v>
      </c>
      <c r="H2" s="182" t="s">
        <v>91</v>
      </c>
      <c r="I2" s="183" t="s">
        <v>94</v>
      </c>
      <c r="J2" s="182" t="s">
        <v>93</v>
      </c>
      <c r="K2" s="184" t="s">
        <v>91</v>
      </c>
      <c r="L2" s="184" t="s">
        <v>94</v>
      </c>
      <c r="M2" s="184" t="s">
        <v>93</v>
      </c>
      <c r="N2" s="185" t="s">
        <v>168</v>
      </c>
      <c r="O2" s="185" t="s">
        <v>169</v>
      </c>
      <c r="P2" s="185" t="s">
        <v>93</v>
      </c>
      <c r="Q2" s="193" t="s">
        <v>172</v>
      </c>
    </row>
    <row r="3" spans="1:17">
      <c r="A3" s="186" t="s">
        <v>72</v>
      </c>
      <c r="B3" s="166"/>
      <c r="D3" s="166"/>
      <c r="E3" s="166"/>
      <c r="G3" s="166"/>
      <c r="Q3" s="194"/>
    </row>
    <row r="4" spans="1:17">
      <c r="A4" s="146" t="s">
        <v>95</v>
      </c>
      <c r="B4" s="128">
        <v>2927</v>
      </c>
      <c r="C4" s="187">
        <v>855</v>
      </c>
      <c r="D4" s="128">
        <v>9027</v>
      </c>
      <c r="E4" s="168">
        <v>2815</v>
      </c>
      <c r="F4" s="168">
        <v>766</v>
      </c>
      <c r="G4" s="168">
        <v>8840</v>
      </c>
      <c r="H4" s="171" t="s">
        <v>166</v>
      </c>
      <c r="I4" s="171"/>
      <c r="J4" s="171"/>
      <c r="K4" s="174">
        <f>(E4/B4)^2*E4</f>
        <v>2603.6928633183106</v>
      </c>
      <c r="L4" s="174">
        <f>(F4/C4)^2*F4</f>
        <v>614.82862556000134</v>
      </c>
      <c r="M4" s="174">
        <f>(G4/D4)^2*G4</f>
        <v>8477.5412202396783</v>
      </c>
      <c r="N4" s="160">
        <f>INDEX('Rate Assumptions'!$A:$B,MATCH(N$2,'Rate Assumptions'!$A:$A,0),2)</f>
        <v>929.56879713339436</v>
      </c>
      <c r="O4" s="160">
        <f>INDEX('Rate Assumptions'!$A:$B,MATCH(O$2,'Rate Assumptions'!$A:$A,0),2)</f>
        <v>929.56879713339436</v>
      </c>
      <c r="P4" s="160">
        <f>INDEX('Rate Assumptions'!$A:$B,MATCH(P$2,'Rate Assumptions'!$A:$A,0),2)</f>
        <v>929.56879713339436</v>
      </c>
      <c r="Q4" s="192">
        <f>SUMPRODUCT(K4:M4,N4:P4)</f>
        <v>10872294.94371156</v>
      </c>
    </row>
    <row r="5" spans="1:17">
      <c r="A5" s="146" t="s">
        <v>96</v>
      </c>
      <c r="B5" s="128">
        <v>7779</v>
      </c>
      <c r="C5" s="187">
        <v>510</v>
      </c>
      <c r="D5" s="128">
        <v>13873</v>
      </c>
      <c r="E5" s="168">
        <v>7896</v>
      </c>
      <c r="F5" s="168">
        <v>515</v>
      </c>
      <c r="G5" s="168">
        <v>13978</v>
      </c>
      <c r="H5" s="171"/>
      <c r="I5" s="171"/>
      <c r="J5" s="171"/>
      <c r="K5" s="174">
        <f>(E5/B5)^2*E5</f>
        <v>8135.3056805910019</v>
      </c>
      <c r="L5" s="174">
        <f>(F5/C5)^2*F5</f>
        <v>525.14753940791991</v>
      </c>
      <c r="M5" s="174">
        <f>(G5/D5)^2*G5</f>
        <v>14190.390142323969</v>
      </c>
      <c r="N5" s="160">
        <f>INDEX('Rate Assumptions'!$A:$B,MATCH(N$2,'Rate Assumptions'!$A:$A,0),2)</f>
        <v>929.56879713339436</v>
      </c>
      <c r="O5" s="160">
        <f>INDEX('Rate Assumptions'!$A:$B,MATCH(O$2,'Rate Assumptions'!$A:$A,0),2)</f>
        <v>929.56879713339436</v>
      </c>
      <c r="P5" s="160">
        <f>INDEX('Rate Assumptions'!$A:$B,MATCH(P$2,'Rate Assumptions'!$A:$A,0),2)</f>
        <v>929.56879713339436</v>
      </c>
      <c r="Q5" s="192">
        <f>SUMPRODUCT(K5:M5,N5:P5)</f>
        <v>21241430.977798097</v>
      </c>
    </row>
    <row r="6" spans="1:17">
      <c r="A6" s="146" t="s">
        <v>97</v>
      </c>
      <c r="B6" s="128">
        <v>2196</v>
      </c>
      <c r="C6" s="187">
        <v>59</v>
      </c>
      <c r="D6" s="128">
        <v>3580</v>
      </c>
      <c r="E6" s="168">
        <v>2130</v>
      </c>
      <c r="F6" s="168">
        <v>68</v>
      </c>
      <c r="G6" s="168">
        <v>3333</v>
      </c>
      <c r="H6" s="171"/>
      <c r="I6" s="171"/>
      <c r="J6" s="171"/>
      <c r="K6" s="174">
        <f>(E6/B6)^2*E6</f>
        <v>2003.8912030816089</v>
      </c>
      <c r="L6" s="174">
        <f>(F6/C6)^2*F6</f>
        <v>90.328066647515087</v>
      </c>
      <c r="M6" s="174">
        <f>(G6/D6)^2*G6</f>
        <v>2888.949083752068</v>
      </c>
      <c r="N6" s="160">
        <f>INDEX('Rate Assumptions'!$A:$B,MATCH(N$2,'Rate Assumptions'!$A:$A,0),2)</f>
        <v>929.56879713339436</v>
      </c>
      <c r="O6" s="160">
        <f>INDEX('Rate Assumptions'!$A:$B,MATCH(O$2,'Rate Assumptions'!$A:$A,0),2)</f>
        <v>929.56879713339436</v>
      </c>
      <c r="P6" s="160">
        <f>INDEX('Rate Assumptions'!$A:$B,MATCH(P$2,'Rate Assumptions'!$A:$A,0),2)</f>
        <v>929.56879713339436</v>
      </c>
      <c r="Q6" s="192">
        <f>SUMPRODUCT(K6:M6,N6:P6)</f>
        <v>4632197.8122587092</v>
      </c>
    </row>
    <row r="7" spans="1:17">
      <c r="A7" s="146" t="s">
        <v>98</v>
      </c>
      <c r="B7" s="128">
        <v>5586</v>
      </c>
      <c r="C7" s="187">
        <v>305</v>
      </c>
      <c r="D7" s="128">
        <v>8577</v>
      </c>
      <c r="E7" s="168">
        <v>5206</v>
      </c>
      <c r="F7" s="168">
        <v>303</v>
      </c>
      <c r="G7" s="168">
        <v>8205</v>
      </c>
      <c r="H7" s="171"/>
      <c r="I7" s="171"/>
      <c r="J7" s="171"/>
      <c r="K7" s="174">
        <f>(E7/B7)^2*E7</f>
        <v>4521.7924938682963</v>
      </c>
      <c r="L7" s="174">
        <f>(F7/C7)^2*F7</f>
        <v>299.03925826390753</v>
      </c>
      <c r="M7" s="174">
        <f>(G7/D7)^2*G7</f>
        <v>7508.7031637725095</v>
      </c>
      <c r="N7" s="160">
        <f>INDEX('Rate Assumptions'!$A:$B,MATCH(N$2,'Rate Assumptions'!$A:$A,0),2)</f>
        <v>929.56879713339436</v>
      </c>
      <c r="O7" s="160">
        <f>INDEX('Rate Assumptions'!$A:$B,MATCH(O$2,'Rate Assumptions'!$A:$A,0),2)</f>
        <v>929.56879713339436</v>
      </c>
      <c r="P7" s="160">
        <f>INDEX('Rate Assumptions'!$A:$B,MATCH(P$2,'Rate Assumptions'!$A:$A,0),2)</f>
        <v>929.56879713339436</v>
      </c>
      <c r="Q7" s="192">
        <f>SUMPRODUCT(K7:M7,N7:P7)</f>
        <v>11461150.940991729</v>
      </c>
    </row>
    <row r="8" spans="1:17">
      <c r="A8" s="146" t="s">
        <v>99</v>
      </c>
      <c r="B8" s="128">
        <v>3086</v>
      </c>
      <c r="C8" s="187">
        <v>521</v>
      </c>
      <c r="D8" s="128">
        <v>7142</v>
      </c>
      <c r="E8" s="168">
        <v>2886</v>
      </c>
      <c r="F8" s="168">
        <v>513</v>
      </c>
      <c r="G8" s="168">
        <v>6737</v>
      </c>
      <c r="H8" s="171"/>
      <c r="I8" s="171"/>
      <c r="J8" s="171"/>
      <c r="K8" s="174">
        <f>(E8/B8)^2*E8</f>
        <v>2524.0452519248383</v>
      </c>
      <c r="L8" s="174">
        <f>(F8/C8)^2*F8</f>
        <v>497.36663584351669</v>
      </c>
      <c r="M8" s="174">
        <f>(G8/D8)^2*G8</f>
        <v>5994.5964248585778</v>
      </c>
      <c r="N8" s="160">
        <f>INDEX('Rate Assumptions'!$A:$B,MATCH(N$2,'Rate Assumptions'!$A:$A,0),2)</f>
        <v>929.56879713339436</v>
      </c>
      <c r="O8" s="160">
        <f>INDEX('Rate Assumptions'!$A:$B,MATCH(O$2,'Rate Assumptions'!$A:$A,0),2)</f>
        <v>929.56879713339436</v>
      </c>
      <c r="P8" s="160">
        <f>INDEX('Rate Assumptions'!$A:$B,MATCH(P$2,'Rate Assumptions'!$A:$A,0),2)</f>
        <v>929.56879713339436</v>
      </c>
      <c r="Q8" s="192">
        <f>SUMPRODUCT(K8:M8,N8:P8)</f>
        <v>8381000.0021133022</v>
      </c>
    </row>
    <row r="9" spans="1:17">
      <c r="A9" s="146" t="s">
        <v>100</v>
      </c>
      <c r="B9" s="128">
        <v>10754</v>
      </c>
      <c r="C9" s="187">
        <v>1610</v>
      </c>
      <c r="D9" s="128">
        <v>18971</v>
      </c>
      <c r="E9" s="168">
        <v>10455</v>
      </c>
      <c r="F9" s="168">
        <v>1586</v>
      </c>
      <c r="G9" s="168">
        <v>18362</v>
      </c>
      <c r="H9" s="171"/>
      <c r="I9" s="171"/>
      <c r="J9" s="171"/>
      <c r="K9" s="174">
        <f>(E9/B9)^2*E9</f>
        <v>9881.7086971959052</v>
      </c>
      <c r="L9" s="174">
        <f>(F9/C9)^2*F9</f>
        <v>1539.0679587978859</v>
      </c>
      <c r="M9" s="174">
        <f>(G9/D9)^2*G9</f>
        <v>17202.022092446805</v>
      </c>
      <c r="N9" s="160">
        <f>INDEX('Rate Assumptions'!$A:$B,MATCH(N$2,'Rate Assumptions'!$A:$A,0),2)</f>
        <v>929.56879713339436</v>
      </c>
      <c r="O9" s="160">
        <f>INDEX('Rate Assumptions'!$A:$B,MATCH(O$2,'Rate Assumptions'!$A:$A,0),2)</f>
        <v>929.56879713339436</v>
      </c>
      <c r="P9" s="160">
        <f>INDEX('Rate Assumptions'!$A:$B,MATCH(P$2,'Rate Assumptions'!$A:$A,0),2)</f>
        <v>929.56879713339436</v>
      </c>
      <c r="Q9" s="192">
        <f>SUMPRODUCT(K9:M9,N9:P9)</f>
        <v>26606860.603179149</v>
      </c>
    </row>
    <row r="10" spans="1:17">
      <c r="A10" s="146" t="s">
        <v>101</v>
      </c>
      <c r="B10" s="128">
        <v>5107</v>
      </c>
      <c r="C10" s="187">
        <v>283</v>
      </c>
      <c r="D10" s="128">
        <v>11658</v>
      </c>
      <c r="E10" s="168">
        <v>4787</v>
      </c>
      <c r="F10" s="168">
        <v>696</v>
      </c>
      <c r="G10" s="168">
        <v>11272</v>
      </c>
      <c r="H10" s="171"/>
      <c r="I10" s="171"/>
      <c r="J10" s="171"/>
      <c r="K10" s="174">
        <f>(E10/B10)^2*E10</f>
        <v>4205.8963596309386</v>
      </c>
      <c r="L10" s="174">
        <f>(F10/C10)^2*F10</f>
        <v>4209.7358688459099</v>
      </c>
      <c r="M10" s="174">
        <f>(G10/D10)^2*G10</f>
        <v>10537.918570610251</v>
      </c>
      <c r="N10" s="160">
        <f>INDEX('Rate Assumptions'!$A:$B,MATCH(N$2,'Rate Assumptions'!$A:$A,0),2)</f>
        <v>929.56879713339436</v>
      </c>
      <c r="O10" s="160">
        <f>INDEX('Rate Assumptions'!$A:$B,MATCH(O$2,'Rate Assumptions'!$A:$A,0),2)</f>
        <v>929.56879713339436</v>
      </c>
      <c r="P10" s="160">
        <f>INDEX('Rate Assumptions'!$A:$B,MATCH(P$2,'Rate Assumptions'!$A:$A,0),2)</f>
        <v>929.56879713339436</v>
      </c>
      <c r="Q10" s="192">
        <f>SUMPRODUCT(K10:M10,N10:P10)</f>
        <v>17618629.417714082</v>
      </c>
    </row>
    <row r="11" spans="1:17">
      <c r="A11" s="146" t="s">
        <v>102</v>
      </c>
      <c r="B11" s="128">
        <v>8812</v>
      </c>
      <c r="C11" s="187">
        <v>884</v>
      </c>
      <c r="D11" s="128">
        <v>17781</v>
      </c>
      <c r="E11" s="168">
        <v>8010</v>
      </c>
      <c r="F11" s="168">
        <v>1343</v>
      </c>
      <c r="G11" s="168">
        <v>18275</v>
      </c>
      <c r="H11" s="171"/>
      <c r="I11" s="171"/>
      <c r="J11" s="171"/>
      <c r="K11" s="174">
        <f>(E11/B11)^2*E11</f>
        <v>6618.332336913576</v>
      </c>
      <c r="L11" s="174">
        <f>(F11/C11)^2*F11</f>
        <v>3099.727440828402</v>
      </c>
      <c r="M11" s="174">
        <f>(G11/D11)^2*G11</f>
        <v>19304.554913755655</v>
      </c>
      <c r="N11" s="160">
        <f>INDEX('Rate Assumptions'!$A:$B,MATCH(N$2,'Rate Assumptions'!$A:$A,0),2)</f>
        <v>929.56879713339436</v>
      </c>
      <c r="O11" s="160">
        <f>INDEX('Rate Assumptions'!$A:$B,MATCH(O$2,'Rate Assumptions'!$A:$A,0),2)</f>
        <v>929.56879713339436</v>
      </c>
      <c r="P11" s="160">
        <f>INDEX('Rate Assumptions'!$A:$B,MATCH(P$2,'Rate Assumptions'!$A:$A,0),2)</f>
        <v>929.56879713339436</v>
      </c>
      <c r="Q11" s="192">
        <f>SUMPRODUCT(K11:M11,N11:P11)</f>
        <v>26978517.028441433</v>
      </c>
    </row>
    <row r="12" spans="1:17">
      <c r="A12" s="146" t="s">
        <v>103</v>
      </c>
      <c r="B12" s="128">
        <v>4898</v>
      </c>
      <c r="C12" s="187">
        <v>457</v>
      </c>
      <c r="D12" s="128">
        <v>10958</v>
      </c>
      <c r="E12" s="168">
        <v>5010</v>
      </c>
      <c r="F12" s="168">
        <v>501</v>
      </c>
      <c r="G12" s="168">
        <v>11058</v>
      </c>
      <c r="H12" s="171"/>
      <c r="I12" s="171"/>
      <c r="J12" s="171"/>
      <c r="K12" s="174">
        <f>(E12/B12)^2*E12</f>
        <v>5241.7416980556063</v>
      </c>
      <c r="L12" s="174">
        <f>(F12/C12)^2*F12</f>
        <v>602.11684518479876</v>
      </c>
      <c r="M12" s="174">
        <f>(G12/D12)^2*G12</f>
        <v>11260.746053798939</v>
      </c>
      <c r="N12" s="160">
        <f>INDEX('Rate Assumptions'!$A:$B,MATCH(N$2,'Rate Assumptions'!$A:$A,0),2)</f>
        <v>929.56879713339436</v>
      </c>
      <c r="O12" s="160">
        <f>INDEX('Rate Assumptions'!$A:$B,MATCH(O$2,'Rate Assumptions'!$A:$A,0),2)</f>
        <v>929.56879713339436</v>
      </c>
      <c r="P12" s="160">
        <f>INDEX('Rate Assumptions'!$A:$B,MATCH(P$2,'Rate Assumptions'!$A:$A,0),2)</f>
        <v>929.56879713339436</v>
      </c>
      <c r="Q12" s="192">
        <f>SUMPRODUCT(K12:M12,N12:P12)</f>
        <v>15899906.720712189</v>
      </c>
    </row>
    <row r="13" spans="1:17">
      <c r="A13" s="146" t="s">
        <v>104</v>
      </c>
      <c r="B13" s="128">
        <v>12015</v>
      </c>
      <c r="C13" s="187">
        <v>1280</v>
      </c>
      <c r="D13" s="128">
        <v>31151</v>
      </c>
      <c r="E13" s="168">
        <v>11222</v>
      </c>
      <c r="F13" s="168">
        <v>1342</v>
      </c>
      <c r="G13" s="168">
        <v>32107</v>
      </c>
      <c r="H13" s="171"/>
      <c r="I13" s="171"/>
      <c r="J13" s="171"/>
      <c r="K13" s="174">
        <f>(E13/B13)^2*E13</f>
        <v>9789.5615849033202</v>
      </c>
      <c r="L13" s="174">
        <f>(F13/C13)^2*F13</f>
        <v>1475.1548388671872</v>
      </c>
      <c r="M13" s="174">
        <f>(G13/D13)^2*G13</f>
        <v>34107.917080868414</v>
      </c>
      <c r="N13" s="160">
        <f>INDEX('Rate Assumptions'!$A:$B,MATCH(N$2,'Rate Assumptions'!$A:$A,0),2)</f>
        <v>929.56879713339436</v>
      </c>
      <c r="O13" s="160">
        <f>INDEX('Rate Assumptions'!$A:$B,MATCH(O$2,'Rate Assumptions'!$A:$A,0),2)</f>
        <v>929.56879713339436</v>
      </c>
      <c r="P13" s="160">
        <f>INDEX('Rate Assumptions'!$A:$B,MATCH(P$2,'Rate Assumptions'!$A:$A,0),2)</f>
        <v>929.56879713339436</v>
      </c>
      <c r="Q13" s="192">
        <f>SUMPRODUCT(K13:M13,N13:P13)</f>
        <v>42176984.349681549</v>
      </c>
    </row>
    <row r="14" spans="1:17">
      <c r="A14" s="146" t="s">
        <v>105</v>
      </c>
      <c r="B14" s="128">
        <v>2838</v>
      </c>
      <c r="C14" s="187">
        <v>788</v>
      </c>
      <c r="D14" s="128">
        <v>5544</v>
      </c>
      <c r="E14" s="168">
        <v>2459</v>
      </c>
      <c r="F14" s="168">
        <v>341</v>
      </c>
      <c r="G14" s="168">
        <v>5230</v>
      </c>
      <c r="H14" s="171"/>
      <c r="I14" s="171"/>
      <c r="J14" s="171"/>
      <c r="K14" s="174">
        <f>(E14/B14)^2*E14</f>
        <v>1846.0812186717958</v>
      </c>
      <c r="L14" s="174">
        <f>(F14/C14)^2*F14</f>
        <v>63.857322077353182</v>
      </c>
      <c r="M14" s="174">
        <f>(G14/D14)^2*G14</f>
        <v>4654.345551734621</v>
      </c>
      <c r="N14" s="160">
        <f>INDEX('Rate Assumptions'!$A:$B,MATCH(N$2,'Rate Assumptions'!$A:$A,0),2)</f>
        <v>929.56879713339436</v>
      </c>
      <c r="O14" s="160">
        <f>INDEX('Rate Assumptions'!$A:$B,MATCH(O$2,'Rate Assumptions'!$A:$A,0),2)</f>
        <v>929.56879713339436</v>
      </c>
      <c r="P14" s="160">
        <f>INDEX('Rate Assumptions'!$A:$B,MATCH(P$2,'Rate Assumptions'!$A:$A,0),2)</f>
        <v>929.56879713339436</v>
      </c>
      <c r="Q14" s="192">
        <f>SUMPRODUCT(K14:M14,N14:P14)</f>
        <v>6101953.6678920127</v>
      </c>
    </row>
    <row r="15" spans="1:17">
      <c r="A15" s="146" t="s">
        <v>106</v>
      </c>
      <c r="B15" s="128">
        <v>9025</v>
      </c>
      <c r="C15" s="187">
        <v>2275</v>
      </c>
      <c r="D15" s="128">
        <v>18504</v>
      </c>
      <c r="E15" s="168">
        <v>8978</v>
      </c>
      <c r="F15" s="168">
        <v>1245</v>
      </c>
      <c r="G15" s="168">
        <v>18682</v>
      </c>
      <c r="H15" s="171"/>
      <c r="I15" s="171"/>
      <c r="J15" s="171"/>
      <c r="K15" s="174">
        <f>(E15/B15)^2*E15</f>
        <v>8884.7330189547356</v>
      </c>
      <c r="L15" s="174">
        <f>(F15/C15)^2*F15</f>
        <v>372.85953387272076</v>
      </c>
      <c r="M15" s="174">
        <f>(G15/D15)^2*G15</f>
        <v>19043.153306612618</v>
      </c>
      <c r="N15" s="160">
        <f>INDEX('Rate Assumptions'!$A:$B,MATCH(N$2,'Rate Assumptions'!$A:$A,0),2)</f>
        <v>929.56879713339436</v>
      </c>
      <c r="O15" s="160">
        <f>INDEX('Rate Assumptions'!$A:$B,MATCH(O$2,'Rate Assumptions'!$A:$A,0),2)</f>
        <v>929.56879713339436</v>
      </c>
      <c r="P15" s="160">
        <f>INDEX('Rate Assumptions'!$A:$B,MATCH(P$2,'Rate Assumptions'!$A:$A,0),2)</f>
        <v>929.56879713339436</v>
      </c>
      <c r="Q15" s="192">
        <f>SUMPRODUCT(K15:M15,N15:P15)</f>
        <v>26307490.286537599</v>
      </c>
    </row>
    <row r="16" spans="1:17">
      <c r="A16" s="146" t="s">
        <v>107</v>
      </c>
      <c r="B16" s="128">
        <v>1087</v>
      </c>
      <c r="C16" s="187">
        <v>60</v>
      </c>
      <c r="D16" s="128">
        <v>1843</v>
      </c>
      <c r="E16" s="168">
        <v>1133</v>
      </c>
      <c r="F16" s="168">
        <v>22</v>
      </c>
      <c r="G16" s="168">
        <v>1948</v>
      </c>
      <c r="H16" s="171"/>
      <c r="I16" s="171"/>
      <c r="J16" s="171"/>
      <c r="K16" s="174">
        <f>(E16/B16)^2*E16</f>
        <v>1230.9223050029243</v>
      </c>
      <c r="L16" s="174">
        <f>(F16/C16)^2*F16</f>
        <v>2.9577777777777774</v>
      </c>
      <c r="M16" s="174">
        <f>(G16/D16)^2*G16</f>
        <v>2176.2870970771487</v>
      </c>
      <c r="N16" s="160">
        <f>INDEX('Rate Assumptions'!$A:$B,MATCH(N$2,'Rate Assumptions'!$A:$A,0),2)</f>
        <v>929.56879713339436</v>
      </c>
      <c r="O16" s="160">
        <f>INDEX('Rate Assumptions'!$A:$B,MATCH(O$2,'Rate Assumptions'!$A:$A,0),2)</f>
        <v>929.56879713339436</v>
      </c>
      <c r="P16" s="160">
        <f>INDEX('Rate Assumptions'!$A:$B,MATCH(P$2,'Rate Assumptions'!$A:$A,0),2)</f>
        <v>929.56879713339436</v>
      </c>
      <c r="Q16" s="192">
        <f>SUMPRODUCT(K16:M16,N16:P16)</f>
        <v>3169985.003404242</v>
      </c>
    </row>
    <row r="17" spans="1:17">
      <c r="A17" s="146" t="s">
        <v>108</v>
      </c>
      <c r="B17" s="128">
        <v>4889</v>
      </c>
      <c r="C17" s="187">
        <v>791</v>
      </c>
      <c r="D17" s="128">
        <v>9150</v>
      </c>
      <c r="E17" s="168">
        <v>5259</v>
      </c>
      <c r="F17" s="168">
        <v>559</v>
      </c>
      <c r="G17" s="168">
        <v>9811</v>
      </c>
      <c r="H17" s="171"/>
      <c r="I17" s="171"/>
      <c r="J17" s="171"/>
      <c r="K17" s="174">
        <f>(E17/B17)^2*E17</f>
        <v>6085.1240755657163</v>
      </c>
      <c r="L17" s="174">
        <f>(F17/C17)^2*F17</f>
        <v>279.17881316517526</v>
      </c>
      <c r="M17" s="174">
        <f>(G17/D17)^2*G17</f>
        <v>11279.702334868165</v>
      </c>
      <c r="N17" s="160">
        <f>INDEX('Rate Assumptions'!$A:$B,MATCH(N$2,'Rate Assumptions'!$A:$A,0),2)</f>
        <v>929.56879713339436</v>
      </c>
      <c r="O17" s="160">
        <f>INDEX('Rate Assumptions'!$A:$B,MATCH(O$2,'Rate Assumptions'!$A:$A,0),2)</f>
        <v>929.56879713339436</v>
      </c>
      <c r="P17" s="160">
        <f>INDEX('Rate Assumptions'!$A:$B,MATCH(P$2,'Rate Assumptions'!$A:$A,0),2)</f>
        <v>929.56879713339436</v>
      </c>
      <c r="Q17" s="192">
        <f>SUMPRODUCT(K17:M17,N17:P17)</f>
        <v>16401316.712316301</v>
      </c>
    </row>
    <row r="18" spans="1:17">
      <c r="A18" s="146" t="s">
        <v>109</v>
      </c>
      <c r="B18" s="128">
        <v>8731</v>
      </c>
      <c r="C18" s="187">
        <v>3079</v>
      </c>
      <c r="D18" s="128">
        <v>17587</v>
      </c>
      <c r="E18" s="168">
        <v>8472</v>
      </c>
      <c r="F18" s="168">
        <v>1306</v>
      </c>
      <c r="G18" s="168">
        <v>17070</v>
      </c>
      <c r="H18" s="171"/>
      <c r="I18" s="171"/>
      <c r="J18" s="171"/>
      <c r="K18" s="174">
        <f>(E18/B18)^2*E18</f>
        <v>7976.8213356355482</v>
      </c>
      <c r="L18" s="174">
        <f>(F18/C18)^2*F18</f>
        <v>234.96877516088463</v>
      </c>
      <c r="M18" s="174">
        <f>(G18/D18)^2*G18</f>
        <v>16081.147528393147</v>
      </c>
      <c r="N18" s="160">
        <f>INDEX('Rate Assumptions'!$A:$B,MATCH(N$2,'Rate Assumptions'!$A:$A,0),2)</f>
        <v>929.56879713339436</v>
      </c>
      <c r="O18" s="160">
        <f>INDEX('Rate Assumptions'!$A:$B,MATCH(O$2,'Rate Assumptions'!$A:$A,0),2)</f>
        <v>929.56879713339436</v>
      </c>
      <c r="P18" s="160">
        <f>INDEX('Rate Assumptions'!$A:$B,MATCH(P$2,'Rate Assumptions'!$A:$A,0),2)</f>
        <v>929.56879713339436</v>
      </c>
      <c r="Q18" s="192">
        <f>SUMPRODUCT(K18:M18,N18:P18)</f>
        <v>22581956.82009802</v>
      </c>
    </row>
    <row r="19" spans="1:17">
      <c r="A19" s="146" t="s">
        <v>110</v>
      </c>
      <c r="B19" s="128">
        <v>407</v>
      </c>
      <c r="C19" s="187">
        <v>18</v>
      </c>
      <c r="D19" s="128">
        <v>1471</v>
      </c>
      <c r="E19" s="168">
        <v>387</v>
      </c>
      <c r="F19" s="168">
        <v>18</v>
      </c>
      <c r="G19" s="168">
        <v>1752</v>
      </c>
      <c r="H19" s="171"/>
      <c r="I19" s="171"/>
      <c r="J19" s="171"/>
      <c r="K19" s="174">
        <f>(E19/B19)^2*E19</f>
        <v>349.90010805981325</v>
      </c>
      <c r="L19" s="174">
        <f>(F19/C19)^2*F19</f>
        <v>18</v>
      </c>
      <c r="M19" s="174">
        <f>(G19/D19)^2*G19</f>
        <v>2485.2893572124749</v>
      </c>
      <c r="N19" s="160">
        <f>INDEX('Rate Assumptions'!$A:$B,MATCH(N$2,'Rate Assumptions'!$A:$A,0),2)</f>
        <v>929.56879713339436</v>
      </c>
      <c r="O19" s="160">
        <f>INDEX('Rate Assumptions'!$A:$B,MATCH(O$2,'Rate Assumptions'!$A:$A,0),2)</f>
        <v>929.56879713339436</v>
      </c>
      <c r="P19" s="160">
        <f>INDEX('Rate Assumptions'!$A:$B,MATCH(P$2,'Rate Assumptions'!$A:$A,0),2)</f>
        <v>929.56879713339436</v>
      </c>
      <c r="Q19" s="192">
        <f>SUMPRODUCT(K19:M19,N19:P19)</f>
        <v>2652235.8992268336</v>
      </c>
    </row>
    <row r="20" spans="1:17" ht="16">
      <c r="A20" s="146" t="s">
        <v>170</v>
      </c>
      <c r="B20" s="128">
        <v>5843</v>
      </c>
      <c r="C20" s="187">
        <v>1864</v>
      </c>
      <c r="D20" s="128">
        <v>15397</v>
      </c>
      <c r="E20" s="168">
        <v>5706</v>
      </c>
      <c r="F20" s="168">
        <v>1877</v>
      </c>
      <c r="G20" s="168">
        <v>14261</v>
      </c>
      <c r="H20" s="171"/>
      <c r="I20" s="171"/>
      <c r="J20" s="171"/>
      <c r="K20" s="174">
        <f>(E20/B20)^2*E20</f>
        <v>5441.5613427852531</v>
      </c>
      <c r="L20" s="174">
        <f>(F20/C20)^2*F20</f>
        <v>1903.2726280300797</v>
      </c>
      <c r="M20" s="174">
        <f>(G20/D20)^2*G20</f>
        <v>12234.260402824579</v>
      </c>
      <c r="N20" s="160">
        <f>INDEX('Rate Assumptions'!$A:$B,MATCH(N$2,'Rate Assumptions'!$A:$A,0),2)</f>
        <v>929.56879713339436</v>
      </c>
      <c r="O20" s="160">
        <f>INDEX('Rate Assumptions'!$A:$B,MATCH(O$2,'Rate Assumptions'!$A:$A,0),2)</f>
        <v>929.56879713339436</v>
      </c>
      <c r="P20" s="160">
        <f>INDEX('Rate Assumptions'!$A:$B,MATCH(P$2,'Rate Assumptions'!$A:$A,0),2)</f>
        <v>929.56879713339436</v>
      </c>
      <c r="Q20" s="192">
        <f>SUMPRODUCT(K20:M20,N20:P20)</f>
        <v>18200115.205865663</v>
      </c>
    </row>
    <row r="21" spans="1:17">
      <c r="A21" s="146" t="s">
        <v>111</v>
      </c>
      <c r="B21" s="128">
        <v>1756</v>
      </c>
      <c r="C21" s="187">
        <v>271</v>
      </c>
      <c r="D21" s="128">
        <v>3398</v>
      </c>
      <c r="E21" s="168">
        <v>1731</v>
      </c>
      <c r="F21" s="168">
        <v>256</v>
      </c>
      <c r="G21" s="168">
        <v>3330</v>
      </c>
      <c r="H21" s="171"/>
      <c r="I21" s="171"/>
      <c r="J21" s="171"/>
      <c r="K21" s="174">
        <f>(E21/B21)^2*E21</f>
        <v>1682.062700419259</v>
      </c>
      <c r="L21" s="174">
        <f>(F21/C21)^2*F21</f>
        <v>228.44481965114852</v>
      </c>
      <c r="M21" s="174">
        <f>(G21/D21)^2*G21</f>
        <v>3198.0551693843381</v>
      </c>
      <c r="N21" s="160">
        <f>INDEX('Rate Assumptions'!$A:$B,MATCH(N$2,'Rate Assumptions'!$A:$A,0),2)</f>
        <v>929.56879713339436</v>
      </c>
      <c r="O21" s="160">
        <f>INDEX('Rate Assumptions'!$A:$B,MATCH(O$2,'Rate Assumptions'!$A:$A,0),2)</f>
        <v>929.56879713339436</v>
      </c>
      <c r="P21" s="160">
        <f>INDEX('Rate Assumptions'!$A:$B,MATCH(P$2,'Rate Assumptions'!$A:$A,0),2)</f>
        <v>929.56879713339436</v>
      </c>
      <c r="Q21" s="192">
        <f>SUMPRODUCT(K21:M21,N21:P21)</f>
        <v>4748760.4743169863</v>
      </c>
    </row>
    <row r="22" spans="1:17">
      <c r="A22" s="146" t="s">
        <v>112</v>
      </c>
      <c r="B22" s="128">
        <v>6409</v>
      </c>
      <c r="C22" s="187">
        <v>652</v>
      </c>
      <c r="D22" s="128">
        <v>12155</v>
      </c>
      <c r="E22" s="168">
        <v>6190</v>
      </c>
      <c r="F22" s="168">
        <v>581</v>
      </c>
      <c r="G22" s="168">
        <v>11485</v>
      </c>
      <c r="H22" s="171"/>
      <c r="I22" s="171"/>
      <c r="J22" s="171"/>
      <c r="K22" s="174">
        <f>(E22/B22)^2*E22</f>
        <v>5774.1944358213887</v>
      </c>
      <c r="L22" s="174">
        <f>(F22/C22)^2*F22</f>
        <v>461.35284777372118</v>
      </c>
      <c r="M22" s="174">
        <f>(G22/D22)^2*G22</f>
        <v>10253.758208665293</v>
      </c>
      <c r="N22" s="160">
        <f>INDEX('Rate Assumptions'!$A:$B,MATCH(N$2,'Rate Assumptions'!$A:$A,0),2)</f>
        <v>929.56879713339436</v>
      </c>
      <c r="O22" s="160">
        <f>INDEX('Rate Assumptions'!$A:$B,MATCH(O$2,'Rate Assumptions'!$A:$A,0),2)</f>
        <v>929.56879713339436</v>
      </c>
      <c r="P22" s="160">
        <f>INDEX('Rate Assumptions'!$A:$B,MATCH(P$2,'Rate Assumptions'!$A:$A,0),2)</f>
        <v>929.56879713339436</v>
      </c>
      <c r="Q22" s="192">
        <f>SUMPRODUCT(K22:M22,N22:P22)</f>
        <v>15327943.872005576</v>
      </c>
    </row>
    <row r="23" spans="1:17">
      <c r="A23" s="146" t="s">
        <v>113</v>
      </c>
      <c r="B23" s="128">
        <v>8689</v>
      </c>
      <c r="C23" s="187">
        <v>581</v>
      </c>
      <c r="D23" s="128">
        <v>19171</v>
      </c>
      <c r="E23" s="168">
        <v>8567</v>
      </c>
      <c r="F23" s="168">
        <v>639</v>
      </c>
      <c r="G23" s="168">
        <v>19022</v>
      </c>
      <c r="H23" s="171"/>
      <c r="I23" s="171"/>
      <c r="J23" s="171"/>
      <c r="K23" s="174">
        <f>(E23/B23)^2*E23</f>
        <v>8328.1148598927921</v>
      </c>
      <c r="L23" s="174">
        <f>(F23/C23)^2*F23</f>
        <v>772.9480567956607</v>
      </c>
      <c r="M23" s="174">
        <f>(G23/D23)^2*G23</f>
        <v>18727.465153115005</v>
      </c>
      <c r="N23" s="160">
        <f>INDEX('Rate Assumptions'!$A:$B,MATCH(N$2,'Rate Assumptions'!$A:$A,0),2)</f>
        <v>929.56879713339436</v>
      </c>
      <c r="O23" s="160">
        <f>INDEX('Rate Assumptions'!$A:$B,MATCH(O$2,'Rate Assumptions'!$A:$A,0),2)</f>
        <v>929.56879713339436</v>
      </c>
      <c r="P23" s="160">
        <f>INDEX('Rate Assumptions'!$A:$B,MATCH(P$2,'Rate Assumptions'!$A:$A,0),2)</f>
        <v>929.56879713339436</v>
      </c>
      <c r="Q23" s="192">
        <f>SUMPRODUCT(K23:M23,N23:P23)</f>
        <v>25868531.363840103</v>
      </c>
    </row>
    <row r="24" spans="1:17">
      <c r="A24" s="146" t="s">
        <v>114</v>
      </c>
      <c r="B24" s="128">
        <v>2977</v>
      </c>
      <c r="C24" s="187">
        <v>880</v>
      </c>
      <c r="D24" s="128">
        <v>7721</v>
      </c>
      <c r="E24" s="168">
        <v>3090</v>
      </c>
      <c r="F24" s="168">
        <v>797</v>
      </c>
      <c r="G24" s="168">
        <v>7623</v>
      </c>
      <c r="H24" s="171"/>
      <c r="I24" s="171"/>
      <c r="J24" s="171"/>
      <c r="K24" s="174">
        <f>(E24/B24)^2*E24</f>
        <v>3329.0304607183789</v>
      </c>
      <c r="L24" s="174">
        <f>(F24/C24)^2*F24</f>
        <v>653.74686596074378</v>
      </c>
      <c r="M24" s="174">
        <f>(G24/D24)^2*G24</f>
        <v>7430.7158528335731</v>
      </c>
      <c r="N24" s="160">
        <f>INDEX('Rate Assumptions'!$A:$B,MATCH(N$2,'Rate Assumptions'!$A:$A,0),2)</f>
        <v>929.56879713339436</v>
      </c>
      <c r="O24" s="160">
        <f>INDEX('Rate Assumptions'!$A:$B,MATCH(O$2,'Rate Assumptions'!$A:$A,0),2)</f>
        <v>929.56879713339436</v>
      </c>
      <c r="P24" s="160">
        <f>INDEX('Rate Assumptions'!$A:$B,MATCH(P$2,'Rate Assumptions'!$A:$A,0),2)</f>
        <v>929.56879713339436</v>
      </c>
      <c r="Q24" s="192">
        <f>SUMPRODUCT(K24:M24,N24:P24)</f>
        <v>10609627.125969818</v>
      </c>
    </row>
    <row r="25" spans="1:17">
      <c r="A25" s="146" t="s">
        <v>115</v>
      </c>
      <c r="B25" s="128">
        <v>4840</v>
      </c>
      <c r="C25" s="187">
        <v>367</v>
      </c>
      <c r="D25" s="128">
        <v>7827</v>
      </c>
      <c r="E25" s="168">
        <v>5274</v>
      </c>
      <c r="F25" s="168">
        <v>411</v>
      </c>
      <c r="G25" s="168">
        <v>8041</v>
      </c>
      <c r="H25" s="171"/>
      <c r="I25" s="171"/>
      <c r="J25" s="171"/>
      <c r="K25" s="174">
        <f>(E25/B25)^2*E25</f>
        <v>6262.2392094119259</v>
      </c>
      <c r="L25" s="174">
        <f>(F25/C25)^2*F25</f>
        <v>515.45806264802616</v>
      </c>
      <c r="M25" s="174">
        <f>(G25/D25)^2*G25</f>
        <v>8486.7130599331904</v>
      </c>
      <c r="N25" s="160">
        <f>INDEX('Rate Assumptions'!$A:$B,MATCH(N$2,'Rate Assumptions'!$A:$A,0),2)</f>
        <v>929.56879713339436</v>
      </c>
      <c r="O25" s="160">
        <f>INDEX('Rate Assumptions'!$A:$B,MATCH(O$2,'Rate Assumptions'!$A:$A,0),2)</f>
        <v>929.56879713339436</v>
      </c>
      <c r="P25" s="160">
        <f>INDEX('Rate Assumptions'!$A:$B,MATCH(P$2,'Rate Assumptions'!$A:$A,0),2)</f>
        <v>929.56879713339436</v>
      </c>
      <c r="Q25" s="192">
        <f>SUMPRODUCT(K25:M25,N25:P25)</f>
        <v>14189319.551261421</v>
      </c>
    </row>
    <row r="26" spans="1:17">
      <c r="A26" s="146" t="s">
        <v>116</v>
      </c>
      <c r="B26" s="128">
        <v>12932</v>
      </c>
      <c r="C26" s="187">
        <v>1548</v>
      </c>
      <c r="D26" s="128">
        <v>22728</v>
      </c>
      <c r="E26" s="168">
        <v>12657</v>
      </c>
      <c r="F26" s="168">
        <v>1643</v>
      </c>
      <c r="G26" s="168">
        <v>24199</v>
      </c>
      <c r="H26" s="171"/>
      <c r="I26" s="171"/>
      <c r="J26" s="171"/>
      <c r="K26" s="174">
        <f>(E26/B26)^2*E26</f>
        <v>12124.419334086771</v>
      </c>
      <c r="L26" s="174">
        <f>(F26/C26)^2*F26</f>
        <v>1850.8481006583474</v>
      </c>
      <c r="M26" s="174">
        <f>(G26/D26)^2*G26</f>
        <v>27432.779785434228</v>
      </c>
      <c r="N26" s="160">
        <f>INDEX('Rate Assumptions'!$A:$B,MATCH(N$2,'Rate Assumptions'!$A:$A,0),2)</f>
        <v>929.56879713339436</v>
      </c>
      <c r="O26" s="160">
        <f>INDEX('Rate Assumptions'!$A:$B,MATCH(O$2,'Rate Assumptions'!$A:$A,0),2)</f>
        <v>929.56879713339436</v>
      </c>
      <c r="P26" s="160">
        <f>INDEX('Rate Assumptions'!$A:$B,MATCH(P$2,'Rate Assumptions'!$A:$A,0),2)</f>
        <v>929.56879713339436</v>
      </c>
      <c r="Q26" s="192">
        <f>SUMPRODUCT(K26:M26,N26:P26)</f>
        <v>38491628.646104909</v>
      </c>
    </row>
    <row r="27" spans="1:17">
      <c r="A27" s="146" t="s">
        <v>117</v>
      </c>
      <c r="B27" s="128">
        <v>518</v>
      </c>
      <c r="C27" s="187">
        <v>287</v>
      </c>
      <c r="D27" s="128">
        <v>1832</v>
      </c>
      <c r="E27" s="168">
        <v>489</v>
      </c>
      <c r="F27" s="168">
        <v>294</v>
      </c>
      <c r="G27" s="168">
        <v>1931</v>
      </c>
      <c r="H27" s="171"/>
      <c r="I27" s="171"/>
      <c r="J27" s="171"/>
      <c r="K27" s="174">
        <f>(E27/B27)^2*E27</f>
        <v>435.7797625259015</v>
      </c>
      <c r="L27" s="174">
        <f>(F27/C27)^2*F27</f>
        <v>308.51635930993456</v>
      </c>
      <c r="M27" s="174">
        <f>(G27/D27)^2*G27</f>
        <v>2145.338776851605</v>
      </c>
      <c r="N27" s="160">
        <f>INDEX('Rate Assumptions'!$A:$B,MATCH(N$2,'Rate Assumptions'!$A:$A,0),2)</f>
        <v>929.56879713339436</v>
      </c>
      <c r="O27" s="160">
        <f>INDEX('Rate Assumptions'!$A:$B,MATCH(O$2,'Rate Assumptions'!$A:$A,0),2)</f>
        <v>929.56879713339436</v>
      </c>
      <c r="P27" s="160">
        <f>INDEX('Rate Assumptions'!$A:$B,MATCH(P$2,'Rate Assumptions'!$A:$A,0),2)</f>
        <v>929.56879713339436</v>
      </c>
      <c r="Q27" s="192">
        <f>SUMPRODUCT(K27:M27,N27:P27)</f>
        <v>2686114.4369275626</v>
      </c>
    </row>
    <row r="28" spans="1:17">
      <c r="A28" s="146" t="s">
        <v>118</v>
      </c>
      <c r="B28" s="128">
        <v>349</v>
      </c>
      <c r="C28" s="187">
        <v>144</v>
      </c>
      <c r="D28" s="128">
        <v>2681</v>
      </c>
      <c r="E28" s="168">
        <v>341</v>
      </c>
      <c r="F28" s="168">
        <v>32</v>
      </c>
      <c r="G28" s="168">
        <v>3052</v>
      </c>
      <c r="H28" s="171"/>
      <c r="I28" s="171"/>
      <c r="J28" s="171"/>
      <c r="K28" s="174">
        <f>(E28/B28)^2*E28</f>
        <v>325.54593968850833</v>
      </c>
      <c r="L28" s="174">
        <f>(F28/C28)^2*F28</f>
        <v>1.5802469135802468</v>
      </c>
      <c r="M28" s="174">
        <f>(G28/D28)^2*G28</f>
        <v>3955.1226881361245</v>
      </c>
      <c r="N28" s="160">
        <f>INDEX('Rate Assumptions'!$A:$B,MATCH(N$2,'Rate Assumptions'!$A:$A,0),2)</f>
        <v>929.56879713339436</v>
      </c>
      <c r="O28" s="160">
        <f>INDEX('Rate Assumptions'!$A:$B,MATCH(O$2,'Rate Assumptions'!$A:$A,0),2)</f>
        <v>929.56879713339436</v>
      </c>
      <c r="P28" s="160">
        <f>INDEX('Rate Assumptions'!$A:$B,MATCH(P$2,'Rate Assumptions'!$A:$A,0),2)</f>
        <v>929.56879713339436</v>
      </c>
      <c r="Q28" s="192">
        <f>SUMPRODUCT(K28:M28,N28:P28)</f>
        <v>3980644.9355162322</v>
      </c>
    </row>
    <row r="29" spans="1:17">
      <c r="A29" s="146" t="s">
        <v>119</v>
      </c>
      <c r="B29" s="128">
        <v>10102</v>
      </c>
      <c r="C29" s="187">
        <v>1330</v>
      </c>
      <c r="D29" s="128">
        <v>21020</v>
      </c>
      <c r="E29" s="168">
        <v>10280</v>
      </c>
      <c r="F29" s="168">
        <v>1379</v>
      </c>
      <c r="G29" s="168">
        <v>20263</v>
      </c>
      <c r="H29" s="171"/>
      <c r="I29" s="171"/>
      <c r="J29" s="171"/>
      <c r="K29" s="174">
        <f>(E29/B29)^2*E29</f>
        <v>10645.464490272867</v>
      </c>
      <c r="L29" s="174">
        <f>(F29/C29)^2*F29</f>
        <v>1482.4822991689748</v>
      </c>
      <c r="M29" s="174">
        <f>(G29/D29)^2*G29</f>
        <v>18829.804453026481</v>
      </c>
      <c r="N29" s="160">
        <f>INDEX('Rate Assumptions'!$A:$B,MATCH(N$2,'Rate Assumptions'!$A:$A,0),2)</f>
        <v>929.56879713339436</v>
      </c>
      <c r="O29" s="160">
        <f>INDEX('Rate Assumptions'!$A:$B,MATCH(O$2,'Rate Assumptions'!$A:$A,0),2)</f>
        <v>929.56879713339436</v>
      </c>
      <c r="P29" s="160">
        <f>INDEX('Rate Assumptions'!$A:$B,MATCH(P$2,'Rate Assumptions'!$A:$A,0),2)</f>
        <v>929.56879713339436</v>
      </c>
      <c r="Q29" s="192">
        <f>SUMPRODUCT(K29:M29,N29:P29)</f>
        <v>28777359.584416121</v>
      </c>
    </row>
    <row r="30" spans="1:17">
      <c r="A30" s="146" t="s">
        <v>120</v>
      </c>
      <c r="B30" s="128">
        <v>48433</v>
      </c>
      <c r="C30" s="187">
        <v>7917</v>
      </c>
      <c r="D30" s="128">
        <v>97109</v>
      </c>
      <c r="E30" s="168">
        <v>41287</v>
      </c>
      <c r="F30" s="168">
        <v>6940</v>
      </c>
      <c r="G30" s="168">
        <v>93093</v>
      </c>
      <c r="H30" s="171"/>
      <c r="I30" s="171"/>
      <c r="J30" s="171"/>
      <c r="K30" s="174">
        <f>(E30/B30)^2*E30</f>
        <v>30002.485918472899</v>
      </c>
      <c r="L30" s="174">
        <f>(F30/C30)^2*F30</f>
        <v>5332.8224117054788</v>
      </c>
      <c r="M30" s="174">
        <f>(G30/D30)^2*G30</f>
        <v>85552.383645755515</v>
      </c>
      <c r="N30" s="160">
        <f>INDEX('Rate Assumptions'!$A:$B,MATCH(N$2,'Rate Assumptions'!$A:$A,0),2)</f>
        <v>929.56879713339436</v>
      </c>
      <c r="O30" s="160">
        <f>INDEX('Rate Assumptions'!$A:$B,MATCH(O$2,'Rate Assumptions'!$A:$A,0),2)</f>
        <v>929.56879713339436</v>
      </c>
      <c r="P30" s="160">
        <f>INDEX('Rate Assumptions'!$A:$B,MATCH(P$2,'Rate Assumptions'!$A:$A,0),2)</f>
        <v>929.56879713339436</v>
      </c>
      <c r="Q30" s="192">
        <f>SUMPRODUCT(K30:M30,N30:P30)</f>
        <v>112373426.41830117</v>
      </c>
    </row>
    <row r="31" spans="1:17">
      <c r="A31" s="146" t="s">
        <v>121</v>
      </c>
      <c r="B31" s="128">
        <v>21700</v>
      </c>
      <c r="C31" s="187">
        <v>1900</v>
      </c>
      <c r="D31" s="128">
        <v>53302</v>
      </c>
      <c r="E31" s="168">
        <v>20826</v>
      </c>
      <c r="F31" s="168">
        <v>2479</v>
      </c>
      <c r="G31" s="168">
        <v>50784</v>
      </c>
      <c r="H31" s="171"/>
      <c r="I31" s="171"/>
      <c r="J31" s="171"/>
      <c r="K31" s="174">
        <f>(E31/B31)^2*E31</f>
        <v>19182.187177421481</v>
      </c>
      <c r="L31" s="174">
        <f>(F31/C31)^2*F31</f>
        <v>4220.0964650969536</v>
      </c>
      <c r="M31" s="174">
        <f>(G31/D31)^2*G31</f>
        <v>46099.233602604458</v>
      </c>
      <c r="N31" s="160">
        <f>INDEX('Rate Assumptions'!$A:$B,MATCH(N$2,'Rate Assumptions'!$A:$A,0),2)</f>
        <v>929.56879713339436</v>
      </c>
      <c r="O31" s="160">
        <f>INDEX('Rate Assumptions'!$A:$B,MATCH(O$2,'Rate Assumptions'!$A:$A,0),2)</f>
        <v>929.56879713339436</v>
      </c>
      <c r="P31" s="160">
        <f>INDEX('Rate Assumptions'!$A:$B,MATCH(P$2,'Rate Assumptions'!$A:$A,0),2)</f>
        <v>929.56879713339436</v>
      </c>
      <c r="Q31" s="192">
        <f>SUMPRODUCT(K31:M31,N31:P31)</f>
        <v>64606441.78449475</v>
      </c>
    </row>
    <row r="32" spans="1:17">
      <c r="A32" s="146" t="s">
        <v>122</v>
      </c>
      <c r="B32" s="128">
        <v>878</v>
      </c>
      <c r="C32" s="187">
        <v>451</v>
      </c>
      <c r="D32" s="128">
        <v>2396</v>
      </c>
      <c r="E32" s="168">
        <v>908</v>
      </c>
      <c r="F32" s="168">
        <v>443</v>
      </c>
      <c r="G32" s="168">
        <v>2088</v>
      </c>
      <c r="H32" s="171"/>
      <c r="I32" s="171"/>
      <c r="J32" s="171"/>
      <c r="K32" s="174">
        <f>(E32/B32)^2*E32</f>
        <v>971.11019556768611</v>
      </c>
      <c r="L32" s="174">
        <f>(F32/C32)^2*F32</f>
        <v>427.42320342574527</v>
      </c>
      <c r="M32" s="174">
        <f>(G32/D32)^2*G32</f>
        <v>1585.6884233878945</v>
      </c>
      <c r="N32" s="160">
        <f>INDEX('Rate Assumptions'!$A:$B,MATCH(N$2,'Rate Assumptions'!$A:$A,0),2)</f>
        <v>929.56879713339436</v>
      </c>
      <c r="O32" s="160">
        <f>INDEX('Rate Assumptions'!$A:$B,MATCH(O$2,'Rate Assumptions'!$A:$A,0),2)</f>
        <v>929.56879713339436</v>
      </c>
      <c r="P32" s="160">
        <f>INDEX('Rate Assumptions'!$A:$B,MATCH(P$2,'Rate Assumptions'!$A:$A,0),2)</f>
        <v>929.56879713339436</v>
      </c>
      <c r="Q32" s="192">
        <f>SUMPRODUCT(K32:M32,N32:P32)</f>
        <v>2774039.4898102349</v>
      </c>
    </row>
    <row r="33" spans="1:17">
      <c r="A33" s="146" t="s">
        <v>123</v>
      </c>
      <c r="B33" s="128">
        <v>1358</v>
      </c>
      <c r="C33" s="187">
        <v>98</v>
      </c>
      <c r="D33" s="128">
        <v>3113</v>
      </c>
      <c r="E33" s="168">
        <v>1341</v>
      </c>
      <c r="F33" s="168">
        <v>102</v>
      </c>
      <c r="G33" s="168">
        <v>2889</v>
      </c>
      <c r="H33" s="171"/>
      <c r="I33" s="171"/>
      <c r="J33" s="171"/>
      <c r="K33" s="174">
        <f>(E33/B33)^2*E33</f>
        <v>1307.6357748009398</v>
      </c>
      <c r="L33" s="174">
        <f>(F33/C33)^2*F33</f>
        <v>110.49645980841318</v>
      </c>
      <c r="M33" s="174">
        <f>(G33/D33)^2*G33</f>
        <v>2488.1948345894943</v>
      </c>
      <c r="N33" s="160">
        <f>INDEX('Rate Assumptions'!$A:$B,MATCH(N$2,'Rate Assumptions'!$A:$A,0),2)</f>
        <v>929.56879713339436</v>
      </c>
      <c r="O33" s="160">
        <f>INDEX('Rate Assumptions'!$A:$B,MATCH(O$2,'Rate Assumptions'!$A:$A,0),2)</f>
        <v>929.56879713339436</v>
      </c>
      <c r="P33" s="160">
        <f>INDEX('Rate Assumptions'!$A:$B,MATCH(P$2,'Rate Assumptions'!$A:$A,0),2)</f>
        <v>929.56879713339436</v>
      </c>
      <c r="Q33" s="192">
        <f>SUMPRODUCT(K33:M33,N33:P33)</f>
        <v>3631199.75492479</v>
      </c>
    </row>
    <row r="34" spans="1:17">
      <c r="A34" s="146" t="s">
        <v>124</v>
      </c>
      <c r="B34" s="128">
        <v>5101</v>
      </c>
      <c r="C34" s="187">
        <v>582</v>
      </c>
      <c r="D34" s="128">
        <v>9191</v>
      </c>
      <c r="E34" s="168">
        <v>4890</v>
      </c>
      <c r="F34" s="168">
        <v>559</v>
      </c>
      <c r="G34" s="168">
        <v>9132</v>
      </c>
      <c r="H34" s="171"/>
      <c r="I34" s="171"/>
      <c r="J34" s="171"/>
      <c r="K34" s="174">
        <f>(E34/B34)^2*E34</f>
        <v>4493.8226649363696</v>
      </c>
      <c r="L34" s="174">
        <f>(F34/C34)^2*F34</f>
        <v>515.6908840235709</v>
      </c>
      <c r="M34" s="174">
        <f>(G34/D34)^2*G34</f>
        <v>9015.1337889604783</v>
      </c>
      <c r="N34" s="160">
        <f>INDEX('Rate Assumptions'!$A:$B,MATCH(N$2,'Rate Assumptions'!$A:$A,0),2)</f>
        <v>929.56879713339436</v>
      </c>
      <c r="O34" s="160">
        <f>INDEX('Rate Assumptions'!$A:$B,MATCH(O$2,'Rate Assumptions'!$A:$A,0),2)</f>
        <v>929.56879713339436</v>
      </c>
      <c r="P34" s="160">
        <f>INDEX('Rate Assumptions'!$A:$B,MATCH(P$2,'Rate Assumptions'!$A:$A,0),2)</f>
        <v>929.56879713339436</v>
      </c>
      <c r="Q34" s="192">
        <f>SUMPRODUCT(K34:M34,N34:P34)</f>
        <v>13036874.556130745</v>
      </c>
    </row>
    <row r="35" spans="1:17">
      <c r="A35" s="146" t="s">
        <v>125</v>
      </c>
      <c r="B35" s="128">
        <v>4648</v>
      </c>
      <c r="C35" s="187">
        <v>203</v>
      </c>
      <c r="D35" s="128">
        <v>9435</v>
      </c>
      <c r="E35" s="168">
        <v>4607</v>
      </c>
      <c r="F35" s="168">
        <v>227</v>
      </c>
      <c r="G35" s="168">
        <v>9394</v>
      </c>
      <c r="H35" s="171"/>
      <c r="I35" s="171"/>
      <c r="J35" s="171"/>
      <c r="K35" s="174">
        <f>(E35/B35)^2*E35</f>
        <v>4526.0817925778592</v>
      </c>
      <c r="L35" s="174">
        <f>(F35/C35)^2*F35</f>
        <v>283.84777597126845</v>
      </c>
      <c r="M35" s="174">
        <f>(G35/D35)^2*G35</f>
        <v>9312.53372497907</v>
      </c>
      <c r="N35" s="160">
        <f>INDEX('Rate Assumptions'!$A:$B,MATCH(N$2,'Rate Assumptions'!$A:$A,0),2)</f>
        <v>929.56879713339436</v>
      </c>
      <c r="O35" s="160">
        <f>INDEX('Rate Assumptions'!$A:$B,MATCH(O$2,'Rate Assumptions'!$A:$A,0),2)</f>
        <v>929.56879713339436</v>
      </c>
      <c r="P35" s="160">
        <f>INDEX('Rate Assumptions'!$A:$B,MATCH(P$2,'Rate Assumptions'!$A:$A,0),2)</f>
        <v>929.56879713339436</v>
      </c>
      <c r="Q35" s="192">
        <f>SUMPRODUCT(K35:M35,N35:P35)</f>
        <v>13127801.216325521</v>
      </c>
    </row>
    <row r="36" spans="1:17">
      <c r="A36" s="146" t="s">
        <v>126</v>
      </c>
      <c r="B36" s="128">
        <v>1703</v>
      </c>
      <c r="C36" s="187">
        <v>326</v>
      </c>
      <c r="D36" s="128">
        <v>3785</v>
      </c>
      <c r="E36" s="168">
        <v>1859</v>
      </c>
      <c r="F36" s="168">
        <v>319</v>
      </c>
      <c r="G36" s="168">
        <v>4510</v>
      </c>
      <c r="H36" s="171"/>
      <c r="I36" s="171"/>
      <c r="J36" s="171"/>
      <c r="K36" s="174">
        <f>(E36/B36)^2*E36</f>
        <v>2215.1792436338205</v>
      </c>
      <c r="L36" s="174">
        <f>(F36/C36)^2*F36</f>
        <v>305.44769279987958</v>
      </c>
      <c r="M36" s="174">
        <f>(G36/D36)^2*G36</f>
        <v>6403.211662527985</v>
      </c>
      <c r="N36" s="160">
        <f>INDEX('Rate Assumptions'!$A:$B,MATCH(N$2,'Rate Assumptions'!$A:$A,0),2)</f>
        <v>929.56879713339436</v>
      </c>
      <c r="O36" s="160">
        <f>INDEX('Rate Assumptions'!$A:$B,MATCH(O$2,'Rate Assumptions'!$A:$A,0),2)</f>
        <v>929.56879713339436</v>
      </c>
      <c r="P36" s="160">
        <f>INDEX('Rate Assumptions'!$A:$B,MATCH(P$2,'Rate Assumptions'!$A:$A,0),2)</f>
        <v>929.56879713339436</v>
      </c>
      <c r="Q36" s="192">
        <f>SUMPRODUCT(K36:M36,N36:P36)</f>
        <v>8295321.9122493695</v>
      </c>
    </row>
    <row r="37" spans="1:17">
      <c r="A37" s="146" t="s">
        <v>127</v>
      </c>
      <c r="B37" s="128">
        <v>11423</v>
      </c>
      <c r="C37" s="187">
        <v>1510</v>
      </c>
      <c r="D37" s="128">
        <v>24585</v>
      </c>
      <c r="E37" s="168">
        <v>11919</v>
      </c>
      <c r="F37" s="168">
        <v>1604</v>
      </c>
      <c r="G37" s="168">
        <v>24533</v>
      </c>
      <c r="H37" s="171"/>
      <c r="I37" s="171"/>
      <c r="J37" s="171"/>
      <c r="K37" s="174">
        <f>(E37/B37)^2*E37</f>
        <v>12976.545855031272</v>
      </c>
      <c r="L37" s="174">
        <f>(F37/C37)^2*F37</f>
        <v>1809.9192421385028</v>
      </c>
      <c r="M37" s="174">
        <f>(G37/D37)^2*G37</f>
        <v>24429.32972465895</v>
      </c>
      <c r="N37" s="160">
        <f>INDEX('Rate Assumptions'!$A:$B,MATCH(N$2,'Rate Assumptions'!$A:$A,0),2)</f>
        <v>929.56879713339436</v>
      </c>
      <c r="O37" s="160">
        <f>INDEX('Rate Assumptions'!$A:$B,MATCH(O$2,'Rate Assumptions'!$A:$A,0),2)</f>
        <v>929.56879713339436</v>
      </c>
      <c r="P37" s="160">
        <f>INDEX('Rate Assumptions'!$A:$B,MATCH(P$2,'Rate Assumptions'!$A:$A,0),2)</f>
        <v>929.56879713339436</v>
      </c>
      <c r="Q37" s="192">
        <f>SUMPRODUCT(K37:M37,N37:P37)</f>
        <v>36453779.22115732</v>
      </c>
    </row>
    <row r="38" spans="1:17">
      <c r="A38" s="146" t="s">
        <v>128</v>
      </c>
      <c r="B38" s="128">
        <v>6655</v>
      </c>
      <c r="C38" s="187">
        <v>541</v>
      </c>
      <c r="D38" s="128">
        <v>13694</v>
      </c>
      <c r="E38" s="168">
        <v>6662</v>
      </c>
      <c r="F38" s="168">
        <v>532</v>
      </c>
      <c r="G38" s="168">
        <v>14174</v>
      </c>
      <c r="H38" s="171"/>
      <c r="I38" s="171"/>
      <c r="J38" s="171"/>
      <c r="K38" s="174">
        <f>(E38/B38)^2*E38</f>
        <v>6676.0220963997299</v>
      </c>
      <c r="L38" s="174">
        <f>(F38/C38)^2*F38</f>
        <v>514.44667744062656</v>
      </c>
      <c r="M38" s="174">
        <f>(G38/D38)^2*G38</f>
        <v>15185.064403802367</v>
      </c>
      <c r="N38" s="160">
        <f>INDEX('Rate Assumptions'!$A:$B,MATCH(N$2,'Rate Assumptions'!$A:$A,0),2)</f>
        <v>929.56879713339436</v>
      </c>
      <c r="O38" s="160">
        <f>INDEX('Rate Assumptions'!$A:$B,MATCH(O$2,'Rate Assumptions'!$A:$A,0),2)</f>
        <v>929.56879713339436</v>
      </c>
      <c r="P38" s="160">
        <f>INDEX('Rate Assumptions'!$A:$B,MATCH(P$2,'Rate Assumptions'!$A:$A,0),2)</f>
        <v>929.56879713339436</v>
      </c>
      <c r="Q38" s="192">
        <f>SUMPRODUCT(K38:M38,N38:P38)</f>
        <v>20799597.461159706</v>
      </c>
    </row>
    <row r="39" spans="1:17">
      <c r="A39" s="146" t="s">
        <v>129</v>
      </c>
      <c r="B39" s="128">
        <v>1459</v>
      </c>
      <c r="C39" s="187">
        <v>341</v>
      </c>
      <c r="D39" s="128">
        <v>3950</v>
      </c>
      <c r="E39" s="168">
        <v>1361</v>
      </c>
      <c r="F39" s="168">
        <v>353</v>
      </c>
      <c r="G39" s="168">
        <v>3941</v>
      </c>
      <c r="H39" s="171"/>
      <c r="I39" s="171"/>
      <c r="J39" s="171"/>
      <c r="K39" s="174">
        <f>(E39/B39)^2*E39</f>
        <v>1184.3056244688612</v>
      </c>
      <c r="L39" s="174">
        <f>(F39/C39)^2*F39</f>
        <v>378.28172272340277</v>
      </c>
      <c r="M39" s="174">
        <f>(G39/D39)^2*G39</f>
        <v>3923.0614722640603</v>
      </c>
      <c r="N39" s="160">
        <f>INDEX('Rate Assumptions'!$A:$B,MATCH(N$2,'Rate Assumptions'!$A:$A,0),2)</f>
        <v>929.56879713339436</v>
      </c>
      <c r="O39" s="160">
        <f>INDEX('Rate Assumptions'!$A:$B,MATCH(O$2,'Rate Assumptions'!$A:$A,0),2)</f>
        <v>929.56879713339436</v>
      </c>
      <c r="P39" s="160">
        <f>INDEX('Rate Assumptions'!$A:$B,MATCH(P$2,'Rate Assumptions'!$A:$A,0),2)</f>
        <v>929.56879713339436</v>
      </c>
      <c r="Q39" s="192">
        <f>SUMPRODUCT(K39:M39,N39:P39)</f>
        <v>5099287.9745982401</v>
      </c>
    </row>
    <row r="40" spans="1:17">
      <c r="A40" s="146" t="s">
        <v>130</v>
      </c>
      <c r="B40" s="128">
        <v>11898</v>
      </c>
      <c r="C40" s="187">
        <v>2189</v>
      </c>
      <c r="D40" s="128">
        <v>26887</v>
      </c>
      <c r="E40" s="168">
        <v>11801</v>
      </c>
      <c r="F40" s="168">
        <v>1717</v>
      </c>
      <c r="G40" s="168">
        <v>25720</v>
      </c>
      <c r="H40" s="171"/>
      <c r="I40" s="171"/>
      <c r="J40" s="171"/>
      <c r="K40" s="174">
        <f>(E40/B40)^2*E40</f>
        <v>11609.36596838946</v>
      </c>
      <c r="L40" s="174">
        <f>(F40/C40)^2*F40</f>
        <v>1056.3780347395018</v>
      </c>
      <c r="M40" s="174">
        <f>(G40/D40)^2*G40</f>
        <v>23535.758460944991</v>
      </c>
      <c r="N40" s="160">
        <f>INDEX('Rate Assumptions'!$A:$B,MATCH(N$2,'Rate Assumptions'!$A:$A,0),2)</f>
        <v>929.56879713339436</v>
      </c>
      <c r="O40" s="160">
        <f>INDEX('Rate Assumptions'!$A:$B,MATCH(O$2,'Rate Assumptions'!$A:$A,0),2)</f>
        <v>929.56879713339436</v>
      </c>
      <c r="P40" s="160">
        <f>INDEX('Rate Assumptions'!$A:$B,MATCH(P$2,'Rate Assumptions'!$A:$A,0),2)</f>
        <v>929.56879713339436</v>
      </c>
      <c r="Q40" s="192">
        <f>SUMPRODUCT(K40:M40,N40:P40)</f>
        <v>33651787.099950835</v>
      </c>
    </row>
    <row r="41" spans="1:17">
      <c r="A41" s="146" t="s">
        <v>131</v>
      </c>
      <c r="B41" s="128">
        <v>1689</v>
      </c>
      <c r="C41" s="187">
        <v>151</v>
      </c>
      <c r="D41" s="128">
        <v>4158</v>
      </c>
      <c r="E41" s="168">
        <v>1638</v>
      </c>
      <c r="F41" s="168">
        <v>134</v>
      </c>
      <c r="G41" s="168">
        <v>3756</v>
      </c>
      <c r="H41" s="171"/>
      <c r="I41" s="171"/>
      <c r="J41" s="171"/>
      <c r="K41" s="174">
        <f>(E41/B41)^2*E41</f>
        <v>1540.5733936126248</v>
      </c>
      <c r="L41" s="174">
        <f>(F41/C41)^2*F41</f>
        <v>105.5262488487347</v>
      </c>
      <c r="M41" s="174">
        <f>(G41/D41)^2*G41</f>
        <v>3064.8398143463078</v>
      </c>
      <c r="N41" s="160">
        <f>INDEX('Rate Assumptions'!$A:$B,MATCH(N$2,'Rate Assumptions'!$A:$A,0),2)</f>
        <v>929.56879713339436</v>
      </c>
      <c r="O41" s="160">
        <f>INDEX('Rate Assumptions'!$A:$B,MATCH(O$2,'Rate Assumptions'!$A:$A,0),2)</f>
        <v>929.56879713339436</v>
      </c>
      <c r="P41" s="160">
        <f>INDEX('Rate Assumptions'!$A:$B,MATCH(P$2,'Rate Assumptions'!$A:$A,0),2)</f>
        <v>929.56879713339436</v>
      </c>
      <c r="Q41" s="192">
        <f>SUMPRODUCT(K41:M41,N41:P41)</f>
        <v>4379142.3242329499</v>
      </c>
    </row>
    <row r="42" spans="1:17">
      <c r="A42" s="146" t="s">
        <v>132</v>
      </c>
      <c r="B42" s="128">
        <v>264</v>
      </c>
      <c r="C42" s="187">
        <v>24</v>
      </c>
      <c r="D42" s="128">
        <v>3169</v>
      </c>
      <c r="E42" s="168">
        <v>262</v>
      </c>
      <c r="F42" s="168">
        <v>27</v>
      </c>
      <c r="G42" s="168">
        <v>3265</v>
      </c>
      <c r="H42" s="171"/>
      <c r="I42" s="171"/>
      <c r="J42" s="171"/>
      <c r="K42" s="174">
        <f>(E42/B42)^2*E42</f>
        <v>258.04533976124884</v>
      </c>
      <c r="L42" s="174">
        <f>(F42/C42)^2*F42</f>
        <v>34.171875</v>
      </c>
      <c r="M42" s="174">
        <f>(G42/D42)^2*G42</f>
        <v>3465.8126174190033</v>
      </c>
      <c r="N42" s="160">
        <f>INDEX('Rate Assumptions'!$A:$B,MATCH(N$2,'Rate Assumptions'!$A:$A,0),2)</f>
        <v>929.56879713339436</v>
      </c>
      <c r="O42" s="160">
        <f>INDEX('Rate Assumptions'!$A:$B,MATCH(O$2,'Rate Assumptions'!$A:$A,0),2)</f>
        <v>929.56879713339436</v>
      </c>
      <c r="P42" s="160">
        <f>INDEX('Rate Assumptions'!$A:$B,MATCH(P$2,'Rate Assumptions'!$A:$A,0),2)</f>
        <v>929.56879713339436</v>
      </c>
      <c r="Q42" s="192">
        <f>SUMPRODUCT(K42:M42,N42:P42)</f>
        <v>3493347.2706912085</v>
      </c>
    </row>
    <row r="43" spans="1:17">
      <c r="A43" s="146" t="s">
        <v>133</v>
      </c>
      <c r="B43" s="128">
        <v>4933</v>
      </c>
      <c r="C43" s="187">
        <v>685</v>
      </c>
      <c r="D43" s="128">
        <v>13689</v>
      </c>
      <c r="E43" s="168">
        <v>5090</v>
      </c>
      <c r="F43" s="168">
        <v>668</v>
      </c>
      <c r="G43" s="168">
        <v>14536</v>
      </c>
      <c r="H43" s="171"/>
      <c r="I43" s="171"/>
      <c r="J43" s="171"/>
      <c r="K43" s="174">
        <f>(E43/B43)^2*E43</f>
        <v>5419.1492987586462</v>
      </c>
      <c r="L43" s="174">
        <f>(F43/C43)^2*F43</f>
        <v>635.25522297405303</v>
      </c>
      <c r="M43" s="174">
        <f>(G43/D43)^2*G43</f>
        <v>16390.465798931407</v>
      </c>
      <c r="N43" s="160">
        <f>INDEX('Rate Assumptions'!$A:$B,MATCH(N$2,'Rate Assumptions'!$A:$A,0),2)</f>
        <v>929.56879713339436</v>
      </c>
      <c r="O43" s="160">
        <f>INDEX('Rate Assumptions'!$A:$B,MATCH(O$2,'Rate Assumptions'!$A:$A,0),2)</f>
        <v>929.56879713339436</v>
      </c>
      <c r="P43" s="160">
        <f>INDEX('Rate Assumptions'!$A:$B,MATCH(P$2,'Rate Assumptions'!$A:$A,0),2)</f>
        <v>929.56879713339436</v>
      </c>
      <c r="Q43" s="192">
        <f>SUMPRODUCT(K43:M43,N43:P43)</f>
        <v>20864051.105794758</v>
      </c>
    </row>
    <row r="44" spans="1:17">
      <c r="A44" s="146" t="s">
        <v>134</v>
      </c>
      <c r="B44" s="128">
        <v>9744</v>
      </c>
      <c r="C44" s="187">
        <v>1114</v>
      </c>
      <c r="D44" s="128">
        <v>21037</v>
      </c>
      <c r="E44" s="168">
        <v>9872</v>
      </c>
      <c r="F44" s="168">
        <v>1143</v>
      </c>
      <c r="G44" s="168">
        <v>20091</v>
      </c>
      <c r="H44" s="171"/>
      <c r="I44" s="171"/>
      <c r="J44" s="171"/>
      <c r="K44" s="174">
        <f>(E44/B44)^2*E44</f>
        <v>10133.066422922715</v>
      </c>
      <c r="L44" s="174">
        <f>(F44/C44)^2*F44</f>
        <v>1203.2844642529067</v>
      </c>
      <c r="M44" s="174">
        <f>(G44/D44)^2*G44</f>
        <v>18324.707328476678</v>
      </c>
      <c r="N44" s="160">
        <f>INDEX('Rate Assumptions'!$A:$B,MATCH(N$2,'Rate Assumptions'!$A:$A,0),2)</f>
        <v>929.56879713339436</v>
      </c>
      <c r="O44" s="160">
        <f>INDEX('Rate Assumptions'!$A:$B,MATCH(O$2,'Rate Assumptions'!$A:$A,0),2)</f>
        <v>929.56879713339436</v>
      </c>
      <c r="P44" s="160">
        <f>INDEX('Rate Assumptions'!$A:$B,MATCH(P$2,'Rate Assumptions'!$A:$A,0),2)</f>
        <v>929.56879713339436</v>
      </c>
      <c r="Q44" s="192">
        <f>SUMPRODUCT(K44:M44,N44:P44)</f>
        <v>27571994.207227491</v>
      </c>
    </row>
    <row r="45" spans="1:17">
      <c r="A45" s="146" t="s">
        <v>135</v>
      </c>
      <c r="B45" s="128">
        <v>7672</v>
      </c>
      <c r="C45" s="187">
        <v>510</v>
      </c>
      <c r="D45" s="128">
        <v>15967</v>
      </c>
      <c r="E45" s="168">
        <v>7528</v>
      </c>
      <c r="F45" s="168">
        <v>629</v>
      </c>
      <c r="G45" s="168">
        <v>15475</v>
      </c>
      <c r="H45" s="171"/>
      <c r="I45" s="171"/>
      <c r="J45" s="171"/>
      <c r="K45" s="174">
        <f>(E45/B45)^2*E45</f>
        <v>7248.0577156644531</v>
      </c>
      <c r="L45" s="174">
        <f>(F45/C45)^2*F45</f>
        <v>956.77888888888901</v>
      </c>
      <c r="M45" s="174">
        <f>(G45/D45)^2*G45</f>
        <v>14536.013662436148</v>
      </c>
      <c r="N45" s="160">
        <f>INDEX('Rate Assumptions'!$A:$B,MATCH(N$2,'Rate Assumptions'!$A:$A,0),2)</f>
        <v>929.56879713339436</v>
      </c>
      <c r="O45" s="160">
        <f>INDEX('Rate Assumptions'!$A:$B,MATCH(O$2,'Rate Assumptions'!$A:$A,0),2)</f>
        <v>929.56879713339436</v>
      </c>
      <c r="P45" s="160">
        <f>INDEX('Rate Assumptions'!$A:$B,MATCH(P$2,'Rate Assumptions'!$A:$A,0),2)</f>
        <v>929.56879713339436</v>
      </c>
      <c r="Q45" s="192">
        <f>SUMPRODUCT(K45:M45,N45:P45)</f>
        <v>21139184.828476049</v>
      </c>
    </row>
    <row r="46" spans="1:17">
      <c r="A46" s="146" t="s">
        <v>136</v>
      </c>
      <c r="B46" s="128">
        <v>5388</v>
      </c>
      <c r="C46" s="187">
        <v>2360</v>
      </c>
      <c r="D46" s="128">
        <v>18405</v>
      </c>
      <c r="E46" s="168">
        <v>6177</v>
      </c>
      <c r="F46" s="168">
        <v>2317</v>
      </c>
      <c r="G46" s="168">
        <v>18546</v>
      </c>
      <c r="H46" s="171"/>
      <c r="I46" s="171"/>
      <c r="J46" s="171"/>
      <c r="K46" s="174">
        <f>(E46/B46)^2*E46</f>
        <v>8118.5343007351166</v>
      </c>
      <c r="L46" s="174">
        <f>(F46/C46)^2*F46</f>
        <v>2233.3361485564492</v>
      </c>
      <c r="M46" s="174">
        <f>(G46/D46)^2*G46</f>
        <v>18831.248862134169</v>
      </c>
      <c r="N46" s="160">
        <f>INDEX('Rate Assumptions'!$A:$B,MATCH(N$2,'Rate Assumptions'!$A:$A,0),2)</f>
        <v>929.56879713339436</v>
      </c>
      <c r="O46" s="160">
        <f>INDEX('Rate Assumptions'!$A:$B,MATCH(O$2,'Rate Assumptions'!$A:$A,0),2)</f>
        <v>929.56879713339436</v>
      </c>
      <c r="P46" s="160">
        <f>INDEX('Rate Assumptions'!$A:$B,MATCH(P$2,'Rate Assumptions'!$A:$A,0),2)</f>
        <v>929.56879713339436</v>
      </c>
      <c r="Q46" s="192">
        <f>SUMPRODUCT(K46:M46,N46:P46)</f>
        <v>27127717.114922352</v>
      </c>
    </row>
    <row r="47" spans="1:17">
      <c r="A47" s="146" t="s">
        <v>137</v>
      </c>
      <c r="B47" s="128">
        <v>2167</v>
      </c>
      <c r="C47" s="187">
        <v>272</v>
      </c>
      <c r="D47" s="128">
        <v>3703</v>
      </c>
      <c r="E47" s="168">
        <v>2007</v>
      </c>
      <c r="F47" s="168">
        <v>231</v>
      </c>
      <c r="G47" s="168">
        <v>3626</v>
      </c>
      <c r="H47" s="171"/>
      <c r="I47" s="171"/>
      <c r="J47" s="171"/>
      <c r="K47" s="174">
        <f>(E47/B47)^2*E47</f>
        <v>1721.5684491264592</v>
      </c>
      <c r="L47" s="174">
        <f>(F47/C47)^2*F47</f>
        <v>166.60887489186851</v>
      </c>
      <c r="M47" s="174">
        <f>(G47/D47)^2*G47</f>
        <v>3476.7701087403202</v>
      </c>
      <c r="N47" s="160">
        <f>INDEX('Rate Assumptions'!$A:$B,MATCH(N$2,'Rate Assumptions'!$A:$A,0),2)</f>
        <v>929.56879713339436</v>
      </c>
      <c r="O47" s="160">
        <f>INDEX('Rate Assumptions'!$A:$B,MATCH(O$2,'Rate Assumptions'!$A:$A,0),2)</f>
        <v>929.56879713339436</v>
      </c>
      <c r="P47" s="160">
        <f>INDEX('Rate Assumptions'!$A:$B,MATCH(P$2,'Rate Assumptions'!$A:$A,0),2)</f>
        <v>929.56879713339436</v>
      </c>
      <c r="Q47" s="192">
        <f>SUMPRODUCT(K47:M47,N47:P47)</f>
        <v>4987087.7317533484</v>
      </c>
    </row>
    <row r="48" spans="1:17">
      <c r="A48" s="146" t="s">
        <v>138</v>
      </c>
      <c r="B48" s="128">
        <v>5509</v>
      </c>
      <c r="C48" s="187">
        <v>262</v>
      </c>
      <c r="D48" s="128">
        <v>12408</v>
      </c>
      <c r="E48" s="168">
        <v>5583</v>
      </c>
      <c r="F48" s="168">
        <v>274</v>
      </c>
      <c r="G48" s="168">
        <v>12227</v>
      </c>
      <c r="H48" s="171"/>
      <c r="I48" s="171"/>
      <c r="J48" s="171"/>
      <c r="K48" s="174">
        <f>(E48/B48)^2*E48</f>
        <v>5733.9953815075978</v>
      </c>
      <c r="L48" s="174">
        <f>(F48/C48)^2*F48</f>
        <v>299.67402832002801</v>
      </c>
      <c r="M48" s="174">
        <f>(G48/D48)^2*G48</f>
        <v>11872.88242290466</v>
      </c>
      <c r="N48" s="160">
        <f>INDEX('Rate Assumptions'!$A:$B,MATCH(N$2,'Rate Assumptions'!$A:$A,0),2)</f>
        <v>929.56879713339436</v>
      </c>
      <c r="O48" s="160">
        <f>INDEX('Rate Assumptions'!$A:$B,MATCH(O$2,'Rate Assumptions'!$A:$A,0),2)</f>
        <v>929.56879713339436</v>
      </c>
      <c r="P48" s="160">
        <f>INDEX('Rate Assumptions'!$A:$B,MATCH(P$2,'Rate Assumptions'!$A:$A,0),2)</f>
        <v>929.56879713339436</v>
      </c>
      <c r="Q48" s="192">
        <f>SUMPRODUCT(K48:M48,N48:P48)</f>
        <v>16645371.847959729</v>
      </c>
    </row>
    <row r="49" spans="1:17">
      <c r="A49" s="146" t="s">
        <v>139</v>
      </c>
      <c r="B49" s="128">
        <v>13993</v>
      </c>
      <c r="C49" s="187">
        <v>1457</v>
      </c>
      <c r="D49" s="128">
        <v>29065</v>
      </c>
      <c r="E49" s="168">
        <v>14692</v>
      </c>
      <c r="F49" s="168">
        <v>1493</v>
      </c>
      <c r="G49" s="168">
        <v>29602</v>
      </c>
      <c r="H49" s="171"/>
      <c r="I49" s="171"/>
      <c r="J49" s="171"/>
      <c r="K49" s="174">
        <f>(E49/B49)^2*E49</f>
        <v>16196.496845108652</v>
      </c>
      <c r="L49" s="174">
        <f>(F49/C49)^2*F49</f>
        <v>1567.6904749230866</v>
      </c>
      <c r="M49" s="174">
        <f>(G49/D49)^2*G49</f>
        <v>30705.947870518892</v>
      </c>
      <c r="N49" s="160">
        <f>INDEX('Rate Assumptions'!$A:$B,MATCH(N$2,'Rate Assumptions'!$A:$A,0),2)</f>
        <v>929.56879713339436</v>
      </c>
      <c r="O49" s="160">
        <f>INDEX('Rate Assumptions'!$A:$B,MATCH(O$2,'Rate Assumptions'!$A:$A,0),2)</f>
        <v>929.56879713339436</v>
      </c>
      <c r="P49" s="160">
        <f>INDEX('Rate Assumptions'!$A:$B,MATCH(P$2,'Rate Assumptions'!$A:$A,0),2)</f>
        <v>929.56879713339436</v>
      </c>
      <c r="Q49" s="192">
        <f>SUMPRODUCT(K49:M49,N49:P49)</f>
        <v>45056325.265973158</v>
      </c>
    </row>
    <row r="50" spans="1:17">
      <c r="A50" s="146" t="s">
        <v>140</v>
      </c>
      <c r="B50" s="128">
        <v>6300</v>
      </c>
      <c r="C50" s="187">
        <v>959</v>
      </c>
      <c r="D50" s="128">
        <v>16826</v>
      </c>
      <c r="E50" s="168">
        <v>6145</v>
      </c>
      <c r="F50" s="168">
        <v>1003</v>
      </c>
      <c r="G50" s="168">
        <v>17228</v>
      </c>
      <c r="H50" s="171"/>
      <c r="I50" s="171"/>
      <c r="J50" s="171"/>
      <c r="K50" s="174">
        <f>(E50/B50)^2*E50</f>
        <v>5846.3466521793898</v>
      </c>
      <c r="L50" s="174">
        <f>(F50/C50)^2*F50</f>
        <v>1097.1489320753608</v>
      </c>
      <c r="M50" s="174">
        <f>(G50/D50)^2*G50</f>
        <v>18061.042730151836</v>
      </c>
      <c r="N50" s="160">
        <f>INDEX('Rate Assumptions'!$A:$B,MATCH(N$2,'Rate Assumptions'!$A:$A,0),2)</f>
        <v>929.56879713339436</v>
      </c>
      <c r="O50" s="160">
        <f>INDEX('Rate Assumptions'!$A:$B,MATCH(O$2,'Rate Assumptions'!$A:$A,0),2)</f>
        <v>929.56879713339436</v>
      </c>
      <c r="P50" s="160">
        <f>INDEX('Rate Assumptions'!$A:$B,MATCH(P$2,'Rate Assumptions'!$A:$A,0),2)</f>
        <v>929.56879713339436</v>
      </c>
      <c r="Q50" s="192">
        <f>SUMPRODUCT(K50:M50,N50:P50)</f>
        <v>23243438.603798803</v>
      </c>
    </row>
    <row r="51" spans="1:17">
      <c r="A51" s="146" t="s">
        <v>141</v>
      </c>
      <c r="B51" s="128">
        <v>14498</v>
      </c>
      <c r="C51" s="187">
        <v>1684</v>
      </c>
      <c r="D51" s="128">
        <v>33604</v>
      </c>
      <c r="E51" s="168">
        <v>14043</v>
      </c>
      <c r="F51" s="168">
        <v>1807</v>
      </c>
      <c r="G51" s="168">
        <v>32446</v>
      </c>
      <c r="H51" s="171"/>
      <c r="I51" s="171"/>
      <c r="J51" s="171"/>
      <c r="K51" s="174">
        <f>(E51/B51)^2*E51</f>
        <v>13175.390522976315</v>
      </c>
      <c r="L51" s="174">
        <f>(F51/C51)^2*F51</f>
        <v>2080.6080925829801</v>
      </c>
      <c r="M51" s="174">
        <f>(G51/D51)^2*G51</f>
        <v>30248.339546921372</v>
      </c>
      <c r="N51" s="160">
        <f>INDEX('Rate Assumptions'!$A:$B,MATCH(N$2,'Rate Assumptions'!$A:$A,0),2)</f>
        <v>929.56879713339436</v>
      </c>
      <c r="O51" s="160">
        <f>INDEX('Rate Assumptions'!$A:$B,MATCH(O$2,'Rate Assumptions'!$A:$A,0),2)</f>
        <v>929.56879713339436</v>
      </c>
      <c r="P51" s="160">
        <f>INDEX('Rate Assumptions'!$A:$B,MATCH(P$2,'Rate Assumptions'!$A:$A,0),2)</f>
        <v>929.56879713339436</v>
      </c>
      <c r="Q51" s="192">
        <f>SUMPRODUCT(K51:M51,N51:P51)</f>
        <v>42299412.89004837</v>
      </c>
    </row>
    <row r="52" spans="1:17">
      <c r="A52" s="146" t="s">
        <v>142</v>
      </c>
      <c r="B52" s="128">
        <v>4460</v>
      </c>
      <c r="C52" s="187">
        <v>652</v>
      </c>
      <c r="D52" s="128">
        <v>11981</v>
      </c>
      <c r="E52" s="168">
        <v>4131</v>
      </c>
      <c r="F52" s="168">
        <v>676</v>
      </c>
      <c r="G52" s="168">
        <v>12511</v>
      </c>
      <c r="H52" s="171"/>
      <c r="I52" s="171"/>
      <c r="J52" s="171"/>
      <c r="K52" s="174">
        <f>(E52/B52)^2*E52</f>
        <v>3544.0175798326932</v>
      </c>
      <c r="L52" s="174">
        <f>(F52/C52)^2*F52</f>
        <v>726.68282584967449</v>
      </c>
      <c r="M52" s="174">
        <f>(G52/D52)^2*G52</f>
        <v>13642.373515675758</v>
      </c>
      <c r="N52" s="160">
        <f>INDEX('Rate Assumptions'!$A:$B,MATCH(N$2,'Rate Assumptions'!$A:$A,0),2)</f>
        <v>929.56879713339436</v>
      </c>
      <c r="O52" s="160">
        <f>INDEX('Rate Assumptions'!$A:$B,MATCH(O$2,'Rate Assumptions'!$A:$A,0),2)</f>
        <v>929.56879713339436</v>
      </c>
      <c r="P52" s="160">
        <f>INDEX('Rate Assumptions'!$A:$B,MATCH(P$2,'Rate Assumptions'!$A:$A,0),2)</f>
        <v>929.56879713339436</v>
      </c>
      <c r="Q52" s="192">
        <f>SUMPRODUCT(K52:M52,N52:P52)</f>
        <v>16651434.578038448</v>
      </c>
    </row>
    <row r="53" spans="1:17">
      <c r="A53" s="146" t="s">
        <v>143</v>
      </c>
      <c r="B53" s="128">
        <v>6649</v>
      </c>
      <c r="C53" s="187">
        <v>707</v>
      </c>
      <c r="D53" s="128">
        <v>16119</v>
      </c>
      <c r="E53" s="168">
        <v>6538</v>
      </c>
      <c r="F53" s="168">
        <v>761</v>
      </c>
      <c r="G53" s="168">
        <v>15668</v>
      </c>
      <c r="H53" s="171"/>
      <c r="I53" s="171"/>
      <c r="J53" s="171"/>
      <c r="K53" s="174">
        <f>(E53/B53)^2*E53</f>
        <v>6321.5282463937774</v>
      </c>
      <c r="L53" s="174">
        <f>(F53/C53)^2*F53</f>
        <v>881.68843190643577</v>
      </c>
      <c r="M53" s="174">
        <f>(G53/D53)^2*G53</f>
        <v>14803.50306851616</v>
      </c>
      <c r="N53" s="160">
        <f>INDEX('Rate Assumptions'!$A:$B,MATCH(N$2,'Rate Assumptions'!$A:$A,0),2)</f>
        <v>929.56879713339436</v>
      </c>
      <c r="O53" s="160">
        <f>INDEX('Rate Assumptions'!$A:$B,MATCH(O$2,'Rate Assumptions'!$A:$A,0),2)</f>
        <v>929.56879713339436</v>
      </c>
      <c r="P53" s="160">
        <f>INDEX('Rate Assumptions'!$A:$B,MATCH(P$2,'Rate Assumptions'!$A:$A,0),2)</f>
        <v>929.56879713339436</v>
      </c>
      <c r="Q53" s="192">
        <f>SUMPRODUCT(K53:M53,N53:P53)</f>
        <v>20456760.003899813</v>
      </c>
    </row>
    <row r="54" spans="1:17">
      <c r="A54" s="146" t="s">
        <v>144</v>
      </c>
      <c r="B54" s="128">
        <v>4867</v>
      </c>
      <c r="C54" s="187">
        <v>735</v>
      </c>
      <c r="D54" s="128">
        <v>11273</v>
      </c>
      <c r="E54" s="168">
        <v>4995</v>
      </c>
      <c r="F54" s="168">
        <v>844</v>
      </c>
      <c r="G54" s="168">
        <v>11170</v>
      </c>
      <c r="H54" s="171"/>
      <c r="I54" s="171"/>
      <c r="J54" s="171"/>
      <c r="K54" s="174">
        <f>(E54/B54)^2*E54</f>
        <v>5261.1875677276912</v>
      </c>
      <c r="L54" s="174">
        <f>(F54/C54)^2*F54</f>
        <v>1112.891080568282</v>
      </c>
      <c r="M54" s="174">
        <f>(G54/D54)^2*G54</f>
        <v>10966.814695900424</v>
      </c>
      <c r="N54" s="160">
        <f>INDEX('Rate Assumptions'!$A:$B,MATCH(N$2,'Rate Assumptions'!$A:$A,0),2)</f>
        <v>929.56879713339436</v>
      </c>
      <c r="O54" s="160">
        <f>INDEX('Rate Assumptions'!$A:$B,MATCH(O$2,'Rate Assumptions'!$A:$A,0),2)</f>
        <v>929.56879713339436</v>
      </c>
      <c r="P54" s="160">
        <f>INDEX('Rate Assumptions'!$A:$B,MATCH(P$2,'Rate Assumptions'!$A:$A,0),2)</f>
        <v>929.56879713339436</v>
      </c>
      <c r="Q54" s="192">
        <f>SUMPRODUCT(K54:M54,N54:P54)</f>
        <v>16119553.36718313</v>
      </c>
    </row>
    <row r="55" spans="1:17">
      <c r="A55" s="146" t="s">
        <v>145</v>
      </c>
      <c r="B55" s="128">
        <v>2415</v>
      </c>
      <c r="C55" s="187">
        <v>289</v>
      </c>
      <c r="D55" s="128">
        <v>5183</v>
      </c>
      <c r="E55" s="168">
        <v>2615</v>
      </c>
      <c r="F55" s="168">
        <v>267</v>
      </c>
      <c r="G55" s="168">
        <v>5362</v>
      </c>
      <c r="H55" s="171"/>
      <c r="I55" s="171"/>
      <c r="J55" s="171"/>
      <c r="K55" s="174">
        <f>(E55/B55)^2*E55</f>
        <v>3066.0611301861645</v>
      </c>
      <c r="L55" s="174">
        <f>(F55/C55)^2*F55</f>
        <v>227.89673255827879</v>
      </c>
      <c r="M55" s="174">
        <f>(G55/D55)^2*G55</f>
        <v>5738.7593222905643</v>
      </c>
      <c r="N55" s="160">
        <f>INDEX('Rate Assumptions'!$A:$B,MATCH(N$2,'Rate Assumptions'!$A:$A,0),2)</f>
        <v>929.56879713339436</v>
      </c>
      <c r="O55" s="160">
        <f>INDEX('Rate Assumptions'!$A:$B,MATCH(O$2,'Rate Assumptions'!$A:$A,0),2)</f>
        <v>929.56879713339436</v>
      </c>
      <c r="P55" s="160">
        <f>INDEX('Rate Assumptions'!$A:$B,MATCH(P$2,'Rate Assumptions'!$A:$A,0),2)</f>
        <v>929.56879713339436</v>
      </c>
      <c r="Q55" s="192">
        <f>SUMPRODUCT(K55:M55,N55:P55)</f>
        <v>8396532.0485391319</v>
      </c>
    </row>
    <row r="56" spans="1:17">
      <c r="A56" s="146" t="s">
        <v>146</v>
      </c>
      <c r="B56" s="128">
        <v>4020</v>
      </c>
      <c r="C56" s="187">
        <v>824</v>
      </c>
      <c r="D56" s="128">
        <v>12169</v>
      </c>
      <c r="E56" s="168">
        <v>3724</v>
      </c>
      <c r="F56" s="168">
        <v>762</v>
      </c>
      <c r="G56" s="168">
        <v>11437</v>
      </c>
      <c r="H56" s="171"/>
      <c r="I56" s="171"/>
      <c r="J56" s="171"/>
      <c r="K56" s="174">
        <f>(E56/B56)^2*E56</f>
        <v>3195.7802668250788</v>
      </c>
      <c r="L56" s="174">
        <f>(F56/C56)^2*F56</f>
        <v>651.64413469695546</v>
      </c>
      <c r="M56" s="174">
        <f>(G56/D56)^2*G56</f>
        <v>10102.447009671723</v>
      </c>
      <c r="N56" s="160">
        <f>INDEX('Rate Assumptions'!$A:$B,MATCH(N$2,'Rate Assumptions'!$A:$A,0),2)</f>
        <v>929.56879713339436</v>
      </c>
      <c r="O56" s="160">
        <f>INDEX('Rate Assumptions'!$A:$B,MATCH(O$2,'Rate Assumptions'!$A:$A,0),2)</f>
        <v>929.56879713339436</v>
      </c>
      <c r="P56" s="160">
        <f>INDEX('Rate Assumptions'!$A:$B,MATCH(P$2,'Rate Assumptions'!$A:$A,0),2)</f>
        <v>929.56879713339436</v>
      </c>
      <c r="Q56" s="192">
        <f>SUMPRODUCT(K56:M56,N56:P56)</f>
        <v>12967365.187868908</v>
      </c>
    </row>
    <row r="57" spans="1:17">
      <c r="A57" s="146" t="s">
        <v>147</v>
      </c>
      <c r="B57" s="128">
        <v>4184</v>
      </c>
      <c r="C57" s="187">
        <v>507</v>
      </c>
      <c r="D57" s="128">
        <v>9910</v>
      </c>
      <c r="E57" s="168">
        <v>4013</v>
      </c>
      <c r="F57" s="168">
        <v>533</v>
      </c>
      <c r="G57" s="168">
        <v>9472</v>
      </c>
      <c r="H57" s="171"/>
      <c r="I57" s="171"/>
      <c r="J57" s="171"/>
      <c r="K57" s="174">
        <f>(E57/B57)^2*E57</f>
        <v>3691.6806694285615</v>
      </c>
      <c r="L57" s="174">
        <f>(F57/C57)^2*F57</f>
        <v>589.0683760683761</v>
      </c>
      <c r="M57" s="174">
        <f>(G57/D57)^2*G57</f>
        <v>8653.2202745802024</v>
      </c>
      <c r="N57" s="160">
        <f>INDEX('Rate Assumptions'!$A:$B,MATCH(N$2,'Rate Assumptions'!$A:$A,0),2)</f>
        <v>929.56879713339436</v>
      </c>
      <c r="O57" s="160">
        <f>INDEX('Rate Assumptions'!$A:$B,MATCH(O$2,'Rate Assumptions'!$A:$A,0),2)</f>
        <v>929.56879713339436</v>
      </c>
      <c r="P57" s="160">
        <f>INDEX('Rate Assumptions'!$A:$B,MATCH(P$2,'Rate Assumptions'!$A:$A,0),2)</f>
        <v>929.56879713339436</v>
      </c>
      <c r="Q57" s="192">
        <f>SUMPRODUCT(K57:M57,N57:P57)</f>
        <v>12023014.303024333</v>
      </c>
    </row>
    <row r="58" spans="1:17">
      <c r="A58" s="146" t="s">
        <v>148</v>
      </c>
      <c r="B58" s="128">
        <v>4823</v>
      </c>
      <c r="C58" s="187">
        <v>663</v>
      </c>
      <c r="D58" s="128">
        <v>11606</v>
      </c>
      <c r="E58" s="168">
        <v>4150</v>
      </c>
      <c r="F58" s="168">
        <v>679</v>
      </c>
      <c r="G58" s="168">
        <v>11040</v>
      </c>
      <c r="H58" s="171"/>
      <c r="I58" s="171"/>
      <c r="J58" s="171"/>
      <c r="K58" s="174">
        <f>(E58/B58)^2*E58</f>
        <v>3072.6264608526881</v>
      </c>
      <c r="L58" s="174">
        <f>(F58/C58)^2*F58</f>
        <v>712.16768925925169</v>
      </c>
      <c r="M58" s="174">
        <f>(G58/D58)^2*G58</f>
        <v>9989.461736813415</v>
      </c>
      <c r="N58" s="160">
        <f>INDEX('Rate Assumptions'!$A:$B,MATCH(N$2,'Rate Assumptions'!$A:$A,0),2)</f>
        <v>929.56879713339436</v>
      </c>
      <c r="O58" s="160">
        <f>INDEX('Rate Assumptions'!$A:$B,MATCH(O$2,'Rate Assumptions'!$A:$A,0),2)</f>
        <v>929.56879713339436</v>
      </c>
      <c r="P58" s="160">
        <f>INDEX('Rate Assumptions'!$A:$B,MATCH(P$2,'Rate Assumptions'!$A:$A,0),2)</f>
        <v>929.56879713339436</v>
      </c>
      <c r="Q58" s="192">
        <f>SUMPRODUCT(K58:M58,N58:P58)</f>
        <v>12804118.476216778</v>
      </c>
    </row>
    <row r="59" spans="1:17">
      <c r="A59" s="146" t="s">
        <v>149</v>
      </c>
      <c r="B59" s="128">
        <v>8036</v>
      </c>
      <c r="C59" s="187">
        <v>1372</v>
      </c>
      <c r="D59" s="128">
        <v>20226</v>
      </c>
      <c r="E59" s="168">
        <v>8117</v>
      </c>
      <c r="F59" s="168">
        <v>1427</v>
      </c>
      <c r="G59" s="168">
        <v>19363</v>
      </c>
      <c r="H59" s="171"/>
      <c r="I59" s="171"/>
      <c r="J59" s="171"/>
      <c r="K59" s="174">
        <f>(E59/B59)^2*E59</f>
        <v>8281.4575824450749</v>
      </c>
      <c r="L59" s="174">
        <f>(F59/C59)^2*F59</f>
        <v>1543.7028167472738</v>
      </c>
      <c r="M59" s="174">
        <f>(G59/D59)^2*G59</f>
        <v>17745.8959411449</v>
      </c>
      <c r="N59" s="160">
        <f>INDEX('Rate Assumptions'!$A:$B,MATCH(N$2,'Rate Assumptions'!$A:$A,0),2)</f>
        <v>929.56879713339436</v>
      </c>
      <c r="O59" s="160">
        <f>INDEX('Rate Assumptions'!$A:$B,MATCH(O$2,'Rate Assumptions'!$A:$A,0),2)</f>
        <v>929.56879713339436</v>
      </c>
      <c r="P59" s="160">
        <f>INDEX('Rate Assumptions'!$A:$B,MATCH(P$2,'Rate Assumptions'!$A:$A,0),2)</f>
        <v>929.56879713339436</v>
      </c>
      <c r="Q59" s="192">
        <f>SUMPRODUCT(K59:M59,N59:P59)</f>
        <v>25629193.677984342</v>
      </c>
    </row>
    <row r="60" spans="1:17">
      <c r="A60" s="146" t="s">
        <v>150</v>
      </c>
      <c r="B60" s="128">
        <v>5773</v>
      </c>
      <c r="C60" s="187">
        <v>518</v>
      </c>
      <c r="D60" s="128">
        <v>9951</v>
      </c>
      <c r="E60" s="168">
        <v>6080</v>
      </c>
      <c r="F60" s="168">
        <v>525</v>
      </c>
      <c r="G60" s="168">
        <v>10093</v>
      </c>
      <c r="H60" s="171"/>
      <c r="I60" s="171"/>
      <c r="J60" s="171"/>
      <c r="K60" s="174">
        <f>(E60/B60)^2*E60</f>
        <v>6743.8456658457926</v>
      </c>
      <c r="L60" s="174">
        <f>(F60/C60)^2*F60</f>
        <v>539.28506208911631</v>
      </c>
      <c r="M60" s="174">
        <f>(G60/D60)^2*G60</f>
        <v>10383.107902594686</v>
      </c>
      <c r="N60" s="160">
        <f>INDEX('Rate Assumptions'!$A:$B,MATCH(N$2,'Rate Assumptions'!$A:$A,0),2)</f>
        <v>929.56879713339436</v>
      </c>
      <c r="O60" s="160">
        <f>INDEX('Rate Assumptions'!$A:$B,MATCH(O$2,'Rate Assumptions'!$A:$A,0),2)</f>
        <v>929.56879713339436</v>
      </c>
      <c r="P60" s="160">
        <f>INDEX('Rate Assumptions'!$A:$B,MATCH(P$2,'Rate Assumptions'!$A:$A,0),2)</f>
        <v>929.56879713339436</v>
      </c>
      <c r="Q60" s="192">
        <f>SUMPRODUCT(K60:M60,N60:P60)</f>
        <v>16421984.193652898</v>
      </c>
    </row>
    <row r="61" spans="1:17">
      <c r="A61" s="146" t="s">
        <v>151</v>
      </c>
      <c r="B61" s="128">
        <v>3770</v>
      </c>
      <c r="C61" s="187">
        <v>171</v>
      </c>
      <c r="D61" s="128">
        <v>6322</v>
      </c>
      <c r="E61" s="168">
        <v>3795</v>
      </c>
      <c r="F61" s="168">
        <v>250</v>
      </c>
      <c r="G61" s="168">
        <v>7628</v>
      </c>
      <c r="H61" s="171"/>
      <c r="I61" s="171"/>
      <c r="J61" s="171"/>
      <c r="K61" s="174">
        <f>(E61/B61)^2*E61</f>
        <v>3845.4984468335097</v>
      </c>
      <c r="L61" s="174">
        <f>(F61/C61)^2*F61</f>
        <v>534.35245032659634</v>
      </c>
      <c r="M61" s="174">
        <f>(G61/D61)^2*G61</f>
        <v>11105.115251411617</v>
      </c>
      <c r="N61" s="160">
        <f>INDEX('Rate Assumptions'!$A:$B,MATCH(N$2,'Rate Assumptions'!$A:$A,0),2)</f>
        <v>929.56879713339436</v>
      </c>
      <c r="O61" s="160">
        <f>INDEX('Rate Assumptions'!$A:$B,MATCH(O$2,'Rate Assumptions'!$A:$A,0),2)</f>
        <v>929.56879713339436</v>
      </c>
      <c r="P61" s="160">
        <f>INDEX('Rate Assumptions'!$A:$B,MATCH(P$2,'Rate Assumptions'!$A:$A,0),2)</f>
        <v>929.56879713339436</v>
      </c>
      <c r="Q61" s="192">
        <f>SUMPRODUCT(K61:M61,N61:P61)</f>
        <v>14394341.356379148</v>
      </c>
    </row>
    <row r="62" spans="1:17">
      <c r="A62" s="146" t="s">
        <v>152</v>
      </c>
      <c r="B62" s="128">
        <v>6047</v>
      </c>
      <c r="C62" s="187">
        <v>696</v>
      </c>
      <c r="D62" s="128">
        <v>11723</v>
      </c>
      <c r="E62" s="168">
        <v>5736</v>
      </c>
      <c r="F62" s="168">
        <v>902</v>
      </c>
      <c r="G62" s="168">
        <v>11570</v>
      </c>
      <c r="H62" s="171"/>
      <c r="I62" s="171"/>
      <c r="J62" s="171"/>
      <c r="K62" s="174">
        <f>(E62/B62)^2*E62</f>
        <v>5161.1619967495117</v>
      </c>
      <c r="L62" s="174">
        <f>(F62/C62)^2*F62</f>
        <v>1514.9598857180604</v>
      </c>
      <c r="M62" s="174">
        <f>(G62/D62)^2*G62</f>
        <v>11269.964470092713</v>
      </c>
      <c r="N62" s="160">
        <f>INDEX('Rate Assumptions'!$A:$B,MATCH(N$2,'Rate Assumptions'!$A:$A,0),2)</f>
        <v>929.56879713339436</v>
      </c>
      <c r="O62" s="160">
        <f>INDEX('Rate Assumptions'!$A:$B,MATCH(O$2,'Rate Assumptions'!$A:$A,0),2)</f>
        <v>929.56879713339436</v>
      </c>
      <c r="P62" s="160">
        <f>INDEX('Rate Assumptions'!$A:$B,MATCH(P$2,'Rate Assumptions'!$A:$A,0),2)</f>
        <v>929.56879713339436</v>
      </c>
      <c r="Q62" s="192">
        <f>SUMPRODUCT(K62:M62,N62:P62)</f>
        <v>16682121.904001487</v>
      </c>
    </row>
    <row r="63" spans="1:17">
      <c r="A63" s="146" t="s">
        <v>153</v>
      </c>
      <c r="B63" s="128">
        <v>827</v>
      </c>
      <c r="C63" s="187">
        <v>25</v>
      </c>
      <c r="D63" s="128">
        <v>1257</v>
      </c>
      <c r="E63" s="168">
        <v>837</v>
      </c>
      <c r="F63" s="168">
        <v>40</v>
      </c>
      <c r="G63" s="168">
        <v>1242</v>
      </c>
      <c r="H63" s="171"/>
      <c r="I63" s="171"/>
      <c r="J63" s="171"/>
      <c r="K63" s="174">
        <f>(E63/B63)^2*E63</f>
        <v>857.36421909291732</v>
      </c>
      <c r="L63" s="174">
        <f>(F63/C63)^2*F63</f>
        <v>102.40000000000002</v>
      </c>
      <c r="M63" s="174">
        <f>(G63/D63)^2*G63</f>
        <v>1212.5348568303893</v>
      </c>
      <c r="N63" s="160">
        <f>INDEX('Rate Assumptions'!$A:$B,MATCH(N$2,'Rate Assumptions'!$A:$A,0),2)</f>
        <v>929.56879713339436</v>
      </c>
      <c r="O63" s="160">
        <f>INDEX('Rate Assumptions'!$A:$B,MATCH(O$2,'Rate Assumptions'!$A:$A,0),2)</f>
        <v>929.56879713339436</v>
      </c>
      <c r="P63" s="160">
        <f>INDEX('Rate Assumptions'!$A:$B,MATCH(P$2,'Rate Assumptions'!$A:$A,0),2)</f>
        <v>929.56879713339436</v>
      </c>
      <c r="Q63" s="192">
        <f>SUMPRODUCT(K63:M63,N63:P63)</f>
        <v>2019301.4390200123</v>
      </c>
    </row>
    <row r="64" spans="1:17">
      <c r="A64" s="146" t="s">
        <v>154</v>
      </c>
      <c r="B64" s="128">
        <v>2329</v>
      </c>
      <c r="C64" s="187">
        <v>40</v>
      </c>
      <c r="D64" s="128">
        <v>6265</v>
      </c>
      <c r="E64" s="168">
        <v>1986</v>
      </c>
      <c r="F64" s="168">
        <v>207</v>
      </c>
      <c r="G64" s="168">
        <v>5980</v>
      </c>
      <c r="H64" s="171"/>
      <c r="I64" s="171"/>
      <c r="J64" s="171"/>
      <c r="K64" s="174">
        <f>(E64/B64)^2*E64</f>
        <v>1444.1049459269971</v>
      </c>
      <c r="L64" s="174">
        <f>(F64/C64)^2*F64</f>
        <v>5543.5893749999996</v>
      </c>
      <c r="M64" s="174">
        <f>(G64/D64)^2*G64</f>
        <v>5448.3048695899206</v>
      </c>
      <c r="N64" s="160">
        <f>INDEX('Rate Assumptions'!$A:$B,MATCH(N$2,'Rate Assumptions'!$A:$A,0),2)</f>
        <v>929.56879713339436</v>
      </c>
      <c r="O64" s="160">
        <f>INDEX('Rate Assumptions'!$A:$B,MATCH(O$2,'Rate Assumptions'!$A:$A,0),2)</f>
        <v>929.56879713339436</v>
      </c>
      <c r="P64" s="160">
        <f>INDEX('Rate Assumptions'!$A:$B,MATCH(P$2,'Rate Assumptions'!$A:$A,0),2)</f>
        <v>929.56879713339436</v>
      </c>
      <c r="Q64" s="192">
        <f>SUMPRODUCT(K64:M64,N64:P64)</f>
        <v>11560116.808680676</v>
      </c>
    </row>
    <row r="65" spans="1:17">
      <c r="A65" s="146" t="s">
        <v>155</v>
      </c>
      <c r="B65" s="128">
        <v>3750</v>
      </c>
      <c r="C65" s="187">
        <v>982</v>
      </c>
      <c r="D65" s="128">
        <v>10017</v>
      </c>
      <c r="E65" s="168">
        <v>4052</v>
      </c>
      <c r="F65" s="168">
        <v>953</v>
      </c>
      <c r="G65" s="168">
        <v>10166</v>
      </c>
      <c r="H65" s="171"/>
      <c r="I65" s="171"/>
      <c r="J65" s="171"/>
      <c r="K65" s="174">
        <f>(E65/B65)^2*E65</f>
        <v>4730.9218565688889</v>
      </c>
      <c r="L65" s="174">
        <f>(F65/C65)^2*F65</f>
        <v>897.54395514370685</v>
      </c>
      <c r="M65" s="174">
        <f>(G65/D65)^2*G65</f>
        <v>10470.681964011485</v>
      </c>
      <c r="N65" s="160">
        <f>INDEX('Rate Assumptions'!$A:$B,MATCH(N$2,'Rate Assumptions'!$A:$A,0),2)</f>
        <v>929.56879713339436</v>
      </c>
      <c r="O65" s="160">
        <f>INDEX('Rate Assumptions'!$A:$B,MATCH(O$2,'Rate Assumptions'!$A:$A,0),2)</f>
        <v>929.56879713339436</v>
      </c>
      <c r="P65" s="160">
        <f>INDEX('Rate Assumptions'!$A:$B,MATCH(P$2,'Rate Assumptions'!$A:$A,0),2)</f>
        <v>929.56879713339436</v>
      </c>
      <c r="Q65" s="192">
        <f>SUMPRODUCT(K65:M65,N65:P65)</f>
        <v>14965265.432752594</v>
      </c>
    </row>
    <row r="66" spans="1:17">
      <c r="A66" s="146" t="s">
        <v>156</v>
      </c>
      <c r="B66" s="128">
        <v>6332</v>
      </c>
      <c r="C66" s="187">
        <v>1405</v>
      </c>
      <c r="D66" s="128">
        <v>16096</v>
      </c>
      <c r="E66" s="168">
        <v>5670</v>
      </c>
      <c r="F66" s="168">
        <v>1364</v>
      </c>
      <c r="G66" s="168">
        <v>14923</v>
      </c>
      <c r="H66" s="171"/>
      <c r="I66" s="171"/>
      <c r="J66" s="171"/>
      <c r="K66" s="174">
        <f>(E66/B66)^2*E66</f>
        <v>4546.3970820335617</v>
      </c>
      <c r="L66" s="174">
        <f>(F66/C66)^2*F66</f>
        <v>1285.5544098985577</v>
      </c>
      <c r="M66" s="174">
        <f>(G66/D66)^2*G66</f>
        <v>12827.218428938515</v>
      </c>
      <c r="N66" s="160">
        <f>INDEX('Rate Assumptions'!$A:$B,MATCH(N$2,'Rate Assumptions'!$A:$A,0),2)</f>
        <v>929.56879713339436</v>
      </c>
      <c r="O66" s="160">
        <f>INDEX('Rate Assumptions'!$A:$B,MATCH(O$2,'Rate Assumptions'!$A:$A,0),2)</f>
        <v>929.56879713339436</v>
      </c>
      <c r="P66" s="160">
        <f>INDEX('Rate Assumptions'!$A:$B,MATCH(P$2,'Rate Assumptions'!$A:$A,0),2)</f>
        <v>929.56879713339436</v>
      </c>
      <c r="Q66" s="192">
        <f>SUMPRODUCT(K66:M66,N66:P66)</f>
        <v>17344982.13885133</v>
      </c>
    </row>
    <row r="67" spans="1:17">
      <c r="A67" s="146" t="s">
        <v>157</v>
      </c>
      <c r="B67" s="128">
        <v>6930</v>
      </c>
      <c r="C67" s="187">
        <v>665</v>
      </c>
      <c r="D67" s="128">
        <v>15756</v>
      </c>
      <c r="E67" s="168">
        <v>6752</v>
      </c>
      <c r="F67" s="168">
        <v>742</v>
      </c>
      <c r="G67" s="168">
        <v>15174</v>
      </c>
      <c r="H67" s="171"/>
      <c r="I67" s="171"/>
      <c r="J67" s="171"/>
      <c r="K67" s="174">
        <f>(E67/B67)^2*E67</f>
        <v>6409.5985834015282</v>
      </c>
      <c r="L67" s="174">
        <f>(F67/C67)^2*F67</f>
        <v>923.7797229916896</v>
      </c>
      <c r="M67" s="174">
        <f>(G67/D67)^2*G67</f>
        <v>14073.700184574083</v>
      </c>
      <c r="N67" s="160">
        <f>INDEX('Rate Assumptions'!$A:$B,MATCH(N$2,'Rate Assumptions'!$A:$A,0),2)</f>
        <v>929.56879713339436</v>
      </c>
      <c r="O67" s="160">
        <f>INDEX('Rate Assumptions'!$A:$B,MATCH(O$2,'Rate Assumptions'!$A:$A,0),2)</f>
        <v>929.56879713339436</v>
      </c>
      <c r="P67" s="160">
        <f>INDEX('Rate Assumptions'!$A:$B,MATCH(P$2,'Rate Assumptions'!$A:$A,0),2)</f>
        <v>929.56879713339436</v>
      </c>
      <c r="Q67" s="192">
        <f>SUMPRODUCT(K67:M67,N67:P67)</f>
        <v>19899352.202988632</v>
      </c>
    </row>
    <row r="68" spans="1:17">
      <c r="A68" s="146" t="s">
        <v>158</v>
      </c>
      <c r="B68" s="128">
        <v>15775</v>
      </c>
      <c r="C68" s="187">
        <v>1905</v>
      </c>
      <c r="D68" s="128">
        <v>30797</v>
      </c>
      <c r="E68" s="168">
        <v>16377</v>
      </c>
      <c r="F68" s="168">
        <v>1994</v>
      </c>
      <c r="G68" s="168">
        <v>31565</v>
      </c>
      <c r="H68" s="171"/>
      <c r="I68" s="171"/>
      <c r="J68" s="171"/>
      <c r="K68" s="174">
        <f>(E68/B68)^2*E68</f>
        <v>17650.796636066316</v>
      </c>
      <c r="L68" s="174">
        <f>(F68/C68)^2*F68</f>
        <v>2184.6682742609928</v>
      </c>
      <c r="M68" s="174">
        <f>(G68/D68)^2*G68</f>
        <v>33158.933588739448</v>
      </c>
      <c r="N68" s="160">
        <f>INDEX('Rate Assumptions'!$A:$B,MATCH(N$2,'Rate Assumptions'!$A:$A,0),2)</f>
        <v>929.56879713339436</v>
      </c>
      <c r="O68" s="160">
        <f>INDEX('Rate Assumptions'!$A:$B,MATCH(O$2,'Rate Assumptions'!$A:$A,0),2)</f>
        <v>929.56879713339436</v>
      </c>
      <c r="P68" s="160">
        <f>INDEX('Rate Assumptions'!$A:$B,MATCH(P$2,'Rate Assumptions'!$A:$A,0),2)</f>
        <v>929.56879713339436</v>
      </c>
      <c r="Q68" s="192">
        <f>SUMPRODUCT(K68:M68,N68:P68)</f>
        <v>49261939.267585248</v>
      </c>
    </row>
    <row r="69" spans="1:17">
      <c r="A69" s="146" t="s">
        <v>159</v>
      </c>
      <c r="B69" s="128">
        <v>9497</v>
      </c>
      <c r="C69" s="187">
        <v>1123</v>
      </c>
      <c r="D69" s="128">
        <v>22356</v>
      </c>
      <c r="E69" s="168">
        <v>9814</v>
      </c>
      <c r="F69" s="168">
        <v>1172</v>
      </c>
      <c r="G69" s="168">
        <v>21602</v>
      </c>
      <c r="H69" s="171"/>
      <c r="I69" s="171"/>
      <c r="J69" s="171"/>
      <c r="K69" s="174">
        <f>(E69/B69)^2*E69</f>
        <v>10480.096579813631</v>
      </c>
      <c r="L69" s="174">
        <f>(F69/C69)^2*F69</f>
        <v>1276.507358089458</v>
      </c>
      <c r="M69" s="174">
        <f>(G69/D69)^2*G69</f>
        <v>20169.432710749566</v>
      </c>
      <c r="N69" s="160">
        <f>INDEX('Rate Assumptions'!$A:$B,MATCH(N$2,'Rate Assumptions'!$A:$A,0),2)</f>
        <v>929.56879713339436</v>
      </c>
      <c r="O69" s="160">
        <f>INDEX('Rate Assumptions'!$A:$B,MATCH(O$2,'Rate Assumptions'!$A:$A,0),2)</f>
        <v>929.56879713339436</v>
      </c>
      <c r="P69" s="160">
        <f>INDEX('Rate Assumptions'!$A:$B,MATCH(P$2,'Rate Assumptions'!$A:$A,0),2)</f>
        <v>929.56879713339436</v>
      </c>
      <c r="Q69" s="192">
        <f>SUMPRODUCT(K69:M69,N69:P69)</f>
        <v>29677447.484724712</v>
      </c>
    </row>
    <row r="70" spans="1:17">
      <c r="A70" s="146" t="s">
        <v>160</v>
      </c>
      <c r="B70" s="128">
        <v>7190</v>
      </c>
      <c r="C70" s="187">
        <v>352</v>
      </c>
      <c r="D70" s="128">
        <v>12057</v>
      </c>
      <c r="E70" s="168">
        <v>6938</v>
      </c>
      <c r="F70" s="168">
        <v>308</v>
      </c>
      <c r="G70" s="168">
        <v>11759</v>
      </c>
      <c r="H70" s="171"/>
      <c r="I70" s="171"/>
      <c r="J70" s="171"/>
      <c r="K70" s="174">
        <f>(E70/B70)^2*E70</f>
        <v>6460.187241822885</v>
      </c>
      <c r="L70" s="174">
        <f>(F70/C70)^2*F70</f>
        <v>235.8125</v>
      </c>
      <c r="M70" s="174">
        <f>(G70/D70)^2*G70</f>
        <v>11184.914002348567</v>
      </c>
      <c r="N70" s="160">
        <f>INDEX('Rate Assumptions'!$A:$B,MATCH(N$2,'Rate Assumptions'!$A:$A,0),2)</f>
        <v>929.56879713339436</v>
      </c>
      <c r="O70" s="160">
        <f>INDEX('Rate Assumptions'!$A:$B,MATCH(O$2,'Rate Assumptions'!$A:$A,0),2)</f>
        <v>929.56879713339436</v>
      </c>
      <c r="P70" s="160">
        <f>INDEX('Rate Assumptions'!$A:$B,MATCH(P$2,'Rate Assumptions'!$A:$A,0),2)</f>
        <v>929.56879713339436</v>
      </c>
      <c r="Q70" s="192">
        <f>SUMPRODUCT(K70:M70,N70:P70)</f>
        <v>16621539.480815435</v>
      </c>
    </row>
    <row r="71" spans="1:17">
      <c r="A71" s="146" t="s">
        <v>161</v>
      </c>
      <c r="B71" s="128">
        <v>3250</v>
      </c>
      <c r="C71" s="187">
        <v>378</v>
      </c>
      <c r="D71" s="128">
        <v>6156</v>
      </c>
      <c r="E71" s="168">
        <v>3224</v>
      </c>
      <c r="F71" s="168">
        <v>342</v>
      </c>
      <c r="G71" s="168">
        <v>6092</v>
      </c>
      <c r="H71" s="171"/>
      <c r="I71" s="171"/>
      <c r="J71" s="171"/>
      <c r="K71" s="174">
        <f>(E71/B71)^2*E71</f>
        <v>3172.6223359999999</v>
      </c>
      <c r="L71" s="174">
        <f>(F71/C71)^2*F71</f>
        <v>279.9591836734694</v>
      </c>
      <c r="M71" s="174">
        <f>(G71/D71)^2*G71</f>
        <v>5965.9891839675474</v>
      </c>
      <c r="N71" s="160">
        <f>INDEX('Rate Assumptions'!$A:$B,MATCH(N$2,'Rate Assumptions'!$A:$A,0),2)</f>
        <v>929.56879713339436</v>
      </c>
      <c r="O71" s="160">
        <f>INDEX('Rate Assumptions'!$A:$B,MATCH(O$2,'Rate Assumptions'!$A:$A,0),2)</f>
        <v>929.56879713339436</v>
      </c>
      <c r="P71" s="160">
        <f>INDEX('Rate Assumptions'!$A:$B,MATCH(P$2,'Rate Assumptions'!$A:$A,0),2)</f>
        <v>929.56879713339436</v>
      </c>
      <c r="Q71" s="192">
        <f>SUMPRODUCT(K71:M71,N71:P71)</f>
        <v>8755209.4396994077</v>
      </c>
    </row>
    <row r="72" spans="1:17">
      <c r="A72" s="146" t="s">
        <v>162</v>
      </c>
      <c r="B72" s="128">
        <v>1381</v>
      </c>
      <c r="C72" s="187">
        <v>124</v>
      </c>
      <c r="D72" s="128">
        <v>3017</v>
      </c>
      <c r="E72" s="168">
        <v>1506</v>
      </c>
      <c r="F72" s="168">
        <v>143</v>
      </c>
      <c r="G72" s="168">
        <v>3177</v>
      </c>
      <c r="H72" s="171"/>
      <c r="I72" s="171"/>
      <c r="J72" s="171"/>
      <c r="K72" s="174">
        <f>(E72/B72)^2*E72</f>
        <v>1790.966895820542</v>
      </c>
      <c r="L72" s="174">
        <f>(F72/C72)^2*F72</f>
        <v>190.17995577523416</v>
      </c>
      <c r="M72" s="174">
        <f>(G72/D72)^2*G72</f>
        <v>3522.9057474444066</v>
      </c>
      <c r="N72" s="160">
        <f>INDEX('Rate Assumptions'!$A:$B,MATCH(N$2,'Rate Assumptions'!$A:$A,0),2)</f>
        <v>929.56879713339436</v>
      </c>
      <c r="O72" s="160">
        <f>INDEX('Rate Assumptions'!$A:$B,MATCH(O$2,'Rate Assumptions'!$A:$A,0),2)</f>
        <v>929.56879713339436</v>
      </c>
      <c r="P72" s="160">
        <f>INDEX('Rate Assumptions'!$A:$B,MATCH(P$2,'Rate Assumptions'!$A:$A,0),2)</f>
        <v>929.56879713339436</v>
      </c>
      <c r="Q72" s="192">
        <f>SUMPRODUCT(K72:M72,N72:P72)</f>
        <v>5116395.5538487155</v>
      </c>
    </row>
    <row r="73" spans="1:17" ht="16">
      <c r="A73" s="146" t="s">
        <v>171</v>
      </c>
      <c r="B73" s="128">
        <v>2916</v>
      </c>
      <c r="C73" s="187">
        <v>342</v>
      </c>
      <c r="D73" s="128">
        <v>7008</v>
      </c>
      <c r="E73" s="168">
        <v>2780</v>
      </c>
      <c r="F73" s="168">
        <v>215</v>
      </c>
      <c r="G73" s="168">
        <v>6054</v>
      </c>
      <c r="H73" s="171"/>
      <c r="I73" s="171"/>
      <c r="J73" s="171"/>
      <c r="K73" s="174">
        <f>(E73/B73)^2*E73</f>
        <v>2526.7329769438188</v>
      </c>
      <c r="L73" s="174">
        <f>(F73/C73)^2*F73</f>
        <v>84.969520536233375</v>
      </c>
      <c r="M73" s="174">
        <f>(G73/D73)^2*G73</f>
        <v>4517.9254829118972</v>
      </c>
      <c r="N73" s="160">
        <f>INDEX('Rate Assumptions'!$A:$B,MATCH(N$2,'Rate Assumptions'!$A:$A,0),2)</f>
        <v>929.56879713339436</v>
      </c>
      <c r="O73" s="160">
        <f>INDEX('Rate Assumptions'!$A:$B,MATCH(O$2,'Rate Assumptions'!$A:$A,0),2)</f>
        <v>929.56879713339436</v>
      </c>
      <c r="P73" s="160">
        <f>INDEX('Rate Assumptions'!$A:$B,MATCH(P$2,'Rate Assumptions'!$A:$A,0),2)</f>
        <v>929.56879713339436</v>
      </c>
      <c r="Q73" s="192">
        <f>SUMPRODUCT(K73:M73,N73:P73)</f>
        <v>6627479.7057415359</v>
      </c>
    </row>
    <row r="74" spans="1:17">
      <c r="A74" s="146" t="s">
        <v>163</v>
      </c>
      <c r="B74" s="128">
        <v>9065</v>
      </c>
      <c r="C74" s="187">
        <v>914</v>
      </c>
      <c r="D74" s="128">
        <v>18081</v>
      </c>
      <c r="E74" s="168">
        <v>9094</v>
      </c>
      <c r="F74" s="168">
        <v>1000</v>
      </c>
      <c r="G74" s="168">
        <v>18013</v>
      </c>
      <c r="H74" s="171"/>
      <c r="I74" s="171"/>
      <c r="J74" s="171"/>
      <c r="K74" s="174">
        <f>(E74/B74)^2*E74</f>
        <v>9152.2786200174087</v>
      </c>
      <c r="L74" s="174">
        <f>(F74/C74)^2*F74</f>
        <v>1197.037093785462</v>
      </c>
      <c r="M74" s="174">
        <f>(G74/D74)^2*G74</f>
        <v>17877.766252409237</v>
      </c>
      <c r="N74" s="160">
        <f>INDEX('Rate Assumptions'!$A:$B,MATCH(N$2,'Rate Assumptions'!$A:$A,0),2)</f>
        <v>929.56879713339436</v>
      </c>
      <c r="O74" s="160">
        <f>INDEX('Rate Assumptions'!$A:$B,MATCH(O$2,'Rate Assumptions'!$A:$A,0),2)</f>
        <v>929.56879713339436</v>
      </c>
      <c r="P74" s="160">
        <f>INDEX('Rate Assumptions'!$A:$B,MATCH(P$2,'Rate Assumptions'!$A:$A,0),2)</f>
        <v>929.56879713339436</v>
      </c>
      <c r="Q74" s="192">
        <f>SUMPRODUCT(K74:M74,N74:P74)</f>
        <v>26239014.629917517</v>
      </c>
    </row>
    <row r="75" spans="1:17">
      <c r="A75" s="146" t="s">
        <v>164</v>
      </c>
      <c r="B75" s="128">
        <v>4370</v>
      </c>
      <c r="C75" s="187">
        <v>382</v>
      </c>
      <c r="D75" s="128">
        <v>8067</v>
      </c>
      <c r="E75" s="168">
        <v>4137</v>
      </c>
      <c r="F75" s="168">
        <v>360</v>
      </c>
      <c r="G75" s="168">
        <v>7764</v>
      </c>
      <c r="H75" s="171"/>
      <c r="I75" s="171"/>
      <c r="J75" s="171"/>
      <c r="K75" s="174">
        <f>(E75/B75)^2*E75</f>
        <v>3707.6069599254333</v>
      </c>
      <c r="L75" s="174">
        <f>(F75/C75)^2*F75</f>
        <v>319.72807762945092</v>
      </c>
      <c r="M75" s="174">
        <f>(G75/D75)^2*G75</f>
        <v>7191.7149639710906</v>
      </c>
      <c r="N75" s="160">
        <f>INDEX('Rate Assumptions'!$A:$B,MATCH(N$2,'Rate Assumptions'!$A:$A,0),2)</f>
        <v>929.56879713339436</v>
      </c>
      <c r="O75" s="160">
        <f>INDEX('Rate Assumptions'!$A:$B,MATCH(O$2,'Rate Assumptions'!$A:$A,0),2)</f>
        <v>929.56879713339436</v>
      </c>
      <c r="P75" s="160">
        <f>INDEX('Rate Assumptions'!$A:$B,MATCH(P$2,'Rate Assumptions'!$A:$A,0),2)</f>
        <v>929.56879713339436</v>
      </c>
      <c r="Q75" s="192">
        <f>SUMPRODUCT(K75:M75,N75:P75)</f>
        <v>10428878.814897906</v>
      </c>
    </row>
    <row r="76" spans="1:17" s="169" customFormat="1">
      <c r="A76" s="188" t="s">
        <v>165</v>
      </c>
      <c r="B76" s="189">
        <f t="shared" ref="B76:G76" si="0">SUM(B4:B75)</f>
        <v>460621</v>
      </c>
      <c r="C76" s="189">
        <f t="shared" si="0"/>
        <v>63006</v>
      </c>
      <c r="D76" s="189">
        <f t="shared" si="0"/>
        <v>1003618</v>
      </c>
      <c r="E76" s="189">
        <f t="shared" si="0"/>
        <v>448989</v>
      </c>
      <c r="F76" s="189">
        <f t="shared" si="0"/>
        <v>60500</v>
      </c>
      <c r="G76" s="189">
        <f t="shared" si="0"/>
        <v>989748</v>
      </c>
      <c r="H76" s="190"/>
      <c r="I76" s="190"/>
      <c r="J76" s="190"/>
      <c r="K76" s="191">
        <f>SUM(K4:K75)</f>
        <v>431898.44994760497</v>
      </c>
      <c r="L76" s="191">
        <f>SUM(L4:L75)</f>
        <v>70993.988320971432</v>
      </c>
      <c r="M76" s="191">
        <f>SUM(M4:M75)</f>
        <v>968417.62740516395</v>
      </c>
      <c r="N76" s="160"/>
      <c r="O76" s="160"/>
      <c r="P76" s="160"/>
      <c r="Q76" s="195">
        <f>SUM(Q4:Q75)</f>
        <v>1367683927.9585946</v>
      </c>
    </row>
  </sheetData>
  <autoFilter ref="A3:Q3"/>
  <mergeCells count="1">
    <mergeCell ref="H4:J75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2019-20 Rates</vt:lpstr>
      <vt:lpstr>Rate Assumptions</vt:lpstr>
      <vt:lpstr>Base Allocation</vt:lpstr>
      <vt:lpstr>Supplemental Allocation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Jonah Breslow</dc:creator>
  <cp:lastModifiedBy>Jonah Breslow</cp:lastModifiedBy>
  <dcterms:created xsi:type="dcterms:W3CDTF">2019-10-14T19:39:01Z</dcterms:created>
  <dcterms:modified xsi:type="dcterms:W3CDTF">2019-10-15T00:34:57Z</dcterms:modified>
</cp:coreProperties>
</file>